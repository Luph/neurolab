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Time" sheetId="3" state="visible" r:id="rId3"/>
    <sheet name="Construction" sheetId="4" state="visible" r:id="rId4"/>
    <sheet name="Operations" sheetId="5" state="visible" r:id="rId5"/>
    <sheet name="Tax" sheetId="6" state="visible" r:id="rId6"/>
    <sheet name="Funding" sheetId="7" state="visible" r:id="rId7"/>
    <sheet name="Debt" sheetId="8" state="visible" r:id="rId8"/>
    <sheet name="Reserves" sheetId="9" state="visible" r:id="rId9"/>
    <sheet name="Waterfall" sheetId="10" state="visible" r:id="rId10"/>
    <sheet name="Financials" sheetId="11" state="visible" r:id="rId11"/>
    <sheet name="Ratios" sheetId="12" state="visible" r:id="rId12"/>
    <sheet name="Returns" sheetId="13" state="visible" r:id="rId13"/>
    <sheet name="Checks" sheetId="14" state="visible" r:id="rId14"/>
    <sheet name="Outputs" sheetId="15" state="visible" r:id="rId15"/>
  </sheets>
  <definedNames>
    <definedName name="Scenario">Inputs!$F$8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"/>
    <numFmt numFmtId="165" formatCode="#,##0.00000"/>
    <numFmt numFmtId="166" formatCode="yyyy-mm-dd"/>
    <numFmt numFmtId="167" formatCode="0.000000"/>
    <numFmt numFmtId="168" formatCode="#,##0.000;(#,##0.000);&quot;-&quot;"/>
    <numFmt numFmtId="169" formatCode="0.0"/>
    <numFmt numFmtId="170" formatCode="0.0000000"/>
    <numFmt numFmtId="171" formatCode="#,##0.000000"/>
    <numFmt numFmtId="172" formatCode="0.0000%"/>
    <numFmt numFmtId="173" formatCode="#,##0.000"/>
    <numFmt numFmtId="174" formatCode="#,##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1" fontId="3" fillId="3" borderId="0" pivotButton="0" quotePrefix="0" xfId="0"/>
    <xf numFmtId="0" fontId="3" fillId="3" borderId="0" pivotButton="0" quotePrefix="0" xfId="0"/>
    <xf numFmtId="165" fontId="3" fillId="3" borderId="0" pivotButton="0" quotePrefix="0" xfId="0"/>
    <xf numFmtId="166" fontId="3" fillId="3" borderId="0" pivotButton="0" quotePrefix="0" xfId="0"/>
    <xf numFmtId="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" fontId="4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8" fontId="4" fillId="0" borderId="0" pivotButton="0" quotePrefix="0" xfId="0"/>
    <xf numFmtId="166" fontId="4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  <xf numFmtId="174" fontId="3" fillId="3" borderId="0" pivotButton="0" quotePrefix="0" xfId="0"/>
    <xf numFmtId="172" fontId="3" fillId="3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Case P companion model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t="inlineStr">
        <is>
          <t>Companion model for Chapters 39-45. Python mirror: model/case_p.py (source of truth).</t>
        </is>
      </c>
    </row>
    <row r="6">
      <c r="D6" t="inlineStr">
        <is>
          <t>Select the scenario on the Inputs sheet (cell named Scenario):</t>
        </is>
      </c>
    </row>
    <row r="7">
      <c r="D7" t="inlineStr">
        <is>
          <t xml:space="preserve">  1: FC base</t>
        </is>
      </c>
    </row>
    <row r="8">
      <c r="D8" t="inlineStr">
        <is>
          <t xml:space="preserve">  2: FC banking</t>
        </is>
      </c>
    </row>
    <row r="9">
      <c r="D9" t="inlineStr">
        <is>
          <t xml:space="preserve">  3: FC downside</t>
        </is>
      </c>
    </row>
    <row r="10">
      <c r="D10" t="inlineStr">
        <is>
          <t xml:space="preserve">  4: Sens: availability -3 points</t>
        </is>
      </c>
    </row>
    <row r="11">
      <c r="D11" t="inlineStr">
        <is>
          <t xml:space="preserve">  5: Sens: heat rate +2%</t>
        </is>
      </c>
    </row>
    <row r="12">
      <c r="D12" t="inlineStr">
        <is>
          <t xml:space="preserve">  6: Sens: fixed opex +10%</t>
        </is>
      </c>
    </row>
    <row r="13">
      <c r="D13" t="inlineStr">
        <is>
          <t xml:space="preserve">  7: Sens: capex +10% funded pro rata</t>
        </is>
      </c>
    </row>
    <row r="14">
      <c r="D14" t="inlineStr">
        <is>
          <t xml:space="preserve">  8: Sens: COD delay 6 months, no LDs</t>
        </is>
      </c>
    </row>
    <row r="15">
      <c r="D15" t="inlineStr">
        <is>
          <t xml:space="preserve">  9: Sens: base rate +200 bps (unhedged)</t>
        </is>
      </c>
    </row>
    <row r="16">
      <c r="D16" t="inlineStr">
        <is>
          <t xml:space="preserve">  10: Sens: KCR devaluation 40%, 90-day lag</t>
        </is>
      </c>
    </row>
    <row r="17">
      <c r="D17" t="inlineStr">
        <is>
          <t xml:space="preserve">  11: Sens: SEKA pays 120 days late for 12 months</t>
        </is>
      </c>
    </row>
    <row r="18">
      <c r="D18" t="inlineStr">
        <is>
          <t xml:space="preserve">  12: Sens: dispatch 50%</t>
        </is>
      </c>
    </row>
    <row r="19">
      <c r="D19" t="inlineStr">
        <is>
          <t xml:space="preserve">  13: Sens: gas price +30%</t>
        </is>
      </c>
    </row>
    <row r="20">
      <c r="D20" t="inlineStr">
        <is>
          <t xml:space="preserve">  14: COD re-forecast (2021 lenders case)</t>
        </is>
      </c>
    </row>
    <row r="21">
      <c r="D21" t="inlineStr">
        <is>
          <t xml:space="preserve">  15: Actual history</t>
        </is>
      </c>
    </row>
    <row r="22">
      <c r="D22" s="2" t="inlineStr">
        <is>
          <t>Master check (0 = all pass)</t>
        </is>
      </c>
      <c r="F22" s="3">
        <f>Checks!$F$19</f>
        <v/>
      </c>
    </row>
    <row r="23">
      <c r="D23" t="inlineStr">
        <is>
          <t>Circularity: none. IDC/fee/premium/DSRA gross-up is solved in closed form on the Funding sheet</t>
        </is>
      </c>
    </row>
    <row r="24">
      <c r="D24" t="inlineStr">
        <is>
          <t>(balance = alpha + beta x T; T = alpha/(g - beta)). Sculpting with tax uses the contractual</t>
        </is>
      </c>
    </row>
    <row r="25">
      <c r="D25" t="inlineStr">
        <is>
          <t>repayment profile on Inputs; the Debt sheet recomputes the sculpted profile live and the</t>
        </is>
      </c>
    </row>
    <row r="26">
      <c r="D26" t="inlineStr">
        <is>
          <t>Checks sheet reports the difference (Python iterates the profile to convergence, tolerance USD 1,000).</t>
        </is>
      </c>
    </row>
    <row r="27">
      <c r="D27" t="inlineStr">
        <is>
          <t>Sheets: Cover, Inputs, Time, Construction, Operations, Tax, Funding, Debt, Reserves, Waterfall, Financials, Ratios, Returns, Checks, Outputs</t>
        </is>
      </c>
    </row>
    <row r="28">
      <c r="D28" t="inlineStr">
        <is>
          <t>Sign convention: costs stored positive and subtracted explicitly.</t>
        </is>
      </c>
    </row>
    <row r="29">
      <c r="D29" t="inlineStr">
        <is>
          <t>Monte Carlo (Inputs F311): the draw table is pasted from case_p.py (seed 20180717, P-F42 parameters); the per-run results beside it are pasted from the mirror with a stamp (no native data table: one could not be generated and verified without macros).</t>
        </is>
      </c>
    </row>
  </sheetData>
  <conditionalFormatting sqref="F22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321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Inputs: scenario selector, assumptions, contract terms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Scenario table: columns J-X = scenarios 1-15; semiannual rows: columns = periods; annual rows: columns = years 2015+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Scenario control</t>
        </is>
      </c>
    </row>
    <row r="8">
      <c r="D8" t="inlineStr">
        <is>
          <t>Scenario selector (1-15, see table below)</t>
        </is>
      </c>
      <c r="E8" t="inlineStr">
        <is>
          <t>index</t>
        </is>
      </c>
      <c r="F8" s="5" t="n">
        <v>4</v>
      </c>
    </row>
    <row r="9">
      <c r="B9" s="2" t="inlineStr">
        <is>
          <t>Live scenario parameters (selected from the scenario table)</t>
        </is>
      </c>
    </row>
    <row r="10">
      <c r="D10" t="inlineStr">
        <is>
          <t>Macro path (1 FC forward, 2 actual history, 3 COD re-forecast) [table]</t>
        </is>
      </c>
      <c r="E10" t="inlineStr">
        <is>
          <t>code</t>
        </is>
      </c>
      <c r="J10" s="6" t="n">
        <v>1</v>
      </c>
      <c r="K10" s="6" t="n">
        <v>1</v>
      </c>
      <c r="L10" s="6" t="n">
        <v>1</v>
      </c>
      <c r="M10" s="6" t="n">
        <v>1</v>
      </c>
      <c r="N10" s="6" t="n">
        <v>1</v>
      </c>
      <c r="O10" s="6" t="n">
        <v>1</v>
      </c>
      <c r="P10" s="6" t="n">
        <v>1</v>
      </c>
      <c r="Q10" s="6" t="n">
        <v>1</v>
      </c>
      <c r="R10" s="6" t="n">
        <v>1</v>
      </c>
      <c r="S10" s="6" t="n">
        <v>1</v>
      </c>
      <c r="T10" s="6" t="n">
        <v>1</v>
      </c>
      <c r="U10" s="6" t="n">
        <v>1</v>
      </c>
      <c r="V10" s="6" t="n">
        <v>1</v>
      </c>
      <c r="W10" s="6" t="n">
        <v>3</v>
      </c>
      <c r="X10" s="6" t="n">
        <v>2</v>
      </c>
    </row>
    <row r="11">
      <c r="D11" t="inlineStr">
        <is>
          <t>Construction case (1 FC budget, 2 actual) [table]</t>
        </is>
      </c>
      <c r="E11" t="inlineStr">
        <is>
          <t>code</t>
        </is>
      </c>
      <c r="J11" s="6" t="n">
        <v>1</v>
      </c>
      <c r="K11" s="6" t="n">
        <v>1</v>
      </c>
      <c r="L11" s="6" t="n">
        <v>1</v>
      </c>
      <c r="M11" s="6" t="n">
        <v>1</v>
      </c>
      <c r="N11" s="6" t="n">
        <v>1</v>
      </c>
      <c r="O11" s="6" t="n">
        <v>1</v>
      </c>
      <c r="P11" s="6" t="n">
        <v>1</v>
      </c>
      <c r="Q11" s="6" t="n">
        <v>1</v>
      </c>
      <c r="R11" s="6" t="n">
        <v>1</v>
      </c>
      <c r="S11" s="6" t="n">
        <v>1</v>
      </c>
      <c r="T11" s="6" t="n">
        <v>1</v>
      </c>
      <c r="U11" s="6" t="n">
        <v>1</v>
      </c>
      <c r="V11" s="6" t="n">
        <v>1</v>
      </c>
      <c r="W11" s="6" t="n">
        <v>2</v>
      </c>
      <c r="X11" s="6" t="n">
        <v>2</v>
      </c>
    </row>
    <row r="12">
      <c r="D12" t="inlineStr">
        <is>
          <t>COD delay (sensitivity) [table]</t>
        </is>
      </c>
      <c r="E12" t="inlineStr">
        <is>
          <t>months</t>
        </is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6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</row>
    <row r="13">
      <c r="D13" t="inlineStr">
        <is>
          <t>Capex factor [table]</t>
        </is>
      </c>
      <c r="E13" t="inlineStr">
        <is>
          <t>factor</t>
        </is>
      </c>
      <c r="J13" s="6" t="n">
        <v>1</v>
      </c>
      <c r="K13" s="6" t="n">
        <v>1</v>
      </c>
      <c r="L13" s="6" t="n">
        <v>1</v>
      </c>
      <c r="M13" s="6" t="n">
        <v>1</v>
      </c>
      <c r="N13" s="6" t="n">
        <v>1</v>
      </c>
      <c r="O13" s="6" t="n">
        <v>1</v>
      </c>
      <c r="P13" s="6" t="n">
        <v>1.1</v>
      </c>
      <c r="Q13" s="6" t="n">
        <v>1</v>
      </c>
      <c r="R13" s="6" t="n">
        <v>1</v>
      </c>
      <c r="S13" s="6" t="n">
        <v>1</v>
      </c>
      <c r="T13" s="6" t="n">
        <v>1</v>
      </c>
      <c r="U13" s="6" t="n">
        <v>1</v>
      </c>
      <c r="V13" s="6" t="n">
        <v>1</v>
      </c>
      <c r="W13" s="6" t="n">
        <v>1</v>
      </c>
      <c r="X13" s="6" t="n">
        <v>1</v>
      </c>
    </row>
    <row r="14">
      <c r="D14" t="inlineStr">
        <is>
          <t>Availability adjustment [table]</t>
        </is>
      </c>
      <c r="E14" t="inlineStr">
        <is>
          <t>points</t>
        </is>
      </c>
      <c r="J14" s="6" t="n">
        <v>0</v>
      </c>
      <c r="K14" s="6" t="n">
        <v>0</v>
      </c>
      <c r="L14" s="6" t="n">
        <v>-6.5</v>
      </c>
      <c r="M14" s="6" t="n">
        <v>-3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</row>
    <row r="15">
      <c r="D15" t="inlineStr">
        <is>
          <t>Dispatch factor when available [table]</t>
        </is>
      </c>
      <c r="E15" t="inlineStr">
        <is>
          <t>%</t>
        </is>
      </c>
      <c r="J15" s="6" t="n">
        <v>76.5</v>
      </c>
      <c r="K15" s="6" t="n">
        <v>72</v>
      </c>
      <c r="L15" s="6" t="n">
        <v>76.5</v>
      </c>
      <c r="M15" s="6" t="n">
        <v>76.5</v>
      </c>
      <c r="N15" s="6" t="n">
        <v>76.5</v>
      </c>
      <c r="O15" s="6" t="n">
        <v>76.5</v>
      </c>
      <c r="P15" s="6" t="n">
        <v>76.5</v>
      </c>
      <c r="Q15" s="6" t="n">
        <v>76.5</v>
      </c>
      <c r="R15" s="6" t="n">
        <v>76.5</v>
      </c>
      <c r="S15" s="6" t="n">
        <v>76.5</v>
      </c>
      <c r="T15" s="6" t="n">
        <v>76.5</v>
      </c>
      <c r="U15" s="6" t="n">
        <v>50</v>
      </c>
      <c r="V15" s="6" t="n">
        <v>76.5</v>
      </c>
      <c r="W15" s="6" t="n">
        <v>76.5</v>
      </c>
      <c r="X15" s="6" t="n">
        <v>76.5</v>
      </c>
    </row>
    <row r="16">
      <c r="D16" t="inlineStr">
        <is>
          <t>Plant heat rate factor [table]</t>
        </is>
      </c>
      <c r="E16" t="inlineStr">
        <is>
          <t>factor</t>
        </is>
      </c>
      <c r="J16" s="6" t="n">
        <v>1</v>
      </c>
      <c r="K16" s="6" t="n">
        <v>1</v>
      </c>
      <c r="L16" s="6" t="n">
        <v>1.015</v>
      </c>
      <c r="M16" s="6" t="n">
        <v>1</v>
      </c>
      <c r="N16" s="6" t="n">
        <v>1.02</v>
      </c>
      <c r="O16" s="6" t="n">
        <v>1</v>
      </c>
      <c r="P16" s="6" t="n">
        <v>1</v>
      </c>
      <c r="Q16" s="6" t="n">
        <v>1</v>
      </c>
      <c r="R16" s="6" t="n">
        <v>1</v>
      </c>
      <c r="S16" s="6" t="n">
        <v>1</v>
      </c>
      <c r="T16" s="6" t="n">
        <v>1</v>
      </c>
      <c r="U16" s="6" t="n">
        <v>1</v>
      </c>
      <c r="V16" s="6" t="n">
        <v>1</v>
      </c>
      <c r="W16" s="6" t="n">
        <v>1</v>
      </c>
      <c r="X16" s="6" t="n">
        <v>1</v>
      </c>
    </row>
    <row r="17">
      <c r="D17" t="inlineStr">
        <is>
          <t>Fixed opex factor [table]</t>
        </is>
      </c>
      <c r="E17" t="inlineStr">
        <is>
          <t>factor</t>
        </is>
      </c>
      <c r="J17" s="6" t="n">
        <v>1</v>
      </c>
      <c r="K17" s="6" t="n">
        <v>1</v>
      </c>
      <c r="L17" s="6" t="n">
        <v>1.1</v>
      </c>
      <c r="M17" s="6" t="n">
        <v>1</v>
      </c>
      <c r="N17" s="6" t="n">
        <v>1</v>
      </c>
      <c r="O17" s="6" t="n">
        <v>1.1</v>
      </c>
      <c r="P17" s="6" t="n">
        <v>1</v>
      </c>
      <c r="Q17" s="6" t="n">
        <v>1</v>
      </c>
      <c r="R17" s="6" t="n">
        <v>1</v>
      </c>
      <c r="S17" s="6" t="n">
        <v>1</v>
      </c>
      <c r="T17" s="6" t="n">
        <v>1</v>
      </c>
      <c r="U17" s="6" t="n">
        <v>1</v>
      </c>
      <c r="V17" s="6" t="n">
        <v>1</v>
      </c>
      <c r="W17" s="6" t="n">
        <v>1</v>
      </c>
      <c r="X17" s="6" t="n">
        <v>1</v>
      </c>
    </row>
    <row r="18">
      <c r="D18" t="inlineStr">
        <is>
          <t>Gas price factor [table]</t>
        </is>
      </c>
      <c r="E18" t="inlineStr">
        <is>
          <t>factor</t>
        </is>
      </c>
      <c r="J18" s="6" t="n">
        <v>1</v>
      </c>
      <c r="K18" s="6" t="n">
        <v>1</v>
      </c>
      <c r="L18" s="6" t="n">
        <v>1</v>
      </c>
      <c r="M18" s="6" t="n">
        <v>1</v>
      </c>
      <c r="N18" s="6" t="n">
        <v>1</v>
      </c>
      <c r="O18" s="6" t="n">
        <v>1</v>
      </c>
      <c r="P18" s="6" t="n">
        <v>1</v>
      </c>
      <c r="Q18" s="6" t="n">
        <v>1</v>
      </c>
      <c r="R18" s="6" t="n">
        <v>1</v>
      </c>
      <c r="S18" s="6" t="n">
        <v>1</v>
      </c>
      <c r="T18" s="6" t="n">
        <v>1</v>
      </c>
      <c r="U18" s="6" t="n">
        <v>1</v>
      </c>
      <c r="V18" s="6" t="n">
        <v>1.3</v>
      </c>
      <c r="W18" s="6" t="n">
        <v>1</v>
      </c>
      <c r="X18" s="6" t="n">
        <v>1</v>
      </c>
    </row>
    <row r="19">
      <c r="D19" t="inlineStr">
        <is>
          <t>Base rate shift from 2022H1 [table]</t>
        </is>
      </c>
      <c r="E19" t="inlineStr">
        <is>
          <t>%</t>
        </is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2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</row>
    <row r="20">
      <c r="D20" t="inlineStr">
        <is>
          <t>KCR devaluation from 2022H1 [table]</t>
        </is>
      </c>
      <c r="E20" t="inlineStr">
        <is>
          <t>fraction</t>
        </is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0.4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</row>
    <row r="21">
      <c r="D21" t="inlineStr">
        <is>
          <t>Extra days on SEKA capacity/VOM payments, 2022H1-2022H2 [table]</t>
        </is>
      </c>
      <c r="E21" t="inlineStr">
        <is>
          <t>days</t>
        </is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90</v>
      </c>
      <c r="T21" s="6" t="n">
        <v>120</v>
      </c>
      <c r="U21" s="6" t="n">
        <v>0</v>
      </c>
      <c r="V21" s="6" t="n">
        <v>0</v>
      </c>
      <c r="W21" s="6" t="n">
        <v>0</v>
      </c>
      <c r="X21" s="6" t="n">
        <v>0</v>
      </c>
    </row>
    <row r="22">
      <c r="D22" t="inlineStr">
        <is>
          <t>Offtaker crisis events (1 = on) [table]</t>
        </is>
      </c>
      <c r="E22" t="inlineStr">
        <is>
          <t>flag</t>
        </is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1</v>
      </c>
    </row>
    <row r="23">
      <c r="D23" t="inlineStr">
        <is>
          <t>Insurance market step-up from 2022H2 (1 = on) [table]</t>
        </is>
      </c>
      <c r="E23" t="inlineStr">
        <is>
          <t>flag</t>
        </is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1</v>
      </c>
    </row>
    <row r="24">
      <c r="D24" t="inlineStr">
        <is>
          <t>Repayment profile (1 FC contract, 2 COD re-sculpted) [table]</t>
        </is>
      </c>
      <c r="E24" t="inlineStr">
        <is>
          <t>code</t>
        </is>
      </c>
      <c r="J24" s="6" t="n">
        <v>1</v>
      </c>
      <c r="K24" s="6" t="n">
        <v>1</v>
      </c>
      <c r="L24" s="6" t="n">
        <v>1</v>
      </c>
      <c r="M24" s="6" t="n">
        <v>1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1</v>
      </c>
      <c r="S24" s="6" t="n">
        <v>1</v>
      </c>
      <c r="T24" s="6" t="n">
        <v>1</v>
      </c>
      <c r="U24" s="6" t="n">
        <v>1</v>
      </c>
      <c r="V24" s="6" t="n">
        <v>1</v>
      </c>
      <c r="W24" s="6" t="n">
        <v>2</v>
      </c>
      <c r="X24" s="6" t="n">
        <v>2</v>
      </c>
    </row>
    <row r="25">
      <c r="D25" t="inlineStr">
        <is>
          <t>Performance LD prepayment June 2022 (1 = on) [table]</t>
        </is>
      </c>
      <c r="E25" t="inlineStr">
        <is>
          <t>flag</t>
        </is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1</v>
      </c>
      <c r="X25" s="6" t="n">
        <v>1</v>
      </c>
    </row>
    <row r="26">
      <c r="D26" t="inlineStr">
        <is>
          <t>Waiver and amendment 2023 (1 = on) [table]</t>
        </is>
      </c>
      <c r="E26" t="inlineStr">
        <is>
          <t>flag</t>
        </is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1</v>
      </c>
    </row>
    <row r="27">
      <c r="D27" t="inlineStr">
        <is>
          <t>2025 bond refinancing (1 = on) [table]</t>
        </is>
      </c>
      <c r="E27" t="inlineStr">
        <is>
          <t>flag</t>
        </is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1</v>
      </c>
    </row>
    <row r="28">
      <c r="D28" t="inlineStr">
        <is>
          <t>Funding mode (1 committed amounts, 2 re-grossed pro rata) [table]</t>
        </is>
      </c>
      <c r="E28" t="inlineStr">
        <is>
          <t>code</t>
        </is>
      </c>
      <c r="J28" s="6" t="n">
        <v>1</v>
      </c>
      <c r="K28" s="6" t="n">
        <v>1</v>
      </c>
      <c r="L28" s="6" t="n">
        <v>1</v>
      </c>
      <c r="M28" s="6" t="n">
        <v>1</v>
      </c>
      <c r="N28" s="6" t="n">
        <v>1</v>
      </c>
      <c r="O28" s="6" t="n">
        <v>1</v>
      </c>
      <c r="P28" s="6" t="n">
        <v>2</v>
      </c>
      <c r="Q28" s="6" t="n">
        <v>2</v>
      </c>
      <c r="R28" s="6" t="n">
        <v>1</v>
      </c>
      <c r="S28" s="6" t="n">
        <v>1</v>
      </c>
      <c r="T28" s="6" t="n">
        <v>1</v>
      </c>
      <c r="U28" s="6" t="n">
        <v>1</v>
      </c>
      <c r="V28" s="6" t="n">
        <v>1</v>
      </c>
      <c r="W28" s="6" t="n">
        <v>1</v>
      </c>
      <c r="X28" s="6" t="n">
        <v>1</v>
      </c>
    </row>
    <row r="29">
      <c r="D29" t="inlineStr">
        <is>
          <t>Soft mini-perm sweep (1 = on) [table]</t>
        </is>
      </c>
      <c r="E29" t="inlineStr">
        <is>
          <t>flag</t>
        </is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1</v>
      </c>
      <c r="P29" s="6" t="n">
        <v>1</v>
      </c>
      <c r="Q29" s="6" t="n">
        <v>1</v>
      </c>
      <c r="R29" s="6" t="n">
        <v>1</v>
      </c>
      <c r="S29" s="6" t="n">
        <v>1</v>
      </c>
      <c r="T29" s="6" t="n">
        <v>1</v>
      </c>
      <c r="U29" s="6" t="n">
        <v>1</v>
      </c>
      <c r="V29" s="6" t="n">
        <v>1</v>
      </c>
      <c r="W29" s="6" t="n">
        <v>1</v>
      </c>
      <c r="X29" s="6" t="n">
        <v>1</v>
      </c>
    </row>
    <row r="30">
      <c r="D30" t="inlineStr">
        <is>
          <t>Shareholder loan share of equity [table]</t>
        </is>
      </c>
      <c r="E30" t="inlineStr">
        <is>
          <t>fraction</t>
        </is>
      </c>
      <c r="J30" s="6" t="n">
        <v>0.8</v>
      </c>
      <c r="K30" s="6" t="n">
        <v>0.8</v>
      </c>
      <c r="L30" s="6" t="n">
        <v>0.8</v>
      </c>
      <c r="M30" s="6" t="n">
        <v>0.8</v>
      </c>
      <c r="N30" s="6" t="n">
        <v>0.8</v>
      </c>
      <c r="O30" s="6" t="n">
        <v>0.8</v>
      </c>
      <c r="P30" s="6" t="n">
        <v>0.8</v>
      </c>
      <c r="Q30" s="6" t="n">
        <v>0.8</v>
      </c>
      <c r="R30" s="6" t="n">
        <v>0.8</v>
      </c>
      <c r="S30" s="6" t="n">
        <v>0.8</v>
      </c>
      <c r="T30" s="6" t="n">
        <v>0.8</v>
      </c>
      <c r="U30" s="6" t="n">
        <v>0.8</v>
      </c>
      <c r="V30" s="6" t="n">
        <v>0.8</v>
      </c>
      <c r="W30" s="6" t="n">
        <v>0.8</v>
      </c>
      <c r="X30" s="6" t="n">
        <v>0.8</v>
      </c>
    </row>
    <row r="31">
      <c r="D31" t="inlineStr">
        <is>
          <t>Capital charge factor [table]</t>
        </is>
      </c>
      <c r="E31" t="inlineStr">
        <is>
          <t>factor</t>
        </is>
      </c>
      <c r="J31" s="6" t="n">
        <v>1</v>
      </c>
      <c r="K31" s="6" t="n">
        <v>1</v>
      </c>
      <c r="L31" s="6" t="n">
        <v>1</v>
      </c>
      <c r="M31" s="6" t="n">
        <v>1</v>
      </c>
      <c r="N31" s="6" t="n">
        <v>1</v>
      </c>
      <c r="O31" s="6" t="n">
        <v>1</v>
      </c>
      <c r="P31" s="6" t="n">
        <v>1</v>
      </c>
      <c r="Q31" s="6" t="n">
        <v>1</v>
      </c>
      <c r="R31" s="6" t="n">
        <v>1</v>
      </c>
      <c r="S31" s="6" t="n">
        <v>1</v>
      </c>
      <c r="T31" s="6" t="n">
        <v>1</v>
      </c>
      <c r="U31" s="6" t="n">
        <v>1</v>
      </c>
      <c r="V31" s="6" t="n">
        <v>1</v>
      </c>
      <c r="W31" s="6" t="n">
        <v>1</v>
      </c>
      <c r="X31" s="6" t="n">
        <v>1</v>
      </c>
    </row>
    <row r="32">
      <c r="D32" t="inlineStr">
        <is>
          <t>Actual 2022 dispatch path (1 = on) [table]</t>
        </is>
      </c>
      <c r="E32" t="inlineStr">
        <is>
          <t>flag</t>
        </is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1</v>
      </c>
    </row>
    <row r="33">
      <c r="D33" t="inlineStr">
        <is>
          <t>Macro path (1 FC forward, 2 actual history, 3 COD re-forecast)</t>
        </is>
      </c>
      <c r="E33" t="inlineStr">
        <is>
          <t>code</t>
        </is>
      </c>
      <c r="F33" s="3">
        <f>INDEX($J$10:$X$10,1,Scenario)</f>
        <v/>
      </c>
    </row>
    <row r="34">
      <c r="D34" t="inlineStr">
        <is>
          <t>Construction case (1 FC budget, 2 actual)</t>
        </is>
      </c>
      <c r="E34" t="inlineStr">
        <is>
          <t>code</t>
        </is>
      </c>
      <c r="F34" s="3">
        <f>INDEX($J$11:$X$11,1,Scenario)</f>
        <v/>
      </c>
    </row>
    <row r="35">
      <c r="D35" t="inlineStr">
        <is>
          <t>COD delay (sensitivity)</t>
        </is>
      </c>
      <c r="E35" t="inlineStr">
        <is>
          <t>months</t>
        </is>
      </c>
      <c r="F35" s="3">
        <f>INDEX($J$12:$X$12,1,Scenario)</f>
        <v/>
      </c>
    </row>
    <row r="36">
      <c r="D36" t="inlineStr">
        <is>
          <t>Capex factor</t>
        </is>
      </c>
      <c r="E36" t="inlineStr">
        <is>
          <t>factor</t>
        </is>
      </c>
      <c r="F36" s="3">
        <f>INDEX($J$13:$X$13,1,Scenario)</f>
        <v/>
      </c>
    </row>
    <row r="37">
      <c r="D37" t="inlineStr">
        <is>
          <t>Availability adjustment</t>
        </is>
      </c>
      <c r="E37" t="inlineStr">
        <is>
          <t>points</t>
        </is>
      </c>
      <c r="F37" s="3">
        <f>INDEX($J$14:$X$14,1,Scenario)</f>
        <v/>
      </c>
    </row>
    <row r="38">
      <c r="D38" t="inlineStr">
        <is>
          <t>Dispatch factor when available</t>
        </is>
      </c>
      <c r="E38" t="inlineStr">
        <is>
          <t>%</t>
        </is>
      </c>
      <c r="F38" s="3">
        <f>INDEX($J$15:$X$15,1,Scenario)</f>
        <v/>
      </c>
    </row>
    <row r="39">
      <c r="D39" t="inlineStr">
        <is>
          <t>Plant heat rate factor</t>
        </is>
      </c>
      <c r="E39" t="inlineStr">
        <is>
          <t>factor</t>
        </is>
      </c>
      <c r="F39" s="3">
        <f>INDEX($J$16:$X$16,1,Scenario)</f>
        <v/>
      </c>
    </row>
    <row r="40">
      <c r="D40" t="inlineStr">
        <is>
          <t>Fixed opex factor</t>
        </is>
      </c>
      <c r="E40" t="inlineStr">
        <is>
          <t>factor</t>
        </is>
      </c>
      <c r="F40" s="3">
        <f>INDEX($J$17:$X$17,1,Scenario)</f>
        <v/>
      </c>
    </row>
    <row r="41">
      <c r="D41" t="inlineStr">
        <is>
          <t>Gas price factor</t>
        </is>
      </c>
      <c r="E41" t="inlineStr">
        <is>
          <t>factor</t>
        </is>
      </c>
      <c r="F41" s="3">
        <f>INDEX($J$18:$X$18,1,Scenario)</f>
        <v/>
      </c>
    </row>
    <row r="42">
      <c r="D42" t="inlineStr">
        <is>
          <t>Base rate shift from 2022H1</t>
        </is>
      </c>
      <c r="E42" t="inlineStr">
        <is>
          <t>%</t>
        </is>
      </c>
      <c r="F42" s="3">
        <f>INDEX($J$19:$X$19,1,Scenario)</f>
        <v/>
      </c>
    </row>
    <row r="43">
      <c r="D43" t="inlineStr">
        <is>
          <t>KCR devaluation from 2022H1</t>
        </is>
      </c>
      <c r="E43" t="inlineStr">
        <is>
          <t>fraction</t>
        </is>
      </c>
      <c r="F43" s="3">
        <f>INDEX($J$20:$X$20,1,Scenario)</f>
        <v/>
      </c>
    </row>
    <row r="44">
      <c r="D44" t="inlineStr">
        <is>
          <t>Extra days on SEKA capacity/VOM payments, 2022H1-2022H2</t>
        </is>
      </c>
      <c r="E44" t="inlineStr">
        <is>
          <t>days</t>
        </is>
      </c>
      <c r="F44" s="3">
        <f>INDEX($J$21:$X$21,1,Scenario)</f>
        <v/>
      </c>
    </row>
    <row r="45">
      <c r="D45" t="inlineStr">
        <is>
          <t>Offtaker crisis events (1 = on)</t>
        </is>
      </c>
      <c r="E45" t="inlineStr">
        <is>
          <t>flag</t>
        </is>
      </c>
      <c r="F45" s="3">
        <f>INDEX($J$22:$X$22,1,Scenario)</f>
        <v/>
      </c>
    </row>
    <row r="46">
      <c r="D46" t="inlineStr">
        <is>
          <t>Insurance market step-up from 2022H2 (1 = on)</t>
        </is>
      </c>
      <c r="E46" t="inlineStr">
        <is>
          <t>flag</t>
        </is>
      </c>
      <c r="F46" s="3">
        <f>INDEX($J$23:$X$23,1,Scenario)</f>
        <v/>
      </c>
    </row>
    <row r="47">
      <c r="D47" t="inlineStr">
        <is>
          <t>Repayment profile (1 FC contract, 2 COD re-sculpted)</t>
        </is>
      </c>
      <c r="E47" t="inlineStr">
        <is>
          <t>code</t>
        </is>
      </c>
      <c r="F47" s="3">
        <f>INDEX($J$24:$X$24,1,Scenario)</f>
        <v/>
      </c>
    </row>
    <row r="48">
      <c r="D48" t="inlineStr">
        <is>
          <t>Performance LD prepayment June 2022 (1 = on)</t>
        </is>
      </c>
      <c r="E48" t="inlineStr">
        <is>
          <t>flag</t>
        </is>
      </c>
      <c r="F48" s="3">
        <f>INDEX($J$25:$X$25,1,Scenario)</f>
        <v/>
      </c>
    </row>
    <row r="49">
      <c r="D49" t="inlineStr">
        <is>
          <t>Waiver and amendment 2023 (1 = on)</t>
        </is>
      </c>
      <c r="E49" t="inlineStr">
        <is>
          <t>flag</t>
        </is>
      </c>
      <c r="F49" s="3">
        <f>INDEX($J$26:$X$26,1,Scenario)</f>
        <v/>
      </c>
    </row>
    <row r="50">
      <c r="D50" t="inlineStr">
        <is>
          <t>2025 bond refinancing (1 = on)</t>
        </is>
      </c>
      <c r="E50" t="inlineStr">
        <is>
          <t>flag</t>
        </is>
      </c>
      <c r="F50" s="3">
        <f>INDEX($J$27:$X$27,1,Scenario)</f>
        <v/>
      </c>
    </row>
    <row r="51">
      <c r="D51" t="inlineStr">
        <is>
          <t>Funding mode (1 committed amounts, 2 re-grossed pro rata)</t>
        </is>
      </c>
      <c r="E51" t="inlineStr">
        <is>
          <t>code</t>
        </is>
      </c>
      <c r="F51" s="3">
        <f>INDEX($J$28:$X$28,1,Scenario)</f>
        <v/>
      </c>
    </row>
    <row r="52">
      <c r="D52" t="inlineStr">
        <is>
          <t>Soft mini-perm sweep (1 = on)</t>
        </is>
      </c>
      <c r="E52" t="inlineStr">
        <is>
          <t>flag</t>
        </is>
      </c>
      <c r="F52" s="3">
        <f>INDEX($J$29:$X$29,1,Scenario)</f>
        <v/>
      </c>
    </row>
    <row r="53">
      <c r="D53" t="inlineStr">
        <is>
          <t>Shareholder loan share of equity</t>
        </is>
      </c>
      <c r="E53" t="inlineStr">
        <is>
          <t>fraction</t>
        </is>
      </c>
      <c r="F53" s="3">
        <f>INDEX($J$30:$X$30,1,Scenario)</f>
        <v/>
      </c>
    </row>
    <row r="54">
      <c r="D54" t="inlineStr">
        <is>
          <t>Capital charge factor</t>
        </is>
      </c>
      <c r="E54" t="inlineStr">
        <is>
          <t>factor</t>
        </is>
      </c>
      <c r="F54" s="3">
        <f>INDEX($J$31:$X$31,1,Scenario)</f>
        <v/>
      </c>
    </row>
    <row r="55">
      <c r="D55" t="inlineStr">
        <is>
          <t>Actual 2022 dispatch path (1 = on)</t>
        </is>
      </c>
      <c r="E55" t="inlineStr">
        <is>
          <t>flag</t>
        </is>
      </c>
      <c r="F55" s="3">
        <f>INDEX($J$32:$X$32,1,Scenario)</f>
        <v/>
      </c>
    </row>
    <row r="56">
      <c r="B56" s="2" t="inlineStr">
        <is>
          <t>Capital cost (USD m unless stated)</t>
        </is>
      </c>
    </row>
    <row r="57">
      <c r="D57" t="inlineStr">
        <is>
          <t>EPC contract price</t>
        </is>
      </c>
      <c r="E57" t="inlineStr">
        <is>
          <t>USD m</t>
        </is>
      </c>
      <c r="F57" s="7" t="n">
        <v>571.84</v>
      </c>
    </row>
    <row r="58">
      <c r="D58" t="inlineStr">
        <is>
          <t>of which offshore portion</t>
        </is>
      </c>
      <c r="E58" t="inlineStr">
        <is>
          <t>USD m</t>
        </is>
      </c>
      <c r="F58" s="7" t="n">
        <v>489.17</v>
      </c>
    </row>
    <row r="59">
      <c r="D59" t="inlineStr">
        <is>
          <t>of which onshore portion</t>
        </is>
      </c>
      <c r="E59" t="inlineStr">
        <is>
          <t>USD m</t>
        </is>
      </c>
      <c r="F59" s="7" t="n">
        <v>82.67</v>
      </c>
    </row>
    <row r="60">
      <c r="D60" t="inlineStr">
        <is>
          <t>Onshore portion fixed in KCR at</t>
        </is>
      </c>
      <c r="E60" t="inlineStr">
        <is>
          <t>KCR/USD</t>
        </is>
      </c>
      <c r="F60" s="7" t="n">
        <v>519.4</v>
      </c>
    </row>
    <row r="61">
      <c r="D61" t="inlineStr">
        <is>
          <t>Owner's costs</t>
        </is>
      </c>
      <c r="E61" t="inlineStr">
        <is>
          <t>USD m</t>
        </is>
      </c>
      <c r="F61" s="7" t="n">
        <v>46.18</v>
      </c>
    </row>
    <row r="62">
      <c r="D62" t="inlineStr">
        <is>
          <t>Insurance during construction</t>
        </is>
      </c>
      <c r="E62" t="inlineStr">
        <is>
          <t>USD m</t>
        </is>
      </c>
      <c r="F62" s="7" t="n">
        <v>7.62</v>
      </c>
    </row>
    <row r="63">
      <c r="D63" t="inlineStr">
        <is>
          <t>Development costs reimbursed at FC</t>
        </is>
      </c>
      <c r="E63" t="inlineStr">
        <is>
          <t>USD m</t>
        </is>
      </c>
      <c r="F63" s="7" t="n">
        <v>21.43</v>
      </c>
    </row>
    <row r="64">
      <c r="D64" t="inlineStr">
        <is>
          <t>Development fee at FC</t>
        </is>
      </c>
      <c r="E64" t="inlineStr">
        <is>
          <t>USD m</t>
        </is>
      </c>
      <c r="F64" s="7" t="n">
        <v>11.2</v>
      </c>
    </row>
    <row r="65">
      <c r="D65" t="inlineStr">
        <is>
          <t>Lenders' advisors and legal</t>
        </is>
      </c>
      <c r="E65" t="inlineStr">
        <is>
          <t>USD m</t>
        </is>
      </c>
      <c r="F65" s="7" t="n">
        <v>8.970000000000001</v>
      </c>
    </row>
    <row r="66">
      <c r="D66" t="inlineStr">
        <is>
          <t>Contingency</t>
        </is>
      </c>
      <c r="E66" t="inlineStr">
        <is>
          <t>USD m</t>
        </is>
      </c>
      <c r="F66" s="7" t="n">
        <v>38.4</v>
      </c>
    </row>
    <row r="67">
      <c r="D67" t="inlineStr">
        <is>
          <t>Initial working capital (spares, fuel)</t>
        </is>
      </c>
      <c r="E67" t="inlineStr">
        <is>
          <t>USD m</t>
        </is>
      </c>
      <c r="F67" s="7" t="n">
        <v>5.35</v>
      </c>
    </row>
    <row r="68">
      <c r="D68" t="inlineStr">
        <is>
          <t>LNTP paid February 2018 (equity credit at FC)</t>
        </is>
      </c>
      <c r="E68" t="inlineStr">
        <is>
          <t>USD m</t>
        </is>
      </c>
      <c r="F68" s="7" t="n">
        <v>14.2</v>
      </c>
    </row>
    <row r="69">
      <c r="D69" t="inlineStr">
        <is>
          <t>Extended owner's costs (actual, months 34-40)</t>
        </is>
      </c>
      <c r="E69" t="inlineStr">
        <is>
          <t>USD m</t>
        </is>
      </c>
      <c r="F69" s="7" t="n">
        <v>6.93</v>
      </c>
    </row>
    <row r="70">
      <c r="D70" t="inlineStr">
        <is>
          <t>VAT on onshore EPC</t>
        </is>
      </c>
      <c r="E70" t="inlineStr">
        <is>
          <t>%</t>
        </is>
      </c>
      <c r="F70" s="7" t="n">
        <v>18</v>
      </c>
    </row>
    <row r="71">
      <c r="D71" t="inlineStr">
        <is>
          <t>VAT facility margin over policy rate</t>
        </is>
      </c>
      <c r="E71" t="inlineStr">
        <is>
          <t>%</t>
        </is>
      </c>
      <c r="F71" s="7" t="n">
        <v>2.5</v>
      </c>
    </row>
    <row r="72">
      <c r="D72" t="inlineStr">
        <is>
          <t>VAT facility limit</t>
        </is>
      </c>
      <c r="E72" t="inlineStr">
        <is>
          <t>KCR m</t>
        </is>
      </c>
      <c r="F72" s="7" t="n">
        <v>7900</v>
      </c>
    </row>
    <row r="73">
      <c r="D73" t="inlineStr">
        <is>
          <t>Policy rate, FC expectation</t>
        </is>
      </c>
      <c r="E73" t="inlineStr">
        <is>
          <t>%</t>
        </is>
      </c>
      <c r="F73" s="7" t="n">
        <v>13.5</v>
      </c>
    </row>
    <row r="74">
      <c r="B74" s="2" t="inlineStr">
        <is>
          <t>Senior debt terms</t>
        </is>
      </c>
    </row>
    <row r="75">
      <c r="D75" t="inlineStr">
        <is>
          <t>ECA-covered tranche share</t>
        </is>
      </c>
      <c r="E75" t="inlineStr">
        <is>
          <t>fraction</t>
        </is>
      </c>
      <c r="F75" s="7" t="n">
        <v>0.3</v>
      </c>
    </row>
    <row r="76">
      <c r="D76" t="inlineStr">
        <is>
          <t>ABDB A-loan share</t>
        </is>
      </c>
      <c r="E76" t="inlineStr">
        <is>
          <t>fraction</t>
        </is>
      </c>
      <c r="F76" s="7" t="n">
        <v>0.22</v>
      </c>
    </row>
    <row r="77">
      <c r="D77" t="inlineStr">
        <is>
          <t>ABDB B-loan share</t>
        </is>
      </c>
      <c r="E77" t="inlineStr">
        <is>
          <t>fraction</t>
        </is>
      </c>
      <c r="F77" s="7" t="n">
        <v>0.1</v>
      </c>
    </row>
    <row r="78">
      <c r="D78" t="inlineStr">
        <is>
          <t>Commercial tranche share</t>
        </is>
      </c>
      <c r="E78" t="inlineStr">
        <is>
          <t>fraction</t>
        </is>
      </c>
      <c r="F78" s="7" t="n">
        <v>0.38</v>
      </c>
    </row>
    <row r="79">
      <c r="D79" t="inlineStr">
        <is>
          <t>ECA margin</t>
        </is>
      </c>
      <c r="E79" t="inlineStr">
        <is>
          <t>%</t>
        </is>
      </c>
      <c r="F79" s="7" t="n">
        <v>1.35</v>
      </c>
    </row>
    <row r="80">
      <c r="D80" t="inlineStr">
        <is>
          <t>A-loan margin</t>
        </is>
      </c>
      <c r="E80" t="inlineStr">
        <is>
          <t>%</t>
        </is>
      </c>
      <c r="F80" s="7" t="n">
        <v>3.65</v>
      </c>
    </row>
    <row r="81">
      <c r="D81" t="inlineStr">
        <is>
          <t>B-loan margin</t>
        </is>
      </c>
      <c r="E81" t="inlineStr">
        <is>
          <t>%</t>
        </is>
      </c>
      <c r="F81" s="7" t="n">
        <v>3.4</v>
      </c>
    </row>
    <row r="82">
      <c r="D82" t="inlineStr">
        <is>
          <t>Commercial margin to 2025</t>
        </is>
      </c>
      <c r="E82" t="inlineStr">
        <is>
          <t>%</t>
        </is>
      </c>
      <c r="F82" s="7" t="n">
        <v>4.1</v>
      </c>
    </row>
    <row r="83">
      <c r="D83" t="inlineStr">
        <is>
          <t>Commercial margin 2026-2029</t>
        </is>
      </c>
      <c r="E83" t="inlineStr">
        <is>
          <t>%</t>
        </is>
      </c>
      <c r="F83" s="7" t="n">
        <v>4.6</v>
      </c>
    </row>
    <row r="84">
      <c r="D84" t="inlineStr">
        <is>
          <t>Commercial margin from 2030</t>
        </is>
      </c>
      <c r="E84" t="inlineStr">
        <is>
          <t>%</t>
        </is>
      </c>
      <c r="F84" s="7" t="n">
        <v>5.1</v>
      </c>
    </row>
    <row r="85">
      <c r="D85" t="inlineStr">
        <is>
          <t>ECA commitment fee</t>
        </is>
      </c>
      <c r="E85" t="inlineStr">
        <is>
          <t>% pa</t>
        </is>
      </c>
      <c r="F85" s="7" t="n">
        <v>0.45</v>
      </c>
    </row>
    <row r="86">
      <c r="D86" t="inlineStr">
        <is>
          <t>A-loan commitment fee</t>
        </is>
      </c>
      <c r="E86" t="inlineStr">
        <is>
          <t>% pa</t>
        </is>
      </c>
      <c r="F86" s="7" t="n">
        <v>0.75</v>
      </c>
    </row>
    <row r="87">
      <c r="D87" t="inlineStr">
        <is>
          <t>B-loan commitment fee</t>
        </is>
      </c>
      <c r="E87" t="inlineStr">
        <is>
          <t>% pa</t>
        </is>
      </c>
      <c r="F87" s="7" t="n">
        <v>0.85</v>
      </c>
    </row>
    <row r="88">
      <c r="D88" t="inlineStr">
        <is>
          <t>Commercial commitment fee (% of margin)</t>
        </is>
      </c>
      <c r="E88" t="inlineStr">
        <is>
          <t>%</t>
        </is>
      </c>
      <c r="F88" s="7" t="n">
        <v>40</v>
      </c>
    </row>
    <row r="89">
      <c r="D89" t="inlineStr">
        <is>
          <t>ECA arrangement fee</t>
        </is>
      </c>
      <c r="E89" t="inlineStr">
        <is>
          <t>%</t>
        </is>
      </c>
      <c r="F89" s="7" t="n">
        <v>1.1</v>
      </c>
    </row>
    <row r="90">
      <c r="D90" t="inlineStr">
        <is>
          <t>A-loan front-end fee</t>
        </is>
      </c>
      <c r="E90" t="inlineStr">
        <is>
          <t>%</t>
        </is>
      </c>
      <c r="F90" s="7" t="n">
        <v>1.25</v>
      </c>
    </row>
    <row r="91">
      <c r="D91" t="inlineStr">
        <is>
          <t>B-loan upfront fee</t>
        </is>
      </c>
      <c r="E91" t="inlineStr">
        <is>
          <t>%</t>
        </is>
      </c>
      <c r="F91" s="7" t="n">
        <v>1.5</v>
      </c>
    </row>
    <row r="92">
      <c r="D92" t="inlineStr">
        <is>
          <t>Commercial upfront fee</t>
        </is>
      </c>
      <c r="E92" t="inlineStr">
        <is>
          <t>%</t>
        </is>
      </c>
      <c r="F92" s="7" t="n">
        <v>2.15</v>
      </c>
    </row>
    <row r="93">
      <c r="D93" t="inlineStr">
        <is>
          <t>Withholding tax on commercial interest (grossed up)</t>
        </is>
      </c>
      <c r="E93" t="inlineStr">
        <is>
          <t>%</t>
        </is>
      </c>
      <c r="F93" s="7" t="n">
        <v>10</v>
      </c>
    </row>
    <row r="94">
      <c r="D94" t="inlineStr">
        <is>
          <t>ECA premium (% of ECA drawdowns, financed)</t>
        </is>
      </c>
      <c r="E94" t="inlineStr">
        <is>
          <t>%</t>
        </is>
      </c>
      <c r="F94" s="7" t="n">
        <v>10.85</v>
      </c>
    </row>
    <row r="95">
      <c r="D95" t="inlineStr">
        <is>
          <t>PRI premium</t>
        </is>
      </c>
      <c r="E95" t="inlineStr">
        <is>
          <t>% pa</t>
        </is>
      </c>
      <c r="F95" s="7" t="n">
        <v>1.15</v>
      </c>
    </row>
    <row r="96">
      <c r="D96" t="inlineStr">
        <is>
          <t>PRI cover of commercial tranche</t>
        </is>
      </c>
      <c r="E96" t="inlineStr">
        <is>
          <t>%</t>
        </is>
      </c>
      <c r="F96" s="7" t="n">
        <v>90</v>
      </c>
    </row>
    <row r="97">
      <c r="D97" t="inlineStr">
        <is>
          <t>Swap fixed rate</t>
        </is>
      </c>
      <c r="E97" t="inlineStr">
        <is>
          <t>%</t>
        </is>
      </c>
      <c r="F97" s="7" t="n">
        <v>2.947</v>
      </c>
    </row>
    <row r="98">
      <c r="D98" t="inlineStr">
        <is>
          <t>ISDA 6M spread adjustment</t>
        </is>
      </c>
      <c r="E98" t="inlineStr">
        <is>
          <t>%</t>
        </is>
      </c>
      <c r="F98" s="7" t="n">
        <v>0.42826</v>
      </c>
    </row>
    <row r="99">
      <c r="D99" t="inlineStr">
        <is>
          <t>Standby facility</t>
        </is>
      </c>
      <c r="E99" t="inlineStr">
        <is>
          <t>USD m</t>
        </is>
      </c>
      <c r="F99" s="7" t="n">
        <v>46</v>
      </c>
    </row>
    <row r="100">
      <c r="D100" t="inlineStr">
        <is>
          <t>Standby commitment fee</t>
        </is>
      </c>
      <c r="E100" t="inlineStr">
        <is>
          <t>% pa</t>
        </is>
      </c>
      <c r="F100" s="7" t="n">
        <v>0.6</v>
      </c>
    </row>
    <row r="101">
      <c r="D101" t="inlineStr">
        <is>
          <t>Standby margin over tranche margin</t>
        </is>
      </c>
      <c r="E101" t="inlineStr">
        <is>
          <t>%</t>
        </is>
      </c>
      <c r="F101" s="7" t="n">
        <v>0.25</v>
      </c>
    </row>
    <row r="102">
      <c r="D102" t="inlineStr">
        <is>
          <t>Standby commercial share</t>
        </is>
      </c>
      <c r="E102" t="inlineStr">
        <is>
          <t>fraction</t>
        </is>
      </c>
      <c r="F102" s="7" t="n">
        <v>0.6</v>
      </c>
    </row>
    <row r="103">
      <c r="D103" t="inlineStr">
        <is>
          <t>Contingent equity</t>
        </is>
      </c>
      <c r="E103" t="inlineStr">
        <is>
          <t>USD m</t>
        </is>
      </c>
      <c r="F103" s="7" t="n">
        <v>15.4</v>
      </c>
    </row>
    <row r="104">
      <c r="D104" t="inlineStr">
        <is>
          <t>Shareholder loan rate</t>
        </is>
      </c>
      <c r="E104" t="inlineStr">
        <is>
          <t>% pa</t>
        </is>
      </c>
      <c r="F104" s="7" t="n">
        <v>9.5</v>
      </c>
    </row>
    <row r="105">
      <c r="D105" t="inlineStr">
        <is>
          <t>Gearing cap</t>
        </is>
      </c>
      <c r="E105" t="inlineStr">
        <is>
          <t>fraction</t>
        </is>
      </c>
      <c r="F105" s="7" t="n">
        <v>0.75</v>
      </c>
    </row>
    <row r="106">
      <c r="D106" t="inlineStr">
        <is>
          <t>Sizing DSCR target</t>
        </is>
      </c>
      <c r="E106" t="inlineStr">
        <is>
          <t>x</t>
        </is>
      </c>
      <c r="F106" s="7" t="n">
        <v>1.35</v>
      </c>
    </row>
    <row r="107">
      <c r="D107" t="inlineStr">
        <is>
          <t>Agency and account fees</t>
        </is>
      </c>
      <c r="E107" t="inlineStr">
        <is>
          <t>USD m pa</t>
        </is>
      </c>
      <c r="F107" s="7" t="n">
        <v>0.255</v>
      </c>
    </row>
    <row r="108">
      <c r="D108" t="inlineStr">
        <is>
          <t>Lock-up historic DSCR</t>
        </is>
      </c>
      <c r="E108" t="inlineStr">
        <is>
          <t>x</t>
        </is>
      </c>
      <c r="F108" s="7" t="n">
        <v>1.2</v>
      </c>
    </row>
    <row r="109">
      <c r="D109" t="inlineStr">
        <is>
          <t>Event of default DSCR</t>
        </is>
      </c>
      <c r="E109" t="inlineStr">
        <is>
          <t>x</t>
        </is>
      </c>
      <c r="F109" s="7" t="n">
        <v>1.1</v>
      </c>
    </row>
    <row r="110">
      <c r="D110" t="inlineStr">
        <is>
          <t>Waiver release DSCR (two consecutive tests)</t>
        </is>
      </c>
      <c r="E110" t="inlineStr">
        <is>
          <t>x</t>
        </is>
      </c>
      <c r="F110" s="7" t="n">
        <v>1.25</v>
      </c>
    </row>
    <row r="111">
      <c r="D111" t="inlineStr">
        <is>
          <t>Soft mini-perm sweep share (from 2027)</t>
        </is>
      </c>
      <c r="E111" t="inlineStr">
        <is>
          <t>fraction</t>
        </is>
      </c>
      <c r="F111" s="7" t="n">
        <v>0.5</v>
      </c>
    </row>
    <row r="112">
      <c r="B112" s="2" t="inlineStr">
        <is>
          <t>Contract terms fixed at financial close (from the FC base sizing run)</t>
        </is>
      </c>
    </row>
    <row r="113">
      <c r="D113" t="inlineStr">
        <is>
          <t>Senior debt commitment (total, 4 tranches)</t>
        </is>
      </c>
      <c r="E113" t="inlineStr">
        <is>
          <t>USD m</t>
        </is>
      </c>
      <c r="F113" s="7" t="n">
        <v>633.2559755427742</v>
      </c>
    </row>
    <row r="114">
      <c r="D114" t="inlineStr">
        <is>
          <t>Equity commitment (base, incl. LNTP)</t>
        </is>
      </c>
      <c r="E114" t="inlineStr">
        <is>
          <t>USD m</t>
        </is>
      </c>
      <c r="F114" s="7" t="n">
        <v>221.8337675840513</v>
      </c>
    </row>
    <row r="115">
      <c r="B115" s="2" t="inlineStr">
        <is>
          <t>Plant and PPA</t>
        </is>
      </c>
    </row>
    <row r="116">
      <c r="D116" t="inlineStr">
        <is>
          <t>Contracted capacity (FC)</t>
        </is>
      </c>
      <c r="E116" t="inlineStr">
        <is>
          <t>MW</t>
        </is>
      </c>
      <c r="F116" s="7" t="n">
        <v>588.4</v>
      </c>
    </row>
    <row r="117">
      <c r="D117" t="inlineStr">
        <is>
          <t>Contracted capacity after tests</t>
        </is>
      </c>
      <c r="E117" t="inlineStr">
        <is>
          <t>MW</t>
        </is>
      </c>
      <c r="F117" s="7" t="n">
        <v>581.9</v>
      </c>
    </row>
    <row r="118">
      <c r="D118" t="inlineStr">
        <is>
          <t>Guaranteed net heat rate</t>
        </is>
      </c>
      <c r="E118" t="inlineStr">
        <is>
          <t>kJ/kWh</t>
        </is>
      </c>
      <c r="F118" s="7" t="n">
        <v>6261</v>
      </c>
    </row>
    <row r="119">
      <c r="D119" t="inlineStr">
        <is>
          <t>Tested net heat rate</t>
        </is>
      </c>
      <c r="E119" t="inlineStr">
        <is>
          <t>kJ/kWh</t>
        </is>
      </c>
      <c r="F119" s="7" t="n">
        <v>6286</v>
      </c>
    </row>
    <row r="120">
      <c r="D120" t="inlineStr">
        <is>
          <t>PPA contracted heat rate</t>
        </is>
      </c>
      <c r="E120" t="inlineStr">
        <is>
          <t>kJ/kWh</t>
        </is>
      </c>
      <c r="F120" s="7" t="n">
        <v>6323</v>
      </c>
    </row>
    <row r="121">
      <c r="D121" t="inlineStr">
        <is>
          <t>Contracted HR degradation allowance</t>
        </is>
      </c>
      <c r="E121" t="inlineStr">
        <is>
          <t>% pa</t>
        </is>
      </c>
      <c r="F121" s="7" t="n">
        <v>0.1</v>
      </c>
    </row>
    <row r="122">
      <c r="D122" t="inlineStr">
        <is>
          <t>Average part-load penalty</t>
        </is>
      </c>
      <c r="E122" t="inlineStr">
        <is>
          <t>%</t>
        </is>
      </c>
      <c r="F122" s="7" t="n">
        <v>2.3</v>
      </c>
    </row>
    <row r="123">
      <c r="D123" t="inlineStr">
        <is>
          <t>HHV/LHV ratio</t>
        </is>
      </c>
      <c r="E123" t="inlineStr">
        <is>
          <t>factor</t>
        </is>
      </c>
      <c r="F123" s="7" t="n">
        <v>1.108</v>
      </c>
    </row>
    <row r="124">
      <c r="D124" t="inlineStr">
        <is>
          <t>kJ per MMBtu</t>
        </is>
      </c>
      <c r="E124" t="inlineStr">
        <is>
          <t>kJ</t>
        </is>
      </c>
      <c r="F124" s="7" t="n">
        <v>1055056</v>
      </c>
    </row>
    <row r="125">
      <c r="D125" t="inlineStr">
        <is>
          <t>Output degradation, non-recoverable</t>
        </is>
      </c>
      <c r="E125" t="inlineStr">
        <is>
          <t>% pa</t>
        </is>
      </c>
      <c r="F125" s="7" t="n">
        <v>0.15</v>
      </c>
    </row>
    <row r="126">
      <c r="D126" t="inlineStr">
        <is>
          <t>Output degradation, recoverable average</t>
        </is>
      </c>
      <c r="E126" t="inlineStr">
        <is>
          <t>%</t>
        </is>
      </c>
      <c r="F126" s="7" t="n">
        <v>1</v>
      </c>
    </row>
    <row r="127">
      <c r="D127" t="inlineStr">
        <is>
          <t>Heat-rate degradation, non-recoverable</t>
        </is>
      </c>
      <c r="E127" t="inlineStr">
        <is>
          <t>% pa</t>
        </is>
      </c>
      <c r="F127" s="7" t="n">
        <v>0.12</v>
      </c>
    </row>
    <row r="128">
      <c r="D128" t="inlineStr">
        <is>
          <t>Heat-rate degradation, recoverable average</t>
        </is>
      </c>
      <c r="E128" t="inlineStr">
        <is>
          <t>%</t>
        </is>
      </c>
      <c r="F128" s="7" t="n">
        <v>0.8</v>
      </c>
    </row>
    <row r="129">
      <c r="D129" t="inlineStr">
        <is>
          <t>GT operating hours per year</t>
        </is>
      </c>
      <c r="E129" t="inlineStr">
        <is>
          <t>h</t>
        </is>
      </c>
      <c r="F129" s="7" t="n">
        <v>8059</v>
      </c>
    </row>
    <row r="130">
      <c r="D130" t="inlineStr">
        <is>
          <t>GT starts per year</t>
        </is>
      </c>
      <c r="E130" t="inlineStr">
        <is>
          <t>starts</t>
        </is>
      </c>
      <c r="F130" s="7" t="n">
        <v>38</v>
      </c>
    </row>
    <row r="131">
      <c r="D131" t="inlineStr">
        <is>
          <t>Base dispatch for GT hours</t>
        </is>
      </c>
      <c r="E131" t="inlineStr">
        <is>
          <t>%</t>
        </is>
      </c>
      <c r="F131" s="7" t="n">
        <v>76.5</v>
      </c>
    </row>
    <row r="132">
      <c r="D132" t="inlineStr">
        <is>
          <t>EOH per start</t>
        </is>
      </c>
      <c r="E132" t="inlineStr">
        <is>
          <t>h</t>
        </is>
      </c>
      <c r="F132" s="7" t="n">
        <v>10</v>
      </c>
    </row>
    <row r="133">
      <c r="D133" t="inlineStr">
        <is>
          <t>PPA availability target</t>
        </is>
      </c>
      <c r="E133" t="inlineStr">
        <is>
          <t>%</t>
        </is>
      </c>
      <c r="F133" s="7" t="n">
        <v>90</v>
      </c>
    </row>
    <row r="134">
      <c r="D134" t="inlineStr">
        <is>
          <t>Capital charge (Nov 2016 prices)</t>
        </is>
      </c>
      <c r="E134" t="inlineStr">
        <is>
          <t>USD/kW-month</t>
        </is>
      </c>
      <c r="F134" s="7" t="n">
        <v>14.36</v>
      </c>
    </row>
    <row r="135">
      <c r="D135" t="inlineStr">
        <is>
          <t>Capital charge indexed share</t>
        </is>
      </c>
      <c r="E135" t="inlineStr">
        <is>
          <t>fraction</t>
        </is>
      </c>
      <c r="F135" s="7" t="n">
        <v>0.2</v>
      </c>
    </row>
    <row r="136">
      <c r="D136" t="inlineStr">
        <is>
          <t>Fixed O&amp;M charge</t>
        </is>
      </c>
      <c r="E136" t="inlineStr">
        <is>
          <t>USD/kW-month</t>
        </is>
      </c>
      <c r="F136" s="7" t="n">
        <v>2.31</v>
      </c>
    </row>
    <row r="137">
      <c r="D137" t="inlineStr">
        <is>
          <t>Fixed O&amp;M US CPI share</t>
        </is>
      </c>
      <c r="E137" t="inlineStr">
        <is>
          <t>fraction</t>
        </is>
      </c>
      <c r="F137" s="7" t="n">
        <v>0.62</v>
      </c>
    </row>
    <row r="138">
      <c r="D138" t="inlineStr">
        <is>
          <t>Bid base FX rate</t>
        </is>
      </c>
      <c r="E138" t="inlineStr">
        <is>
          <t>KCR/USD</t>
        </is>
      </c>
      <c r="F138" s="7" t="n">
        <v>462.35</v>
      </c>
    </row>
    <row r="139">
      <c r="D139" t="inlineStr">
        <is>
          <t>Variable O&amp;M charge</t>
        </is>
      </c>
      <c r="E139" t="inlineStr">
        <is>
          <t>USD/MWh</t>
        </is>
      </c>
      <c r="F139" s="7" t="n">
        <v>3.86</v>
      </c>
    </row>
    <row r="140">
      <c r="D140" t="inlineStr">
        <is>
          <t>VOM US CPI share</t>
        </is>
      </c>
      <c r="E140" t="inlineStr">
        <is>
          <t>fraction</t>
        </is>
      </c>
      <c r="F140" s="7" t="n">
        <v>0.7</v>
      </c>
    </row>
    <row r="141">
      <c r="B141" s="2" t="inlineStr">
        <is>
          <t>Fuel and transport</t>
        </is>
      </c>
    </row>
    <row r="142">
      <c r="D142" t="inlineStr">
        <is>
          <t>GSA gas price 2018</t>
        </is>
      </c>
      <c r="E142" t="inlineStr">
        <is>
          <t>USD/MMBtu</t>
        </is>
      </c>
      <c r="F142" s="7" t="n">
        <v>5.86</v>
      </c>
    </row>
    <row r="143">
      <c r="D143" t="inlineStr">
        <is>
          <t>GSA escalation</t>
        </is>
      </c>
      <c r="E143" t="inlineStr">
        <is>
          <t>% pa</t>
        </is>
      </c>
      <c r="F143" s="7" t="n">
        <v>2</v>
      </c>
    </row>
    <row r="144">
      <c r="D144" t="inlineStr">
        <is>
          <t>Daily contract quantity</t>
        </is>
      </c>
      <c r="E144" t="inlineStr">
        <is>
          <t>MMBtu/d</t>
        </is>
      </c>
      <c r="F144" s="7" t="n">
        <v>72400</v>
      </c>
    </row>
    <row r="145">
      <c r="D145" t="inlineStr">
        <is>
          <t>Take-or-pay level</t>
        </is>
      </c>
      <c r="E145" t="inlineStr">
        <is>
          <t>fraction</t>
        </is>
      </c>
      <c r="F145" s="7" t="n">
        <v>0.8</v>
      </c>
    </row>
    <row r="146">
      <c r="D146" t="inlineStr">
        <is>
          <t>GTA reserved capacity</t>
        </is>
      </c>
      <c r="E146" t="inlineStr">
        <is>
          <t>MMBtu/d</t>
        </is>
      </c>
      <c r="F146" s="7" t="n">
        <v>96500</v>
      </c>
    </row>
    <row r="147">
      <c r="D147" t="inlineStr">
        <is>
          <t>GTA reservation charge 2018</t>
        </is>
      </c>
      <c r="E147" t="inlineStr">
        <is>
          <t>USD/MMBtu</t>
        </is>
      </c>
      <c r="F147" s="7" t="n">
        <v>0.62</v>
      </c>
    </row>
    <row r="148">
      <c r="D148" t="inlineStr">
        <is>
          <t>GTA commodity charge 2018</t>
        </is>
      </c>
      <c r="E148" t="inlineStr">
        <is>
          <t>USD/MMBtu</t>
        </is>
      </c>
      <c r="F148" s="7" t="n">
        <v>0.19</v>
      </c>
    </row>
    <row r="149">
      <c r="D149" t="inlineStr">
        <is>
          <t>GTA escalation</t>
        </is>
      </c>
      <c r="E149" t="inlineStr">
        <is>
          <t>% pa</t>
        </is>
      </c>
      <c r="F149" s="7" t="n">
        <v>1.5</v>
      </c>
    </row>
    <row r="150">
      <c r="B150" s="2" t="inlineStr">
        <is>
          <t>Operating costs (2018 prices)</t>
        </is>
      </c>
    </row>
    <row r="151">
      <c r="D151" t="inlineStr">
        <is>
          <t>O&amp;M fixed fee</t>
        </is>
      </c>
      <c r="E151" t="inlineStr">
        <is>
          <t>USD m pa</t>
        </is>
      </c>
      <c r="F151" s="7" t="n">
        <v>7.92</v>
      </c>
    </row>
    <row r="152">
      <c r="D152" t="inlineStr">
        <is>
          <t>O&amp;M USD share</t>
        </is>
      </c>
      <c r="E152" t="inlineStr">
        <is>
          <t>fraction</t>
        </is>
      </c>
      <c r="F152" s="7" t="n">
        <v>0.65</v>
      </c>
    </row>
    <row r="153">
      <c r="D153" t="inlineStr">
        <is>
          <t>KCR conversion rate for 2018-price local costs</t>
        </is>
      </c>
      <c r="E153" t="inlineStr">
        <is>
          <t>KCR/USD</t>
        </is>
      </c>
      <c r="F153" s="7" t="n">
        <v>516.8</v>
      </c>
    </row>
    <row r="154">
      <c r="D154" t="inlineStr">
        <is>
          <t>O&amp;M availability incentive (max)</t>
        </is>
      </c>
      <c r="E154" t="inlineStr">
        <is>
          <t>USD m pa</t>
        </is>
      </c>
      <c r="F154" s="7" t="n">
        <v>0.6</v>
      </c>
    </row>
    <row r="155">
      <c r="D155" t="inlineStr">
        <is>
          <t>LTSA fixed fee</t>
        </is>
      </c>
      <c r="E155" t="inlineStr">
        <is>
          <t>USD m pa</t>
        </is>
      </c>
      <c r="F155" s="7" t="n">
        <v>2.64</v>
      </c>
    </row>
    <row r="156">
      <c r="D156" t="inlineStr">
        <is>
          <t>LTSA variable fee</t>
        </is>
      </c>
      <c r="E156" t="inlineStr">
        <is>
          <t>USD/EOH/GT</t>
        </is>
      </c>
      <c r="F156" s="7" t="n">
        <v>486</v>
      </c>
    </row>
    <row r="157">
      <c r="D157" t="inlineStr">
        <is>
          <t>Operational insurance</t>
        </is>
      </c>
      <c r="E157" t="inlineStr">
        <is>
          <t>USD m pa</t>
        </is>
      </c>
      <c r="F157" s="7" t="n">
        <v>4.37</v>
      </c>
    </row>
    <row r="158">
      <c r="D158" t="inlineStr">
        <is>
          <t>Insurance market step-up (actual, from 2022H2)</t>
        </is>
      </c>
      <c r="E158" t="inlineStr">
        <is>
          <t>fraction</t>
        </is>
      </c>
      <c r="F158" s="7" t="n">
        <v>0.18</v>
      </c>
    </row>
    <row r="159">
      <c r="D159" t="inlineStr">
        <is>
          <t>Project company G&amp;A</t>
        </is>
      </c>
      <c r="E159" t="inlineStr">
        <is>
          <t>USD m pa</t>
        </is>
      </c>
      <c r="F159" s="7" t="n">
        <v>3.18</v>
      </c>
    </row>
    <row r="160">
      <c r="D160" t="inlineStr">
        <is>
          <t>Land lease and permits</t>
        </is>
      </c>
      <c r="E160" t="inlineStr">
        <is>
          <t>KCR m pa</t>
        </is>
      </c>
      <c r="F160" s="7" t="n">
        <v>368</v>
      </c>
    </row>
    <row r="161">
      <c r="D161" t="inlineStr">
        <is>
          <t>Community fund + OREK levy</t>
        </is>
      </c>
      <c r="E161" t="inlineStr">
        <is>
          <t>% of non-fuel revenue</t>
        </is>
      </c>
      <c r="F161" s="7" t="n">
        <v>0.55</v>
      </c>
    </row>
    <row r="162">
      <c r="D162" t="inlineStr">
        <is>
          <t>Variable consumables</t>
        </is>
      </c>
      <c r="E162" t="inlineStr">
        <is>
          <t>USD/MWh</t>
        </is>
      </c>
      <c r="F162" s="7" t="n">
        <v>1.08</v>
      </c>
    </row>
    <row r="163">
      <c r="D163" t="inlineStr">
        <is>
          <t>ABDB PRG fee (0.75% x USD 41.5m)</t>
        </is>
      </c>
      <c r="E163" t="inlineStr">
        <is>
          <t>USD m pa</t>
        </is>
      </c>
      <c r="F163" s="7" t="n">
        <v>0.31125</v>
      </c>
    </row>
    <row r="164">
      <c r="D164" t="inlineStr">
        <is>
          <t>Major maintenance outside LTSA (OY8, 16, 24)</t>
        </is>
      </c>
      <c r="E164" t="inlineStr">
        <is>
          <t>USD m</t>
        </is>
      </c>
      <c r="F164" s="7" t="n">
        <v>9.470000000000001</v>
      </c>
    </row>
    <row r="165">
      <c r="D165" t="inlineStr">
        <is>
          <t>HRSG/BOP works outside LTSA (OY4, 12, 20)</t>
        </is>
      </c>
      <c r="E165" t="inlineStr">
        <is>
          <t>USD m</t>
        </is>
      </c>
      <c r="F165" s="7" t="n">
        <v>2.18</v>
      </c>
    </row>
    <row r="166">
      <c r="D166" t="inlineStr">
        <is>
          <t>Handback reserve from OY20</t>
        </is>
      </c>
      <c r="E166" t="inlineStr">
        <is>
          <t>USD m pa</t>
        </is>
      </c>
      <c r="F166" s="7" t="n">
        <v>1.85</v>
      </c>
    </row>
    <row r="167">
      <c r="B167" s="2" t="inlineStr">
        <is>
          <t>Working capital</t>
        </is>
      </c>
    </row>
    <row r="168">
      <c r="D168" t="inlineStr">
        <is>
          <t>Receivable days</t>
        </is>
      </c>
      <c r="E168" t="inlineStr">
        <is>
          <t>days</t>
        </is>
      </c>
      <c r="F168" s="7" t="n">
        <v>45</v>
      </c>
    </row>
    <row r="169">
      <c r="D169" t="inlineStr">
        <is>
          <t>Gas payable days</t>
        </is>
      </c>
      <c r="E169" t="inlineStr">
        <is>
          <t>days</t>
        </is>
      </c>
      <c r="F169" s="7" t="n">
        <v>45</v>
      </c>
    </row>
    <row r="170">
      <c r="D170" t="inlineStr">
        <is>
          <t>GTA payable days</t>
        </is>
      </c>
      <c r="E170" t="inlineStr">
        <is>
          <t>days</t>
        </is>
      </c>
      <c r="F170" s="7" t="n">
        <v>30</v>
      </c>
    </row>
    <row r="171">
      <c r="D171" t="inlineStr">
        <is>
          <t>O&amp;M/LTSA payable days</t>
        </is>
      </c>
      <c r="E171" t="inlineStr">
        <is>
          <t>days</t>
        </is>
      </c>
      <c r="F171" s="7" t="n">
        <v>30</v>
      </c>
    </row>
    <row r="172">
      <c r="D172" t="inlineStr">
        <is>
          <t>Other payable days</t>
        </is>
      </c>
      <c r="E172" t="inlineStr">
        <is>
          <t>days</t>
        </is>
      </c>
      <c r="F172" s="7" t="n">
        <v>30</v>
      </c>
    </row>
    <row r="173">
      <c r="B173" s="2" t="inlineStr">
        <is>
          <t>Tax</t>
        </is>
      </c>
    </row>
    <row r="174">
      <c r="D174" t="inlineStr">
        <is>
          <t>Corporate income tax</t>
        </is>
      </c>
      <c r="E174" t="inlineStr">
        <is>
          <t>%</t>
        </is>
      </c>
      <c r="F174" s="7" t="n">
        <v>30</v>
      </c>
    </row>
    <row r="175">
      <c r="D175" t="inlineStr">
        <is>
          <t>Reduced rate OY6-OY8</t>
        </is>
      </c>
      <c r="E175" t="inlineStr">
        <is>
          <t>%</t>
        </is>
      </c>
      <c r="F175" s="7" t="n">
        <v>15</v>
      </c>
    </row>
    <row r="176">
      <c r="D176" t="inlineStr">
        <is>
          <t>Minimum turnover tax (non-fuel revenue, from OY6)</t>
        </is>
      </c>
      <c r="E176" t="inlineStr">
        <is>
          <t>%</t>
        </is>
      </c>
      <c r="F176" s="7" t="n">
        <v>0.5</v>
      </c>
    </row>
    <row r="177">
      <c r="D177" t="inlineStr">
        <is>
          <t>Plant share of capitalized cost</t>
        </is>
      </c>
      <c r="E177" t="inlineStr">
        <is>
          <t>fraction</t>
        </is>
      </c>
      <c r="F177" s="7" t="n">
        <v>0.92</v>
      </c>
    </row>
    <row r="178">
      <c r="D178" t="inlineStr">
        <is>
          <t>Plant life</t>
        </is>
      </c>
      <c r="E178" t="inlineStr">
        <is>
          <t>months</t>
        </is>
      </c>
      <c r="F178" s="7" t="n">
        <v>240</v>
      </c>
    </row>
    <row r="179">
      <c r="D179" t="inlineStr">
        <is>
          <t>Buildings share</t>
        </is>
      </c>
      <c r="E179" t="inlineStr">
        <is>
          <t>fraction</t>
        </is>
      </c>
      <c r="F179" s="7" t="n">
        <v>0.05</v>
      </c>
    </row>
    <row r="180">
      <c r="D180" t="inlineStr">
        <is>
          <t>Buildings life</t>
        </is>
      </c>
      <c r="E180" t="inlineStr">
        <is>
          <t>months</t>
        </is>
      </c>
      <c r="F180" s="7" t="n">
        <v>300</v>
      </c>
    </row>
    <row r="181">
      <c r="D181" t="inlineStr">
        <is>
          <t>Intangibles share</t>
        </is>
      </c>
      <c r="E181" t="inlineStr">
        <is>
          <t>fraction</t>
        </is>
      </c>
      <c r="F181" s="7" t="n">
        <v>0.03</v>
      </c>
    </row>
    <row r="182">
      <c r="D182" t="inlineStr">
        <is>
          <t>Intangibles life</t>
        </is>
      </c>
      <c r="E182" t="inlineStr">
        <is>
          <t>months</t>
        </is>
      </c>
      <c r="F182" s="7" t="n">
        <v>60</v>
      </c>
    </row>
    <row r="183">
      <c r="D183" t="inlineStr">
        <is>
          <t>Thin capitalization ratio (SHL to equity)</t>
        </is>
      </c>
      <c r="E183" t="inlineStr">
        <is>
          <t>x</t>
        </is>
      </c>
      <c r="F183" s="7" t="n">
        <v>3</v>
      </c>
    </row>
    <row r="184">
      <c r="D184" t="inlineStr">
        <is>
          <t>Deferred tax rate</t>
        </is>
      </c>
      <c r="E184" t="inlineStr">
        <is>
          <t>%</t>
        </is>
      </c>
      <c r="F184" s="7" t="n">
        <v>30</v>
      </c>
    </row>
    <row r="185">
      <c r="B185" s="2" t="inlineStr">
        <is>
          <t>Timing and event dates (all dates are inputs; flags on the Time sheet read them)</t>
        </is>
      </c>
    </row>
    <row r="186">
      <c r="D186" t="inlineStr">
        <is>
          <t>LNTP payment date</t>
        </is>
      </c>
      <c r="E186" t="inlineStr">
        <is>
          <t>date</t>
        </is>
      </c>
      <c r="F186" s="8" t="n">
        <v>43136</v>
      </c>
    </row>
    <row r="187">
      <c r="D187" t="inlineStr">
        <is>
          <t>Financial close</t>
        </is>
      </c>
      <c r="E187" t="inlineStr">
        <is>
          <t>date</t>
        </is>
      </c>
      <c r="F187" s="8" t="n">
        <v>43298</v>
      </c>
    </row>
    <row r="188">
      <c r="D188" t="inlineStr">
        <is>
          <t>Notice to proceed (Month 1 start)</t>
        </is>
      </c>
      <c r="E188" t="inlineStr">
        <is>
          <t>date</t>
        </is>
      </c>
      <c r="F188" s="8" t="n">
        <v>43313</v>
      </c>
    </row>
    <row r="189">
      <c r="D189" t="inlineStr">
        <is>
          <t>First semiannual period start</t>
        </is>
      </c>
      <c r="E189" t="inlineStr">
        <is>
          <t>date</t>
        </is>
      </c>
      <c r="F189" s="8" t="n">
        <v>43282</v>
      </c>
    </row>
    <row r="190">
      <c r="D190" t="inlineStr">
        <is>
          <t>COD, FC base</t>
        </is>
      </c>
      <c r="E190" t="inlineStr">
        <is>
          <t>date</t>
        </is>
      </c>
      <c r="F190" s="8" t="n">
        <v>44317</v>
      </c>
    </row>
    <row r="191">
      <c r="D191" t="inlineStr">
        <is>
          <t>COD, actual</t>
        </is>
      </c>
      <c r="E191" t="inlineStr">
        <is>
          <t>date</t>
        </is>
      </c>
      <c r="F191" s="8" t="n">
        <v>44531</v>
      </c>
    </row>
    <row r="192">
      <c r="D192" t="inlineStr">
        <is>
          <t>Final maturity, bank debt</t>
        </is>
      </c>
      <c r="E192" t="inlineStr">
        <is>
          <t>date</t>
        </is>
      </c>
      <c r="F192" s="8" t="n">
        <v>49125</v>
      </c>
    </row>
    <row r="193">
      <c r="D193" t="inlineStr">
        <is>
          <t>Start of devaluation, payment-delay and base-rate sensitivities</t>
        </is>
      </c>
      <c r="E193" t="inlineStr">
        <is>
          <t>date</t>
        </is>
      </c>
      <c r="F193" s="8" t="n">
        <v>44562</v>
      </c>
    </row>
    <row r="194">
      <c r="D194" t="inlineStr">
        <is>
          <t>COD re-forecast: first projected period</t>
        </is>
      </c>
      <c r="E194" t="inlineStr">
        <is>
          <t>date</t>
        </is>
      </c>
      <c r="F194" s="8" t="n">
        <v>44562</v>
      </c>
    </row>
    <row r="195">
      <c r="D195" t="inlineStr">
        <is>
          <t>Insurance step-up from</t>
        </is>
      </c>
      <c r="E195" t="inlineStr">
        <is>
          <t>date</t>
        </is>
      </c>
      <c r="F195" s="8" t="n">
        <v>44743</v>
      </c>
    </row>
    <row r="196">
      <c r="D196" t="inlineStr">
        <is>
          <t>Loans switch to Term SOFR + CAS</t>
        </is>
      </c>
      <c r="E196" t="inlineStr">
        <is>
          <t>date</t>
        </is>
      </c>
      <c r="F196" s="8" t="n">
        <v>44927</v>
      </c>
    </row>
    <row r="197">
      <c r="D197" t="inlineStr">
        <is>
          <t>Arrears settlement agreement</t>
        </is>
      </c>
      <c r="E197" t="inlineStr">
        <is>
          <t>date</t>
        </is>
      </c>
      <c r="F197" s="8" t="n">
        <v>45372</v>
      </c>
    </row>
    <row r="198">
      <c r="D198" t="inlineStr">
        <is>
          <t>Performance LD prepayment date</t>
        </is>
      </c>
      <c r="E198" t="inlineStr">
        <is>
          <t>date</t>
        </is>
      </c>
      <c r="F198" s="8" t="n">
        <v>44742</v>
      </c>
    </row>
    <row r="199">
      <c r="D199" t="inlineStr">
        <is>
          <t>First waived test date</t>
        </is>
      </c>
      <c r="E199" t="inlineStr">
        <is>
          <t>date</t>
        </is>
      </c>
      <c r="F199" s="8" t="n">
        <v>45107</v>
      </c>
    </row>
    <row r="200">
      <c r="D200" t="inlineStr">
        <is>
          <t>Second waived test date (principal deferral)</t>
        </is>
      </c>
      <c r="E200" t="inlineStr">
        <is>
          <t>date</t>
        </is>
      </c>
      <c r="F200" s="8" t="n">
        <v>45291</v>
      </c>
    </row>
    <row r="201">
      <c r="D201" t="inlineStr">
        <is>
          <t>Margin uplift from</t>
        </is>
      </c>
      <c r="E201" t="inlineStr">
        <is>
          <t>date</t>
        </is>
      </c>
      <c r="F201" s="8" t="n">
        <v>45108</v>
      </c>
    </row>
    <row r="202">
      <c r="D202" t="inlineStr">
        <is>
          <t>Margin uplift to</t>
        </is>
      </c>
      <c r="E202" t="inlineStr">
        <is>
          <t>date</t>
        </is>
      </c>
      <c r="F202" s="8" t="n">
        <v>45657</v>
      </c>
    </row>
    <row r="203">
      <c r="D203" t="inlineStr">
        <is>
          <t>First deferred repayment</t>
        </is>
      </c>
      <c r="E203" t="inlineStr">
        <is>
          <t>date</t>
        </is>
      </c>
      <c r="F203" s="8" t="n">
        <v>45473</v>
      </c>
    </row>
    <row r="204">
      <c r="D204" t="inlineStr">
        <is>
          <t>Last deferred repayment</t>
        </is>
      </c>
      <c r="E204" t="inlineStr">
        <is>
          <t>date</t>
        </is>
      </c>
      <c r="F204" s="8" t="n">
        <v>46022</v>
      </c>
    </row>
    <row r="205">
      <c r="D205" t="inlineStr">
        <is>
          <t>Refinancing settlement</t>
        </is>
      </c>
      <c r="E205" t="inlineStr">
        <is>
          <t>date</t>
        </is>
      </c>
      <c r="F205" s="8" t="n">
        <v>45838</v>
      </c>
    </row>
    <row r="206">
      <c r="D206" t="inlineStr">
        <is>
          <t>Soft mini-perm sweep from</t>
        </is>
      </c>
      <c r="E206" t="inlineStr">
        <is>
          <t>date</t>
        </is>
      </c>
      <c r="F206" s="8" t="n">
        <v>46388</v>
      </c>
    </row>
    <row r="207">
      <c r="D207" t="inlineStr">
        <is>
          <t>Commercial margin step 1 from</t>
        </is>
      </c>
      <c r="E207" t="inlineStr">
        <is>
          <t>date</t>
        </is>
      </c>
      <c r="F207" s="8" t="n">
        <v>46023</v>
      </c>
    </row>
    <row r="208">
      <c r="D208" t="inlineStr">
        <is>
          <t>Commercial margin step 2 from</t>
        </is>
      </c>
      <c r="E208" t="inlineStr">
        <is>
          <t>date</t>
        </is>
      </c>
      <c r="F208" s="8" t="n">
        <v>47484</v>
      </c>
    </row>
    <row r="209">
      <c r="B209" s="2" t="inlineStr">
        <is>
          <t>Structural constants (FAST: no numbers inside calculation formulas)</t>
        </is>
      </c>
    </row>
    <row r="210">
      <c r="D210" t="inlineStr">
        <is>
          <t>PPA term</t>
        </is>
      </c>
      <c r="E210" t="inlineStr">
        <is>
          <t>years</t>
        </is>
      </c>
      <c r="F210" s="7" t="n">
        <v>25</v>
      </c>
    </row>
    <row r="211">
      <c r="D211" t="inlineStr">
        <is>
          <t>Length of the shock sensitivities</t>
        </is>
      </c>
      <c r="E211" t="inlineStr">
        <is>
          <t>months</t>
        </is>
      </c>
      <c r="F211" s="7" t="n">
        <v>12</v>
      </c>
    </row>
    <row r="212">
      <c r="D212" t="inlineStr">
        <is>
          <t>Mid-period offset for FC FX drift</t>
        </is>
      </c>
      <c r="E212" t="inlineStr">
        <is>
          <t>periods</t>
        </is>
      </c>
      <c r="F212" s="7" t="n">
        <v>0.5</v>
      </c>
    </row>
    <row r="213">
      <c r="D213" t="inlineStr">
        <is>
          <t>FC Kessara CPI expectation</t>
        </is>
      </c>
      <c r="E213" t="inlineStr">
        <is>
          <t>%</t>
        </is>
      </c>
      <c r="F213" s="7" t="n">
        <v>7.5</v>
      </c>
    </row>
    <row r="214">
      <c r="D214" t="inlineStr">
        <is>
          <t>FC US CPI expectation</t>
        </is>
      </c>
      <c r="E214" t="inlineStr">
        <is>
          <t>%</t>
        </is>
      </c>
      <c r="F214" s="7" t="n">
        <v>2.2</v>
      </c>
    </row>
    <row r="215">
      <c r="D215" t="inlineStr">
        <is>
          <t>Hours per month (8,760 / 12)</t>
        </is>
      </c>
      <c r="E215" t="inlineStr">
        <is>
          <t>h</t>
        </is>
      </c>
      <c r="F215" s="7" t="n">
        <v>730</v>
      </c>
    </row>
    <row r="216">
      <c r="D216" t="inlineStr">
        <is>
          <t>O&amp;M incentive zero point</t>
        </is>
      </c>
      <c r="E216" t="inlineStr">
        <is>
          <t>%</t>
        </is>
      </c>
      <c r="F216" s="7" t="n">
        <v>92</v>
      </c>
    </row>
    <row r="217">
      <c r="D217" t="inlineStr">
        <is>
          <t>O&amp;M incentive band (points to full incentive)</t>
        </is>
      </c>
      <c r="E217" t="inlineStr">
        <is>
          <t>points</t>
        </is>
      </c>
      <c r="F217" s="7" t="n">
        <v>3</v>
      </c>
    </row>
    <row r="218">
      <c r="D218" t="inlineStr">
        <is>
          <t>G&amp;A US CPI share</t>
        </is>
      </c>
      <c r="E218" t="inlineStr">
        <is>
          <t>fraction</t>
        </is>
      </c>
      <c r="F218" s="7" t="n">
        <v>0.5</v>
      </c>
    </row>
    <row r="219">
      <c r="D219" t="inlineStr">
        <is>
          <t>Consumables US CPI share</t>
        </is>
      </c>
      <c r="E219" t="inlineStr">
        <is>
          <t>fraction</t>
        </is>
      </c>
      <c r="F219" s="7" t="n">
        <v>0.7</v>
      </c>
    </row>
    <row r="220">
      <c r="D220" t="inlineStr">
        <is>
          <t>Availability profile cycle</t>
        </is>
      </c>
      <c r="E220" t="inlineStr">
        <is>
          <t>years</t>
        </is>
      </c>
      <c r="F220" s="7" t="n">
        <v>8</v>
      </c>
    </row>
    <row r="221">
      <c r="D221" t="inlineStr">
        <is>
          <t>Month of the operating year when out-of-LTSA maintenance is spent</t>
        </is>
      </c>
      <c r="E221" t="inlineStr">
        <is>
          <t>month</t>
        </is>
      </c>
      <c r="F221" s="7" t="n">
        <v>7</v>
      </c>
    </row>
    <row r="222">
      <c r="D222" t="inlineStr">
        <is>
          <t>Last operating year with out-of-LTSA maintenance</t>
        </is>
      </c>
      <c r="E222" t="inlineStr">
        <is>
          <t>OY</t>
        </is>
      </c>
      <c r="F222" s="7" t="n">
        <v>24</v>
      </c>
    </row>
    <row r="223">
      <c r="D223" t="inlineStr">
        <is>
          <t>Major overhaul cycle</t>
        </is>
      </c>
      <c r="E223" t="inlineStr">
        <is>
          <t>years</t>
        </is>
      </c>
      <c r="F223" s="7" t="n">
        <v>8</v>
      </c>
    </row>
    <row r="224">
      <c r="D224" t="inlineStr">
        <is>
          <t>HRSG/BOP works cycle</t>
        </is>
      </c>
      <c r="E224" t="inlineStr">
        <is>
          <t>years</t>
        </is>
      </c>
      <c r="F224" s="7" t="n">
        <v>4</v>
      </c>
    </row>
    <row r="225">
      <c r="D225" t="inlineStr">
        <is>
          <t>MMRA accumulation periods (window fixed at six columns)</t>
        </is>
      </c>
      <c r="E225" t="inlineStr">
        <is>
          <t>periods</t>
        </is>
      </c>
      <c r="F225" s="7" t="n">
        <v>6</v>
      </c>
    </row>
    <row r="226">
      <c r="D226" t="inlineStr">
        <is>
          <t>Months per operating period</t>
        </is>
      </c>
      <c r="E226" t="inlineStr">
        <is>
          <t>months</t>
        </is>
      </c>
      <c r="F226" s="7" t="n">
        <v>6</v>
      </c>
    </row>
    <row r="227">
      <c r="D227" t="inlineStr">
        <is>
          <t>Handback reserve from operating year</t>
        </is>
      </c>
      <c r="E227" t="inlineStr">
        <is>
          <t>OY</t>
        </is>
      </c>
      <c r="F227" s="7" t="n">
        <v>20</v>
      </c>
    </row>
    <row r="228">
      <c r="D228" t="inlineStr">
        <is>
          <t>Full tax exemption</t>
        </is>
      </c>
      <c r="E228" t="inlineStr">
        <is>
          <t>years</t>
        </is>
      </c>
      <c r="F228" s="7" t="n">
        <v>5</v>
      </c>
    </row>
    <row r="229">
      <c r="D229" t="inlineStr">
        <is>
          <t>Reduced rate to end of operating year</t>
        </is>
      </c>
      <c r="E229" t="inlineStr">
        <is>
          <t>OY</t>
        </is>
      </c>
      <c r="F229" s="7" t="n">
        <v>8</v>
      </c>
    </row>
    <row r="230">
      <c r="D230" t="inlineStr">
        <is>
          <t>Index base year (index = 100 at November)</t>
        </is>
      </c>
      <c r="E230" t="inlineStr">
        <is>
          <t>year</t>
        </is>
      </c>
      <c r="F230" s="7" t="n">
        <v>2016</v>
      </c>
    </row>
    <row r="231">
      <c r="D231" t="inlineStr">
        <is>
          <t>Index base month</t>
        </is>
      </c>
      <c r="E231" t="inlineStr">
        <is>
          <t>month</t>
        </is>
      </c>
      <c r="F231" s="7" t="n">
        <v>11</v>
      </c>
    </row>
    <row r="232">
      <c r="D232" t="inlineStr">
        <is>
          <t>Index base value</t>
        </is>
      </c>
      <c r="E232" t="inlineStr">
        <is>
          <t>index</t>
        </is>
      </c>
      <c r="F232" s="7" t="n">
        <v>100</v>
      </c>
    </row>
    <row r="233">
      <c r="D233" t="inlineStr">
        <is>
          <t>First cost reading month (September 2018)</t>
        </is>
      </c>
      <c r="E233" t="inlineStr">
        <is>
          <t>month</t>
        </is>
      </c>
      <c r="F233" s="7" t="n">
        <v>9</v>
      </c>
    </row>
    <row r="234">
      <c r="D234" t="inlineStr">
        <is>
          <t>First tariff reading month (March 2018)</t>
        </is>
      </c>
      <c r="E234" t="inlineStr">
        <is>
          <t>month</t>
        </is>
      </c>
      <c r="F234" s="7" t="n">
        <v>3</v>
      </c>
    </row>
    <row r="235">
      <c r="D235" t="inlineStr">
        <is>
          <t>2018 price base month (June 2018)</t>
        </is>
      </c>
      <c r="E235" t="inlineStr">
        <is>
          <t>month</t>
        </is>
      </c>
      <c r="F235" s="7" t="n">
        <v>6</v>
      </c>
    </row>
    <row r="236">
      <c r="D236" t="inlineStr">
        <is>
          <t>Reading months in the prior year for a January reset</t>
        </is>
      </c>
      <c r="E236" t="inlineStr">
        <is>
          <t>months</t>
        </is>
      </c>
      <c r="F236" s="7" t="n">
        <v>3</v>
      </c>
    </row>
    <row r="237">
      <c r="D237" t="inlineStr">
        <is>
          <t>FC EPC payment months</t>
        </is>
      </c>
      <c r="E237" t="inlineStr">
        <is>
          <t>months</t>
        </is>
      </c>
      <c r="F237" s="7" t="n">
        <v>33</v>
      </c>
    </row>
    <row r="238">
      <c r="D238" t="inlineStr">
        <is>
          <t>Taking-over payment</t>
        </is>
      </c>
      <c r="E238" t="inlineStr">
        <is>
          <t>% of EPC price</t>
        </is>
      </c>
      <c r="F238" s="7" t="n">
        <v>7.5</v>
      </c>
    </row>
    <row r="239">
      <c r="D239" t="inlineStr">
        <is>
          <t>Owner's cost rate per extra month (FC delay sensitivity)</t>
        </is>
      </c>
      <c r="E239" t="inlineStr">
        <is>
          <t>%</t>
        </is>
      </c>
      <c r="F239" s="7" t="n">
        <v>2.75</v>
      </c>
    </row>
    <row r="240">
      <c r="D240" t="inlineStr">
        <is>
          <t>Actual extension window: first month</t>
        </is>
      </c>
      <c r="E240" t="inlineStr">
        <is>
          <t>month</t>
        </is>
      </c>
      <c r="F240" s="7" t="n">
        <v>34</v>
      </c>
    </row>
    <row r="241">
      <c r="D241" t="inlineStr">
        <is>
          <t>Actual extension window: last month</t>
        </is>
      </c>
      <c r="E241" t="inlineStr">
        <is>
          <t>month</t>
        </is>
      </c>
      <c r="F241" s="7" t="n">
        <v>40</v>
      </c>
    </row>
    <row r="242">
      <c r="D242" t="inlineStr">
        <is>
          <t>Second insurance installment month</t>
        </is>
      </c>
      <c r="E242" t="inlineStr">
        <is>
          <t>month</t>
        </is>
      </c>
      <c r="F242" s="7" t="n">
        <v>18</v>
      </c>
    </row>
    <row r="243">
      <c r="D243" t="inlineStr">
        <is>
          <t>Insurance paid at FC</t>
        </is>
      </c>
      <c r="E243" t="inlineStr">
        <is>
          <t>fraction</t>
        </is>
      </c>
      <c r="F243" s="7" t="n">
        <v>0.85</v>
      </c>
    </row>
    <row r="244">
      <c r="D244" t="inlineStr">
        <is>
          <t>Lenders' advisors paid at FC</t>
        </is>
      </c>
      <c r="E244" t="inlineStr">
        <is>
          <t>fraction</t>
        </is>
      </c>
      <c r="F244" s="7" t="n">
        <v>0.7</v>
      </c>
    </row>
    <row r="245">
      <c r="D245" t="inlineStr">
        <is>
          <t>Month delay LDs and DSU are received</t>
        </is>
      </c>
      <c r="E245" t="inlineStr">
        <is>
          <t>month</t>
        </is>
      </c>
      <c r="F245" s="7" t="n">
        <v>40</v>
      </c>
    </row>
    <row r="246">
      <c r="D246" t="inlineStr">
        <is>
          <t>VAT refund lag</t>
        </is>
      </c>
      <c r="E246" t="inlineStr">
        <is>
          <t>months</t>
        </is>
      </c>
      <c r="F246" s="7" t="n">
        <v>9</v>
      </c>
    </row>
    <row r="247">
      <c r="D247" t="inlineStr">
        <is>
          <t>Day basis, USD loans</t>
        </is>
      </c>
      <c r="E247" t="inlineStr">
        <is>
          <t>days</t>
        </is>
      </c>
      <c r="F247" s="7" t="n">
        <v>360</v>
      </c>
    </row>
    <row r="248">
      <c r="D248" t="inlineStr">
        <is>
          <t>Day basis, KCR items, SHL, premiums</t>
        </is>
      </c>
      <c r="E248" t="inlineStr">
        <is>
          <t>days</t>
        </is>
      </c>
      <c r="F248" s="7" t="n">
        <v>365</v>
      </c>
    </row>
    <row r="249">
      <c r="D249" t="inlineStr">
        <is>
          <t>Standby share of overrun funding (rest contingent equity)</t>
        </is>
      </c>
      <c r="E249" t="inlineStr">
        <is>
          <t>fraction</t>
        </is>
      </c>
      <c r="F249" s="7" t="n">
        <v>0.75</v>
      </c>
    </row>
    <row r="250">
      <c r="D250" t="inlineStr">
        <is>
          <t>Number of deferred repayments</t>
        </is>
      </c>
      <c r="E250" t="inlineStr">
        <is>
          <t>count</t>
        </is>
      </c>
      <c r="F250" s="7" t="n">
        <v>4</v>
      </c>
    </row>
    <row r="251">
      <c r="D251" t="inlineStr">
        <is>
          <t>ECA-covered tranche cap</t>
        </is>
      </c>
      <c r="E251" t="inlineStr">
        <is>
          <t>USD m</t>
        </is>
      </c>
      <c r="F251" s="7" t="n">
        <v>224.1</v>
      </c>
    </row>
    <row r="252">
      <c r="D252" t="inlineStr">
        <is>
          <t>Equity NPV rate</t>
        </is>
      </c>
      <c r="E252" t="inlineStr">
        <is>
          <t>%</t>
        </is>
      </c>
      <c r="F252" s="7" t="n">
        <v>16</v>
      </c>
    </row>
    <row r="253">
      <c r="D253" t="inlineStr">
        <is>
          <t>Numerical zero (balances and debt service)</t>
        </is>
      </c>
      <c r="E253" t="inlineStr">
        <is>
          <t>USD m</t>
        </is>
      </c>
      <c r="F253" s="7" t="n">
        <v>1e-09</v>
      </c>
    </row>
    <row r="254">
      <c r="D254" t="inlineStr">
        <is>
          <t>Reserve tolerance</t>
        </is>
      </c>
      <c r="E254" t="inlineStr">
        <is>
          <t>USD m</t>
        </is>
      </c>
      <c r="F254" s="7" t="n">
        <v>1e-06</v>
      </c>
    </row>
    <row r="255">
      <c r="D255" t="inlineStr">
        <is>
          <t>XIRR starting guess, project IRR</t>
        </is>
      </c>
      <c r="E255" t="inlineStr">
        <is>
          <t>fraction</t>
        </is>
      </c>
      <c r="F255" s="7" t="n">
        <v>0.1</v>
      </c>
    </row>
    <row r="256">
      <c r="D256" t="inlineStr">
        <is>
          <t>Price base year for GSA and GTA escalation</t>
        </is>
      </c>
      <c r="E256" t="inlineStr">
        <is>
          <t>year</t>
        </is>
      </c>
      <c r="F256" s="7" t="n">
        <v>2018</v>
      </c>
    </row>
    <row r="257">
      <c r="D257" t="inlineStr">
        <is>
          <t>Consecutive lock-ups before the lock-up cash sweep</t>
        </is>
      </c>
      <c r="E257" t="inlineStr">
        <is>
          <t>count</t>
        </is>
      </c>
      <c r="F257" s="7" t="n">
        <v>2</v>
      </c>
    </row>
    <row r="258">
      <c r="D258" t="inlineStr">
        <is>
          <t>Number of gas turbines</t>
        </is>
      </c>
      <c r="E258" t="inlineStr">
        <is>
          <t>count</t>
        </is>
      </c>
      <c r="F258" s="7" t="n">
        <v>2</v>
      </c>
    </row>
    <row r="259">
      <c r="D259" t="inlineStr">
        <is>
          <t>Share of onshore KCR EPC payments hedged forward</t>
        </is>
      </c>
      <c r="E259" t="inlineStr">
        <is>
          <t>fraction</t>
        </is>
      </c>
      <c r="F259" s="7" t="n">
        <v>0.75</v>
      </c>
    </row>
    <row r="260">
      <c r="D260" t="inlineStr">
        <is>
          <t>Sculpting convergence tolerance (USD 1,000)</t>
        </is>
      </c>
      <c r="E260" t="inlineStr">
        <is>
          <t>USD m</t>
        </is>
      </c>
      <c r="F260" s="7" t="n">
        <v>0.001</v>
      </c>
    </row>
    <row r="261">
      <c r="B261" s="2" t="inlineStr">
        <is>
          <t>Events (actual history)</t>
        </is>
      </c>
    </row>
    <row r="262">
      <c r="D262" t="inlineStr">
        <is>
          <t>Share of SEKA arrears matched by deferred SNHK/GCK payables (calibration)</t>
        </is>
      </c>
      <c r="E262" t="inlineStr">
        <is>
          <t>fraction</t>
        </is>
      </c>
      <c r="F262" s="7" t="n">
        <v>0.8</v>
      </c>
    </row>
    <row r="263">
      <c r="D263" t="inlineStr">
        <is>
          <t>Late payment interest spread</t>
        </is>
      </c>
      <c r="E263" t="inlineStr">
        <is>
          <t>%</t>
        </is>
      </c>
      <c r="F263" s="7" t="n">
        <v>2</v>
      </c>
    </row>
    <row r="264">
      <c r="D264" t="inlineStr">
        <is>
          <t>Late payment interest received (1 - waived)</t>
        </is>
      </c>
      <c r="E264" t="inlineStr">
        <is>
          <t>fraction</t>
        </is>
      </c>
      <c r="F264" s="7" t="n">
        <v>0.6</v>
      </c>
    </row>
    <row r="265">
      <c r="D265" t="inlineStr">
        <is>
          <t>EPC delay LDs received Nov 2021</t>
        </is>
      </c>
      <c r="E265" t="inlineStr">
        <is>
          <t>USD m</t>
        </is>
      </c>
      <c r="F265" s="7" t="n">
        <v>10.1393</v>
      </c>
    </row>
    <row r="266">
      <c r="D266" t="inlineStr">
        <is>
          <t>DSU insurance proceeds Nov 2021</t>
        </is>
      </c>
      <c r="E266" t="inlineStr">
        <is>
          <t>USD m</t>
        </is>
      </c>
      <c r="F266" s="7" t="n">
        <v>7.0804</v>
      </c>
    </row>
    <row r="267">
      <c r="D267" t="inlineStr">
        <is>
          <t>Performance LDs (prepay June 2022)</t>
        </is>
      </c>
      <c r="E267" t="inlineStr">
        <is>
          <t>USD m</t>
        </is>
      </c>
      <c r="F267" s="7" t="n">
        <v>18.485</v>
      </c>
    </row>
    <row r="268">
      <c r="D268" t="inlineStr">
        <is>
          <t>Waiver fee</t>
        </is>
      </c>
      <c r="E268" t="inlineStr">
        <is>
          <t>% of senior debt</t>
        </is>
      </c>
      <c r="F268" s="7" t="n">
        <v>0.25</v>
      </c>
    </row>
    <row r="269">
      <c r="D269" t="inlineStr">
        <is>
          <t>Margin uplift 2023H2-2024H2</t>
        </is>
      </c>
      <c r="E269" t="inlineStr">
        <is>
          <t>%</t>
        </is>
      </c>
      <c r="F269" s="7" t="n">
        <v>0.5</v>
      </c>
    </row>
    <row r="270">
      <c r="D270" t="inlineStr">
        <is>
          <t>Deferred share of 2023-12-31 principal</t>
        </is>
      </c>
      <c r="E270" t="inlineStr">
        <is>
          <t>fraction</t>
        </is>
      </c>
      <c r="F270" s="7" t="n">
        <v>0.6</v>
      </c>
    </row>
    <row r="271">
      <c r="D271" t="inlineStr">
        <is>
          <t>Bond coupon</t>
        </is>
      </c>
      <c r="E271" t="inlineStr">
        <is>
          <t>%</t>
        </is>
      </c>
      <c r="F271" s="7" t="n">
        <v>7.875</v>
      </c>
    </row>
    <row r="272">
      <c r="D272" t="inlineStr">
        <is>
          <t>Bond issue price</t>
        </is>
      </c>
      <c r="E272" t="inlineStr">
        <is>
          <t>fraction</t>
        </is>
      </c>
      <c r="F272" s="7" t="n">
        <v>0.99512</v>
      </c>
    </row>
    <row r="273">
      <c r="D273" t="inlineStr">
        <is>
          <t>Underwriting fee</t>
        </is>
      </c>
      <c r="E273" t="inlineStr">
        <is>
          <t>fraction</t>
        </is>
      </c>
      <c r="F273" s="7" t="n">
        <v>0.01</v>
      </c>
    </row>
    <row r="274">
      <c r="D274" t="inlineStr">
        <is>
          <t>Other transaction costs</t>
        </is>
      </c>
      <c r="E274" t="inlineStr">
        <is>
          <t>USD m</t>
        </is>
      </c>
      <c r="F274" s="7" t="n">
        <v>3.1</v>
      </c>
    </row>
    <row r="275">
      <c r="D275" t="inlineStr">
        <is>
          <t>ABDB partial credit guarantee</t>
        </is>
      </c>
      <c r="E275" t="inlineStr">
        <is>
          <t>USD m</t>
        </is>
      </c>
      <c r="F275" s="7" t="n">
        <v>95</v>
      </c>
    </row>
    <row r="276">
      <c r="D276" t="inlineStr">
        <is>
          <t>PCG fee</t>
        </is>
      </c>
      <c r="E276" t="inlineStr">
        <is>
          <t>% pa</t>
        </is>
      </c>
      <c r="F276" s="7" t="n">
        <v>1.1</v>
      </c>
    </row>
    <row r="277">
      <c r="D277" t="inlineStr">
        <is>
          <t>PCG upfront fee</t>
        </is>
      </c>
      <c r="E277" t="inlineStr">
        <is>
          <t>%</t>
        </is>
      </c>
      <c r="F277" s="7" t="n">
        <v>0.75</v>
      </c>
    </row>
    <row r="278">
      <c r="D278" t="inlineStr">
        <is>
          <t>Flat swap rate for unwind</t>
        </is>
      </c>
      <c r="E278" t="inlineStr">
        <is>
          <t>%</t>
        </is>
      </c>
      <c r="F278" s="7" t="n">
        <v>3.68</v>
      </c>
    </row>
    <row r="279">
      <c r="D279" t="inlineStr">
        <is>
          <t>Share of swap terminated</t>
        </is>
      </c>
      <c r="E279" t="inlineStr">
        <is>
          <t>fraction</t>
        </is>
      </c>
      <c r="F279" s="7" t="n">
        <v>0.48</v>
      </c>
    </row>
    <row r="280">
      <c r="D280" t="inlineStr">
        <is>
          <t>Share of swap remaining after refi</t>
        </is>
      </c>
      <c r="E280" t="inlineStr">
        <is>
          <t>fraction</t>
        </is>
      </c>
      <c r="F280" s="7" t="n">
        <v>0.52</v>
      </c>
    </row>
    <row r="281">
      <c r="B281" s="2" t="inlineStr">
        <is>
          <t>Annual tables (columns J = 2015 ... ): CPI annual average change (%), policy rate (%)</t>
        </is>
      </c>
    </row>
    <row r="282">
      <c r="D282" t="inlineStr">
        <is>
          <t>Calendar year</t>
        </is>
      </c>
      <c r="E282" t="inlineStr">
        <is>
          <t>year</t>
        </is>
      </c>
      <c r="J282" s="6" t="n">
        <v>2015</v>
      </c>
      <c r="K282" s="6" t="n">
        <v>2016</v>
      </c>
      <c r="L282" s="6" t="n">
        <v>2017</v>
      </c>
      <c r="M282" s="6" t="n">
        <v>2018</v>
      </c>
      <c r="N282" s="6" t="n">
        <v>2019</v>
      </c>
      <c r="O282" s="6" t="n">
        <v>2020</v>
      </c>
      <c r="P282" s="6" t="n">
        <v>2021</v>
      </c>
      <c r="Q282" s="6" t="n">
        <v>2022</v>
      </c>
      <c r="R282" s="6" t="n">
        <v>2023</v>
      </c>
      <c r="S282" s="6" t="n">
        <v>2024</v>
      </c>
      <c r="T282" s="6" t="n">
        <v>2025</v>
      </c>
      <c r="U282" s="6" t="n">
        <v>2026</v>
      </c>
      <c r="V282" s="6" t="n">
        <v>2027</v>
      </c>
      <c r="W282" s="6" t="n">
        <v>2028</v>
      </c>
      <c r="X282" s="6" t="n">
        <v>2029</v>
      </c>
      <c r="Y282" s="6" t="n">
        <v>2030</v>
      </c>
      <c r="Z282" s="6" t="n">
        <v>2031</v>
      </c>
      <c r="AA282" s="6" t="n">
        <v>2032</v>
      </c>
      <c r="AB282" s="6" t="n">
        <v>2033</v>
      </c>
      <c r="AC282" s="6" t="n">
        <v>2034</v>
      </c>
      <c r="AD282" s="6" t="n">
        <v>2035</v>
      </c>
      <c r="AE282" s="6" t="n">
        <v>2036</v>
      </c>
      <c r="AF282" s="6" t="n">
        <v>2037</v>
      </c>
      <c r="AG282" s="6" t="n">
        <v>2038</v>
      </c>
      <c r="AH282" s="6" t="n">
        <v>2039</v>
      </c>
      <c r="AI282" s="6" t="n">
        <v>2040</v>
      </c>
      <c r="AJ282" s="6" t="n">
        <v>2041</v>
      </c>
      <c r="AK282" s="6" t="n">
        <v>2042</v>
      </c>
      <c r="AL282" s="6" t="n">
        <v>2043</v>
      </c>
      <c r="AM282" s="6" t="n">
        <v>2044</v>
      </c>
      <c r="AN282" s="6" t="n">
        <v>2045</v>
      </c>
      <c r="AO282" s="6" t="n">
        <v>2046</v>
      </c>
      <c r="AP282" s="6" t="n">
        <v>2047</v>
      </c>
      <c r="AQ282" s="6" t="n">
        <v>2048</v>
      </c>
      <c r="AR282" s="6" t="n">
        <v>2049</v>
      </c>
    </row>
    <row r="283">
      <c r="D283" t="inlineStr">
        <is>
          <t>US CPI, FC expectation</t>
        </is>
      </c>
      <c r="E283" t="inlineStr">
        <is>
          <t>%</t>
        </is>
      </c>
      <c r="J283" s="6" t="n">
        <v>0.1</v>
      </c>
      <c r="K283" s="6" t="n">
        <v>1.3</v>
      </c>
      <c r="L283" s="6" t="n">
        <v>2.1</v>
      </c>
      <c r="M283" s="6" t="n">
        <v>2.2</v>
      </c>
      <c r="N283" s="6" t="n">
        <v>2.2</v>
      </c>
      <c r="O283" s="6" t="n">
        <v>2.2</v>
      </c>
      <c r="P283" s="6" t="n">
        <v>2.2</v>
      </c>
      <c r="Q283" s="6" t="n">
        <v>2.2</v>
      </c>
      <c r="R283" s="6" t="n">
        <v>2.2</v>
      </c>
      <c r="S283" s="6" t="n">
        <v>2.2</v>
      </c>
      <c r="T283" s="6" t="n">
        <v>2.2</v>
      </c>
      <c r="U283" s="6" t="n">
        <v>2.2</v>
      </c>
      <c r="V283" s="6" t="n">
        <v>2.2</v>
      </c>
      <c r="W283" s="6" t="n">
        <v>2.2</v>
      </c>
      <c r="X283" s="6" t="n">
        <v>2.2</v>
      </c>
      <c r="Y283" s="6" t="n">
        <v>2.2</v>
      </c>
      <c r="Z283" s="6" t="n">
        <v>2.2</v>
      </c>
      <c r="AA283" s="6" t="n">
        <v>2.2</v>
      </c>
      <c r="AB283" s="6" t="n">
        <v>2.2</v>
      </c>
      <c r="AC283" s="6" t="n">
        <v>2.2</v>
      </c>
      <c r="AD283" s="6" t="n">
        <v>2.2</v>
      </c>
      <c r="AE283" s="6" t="n">
        <v>2.2</v>
      </c>
      <c r="AF283" s="6" t="n">
        <v>2.2</v>
      </c>
      <c r="AG283" s="6" t="n">
        <v>2.2</v>
      </c>
      <c r="AH283" s="6" t="n">
        <v>2.2</v>
      </c>
      <c r="AI283" s="6" t="n">
        <v>2.2</v>
      </c>
      <c r="AJ283" s="6" t="n">
        <v>2.2</v>
      </c>
      <c r="AK283" s="6" t="n">
        <v>2.2</v>
      </c>
      <c r="AL283" s="6" t="n">
        <v>2.2</v>
      </c>
      <c r="AM283" s="6" t="n">
        <v>2.2</v>
      </c>
      <c r="AN283" s="6" t="n">
        <v>2.2</v>
      </c>
      <c r="AO283" s="6" t="n">
        <v>2.2</v>
      </c>
      <c r="AP283" s="6" t="n">
        <v>2.2</v>
      </c>
      <c r="AQ283" s="6" t="n">
        <v>2.2</v>
      </c>
      <c r="AR283" s="6" t="n">
        <v>2.2</v>
      </c>
    </row>
    <row r="284">
      <c r="D284" t="inlineStr">
        <is>
          <t>Kessara CPI, FC expectation</t>
        </is>
      </c>
      <c r="E284" t="inlineStr">
        <is>
          <t>%</t>
        </is>
      </c>
      <c r="J284" s="6" t="n">
        <v>8.699999999999999</v>
      </c>
      <c r="K284" s="6" t="n">
        <v>9.4</v>
      </c>
      <c r="L284" s="6" t="n">
        <v>8.1</v>
      </c>
      <c r="M284" s="6" t="n">
        <v>7.5</v>
      </c>
      <c r="N284" s="6" t="n">
        <v>7.5</v>
      </c>
      <c r="O284" s="6" t="n">
        <v>7.5</v>
      </c>
      <c r="P284" s="6" t="n">
        <v>7.5</v>
      </c>
      <c r="Q284" s="6" t="n">
        <v>7.5</v>
      </c>
      <c r="R284" s="6" t="n">
        <v>7.5</v>
      </c>
      <c r="S284" s="6" t="n">
        <v>7.5</v>
      </c>
      <c r="T284" s="6" t="n">
        <v>7.5</v>
      </c>
      <c r="U284" s="6" t="n">
        <v>7.5</v>
      </c>
      <c r="V284" s="6" t="n">
        <v>7.5</v>
      </c>
      <c r="W284" s="6" t="n">
        <v>7.5</v>
      </c>
      <c r="X284" s="6" t="n">
        <v>7.5</v>
      </c>
      <c r="Y284" s="6" t="n">
        <v>7.5</v>
      </c>
      <c r="Z284" s="6" t="n">
        <v>7.5</v>
      </c>
      <c r="AA284" s="6" t="n">
        <v>7.5</v>
      </c>
      <c r="AB284" s="6" t="n">
        <v>7.5</v>
      </c>
      <c r="AC284" s="6" t="n">
        <v>7.5</v>
      </c>
      <c r="AD284" s="6" t="n">
        <v>7.5</v>
      </c>
      <c r="AE284" s="6" t="n">
        <v>7.5</v>
      </c>
      <c r="AF284" s="6" t="n">
        <v>7.5</v>
      </c>
      <c r="AG284" s="6" t="n">
        <v>7.5</v>
      </c>
      <c r="AH284" s="6" t="n">
        <v>7.5</v>
      </c>
      <c r="AI284" s="6" t="n">
        <v>7.5</v>
      </c>
      <c r="AJ284" s="6" t="n">
        <v>7.5</v>
      </c>
      <c r="AK284" s="6" t="n">
        <v>7.5</v>
      </c>
      <c r="AL284" s="6" t="n">
        <v>7.5</v>
      </c>
      <c r="AM284" s="6" t="n">
        <v>7.5</v>
      </c>
      <c r="AN284" s="6" t="n">
        <v>7.5</v>
      </c>
      <c r="AO284" s="6" t="n">
        <v>7.5</v>
      </c>
      <c r="AP284" s="6" t="n">
        <v>7.5</v>
      </c>
      <c r="AQ284" s="6" t="n">
        <v>7.5</v>
      </c>
      <c r="AR284" s="6" t="n">
        <v>7.5</v>
      </c>
    </row>
    <row r="285">
      <c r="D285" t="inlineStr">
        <is>
          <t>US CPI, actual history + assumptions</t>
        </is>
      </c>
      <c r="E285" t="inlineStr">
        <is>
          <t>%</t>
        </is>
      </c>
      <c r="J285" s="6" t="n">
        <v>0.1</v>
      </c>
      <c r="K285" s="6" t="n">
        <v>1.3</v>
      </c>
      <c r="L285" s="6" t="n">
        <v>2.1</v>
      </c>
      <c r="M285" s="6" t="n">
        <v>2.4</v>
      </c>
      <c r="N285" s="6" t="n">
        <v>1.8</v>
      </c>
      <c r="O285" s="6" t="n">
        <v>1.2</v>
      </c>
      <c r="P285" s="6" t="n">
        <v>4.7</v>
      </c>
      <c r="Q285" s="6" t="n">
        <v>8</v>
      </c>
      <c r="R285" s="6" t="n">
        <v>4.1</v>
      </c>
      <c r="S285" s="6" t="n">
        <v>2.9</v>
      </c>
      <c r="T285" s="6" t="n">
        <v>2.7</v>
      </c>
      <c r="U285" s="6" t="n">
        <v>2.6</v>
      </c>
      <c r="V285" s="6" t="n">
        <v>2.3</v>
      </c>
      <c r="W285" s="6" t="n">
        <v>2.3</v>
      </c>
      <c r="X285" s="6" t="n">
        <v>2.3</v>
      </c>
      <c r="Y285" s="6" t="n">
        <v>2.3</v>
      </c>
      <c r="Z285" s="6" t="n">
        <v>2.3</v>
      </c>
      <c r="AA285" s="6" t="n">
        <v>2.3</v>
      </c>
      <c r="AB285" s="6" t="n">
        <v>2.3</v>
      </c>
      <c r="AC285" s="6" t="n">
        <v>2.3</v>
      </c>
      <c r="AD285" s="6" t="n">
        <v>2.3</v>
      </c>
      <c r="AE285" s="6" t="n">
        <v>2.3</v>
      </c>
      <c r="AF285" s="6" t="n">
        <v>2.3</v>
      </c>
      <c r="AG285" s="6" t="n">
        <v>2.3</v>
      </c>
      <c r="AH285" s="6" t="n">
        <v>2.3</v>
      </c>
      <c r="AI285" s="6" t="n">
        <v>2.3</v>
      </c>
      <c r="AJ285" s="6" t="n">
        <v>2.3</v>
      </c>
      <c r="AK285" s="6" t="n">
        <v>2.3</v>
      </c>
      <c r="AL285" s="6" t="n">
        <v>2.3</v>
      </c>
      <c r="AM285" s="6" t="n">
        <v>2.3</v>
      </c>
      <c r="AN285" s="6" t="n">
        <v>2.3</v>
      </c>
      <c r="AO285" s="6" t="n">
        <v>2.3</v>
      </c>
      <c r="AP285" s="6" t="n">
        <v>2.3</v>
      </c>
      <c r="AQ285" s="6" t="n">
        <v>2.3</v>
      </c>
      <c r="AR285" s="6" t="n">
        <v>2.3</v>
      </c>
    </row>
    <row r="286">
      <c r="D286" t="inlineStr">
        <is>
          <t>Kessara CPI, actual history + assumptions</t>
        </is>
      </c>
      <c r="E286" t="inlineStr">
        <is>
          <t>%</t>
        </is>
      </c>
      <c r="J286" s="6" t="n">
        <v>8.699999999999999</v>
      </c>
      <c r="K286" s="6" t="n">
        <v>9.4</v>
      </c>
      <c r="L286" s="6" t="n">
        <v>8.1</v>
      </c>
      <c r="M286" s="6" t="n">
        <v>7.6</v>
      </c>
      <c r="N286" s="6" t="n">
        <v>7.9</v>
      </c>
      <c r="O286" s="6" t="n">
        <v>9.800000000000001</v>
      </c>
      <c r="P286" s="6" t="n">
        <v>10.6</v>
      </c>
      <c r="Q286" s="6" t="n">
        <v>26.3</v>
      </c>
      <c r="R286" s="6" t="n">
        <v>34.8</v>
      </c>
      <c r="S286" s="6" t="n">
        <v>19.2</v>
      </c>
      <c r="T286" s="6" t="n">
        <v>12.4</v>
      </c>
      <c r="U286" s="6" t="n">
        <v>9.6</v>
      </c>
      <c r="V286" s="6" t="n">
        <v>8</v>
      </c>
      <c r="W286" s="6" t="n">
        <v>7</v>
      </c>
      <c r="X286" s="6" t="n">
        <v>7</v>
      </c>
      <c r="Y286" s="6" t="n">
        <v>7</v>
      </c>
      <c r="Z286" s="6" t="n">
        <v>7</v>
      </c>
      <c r="AA286" s="6" t="n">
        <v>7</v>
      </c>
      <c r="AB286" s="6" t="n">
        <v>7</v>
      </c>
      <c r="AC286" s="6" t="n">
        <v>7</v>
      </c>
      <c r="AD286" s="6" t="n">
        <v>7</v>
      </c>
      <c r="AE286" s="6" t="n">
        <v>7</v>
      </c>
      <c r="AF286" s="6" t="n">
        <v>7</v>
      </c>
      <c r="AG286" s="6" t="n">
        <v>7</v>
      </c>
      <c r="AH286" s="6" t="n">
        <v>7</v>
      </c>
      <c r="AI286" s="6" t="n">
        <v>7</v>
      </c>
      <c r="AJ286" s="6" t="n">
        <v>7</v>
      </c>
      <c r="AK286" s="6" t="n">
        <v>7</v>
      </c>
      <c r="AL286" s="6" t="n">
        <v>7</v>
      </c>
      <c r="AM286" s="6" t="n">
        <v>7</v>
      </c>
      <c r="AN286" s="6" t="n">
        <v>7</v>
      </c>
      <c r="AO286" s="6" t="n">
        <v>7</v>
      </c>
      <c r="AP286" s="6" t="n">
        <v>7</v>
      </c>
      <c r="AQ286" s="6" t="n">
        <v>7</v>
      </c>
      <c r="AR286" s="6" t="n">
        <v>7</v>
      </c>
    </row>
    <row r="287">
      <c r="D287" t="inlineStr">
        <is>
          <t>US CPI, COD re-forecast</t>
        </is>
      </c>
      <c r="E287" t="inlineStr">
        <is>
          <t>%</t>
        </is>
      </c>
      <c r="J287" s="6" t="n">
        <v>0.1</v>
      </c>
      <c r="K287" s="6" t="n">
        <v>1.3</v>
      </c>
      <c r="L287" s="6" t="n">
        <v>2.1</v>
      </c>
      <c r="M287" s="6" t="n">
        <v>2.4</v>
      </c>
      <c r="N287" s="6" t="n">
        <v>1.8</v>
      </c>
      <c r="O287" s="6" t="n">
        <v>1.2</v>
      </c>
      <c r="P287" s="6" t="n">
        <v>4.7</v>
      </c>
      <c r="Q287" s="6" t="n">
        <v>2.2</v>
      </c>
      <c r="R287" s="6" t="n">
        <v>2.2</v>
      </c>
      <c r="S287" s="6" t="n">
        <v>2.2</v>
      </c>
      <c r="T287" s="6" t="n">
        <v>2.2</v>
      </c>
      <c r="U287" s="6" t="n">
        <v>2.2</v>
      </c>
      <c r="V287" s="6" t="n">
        <v>2.2</v>
      </c>
      <c r="W287" s="6" t="n">
        <v>2.2</v>
      </c>
      <c r="X287" s="6" t="n">
        <v>2.2</v>
      </c>
      <c r="Y287" s="6" t="n">
        <v>2.2</v>
      </c>
      <c r="Z287" s="6" t="n">
        <v>2.2</v>
      </c>
      <c r="AA287" s="6" t="n">
        <v>2.2</v>
      </c>
      <c r="AB287" s="6" t="n">
        <v>2.2</v>
      </c>
      <c r="AC287" s="6" t="n">
        <v>2.2</v>
      </c>
      <c r="AD287" s="6" t="n">
        <v>2.2</v>
      </c>
      <c r="AE287" s="6" t="n">
        <v>2.2</v>
      </c>
      <c r="AF287" s="6" t="n">
        <v>2.2</v>
      </c>
      <c r="AG287" s="6" t="n">
        <v>2.2</v>
      </c>
      <c r="AH287" s="6" t="n">
        <v>2.2</v>
      </c>
      <c r="AI287" s="6" t="n">
        <v>2.2</v>
      </c>
      <c r="AJ287" s="6" t="n">
        <v>2.2</v>
      </c>
      <c r="AK287" s="6" t="n">
        <v>2.2</v>
      </c>
      <c r="AL287" s="6" t="n">
        <v>2.2</v>
      </c>
      <c r="AM287" s="6" t="n">
        <v>2.2</v>
      </c>
      <c r="AN287" s="6" t="n">
        <v>2.2</v>
      </c>
      <c r="AO287" s="6" t="n">
        <v>2.2</v>
      </c>
      <c r="AP287" s="6" t="n">
        <v>2.2</v>
      </c>
      <c r="AQ287" s="6" t="n">
        <v>2.2</v>
      </c>
      <c r="AR287" s="6" t="n">
        <v>2.2</v>
      </c>
    </row>
    <row r="288">
      <c r="D288" t="inlineStr">
        <is>
          <t>Kessara CPI, COD re-forecast</t>
        </is>
      </c>
      <c r="E288" t="inlineStr">
        <is>
          <t>%</t>
        </is>
      </c>
      <c r="J288" s="6" t="n">
        <v>8.699999999999999</v>
      </c>
      <c r="K288" s="6" t="n">
        <v>9.4</v>
      </c>
      <c r="L288" s="6" t="n">
        <v>8.1</v>
      </c>
      <c r="M288" s="6" t="n">
        <v>7.6</v>
      </c>
      <c r="N288" s="6" t="n">
        <v>7.9</v>
      </c>
      <c r="O288" s="6" t="n">
        <v>9.800000000000001</v>
      </c>
      <c r="P288" s="6" t="n">
        <v>10.6</v>
      </c>
      <c r="Q288" s="6" t="n">
        <v>7.5</v>
      </c>
      <c r="R288" s="6" t="n">
        <v>7.5</v>
      </c>
      <c r="S288" s="6" t="n">
        <v>7.5</v>
      </c>
      <c r="T288" s="6" t="n">
        <v>7.5</v>
      </c>
      <c r="U288" s="6" t="n">
        <v>7.5</v>
      </c>
      <c r="V288" s="6" t="n">
        <v>7.5</v>
      </c>
      <c r="W288" s="6" t="n">
        <v>7.5</v>
      </c>
      <c r="X288" s="6" t="n">
        <v>7.5</v>
      </c>
      <c r="Y288" s="6" t="n">
        <v>7.5</v>
      </c>
      <c r="Z288" s="6" t="n">
        <v>7.5</v>
      </c>
      <c r="AA288" s="6" t="n">
        <v>7.5</v>
      </c>
      <c r="AB288" s="6" t="n">
        <v>7.5</v>
      </c>
      <c r="AC288" s="6" t="n">
        <v>7.5</v>
      </c>
      <c r="AD288" s="6" t="n">
        <v>7.5</v>
      </c>
      <c r="AE288" s="6" t="n">
        <v>7.5</v>
      </c>
      <c r="AF288" s="6" t="n">
        <v>7.5</v>
      </c>
      <c r="AG288" s="6" t="n">
        <v>7.5</v>
      </c>
      <c r="AH288" s="6" t="n">
        <v>7.5</v>
      </c>
      <c r="AI288" s="6" t="n">
        <v>7.5</v>
      </c>
      <c r="AJ288" s="6" t="n">
        <v>7.5</v>
      </c>
      <c r="AK288" s="6" t="n">
        <v>7.5</v>
      </c>
      <c r="AL288" s="6" t="n">
        <v>7.5</v>
      </c>
      <c r="AM288" s="6" t="n">
        <v>7.5</v>
      </c>
      <c r="AN288" s="6" t="n">
        <v>7.5</v>
      </c>
      <c r="AO288" s="6" t="n">
        <v>7.5</v>
      </c>
      <c r="AP288" s="6" t="n">
        <v>7.5</v>
      </c>
      <c r="AQ288" s="6" t="n">
        <v>7.5</v>
      </c>
      <c r="AR288" s="6" t="n">
        <v>7.5</v>
      </c>
    </row>
    <row r="289">
      <c r="D289" t="inlineStr">
        <is>
          <t>Kessara policy rate (actual)</t>
        </is>
      </c>
      <c r="E289" t="inlineStr">
        <is>
          <t>%</t>
        </is>
      </c>
      <c r="J289" s="6" t="n">
        <v>15.5</v>
      </c>
      <c r="K289" s="6" t="n">
        <v>15.5</v>
      </c>
      <c r="L289" s="6" t="n">
        <v>15.5</v>
      </c>
      <c r="M289" s="6" t="n">
        <v>13.5</v>
      </c>
      <c r="N289" s="6" t="n">
        <v>13.5</v>
      </c>
      <c r="O289" s="6" t="n">
        <v>13.5</v>
      </c>
      <c r="P289" s="6" t="n">
        <v>13.5</v>
      </c>
      <c r="Q289" s="6" t="n">
        <v>19</v>
      </c>
      <c r="R289" s="6" t="n">
        <v>27</v>
      </c>
      <c r="S289" s="6" t="n">
        <v>24.5</v>
      </c>
      <c r="T289" s="6" t="n">
        <v>18</v>
      </c>
      <c r="U289" s="6" t="n">
        <v>15.5</v>
      </c>
      <c r="V289" s="6" t="n">
        <v>15.5</v>
      </c>
      <c r="W289" s="6" t="n">
        <v>15.5</v>
      </c>
      <c r="X289" s="6" t="n">
        <v>15.5</v>
      </c>
      <c r="Y289" s="6" t="n">
        <v>15.5</v>
      </c>
      <c r="Z289" s="6" t="n">
        <v>15.5</v>
      </c>
      <c r="AA289" s="6" t="n">
        <v>15.5</v>
      </c>
      <c r="AB289" s="6" t="n">
        <v>15.5</v>
      </c>
      <c r="AC289" s="6" t="n">
        <v>15.5</v>
      </c>
      <c r="AD289" s="6" t="n">
        <v>15.5</v>
      </c>
      <c r="AE289" s="6" t="n">
        <v>15.5</v>
      </c>
      <c r="AF289" s="6" t="n">
        <v>15.5</v>
      </c>
      <c r="AG289" s="6" t="n">
        <v>15.5</v>
      </c>
      <c r="AH289" s="6" t="n">
        <v>15.5</v>
      </c>
      <c r="AI289" s="6" t="n">
        <v>15.5</v>
      </c>
      <c r="AJ289" s="6" t="n">
        <v>15.5</v>
      </c>
      <c r="AK289" s="6" t="n">
        <v>15.5</v>
      </c>
      <c r="AL289" s="6" t="n">
        <v>15.5</v>
      </c>
      <c r="AM289" s="6" t="n">
        <v>15.5</v>
      </c>
      <c r="AN289" s="6" t="n">
        <v>15.5</v>
      </c>
      <c r="AO289" s="6" t="n">
        <v>15.5</v>
      </c>
      <c r="AP289" s="6" t="n">
        <v>15.5</v>
      </c>
      <c r="AQ289" s="6" t="n">
        <v>15.5</v>
      </c>
      <c r="AR289" s="6" t="n">
        <v>15.5</v>
      </c>
    </row>
    <row r="290">
      <c r="B290" s="2" t="inlineStr">
        <is>
          <t>Semiannual inputs (column J = 2018H2 ... BN = 2046H2)</t>
        </is>
      </c>
    </row>
    <row r="291">
      <c r="D291" t="inlineStr">
        <is>
          <t>6M LIBOR forward curve at FC</t>
        </is>
      </c>
      <c r="E291" t="inlineStr">
        <is>
          <t>%</t>
        </is>
      </c>
      <c r="J291" s="6" t="n">
        <v>2.52</v>
      </c>
      <c r="K291" s="6" t="n">
        <v>2.79</v>
      </c>
      <c r="L291" s="6" t="n">
        <v>2.94</v>
      </c>
      <c r="M291" s="6" t="n">
        <v>3.02</v>
      </c>
      <c r="N291" s="6" t="n">
        <v>3.06</v>
      </c>
      <c r="O291" s="6" t="n">
        <v>3.09</v>
      </c>
      <c r="P291" s="6" t="n">
        <v>3.09</v>
      </c>
      <c r="Q291" s="6" t="n">
        <v>3.11</v>
      </c>
      <c r="R291" s="6" t="n">
        <v>3.11</v>
      </c>
      <c r="S291" s="6" t="n">
        <v>3.12</v>
      </c>
      <c r="T291" s="6" t="n">
        <v>3.12</v>
      </c>
      <c r="U291" s="6" t="n">
        <v>3.12</v>
      </c>
      <c r="V291" s="6" t="n">
        <v>3.12</v>
      </c>
      <c r="W291" s="6" t="n">
        <v>3.12</v>
      </c>
      <c r="X291" s="6" t="n">
        <v>3.12</v>
      </c>
      <c r="Y291" s="6" t="n">
        <v>3.12</v>
      </c>
      <c r="Z291" s="6" t="n">
        <v>3.12</v>
      </c>
      <c r="AA291" s="6" t="n">
        <v>3.12</v>
      </c>
      <c r="AB291" s="6" t="n">
        <v>3.12</v>
      </c>
      <c r="AC291" s="6" t="n">
        <v>3.12</v>
      </c>
      <c r="AD291" s="6" t="n">
        <v>3.12</v>
      </c>
      <c r="AE291" s="6" t="n">
        <v>3.12</v>
      </c>
      <c r="AF291" s="6" t="n">
        <v>3.12</v>
      </c>
      <c r="AG291" s="6" t="n">
        <v>3.12</v>
      </c>
      <c r="AH291" s="6" t="n">
        <v>3.12</v>
      </c>
      <c r="AI291" s="6" t="n">
        <v>3.12</v>
      </c>
      <c r="AJ291" s="6" t="n">
        <v>3.12</v>
      </c>
      <c r="AK291" s="6" t="n">
        <v>3.12</v>
      </c>
      <c r="AL291" s="6" t="n">
        <v>3.12</v>
      </c>
      <c r="AM291" s="6" t="n">
        <v>3.12</v>
      </c>
      <c r="AN291" s="6" t="n">
        <v>3.12</v>
      </c>
      <c r="AO291" s="6" t="n">
        <v>3.12</v>
      </c>
      <c r="AP291" s="6" t="n">
        <v>3.12</v>
      </c>
      <c r="AQ291" s="6" t="n">
        <v>3.12</v>
      </c>
      <c r="AR291" s="6" t="n">
        <v>3.12</v>
      </c>
      <c r="AS291" s="6" t="n">
        <v>3.12</v>
      </c>
      <c r="AT291" s="6" t="n">
        <v>3.12</v>
      </c>
      <c r="AU291" s="6" t="n">
        <v>3.12</v>
      </c>
      <c r="AV291" s="6" t="n">
        <v>3.12</v>
      </c>
      <c r="AW291" s="6" t="n">
        <v>3.12</v>
      </c>
      <c r="AX291" s="6" t="n">
        <v>3.12</v>
      </c>
      <c r="AY291" s="6" t="n">
        <v>3.12</v>
      </c>
      <c r="AZ291" s="6" t="n">
        <v>3.12</v>
      </c>
      <c r="BA291" s="6" t="n">
        <v>3.12</v>
      </c>
      <c r="BB291" s="6" t="n">
        <v>3.12</v>
      </c>
      <c r="BC291" s="6" t="n">
        <v>3.12</v>
      </c>
      <c r="BD291" s="6" t="n">
        <v>3.12</v>
      </c>
      <c r="BE291" s="6" t="n">
        <v>3.12</v>
      </c>
      <c r="BF291" s="6" t="n">
        <v>3.12</v>
      </c>
      <c r="BG291" s="6" t="n">
        <v>3.12</v>
      </c>
      <c r="BH291" s="6" t="n">
        <v>3.12</v>
      </c>
      <c r="BI291" s="6" t="n">
        <v>3.12</v>
      </c>
      <c r="BJ291" s="6" t="n">
        <v>3.12</v>
      </c>
      <c r="BK291" s="6" t="n">
        <v>3.12</v>
      </c>
      <c r="BL291" s="6" t="n">
        <v>3.12</v>
      </c>
      <c r="BM291" s="6" t="n">
        <v>3.12</v>
      </c>
      <c r="BN291" s="6" t="n">
        <v>3.12</v>
      </c>
    </row>
    <row r="292">
      <c r="D292" t="inlineStr">
        <is>
          <t>6M LIBOR to 2022H2; 6M Term SOFR + CAS from 2023H1 (actual)</t>
        </is>
      </c>
      <c r="E292" t="inlineStr">
        <is>
          <t>%</t>
        </is>
      </c>
      <c r="J292" s="6" t="n">
        <v>2.52</v>
      </c>
      <c r="K292" s="6" t="n">
        <v>2.87</v>
      </c>
      <c r="L292" s="6" t="n">
        <v>2.2</v>
      </c>
      <c r="M292" s="6" t="n">
        <v>1.91</v>
      </c>
      <c r="N292" s="6" t="n">
        <v>0.37</v>
      </c>
      <c r="O292" s="6" t="n">
        <v>0.25</v>
      </c>
      <c r="P292" s="6" t="n">
        <v>0.16</v>
      </c>
      <c r="Q292" s="6" t="n">
        <v>0.34</v>
      </c>
      <c r="R292" s="6" t="n">
        <v>2.94</v>
      </c>
      <c r="S292" s="6" t="n">
        <v>5.28826</v>
      </c>
      <c r="T292" s="6" t="n">
        <v>5.89826</v>
      </c>
      <c r="U292" s="6" t="n">
        <v>5.58826</v>
      </c>
      <c r="V292" s="6" t="n">
        <v>5.64826</v>
      </c>
      <c r="W292" s="6" t="n">
        <v>4.67826</v>
      </c>
      <c r="X292" s="6" t="n">
        <v>4.59826</v>
      </c>
      <c r="Y292" s="6" t="n">
        <v>4.04826</v>
      </c>
      <c r="Z292" s="6" t="n">
        <v>4.00826</v>
      </c>
      <c r="AA292" s="6" t="n">
        <v>3.87826</v>
      </c>
      <c r="AB292" s="6" t="n">
        <v>3.87826</v>
      </c>
      <c r="AC292" s="6" t="n">
        <v>3.92826</v>
      </c>
      <c r="AD292" s="6" t="n">
        <v>3.92826</v>
      </c>
      <c r="AE292" s="6" t="n">
        <v>3.92826</v>
      </c>
      <c r="AF292" s="6" t="n">
        <v>3.92826</v>
      </c>
      <c r="AG292" s="6" t="n">
        <v>3.92826</v>
      </c>
      <c r="AH292" s="6" t="n">
        <v>3.92826</v>
      </c>
      <c r="AI292" s="6" t="n">
        <v>3.92826</v>
      </c>
      <c r="AJ292" s="6" t="n">
        <v>3.92826</v>
      </c>
      <c r="AK292" s="6" t="n">
        <v>3.92826</v>
      </c>
      <c r="AL292" s="6" t="n">
        <v>3.92826</v>
      </c>
      <c r="AM292" s="6" t="n">
        <v>3.92826</v>
      </c>
      <c r="AN292" s="6" t="n">
        <v>3.92826</v>
      </c>
      <c r="AO292" s="6" t="n">
        <v>3.92826</v>
      </c>
      <c r="AP292" s="6" t="n">
        <v>3.92826</v>
      </c>
      <c r="AQ292" s="6" t="n">
        <v>3.92826</v>
      </c>
      <c r="AR292" s="6" t="n">
        <v>3.92826</v>
      </c>
      <c r="AS292" s="6" t="n">
        <v>3.92826</v>
      </c>
      <c r="AT292" s="6" t="n">
        <v>3.92826</v>
      </c>
      <c r="AU292" s="6" t="n">
        <v>3.92826</v>
      </c>
      <c r="AV292" s="6" t="n">
        <v>3.92826</v>
      </c>
      <c r="AW292" s="6" t="n">
        <v>3.92826</v>
      </c>
      <c r="AX292" s="6" t="n">
        <v>3.92826</v>
      </c>
      <c r="AY292" s="6" t="n">
        <v>3.92826</v>
      </c>
      <c r="AZ292" s="6" t="n">
        <v>3.92826</v>
      </c>
      <c r="BA292" s="6" t="n">
        <v>3.92826</v>
      </c>
      <c r="BB292" s="6" t="n">
        <v>3.92826</v>
      </c>
      <c r="BC292" s="6" t="n">
        <v>3.92826</v>
      </c>
      <c r="BD292" s="6" t="n">
        <v>3.92826</v>
      </c>
      <c r="BE292" s="6" t="n">
        <v>3.92826</v>
      </c>
      <c r="BF292" s="6" t="n">
        <v>3.92826</v>
      </c>
      <c r="BG292" s="6" t="n">
        <v>3.92826</v>
      </c>
      <c r="BH292" s="6" t="n">
        <v>3.92826</v>
      </c>
      <c r="BI292" s="6" t="n">
        <v>3.92826</v>
      </c>
      <c r="BJ292" s="6" t="n">
        <v>3.92826</v>
      </c>
      <c r="BK292" s="6" t="n">
        <v>3.92826</v>
      </c>
      <c r="BL292" s="6" t="n">
        <v>3.92826</v>
      </c>
      <c r="BM292" s="6" t="n">
        <v>3.92826</v>
      </c>
      <c r="BN292" s="6" t="n">
        <v>3.92826</v>
      </c>
    </row>
    <row r="293">
      <c r="D293" t="inlineStr">
        <is>
          <t>Base rate, COD re-forecast</t>
        </is>
      </c>
      <c r="E293" t="inlineStr">
        <is>
          <t>%</t>
        </is>
      </c>
      <c r="J293" s="6" t="n">
        <v>2.52</v>
      </c>
      <c r="K293" s="6" t="n">
        <v>2.87</v>
      </c>
      <c r="L293" s="6" t="n">
        <v>2.2</v>
      </c>
      <c r="M293" s="6" t="n">
        <v>1.91</v>
      </c>
      <c r="N293" s="6" t="n">
        <v>0.37</v>
      </c>
      <c r="O293" s="6" t="n">
        <v>0.25</v>
      </c>
      <c r="P293" s="6" t="n">
        <v>0.16</v>
      </c>
      <c r="Q293" s="6" t="n">
        <v>3.11</v>
      </c>
      <c r="R293" s="6" t="n">
        <v>3.11</v>
      </c>
      <c r="S293" s="6" t="n">
        <v>3.12</v>
      </c>
      <c r="T293" s="6" t="n">
        <v>3.12</v>
      </c>
      <c r="U293" s="6" t="n">
        <v>3.12</v>
      </c>
      <c r="V293" s="6" t="n">
        <v>3.12</v>
      </c>
      <c r="W293" s="6" t="n">
        <v>3.12</v>
      </c>
      <c r="X293" s="6" t="n">
        <v>3.12</v>
      </c>
      <c r="Y293" s="6" t="n">
        <v>3.12</v>
      </c>
      <c r="Z293" s="6" t="n">
        <v>3.12</v>
      </c>
      <c r="AA293" s="6" t="n">
        <v>3.12</v>
      </c>
      <c r="AB293" s="6" t="n">
        <v>3.12</v>
      </c>
      <c r="AC293" s="6" t="n">
        <v>3.12</v>
      </c>
      <c r="AD293" s="6" t="n">
        <v>3.12</v>
      </c>
      <c r="AE293" s="6" t="n">
        <v>3.12</v>
      </c>
      <c r="AF293" s="6" t="n">
        <v>3.12</v>
      </c>
      <c r="AG293" s="6" t="n">
        <v>3.12</v>
      </c>
      <c r="AH293" s="6" t="n">
        <v>3.12</v>
      </c>
      <c r="AI293" s="6" t="n">
        <v>3.12</v>
      </c>
      <c r="AJ293" s="6" t="n">
        <v>3.12</v>
      </c>
      <c r="AK293" s="6" t="n">
        <v>3.12</v>
      </c>
      <c r="AL293" s="6" t="n">
        <v>3.12</v>
      </c>
      <c r="AM293" s="6" t="n">
        <v>3.12</v>
      </c>
      <c r="AN293" s="6" t="n">
        <v>3.12</v>
      </c>
      <c r="AO293" s="6" t="n">
        <v>3.12</v>
      </c>
      <c r="AP293" s="6" t="n">
        <v>3.12</v>
      </c>
      <c r="AQ293" s="6" t="n">
        <v>3.12</v>
      </c>
      <c r="AR293" s="6" t="n">
        <v>3.12</v>
      </c>
      <c r="AS293" s="6" t="n">
        <v>3.12</v>
      </c>
      <c r="AT293" s="6" t="n">
        <v>3.12</v>
      </c>
      <c r="AU293" s="6" t="n">
        <v>3.12</v>
      </c>
      <c r="AV293" s="6" t="n">
        <v>3.12</v>
      </c>
      <c r="AW293" s="6" t="n">
        <v>3.12</v>
      </c>
      <c r="AX293" s="6" t="n">
        <v>3.12</v>
      </c>
      <c r="AY293" s="6" t="n">
        <v>3.12</v>
      </c>
      <c r="AZ293" s="6" t="n">
        <v>3.12</v>
      </c>
      <c r="BA293" s="6" t="n">
        <v>3.12</v>
      </c>
      <c r="BB293" s="6" t="n">
        <v>3.12</v>
      </c>
      <c r="BC293" s="6" t="n">
        <v>3.12</v>
      </c>
      <c r="BD293" s="6" t="n">
        <v>3.12</v>
      </c>
      <c r="BE293" s="6" t="n">
        <v>3.12</v>
      </c>
      <c r="BF293" s="6" t="n">
        <v>3.12</v>
      </c>
      <c r="BG293" s="6" t="n">
        <v>3.12</v>
      </c>
      <c r="BH293" s="6" t="n">
        <v>3.12</v>
      </c>
      <c r="BI293" s="6" t="n">
        <v>3.12</v>
      </c>
      <c r="BJ293" s="6" t="n">
        <v>3.12</v>
      </c>
      <c r="BK293" s="6" t="n">
        <v>3.12</v>
      </c>
      <c r="BL293" s="6" t="n">
        <v>3.12</v>
      </c>
      <c r="BM293" s="6" t="n">
        <v>3.12</v>
      </c>
      <c r="BN293" s="6" t="n">
        <v>3.12</v>
      </c>
    </row>
    <row r="294">
      <c r="D294" t="inlineStr">
        <is>
          <t>KCR per USD, semiannual average (actual to 2026H2)</t>
        </is>
      </c>
      <c r="E294" t="inlineStr">
        <is>
          <t>KCR/USD</t>
        </is>
      </c>
      <c r="J294" s="6" t="n">
        <v>524.6</v>
      </c>
      <c r="K294" s="6" t="n">
        <v>539.1</v>
      </c>
      <c r="L294" s="6" t="n">
        <v>551.3</v>
      </c>
      <c r="M294" s="6" t="n">
        <v>566</v>
      </c>
      <c r="N294" s="6" t="n">
        <v>579.8</v>
      </c>
      <c r="O294" s="6" t="n">
        <v>597.4</v>
      </c>
      <c r="P294" s="6" t="n">
        <v>609.6</v>
      </c>
      <c r="Q294" s="6" t="n">
        <v>654.9</v>
      </c>
      <c r="R294" s="6" t="n">
        <v>830.3</v>
      </c>
      <c r="S294" s="6" t="n">
        <v>1052.8</v>
      </c>
      <c r="T294" s="6" t="n">
        <v>1043.8</v>
      </c>
      <c r="U294" s="6" t="n">
        <v>1093.1</v>
      </c>
      <c r="V294" s="6" t="n">
        <v>1050.7</v>
      </c>
      <c r="W294" s="6" t="n">
        <v>1035.6</v>
      </c>
      <c r="X294" s="6" t="n">
        <v>1023.8</v>
      </c>
      <c r="Y294" s="6" t="n">
        <v>1028.9</v>
      </c>
      <c r="Z294" s="6" t="n">
        <v>1043.9</v>
      </c>
    </row>
    <row r="295">
      <c r="D295" t="inlineStr">
        <is>
          <t>SEKA overdue receivables at period end (actual)</t>
        </is>
      </c>
      <c r="E295" t="inlineStr">
        <is>
          <t>USD m</t>
        </is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18.4</v>
      </c>
      <c r="R295" s="6" t="n">
        <v>68.90000000000001</v>
      </c>
      <c r="S295" s="6" t="n">
        <v>112.6</v>
      </c>
      <c r="T295" s="6" t="n">
        <v>71.8</v>
      </c>
      <c r="U295" s="6" t="n">
        <v>34.6</v>
      </c>
      <c r="V295" s="6" t="n">
        <v>12.3</v>
      </c>
      <c r="W295" s="6" t="n">
        <v>0</v>
      </c>
      <c r="X295" s="6" t="n">
        <v>0</v>
      </c>
      <c r="Y295" s="6" t="n">
        <v>0</v>
      </c>
      <c r="Z295" s="6" t="n">
        <v>0</v>
      </c>
      <c r="AA295" s="6" t="n">
        <v>0</v>
      </c>
      <c r="AB295" s="6" t="n">
        <v>0</v>
      </c>
      <c r="AC295" s="6" t="n">
        <v>0</v>
      </c>
      <c r="AD295" s="6" t="n">
        <v>0</v>
      </c>
      <c r="AE295" s="6" t="n">
        <v>0</v>
      </c>
      <c r="AF295" s="6" t="n">
        <v>0</v>
      </c>
      <c r="AG295" s="6" t="n">
        <v>0</v>
      </c>
      <c r="AH295" s="6" t="n">
        <v>0</v>
      </c>
      <c r="AI295" s="6" t="n">
        <v>0</v>
      </c>
      <c r="AJ295" s="6" t="n">
        <v>0</v>
      </c>
      <c r="AK295" s="6" t="n">
        <v>0</v>
      </c>
      <c r="AL295" s="6" t="n">
        <v>0</v>
      </c>
      <c r="AM295" s="6" t="n">
        <v>0</v>
      </c>
      <c r="AN295" s="6" t="n">
        <v>0</v>
      </c>
      <c r="AO295" s="6" t="n">
        <v>0</v>
      </c>
      <c r="AP295" s="6" t="n">
        <v>0</v>
      </c>
      <c r="AQ295" s="6" t="n">
        <v>0</v>
      </c>
      <c r="AR295" s="6" t="n">
        <v>0</v>
      </c>
      <c r="AS295" s="6" t="n">
        <v>0</v>
      </c>
      <c r="AT295" s="6" t="n">
        <v>0</v>
      </c>
      <c r="AU295" s="6" t="n">
        <v>0</v>
      </c>
      <c r="AV295" s="6" t="n">
        <v>0</v>
      </c>
      <c r="AW295" s="6" t="n">
        <v>0</v>
      </c>
      <c r="AX295" s="6" t="n">
        <v>0</v>
      </c>
      <c r="AY295" s="6" t="n">
        <v>0</v>
      </c>
      <c r="AZ295" s="6" t="n">
        <v>0</v>
      </c>
      <c r="BA295" s="6" t="n">
        <v>0</v>
      </c>
      <c r="BB295" s="6" t="n">
        <v>0</v>
      </c>
      <c r="BC295" s="6" t="n">
        <v>0</v>
      </c>
      <c r="BD295" s="6" t="n">
        <v>0</v>
      </c>
      <c r="BE295" s="6" t="n">
        <v>0</v>
      </c>
      <c r="BF295" s="6" t="n">
        <v>0</v>
      </c>
      <c r="BG295" s="6" t="n">
        <v>0</v>
      </c>
      <c r="BH295" s="6" t="n">
        <v>0</v>
      </c>
      <c r="BI295" s="6" t="n">
        <v>0</v>
      </c>
      <c r="BJ295" s="6" t="n">
        <v>0</v>
      </c>
      <c r="BK295" s="6" t="n">
        <v>0</v>
      </c>
      <c r="BL295" s="6" t="n">
        <v>0</v>
      </c>
      <c r="BM295" s="6" t="n">
        <v>0</v>
      </c>
      <c r="BN295" s="6" t="n">
        <v>0</v>
      </c>
    </row>
    <row r="296">
      <c r="D296" t="inlineStr">
        <is>
          <t>FX conversion losses (actual)</t>
        </is>
      </c>
      <c r="E296" t="inlineStr">
        <is>
          <t>USD m</t>
        </is>
      </c>
      <c r="J296" s="6" t="n">
        <v>0</v>
      </c>
      <c r="K296" s="6" t="n">
        <v>0</v>
      </c>
      <c r="L296" s="6" t="n">
        <v>0</v>
      </c>
      <c r="M296" s="6" t="n">
        <v>0</v>
      </c>
      <c r="N296" s="6" t="n">
        <v>0</v>
      </c>
      <c r="O296" s="6" t="n">
        <v>0</v>
      </c>
      <c r="P296" s="6" t="n">
        <v>0</v>
      </c>
      <c r="Q296" s="6" t="n">
        <v>0</v>
      </c>
      <c r="R296" s="6" t="n">
        <v>1.27</v>
      </c>
      <c r="S296" s="6" t="n">
        <v>3.84</v>
      </c>
      <c r="T296" s="6" t="n">
        <v>1.12</v>
      </c>
      <c r="U296" s="6" t="n">
        <v>0.31</v>
      </c>
      <c r="V296" s="6" t="n">
        <v>0</v>
      </c>
      <c r="W296" s="6" t="n">
        <v>0</v>
      </c>
      <c r="X296" s="6" t="n">
        <v>0</v>
      </c>
      <c r="Y296" s="6" t="n">
        <v>0</v>
      </c>
      <c r="Z296" s="6" t="n">
        <v>0</v>
      </c>
      <c r="AA296" s="6" t="n">
        <v>0</v>
      </c>
      <c r="AB296" s="6" t="n">
        <v>0</v>
      </c>
      <c r="AC296" s="6" t="n">
        <v>0</v>
      </c>
      <c r="AD296" s="6" t="n">
        <v>0</v>
      </c>
      <c r="AE296" s="6" t="n">
        <v>0</v>
      </c>
      <c r="AF296" s="6" t="n">
        <v>0</v>
      </c>
      <c r="AG296" s="6" t="n">
        <v>0</v>
      </c>
      <c r="AH296" s="6" t="n">
        <v>0</v>
      </c>
      <c r="AI296" s="6" t="n">
        <v>0</v>
      </c>
      <c r="AJ296" s="6" t="n">
        <v>0</v>
      </c>
      <c r="AK296" s="6" t="n">
        <v>0</v>
      </c>
      <c r="AL296" s="6" t="n">
        <v>0</v>
      </c>
      <c r="AM296" s="6" t="n">
        <v>0</v>
      </c>
      <c r="AN296" s="6" t="n">
        <v>0</v>
      </c>
      <c r="AO296" s="6" t="n">
        <v>0</v>
      </c>
      <c r="AP296" s="6" t="n">
        <v>0</v>
      </c>
      <c r="AQ296" s="6" t="n">
        <v>0</v>
      </c>
      <c r="AR296" s="6" t="n">
        <v>0</v>
      </c>
      <c r="AS296" s="6" t="n">
        <v>0</v>
      </c>
      <c r="AT296" s="6" t="n">
        <v>0</v>
      </c>
      <c r="AU296" s="6" t="n">
        <v>0</v>
      </c>
      <c r="AV296" s="6" t="n">
        <v>0</v>
      </c>
      <c r="AW296" s="6" t="n">
        <v>0</v>
      </c>
      <c r="AX296" s="6" t="n">
        <v>0</v>
      </c>
      <c r="AY296" s="6" t="n">
        <v>0</v>
      </c>
      <c r="AZ296" s="6" t="n">
        <v>0</v>
      </c>
      <c r="BA296" s="6" t="n">
        <v>0</v>
      </c>
      <c r="BB296" s="6" t="n">
        <v>0</v>
      </c>
      <c r="BC296" s="6" t="n">
        <v>0</v>
      </c>
      <c r="BD296" s="6" t="n">
        <v>0</v>
      </c>
      <c r="BE296" s="6" t="n">
        <v>0</v>
      </c>
      <c r="BF296" s="6" t="n">
        <v>0</v>
      </c>
      <c r="BG296" s="6" t="n">
        <v>0</v>
      </c>
      <c r="BH296" s="6" t="n">
        <v>0</v>
      </c>
      <c r="BI296" s="6" t="n">
        <v>0</v>
      </c>
      <c r="BJ296" s="6" t="n">
        <v>0</v>
      </c>
      <c r="BK296" s="6" t="n">
        <v>0</v>
      </c>
      <c r="BL296" s="6" t="n">
        <v>0</v>
      </c>
      <c r="BM296" s="6" t="n">
        <v>0</v>
      </c>
      <c r="BN296" s="6" t="n">
        <v>0</v>
      </c>
    </row>
    <row r="297">
      <c r="D297" t="inlineStr">
        <is>
          <t>Settlement installment share of late payment interest</t>
        </is>
      </c>
      <c r="E297" t="inlineStr">
        <is>
          <t>fraction</t>
        </is>
      </c>
      <c r="J297" s="6" t="n">
        <v>0</v>
      </c>
      <c r="K297" s="6" t="n">
        <v>0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0</v>
      </c>
      <c r="S297" s="6" t="n">
        <v>0</v>
      </c>
      <c r="T297" s="6" t="n">
        <v>0</v>
      </c>
      <c r="U297" s="6" t="n">
        <v>0.2</v>
      </c>
      <c r="V297" s="6" t="n">
        <v>0.4</v>
      </c>
      <c r="W297" s="6" t="n">
        <v>0.4</v>
      </c>
      <c r="X297" s="6" t="n">
        <v>0</v>
      </c>
      <c r="Y297" s="6" t="n">
        <v>0</v>
      </c>
      <c r="Z297" s="6" t="n">
        <v>0</v>
      </c>
      <c r="AA297" s="6" t="n">
        <v>0</v>
      </c>
      <c r="AB297" s="6" t="n">
        <v>0</v>
      </c>
      <c r="AC297" s="6" t="n">
        <v>0</v>
      </c>
      <c r="AD297" s="6" t="n">
        <v>0</v>
      </c>
      <c r="AE297" s="6" t="n">
        <v>0</v>
      </c>
      <c r="AF297" s="6" t="n">
        <v>0</v>
      </c>
      <c r="AG297" s="6" t="n">
        <v>0</v>
      </c>
      <c r="AH297" s="6" t="n">
        <v>0</v>
      </c>
      <c r="AI297" s="6" t="n">
        <v>0</v>
      </c>
      <c r="AJ297" s="6" t="n">
        <v>0</v>
      </c>
      <c r="AK297" s="6" t="n">
        <v>0</v>
      </c>
      <c r="AL297" s="6" t="n">
        <v>0</v>
      </c>
      <c r="AM297" s="6" t="n">
        <v>0</v>
      </c>
      <c r="AN297" s="6" t="n">
        <v>0</v>
      </c>
      <c r="AO297" s="6" t="n">
        <v>0</v>
      </c>
      <c r="AP297" s="6" t="n">
        <v>0</v>
      </c>
      <c r="AQ297" s="6" t="n">
        <v>0</v>
      </c>
      <c r="AR297" s="6" t="n">
        <v>0</v>
      </c>
      <c r="AS297" s="6" t="n">
        <v>0</v>
      </c>
      <c r="AT297" s="6" t="n">
        <v>0</v>
      </c>
      <c r="AU297" s="6" t="n">
        <v>0</v>
      </c>
      <c r="AV297" s="6" t="n">
        <v>0</v>
      </c>
      <c r="AW297" s="6" t="n">
        <v>0</v>
      </c>
      <c r="AX297" s="6" t="n">
        <v>0</v>
      </c>
      <c r="AY297" s="6" t="n">
        <v>0</v>
      </c>
      <c r="AZ297" s="6" t="n">
        <v>0</v>
      </c>
      <c r="BA297" s="6" t="n">
        <v>0</v>
      </c>
      <c r="BB297" s="6" t="n">
        <v>0</v>
      </c>
      <c r="BC297" s="6" t="n">
        <v>0</v>
      </c>
      <c r="BD297" s="6" t="n">
        <v>0</v>
      </c>
      <c r="BE297" s="6" t="n">
        <v>0</v>
      </c>
      <c r="BF297" s="6" t="n">
        <v>0</v>
      </c>
      <c r="BG297" s="6" t="n">
        <v>0</v>
      </c>
      <c r="BH297" s="6" t="n">
        <v>0</v>
      </c>
      <c r="BI297" s="6" t="n">
        <v>0</v>
      </c>
      <c r="BJ297" s="6" t="n">
        <v>0</v>
      </c>
      <c r="BK297" s="6" t="n">
        <v>0</v>
      </c>
      <c r="BL297" s="6" t="n">
        <v>0</v>
      </c>
      <c r="BM297" s="6" t="n">
        <v>0</v>
      </c>
      <c r="BN297" s="6" t="n">
        <v>0</v>
      </c>
    </row>
    <row r="298">
      <c r="D298" t="inlineStr">
        <is>
          <t>Contract repayment profile at FC (share of debt)</t>
        </is>
      </c>
      <c r="E298" t="inlineStr">
        <is>
          <t>fraction</t>
        </is>
      </c>
      <c r="J298" s="6" t="n">
        <v>0</v>
      </c>
      <c r="K298" s="6" t="n">
        <v>0</v>
      </c>
      <c r="L298" s="6" t="n">
        <v>0</v>
      </c>
      <c r="M298" s="6" t="n">
        <v>0</v>
      </c>
      <c r="N298" s="6" t="n">
        <v>0</v>
      </c>
      <c r="O298" s="6" t="n">
        <v>0</v>
      </c>
      <c r="P298" s="6" t="n">
        <v>0.02446043211430804</v>
      </c>
      <c r="Q298" s="6" t="n">
        <v>0.02549563991993633</v>
      </c>
      <c r="R298" s="6" t="n">
        <v>0.02675152229066621</v>
      </c>
      <c r="S298" s="6" t="n">
        <v>0.02753984637468513</v>
      </c>
      <c r="T298" s="6" t="n">
        <v>0.0288066694390464</v>
      </c>
      <c r="U298" s="6" t="n">
        <v>0.02972536483920772</v>
      </c>
      <c r="V298" s="6" t="n">
        <v>0.03166730192250924</v>
      </c>
      <c r="W298" s="6" t="n">
        <v>0.03263535190708168</v>
      </c>
      <c r="X298" s="6" t="n">
        <v>0.0317294685115491</v>
      </c>
      <c r="Y298" s="6" t="n">
        <v>0.03174439879630291</v>
      </c>
      <c r="Z298" s="6" t="n">
        <v>0.03305950431870376</v>
      </c>
      <c r="AA298" s="6" t="n">
        <v>0.03402426353926975</v>
      </c>
      <c r="AB298" s="6" t="n">
        <v>0.03564974851234601</v>
      </c>
      <c r="AC298" s="6" t="n">
        <v>0.03683076964636899</v>
      </c>
      <c r="AD298" s="6" t="n">
        <v>0.0402165127561107</v>
      </c>
      <c r="AE298" s="6" t="n">
        <v>0.04194504016536777</v>
      </c>
      <c r="AF298" s="6" t="n">
        <v>0.04341654712966558</v>
      </c>
      <c r="AG298" s="6" t="n">
        <v>0.04422683953596448</v>
      </c>
      <c r="AH298" s="6" t="n">
        <v>0.0464470950071792</v>
      </c>
      <c r="AI298" s="6" t="n">
        <v>0.04781089882837024</v>
      </c>
      <c r="AJ298" s="6" t="n">
        <v>0.05011909730654722</v>
      </c>
      <c r="AK298" s="6" t="n">
        <v>0.05174136373715012</v>
      </c>
      <c r="AL298" s="6" t="n">
        <v>0.05486337334066368</v>
      </c>
      <c r="AM298" s="6" t="n">
        <v>0.05600370673381757</v>
      </c>
      <c r="AN298" s="6" t="n">
        <v>0.04620239321839347</v>
      </c>
      <c r="AO298" s="6" t="n">
        <v>0.04688685010878882</v>
      </c>
      <c r="AP298" s="6" t="n">
        <v>0</v>
      </c>
      <c r="AQ298" s="6" t="n">
        <v>0</v>
      </c>
      <c r="AR298" s="6" t="n">
        <v>0</v>
      </c>
      <c r="AS298" s="6" t="n">
        <v>0</v>
      </c>
      <c r="AT298" s="6" t="n">
        <v>0</v>
      </c>
      <c r="AU298" s="6" t="n">
        <v>0</v>
      </c>
      <c r="AV298" s="6" t="n">
        <v>0</v>
      </c>
      <c r="AW298" s="6" t="n">
        <v>0</v>
      </c>
      <c r="AX298" s="6" t="n">
        <v>0</v>
      </c>
      <c r="AY298" s="6" t="n">
        <v>0</v>
      </c>
      <c r="AZ298" s="6" t="n">
        <v>0</v>
      </c>
      <c r="BA298" s="6" t="n">
        <v>0</v>
      </c>
      <c r="BB298" s="6" t="n">
        <v>0</v>
      </c>
      <c r="BC298" s="6" t="n">
        <v>0</v>
      </c>
      <c r="BD298" s="6" t="n">
        <v>0</v>
      </c>
      <c r="BE298" s="6" t="n">
        <v>0</v>
      </c>
      <c r="BF298" s="6" t="n">
        <v>0</v>
      </c>
      <c r="BG298" s="6" t="n">
        <v>0</v>
      </c>
      <c r="BH298" s="6" t="n">
        <v>0</v>
      </c>
      <c r="BI298" s="6" t="n">
        <v>0</v>
      </c>
      <c r="BJ298" s="6" t="n">
        <v>0</v>
      </c>
      <c r="BK298" s="6" t="n">
        <v>0</v>
      </c>
      <c r="BL298" s="6" t="n">
        <v>0</v>
      </c>
      <c r="BM298" s="6" t="n">
        <v>0</v>
      </c>
      <c r="BN298" s="6" t="n">
        <v>0</v>
      </c>
    </row>
    <row r="299">
      <c r="D299" t="inlineStr">
        <is>
          <t>COD re-sculpted repayment profile (share of debt at COD)</t>
        </is>
      </c>
      <c r="E299" t="inlineStr">
        <is>
          <t>fraction</t>
        </is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0.02492121667112088</v>
      </c>
      <c r="R299" s="6" t="n">
        <v>0.02664660047040042</v>
      </c>
      <c r="S299" s="6" t="n">
        <v>0.02759604458467765</v>
      </c>
      <c r="T299" s="6" t="n">
        <v>0.02888825064959648</v>
      </c>
      <c r="U299" s="6" t="n">
        <v>0.0296987112931962</v>
      </c>
      <c r="V299" s="6" t="n">
        <v>0.03105885768561841</v>
      </c>
      <c r="W299" s="6" t="n">
        <v>0.03277706730010246</v>
      </c>
      <c r="X299" s="6" t="n">
        <v>0.03427956112200796</v>
      </c>
      <c r="Y299" s="6" t="n">
        <v>0.03185352351247105</v>
      </c>
      <c r="Z299" s="6" t="n">
        <v>0.03335144112570533</v>
      </c>
      <c r="AA299" s="6" t="n">
        <v>0.03404882778677493</v>
      </c>
      <c r="AB299" s="6" t="n">
        <v>0.03570569600105964</v>
      </c>
      <c r="AC299" s="6" t="n">
        <v>0.03672091019892312</v>
      </c>
      <c r="AD299" s="6" t="n">
        <v>0.0384689461355592</v>
      </c>
      <c r="AE299" s="6" t="n">
        <v>0.04158438492613827</v>
      </c>
      <c r="AF299" s="6" t="n">
        <v>0.04382240991310483</v>
      </c>
      <c r="AG299" s="6" t="n">
        <v>0.04413949061350413</v>
      </c>
      <c r="AH299" s="6" t="n">
        <v>0.04642087223316833</v>
      </c>
      <c r="AI299" s="6" t="n">
        <v>0.04787232137396746</v>
      </c>
      <c r="AJ299" s="6" t="n">
        <v>0.0502195640539474</v>
      </c>
      <c r="AK299" s="6" t="n">
        <v>0.05170891802557741</v>
      </c>
      <c r="AL299" s="6" t="n">
        <v>0.0541382044749565</v>
      </c>
      <c r="AM299" s="6" t="n">
        <v>0.05666149382313952</v>
      </c>
      <c r="AN299" s="6" t="n">
        <v>0.05940104456083106</v>
      </c>
      <c r="AO299" s="6" t="n">
        <v>0.05801564146445255</v>
      </c>
      <c r="AP299" s="6" t="n">
        <v>0</v>
      </c>
      <c r="AQ299" s="6" t="n">
        <v>0</v>
      </c>
      <c r="AR299" s="6" t="n">
        <v>0</v>
      </c>
      <c r="AS299" s="6" t="n">
        <v>0</v>
      </c>
      <c r="AT299" s="6" t="n">
        <v>0</v>
      </c>
      <c r="AU299" s="6" t="n">
        <v>0</v>
      </c>
      <c r="AV299" s="6" t="n">
        <v>0</v>
      </c>
      <c r="AW299" s="6" t="n">
        <v>0</v>
      </c>
      <c r="AX299" s="6" t="n">
        <v>0</v>
      </c>
      <c r="AY299" s="6" t="n">
        <v>0</v>
      </c>
      <c r="AZ299" s="6" t="n">
        <v>0</v>
      </c>
      <c r="BA299" s="6" t="n">
        <v>0</v>
      </c>
      <c r="BB299" s="6" t="n">
        <v>0</v>
      </c>
      <c r="BC299" s="6" t="n">
        <v>0</v>
      </c>
      <c r="BD299" s="6" t="n">
        <v>0</v>
      </c>
      <c r="BE299" s="6" t="n">
        <v>0</v>
      </c>
      <c r="BF299" s="6" t="n">
        <v>0</v>
      </c>
      <c r="BG299" s="6" t="n">
        <v>0</v>
      </c>
      <c r="BH299" s="6" t="n">
        <v>0</v>
      </c>
      <c r="BI299" s="6" t="n">
        <v>0</v>
      </c>
      <c r="BJ299" s="6" t="n">
        <v>0</v>
      </c>
      <c r="BK299" s="6" t="n">
        <v>0</v>
      </c>
      <c r="BL299" s="6" t="n">
        <v>0</v>
      </c>
      <c r="BM299" s="6" t="n">
        <v>0</v>
      </c>
      <c r="BN299" s="6" t="n">
        <v>0</v>
      </c>
    </row>
    <row r="300">
      <c r="D300" t="inlineStr">
        <is>
          <t>Bond amortization profile (share of face)</t>
        </is>
      </c>
      <c r="E300" t="inlineStr">
        <is>
          <t>fraction</t>
        </is>
      </c>
      <c r="J300" s="6" t="n">
        <v>0</v>
      </c>
      <c r="K300" s="6" t="n">
        <v>0</v>
      </c>
      <c r="L300" s="6" t="n">
        <v>0</v>
      </c>
      <c r="M300" s="6" t="n">
        <v>0</v>
      </c>
      <c r="N300" s="6" t="n">
        <v>0</v>
      </c>
      <c r="O300" s="6" t="n">
        <v>0</v>
      </c>
      <c r="P300" s="6" t="n">
        <v>0</v>
      </c>
      <c r="Q300" s="6" t="n">
        <v>0</v>
      </c>
      <c r="R300" s="6" t="n">
        <v>0</v>
      </c>
      <c r="S300" s="6" t="n">
        <v>0</v>
      </c>
      <c r="T300" s="6" t="n">
        <v>0</v>
      </c>
      <c r="U300" s="6" t="n">
        <v>0</v>
      </c>
      <c r="V300" s="6" t="n">
        <v>0</v>
      </c>
      <c r="W300" s="6" t="n">
        <v>0</v>
      </c>
      <c r="X300" s="6" t="n">
        <v>0.01109281170584355</v>
      </c>
      <c r="Y300" s="6" t="n">
        <v>0.01611192821167361</v>
      </c>
      <c r="Z300" s="6" t="n">
        <v>0.01761625979950614</v>
      </c>
      <c r="AA300" s="6" t="n">
        <v>0.01756090365083943</v>
      </c>
      <c r="AB300" s="6" t="n">
        <v>0.01888075218483377</v>
      </c>
      <c r="AC300" s="6" t="n">
        <v>0.01890834059725892</v>
      </c>
      <c r="AD300" s="6" t="n">
        <v>0.02002427691925613</v>
      </c>
      <c r="AE300" s="6" t="n">
        <v>0.0220425537786885</v>
      </c>
      <c r="AF300" s="6" t="n">
        <v>0.02353641033974216</v>
      </c>
      <c r="AG300" s="6" t="n">
        <v>0.02376200405504096</v>
      </c>
      <c r="AH300" s="6" t="n">
        <v>0.02514405847890659</v>
      </c>
      <c r="AI300" s="6" t="n">
        <v>0.02522742917041925</v>
      </c>
      <c r="AJ300" s="6" t="n">
        <v>0.02649633835540665</v>
      </c>
      <c r="AK300" s="6" t="n">
        <v>0.02661192441658703</v>
      </c>
      <c r="AL300" s="6" t="n">
        <v>0.02773427333606693</v>
      </c>
      <c r="AM300" s="6" t="n">
        <v>0.02874043283146949</v>
      </c>
      <c r="AN300" s="6" t="n">
        <v>0.0299976714643956</v>
      </c>
      <c r="AO300" s="6" t="n">
        <v>0.02696870435180381</v>
      </c>
      <c r="AP300" s="6" t="n">
        <v>0.09367671694203662</v>
      </c>
      <c r="AQ300" s="6" t="n">
        <v>0.08896197241765595</v>
      </c>
      <c r="AR300" s="6" t="n">
        <v>0.09361458458293083</v>
      </c>
      <c r="AS300" s="6" t="n">
        <v>0.09576367135514924</v>
      </c>
      <c r="AT300" s="6" t="n">
        <v>0.1003452008485892</v>
      </c>
      <c r="AU300" s="6" t="n">
        <v>0.1211807802058968</v>
      </c>
      <c r="AV300" s="6" t="n">
        <v>0</v>
      </c>
      <c r="AW300" s="6" t="n">
        <v>0</v>
      </c>
      <c r="AX300" s="6" t="n">
        <v>0</v>
      </c>
      <c r="AY300" s="6" t="n">
        <v>0</v>
      </c>
      <c r="AZ300" s="6" t="n">
        <v>0</v>
      </c>
      <c r="BA300" s="6" t="n">
        <v>0</v>
      </c>
      <c r="BB300" s="6" t="n">
        <v>0</v>
      </c>
      <c r="BC300" s="6" t="n">
        <v>0</v>
      </c>
      <c r="BD300" s="6" t="n">
        <v>0</v>
      </c>
      <c r="BE300" s="6" t="n">
        <v>0</v>
      </c>
      <c r="BF300" s="6" t="n">
        <v>0</v>
      </c>
      <c r="BG300" s="6" t="n">
        <v>0</v>
      </c>
      <c r="BH300" s="6" t="n">
        <v>0</v>
      </c>
      <c r="BI300" s="6" t="n">
        <v>0</v>
      </c>
      <c r="BJ300" s="6" t="n">
        <v>0</v>
      </c>
      <c r="BK300" s="6" t="n">
        <v>0</v>
      </c>
      <c r="BL300" s="6" t="n">
        <v>0</v>
      </c>
      <c r="BM300" s="6" t="n">
        <v>0</v>
      </c>
      <c r="BN300" s="6" t="n">
        <v>0</v>
      </c>
    </row>
    <row r="301">
      <c r="D301" t="inlineStr">
        <is>
          <t>Swap notional schedule, semiannual (contract)</t>
        </is>
      </c>
      <c r="E301" t="inlineStr">
        <is>
          <t>USD m</t>
        </is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506.6047800584543</v>
      </c>
      <c r="Q301" s="6" t="n">
        <v>494.2130082270505</v>
      </c>
      <c r="R301" s="6" t="n">
        <v>481.2967951729616</v>
      </c>
      <c r="S301" s="6" t="n">
        <v>467.7443461066698</v>
      </c>
      <c r="T301" s="6" t="n">
        <v>453.7925282911789</v>
      </c>
      <c r="U301" s="6" t="n">
        <v>439.1989318557941</v>
      </c>
      <c r="V301" s="6" t="n">
        <v>424.13991993927</v>
      </c>
      <c r="W301" s="6" t="n">
        <v>408.0971134137725</v>
      </c>
      <c r="X301" s="6" t="n">
        <v>391.5638881387553</v>
      </c>
      <c r="Y301" s="6" t="n">
        <v>375.4895877220902</v>
      </c>
      <c r="Z301" s="6" t="n">
        <v>359.4077235518013</v>
      </c>
      <c r="AA301" s="6" t="n">
        <v>342.6596206375829</v>
      </c>
      <c r="AB301" s="6" t="n">
        <v>325.4227660906203</v>
      </c>
      <c r="AC301" s="6" t="n">
        <v>307.362433086384</v>
      </c>
      <c r="AD301" s="6" t="n">
        <v>288.7037891303016</v>
      </c>
      <c r="AE301" s="6" t="n">
        <v>268.3299115307742</v>
      </c>
      <c r="AF301" s="6" t="n">
        <v>247.080353683255</v>
      </c>
      <c r="AG301" s="6" t="n">
        <v>225.0853233737332</v>
      </c>
      <c r="AH301" s="6" t="n">
        <v>202.6797950579354</v>
      </c>
      <c r="AI301" s="6" t="n">
        <v>179.1494747074693</v>
      </c>
      <c r="AJ301" s="6" t="n">
        <v>154.9282448221257</v>
      </c>
      <c r="AK301" s="6" t="n">
        <v>129.5376705544141</v>
      </c>
      <c r="AL301" s="6" t="n">
        <v>103.3252483584307</v>
      </c>
      <c r="AM301" s="6" t="n">
        <v>75.53120117391893</v>
      </c>
      <c r="AN301" s="6" t="n">
        <v>47.15945564157511</v>
      </c>
      <c r="AO301" s="6" t="n">
        <v>23.75310238699667</v>
      </c>
      <c r="AP301" s="6" t="n">
        <v>0</v>
      </c>
      <c r="AQ301" s="6" t="n">
        <v>0</v>
      </c>
      <c r="AR301" s="6" t="n">
        <v>0</v>
      </c>
      <c r="AS301" s="6" t="n">
        <v>0</v>
      </c>
      <c r="AT301" s="6" t="n">
        <v>0</v>
      </c>
      <c r="AU301" s="6" t="n">
        <v>0</v>
      </c>
      <c r="AV301" s="6" t="n">
        <v>0</v>
      </c>
      <c r="AW301" s="6" t="n">
        <v>0</v>
      </c>
      <c r="AX301" s="6" t="n">
        <v>0</v>
      </c>
      <c r="AY301" s="6" t="n">
        <v>0</v>
      </c>
      <c r="AZ301" s="6" t="n">
        <v>0</v>
      </c>
      <c r="BA301" s="6" t="n">
        <v>0</v>
      </c>
      <c r="BB301" s="6" t="n">
        <v>0</v>
      </c>
      <c r="BC301" s="6" t="n">
        <v>0</v>
      </c>
      <c r="BD301" s="6" t="n">
        <v>0</v>
      </c>
      <c r="BE301" s="6" t="n">
        <v>0</v>
      </c>
      <c r="BF301" s="6" t="n">
        <v>0</v>
      </c>
      <c r="BG301" s="6" t="n">
        <v>0</v>
      </c>
      <c r="BH301" s="6" t="n">
        <v>0</v>
      </c>
      <c r="BI301" s="6" t="n">
        <v>0</v>
      </c>
      <c r="BJ301" s="6" t="n">
        <v>0</v>
      </c>
      <c r="BK301" s="6" t="n">
        <v>0</v>
      </c>
      <c r="BL301" s="6" t="n">
        <v>0</v>
      </c>
      <c r="BM301" s="6" t="n">
        <v>0</v>
      </c>
      <c r="BN301" s="6" t="n">
        <v>0</v>
      </c>
    </row>
    <row r="302">
      <c r="D302" t="inlineStr">
        <is>
          <t>Availability profile by OY (8-year cycle, cols J-Q)</t>
        </is>
      </c>
      <c r="E302" t="inlineStr">
        <is>
          <t>%</t>
        </is>
      </c>
      <c r="J302" s="6" t="n">
        <v>93.8</v>
      </c>
      <c r="K302" s="6" t="n">
        <v>92.90000000000001</v>
      </c>
      <c r="L302" s="6" t="n">
        <v>93.8</v>
      </c>
      <c r="M302" s="6" t="n">
        <v>90.59999999999999</v>
      </c>
      <c r="N302" s="6" t="n">
        <v>93.8</v>
      </c>
      <c r="O302" s="6" t="n">
        <v>92.90000000000001</v>
      </c>
      <c r="P302" s="6" t="n">
        <v>93.8</v>
      </c>
      <c r="Q302" s="6" t="n">
        <v>88.7</v>
      </c>
    </row>
    <row r="303">
      <c r="D303" t="inlineStr">
        <is>
          <t>Actual dispatch when available, 2022 drought (annex 4.11)</t>
        </is>
      </c>
      <c r="E303" t="inlineStr">
        <is>
          <t>%</t>
        </is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84</v>
      </c>
      <c r="R303" s="6" t="n">
        <v>81.5</v>
      </c>
      <c r="S303" s="6" t="n">
        <v>0</v>
      </c>
      <c r="T303" s="6" t="n">
        <v>0</v>
      </c>
      <c r="U303" s="6" t="n">
        <v>0</v>
      </c>
      <c r="V303" s="6" t="n">
        <v>0</v>
      </c>
      <c r="W303" s="6" t="n">
        <v>0</v>
      </c>
      <c r="X303" s="6" t="n">
        <v>0</v>
      </c>
      <c r="Y303" s="6" t="n">
        <v>0</v>
      </c>
      <c r="Z303" s="6" t="n">
        <v>0</v>
      </c>
      <c r="AA303" s="6" t="n">
        <v>0</v>
      </c>
      <c r="AB303" s="6" t="n">
        <v>0</v>
      </c>
      <c r="AC303" s="6" t="n">
        <v>0</v>
      </c>
      <c r="AD303" s="6" t="n">
        <v>0</v>
      </c>
      <c r="AE303" s="6" t="n">
        <v>0</v>
      </c>
      <c r="AF303" s="6" t="n">
        <v>0</v>
      </c>
      <c r="AG303" s="6" t="n">
        <v>0</v>
      </c>
      <c r="AH303" s="6" t="n">
        <v>0</v>
      </c>
      <c r="AI303" s="6" t="n">
        <v>0</v>
      </c>
      <c r="AJ303" s="6" t="n">
        <v>0</v>
      </c>
      <c r="AK303" s="6" t="n">
        <v>0</v>
      </c>
      <c r="AL303" s="6" t="n">
        <v>0</v>
      </c>
      <c r="AM303" s="6" t="n">
        <v>0</v>
      </c>
      <c r="AN303" s="6" t="n">
        <v>0</v>
      </c>
      <c r="AO303" s="6" t="n">
        <v>0</v>
      </c>
      <c r="AP303" s="6" t="n">
        <v>0</v>
      </c>
      <c r="AQ303" s="6" t="n">
        <v>0</v>
      </c>
      <c r="AR303" s="6" t="n">
        <v>0</v>
      </c>
      <c r="AS303" s="6" t="n">
        <v>0</v>
      </c>
      <c r="AT303" s="6" t="n">
        <v>0</v>
      </c>
      <c r="AU303" s="6" t="n">
        <v>0</v>
      </c>
      <c r="AV303" s="6" t="n">
        <v>0</v>
      </c>
      <c r="AW303" s="6" t="n">
        <v>0</v>
      </c>
      <c r="AX303" s="6" t="n">
        <v>0</v>
      </c>
      <c r="AY303" s="6" t="n">
        <v>0</v>
      </c>
      <c r="AZ303" s="6" t="n">
        <v>0</v>
      </c>
      <c r="BA303" s="6" t="n">
        <v>0</v>
      </c>
      <c r="BB303" s="6" t="n">
        <v>0</v>
      </c>
      <c r="BC303" s="6" t="n">
        <v>0</v>
      </c>
      <c r="BD303" s="6" t="n">
        <v>0</v>
      </c>
      <c r="BE303" s="6" t="n">
        <v>0</v>
      </c>
      <c r="BF303" s="6" t="n">
        <v>0</v>
      </c>
      <c r="BG303" s="6" t="n">
        <v>0</v>
      </c>
      <c r="BH303" s="6" t="n">
        <v>0</v>
      </c>
      <c r="BI303" s="6" t="n">
        <v>0</v>
      </c>
      <c r="BJ303" s="6" t="n">
        <v>0</v>
      </c>
      <c r="BK303" s="6" t="n">
        <v>0</v>
      </c>
      <c r="BL303" s="6" t="n">
        <v>0</v>
      </c>
      <c r="BM303" s="6" t="n">
        <v>0</v>
      </c>
      <c r="BN303" s="6" t="n">
        <v>0</v>
      </c>
    </row>
    <row r="304">
      <c r="B304" s="2" t="inlineStr">
        <is>
          <t>Monthly inputs (column J = Aug 2018 ... BJ = Dec 2022)</t>
        </is>
      </c>
    </row>
    <row r="305">
      <c r="D305" t="inlineStr">
        <is>
          <t>EPC payment profile, FC (33 months)</t>
        </is>
      </c>
      <c r="E305" t="inlineStr">
        <is>
          <t>%</t>
        </is>
      </c>
      <c r="J305" s="6" t="n">
        <v>10</v>
      </c>
      <c r="K305" s="6" t="n">
        <v>0.0108</v>
      </c>
      <c r="L305" s="6" t="n">
        <v>0.1133</v>
      </c>
      <c r="M305" s="6" t="n">
        <v>0.3239</v>
      </c>
      <c r="N305" s="6" t="n">
        <v>0.6294</v>
      </c>
      <c r="O305" s="6" t="n">
        <v>1.0114</v>
      </c>
      <c r="P305" s="6" t="n">
        <v>1.4496</v>
      </c>
      <c r="Q305" s="6" t="n">
        <v>1.9236</v>
      </c>
      <c r="R305" s="6" t="n">
        <v>2.4133</v>
      </c>
      <c r="S305" s="6" t="n">
        <v>2.8999</v>
      </c>
      <c r="T305" s="6" t="n">
        <v>3.3659</v>
      </c>
      <c r="U305" s="6" t="n">
        <v>3.7957</v>
      </c>
      <c r="V305" s="6" t="n">
        <v>4.1755</v>
      </c>
      <c r="W305" s="6" t="n">
        <v>4.4935</v>
      </c>
      <c r="X305" s="6" t="n">
        <v>4.7405</v>
      </c>
      <c r="Y305" s="6" t="n">
        <v>4.9091</v>
      </c>
      <c r="Z305" s="6" t="n">
        <v>4.9946</v>
      </c>
      <c r="AA305" s="6" t="n">
        <v>4.9946</v>
      </c>
      <c r="AB305" s="6" t="n">
        <v>4.9091</v>
      </c>
      <c r="AC305" s="6" t="n">
        <v>4.7405</v>
      </c>
      <c r="AD305" s="6" t="n">
        <v>4.4935</v>
      </c>
      <c r="AE305" s="6" t="n">
        <v>4.1755</v>
      </c>
      <c r="AF305" s="6" t="n">
        <v>3.7957</v>
      </c>
      <c r="AG305" s="6" t="n">
        <v>3.3659</v>
      </c>
      <c r="AH305" s="6" t="n">
        <v>2.8999</v>
      </c>
      <c r="AI305" s="6" t="n">
        <v>2.4133</v>
      </c>
      <c r="AJ305" s="6" t="n">
        <v>1.9236</v>
      </c>
      <c r="AK305" s="6" t="n">
        <v>1.4496</v>
      </c>
      <c r="AL305" s="6" t="n">
        <v>1.0114</v>
      </c>
      <c r="AM305" s="6" t="n">
        <v>0.6294</v>
      </c>
      <c r="AN305" s="6" t="n">
        <v>0.3239</v>
      </c>
      <c r="AO305" s="6" t="n">
        <v>0.1133</v>
      </c>
      <c r="AP305" s="6" t="n">
        <v>7.5108</v>
      </c>
    </row>
    <row r="306">
      <c r="D306" t="inlineStr">
        <is>
          <t>EPC payment profile, actual (40 months)</t>
        </is>
      </c>
      <c r="E306" t="inlineStr">
        <is>
          <t>%</t>
        </is>
      </c>
      <c r="J306" s="6" t="n">
        <v>10</v>
      </c>
      <c r="K306" s="6" t="n">
        <v>0.0102</v>
      </c>
      <c r="L306" s="6" t="n">
        <v>0.0868</v>
      </c>
      <c r="M306" s="6" t="n">
        <v>0.2284</v>
      </c>
      <c r="N306" s="6" t="n">
        <v>0.4235</v>
      </c>
      <c r="O306" s="6" t="n">
        <v>0.6612</v>
      </c>
      <c r="P306" s="6" t="n">
        <v>0.9313</v>
      </c>
      <c r="Q306" s="6" t="n">
        <v>1.2242</v>
      </c>
      <c r="R306" s="6" t="n">
        <v>1.5311</v>
      </c>
      <c r="S306" s="6" t="n">
        <v>1.8437</v>
      </c>
      <c r="T306" s="6" t="n">
        <v>2.1545</v>
      </c>
      <c r="U306" s="6" t="n">
        <v>2.4565</v>
      </c>
      <c r="V306" s="6" t="n">
        <v>2.7436</v>
      </c>
      <c r="W306" s="6" t="n">
        <v>3.01</v>
      </c>
      <c r="X306" s="6" t="n">
        <v>3.2509</v>
      </c>
      <c r="Y306" s="6" t="n">
        <v>3.4619</v>
      </c>
      <c r="Z306" s="6" t="n">
        <v>3.6396</v>
      </c>
      <c r="AA306" s="6" t="n">
        <v>3.7808</v>
      </c>
      <c r="AB306" s="6" t="n">
        <v>3.8833</v>
      </c>
      <c r="AC306" s="6" t="n">
        <v>3.9455</v>
      </c>
      <c r="AD306" s="6" t="n">
        <v>3.966</v>
      </c>
      <c r="AE306" s="6" t="n">
        <v>3.9455</v>
      </c>
      <c r="AF306" s="6" t="n">
        <v>3.8833</v>
      </c>
      <c r="AG306" s="6" t="n">
        <v>3.7808</v>
      </c>
      <c r="AH306" s="6" t="n">
        <v>3.6396</v>
      </c>
      <c r="AI306" s="6" t="n">
        <v>3.4619</v>
      </c>
      <c r="AJ306" s="6" t="n">
        <v>3.2509</v>
      </c>
      <c r="AK306" s="6" t="n">
        <v>3.01</v>
      </c>
      <c r="AL306" s="6" t="n">
        <v>2.7436</v>
      </c>
      <c r="AM306" s="6" t="n">
        <v>2.4565</v>
      </c>
      <c r="AN306" s="6" t="n">
        <v>2.1545</v>
      </c>
      <c r="AO306" s="6" t="n">
        <v>1.8437</v>
      </c>
      <c r="AP306" s="6" t="n">
        <v>1.5311</v>
      </c>
      <c r="AQ306" s="6" t="n">
        <v>1.2242</v>
      </c>
      <c r="AR306" s="6" t="n">
        <v>0.9313</v>
      </c>
      <c r="AS306" s="6" t="n">
        <v>0.6612</v>
      </c>
      <c r="AT306" s="6" t="n">
        <v>0.4235</v>
      </c>
      <c r="AU306" s="6" t="n">
        <v>0.2284</v>
      </c>
      <c r="AV306" s="6" t="n">
        <v>0.0868</v>
      </c>
      <c r="AW306" s="6" t="n">
        <v>7.5102</v>
      </c>
    </row>
    <row r="307">
      <c r="D307" t="inlineStr">
        <is>
          <t>Owner's cost profile, FC</t>
        </is>
      </c>
      <c r="E307" t="inlineStr">
        <is>
          <t>%</t>
        </is>
      </c>
      <c r="J307" s="6" t="n">
        <v>12</v>
      </c>
      <c r="K307" s="6" t="n">
        <v>2.75</v>
      </c>
      <c r="L307" s="6" t="n">
        <v>2.75</v>
      </c>
      <c r="M307" s="6" t="n">
        <v>2.75</v>
      </c>
      <c r="N307" s="6" t="n">
        <v>2.75</v>
      </c>
      <c r="O307" s="6" t="n">
        <v>2.75</v>
      </c>
      <c r="P307" s="6" t="n">
        <v>2.75</v>
      </c>
      <c r="Q307" s="6" t="n">
        <v>2.75</v>
      </c>
      <c r="R307" s="6" t="n">
        <v>2.75</v>
      </c>
      <c r="S307" s="6" t="n">
        <v>2.75</v>
      </c>
      <c r="T307" s="6" t="n">
        <v>2.75</v>
      </c>
      <c r="U307" s="6" t="n">
        <v>2.75</v>
      </c>
      <c r="V307" s="6" t="n">
        <v>2.75</v>
      </c>
      <c r="W307" s="6" t="n">
        <v>2.75</v>
      </c>
      <c r="X307" s="6" t="n">
        <v>2.75</v>
      </c>
      <c r="Y307" s="6" t="n">
        <v>2.75</v>
      </c>
      <c r="Z307" s="6" t="n">
        <v>2.75</v>
      </c>
      <c r="AA307" s="6" t="n">
        <v>2.75</v>
      </c>
      <c r="AB307" s="6" t="n">
        <v>2.75</v>
      </c>
      <c r="AC307" s="6" t="n">
        <v>2.75</v>
      </c>
      <c r="AD307" s="6" t="n">
        <v>2.75</v>
      </c>
      <c r="AE307" s="6" t="n">
        <v>2.75</v>
      </c>
      <c r="AF307" s="6" t="n">
        <v>2.75</v>
      </c>
      <c r="AG307" s="6" t="n">
        <v>2.75</v>
      </c>
      <c r="AH307" s="6" t="n">
        <v>2.75</v>
      </c>
      <c r="AI307" s="6" t="n">
        <v>2.75</v>
      </c>
      <c r="AJ307" s="6" t="n">
        <v>2.75</v>
      </c>
      <c r="AK307" s="6" t="n">
        <v>2.75</v>
      </c>
      <c r="AL307" s="6" t="n">
        <v>2.75</v>
      </c>
      <c r="AM307" s="6" t="n">
        <v>2.75</v>
      </c>
      <c r="AN307" s="6" t="n">
        <v>2.75</v>
      </c>
      <c r="AO307" s="6" t="n">
        <v>2.75</v>
      </c>
      <c r="AP307" s="6" t="n">
        <v>2.75</v>
      </c>
    </row>
    <row r="308">
      <c r="D308" t="inlineStr">
        <is>
          <t>Overrun items, actual (excl. extended owners)</t>
        </is>
      </c>
      <c r="E308" t="inlineStr">
        <is>
          <t>USD m</t>
        </is>
      </c>
      <c r="J308" s="6" t="n">
        <v>0</v>
      </c>
      <c r="K308" s="6" t="n">
        <v>0</v>
      </c>
      <c r="L308" s="6" t="n">
        <v>0</v>
      </c>
      <c r="M308" s="6" t="n">
        <v>0</v>
      </c>
      <c r="N308" s="6" t="n">
        <v>0</v>
      </c>
      <c r="O308" s="6" t="n">
        <v>0</v>
      </c>
      <c r="P308" s="6" t="n">
        <v>0</v>
      </c>
      <c r="Q308" s="6" t="n">
        <v>0</v>
      </c>
      <c r="R308" s="6" t="n">
        <v>0</v>
      </c>
      <c r="S308" s="6" t="n">
        <v>0</v>
      </c>
      <c r="T308" s="6" t="n">
        <v>0</v>
      </c>
      <c r="U308" s="6" t="n">
        <v>0</v>
      </c>
      <c r="V308" s="6" t="n">
        <v>0</v>
      </c>
      <c r="W308" s="6" t="n">
        <v>0</v>
      </c>
      <c r="X308" s="6" t="n">
        <v>0</v>
      </c>
      <c r="Y308" s="6" t="n">
        <v>0</v>
      </c>
      <c r="Z308" s="6" t="n">
        <v>0</v>
      </c>
      <c r="AA308" s="6" t="n">
        <v>0</v>
      </c>
      <c r="AB308" s="6" t="n">
        <v>0</v>
      </c>
      <c r="AC308" s="6" t="n">
        <v>0</v>
      </c>
      <c r="AD308" s="6" t="n">
        <v>0.3425</v>
      </c>
      <c r="AE308" s="6" t="n">
        <v>0.3425</v>
      </c>
      <c r="AF308" s="6" t="n">
        <v>0.3425</v>
      </c>
      <c r="AG308" s="6" t="n">
        <v>0.3425</v>
      </c>
      <c r="AH308" s="6" t="n">
        <v>0.3425</v>
      </c>
      <c r="AI308" s="6" t="n">
        <v>0.3425</v>
      </c>
      <c r="AJ308" s="6" t="n">
        <v>1.909166666666667</v>
      </c>
      <c r="AK308" s="6" t="n">
        <v>1.909166666666667</v>
      </c>
      <c r="AL308" s="6" t="n">
        <v>1.909166666666667</v>
      </c>
      <c r="AM308" s="6" t="n">
        <v>2.454166666666667</v>
      </c>
      <c r="AN308" s="6" t="n">
        <v>2.454166666666667</v>
      </c>
      <c r="AO308" s="6" t="n">
        <v>2.454166666666667</v>
      </c>
      <c r="AP308" s="6" t="n">
        <v>0.545</v>
      </c>
      <c r="AQ308" s="6" t="n">
        <v>8.112142857142857</v>
      </c>
      <c r="AR308" s="6" t="n">
        <v>6.692142857142858</v>
      </c>
      <c r="AS308" s="6" t="n">
        <v>7.147142857142857</v>
      </c>
      <c r="AT308" s="6" t="n">
        <v>6.147142857142857</v>
      </c>
      <c r="AU308" s="6" t="n">
        <v>8.787142857142857</v>
      </c>
      <c r="AV308" s="6" t="n">
        <v>6.832142857142857</v>
      </c>
      <c r="AW308" s="6" t="n">
        <v>15.10214285714286</v>
      </c>
      <c r="AX308" s="6" t="n">
        <v>0</v>
      </c>
      <c r="AY308" s="6" t="n">
        <v>0</v>
      </c>
      <c r="AZ308" s="6" t="n">
        <v>0</v>
      </c>
      <c r="BA308" s="6" t="n">
        <v>0</v>
      </c>
      <c r="BB308" s="6" t="n">
        <v>0</v>
      </c>
      <c r="BC308" s="6" t="n">
        <v>0</v>
      </c>
      <c r="BD308" s="6" t="n">
        <v>0</v>
      </c>
      <c r="BE308" s="6" t="n">
        <v>0</v>
      </c>
      <c r="BF308" s="6" t="n">
        <v>0</v>
      </c>
      <c r="BG308" s="6" t="n">
        <v>0</v>
      </c>
      <c r="BH308" s="6" t="n">
        <v>0</v>
      </c>
      <c r="BI308" s="6" t="n">
        <v>0</v>
      </c>
      <c r="BJ308" s="6" t="n">
        <v>0</v>
      </c>
    </row>
    <row r="309">
      <c r="D309" t="inlineStr">
        <is>
          <t>Swap notional schedule, monthly (contract)</t>
        </is>
      </c>
      <c r="E309" t="inlineStr">
        <is>
          <t>USD m</t>
        </is>
      </c>
      <c r="J309" s="6" t="n">
        <v>0</v>
      </c>
      <c r="K309" s="6" t="n">
        <v>72.03829474521896</v>
      </c>
      <c r="L309" s="6" t="n">
        <v>73.51887276343012</v>
      </c>
      <c r="M309" s="6" t="n">
        <v>75.40617553902828</v>
      </c>
      <c r="N309" s="6" t="n">
        <v>78.07421473717562</v>
      </c>
      <c r="O309" s="6" t="n">
        <v>81.91599308048065</v>
      </c>
      <c r="P309" s="6" t="n">
        <v>87.21000268067854</v>
      </c>
      <c r="Q309" s="6" t="n">
        <v>94.11618703202072</v>
      </c>
      <c r="R309" s="6" t="n">
        <v>102.8823415907884</v>
      </c>
      <c r="S309" s="6" t="n">
        <v>113.5022413334215</v>
      </c>
      <c r="T309" s="6" t="n">
        <v>126.0097195597594</v>
      </c>
      <c r="U309" s="6" t="n">
        <v>140.2836182208805</v>
      </c>
      <c r="V309" s="6" t="n">
        <v>156.2511438360465</v>
      </c>
      <c r="W309" s="6" t="n">
        <v>173.7077024568702</v>
      </c>
      <c r="X309" s="6" t="n">
        <v>192.4025609545302</v>
      </c>
      <c r="Y309" s="6" t="n">
        <v>212.1224961922896</v>
      </c>
      <c r="Z309" s="6" t="n">
        <v>232.5249987992842</v>
      </c>
      <c r="AA309" s="6" t="n">
        <v>253.3550550829947</v>
      </c>
      <c r="AB309" s="6" t="n">
        <v>274.9625112136583</v>
      </c>
      <c r="AC309" s="6" t="n">
        <v>295.573347969675</v>
      </c>
      <c r="AD309" s="6" t="n">
        <v>315.6942886417129</v>
      </c>
      <c r="AE309" s="6" t="n">
        <v>334.9285707017309</v>
      </c>
      <c r="AF309" s="6" t="n">
        <v>353.0762113009259</v>
      </c>
      <c r="AG309" s="6" t="n">
        <v>369.8270855783692</v>
      </c>
      <c r="AH309" s="6" t="n">
        <v>385.0658631524328</v>
      </c>
      <c r="AI309" s="6" t="n">
        <v>398.6100572520498</v>
      </c>
      <c r="AJ309" s="6" t="n">
        <v>410.3341888433459</v>
      </c>
      <c r="AK309" s="6" t="n">
        <v>420.3015849535684</v>
      </c>
      <c r="AL309" s="6" t="n">
        <v>428.480478068478</v>
      </c>
      <c r="AM309" s="6" t="n">
        <v>435.0832520222062</v>
      </c>
      <c r="AN309" s="6" t="n">
        <v>440.2743361688925</v>
      </c>
      <c r="AO309" s="6" t="n">
        <v>444.2027041636388</v>
      </c>
      <c r="AP309" s="6" t="n">
        <v>447.4816350572161</v>
      </c>
      <c r="AQ309" s="6" t="n">
        <v>479.6249919693773</v>
      </c>
      <c r="AR309" s="6" t="n">
        <v>504.4002583438451</v>
      </c>
      <c r="AS309" s="6" t="n">
        <v>0</v>
      </c>
      <c r="AT309" s="6" t="n">
        <v>0</v>
      </c>
      <c r="AU309" s="6" t="n">
        <v>0</v>
      </c>
      <c r="AV309" s="6" t="n">
        <v>0</v>
      </c>
      <c r="AW309" s="6" t="n">
        <v>0</v>
      </c>
      <c r="AX309" s="6" t="n">
        <v>0</v>
      </c>
      <c r="AY309" s="6" t="n">
        <v>0</v>
      </c>
      <c r="AZ309" s="6" t="n">
        <v>0</v>
      </c>
      <c r="BA309" s="6" t="n">
        <v>0</v>
      </c>
      <c r="BB309" s="6" t="n">
        <v>0</v>
      </c>
      <c r="BC309" s="6" t="n">
        <v>0</v>
      </c>
      <c r="BD309" s="6" t="n">
        <v>0</v>
      </c>
      <c r="BE309" s="6" t="n">
        <v>0</v>
      </c>
      <c r="BF309" s="6" t="n">
        <v>0</v>
      </c>
      <c r="BG309" s="6" t="n">
        <v>0</v>
      </c>
      <c r="BH309" s="6" t="n">
        <v>0</v>
      </c>
      <c r="BI309" s="6" t="n">
        <v>0</v>
      </c>
      <c r="BJ309" s="6" t="n">
        <v>0</v>
      </c>
    </row>
    <row r="311">
      <c r="D311" t="inlineStr">
        <is>
          <t>Monte Carlo run number (0 = off; 1 to 1,000 reads that row of the draw table, Scenario 1 only)</t>
        </is>
      </c>
      <c r="E311" t="inlineStr">
        <is>
          <t>index</t>
        </is>
      </c>
      <c r="F311" s="5" t="n">
        <v>0</v>
      </c>
      <c r="AN311" s="2" t="inlineStr">
        <is>
          <t>Per-run results pasted from case_p.py v1.4 (2026-10-03; P-F42), not live: min DSCR, min historic DSCR, equity IRR, historic DSCR &lt; 1.20x, &lt; 1.10x</t>
        </is>
      </c>
    </row>
    <row r="312">
      <c r="D312" t="inlineStr">
        <is>
          <t>Monte Carlo active (run number above 0 and Scenario 1)</t>
        </is>
      </c>
      <c r="E312" t="inlineStr">
        <is>
          <t>flag</t>
        </is>
      </c>
      <c r="F312" s="9">
        <f>IF(AND(Inputs!$F$311&gt;0,Inputs!$F$8=1),1,0)</f>
        <v/>
      </c>
      <c r="J312" s="2" t="inlineStr">
        <is>
          <t>Draw table: availability shocks OY1-OY26 (points), dispatch (%), heat-rate degradation (% a year), FX drift (factor)</t>
        </is>
      </c>
      <c r="AN312" s="2" t="inlineStr">
        <is>
          <t>Min DSCR</t>
        </is>
      </c>
      <c r="AO312" s="2" t="inlineStr">
        <is>
          <t>Min hist DSCR</t>
        </is>
      </c>
      <c r="AP312" s="2" t="inlineStr">
        <is>
          <t>Equity IRR</t>
        </is>
      </c>
      <c r="AQ312" s="2" t="inlineStr">
        <is>
          <t>Lock-up (&lt;1.20x)</t>
        </is>
      </c>
      <c r="AR312" s="2" t="inlineStr">
        <is>
          <t>Default (&lt;1.10x)</t>
        </is>
      </c>
    </row>
    <row r="313">
      <c r="D313" t="inlineStr">
        <is>
          <t>Run 1</t>
        </is>
      </c>
      <c r="J313" s="6" t="n">
        <v>-0.1303372945655941</v>
      </c>
      <c r="K313" s="6" t="n">
        <v>-0.2220046162925677</v>
      </c>
      <c r="L313" s="6" t="n">
        <v>0.9591138059123669</v>
      </c>
      <c r="M313" s="6" t="n">
        <v>1.919509389623777</v>
      </c>
      <c r="N313" s="6" t="n">
        <v>1.444053421276014</v>
      </c>
      <c r="O313" s="6" t="n">
        <v>2.752952295924899</v>
      </c>
      <c r="P313" s="6" t="n">
        <v>0.7653918490863822</v>
      </c>
      <c r="Q313" s="6" t="n">
        <v>-0.5591302974872701</v>
      </c>
      <c r="R313" s="6" t="n">
        <v>0.1939775570295897</v>
      </c>
      <c r="S313" s="6" t="n">
        <v>-1.340178364722798</v>
      </c>
      <c r="T313" s="6" t="n">
        <v>-0.1091519972515591</v>
      </c>
      <c r="U313" s="6" t="n">
        <v>-2.048280693071093</v>
      </c>
      <c r="V313" s="6" t="n">
        <v>0.6801999453142397</v>
      </c>
      <c r="W313" s="6" t="n">
        <v>-0.6257801386245951</v>
      </c>
      <c r="X313" s="6" t="n">
        <v>0.5264098222094427</v>
      </c>
      <c r="Y313" s="6" t="n">
        <v>0.5564134275438262</v>
      </c>
      <c r="Z313" s="6" t="n">
        <v>-1.446297499641864</v>
      </c>
      <c r="AA313" s="6" t="n">
        <v>1.758138930960189</v>
      </c>
      <c r="AB313" s="6" t="n">
        <v>0.3569432911169952</v>
      </c>
      <c r="AC313" s="6" t="n">
        <v>-0.9696847330719314</v>
      </c>
      <c r="AD313" s="6" t="n">
        <v>0.4245436811594178</v>
      </c>
      <c r="AE313" s="6" t="n">
        <v>1.176728055973582</v>
      </c>
      <c r="AF313" s="6" t="n">
        <v>-2.155207130627543</v>
      </c>
      <c r="AG313" s="6" t="n">
        <v>0.2765743002120836</v>
      </c>
      <c r="AH313" s="6" t="n">
        <v>-0.3432380602708163</v>
      </c>
      <c r="AI313" s="6" t="n">
        <v>-1.908362245498541</v>
      </c>
      <c r="AJ313" s="6" t="n">
        <v>62.95814435176902</v>
      </c>
      <c r="AK313" s="6" t="n">
        <v>0.1239081697738601</v>
      </c>
      <c r="AL313" s="6" t="n">
        <v>1.010029720151749</v>
      </c>
      <c r="AN313" s="6" t="n">
        <v>1.34925157909214</v>
      </c>
      <c r="AO313" s="6" t="n">
        <v>1.34925157909214</v>
      </c>
      <c r="AP313" s="6" t="n">
        <v>0.135794039770109</v>
      </c>
      <c r="AQ313" s="6" t="n">
        <v>0</v>
      </c>
      <c r="AR313" s="6" t="n">
        <v>0</v>
      </c>
    </row>
    <row r="314">
      <c r="D314" t="inlineStr">
        <is>
          <t>Run 2</t>
        </is>
      </c>
      <c r="J314" s="6" t="n">
        <v>0.07215836851700588</v>
      </c>
      <c r="K314" s="6" t="n">
        <v>1.727478233984465</v>
      </c>
      <c r="L314" s="6" t="n">
        <v>-2.128219232576012</v>
      </c>
      <c r="M314" s="6" t="n">
        <v>-0.435295515185473</v>
      </c>
      <c r="N314" s="6" t="n">
        <v>-0.9014638048497218</v>
      </c>
      <c r="O314" s="6" t="n">
        <v>-1.696853376870438</v>
      </c>
      <c r="P314" s="6" t="n">
        <v>-0.706500184181448</v>
      </c>
      <c r="Q314" s="6" t="n">
        <v>-2.227345992829054</v>
      </c>
      <c r="R314" s="6" t="n">
        <v>-1.080950534574479</v>
      </c>
      <c r="S314" s="6" t="n">
        <v>2.941846553728023</v>
      </c>
      <c r="T314" s="6" t="n">
        <v>-1.24775638522025</v>
      </c>
      <c r="U314" s="6" t="n">
        <v>-3.761189773032302</v>
      </c>
      <c r="V314" s="6" t="n">
        <v>0.6160197996651862</v>
      </c>
      <c r="W314" s="6" t="n">
        <v>0.7173959201505041</v>
      </c>
      <c r="X314" s="6" t="n">
        <v>-1.186373985571617</v>
      </c>
      <c r="Y314" s="6" t="n">
        <v>0.7438478061352801</v>
      </c>
      <c r="Z314" s="6" t="n">
        <v>0.9271015694131278</v>
      </c>
      <c r="AA314" s="6" t="n">
        <v>-1.02340597298503</v>
      </c>
      <c r="AB314" s="6" t="n">
        <v>-0.9466815707660093</v>
      </c>
      <c r="AC314" s="6" t="n">
        <v>1.105750007029035</v>
      </c>
      <c r="AD314" s="6" t="n">
        <v>1.153255518983822</v>
      </c>
      <c r="AE314" s="6" t="n">
        <v>-1.345474765664868</v>
      </c>
      <c r="AF314" s="6" t="n">
        <v>1.300087139455508</v>
      </c>
      <c r="AG314" s="6" t="n">
        <v>-3.512146798348325</v>
      </c>
      <c r="AH314" s="6" t="n">
        <v>0.155104805547251</v>
      </c>
      <c r="AI314" s="6" t="n">
        <v>-2.875705378982229</v>
      </c>
      <c r="AJ314" s="6" t="n">
        <v>72.59438768843512</v>
      </c>
      <c r="AK314" s="6" t="n">
        <v>0.1475025741929487</v>
      </c>
      <c r="AL314" s="6" t="n">
        <v>1.037836829377317</v>
      </c>
      <c r="AN314" s="6" t="n">
        <v>1.347992316049117</v>
      </c>
      <c r="AO314" s="6" t="n">
        <v>1.348666373250509</v>
      </c>
      <c r="AP314" s="6" t="n">
        <v>0.1326511003801645</v>
      </c>
      <c r="AQ314" s="6" t="n">
        <v>0</v>
      </c>
      <c r="AR314" s="6" t="n">
        <v>0</v>
      </c>
    </row>
    <row r="315">
      <c r="D315" t="inlineStr">
        <is>
          <t>Run 3</t>
        </is>
      </c>
      <c r="J315" s="6" t="n">
        <v>-0.4124460864071066</v>
      </c>
      <c r="K315" s="6" t="n">
        <v>-2.866121148204043</v>
      </c>
      <c r="L315" s="6" t="n">
        <v>-2.722406629589309</v>
      </c>
      <c r="M315" s="6" t="n">
        <v>-0.0138933813204652</v>
      </c>
      <c r="N315" s="6" t="n">
        <v>3.143442675419206</v>
      </c>
      <c r="O315" s="6" t="n">
        <v>0.8263973083924496</v>
      </c>
      <c r="P315" s="6" t="n">
        <v>-1.137749249867149</v>
      </c>
      <c r="Q315" s="6" t="n">
        <v>-1.016301366251742</v>
      </c>
      <c r="R315" s="6" t="n">
        <v>0.4487800461655654</v>
      </c>
      <c r="S315" s="6" t="n">
        <v>1.067669114543833</v>
      </c>
      <c r="T315" s="6" t="n">
        <v>0.9317847118512713</v>
      </c>
      <c r="U315" s="6" t="n">
        <v>2.246823016463854</v>
      </c>
      <c r="V315" s="6" t="n">
        <v>-1.737345756531608</v>
      </c>
      <c r="W315" s="6" t="n">
        <v>-1.798632729468296</v>
      </c>
      <c r="X315" s="6" t="n">
        <v>-0.7213962637813149</v>
      </c>
      <c r="Y315" s="6" t="n">
        <v>3.96360412668716</v>
      </c>
      <c r="Z315" s="6" t="n">
        <v>0.4936639528841595</v>
      </c>
      <c r="AA315" s="6" t="n">
        <v>-0.3337622345717683</v>
      </c>
      <c r="AB315" s="6" t="n">
        <v>-1.567482552299974</v>
      </c>
      <c r="AC315" s="6" t="n">
        <v>1.774156158872708</v>
      </c>
      <c r="AD315" s="6" t="n">
        <v>0.4226043454940572</v>
      </c>
      <c r="AE315" s="6" t="n">
        <v>-0.6182350510952598</v>
      </c>
      <c r="AF315" s="6" t="n">
        <v>1.69403713703969</v>
      </c>
      <c r="AG315" s="6" t="n">
        <v>2.842618939081781</v>
      </c>
      <c r="AH315" s="6" t="n">
        <v>-1.326199084430008</v>
      </c>
      <c r="AI315" s="6" t="n">
        <v>3.152120545379559</v>
      </c>
      <c r="AJ315" s="6" t="n">
        <v>59.49450822021559</v>
      </c>
      <c r="AK315" s="6" t="n">
        <v>0.1442285217108952</v>
      </c>
      <c r="AL315" s="6" t="n">
        <v>1.068384219084853</v>
      </c>
      <c r="AN315" s="6" t="n">
        <v>1.332320674024706</v>
      </c>
      <c r="AO315" s="6" t="n">
        <v>1.332534156573854</v>
      </c>
      <c r="AP315" s="6" t="n">
        <v>0.1299737649639728</v>
      </c>
      <c r="AQ315" s="6" t="n">
        <v>0</v>
      </c>
      <c r="AR315" s="6" t="n">
        <v>0</v>
      </c>
    </row>
    <row r="316">
      <c r="D316" t="inlineStr">
        <is>
          <t>Run 4</t>
        </is>
      </c>
      <c r="J316" s="6" t="n">
        <v>-4.240814455261436</v>
      </c>
      <c r="K316" s="6" t="n">
        <v>-1.595347997355942</v>
      </c>
      <c r="L316" s="6" t="n">
        <v>0.7892626608607176</v>
      </c>
      <c r="M316" s="6" t="n">
        <v>-1.435673190061561</v>
      </c>
      <c r="N316" s="6" t="n">
        <v>-1.140852878867033</v>
      </c>
      <c r="O316" s="6" t="n">
        <v>4.890010854856706</v>
      </c>
      <c r="P316" s="6" t="n">
        <v>-0.6698873326080096</v>
      </c>
      <c r="Q316" s="6" t="n">
        <v>-1.78343232701582</v>
      </c>
      <c r="R316" s="6" t="n">
        <v>2.942655262133117</v>
      </c>
      <c r="S316" s="6" t="n">
        <v>-0.2761459192125775</v>
      </c>
      <c r="T316" s="6" t="n">
        <v>-1.172669668191138</v>
      </c>
      <c r="U316" s="6" t="n">
        <v>2.228746371529723</v>
      </c>
      <c r="V316" s="6" t="n">
        <v>1.196082684001136</v>
      </c>
      <c r="W316" s="6" t="n">
        <v>-3.561732803755055</v>
      </c>
      <c r="X316" s="6" t="n">
        <v>-1.090697676955426</v>
      </c>
      <c r="Y316" s="6" t="n">
        <v>1.799865214953339</v>
      </c>
      <c r="Z316" s="6" t="n">
        <v>-0.8206871890934594</v>
      </c>
      <c r="AA316" s="6" t="n">
        <v>1.07793197564414</v>
      </c>
      <c r="AB316" s="6" t="n">
        <v>5</v>
      </c>
      <c r="AC316" s="6" t="n">
        <v>1.296574949880505</v>
      </c>
      <c r="AD316" s="6" t="n">
        <v>-1.034176306733835</v>
      </c>
      <c r="AE316" s="6" t="n">
        <v>2.412500646876783</v>
      </c>
      <c r="AF316" s="6" t="n">
        <v>-2.411205138235339</v>
      </c>
      <c r="AG316" s="6" t="n">
        <v>1.902352022488768</v>
      </c>
      <c r="AH316" s="6" t="n">
        <v>2.515176260888445</v>
      </c>
      <c r="AI316" s="6" t="n">
        <v>0.01527698150359095</v>
      </c>
      <c r="AJ316" s="6" t="n">
        <v>80.09550653646589</v>
      </c>
      <c r="AK316" s="6" t="n">
        <v>0.1420134992540608</v>
      </c>
      <c r="AL316" s="6" t="n">
        <v>1.034453948793237</v>
      </c>
      <c r="AN316" s="6" t="n">
        <v>1.346611652244882</v>
      </c>
      <c r="AO316" s="6" t="n">
        <v>1.350468128612468</v>
      </c>
      <c r="AP316" s="6" t="n">
        <v>0.1339943287829712</v>
      </c>
      <c r="AQ316" s="6" t="n">
        <v>0</v>
      </c>
      <c r="AR316" s="6" t="n">
        <v>0</v>
      </c>
    </row>
    <row r="317">
      <c r="D317" t="inlineStr">
        <is>
          <t>Run 5</t>
        </is>
      </c>
      <c r="J317" s="6" t="n">
        <v>-4.511564221051317</v>
      </c>
      <c r="K317" s="6" t="n">
        <v>0.2828562841686363</v>
      </c>
      <c r="L317" s="6" t="n">
        <v>0.2728911049223061</v>
      </c>
      <c r="M317" s="6" t="n">
        <v>-0.4028430178996003</v>
      </c>
      <c r="N317" s="6" t="n">
        <v>-1.173109378789525</v>
      </c>
      <c r="O317" s="6" t="n">
        <v>0.2765886919925804</v>
      </c>
      <c r="P317" s="6" t="n">
        <v>-1.391190906306765</v>
      </c>
      <c r="Q317" s="6" t="n">
        <v>-1.252266229818049</v>
      </c>
      <c r="R317" s="6" t="n">
        <v>1.188142378620632</v>
      </c>
      <c r="S317" s="6" t="n">
        <v>-2.411049193003235</v>
      </c>
      <c r="T317" s="6" t="n">
        <v>1.889004781325842</v>
      </c>
      <c r="U317" s="6" t="n">
        <v>0.8247898908130108</v>
      </c>
      <c r="V317" s="6" t="n">
        <v>2.061000137891976</v>
      </c>
      <c r="W317" s="6" t="n">
        <v>-4.217411204394141</v>
      </c>
      <c r="X317" s="6" t="n">
        <v>1.762860859342931</v>
      </c>
      <c r="Y317" s="6" t="n">
        <v>2.01977129042488</v>
      </c>
      <c r="Z317" s="6" t="n">
        <v>0.3345021982432443</v>
      </c>
      <c r="AA317" s="6" t="n">
        <v>-0.3212587738420795</v>
      </c>
      <c r="AB317" s="6" t="n">
        <v>2.505846766622237</v>
      </c>
      <c r="AC317" s="6" t="n">
        <v>0.6987432995498494</v>
      </c>
      <c r="AD317" s="6" t="n">
        <v>-0.2021110797091812</v>
      </c>
      <c r="AE317" s="6" t="n">
        <v>-3.66935761601354</v>
      </c>
      <c r="AF317" s="6" t="n">
        <v>3.996638485092418</v>
      </c>
      <c r="AG317" s="6" t="n">
        <v>0.04740745333787749</v>
      </c>
      <c r="AH317" s="6" t="n">
        <v>2.283619469621366</v>
      </c>
      <c r="AI317" s="6" t="n">
        <v>-0.6332137105921105</v>
      </c>
      <c r="AJ317" s="6" t="n">
        <v>61.55335060562065</v>
      </c>
      <c r="AK317" s="6" t="n">
        <v>0.2320657283640598</v>
      </c>
      <c r="AL317" s="6" t="n">
        <v>1.067243375494149</v>
      </c>
      <c r="AN317" s="6" t="n">
        <v>1.325313514438141</v>
      </c>
      <c r="AO317" s="6" t="n">
        <v>1.325570646935207</v>
      </c>
      <c r="AP317" s="6" t="n">
        <v>0.1281151038748796</v>
      </c>
      <c r="AQ317" s="6" t="n">
        <v>0</v>
      </c>
      <c r="AR317" s="6" t="n">
        <v>0</v>
      </c>
    </row>
    <row r="318">
      <c r="D318" t="inlineStr">
        <is>
          <t>Run 6</t>
        </is>
      </c>
      <c r="J318" s="6" t="n">
        <v>3.3046587695413</v>
      </c>
      <c r="K318" s="6" t="n">
        <v>2.306057595577449</v>
      </c>
      <c r="L318" s="6" t="n">
        <v>-2.398863908156461</v>
      </c>
      <c r="M318" s="6" t="n">
        <v>0.8933168550927643</v>
      </c>
      <c r="N318" s="6" t="n">
        <v>2.705265860854432</v>
      </c>
      <c r="O318" s="6" t="n">
        <v>1.491654992934809</v>
      </c>
      <c r="P318" s="6" t="n">
        <v>1.997092454000136</v>
      </c>
      <c r="Q318" s="6" t="n">
        <v>-0.2213059446216429</v>
      </c>
      <c r="R318" s="6" t="n">
        <v>0.2576064438367699</v>
      </c>
      <c r="S318" s="6" t="n">
        <v>0.2488383272910454</v>
      </c>
      <c r="T318" s="6" t="n">
        <v>-0.9994972557080612</v>
      </c>
      <c r="U318" s="6" t="n">
        <v>-2.423034721759989</v>
      </c>
      <c r="V318" s="6" t="n">
        <v>-0.3109464516829929</v>
      </c>
      <c r="W318" s="6" t="n">
        <v>-0.2438840365395227</v>
      </c>
      <c r="X318" s="6" t="n">
        <v>2.105448592851658</v>
      </c>
      <c r="Y318" s="6" t="n">
        <v>2.450247501805983</v>
      </c>
      <c r="Z318" s="6" t="n">
        <v>0.6787632707702672</v>
      </c>
      <c r="AA318" s="6" t="n">
        <v>-2.484851916129349</v>
      </c>
      <c r="AB318" s="6" t="n">
        <v>-3.236234313156693</v>
      </c>
      <c r="AC318" s="6" t="n">
        <v>2.473860775950704</v>
      </c>
      <c r="AD318" s="6" t="n">
        <v>1.734139674485877</v>
      </c>
      <c r="AE318" s="6" t="n">
        <v>3.298025006983519</v>
      </c>
      <c r="AF318" s="6" t="n">
        <v>-1.402633450734336</v>
      </c>
      <c r="AG318" s="6" t="n">
        <v>-2.264528500247919</v>
      </c>
      <c r="AH318" s="6" t="n">
        <v>1.596513354491937</v>
      </c>
      <c r="AI318" s="6" t="n">
        <v>0.4159904366039636</v>
      </c>
      <c r="AJ318" s="6" t="n">
        <v>67.67924344628199</v>
      </c>
      <c r="AK318" s="6" t="n">
        <v>0.09265213899461935</v>
      </c>
      <c r="AL318" s="6" t="n">
        <v>0.9949042260945189</v>
      </c>
      <c r="AN318" s="6" t="n">
        <v>1.355870531027698</v>
      </c>
      <c r="AO318" s="6" t="n">
        <v>1.355870531027698</v>
      </c>
      <c r="AP318" s="6" t="n">
        <v>0.1395581702134771</v>
      </c>
      <c r="AQ318" s="6" t="n">
        <v>0</v>
      </c>
      <c r="AR318" s="6" t="n">
        <v>0</v>
      </c>
    </row>
    <row r="319">
      <c r="D319" t="inlineStr">
        <is>
          <t>Run 7</t>
        </is>
      </c>
      <c r="J319" s="6" t="n">
        <v>-5.081868417483616</v>
      </c>
      <c r="K319" s="6" t="n">
        <v>-0.1146200315406917</v>
      </c>
      <c r="L319" s="6" t="n">
        <v>-1.716113167387465</v>
      </c>
      <c r="M319" s="6" t="n">
        <v>0.9430787980068629</v>
      </c>
      <c r="N319" s="6" t="n">
        <v>-1.663912306726132</v>
      </c>
      <c r="O319" s="6" t="n">
        <v>-4.00494435486044</v>
      </c>
      <c r="P319" s="6" t="n">
        <v>-0.184049533024758</v>
      </c>
      <c r="Q319" s="6" t="n">
        <v>1.093621657166257</v>
      </c>
      <c r="R319" s="6" t="n">
        <v>-3.3198979518494</v>
      </c>
      <c r="S319" s="6" t="n">
        <v>-3.50306185916819</v>
      </c>
      <c r="T319" s="6" t="n">
        <v>-1.775087597310625</v>
      </c>
      <c r="U319" s="6" t="n">
        <v>-4.034490254990239</v>
      </c>
      <c r="V319" s="6" t="n">
        <v>2.324391871033357</v>
      </c>
      <c r="W319" s="6" t="n">
        <v>-0.002723711667225183</v>
      </c>
      <c r="X319" s="6" t="n">
        <v>-0.1082476525435489</v>
      </c>
      <c r="Y319" s="6" t="n">
        <v>-0.05785242012291369</v>
      </c>
      <c r="Z319" s="6" t="n">
        <v>4.297560353322217</v>
      </c>
      <c r="AA319" s="6" t="n">
        <v>0.2337460934051747</v>
      </c>
      <c r="AB319" s="6" t="n">
        <v>0.8982726076353001</v>
      </c>
      <c r="AC319" s="6" t="n">
        <v>-2.934173004795566</v>
      </c>
      <c r="AD319" s="6" t="n">
        <v>2.635794351817736</v>
      </c>
      <c r="AE319" s="6" t="n">
        <v>2.5339705533155</v>
      </c>
      <c r="AF319" s="6" t="n">
        <v>-4.924446074948847</v>
      </c>
      <c r="AG319" s="6" t="n">
        <v>0.6457910107255891</v>
      </c>
      <c r="AH319" s="6" t="n">
        <v>-0.7831873841521683</v>
      </c>
      <c r="AI319" s="6" t="n">
        <v>1.908443707670989</v>
      </c>
      <c r="AJ319" s="6" t="n">
        <v>69.81107662930432</v>
      </c>
      <c r="AK319" s="6" t="n">
        <v>0.08709258832421216</v>
      </c>
      <c r="AL319" s="6" t="n">
        <v>1.066223147886919</v>
      </c>
      <c r="AN319" s="6" t="n">
        <v>1.328499808673063</v>
      </c>
      <c r="AO319" s="6" t="n">
        <v>1.328499808673063</v>
      </c>
      <c r="AP319" s="6" t="n">
        <v>0.1316058208627126</v>
      </c>
      <c r="AQ319" s="6" t="n">
        <v>0</v>
      </c>
      <c r="AR319" s="6" t="n">
        <v>0</v>
      </c>
    </row>
    <row r="320">
      <c r="D320" t="inlineStr">
        <is>
          <t>Run 8</t>
        </is>
      </c>
      <c r="J320" s="6" t="n">
        <v>0.7894358924957636</v>
      </c>
      <c r="K320" s="6" t="n">
        <v>-4.158498595449301</v>
      </c>
      <c r="L320" s="6" t="n">
        <v>1.790450721747516</v>
      </c>
      <c r="M320" s="6" t="n">
        <v>2.911286553183836</v>
      </c>
      <c r="N320" s="6" t="n">
        <v>-1.407247162850463</v>
      </c>
      <c r="O320" s="6" t="n">
        <v>-0.8204717610359311</v>
      </c>
      <c r="P320" s="6" t="n">
        <v>3.464423157213575</v>
      </c>
      <c r="Q320" s="6" t="n">
        <v>-0.8219227286942355</v>
      </c>
      <c r="R320" s="6" t="n">
        <v>-1.962871102273372</v>
      </c>
      <c r="S320" s="6" t="n">
        <v>0.6828264869427773</v>
      </c>
      <c r="T320" s="6" t="n">
        <v>-3.857564940229861</v>
      </c>
      <c r="U320" s="6" t="n">
        <v>0.5284366367000197</v>
      </c>
      <c r="V320" s="6" t="n">
        <v>2.707673882480897</v>
      </c>
      <c r="W320" s="6" t="n">
        <v>0.8268181131995694</v>
      </c>
      <c r="X320" s="6" t="n">
        <v>5</v>
      </c>
      <c r="Y320" s="6" t="n">
        <v>-0.9435404409358038</v>
      </c>
      <c r="Z320" s="6" t="n">
        <v>1.265236451055519</v>
      </c>
      <c r="AA320" s="6" t="n">
        <v>-4.179799050096485</v>
      </c>
      <c r="AB320" s="6" t="n">
        <v>-1.090437724820059</v>
      </c>
      <c r="AC320" s="6" t="n">
        <v>1.180093332016345</v>
      </c>
      <c r="AD320" s="6" t="n">
        <v>2.135951713184053</v>
      </c>
      <c r="AE320" s="6" t="n">
        <v>-1.614162384279486</v>
      </c>
      <c r="AF320" s="6" t="n">
        <v>0.1589467316201482</v>
      </c>
      <c r="AG320" s="6" t="n">
        <v>1.510903596840225</v>
      </c>
      <c r="AH320" s="6" t="n">
        <v>3.632680737232163</v>
      </c>
      <c r="AI320" s="6" t="n">
        <v>-0.5352812667147272</v>
      </c>
      <c r="AJ320" s="6" t="n">
        <v>69.84768636752338</v>
      </c>
      <c r="AK320" s="6" t="n">
        <v>0.1369478805322976</v>
      </c>
      <c r="AL320" s="6" t="n">
        <v>0.9938583239489155</v>
      </c>
      <c r="AN320" s="6" t="n">
        <v>1.347283359347321</v>
      </c>
      <c r="AO320" s="6" t="n">
        <v>1.352903453403872</v>
      </c>
      <c r="AP320" s="6" t="n">
        <v>0.1389446568870808</v>
      </c>
      <c r="AQ320" s="6" t="n">
        <v>0</v>
      </c>
      <c r="AR320" s="6" t="n">
        <v>0</v>
      </c>
    </row>
    <row r="321">
      <c r="D321" t="inlineStr">
        <is>
          <t>Run 9</t>
        </is>
      </c>
      <c r="J321" s="6" t="n">
        <v>3.800799075559078</v>
      </c>
      <c r="K321" s="6" t="n">
        <v>-2.457719891563835</v>
      </c>
      <c r="L321" s="6" t="n">
        <v>-2.319711631694604</v>
      </c>
      <c r="M321" s="6" t="n">
        <v>1.092562950539962</v>
      </c>
      <c r="N321" s="6" t="n">
        <v>-0.3886380804491172</v>
      </c>
      <c r="O321" s="6" t="n">
        <v>2.857061040723071</v>
      </c>
      <c r="P321" s="6" t="n">
        <v>-1.293320126902051</v>
      </c>
      <c r="Q321" s="6" t="n">
        <v>0.3399900677862513</v>
      </c>
      <c r="R321" s="6" t="n">
        <v>-0.631087840047629</v>
      </c>
      <c r="S321" s="6" t="n">
        <v>-6.287052744868345</v>
      </c>
      <c r="T321" s="6" t="n">
        <v>4.583049905790537</v>
      </c>
      <c r="U321" s="6" t="n">
        <v>1.476589761297908</v>
      </c>
      <c r="V321" s="6" t="n">
        <v>-0.7177771681074427</v>
      </c>
      <c r="W321" s="6" t="n">
        <v>0.8565151830616408</v>
      </c>
      <c r="X321" s="6" t="n">
        <v>0.5419364777336731</v>
      </c>
      <c r="Y321" s="6" t="n">
        <v>-0.4361882787614033</v>
      </c>
      <c r="Z321" s="6" t="n">
        <v>-0.8670024958952437</v>
      </c>
      <c r="AA321" s="6" t="n">
        <v>1.202924342138785</v>
      </c>
      <c r="AB321" s="6" t="n">
        <v>0.4142147826713733</v>
      </c>
      <c r="AC321" s="6" t="n">
        <v>0.7710938777962546</v>
      </c>
      <c r="AD321" s="6" t="n">
        <v>1.888610270703288</v>
      </c>
      <c r="AE321" s="6" t="n">
        <v>2.780366050486698</v>
      </c>
      <c r="AF321" s="6" t="n">
        <v>1.470037114531032</v>
      </c>
      <c r="AG321" s="6" t="n">
        <v>1.727254117085151</v>
      </c>
      <c r="AH321" s="6" t="n">
        <v>-2.484462050985373</v>
      </c>
      <c r="AI321" s="6" t="n">
        <v>0.3267095092761751</v>
      </c>
      <c r="AJ321" s="6" t="n">
        <v>70.73718695371426</v>
      </c>
      <c r="AK321" s="6" t="n">
        <v>0.1286915453948844</v>
      </c>
      <c r="AL321" s="6" t="n">
        <v>1.041628512566471</v>
      </c>
      <c r="AN321" s="6" t="n">
        <v>1.348209512750431</v>
      </c>
      <c r="AO321" s="6" t="n">
        <v>1.348807208366115</v>
      </c>
      <c r="AP321" s="6" t="n">
        <v>0.1329215983211633</v>
      </c>
      <c r="AQ321" s="6" t="n">
        <v>0</v>
      </c>
      <c r="AR321" s="6" t="n">
        <v>0</v>
      </c>
    </row>
    <row r="322">
      <c r="D322" t="inlineStr">
        <is>
          <t>Run 10</t>
        </is>
      </c>
      <c r="J322" s="6" t="n">
        <v>2.812858947066281</v>
      </c>
      <c r="K322" s="6" t="n">
        <v>0.1021713452287428</v>
      </c>
      <c r="L322" s="6" t="n">
        <v>1.233596906964976</v>
      </c>
      <c r="M322" s="6" t="n">
        <v>-1.422291300716621</v>
      </c>
      <c r="N322" s="6" t="n">
        <v>1.068205677625514</v>
      </c>
      <c r="O322" s="6" t="n">
        <v>0.8976092875979469</v>
      </c>
      <c r="P322" s="6" t="n">
        <v>-0.820600835676527</v>
      </c>
      <c r="Q322" s="6" t="n">
        <v>1.347290355100331</v>
      </c>
      <c r="R322" s="6" t="n">
        <v>-4.090634260122116</v>
      </c>
      <c r="S322" s="6" t="n">
        <v>-0.4566937142856483</v>
      </c>
      <c r="T322" s="6" t="n">
        <v>1.922253129615876</v>
      </c>
      <c r="U322" s="6" t="n">
        <v>2.985374727509718</v>
      </c>
      <c r="V322" s="6" t="n">
        <v>0.9267470930168972</v>
      </c>
      <c r="W322" s="6" t="n">
        <v>-1.278518490408994</v>
      </c>
      <c r="X322" s="6" t="n">
        <v>4.333417177386833</v>
      </c>
      <c r="Y322" s="6" t="n">
        <v>4.386583341529667</v>
      </c>
      <c r="Z322" s="6" t="n">
        <v>0.3537712812141499</v>
      </c>
      <c r="AA322" s="6" t="n">
        <v>-1.667811457496604</v>
      </c>
      <c r="AB322" s="6" t="n">
        <v>-0.5393639883990767</v>
      </c>
      <c r="AC322" s="6" t="n">
        <v>4.85595600765887</v>
      </c>
      <c r="AD322" s="6" t="n">
        <v>-1.77965852152714</v>
      </c>
      <c r="AE322" s="6" t="n">
        <v>3.147372681576756</v>
      </c>
      <c r="AF322" s="6" t="n">
        <v>0.4328227301638087</v>
      </c>
      <c r="AG322" s="6" t="n">
        <v>-3.721709086316273</v>
      </c>
      <c r="AH322" s="6" t="n">
        <v>0.4920740200710633</v>
      </c>
      <c r="AI322" s="6" t="n">
        <v>0.1220612229851629</v>
      </c>
      <c r="AJ322" s="6" t="n">
        <v>61.75855280208872</v>
      </c>
      <c r="AK322" s="6" t="n">
        <v>0.1572893634662991</v>
      </c>
      <c r="AL322" s="6" t="n">
        <v>1.066073604892032</v>
      </c>
      <c r="AN322" s="6" t="n">
        <v>1.329151432607916</v>
      </c>
      <c r="AO322" s="6" t="n">
        <v>1.331964856360063</v>
      </c>
      <c r="AP322" s="6" t="n">
        <v>0.1297117013118935</v>
      </c>
      <c r="AQ322" s="6" t="n">
        <v>0</v>
      </c>
      <c r="AR322" s="6" t="n">
        <v>0</v>
      </c>
    </row>
    <row r="323">
      <c r="D323" t="inlineStr">
        <is>
          <t>Run 11</t>
        </is>
      </c>
      <c r="J323" s="6" t="n">
        <v>0.6365983345435919</v>
      </c>
      <c r="K323" s="6" t="n">
        <v>-0.6587128899048649</v>
      </c>
      <c r="L323" s="6" t="n">
        <v>-1.516072602064894</v>
      </c>
      <c r="M323" s="6" t="n">
        <v>-1.067601438898729</v>
      </c>
      <c r="N323" s="6" t="n">
        <v>-2.630833163793166</v>
      </c>
      <c r="O323" s="6" t="n">
        <v>-2.168594120060758</v>
      </c>
      <c r="P323" s="6" t="n">
        <v>-0.1325425323073386</v>
      </c>
      <c r="Q323" s="6" t="n">
        <v>-1.111019757196019</v>
      </c>
      <c r="R323" s="6" t="n">
        <v>-1.70421384900394</v>
      </c>
      <c r="S323" s="6" t="n">
        <v>-0.8133236687560901</v>
      </c>
      <c r="T323" s="6" t="n">
        <v>-1.594655728035157</v>
      </c>
      <c r="U323" s="6" t="n">
        <v>2.113607142077684</v>
      </c>
      <c r="V323" s="6" t="n">
        <v>1.060988277793206</v>
      </c>
      <c r="W323" s="6" t="n">
        <v>-0.8924594971445835</v>
      </c>
      <c r="X323" s="6" t="n">
        <v>0.5361873870259087</v>
      </c>
      <c r="Y323" s="6" t="n">
        <v>-0.6212605256965619</v>
      </c>
      <c r="Z323" s="6" t="n">
        <v>0.459260889429899</v>
      </c>
      <c r="AA323" s="6" t="n">
        <v>2.321011305166219</v>
      </c>
      <c r="AB323" s="6" t="n">
        <v>0.01039357473667415</v>
      </c>
      <c r="AC323" s="6" t="n">
        <v>-2.014057584886288</v>
      </c>
      <c r="AD323" s="6" t="n">
        <v>-1.305347513156093</v>
      </c>
      <c r="AE323" s="6" t="n">
        <v>-1.251267796249192</v>
      </c>
      <c r="AF323" s="6" t="n">
        <v>3.31707712311771</v>
      </c>
      <c r="AG323" s="6" t="n">
        <v>0.3829911888539048</v>
      </c>
      <c r="AH323" s="6" t="n">
        <v>-1.490788663456157</v>
      </c>
      <c r="AI323" s="6" t="n">
        <v>-1.19215751745642</v>
      </c>
      <c r="AJ323" s="6" t="n">
        <v>71.36935241190415</v>
      </c>
      <c r="AK323" s="6" t="n">
        <v>0.07516158491970645</v>
      </c>
      <c r="AL323" s="6" t="n">
        <v>1.040272796741573</v>
      </c>
      <c r="AN323" s="6" t="n">
        <v>1.34855408395866</v>
      </c>
      <c r="AO323" s="6" t="n">
        <v>1.34855408395866</v>
      </c>
      <c r="AP323" s="6" t="n">
        <v>0.1342977527404504</v>
      </c>
      <c r="AQ323" s="6" t="n">
        <v>0</v>
      </c>
      <c r="AR323" s="6" t="n">
        <v>0</v>
      </c>
    </row>
    <row r="324">
      <c r="D324" t="inlineStr">
        <is>
          <t>Run 12</t>
        </is>
      </c>
      <c r="J324" s="6" t="n">
        <v>0.351862083840833</v>
      </c>
      <c r="K324" s="6" t="n">
        <v>-2.922417872833622</v>
      </c>
      <c r="L324" s="6" t="n">
        <v>3.17001627126093</v>
      </c>
      <c r="M324" s="6" t="n">
        <v>1.799214716142215</v>
      </c>
      <c r="N324" s="6" t="n">
        <v>0.5498188867093186</v>
      </c>
      <c r="O324" s="6" t="n">
        <v>-3.295992684089507</v>
      </c>
      <c r="P324" s="6" t="n">
        <v>-0.5796375153058512</v>
      </c>
      <c r="Q324" s="6" t="n">
        <v>-1.323601907102664</v>
      </c>
      <c r="R324" s="6" t="n">
        <v>2.397814566943938</v>
      </c>
      <c r="S324" s="6" t="n">
        <v>-1.164766812383591</v>
      </c>
      <c r="T324" s="6" t="n">
        <v>-0.7469709695206547</v>
      </c>
      <c r="U324" s="6" t="n">
        <v>-0.4803459018061485</v>
      </c>
      <c r="V324" s="6" t="n">
        <v>1.838345797762929</v>
      </c>
      <c r="W324" s="6" t="n">
        <v>-0.1343901005664316</v>
      </c>
      <c r="X324" s="6" t="n">
        <v>-1.355643905006302</v>
      </c>
      <c r="Y324" s="6" t="n">
        <v>1.699736567338052</v>
      </c>
      <c r="Z324" s="6" t="n">
        <v>-1.530329139608587</v>
      </c>
      <c r="AA324" s="6" t="n">
        <v>-2.335738384123917</v>
      </c>
      <c r="AB324" s="6" t="n">
        <v>0.8594865098817938</v>
      </c>
      <c r="AC324" s="6" t="n">
        <v>-1.197473862322713</v>
      </c>
      <c r="AD324" s="6" t="n">
        <v>0.737118128423464</v>
      </c>
      <c r="AE324" s="6" t="n">
        <v>-0.7700935187281049</v>
      </c>
      <c r="AF324" s="6" t="n">
        <v>-1.631360664616791</v>
      </c>
      <c r="AG324" s="6" t="n">
        <v>-2.367956179432211</v>
      </c>
      <c r="AH324" s="6" t="n">
        <v>-1.20842146814221</v>
      </c>
      <c r="AI324" s="6" t="n">
        <v>0.6252906548432183</v>
      </c>
      <c r="AJ324" s="6" t="n">
        <v>65.94668725791112</v>
      </c>
      <c r="AK324" s="6" t="n">
        <v>0.09541262191618399</v>
      </c>
      <c r="AL324" s="6" t="n">
        <v>1.017007802512921</v>
      </c>
      <c r="AN324" s="6" t="n">
        <v>1.349339183879664</v>
      </c>
      <c r="AO324" s="6" t="n">
        <v>1.349339183879664</v>
      </c>
      <c r="AP324" s="6" t="n">
        <v>0.1358960685211504</v>
      </c>
      <c r="AQ324" s="6" t="n">
        <v>0</v>
      </c>
      <c r="AR324" s="6" t="n">
        <v>0</v>
      </c>
    </row>
    <row r="325">
      <c r="D325" t="inlineStr">
        <is>
          <t>Run 13</t>
        </is>
      </c>
      <c r="J325" s="6" t="n">
        <v>0.2457862689918351</v>
      </c>
      <c r="K325" s="6" t="n">
        <v>-0.694837583036049</v>
      </c>
      <c r="L325" s="6" t="n">
        <v>0.4144953606141342</v>
      </c>
      <c r="M325" s="6" t="n">
        <v>0.6929997123154519</v>
      </c>
      <c r="N325" s="6" t="n">
        <v>0.9842265238899089</v>
      </c>
      <c r="O325" s="6" t="n">
        <v>-3.320192810143813</v>
      </c>
      <c r="P325" s="6" t="n">
        <v>1.689719087050664</v>
      </c>
      <c r="Q325" s="6" t="n">
        <v>1.823342065710214</v>
      </c>
      <c r="R325" s="6" t="n">
        <v>0.5813725504187648</v>
      </c>
      <c r="S325" s="6" t="n">
        <v>0.9321355116564007</v>
      </c>
      <c r="T325" s="6" t="n">
        <v>1.404523328828423</v>
      </c>
      <c r="U325" s="6" t="n">
        <v>0.309480387160974</v>
      </c>
      <c r="V325" s="6" t="n">
        <v>0.1202694379283786</v>
      </c>
      <c r="W325" s="6" t="n">
        <v>-1.184559125872765</v>
      </c>
      <c r="X325" s="6" t="n">
        <v>1.095790265039591</v>
      </c>
      <c r="Y325" s="6" t="n">
        <v>-2.622772755999015</v>
      </c>
      <c r="Z325" s="6" t="n">
        <v>0.7110906684371209</v>
      </c>
      <c r="AA325" s="6" t="n">
        <v>1.709026325204799</v>
      </c>
      <c r="AB325" s="6" t="n">
        <v>3.373856274101749</v>
      </c>
      <c r="AC325" s="6" t="n">
        <v>-1.783418269976656</v>
      </c>
      <c r="AD325" s="6" t="n">
        <v>4.498027747563173</v>
      </c>
      <c r="AE325" s="6" t="n">
        <v>-2.055280348073077</v>
      </c>
      <c r="AF325" s="6" t="n">
        <v>1.507400391023189</v>
      </c>
      <c r="AG325" s="6" t="n">
        <v>-4.557439252256602</v>
      </c>
      <c r="AH325" s="6" t="n">
        <v>3.96447406836782</v>
      </c>
      <c r="AI325" s="6" t="n">
        <v>-1.571384948593894</v>
      </c>
      <c r="AJ325" s="6" t="n">
        <v>64.35540691214243</v>
      </c>
      <c r="AK325" s="6" t="n">
        <v>0.02479286628347337</v>
      </c>
      <c r="AL325" s="6" t="n">
        <v>1.016032445642356</v>
      </c>
      <c r="AN325" s="6" t="n">
        <v>1.349160949432461</v>
      </c>
      <c r="AO325" s="6" t="n">
        <v>1.349160949432461</v>
      </c>
      <c r="AP325" s="6" t="n">
        <v>0.1371811807328325</v>
      </c>
      <c r="AQ325" s="6" t="n">
        <v>0</v>
      </c>
      <c r="AR325" s="6" t="n">
        <v>0</v>
      </c>
    </row>
    <row r="326">
      <c r="D326" t="inlineStr">
        <is>
          <t>Run 14</t>
        </is>
      </c>
      <c r="J326" s="6" t="n">
        <v>2.447619234829362</v>
      </c>
      <c r="K326" s="6" t="n">
        <v>-1.701389971272169</v>
      </c>
      <c r="L326" s="6" t="n">
        <v>-1.067182866320704</v>
      </c>
      <c r="M326" s="6" t="n">
        <v>1.10971590179412</v>
      </c>
      <c r="N326" s="6" t="n">
        <v>-0.339747403789505</v>
      </c>
      <c r="O326" s="6" t="n">
        <v>-0.1140730252431165</v>
      </c>
      <c r="P326" s="6" t="n">
        <v>-1.185099636198452</v>
      </c>
      <c r="Q326" s="6" t="n">
        <v>-3.463162755999583</v>
      </c>
      <c r="R326" s="6" t="n">
        <v>1.003609931133804</v>
      </c>
      <c r="S326" s="6" t="n">
        <v>-0.5997228926529837</v>
      </c>
      <c r="T326" s="6" t="n">
        <v>0.411592809089468</v>
      </c>
      <c r="U326" s="6" t="n">
        <v>-2.142802229115036</v>
      </c>
      <c r="V326" s="6" t="n">
        <v>-0.1505958518462489</v>
      </c>
      <c r="W326" s="6" t="n">
        <v>0.2324489708026915</v>
      </c>
      <c r="X326" s="6" t="n">
        <v>-0.5840106651561734</v>
      </c>
      <c r="Y326" s="6" t="n">
        <v>0.9470256185313777</v>
      </c>
      <c r="Z326" s="6" t="n">
        <v>-1.780701208832085</v>
      </c>
      <c r="AA326" s="6" t="n">
        <v>3.287065046549297</v>
      </c>
      <c r="AB326" s="6" t="n">
        <v>1.439541879004543</v>
      </c>
      <c r="AC326" s="6" t="n">
        <v>0.0775389720918459</v>
      </c>
      <c r="AD326" s="6" t="n">
        <v>0.2110993393314191</v>
      </c>
      <c r="AE326" s="6" t="n">
        <v>-0.6658808621992935</v>
      </c>
      <c r="AF326" s="6" t="n">
        <v>-0.2760315125054447</v>
      </c>
      <c r="AG326" s="6" t="n">
        <v>-0.5331057571271127</v>
      </c>
      <c r="AH326" s="6" t="n">
        <v>-3.477089446114664</v>
      </c>
      <c r="AI326" s="6" t="n">
        <v>-0.834481113290532</v>
      </c>
      <c r="AJ326" s="6" t="n">
        <v>67.42250861340513</v>
      </c>
      <c r="AK326" s="6" t="n">
        <v>0.160062610475969</v>
      </c>
      <c r="AL326" s="6" t="n">
        <v>1.090605512643741</v>
      </c>
      <c r="AN326" s="6" t="n">
        <v>1.327179834020766</v>
      </c>
      <c r="AO326" s="6" t="n">
        <v>1.327470219408293</v>
      </c>
      <c r="AP326" s="6" t="n">
        <v>0.1283072126265951</v>
      </c>
      <c r="AQ326" s="6" t="n">
        <v>0</v>
      </c>
      <c r="AR326" s="6" t="n">
        <v>0</v>
      </c>
    </row>
    <row r="327">
      <c r="D327" t="inlineStr">
        <is>
          <t>Run 15</t>
        </is>
      </c>
      <c r="J327" s="6" t="n">
        <v>1.980062836771287</v>
      </c>
      <c r="K327" s="6" t="n">
        <v>-1.763910877631573</v>
      </c>
      <c r="L327" s="6" t="n">
        <v>2.558750814028377</v>
      </c>
      <c r="M327" s="6" t="n">
        <v>2.164677841230649</v>
      </c>
      <c r="N327" s="6" t="n">
        <v>1.034592347334084</v>
      </c>
      <c r="O327" s="6" t="n">
        <v>-1.338968514642545</v>
      </c>
      <c r="P327" s="6" t="n">
        <v>-0.559374609116247</v>
      </c>
      <c r="Q327" s="6" t="n">
        <v>0.8016860983229614</v>
      </c>
      <c r="R327" s="6" t="n">
        <v>-1.273298551808025</v>
      </c>
      <c r="S327" s="6" t="n">
        <v>-1.403666710912848</v>
      </c>
      <c r="T327" s="6" t="n">
        <v>-3.015634856671615</v>
      </c>
      <c r="U327" s="6" t="n">
        <v>1.950665826654297</v>
      </c>
      <c r="V327" s="6" t="n">
        <v>2.153864112863844</v>
      </c>
      <c r="W327" s="6" t="n">
        <v>-2.155258273059123</v>
      </c>
      <c r="X327" s="6" t="n">
        <v>-1.006242143631574</v>
      </c>
      <c r="Y327" s="6" t="n">
        <v>0.1721948885393458</v>
      </c>
      <c r="Z327" s="6" t="n">
        <v>2.034072790324086</v>
      </c>
      <c r="AA327" s="6" t="n">
        <v>-0.4616239742810466</v>
      </c>
      <c r="AB327" s="6" t="n">
        <v>3.609070876890938</v>
      </c>
      <c r="AC327" s="6" t="n">
        <v>0.5730691547086413</v>
      </c>
      <c r="AD327" s="6" t="n">
        <v>0.3044823018449507</v>
      </c>
      <c r="AE327" s="6" t="n">
        <v>-1.996643138910988</v>
      </c>
      <c r="AF327" s="6" t="n">
        <v>-2.071793438146265</v>
      </c>
      <c r="AG327" s="6" t="n">
        <v>-1.660818932419109</v>
      </c>
      <c r="AH327" s="6" t="n">
        <v>2.139679280571561</v>
      </c>
      <c r="AI327" s="6" t="n">
        <v>-0.3087025036858835</v>
      </c>
      <c r="AJ327" s="6" t="n">
        <v>74.32014007269271</v>
      </c>
      <c r="AK327" s="6" t="n">
        <v>0.1528336370641462</v>
      </c>
      <c r="AL327" s="6" t="n">
        <v>1.052043350027916</v>
      </c>
      <c r="AN327" s="6" t="n">
        <v>1.343834732567319</v>
      </c>
      <c r="AO327" s="6" t="n">
        <v>1.343846437592112</v>
      </c>
      <c r="AP327" s="6" t="n">
        <v>0.1317162793171253</v>
      </c>
      <c r="AQ327" s="6" t="n">
        <v>0</v>
      </c>
      <c r="AR327" s="6" t="n">
        <v>0</v>
      </c>
    </row>
    <row r="328">
      <c r="D328" t="inlineStr">
        <is>
          <t>Run 16</t>
        </is>
      </c>
      <c r="J328" s="6" t="n">
        <v>0.4086361412573071</v>
      </c>
      <c r="K328" s="6" t="n">
        <v>-2.410833161637254</v>
      </c>
      <c r="L328" s="6" t="n">
        <v>1.913205083129788</v>
      </c>
      <c r="M328" s="6" t="n">
        <v>-0.336064909669723</v>
      </c>
      <c r="N328" s="6" t="n">
        <v>-3.166419995227352</v>
      </c>
      <c r="O328" s="6" t="n">
        <v>-1.733512556070972</v>
      </c>
      <c r="P328" s="6" t="n">
        <v>-2.02636980693949</v>
      </c>
      <c r="Q328" s="6" t="n">
        <v>0.9253444304634794</v>
      </c>
      <c r="R328" s="6" t="n">
        <v>-0.5694033355435479</v>
      </c>
      <c r="S328" s="6" t="n">
        <v>-2.989248533266347</v>
      </c>
      <c r="T328" s="6" t="n">
        <v>-0.9057579613800397</v>
      </c>
      <c r="U328" s="6" t="n">
        <v>0.2701582133849041</v>
      </c>
      <c r="V328" s="6" t="n">
        <v>0.6160357989386188</v>
      </c>
      <c r="W328" s="6" t="n">
        <v>-0.3080692016429495</v>
      </c>
      <c r="X328" s="6" t="n">
        <v>-0.1082667883848803</v>
      </c>
      <c r="Y328" s="6" t="n">
        <v>-2.703707545012129</v>
      </c>
      <c r="Z328" s="6" t="n">
        <v>-1.251185365901655</v>
      </c>
      <c r="AA328" s="6" t="n">
        <v>0.5460229429842856</v>
      </c>
      <c r="AB328" s="6" t="n">
        <v>-1.446065072230868</v>
      </c>
      <c r="AC328" s="6" t="n">
        <v>0.5062076336627052</v>
      </c>
      <c r="AD328" s="6" t="n">
        <v>0.6558059526525675</v>
      </c>
      <c r="AE328" s="6" t="n">
        <v>3.104799024589289</v>
      </c>
      <c r="AF328" s="6" t="n">
        <v>-4.529262464319938</v>
      </c>
      <c r="AG328" s="6" t="n">
        <v>-1.176495696701768</v>
      </c>
      <c r="AH328" s="6" t="n">
        <v>-0.8298859567084181</v>
      </c>
      <c r="AI328" s="6" t="n">
        <v>-2.384028738152497</v>
      </c>
      <c r="AJ328" s="6" t="n">
        <v>65.40336232592932</v>
      </c>
      <c r="AK328" s="6" t="n">
        <v>0.1184379960289121</v>
      </c>
      <c r="AL328" s="6" t="n">
        <v>1.061715383405055</v>
      </c>
      <c r="AN328" s="6" t="n">
        <v>1.340774234922304</v>
      </c>
      <c r="AO328" s="6" t="n">
        <v>1.340997422729415</v>
      </c>
      <c r="AP328" s="6" t="n">
        <v>0.1312717099941715</v>
      </c>
      <c r="AQ328" s="6" t="n">
        <v>0</v>
      </c>
      <c r="AR328" s="6" t="n">
        <v>0</v>
      </c>
    </row>
    <row r="329">
      <c r="D329" t="inlineStr">
        <is>
          <t>Run 17</t>
        </is>
      </c>
      <c r="J329" s="6" t="n">
        <v>-0.6371019744282878</v>
      </c>
      <c r="K329" s="6" t="n">
        <v>-0.6928930140868702</v>
      </c>
      <c r="L329" s="6" t="n">
        <v>-1.038639404688284</v>
      </c>
      <c r="M329" s="6" t="n">
        <v>-1.43028373818363</v>
      </c>
      <c r="N329" s="6" t="n">
        <v>2.347663916283507</v>
      </c>
      <c r="O329" s="6" t="n">
        <v>1.65071817830743</v>
      </c>
      <c r="P329" s="6" t="n">
        <v>-3.625109907287563</v>
      </c>
      <c r="Q329" s="6" t="n">
        <v>-1.096666720497003</v>
      </c>
      <c r="R329" s="6" t="n">
        <v>2.589863361147744</v>
      </c>
      <c r="S329" s="6" t="n">
        <v>0.2833985434173384</v>
      </c>
      <c r="T329" s="6" t="n">
        <v>0.3455955196287168</v>
      </c>
      <c r="U329" s="6" t="n">
        <v>1.554455919322669</v>
      </c>
      <c r="V329" s="6" t="n">
        <v>-1.889385106188194</v>
      </c>
      <c r="W329" s="6" t="n">
        <v>-1.272920515537114</v>
      </c>
      <c r="X329" s="6" t="n">
        <v>1.892141019661546</v>
      </c>
      <c r="Y329" s="6" t="n">
        <v>0.9513696704732846</v>
      </c>
      <c r="Z329" s="6" t="n">
        <v>-0.3084054834632515</v>
      </c>
      <c r="AA329" s="6" t="n">
        <v>-0.5985246825381114</v>
      </c>
      <c r="AB329" s="6" t="n">
        <v>-0.05674924192371873</v>
      </c>
      <c r="AC329" s="6" t="n">
        <v>5</v>
      </c>
      <c r="AD329" s="6" t="n">
        <v>0.3930661020732346</v>
      </c>
      <c r="AE329" s="6" t="n">
        <v>-4.043008736183053</v>
      </c>
      <c r="AF329" s="6" t="n">
        <v>-1.530850750378039</v>
      </c>
      <c r="AG329" s="6" t="n">
        <v>0.911185890159677</v>
      </c>
      <c r="AH329" s="6" t="n">
        <v>4.573918067871449</v>
      </c>
      <c r="AI329" s="6" t="n">
        <v>0.8060863175029391</v>
      </c>
      <c r="AJ329" s="6" t="n">
        <v>56.15886694977737</v>
      </c>
      <c r="AK329" s="6" t="n">
        <v>0.05191957475157524</v>
      </c>
      <c r="AL329" s="6" t="n">
        <v>1.009986813432515</v>
      </c>
      <c r="AN329" s="6" t="n">
        <v>1.346637374056797</v>
      </c>
      <c r="AO329" s="6" t="n">
        <v>1.346637374056797</v>
      </c>
      <c r="AP329" s="6" t="n">
        <v>0.1363370743562085</v>
      </c>
      <c r="AQ329" s="6" t="n">
        <v>0</v>
      </c>
      <c r="AR329" s="6" t="n">
        <v>0</v>
      </c>
    </row>
    <row r="330">
      <c r="D330" t="inlineStr">
        <is>
          <t>Run 18</t>
        </is>
      </c>
      <c r="J330" s="6" t="n">
        <v>-2.301318624508477</v>
      </c>
      <c r="K330" s="6" t="n">
        <v>3.91015476873765</v>
      </c>
      <c r="L330" s="6" t="n">
        <v>-1.866925673237682</v>
      </c>
      <c r="M330" s="6" t="n">
        <v>-2.90343029372581</v>
      </c>
      <c r="N330" s="6" t="n">
        <v>-1.654794578789736</v>
      </c>
      <c r="O330" s="6" t="n">
        <v>1.311844380246762</v>
      </c>
      <c r="P330" s="6" t="n">
        <v>1.220946695626781</v>
      </c>
      <c r="Q330" s="6" t="n">
        <v>3.50716664731024</v>
      </c>
      <c r="R330" s="6" t="n">
        <v>0.8371970759531372</v>
      </c>
      <c r="S330" s="6" t="n">
        <v>0.5266012044661581</v>
      </c>
      <c r="T330" s="6" t="n">
        <v>2.047838002670465</v>
      </c>
      <c r="U330" s="6" t="n">
        <v>1.665365224792304</v>
      </c>
      <c r="V330" s="6" t="n">
        <v>-0.8459006340165287</v>
      </c>
      <c r="W330" s="6" t="n">
        <v>-2.149068379642746</v>
      </c>
      <c r="X330" s="6" t="n">
        <v>-0.3717671782223588</v>
      </c>
      <c r="Y330" s="6" t="n">
        <v>1.931938722651264</v>
      </c>
      <c r="Z330" s="6" t="n">
        <v>2.374170361913126</v>
      </c>
      <c r="AA330" s="6" t="n">
        <v>2.134489219402731</v>
      </c>
      <c r="AB330" s="6" t="n">
        <v>1.21652287394452</v>
      </c>
      <c r="AC330" s="6" t="n">
        <v>-0.8330695135478585</v>
      </c>
      <c r="AD330" s="6" t="n">
        <v>1.015482690615376</v>
      </c>
      <c r="AE330" s="6" t="n">
        <v>1.021179947571791</v>
      </c>
      <c r="AF330" s="6" t="n">
        <v>1.219107858837258</v>
      </c>
      <c r="AG330" s="6" t="n">
        <v>-2.18753025165393</v>
      </c>
      <c r="AH330" s="6" t="n">
        <v>1.829594677062929</v>
      </c>
      <c r="AI330" s="6" t="n">
        <v>0.1280051168344337</v>
      </c>
      <c r="AJ330" s="6" t="n">
        <v>77.69204536543637</v>
      </c>
      <c r="AK330" s="6" t="n">
        <v>0.132624116463536</v>
      </c>
      <c r="AL330" s="6" t="n">
        <v>1.092418012213434</v>
      </c>
      <c r="AN330" s="6" t="n">
        <v>1.308428752408789</v>
      </c>
      <c r="AO330" s="6" t="n">
        <v>1.313749091859662</v>
      </c>
      <c r="AP330" s="6" t="n">
        <v>0.1292564502814826</v>
      </c>
      <c r="AQ330" s="6" t="n">
        <v>0</v>
      </c>
      <c r="AR330" s="6" t="n">
        <v>0</v>
      </c>
    </row>
    <row r="331">
      <c r="D331" t="inlineStr">
        <is>
          <t>Run 19</t>
        </is>
      </c>
      <c r="J331" s="6" t="n">
        <v>0.4221894234396428</v>
      </c>
      <c r="K331" s="6" t="n">
        <v>-0.4615257996136594</v>
      </c>
      <c r="L331" s="6" t="n">
        <v>3.115142089039499</v>
      </c>
      <c r="M331" s="6" t="n">
        <v>1.253368115259146</v>
      </c>
      <c r="N331" s="6" t="n">
        <v>-1.932330368673249</v>
      </c>
      <c r="O331" s="6" t="n">
        <v>-5.190976867868451</v>
      </c>
      <c r="P331" s="6" t="n">
        <v>-0.3032967912245481</v>
      </c>
      <c r="Q331" s="6" t="n">
        <v>0.909412288464467</v>
      </c>
      <c r="R331" s="6" t="n">
        <v>-0.08748290669522157</v>
      </c>
      <c r="S331" s="6" t="n">
        <v>0.3955349559692704</v>
      </c>
      <c r="T331" s="6" t="n">
        <v>2.928441560947877</v>
      </c>
      <c r="U331" s="6" t="n">
        <v>2.821003631729755</v>
      </c>
      <c r="V331" s="6" t="n">
        <v>2.355590130617709</v>
      </c>
      <c r="W331" s="6" t="n">
        <v>0.9183617338698433</v>
      </c>
      <c r="X331" s="6" t="n">
        <v>2.013151176485043</v>
      </c>
      <c r="Y331" s="6" t="n">
        <v>0.9182291663672667</v>
      </c>
      <c r="Z331" s="6" t="n">
        <v>2.005962957517089</v>
      </c>
      <c r="AA331" s="6" t="n">
        <v>1.77776830792267</v>
      </c>
      <c r="AB331" s="6" t="n">
        <v>-0.7092643057313229</v>
      </c>
      <c r="AC331" s="6" t="n">
        <v>-1.683383188389808</v>
      </c>
      <c r="AD331" s="6" t="n">
        <v>-0.1660000168915518</v>
      </c>
      <c r="AE331" s="6" t="n">
        <v>-0.1451425994097831</v>
      </c>
      <c r="AF331" s="6" t="n">
        <v>0.6933801587867897</v>
      </c>
      <c r="AG331" s="6" t="n">
        <v>1.861470914528425</v>
      </c>
      <c r="AH331" s="6" t="n">
        <v>0.0621166434842697</v>
      </c>
      <c r="AI331" s="6" t="n">
        <v>-5.005026886638658</v>
      </c>
      <c r="AJ331" s="6" t="n">
        <v>72.32061549675198</v>
      </c>
      <c r="AK331" s="6" t="n">
        <v>0.1473203490729788</v>
      </c>
      <c r="AL331" s="6" t="n">
        <v>1.009458624255322</v>
      </c>
      <c r="AN331" s="6" t="n">
        <v>1.338521643837311</v>
      </c>
      <c r="AO331" s="6" t="n">
        <v>1.347913885628104</v>
      </c>
      <c r="AP331" s="6" t="n">
        <v>0.136478381347879</v>
      </c>
      <c r="AQ331" s="6" t="n">
        <v>0</v>
      </c>
      <c r="AR331" s="6" t="n">
        <v>0</v>
      </c>
    </row>
    <row r="332">
      <c r="D332" t="inlineStr">
        <is>
          <t>Run 20</t>
        </is>
      </c>
      <c r="J332" s="6" t="n">
        <v>-1.189174628472374</v>
      </c>
      <c r="K332" s="6" t="n">
        <v>0.1208324212137691</v>
      </c>
      <c r="L332" s="6" t="n">
        <v>4.817440450691936</v>
      </c>
      <c r="M332" s="6" t="n">
        <v>-0.5254537095171883</v>
      </c>
      <c r="N332" s="6" t="n">
        <v>-2.40689784375464</v>
      </c>
      <c r="O332" s="6" t="n">
        <v>-2.065454179936256</v>
      </c>
      <c r="P332" s="6" t="n">
        <v>-2.270596173793741</v>
      </c>
      <c r="Q332" s="6" t="n">
        <v>1.436493240516384</v>
      </c>
      <c r="R332" s="6" t="n">
        <v>1.430443693348119</v>
      </c>
      <c r="S332" s="6" t="n">
        <v>0.1427650975746947</v>
      </c>
      <c r="T332" s="6" t="n">
        <v>1.081193648538226</v>
      </c>
      <c r="U332" s="6" t="n">
        <v>-0.6961655483949954</v>
      </c>
      <c r="V332" s="6" t="n">
        <v>-0.9092632699275592</v>
      </c>
      <c r="W332" s="6" t="n">
        <v>2.001977237975814</v>
      </c>
      <c r="X332" s="6" t="n">
        <v>1.699132784077792</v>
      </c>
      <c r="Y332" s="6" t="n">
        <v>1.119953927639036</v>
      </c>
      <c r="Z332" s="6" t="n">
        <v>-0.9829814788337478</v>
      </c>
      <c r="AA332" s="6" t="n">
        <v>2.432589446058236</v>
      </c>
      <c r="AB332" s="6" t="n">
        <v>1.613096894297789</v>
      </c>
      <c r="AC332" s="6" t="n">
        <v>-0.3568319181170493</v>
      </c>
      <c r="AD332" s="6" t="n">
        <v>0.3565497613564277</v>
      </c>
      <c r="AE332" s="6" t="n">
        <v>-2.568916031873622</v>
      </c>
      <c r="AF332" s="6" t="n">
        <v>-1.31740276582988</v>
      </c>
      <c r="AG332" s="6" t="n">
        <v>-1.654485928944708</v>
      </c>
      <c r="AH332" s="6" t="n">
        <v>0.3102768474210375</v>
      </c>
      <c r="AI332" s="6" t="n">
        <v>-1.894220141743634</v>
      </c>
      <c r="AJ332" s="6" t="n">
        <v>72.56546117942486</v>
      </c>
      <c r="AK332" s="6" t="n">
        <v>0.07774079972503417</v>
      </c>
      <c r="AL332" s="6" t="n">
        <v>1.047955287211678</v>
      </c>
      <c r="AN332" s="6" t="n">
        <v>1.348220419322331</v>
      </c>
      <c r="AO332" s="6" t="n">
        <v>1.349022109958552</v>
      </c>
      <c r="AP332" s="6" t="n">
        <v>0.133899773585554</v>
      </c>
      <c r="AQ332" s="6" t="n">
        <v>0</v>
      </c>
      <c r="AR332" s="6" t="n">
        <v>0</v>
      </c>
    </row>
    <row r="333">
      <c r="D333" t="inlineStr">
        <is>
          <t>Run 21</t>
        </is>
      </c>
      <c r="J333" s="6" t="n">
        <v>2.692153359243068</v>
      </c>
      <c r="K333" s="6" t="n">
        <v>0.02491329357262466</v>
      </c>
      <c r="L333" s="6" t="n">
        <v>3.541081337665953</v>
      </c>
      <c r="M333" s="6" t="n">
        <v>2.620895195921348</v>
      </c>
      <c r="N333" s="6" t="n">
        <v>-1.147757132048298</v>
      </c>
      <c r="O333" s="6" t="n">
        <v>4.333388017152591</v>
      </c>
      <c r="P333" s="6" t="n">
        <v>1.688874404835893</v>
      </c>
      <c r="Q333" s="6" t="n">
        <v>1.76408387657071</v>
      </c>
      <c r="R333" s="6" t="n">
        <v>-1.041831479377906</v>
      </c>
      <c r="S333" s="6" t="n">
        <v>-3.010224732236204</v>
      </c>
      <c r="T333" s="6" t="n">
        <v>5</v>
      </c>
      <c r="U333" s="6" t="n">
        <v>-1.002238648368476</v>
      </c>
      <c r="V333" s="6" t="n">
        <v>0.005585558608463602</v>
      </c>
      <c r="W333" s="6" t="n">
        <v>-1.069197935855204</v>
      </c>
      <c r="X333" s="6" t="n">
        <v>3.70702453935623</v>
      </c>
      <c r="Y333" s="6" t="n">
        <v>2.701325464792843</v>
      </c>
      <c r="Z333" s="6" t="n">
        <v>-0.574557976613586</v>
      </c>
      <c r="AA333" s="6" t="n">
        <v>-0.07432790652378195</v>
      </c>
      <c r="AB333" s="6" t="n">
        <v>-2.095378848758098</v>
      </c>
      <c r="AC333" s="6" t="n">
        <v>1.231052690335971</v>
      </c>
      <c r="AD333" s="6" t="n">
        <v>1.441431021010246</v>
      </c>
      <c r="AE333" s="6" t="n">
        <v>-1.361703585904255</v>
      </c>
      <c r="AF333" s="6" t="n">
        <v>-0.8767968746831465</v>
      </c>
      <c r="AG333" s="6" t="n">
        <v>-4.028699662327245</v>
      </c>
      <c r="AH333" s="6" t="n">
        <v>1.873409910321391</v>
      </c>
      <c r="AI333" s="6" t="n">
        <v>0.7328321027346014</v>
      </c>
      <c r="AJ333" s="6" t="n">
        <v>63.06448185007858</v>
      </c>
      <c r="AK333" s="6" t="n">
        <v>0.05681631230790277</v>
      </c>
      <c r="AL333" s="6" t="n">
        <v>1.080191233135484</v>
      </c>
      <c r="AN333" s="6" t="n">
        <v>1.336733217636725</v>
      </c>
      <c r="AO333" s="6" t="n">
        <v>1.337516991476851</v>
      </c>
      <c r="AP333" s="6" t="n">
        <v>0.1311382980352465</v>
      </c>
      <c r="AQ333" s="6" t="n">
        <v>0</v>
      </c>
      <c r="AR333" s="6" t="n">
        <v>0</v>
      </c>
    </row>
    <row r="334">
      <c r="D334" t="inlineStr">
        <is>
          <t>Run 22</t>
        </is>
      </c>
      <c r="J334" s="6" t="n">
        <v>-3.508640659710874</v>
      </c>
      <c r="K334" s="6" t="n">
        <v>0.4625291094670361</v>
      </c>
      <c r="L334" s="6" t="n">
        <v>-4.190355258482199</v>
      </c>
      <c r="M334" s="6" t="n">
        <v>0.6217061219059149</v>
      </c>
      <c r="N334" s="6" t="n">
        <v>-0.04839278397291504</v>
      </c>
      <c r="O334" s="6" t="n">
        <v>3.679605233149716</v>
      </c>
      <c r="P334" s="6" t="n">
        <v>0.6844637776982581</v>
      </c>
      <c r="Q334" s="6" t="n">
        <v>1.644703047606334</v>
      </c>
      <c r="R334" s="6" t="n">
        <v>0.2077957390858288</v>
      </c>
      <c r="S334" s="6" t="n">
        <v>0.7956516547704285</v>
      </c>
      <c r="T334" s="6" t="n">
        <v>-0.1304492041779142</v>
      </c>
      <c r="U334" s="6" t="n">
        <v>-1.84211737705388</v>
      </c>
      <c r="V334" s="6" t="n">
        <v>1.924517496142877</v>
      </c>
      <c r="W334" s="6" t="n">
        <v>1.797507453178219</v>
      </c>
      <c r="X334" s="6" t="n">
        <v>-1.024195738113093</v>
      </c>
      <c r="Y334" s="6" t="n">
        <v>-4.288006060544185</v>
      </c>
      <c r="Z334" s="6" t="n">
        <v>-0.7846224703371025</v>
      </c>
      <c r="AA334" s="6" t="n">
        <v>-0.508388431484722</v>
      </c>
      <c r="AB334" s="6" t="n">
        <v>0.5349409431763296</v>
      </c>
      <c r="AC334" s="6" t="n">
        <v>-4.956756998789064</v>
      </c>
      <c r="AD334" s="6" t="n">
        <v>-1.239296375303667</v>
      </c>
      <c r="AE334" s="6" t="n">
        <v>-0.5846876346520898</v>
      </c>
      <c r="AF334" s="6" t="n">
        <v>1.418471644437078</v>
      </c>
      <c r="AG334" s="6" t="n">
        <v>-1.208439445305538</v>
      </c>
      <c r="AH334" s="6" t="n">
        <v>-3.613186121742016</v>
      </c>
      <c r="AI334" s="6" t="n">
        <v>-2.600611915507149</v>
      </c>
      <c r="AJ334" s="6" t="n">
        <v>81.15300885363538</v>
      </c>
      <c r="AK334" s="6" t="n">
        <v>0.08509375523218969</v>
      </c>
      <c r="AL334" s="6" t="n">
        <v>1.044633449403629</v>
      </c>
      <c r="AN334" s="6" t="n">
        <v>1.354124799687046</v>
      </c>
      <c r="AO334" s="6" t="n">
        <v>1.355428354595454</v>
      </c>
      <c r="AP334" s="6" t="n">
        <v>0.1343684593526724</v>
      </c>
      <c r="AQ334" s="6" t="n">
        <v>0</v>
      </c>
      <c r="AR334" s="6" t="n">
        <v>0</v>
      </c>
    </row>
    <row r="335">
      <c r="D335" t="inlineStr">
        <is>
          <t>Run 23</t>
        </is>
      </c>
      <c r="J335" s="6" t="n">
        <v>0.260367143232822</v>
      </c>
      <c r="K335" s="6" t="n">
        <v>-1.002912244553129</v>
      </c>
      <c r="L335" s="6" t="n">
        <v>1.228144922055062</v>
      </c>
      <c r="M335" s="6" t="n">
        <v>2.583108754421899</v>
      </c>
      <c r="N335" s="6" t="n">
        <v>-1.949701539904646</v>
      </c>
      <c r="O335" s="6" t="n">
        <v>-1.99163707933437</v>
      </c>
      <c r="P335" s="6" t="n">
        <v>-0.5132406949026725</v>
      </c>
      <c r="Q335" s="6" t="n">
        <v>1.7041304332804</v>
      </c>
      <c r="R335" s="6" t="n">
        <v>-1.363476180885358</v>
      </c>
      <c r="S335" s="6" t="n">
        <v>-1.443227426100399</v>
      </c>
      <c r="T335" s="6" t="n">
        <v>-0.7919899449357168</v>
      </c>
      <c r="U335" s="6" t="n">
        <v>2.867899813713336</v>
      </c>
      <c r="V335" s="6" t="n">
        <v>-2.976590373406929</v>
      </c>
      <c r="W335" s="6" t="n">
        <v>3.820388260132471</v>
      </c>
      <c r="X335" s="6" t="n">
        <v>0.4052078301705348</v>
      </c>
      <c r="Y335" s="6" t="n">
        <v>3.880177490398607</v>
      </c>
      <c r="Z335" s="6" t="n">
        <v>1.75839257372388</v>
      </c>
      <c r="AA335" s="6" t="n">
        <v>2.764720662324667</v>
      </c>
      <c r="AB335" s="6" t="n">
        <v>1.79276693341472</v>
      </c>
      <c r="AC335" s="6" t="n">
        <v>0.7145033822668013</v>
      </c>
      <c r="AD335" s="6" t="n">
        <v>-0.1241057551294108</v>
      </c>
      <c r="AE335" s="6" t="n">
        <v>2.89422315144085</v>
      </c>
      <c r="AF335" s="6" t="n">
        <v>1.408861330767416</v>
      </c>
      <c r="AG335" s="6" t="n">
        <v>2.755045887354414</v>
      </c>
      <c r="AH335" s="6" t="n">
        <v>-0.9291886219547612</v>
      </c>
      <c r="AI335" s="6" t="n">
        <v>1.531000208125567</v>
      </c>
      <c r="AJ335" s="6" t="n">
        <v>81.19722555829101</v>
      </c>
      <c r="AK335" s="6" t="n">
        <v>0.1160062381107154</v>
      </c>
      <c r="AL335" s="6" t="n">
        <v>1.094729117074863</v>
      </c>
      <c r="AN335" s="6" t="n">
        <v>1.336395397740432</v>
      </c>
      <c r="AO335" s="6" t="n">
        <v>1.336923529783003</v>
      </c>
      <c r="AP335" s="6" t="n">
        <v>0.1301279442182323</v>
      </c>
      <c r="AQ335" s="6" t="n">
        <v>0</v>
      </c>
      <c r="AR335" s="6" t="n">
        <v>0</v>
      </c>
    </row>
    <row r="336">
      <c r="D336" t="inlineStr">
        <is>
          <t>Run 24</t>
        </is>
      </c>
      <c r="J336" s="6" t="n">
        <v>0.7338369465126598</v>
      </c>
      <c r="K336" s="6" t="n">
        <v>0.5633798256624569</v>
      </c>
      <c r="L336" s="6" t="n">
        <v>-1.04388656544919</v>
      </c>
      <c r="M336" s="6" t="n">
        <v>-1.017529855284301</v>
      </c>
      <c r="N336" s="6" t="n">
        <v>-0.6354939224010578</v>
      </c>
      <c r="O336" s="6" t="n">
        <v>4.688516749178889</v>
      </c>
      <c r="P336" s="6" t="n">
        <v>-0.4802267032555068</v>
      </c>
      <c r="Q336" s="6" t="n">
        <v>2.242530343725903</v>
      </c>
      <c r="R336" s="6" t="n">
        <v>-3.031277347650561</v>
      </c>
      <c r="S336" s="6" t="n">
        <v>2.362421569388269</v>
      </c>
      <c r="T336" s="6" t="n">
        <v>-0.3056857032486504</v>
      </c>
      <c r="U336" s="6" t="n">
        <v>-1.997497269212308</v>
      </c>
      <c r="V336" s="6" t="n">
        <v>1.112635516683478</v>
      </c>
      <c r="W336" s="6" t="n">
        <v>-0.4898445092912522</v>
      </c>
      <c r="X336" s="6" t="n">
        <v>2.098661325175542</v>
      </c>
      <c r="Y336" s="6" t="n">
        <v>3.167852778302341</v>
      </c>
      <c r="Z336" s="6" t="n">
        <v>2.716074867328591</v>
      </c>
      <c r="AA336" s="6" t="n">
        <v>-0.02790571021996717</v>
      </c>
      <c r="AB336" s="6" t="n">
        <v>-0.5265020044116622</v>
      </c>
      <c r="AC336" s="6" t="n">
        <v>2.570679458593761</v>
      </c>
      <c r="AD336" s="6" t="n">
        <v>1.380091293002568</v>
      </c>
      <c r="AE336" s="6" t="n">
        <v>2.257481578029627</v>
      </c>
      <c r="AF336" s="6" t="n">
        <v>-5.035122906934575</v>
      </c>
      <c r="AG336" s="6" t="n">
        <v>-0.7077118209309583</v>
      </c>
      <c r="AH336" s="6" t="n">
        <v>0.06474810984116611</v>
      </c>
      <c r="AI336" s="6" t="n">
        <v>1.437075910240355</v>
      </c>
      <c r="AJ336" s="6" t="n">
        <v>67.53672868413408</v>
      </c>
      <c r="AK336" s="6" t="n">
        <v>0.1146096032833125</v>
      </c>
      <c r="AL336" s="6" t="n">
        <v>1.075878384825373</v>
      </c>
      <c r="AN336" s="6" t="n">
        <v>1.335656858831045</v>
      </c>
      <c r="AO336" s="6" t="n">
        <v>1.335899691029721</v>
      </c>
      <c r="AP336" s="6" t="n">
        <v>0.1304109920365356</v>
      </c>
      <c r="AQ336" s="6" t="n">
        <v>0</v>
      </c>
      <c r="AR336" s="6" t="n">
        <v>0</v>
      </c>
    </row>
    <row r="337">
      <c r="D337" t="inlineStr">
        <is>
          <t>Run 25</t>
        </is>
      </c>
      <c r="J337" s="6" t="n">
        <v>-4.676760525805537</v>
      </c>
      <c r="K337" s="6" t="n">
        <v>-1.46741506720971</v>
      </c>
      <c r="L337" s="6" t="n">
        <v>-2.875025105812365</v>
      </c>
      <c r="M337" s="6" t="n">
        <v>-2.851765612574811</v>
      </c>
      <c r="N337" s="6" t="n">
        <v>0.4041716377160466</v>
      </c>
      <c r="O337" s="6" t="n">
        <v>-1.658748237917469</v>
      </c>
      <c r="P337" s="6" t="n">
        <v>0.5874731585211709</v>
      </c>
      <c r="Q337" s="6" t="n">
        <v>0.8745381755611402</v>
      </c>
      <c r="R337" s="6" t="n">
        <v>0.07438869729944125</v>
      </c>
      <c r="S337" s="6" t="n">
        <v>0.1384049618211457</v>
      </c>
      <c r="T337" s="6" t="n">
        <v>3.093790811013791</v>
      </c>
      <c r="U337" s="6" t="n">
        <v>-0.1730175431419189</v>
      </c>
      <c r="V337" s="6" t="n">
        <v>-1.190118752481774</v>
      </c>
      <c r="W337" s="6" t="n">
        <v>0.1777474843930127</v>
      </c>
      <c r="X337" s="6" t="n">
        <v>-1.744638013859392</v>
      </c>
      <c r="Y337" s="6" t="n">
        <v>3.427539692971997</v>
      </c>
      <c r="Z337" s="6" t="n">
        <v>-2.653882786218352</v>
      </c>
      <c r="AA337" s="6" t="n">
        <v>-1.856835746647333</v>
      </c>
      <c r="AB337" s="6" t="n">
        <v>1.199769845291033</v>
      </c>
      <c r="AC337" s="6" t="n">
        <v>-0.9017721514903598</v>
      </c>
      <c r="AD337" s="6" t="n">
        <v>-1.329250337979428</v>
      </c>
      <c r="AE337" s="6" t="n">
        <v>1.766400982414844</v>
      </c>
      <c r="AF337" s="6" t="n">
        <v>-0.5613441988092752</v>
      </c>
      <c r="AG337" s="6" t="n">
        <v>-0.8095808737503246</v>
      </c>
      <c r="AH337" s="6" t="n">
        <v>0.8490849074955009</v>
      </c>
      <c r="AI337" s="6" t="n">
        <v>3.197800106415698</v>
      </c>
      <c r="AJ337" s="6" t="n">
        <v>67.24373935208997</v>
      </c>
      <c r="AK337" s="6" t="n">
        <v>0.1771872130158782</v>
      </c>
      <c r="AL337" s="6" t="n">
        <v>1.062688988895845</v>
      </c>
      <c r="AN337" s="6" t="n">
        <v>1.310190809113298</v>
      </c>
      <c r="AO337" s="6" t="n">
        <v>1.319992635680893</v>
      </c>
      <c r="AP337" s="6" t="n">
        <v>0.1297389069689168</v>
      </c>
      <c r="AQ337" s="6" t="n">
        <v>0</v>
      </c>
      <c r="AR337" s="6" t="n">
        <v>0</v>
      </c>
    </row>
    <row r="338">
      <c r="D338" t="inlineStr">
        <is>
          <t>Run 26</t>
        </is>
      </c>
      <c r="J338" s="6" t="n">
        <v>-2.58209294451289</v>
      </c>
      <c r="K338" s="6" t="n">
        <v>3.236861746086512</v>
      </c>
      <c r="L338" s="6" t="n">
        <v>0.4923175099633043</v>
      </c>
      <c r="M338" s="6" t="n">
        <v>2.202030673412963</v>
      </c>
      <c r="N338" s="6" t="n">
        <v>0.3046724787906167</v>
      </c>
      <c r="O338" s="6" t="n">
        <v>1.809310862931024</v>
      </c>
      <c r="P338" s="6" t="n">
        <v>0.744768018452917</v>
      </c>
      <c r="Q338" s="6" t="n">
        <v>-1.701814226969903</v>
      </c>
      <c r="R338" s="6" t="n">
        <v>0.2132256652965546</v>
      </c>
      <c r="S338" s="6" t="n">
        <v>2.141054142464376</v>
      </c>
      <c r="T338" s="6" t="n">
        <v>-4.704459526142012</v>
      </c>
      <c r="U338" s="6" t="n">
        <v>0.8114558754267583</v>
      </c>
      <c r="V338" s="6" t="n">
        <v>0.1326497364480857</v>
      </c>
      <c r="W338" s="6" t="n">
        <v>0.1015306161604562</v>
      </c>
      <c r="X338" s="6" t="n">
        <v>3.083156851840895</v>
      </c>
      <c r="Y338" s="6" t="n">
        <v>0.07015356113719706</v>
      </c>
      <c r="Z338" s="6" t="n">
        <v>1.479239513766752</v>
      </c>
      <c r="AA338" s="6" t="n">
        <v>-2.026593305063088</v>
      </c>
      <c r="AB338" s="6" t="n">
        <v>0.507478163801928</v>
      </c>
      <c r="AC338" s="6" t="n">
        <v>-0.4392766019517098</v>
      </c>
      <c r="AD338" s="6" t="n">
        <v>-2.205289429576669</v>
      </c>
      <c r="AE338" s="6" t="n">
        <v>0.8168333131970364</v>
      </c>
      <c r="AF338" s="6" t="n">
        <v>-1.718021451692052</v>
      </c>
      <c r="AG338" s="6" t="n">
        <v>-1.581396801195583</v>
      </c>
      <c r="AH338" s="6" t="n">
        <v>2.012195390242127</v>
      </c>
      <c r="AI338" s="6" t="n">
        <v>-2.82147921838438</v>
      </c>
      <c r="AJ338" s="6" t="n">
        <v>82.04860407413547</v>
      </c>
      <c r="AK338" s="6" t="n">
        <v>0.1662119679713608</v>
      </c>
      <c r="AL338" s="6" t="n">
        <v>1.004854768754363</v>
      </c>
      <c r="AN338" s="6" t="n">
        <v>1.361961667771789</v>
      </c>
      <c r="AO338" s="6" t="n">
        <v>1.3621917701897</v>
      </c>
      <c r="AP338" s="6" t="n">
        <v>0.1378001006667893</v>
      </c>
      <c r="AQ338" s="6" t="n">
        <v>0</v>
      </c>
      <c r="AR338" s="6" t="n">
        <v>0</v>
      </c>
    </row>
    <row r="339">
      <c r="D339" t="inlineStr">
        <is>
          <t>Run 27</t>
        </is>
      </c>
      <c r="J339" s="6" t="n">
        <v>1.222981903963848</v>
      </c>
      <c r="K339" s="6" t="n">
        <v>0.9282907218422733</v>
      </c>
      <c r="L339" s="6" t="n">
        <v>3.10536146788129</v>
      </c>
      <c r="M339" s="6" t="n">
        <v>-0.5277672619972519</v>
      </c>
      <c r="N339" s="6" t="n">
        <v>-1.191119311007715</v>
      </c>
      <c r="O339" s="6" t="n">
        <v>0.3745021233743197</v>
      </c>
      <c r="P339" s="6" t="n">
        <v>-1.628809938260593</v>
      </c>
      <c r="Q339" s="6" t="n">
        <v>1.550072249788475</v>
      </c>
      <c r="R339" s="6" t="n">
        <v>-1.013864718698283</v>
      </c>
      <c r="S339" s="6" t="n">
        <v>-0.2844780631460403</v>
      </c>
      <c r="T339" s="6" t="n">
        <v>0.6695383457016276</v>
      </c>
      <c r="U339" s="6" t="n">
        <v>-0.3416807086360633</v>
      </c>
      <c r="V339" s="6" t="n">
        <v>0.9140366113773924</v>
      </c>
      <c r="W339" s="6" t="n">
        <v>2.527376855134375</v>
      </c>
      <c r="X339" s="6" t="n">
        <v>4.469741279721608</v>
      </c>
      <c r="Y339" s="6" t="n">
        <v>0.7845619453754007</v>
      </c>
      <c r="Z339" s="6" t="n">
        <v>-1.41236483144719</v>
      </c>
      <c r="AA339" s="6" t="n">
        <v>-4.875032855814217</v>
      </c>
      <c r="AB339" s="6" t="n">
        <v>1.657794484408476</v>
      </c>
      <c r="AC339" s="6" t="n">
        <v>-1.072301651258864</v>
      </c>
      <c r="AD339" s="6" t="n">
        <v>1.028801968353342</v>
      </c>
      <c r="AE339" s="6" t="n">
        <v>0.009764484956781961</v>
      </c>
      <c r="AF339" s="6" t="n">
        <v>-3.269886836392932</v>
      </c>
      <c r="AG339" s="6" t="n">
        <v>-1.74202412715309</v>
      </c>
      <c r="AH339" s="6" t="n">
        <v>0.4083769657461752</v>
      </c>
      <c r="AI339" s="6" t="n">
        <v>2.819693990207707</v>
      </c>
      <c r="AJ339" s="6" t="n">
        <v>77.07296992537854</v>
      </c>
      <c r="AK339" s="6" t="n">
        <v>0.1695433012155779</v>
      </c>
      <c r="AL339" s="6" t="n">
        <v>1.072535352247873</v>
      </c>
      <c r="AN339" s="6" t="n">
        <v>1.334679622543307</v>
      </c>
      <c r="AO339" s="6" t="n">
        <v>1.33476495363817</v>
      </c>
      <c r="AP339" s="6" t="n">
        <v>0.1298061459907985</v>
      </c>
      <c r="AQ339" s="6" t="n">
        <v>0</v>
      </c>
      <c r="AR339" s="6" t="n">
        <v>0</v>
      </c>
    </row>
    <row r="340">
      <c r="D340" t="inlineStr">
        <is>
          <t>Run 28</t>
        </is>
      </c>
      <c r="J340" s="6" t="n">
        <v>-0.003634193649115538</v>
      </c>
      <c r="K340" s="6" t="n">
        <v>-0.1177554450071384</v>
      </c>
      <c r="L340" s="6" t="n">
        <v>0.1697765002768442</v>
      </c>
      <c r="M340" s="6" t="n">
        <v>-3.012138711847979</v>
      </c>
      <c r="N340" s="6" t="n">
        <v>1.593714181406003</v>
      </c>
      <c r="O340" s="6" t="n">
        <v>1.067923527756302</v>
      </c>
      <c r="P340" s="6" t="n">
        <v>2.349797255599109</v>
      </c>
      <c r="Q340" s="6" t="n">
        <v>0.802171530463053</v>
      </c>
      <c r="R340" s="6" t="n">
        <v>-0.798213482244688</v>
      </c>
      <c r="S340" s="6" t="n">
        <v>-2.016823358975822</v>
      </c>
      <c r="T340" s="6" t="n">
        <v>-2.081782616004078</v>
      </c>
      <c r="U340" s="6" t="n">
        <v>1.180616323584612</v>
      </c>
      <c r="V340" s="6" t="n">
        <v>2.12434096099051</v>
      </c>
      <c r="W340" s="6" t="n">
        <v>2.666353189262581</v>
      </c>
      <c r="X340" s="6" t="n">
        <v>-0.3662081803032436</v>
      </c>
      <c r="Y340" s="6" t="n">
        <v>1.643495948110568</v>
      </c>
      <c r="Z340" s="6" t="n">
        <v>0.3994555061440522</v>
      </c>
      <c r="AA340" s="6" t="n">
        <v>-1.226363659325787</v>
      </c>
      <c r="AB340" s="6" t="n">
        <v>1.075352433960906</v>
      </c>
      <c r="AC340" s="6" t="n">
        <v>-1.776938066816017</v>
      </c>
      <c r="AD340" s="6" t="n">
        <v>0.09871793657451473</v>
      </c>
      <c r="AE340" s="6" t="n">
        <v>-0.4372455029047317</v>
      </c>
      <c r="AF340" s="6" t="n">
        <v>1.077824869008385</v>
      </c>
      <c r="AG340" s="6" t="n">
        <v>4.372176710206741</v>
      </c>
      <c r="AH340" s="6" t="n">
        <v>1.378101293747152</v>
      </c>
      <c r="AI340" s="6" t="n">
        <v>2.175948517599179</v>
      </c>
      <c r="AJ340" s="6" t="n">
        <v>81.70377342338293</v>
      </c>
      <c r="AK340" s="6" t="n">
        <v>0.1360497237139967</v>
      </c>
      <c r="AL340" s="6" t="n">
        <v>1.037392605044698</v>
      </c>
      <c r="AN340" s="6" t="n">
        <v>1.323764667025438</v>
      </c>
      <c r="AO340" s="6" t="n">
        <v>1.335230761344793</v>
      </c>
      <c r="AP340" s="6" t="n">
        <v>0.1338262668919344</v>
      </c>
      <c r="AQ340" s="6" t="n">
        <v>0</v>
      </c>
      <c r="AR340" s="6" t="n">
        <v>0</v>
      </c>
    </row>
    <row r="341">
      <c r="D341" t="inlineStr">
        <is>
          <t>Run 29</t>
        </is>
      </c>
      <c r="J341" s="6" t="n">
        <v>-0.1204574882944815</v>
      </c>
      <c r="K341" s="6" t="n">
        <v>0.3221904249249511</v>
      </c>
      <c r="L341" s="6" t="n">
        <v>2.272554712228755</v>
      </c>
      <c r="M341" s="6" t="n">
        <v>-2.65316304433259</v>
      </c>
      <c r="N341" s="6" t="n">
        <v>-0.06863175384384648</v>
      </c>
      <c r="O341" s="6" t="n">
        <v>-1.247462448101908</v>
      </c>
      <c r="P341" s="6" t="n">
        <v>0.3048037803859318</v>
      </c>
      <c r="Q341" s="6" t="n">
        <v>-0.6684191153679609</v>
      </c>
      <c r="R341" s="6" t="n">
        <v>-1.988851571879462</v>
      </c>
      <c r="S341" s="6" t="n">
        <v>-1.574273534342807</v>
      </c>
      <c r="T341" s="6" t="n">
        <v>-2.348938168067564</v>
      </c>
      <c r="U341" s="6" t="n">
        <v>-1.504344314218629</v>
      </c>
      <c r="V341" s="6" t="n">
        <v>1.174999038774718</v>
      </c>
      <c r="W341" s="6" t="n">
        <v>0.3721657351133902</v>
      </c>
      <c r="X341" s="6" t="n">
        <v>1.701943894944023</v>
      </c>
      <c r="Y341" s="6" t="n">
        <v>-2.170257730038122</v>
      </c>
      <c r="Z341" s="6" t="n">
        <v>3.141139197118561</v>
      </c>
      <c r="AA341" s="6" t="n">
        <v>3.283102662105682</v>
      </c>
      <c r="AB341" s="6" t="n">
        <v>2.89982309974789</v>
      </c>
      <c r="AC341" s="6" t="n">
        <v>-0.4620112185348073</v>
      </c>
      <c r="AD341" s="6" t="n">
        <v>-1.416779915431116</v>
      </c>
      <c r="AE341" s="6" t="n">
        <v>0.3120778498268114</v>
      </c>
      <c r="AF341" s="6" t="n">
        <v>0.461283889833501</v>
      </c>
      <c r="AG341" s="6" t="n">
        <v>-1.309897271636967</v>
      </c>
      <c r="AH341" s="6" t="n">
        <v>-2.283445651045279</v>
      </c>
      <c r="AI341" s="6" t="n">
        <v>0.3263054712760565</v>
      </c>
      <c r="AJ341" s="6" t="n">
        <v>81.06597761431587</v>
      </c>
      <c r="AK341" s="6" t="n">
        <v>0.04164827745440276</v>
      </c>
      <c r="AL341" s="6" t="n">
        <v>1.038384251075525</v>
      </c>
      <c r="AN341" s="6" t="n">
        <v>1.335232633186642</v>
      </c>
      <c r="AO341" s="6" t="n">
        <v>1.344814811577942</v>
      </c>
      <c r="AP341" s="6" t="n">
        <v>0.1359052736319525</v>
      </c>
      <c r="AQ341" s="6" t="n">
        <v>0</v>
      </c>
      <c r="AR341" s="6" t="n">
        <v>0</v>
      </c>
    </row>
    <row r="342">
      <c r="D342" t="inlineStr">
        <is>
          <t>Run 30</t>
        </is>
      </c>
      <c r="J342" s="6" t="n">
        <v>3.13898248937265</v>
      </c>
      <c r="K342" s="6" t="n">
        <v>-0.1377890588147515</v>
      </c>
      <c r="L342" s="6" t="n">
        <v>0.9158209186271432</v>
      </c>
      <c r="M342" s="6" t="n">
        <v>0.2904111333478964</v>
      </c>
      <c r="N342" s="6" t="n">
        <v>-0.03682956917612964</v>
      </c>
      <c r="O342" s="6" t="n">
        <v>-1.175308069688302</v>
      </c>
      <c r="P342" s="6" t="n">
        <v>0.2459570959862804</v>
      </c>
      <c r="Q342" s="6" t="n">
        <v>-2.08259846956483</v>
      </c>
      <c r="R342" s="6" t="n">
        <v>-4.262641622447087</v>
      </c>
      <c r="S342" s="6" t="n">
        <v>-2.318206851448855</v>
      </c>
      <c r="T342" s="6" t="n">
        <v>-2.336612373440348</v>
      </c>
      <c r="U342" s="6" t="n">
        <v>2.444007735282766</v>
      </c>
      <c r="V342" s="6" t="n">
        <v>1.011509080647633</v>
      </c>
      <c r="W342" s="6" t="n">
        <v>-0.8565562488932689</v>
      </c>
      <c r="X342" s="6" t="n">
        <v>0.7705028939105097</v>
      </c>
      <c r="Y342" s="6" t="n">
        <v>5</v>
      </c>
      <c r="Z342" s="6" t="n">
        <v>1.998755590562072</v>
      </c>
      <c r="AA342" s="6" t="n">
        <v>-1.666667775402619</v>
      </c>
      <c r="AB342" s="6" t="n">
        <v>-2.850439791006099</v>
      </c>
      <c r="AC342" s="6" t="n">
        <v>-0.1325770328734354</v>
      </c>
      <c r="AD342" s="6" t="n">
        <v>1.975984524087233</v>
      </c>
      <c r="AE342" s="6" t="n">
        <v>-2.85167510914437</v>
      </c>
      <c r="AF342" s="6" t="n">
        <v>0.4464133051891347</v>
      </c>
      <c r="AG342" s="6" t="n">
        <v>-2.024652050819508</v>
      </c>
      <c r="AH342" s="6" t="n">
        <v>-0.6745730707998787</v>
      </c>
      <c r="AI342" s="6" t="n">
        <v>-1.481419740064008</v>
      </c>
      <c r="AJ342" s="6" t="n">
        <v>72.41639241672732</v>
      </c>
      <c r="AK342" s="6" t="n">
        <v>0.09874507637010335</v>
      </c>
      <c r="AL342" s="6" t="n">
        <v>1.062017389078601</v>
      </c>
      <c r="AN342" s="6" t="n">
        <v>1.345126595368013</v>
      </c>
      <c r="AO342" s="6" t="n">
        <v>1.345291311773422</v>
      </c>
      <c r="AP342" s="6" t="n">
        <v>0.1317523723200318</v>
      </c>
      <c r="AQ342" s="6" t="n">
        <v>0</v>
      </c>
      <c r="AR342" s="6" t="n">
        <v>0</v>
      </c>
    </row>
    <row r="343">
      <c r="D343" t="inlineStr">
        <is>
          <t>Run 31</t>
        </is>
      </c>
      <c r="J343" s="6" t="n">
        <v>-0.2739415348826263</v>
      </c>
      <c r="K343" s="6" t="n">
        <v>1.465127657081363</v>
      </c>
      <c r="L343" s="6" t="n">
        <v>-1.502076426207074</v>
      </c>
      <c r="M343" s="6" t="n">
        <v>0.009600629548084867</v>
      </c>
      <c r="N343" s="6" t="n">
        <v>-0.8544664747803028</v>
      </c>
      <c r="O343" s="6" t="n">
        <v>-1.066540455505461</v>
      </c>
      <c r="P343" s="6" t="n">
        <v>1.311656724743294</v>
      </c>
      <c r="Q343" s="6" t="n">
        <v>-0.09729835701697859</v>
      </c>
      <c r="R343" s="6" t="n">
        <v>-2.25392135423659</v>
      </c>
      <c r="S343" s="6" t="n">
        <v>-0.2041647995232325</v>
      </c>
      <c r="T343" s="6" t="n">
        <v>-0.008953171195516321</v>
      </c>
      <c r="U343" s="6" t="n">
        <v>1.696044508025172</v>
      </c>
      <c r="V343" s="6" t="n">
        <v>-1.161326625477172</v>
      </c>
      <c r="W343" s="6" t="n">
        <v>2.447193703874502</v>
      </c>
      <c r="X343" s="6" t="n">
        <v>-0.5476245754862247</v>
      </c>
      <c r="Y343" s="6" t="n">
        <v>-0.2201750941499343</v>
      </c>
      <c r="Z343" s="6" t="n">
        <v>-0.2092764054818151</v>
      </c>
      <c r="AA343" s="6" t="n">
        <v>2.375415788272937</v>
      </c>
      <c r="AB343" s="6" t="n">
        <v>2.105219941023404</v>
      </c>
      <c r="AC343" s="6" t="n">
        <v>0.5237455042610705</v>
      </c>
      <c r="AD343" s="6" t="n">
        <v>-0.09361887358714541</v>
      </c>
      <c r="AE343" s="6" t="n">
        <v>-2.865080637704522</v>
      </c>
      <c r="AF343" s="6" t="n">
        <v>2.648234236011285</v>
      </c>
      <c r="AG343" s="6" t="n">
        <v>-0.7364854278148564</v>
      </c>
      <c r="AH343" s="6" t="n">
        <v>-3.057905485135717</v>
      </c>
      <c r="AI343" s="6" t="n">
        <v>2.831840507051894</v>
      </c>
      <c r="AJ343" s="6" t="n">
        <v>76.21456873980523</v>
      </c>
      <c r="AK343" s="6" t="n">
        <v>0.1335731853456698</v>
      </c>
      <c r="AL343" s="6" t="n">
        <v>1.053702979326057</v>
      </c>
      <c r="AN343" s="6" t="n">
        <v>1.347163584152673</v>
      </c>
      <c r="AO343" s="6" t="n">
        <v>1.347730841073924</v>
      </c>
      <c r="AP343" s="6" t="n">
        <v>0.1320900535142659</v>
      </c>
      <c r="AQ343" s="6" t="n">
        <v>0</v>
      </c>
      <c r="AR343" s="6" t="n">
        <v>0</v>
      </c>
    </row>
    <row r="344">
      <c r="D344" t="inlineStr">
        <is>
          <t>Run 32</t>
        </is>
      </c>
      <c r="J344" s="6" t="n">
        <v>1.676517458391658</v>
      </c>
      <c r="K344" s="6" t="n">
        <v>2.923822188846858</v>
      </c>
      <c r="L344" s="6" t="n">
        <v>-1.745618366562276</v>
      </c>
      <c r="M344" s="6" t="n">
        <v>-1.072683359027676</v>
      </c>
      <c r="N344" s="6" t="n">
        <v>-4.203612385466539</v>
      </c>
      <c r="O344" s="6" t="n">
        <v>0.2843036038028446</v>
      </c>
      <c r="P344" s="6" t="n">
        <v>0.532645723097089</v>
      </c>
      <c r="Q344" s="6" t="n">
        <v>1.543580168360423</v>
      </c>
      <c r="R344" s="6" t="n">
        <v>-2.158442284568701</v>
      </c>
      <c r="S344" s="6" t="n">
        <v>0.01235994565681162</v>
      </c>
      <c r="T344" s="6" t="n">
        <v>3.049281825836636</v>
      </c>
      <c r="U344" s="6" t="n">
        <v>0.6782008083770926</v>
      </c>
      <c r="V344" s="6" t="n">
        <v>-0.374647755459664</v>
      </c>
      <c r="W344" s="6" t="n">
        <v>-0.1723925525869484</v>
      </c>
      <c r="X344" s="6" t="n">
        <v>2.54015716700835</v>
      </c>
      <c r="Y344" s="6" t="n">
        <v>-0.4825695526441276</v>
      </c>
      <c r="Z344" s="6" t="n">
        <v>-1.076175587443599</v>
      </c>
      <c r="AA344" s="6" t="n">
        <v>2.025260634522531</v>
      </c>
      <c r="AB344" s="6" t="n">
        <v>1.203648475533768</v>
      </c>
      <c r="AC344" s="6" t="n">
        <v>0.09472535405848252</v>
      </c>
      <c r="AD344" s="6" t="n">
        <v>-1.785764089084383</v>
      </c>
      <c r="AE344" s="6" t="n">
        <v>-0.006476654900089628</v>
      </c>
      <c r="AF344" s="6" t="n">
        <v>-1.564027928974512</v>
      </c>
      <c r="AG344" s="6" t="n">
        <v>-1.343050956496283</v>
      </c>
      <c r="AH344" s="6" t="n">
        <v>2.821187860215382</v>
      </c>
      <c r="AI344" s="6" t="n">
        <v>-3.816555406253932</v>
      </c>
      <c r="AJ344" s="6" t="n">
        <v>71.8571388247058</v>
      </c>
      <c r="AK344" s="6" t="n">
        <v>0.1636694450926167</v>
      </c>
      <c r="AL344" s="6" t="n">
        <v>1.052093417557193</v>
      </c>
      <c r="AN344" s="6" t="n">
        <v>1.339670350149105</v>
      </c>
      <c r="AO344" s="6" t="n">
        <v>1.340007706374176</v>
      </c>
      <c r="AP344" s="6" t="n">
        <v>0.1312064095436127</v>
      </c>
      <c r="AQ344" s="6" t="n">
        <v>0</v>
      </c>
      <c r="AR344" s="6" t="n">
        <v>0</v>
      </c>
    </row>
    <row r="345">
      <c r="D345" t="inlineStr">
        <is>
          <t>Run 33</t>
        </is>
      </c>
      <c r="J345" s="6" t="n">
        <v>1.406774970439552</v>
      </c>
      <c r="K345" s="6" t="n">
        <v>-2.079791526164427</v>
      </c>
      <c r="L345" s="6" t="n">
        <v>-0.8001777450610928</v>
      </c>
      <c r="M345" s="6" t="n">
        <v>2.090978652977637</v>
      </c>
      <c r="N345" s="6" t="n">
        <v>-0.2113077568138717</v>
      </c>
      <c r="O345" s="6" t="n">
        <v>1.332597486453274</v>
      </c>
      <c r="P345" s="6" t="n">
        <v>-1.849105201177363</v>
      </c>
      <c r="Q345" s="6" t="n">
        <v>-1.747334195515456</v>
      </c>
      <c r="R345" s="6" t="n">
        <v>-1.20750956612099</v>
      </c>
      <c r="S345" s="6" t="n">
        <v>-0.5619397611927317</v>
      </c>
      <c r="T345" s="6" t="n">
        <v>1.637156337870273</v>
      </c>
      <c r="U345" s="6" t="n">
        <v>1.775811444027823</v>
      </c>
      <c r="V345" s="6" t="n">
        <v>0.2996165564188766</v>
      </c>
      <c r="W345" s="6" t="n">
        <v>0.892699555230253</v>
      </c>
      <c r="X345" s="6" t="n">
        <v>-0.9489428754099297</v>
      </c>
      <c r="Y345" s="6" t="n">
        <v>1.125566903864636</v>
      </c>
      <c r="Z345" s="6" t="n">
        <v>-2.16273693703864</v>
      </c>
      <c r="AA345" s="6" t="n">
        <v>1.899467763962639</v>
      </c>
      <c r="AB345" s="6" t="n">
        <v>-1.676025638142818</v>
      </c>
      <c r="AC345" s="6" t="n">
        <v>0.7507700009636604</v>
      </c>
      <c r="AD345" s="6" t="n">
        <v>-1.74833269567971</v>
      </c>
      <c r="AE345" s="6" t="n">
        <v>2.124645483263734</v>
      </c>
      <c r="AF345" s="6" t="n">
        <v>-0.007528463879338798</v>
      </c>
      <c r="AG345" s="6" t="n">
        <v>1.095704155875653</v>
      </c>
      <c r="AH345" s="6" t="n">
        <v>-0.2294499231315258</v>
      </c>
      <c r="AI345" s="6" t="n">
        <v>-0.2604754076992664</v>
      </c>
      <c r="AJ345" s="6" t="n">
        <v>81.50976897186449</v>
      </c>
      <c r="AK345" s="6" t="n">
        <v>0.0964549997772096</v>
      </c>
      <c r="AL345" s="6" t="n">
        <v>1.048429436135643</v>
      </c>
      <c r="AN345" s="6" t="n">
        <v>1.352138893615756</v>
      </c>
      <c r="AO345" s="6" t="n">
        <v>1.352138893615756</v>
      </c>
      <c r="AP345" s="6" t="n">
        <v>0.1337951134791006</v>
      </c>
      <c r="AQ345" s="6" t="n">
        <v>0</v>
      </c>
      <c r="AR345" s="6" t="n">
        <v>0</v>
      </c>
    </row>
    <row r="346">
      <c r="D346" t="inlineStr">
        <is>
          <t>Run 34</t>
        </is>
      </c>
      <c r="J346" s="6" t="n">
        <v>0.7177050284670662</v>
      </c>
      <c r="K346" s="6" t="n">
        <v>1.005431871888461</v>
      </c>
      <c r="L346" s="6" t="n">
        <v>-1.487965186707255</v>
      </c>
      <c r="M346" s="6" t="n">
        <v>0.3819465708001315</v>
      </c>
      <c r="N346" s="6" t="n">
        <v>-0.6757902991024255</v>
      </c>
      <c r="O346" s="6" t="n">
        <v>0.7819776816565505</v>
      </c>
      <c r="P346" s="6" t="n">
        <v>3.306117479908771</v>
      </c>
      <c r="Q346" s="6" t="n">
        <v>-1.400721916963283</v>
      </c>
      <c r="R346" s="6" t="n">
        <v>-1.799203542085573</v>
      </c>
      <c r="S346" s="6" t="n">
        <v>0.8987042086111531</v>
      </c>
      <c r="T346" s="6" t="n">
        <v>3.684565657547714</v>
      </c>
      <c r="U346" s="6" t="n">
        <v>2.977469580579876</v>
      </c>
      <c r="V346" s="6" t="n">
        <v>1.085690025583512</v>
      </c>
      <c r="W346" s="6" t="n">
        <v>-0.6117016459833493</v>
      </c>
      <c r="X346" s="6" t="n">
        <v>-1.304674685070677</v>
      </c>
      <c r="Y346" s="6" t="n">
        <v>2.983719215852174</v>
      </c>
      <c r="Z346" s="6" t="n">
        <v>-0.2199169189310629</v>
      </c>
      <c r="AA346" s="6" t="n">
        <v>3.055666304065992</v>
      </c>
      <c r="AB346" s="6" t="n">
        <v>-0.9277583554962029</v>
      </c>
      <c r="AC346" s="6" t="n">
        <v>-0.4503545972597174</v>
      </c>
      <c r="AD346" s="6" t="n">
        <v>1.592143264945677</v>
      </c>
      <c r="AE346" s="6" t="n">
        <v>1.266358524346126</v>
      </c>
      <c r="AF346" s="6" t="n">
        <v>-2.310455765624662</v>
      </c>
      <c r="AG346" s="6" t="n">
        <v>3.572881980788518</v>
      </c>
      <c r="AH346" s="6" t="n">
        <v>0.7105864874709694</v>
      </c>
      <c r="AI346" s="6" t="n">
        <v>2.883218957251271</v>
      </c>
      <c r="AJ346" s="6" t="n">
        <v>78.91366589637458</v>
      </c>
      <c r="AK346" s="6" t="n">
        <v>0.1428489040280213</v>
      </c>
      <c r="AL346" s="6" t="n">
        <v>1.047413260839405</v>
      </c>
      <c r="AN346" s="6" t="n">
        <v>1.347830586650964</v>
      </c>
      <c r="AO346" s="6" t="n">
        <v>1.348561724460118</v>
      </c>
      <c r="AP346" s="6" t="n">
        <v>0.1324475262041986</v>
      </c>
      <c r="AQ346" s="6" t="n">
        <v>0</v>
      </c>
      <c r="AR346" s="6" t="n">
        <v>0</v>
      </c>
    </row>
    <row r="347">
      <c r="D347" t="inlineStr">
        <is>
          <t>Run 35</t>
        </is>
      </c>
      <c r="J347" s="6" t="n">
        <v>-2.678476152955179</v>
      </c>
      <c r="K347" s="6" t="n">
        <v>2.699988703141711</v>
      </c>
      <c r="L347" s="6" t="n">
        <v>-1.323213306019213</v>
      </c>
      <c r="M347" s="6" t="n">
        <v>0.2927868318945808</v>
      </c>
      <c r="N347" s="6" t="n">
        <v>0.7649706968021138</v>
      </c>
      <c r="O347" s="6" t="n">
        <v>1.699426732913886</v>
      </c>
      <c r="P347" s="6" t="n">
        <v>-1.154091039325924</v>
      </c>
      <c r="Q347" s="6" t="n">
        <v>-0.7623617652651223</v>
      </c>
      <c r="R347" s="6" t="n">
        <v>0.3329765121781186</v>
      </c>
      <c r="S347" s="6" t="n">
        <v>1.969904039923004</v>
      </c>
      <c r="T347" s="6" t="n">
        <v>4.140298794122549</v>
      </c>
      <c r="U347" s="6" t="n">
        <v>-0.9512612304552454</v>
      </c>
      <c r="V347" s="6" t="n">
        <v>0.4309488627871403</v>
      </c>
      <c r="W347" s="6" t="n">
        <v>-1.59100645967161</v>
      </c>
      <c r="X347" s="6" t="n">
        <v>-1.868244754022507</v>
      </c>
      <c r="Y347" s="6" t="n">
        <v>-3.374196063135892</v>
      </c>
      <c r="Z347" s="6" t="n">
        <v>0.08341803151262854</v>
      </c>
      <c r="AA347" s="6" t="n">
        <v>-1.137679537164969</v>
      </c>
      <c r="AB347" s="6" t="n">
        <v>2.419302147612844</v>
      </c>
      <c r="AC347" s="6" t="n">
        <v>-0.9179032945114305</v>
      </c>
      <c r="AD347" s="6" t="n">
        <v>-0.5984184051565443</v>
      </c>
      <c r="AE347" s="6" t="n">
        <v>1.927232908734507</v>
      </c>
      <c r="AF347" s="6" t="n">
        <v>0.3619367174089497</v>
      </c>
      <c r="AG347" s="6" t="n">
        <v>-0.2880639301698295</v>
      </c>
      <c r="AH347" s="6" t="n">
        <v>-1.236013025220327</v>
      </c>
      <c r="AI347" s="6" t="n">
        <v>-0.2692067084576032</v>
      </c>
      <c r="AJ347" s="6" t="n">
        <v>81.02973130223882</v>
      </c>
      <c r="AK347" s="6" t="n">
        <v>0.1021047666488396</v>
      </c>
      <c r="AL347" s="6" t="n">
        <v>0.9994567531495672</v>
      </c>
      <c r="AN347" s="6" t="n">
        <v>1.364053816647088</v>
      </c>
      <c r="AO347" s="6" t="n">
        <v>1.364297469494576</v>
      </c>
      <c r="AP347" s="6" t="n">
        <v>0.1403285333007748</v>
      </c>
      <c r="AQ347" s="6" t="n">
        <v>0</v>
      </c>
      <c r="AR347" s="6" t="n">
        <v>0</v>
      </c>
    </row>
    <row r="348">
      <c r="D348" t="inlineStr">
        <is>
          <t>Run 36</t>
        </is>
      </c>
      <c r="J348" s="6" t="n">
        <v>-0.04194384732842153</v>
      </c>
      <c r="K348" s="6" t="n">
        <v>1.946452441402077</v>
      </c>
      <c r="L348" s="6" t="n">
        <v>3.006208417259944</v>
      </c>
      <c r="M348" s="6" t="n">
        <v>-0.7163961514001475</v>
      </c>
      <c r="N348" s="6" t="n">
        <v>-1.081052580612164</v>
      </c>
      <c r="O348" s="6" t="n">
        <v>2.625053053181662</v>
      </c>
      <c r="P348" s="6" t="n">
        <v>-2.963821451609127</v>
      </c>
      <c r="Q348" s="6" t="n">
        <v>-3.844382900347585</v>
      </c>
      <c r="R348" s="6" t="n">
        <v>-1.196623252003841</v>
      </c>
      <c r="S348" s="6" t="n">
        <v>1.326880785421624</v>
      </c>
      <c r="T348" s="6" t="n">
        <v>0.2628101092369078</v>
      </c>
      <c r="U348" s="6" t="n">
        <v>0.8486709534404855</v>
      </c>
      <c r="V348" s="6" t="n">
        <v>0.06219061354974939</v>
      </c>
      <c r="W348" s="6" t="n">
        <v>-1.159853092436277</v>
      </c>
      <c r="X348" s="6" t="n">
        <v>0.3495344384066263</v>
      </c>
      <c r="Y348" s="6" t="n">
        <v>2.160548741532019</v>
      </c>
      <c r="Z348" s="6" t="n">
        <v>-0.9423191725897357</v>
      </c>
      <c r="AA348" s="6" t="n">
        <v>-0.3478337616015388</v>
      </c>
      <c r="AB348" s="6" t="n">
        <v>-2.358738836178286</v>
      </c>
      <c r="AC348" s="6" t="n">
        <v>-0.1720865568383304</v>
      </c>
      <c r="AD348" s="6" t="n">
        <v>-1.175906523143665</v>
      </c>
      <c r="AE348" s="6" t="n">
        <v>4.78148172500432</v>
      </c>
      <c r="AF348" s="6" t="n">
        <v>-0.8249176472867703</v>
      </c>
      <c r="AG348" s="6" t="n">
        <v>-0.6486063755557135</v>
      </c>
      <c r="AH348" s="6" t="n">
        <v>-0.1840191131696706</v>
      </c>
      <c r="AI348" s="6" t="n">
        <v>0.7618305747844194</v>
      </c>
      <c r="AJ348" s="6" t="n">
        <v>77.61681385416266</v>
      </c>
      <c r="AK348" s="6" t="n">
        <v>0.1311432280813775</v>
      </c>
      <c r="AL348" s="6" t="n">
        <v>1.096387156658093</v>
      </c>
      <c r="AN348" s="6" t="n">
        <v>1.329082868618757</v>
      </c>
      <c r="AO348" s="6" t="n">
        <v>1.329383537539586</v>
      </c>
      <c r="AP348" s="6" t="n">
        <v>0.1288537548409519</v>
      </c>
      <c r="AQ348" s="6" t="n">
        <v>0</v>
      </c>
      <c r="AR348" s="6" t="n">
        <v>0</v>
      </c>
    </row>
    <row r="349">
      <c r="D349" t="inlineStr">
        <is>
          <t>Run 37</t>
        </is>
      </c>
      <c r="J349" s="6" t="n">
        <v>-1.474843793969129</v>
      </c>
      <c r="K349" s="6" t="n">
        <v>-2.558234096341663</v>
      </c>
      <c r="L349" s="6" t="n">
        <v>1.02559603173399</v>
      </c>
      <c r="M349" s="6" t="n">
        <v>1.871964435760575</v>
      </c>
      <c r="N349" s="6" t="n">
        <v>2.450452415663643</v>
      </c>
      <c r="O349" s="6" t="n">
        <v>0.7338119743981159</v>
      </c>
      <c r="P349" s="6" t="n">
        <v>-2.166911681073618</v>
      </c>
      <c r="Q349" s="6" t="n">
        <v>0.394546897733609</v>
      </c>
      <c r="R349" s="6" t="n">
        <v>2.480771371811185</v>
      </c>
      <c r="S349" s="6" t="n">
        <v>3.51733824079695</v>
      </c>
      <c r="T349" s="6" t="n">
        <v>0.8154596898364364</v>
      </c>
      <c r="U349" s="6" t="n">
        <v>2.956397594932761</v>
      </c>
      <c r="V349" s="6" t="n">
        <v>-4.465631310637283</v>
      </c>
      <c r="W349" s="6" t="n">
        <v>-1.685622517818506</v>
      </c>
      <c r="X349" s="6" t="n">
        <v>0.3523560582056732</v>
      </c>
      <c r="Y349" s="6" t="n">
        <v>-1.982615194470987</v>
      </c>
      <c r="Z349" s="6" t="n">
        <v>0.7170009701195357</v>
      </c>
      <c r="AA349" s="6" t="n">
        <v>0.3953342510207698</v>
      </c>
      <c r="AB349" s="6" t="n">
        <v>-2.598254569906036</v>
      </c>
      <c r="AC349" s="6" t="n">
        <v>-0.2037164896998098</v>
      </c>
      <c r="AD349" s="6" t="n">
        <v>0.7231074889600768</v>
      </c>
      <c r="AE349" s="6" t="n">
        <v>0.2635289510958748</v>
      </c>
      <c r="AF349" s="6" t="n">
        <v>0.871179822045004</v>
      </c>
      <c r="AG349" s="6" t="n">
        <v>1.788475138845091</v>
      </c>
      <c r="AH349" s="6" t="n">
        <v>-2.980130137547487</v>
      </c>
      <c r="AI349" s="6" t="n">
        <v>-0.3983363468114058</v>
      </c>
      <c r="AJ349" s="6" t="n">
        <v>71.94841093495035</v>
      </c>
      <c r="AK349" s="6" t="n">
        <v>0.1686062192471983</v>
      </c>
      <c r="AL349" s="6" t="n">
        <v>1.056357259375886</v>
      </c>
      <c r="AN349" s="6" t="n">
        <v>1.339288046633183</v>
      </c>
      <c r="AO349" s="6" t="n">
        <v>1.339391604413027</v>
      </c>
      <c r="AP349" s="6" t="n">
        <v>0.1307887673234324</v>
      </c>
      <c r="AQ349" s="6" t="n">
        <v>0</v>
      </c>
      <c r="AR349" s="6" t="n">
        <v>0</v>
      </c>
    </row>
    <row r="350">
      <c r="D350" t="inlineStr">
        <is>
          <t>Run 38</t>
        </is>
      </c>
      <c r="J350" s="6" t="n">
        <v>-0.2428369826280281</v>
      </c>
      <c r="K350" s="6" t="n">
        <v>-0.1332074930331487</v>
      </c>
      <c r="L350" s="6" t="n">
        <v>-1.073295786498603</v>
      </c>
      <c r="M350" s="6" t="n">
        <v>1.15274610091565</v>
      </c>
      <c r="N350" s="6" t="n">
        <v>-3.115639639483793</v>
      </c>
      <c r="O350" s="6" t="n">
        <v>0.258644548554161</v>
      </c>
      <c r="P350" s="6" t="n">
        <v>4.996872385184715</v>
      </c>
      <c r="Q350" s="6" t="n">
        <v>0.4589244394905695</v>
      </c>
      <c r="R350" s="6" t="n">
        <v>0.05837981212596875</v>
      </c>
      <c r="S350" s="6" t="n">
        <v>-1.587812000636178</v>
      </c>
      <c r="T350" s="6" t="n">
        <v>1.053928879503998</v>
      </c>
      <c r="U350" s="6" t="n">
        <v>-1.374193539780769</v>
      </c>
      <c r="V350" s="6" t="n">
        <v>1.951225390071543</v>
      </c>
      <c r="W350" s="6" t="n">
        <v>1.098580865671408</v>
      </c>
      <c r="X350" s="6" t="n">
        <v>3.530307615449169</v>
      </c>
      <c r="Y350" s="6" t="n">
        <v>1.133694550979845</v>
      </c>
      <c r="Z350" s="6" t="n">
        <v>1.031305395876013</v>
      </c>
      <c r="AA350" s="6" t="n">
        <v>-1.746280776646135</v>
      </c>
      <c r="AB350" s="6" t="n">
        <v>0.8023262116810439</v>
      </c>
      <c r="AC350" s="6" t="n">
        <v>3.283511352562761</v>
      </c>
      <c r="AD350" s="6" t="n">
        <v>0.2543050558639093</v>
      </c>
      <c r="AE350" s="6" t="n">
        <v>-0.5531121759533781</v>
      </c>
      <c r="AF350" s="6" t="n">
        <v>-2.166712834151736</v>
      </c>
      <c r="AG350" s="6" t="n">
        <v>0.4742936519490412</v>
      </c>
      <c r="AH350" s="6" t="n">
        <v>5</v>
      </c>
      <c r="AI350" s="6" t="n">
        <v>0.700061804993366</v>
      </c>
      <c r="AJ350" s="6" t="n">
        <v>70.51033540935845</v>
      </c>
      <c r="AK350" s="6" t="n">
        <v>0.1228769573984188</v>
      </c>
      <c r="AL350" s="6" t="n">
        <v>1.10101095444096</v>
      </c>
      <c r="AN350" s="6" t="n">
        <v>1.325273479960302</v>
      </c>
      <c r="AO350" s="6" t="n">
        <v>1.327174514044036</v>
      </c>
      <c r="AP350" s="6" t="n">
        <v>0.1291933386039406</v>
      </c>
      <c r="AQ350" s="6" t="n">
        <v>0</v>
      </c>
      <c r="AR350" s="6" t="n">
        <v>0</v>
      </c>
    </row>
    <row r="351">
      <c r="D351" t="inlineStr">
        <is>
          <t>Run 39</t>
        </is>
      </c>
      <c r="J351" s="6" t="n">
        <v>-3.30131169152022</v>
      </c>
      <c r="K351" s="6" t="n">
        <v>-3.233245551240112</v>
      </c>
      <c r="L351" s="6" t="n">
        <v>-3.263606706754996</v>
      </c>
      <c r="M351" s="6" t="n">
        <v>-0.1738036768087399</v>
      </c>
      <c r="N351" s="6" t="n">
        <v>-1.866865827770797</v>
      </c>
      <c r="O351" s="6" t="n">
        <v>0.986640923381739</v>
      </c>
      <c r="P351" s="6" t="n">
        <v>-2.054244032077471</v>
      </c>
      <c r="Q351" s="6" t="n">
        <v>2.571944508871897</v>
      </c>
      <c r="R351" s="6" t="n">
        <v>-1.604874298408189</v>
      </c>
      <c r="S351" s="6" t="n">
        <v>-2.604083780653689</v>
      </c>
      <c r="T351" s="6" t="n">
        <v>0.2426726812350824</v>
      </c>
      <c r="U351" s="6" t="n">
        <v>2.267023551419418</v>
      </c>
      <c r="V351" s="6" t="n">
        <v>0.8677625917999754</v>
      </c>
      <c r="W351" s="6" t="n">
        <v>-1.285715936665641</v>
      </c>
      <c r="X351" s="6" t="n">
        <v>0.5806392359880802</v>
      </c>
      <c r="Y351" s="6" t="n">
        <v>-1.058466026708136</v>
      </c>
      <c r="Z351" s="6" t="n">
        <v>-0.5577332787735189</v>
      </c>
      <c r="AA351" s="6" t="n">
        <v>2.114017536809804</v>
      </c>
      <c r="AB351" s="6" t="n">
        <v>0.8517677819999199</v>
      </c>
      <c r="AC351" s="6" t="n">
        <v>-1.344582230586046</v>
      </c>
      <c r="AD351" s="6" t="n">
        <v>-2.392427944675932</v>
      </c>
      <c r="AE351" s="6" t="n">
        <v>2.138174613370198</v>
      </c>
      <c r="AF351" s="6" t="n">
        <v>2.201020511219638</v>
      </c>
      <c r="AG351" s="6" t="n">
        <v>-2.047917301376674</v>
      </c>
      <c r="AH351" s="6" t="n">
        <v>-1.355407688081571</v>
      </c>
      <c r="AI351" s="6" t="n">
        <v>-1.86120260672735</v>
      </c>
      <c r="AJ351" s="6" t="n">
        <v>68.98798812616954</v>
      </c>
      <c r="AK351" s="6" t="n">
        <v>0.1214964696168351</v>
      </c>
      <c r="AL351" s="6" t="n">
        <v>1.049926088910482</v>
      </c>
      <c r="AN351" s="6" t="n">
        <v>1.345476640763734</v>
      </c>
      <c r="AO351" s="6" t="n">
        <v>1.346325018321306</v>
      </c>
      <c r="AP351" s="6" t="n">
        <v>0.1325169126805811</v>
      </c>
      <c r="AQ351" s="6" t="n">
        <v>0</v>
      </c>
      <c r="AR351" s="6" t="n">
        <v>0</v>
      </c>
    </row>
    <row r="352">
      <c r="D352" t="inlineStr">
        <is>
          <t>Run 40</t>
        </is>
      </c>
      <c r="J352" s="6" t="n">
        <v>-2.765872976278514</v>
      </c>
      <c r="K352" s="6" t="n">
        <v>-0.9057071045577484</v>
      </c>
      <c r="L352" s="6" t="n">
        <v>-1.925895691058933</v>
      </c>
      <c r="M352" s="6" t="n">
        <v>-0.2775428048192178</v>
      </c>
      <c r="N352" s="6" t="n">
        <v>1.461222212189035</v>
      </c>
      <c r="O352" s="6" t="n">
        <v>0.7888207512585802</v>
      </c>
      <c r="P352" s="6" t="n">
        <v>-1.313194947040641</v>
      </c>
      <c r="Q352" s="6" t="n">
        <v>-2.552601437375444</v>
      </c>
      <c r="R352" s="6" t="n">
        <v>-0.1630060102757533</v>
      </c>
      <c r="S352" s="6" t="n">
        <v>2.120675856606403</v>
      </c>
      <c r="T352" s="6" t="n">
        <v>-0.846493153590917</v>
      </c>
      <c r="U352" s="6" t="n">
        <v>-0.6996709872266367</v>
      </c>
      <c r="V352" s="6" t="n">
        <v>-1.372304494500057</v>
      </c>
      <c r="W352" s="6" t="n">
        <v>-2.374810142257338</v>
      </c>
      <c r="X352" s="6" t="n">
        <v>-1.505011718722253</v>
      </c>
      <c r="Y352" s="6" t="n">
        <v>3.568833091071126</v>
      </c>
      <c r="Z352" s="6" t="n">
        <v>-1.747391811981005</v>
      </c>
      <c r="AA352" s="6" t="n">
        <v>0.6093221289140478</v>
      </c>
      <c r="AB352" s="6" t="n">
        <v>0.6461590209144542</v>
      </c>
      <c r="AC352" s="6" t="n">
        <v>0.6668198067182025</v>
      </c>
      <c r="AD352" s="6" t="n">
        <v>-1.970017036753752</v>
      </c>
      <c r="AE352" s="6" t="n">
        <v>0.6882676997718452</v>
      </c>
      <c r="AF352" s="6" t="n">
        <v>0.5072914954775848</v>
      </c>
      <c r="AG352" s="6" t="n">
        <v>-1.453847362059267</v>
      </c>
      <c r="AH352" s="6" t="n">
        <v>-2.803013505708759</v>
      </c>
      <c r="AI352" s="6" t="n">
        <v>2.552922194423327</v>
      </c>
      <c r="AJ352" s="6" t="n">
        <v>66.16689821093314</v>
      </c>
      <c r="AK352" s="6" t="n">
        <v>0.1182251396262584</v>
      </c>
      <c r="AL352" s="6" t="n">
        <v>1.038963477027654</v>
      </c>
      <c r="AN352" s="6" t="n">
        <v>1.348266583135556</v>
      </c>
      <c r="AO352" s="6" t="n">
        <v>1.34834332753983</v>
      </c>
      <c r="AP352" s="6" t="n">
        <v>0.1329994232822444</v>
      </c>
      <c r="AQ352" s="6" t="n">
        <v>0</v>
      </c>
      <c r="AR352" s="6" t="n">
        <v>0</v>
      </c>
    </row>
    <row r="353">
      <c r="D353" t="inlineStr">
        <is>
          <t>Run 41</t>
        </is>
      </c>
      <c r="J353" s="6" t="n">
        <v>-2.667898077085046</v>
      </c>
      <c r="K353" s="6" t="n">
        <v>1.715955860660691</v>
      </c>
      <c r="L353" s="6" t="n">
        <v>0.3486998880137569</v>
      </c>
      <c r="M353" s="6" t="n">
        <v>0.376016204234785</v>
      </c>
      <c r="N353" s="6" t="n">
        <v>-1.457971434704391</v>
      </c>
      <c r="O353" s="6" t="n">
        <v>-2.903508711320252</v>
      </c>
      <c r="P353" s="6" t="n">
        <v>-0.07357598912520311</v>
      </c>
      <c r="Q353" s="6" t="n">
        <v>0.7026097002466196</v>
      </c>
      <c r="R353" s="6" t="n">
        <v>-3.137255344772121</v>
      </c>
      <c r="S353" s="6" t="n">
        <v>2.605463815722874</v>
      </c>
      <c r="T353" s="6" t="n">
        <v>-0.8299371132184017</v>
      </c>
      <c r="U353" s="6" t="n">
        <v>1.509313269424258</v>
      </c>
      <c r="V353" s="6" t="n">
        <v>-1.24435995127267</v>
      </c>
      <c r="W353" s="6" t="n">
        <v>-2.564091565757136</v>
      </c>
      <c r="X353" s="6" t="n">
        <v>-1.175418832602712</v>
      </c>
      <c r="Y353" s="6" t="n">
        <v>1.706223178880011</v>
      </c>
      <c r="Z353" s="6" t="n">
        <v>3.498351742984897</v>
      </c>
      <c r="AA353" s="6" t="n">
        <v>1.835444611165548</v>
      </c>
      <c r="AB353" s="6" t="n">
        <v>-0.6653171279843868</v>
      </c>
      <c r="AC353" s="6" t="n">
        <v>0.1497743759690089</v>
      </c>
      <c r="AD353" s="6" t="n">
        <v>-0.7456253007396282</v>
      </c>
      <c r="AE353" s="6" t="n">
        <v>0.6473653800812634</v>
      </c>
      <c r="AF353" s="6" t="n">
        <v>4.188697445314112</v>
      </c>
      <c r="AG353" s="6" t="n">
        <v>-1.369138309701016</v>
      </c>
      <c r="AH353" s="6" t="n">
        <v>-1.233515271003791</v>
      </c>
      <c r="AI353" s="6" t="n">
        <v>1.005004500021652</v>
      </c>
      <c r="AJ353" s="6" t="n">
        <v>71.63978699636749</v>
      </c>
      <c r="AK353" s="6" t="n">
        <v>0.1330670859321414</v>
      </c>
      <c r="AL353" s="6" t="n">
        <v>1.093137552317301</v>
      </c>
      <c r="AN353" s="6" t="n">
        <v>1.333416897028135</v>
      </c>
      <c r="AO353" s="6" t="n">
        <v>1.334647888542004</v>
      </c>
      <c r="AP353" s="6" t="n">
        <v>0.1294636235534793</v>
      </c>
      <c r="AQ353" s="6" t="n">
        <v>0</v>
      </c>
      <c r="AR353" s="6" t="n">
        <v>0</v>
      </c>
    </row>
    <row r="354">
      <c r="D354" t="inlineStr">
        <is>
          <t>Run 42</t>
        </is>
      </c>
      <c r="J354" s="6" t="n">
        <v>4.353507140170743</v>
      </c>
      <c r="K354" s="6" t="n">
        <v>0.5678014629530127</v>
      </c>
      <c r="L354" s="6" t="n">
        <v>-0.028153681274591</v>
      </c>
      <c r="M354" s="6" t="n">
        <v>0.707288695135032</v>
      </c>
      <c r="N354" s="6" t="n">
        <v>-3.199009860792782</v>
      </c>
      <c r="O354" s="6" t="n">
        <v>-1.954507479596066</v>
      </c>
      <c r="P354" s="6" t="n">
        <v>3.589583731419252</v>
      </c>
      <c r="Q354" s="6" t="n">
        <v>0.3987624045017982</v>
      </c>
      <c r="R354" s="6" t="n">
        <v>-1.923192968227767</v>
      </c>
      <c r="S354" s="6" t="n">
        <v>2.799922831848395</v>
      </c>
      <c r="T354" s="6" t="n">
        <v>1.305255596356719</v>
      </c>
      <c r="U354" s="6" t="n">
        <v>-2.289594637768116</v>
      </c>
      <c r="V354" s="6" t="n">
        <v>0.5897070801772422</v>
      </c>
      <c r="W354" s="6" t="n">
        <v>0.4821447111629561</v>
      </c>
      <c r="X354" s="6" t="n">
        <v>0.5806806403016063</v>
      </c>
      <c r="Y354" s="6" t="n">
        <v>-1.5356171194935</v>
      </c>
      <c r="Z354" s="6" t="n">
        <v>1.670938514391933</v>
      </c>
      <c r="AA354" s="6" t="n">
        <v>-2.552225897014498</v>
      </c>
      <c r="AB354" s="6" t="n">
        <v>-0.702185025358673</v>
      </c>
      <c r="AC354" s="6" t="n">
        <v>4.338476040352453</v>
      </c>
      <c r="AD354" s="6" t="n">
        <v>1.734912659541977</v>
      </c>
      <c r="AE354" s="6" t="n">
        <v>-2.861977279073897</v>
      </c>
      <c r="AF354" s="6" t="n">
        <v>-0.743521865275807</v>
      </c>
      <c r="AG354" s="6" t="n">
        <v>-1.200801956865621</v>
      </c>
      <c r="AH354" s="6" t="n">
        <v>1.10440473202836</v>
      </c>
      <c r="AI354" s="6" t="n">
        <v>-0.7742282869631782</v>
      </c>
      <c r="AJ354" s="6" t="n">
        <v>73.49423343666722</v>
      </c>
      <c r="AK354" s="6" t="n">
        <v>0.1687993639761262</v>
      </c>
      <c r="AL354" s="6" t="n">
        <v>1.050043805848766</v>
      </c>
      <c r="AN354" s="6" t="n">
        <v>1.343354856741211</v>
      </c>
      <c r="AO354" s="6" t="n">
        <v>1.345113906515065</v>
      </c>
      <c r="AP354" s="6" t="n">
        <v>0.1314004377282827</v>
      </c>
      <c r="AQ354" s="6" t="n">
        <v>0</v>
      </c>
      <c r="AR354" s="6" t="n">
        <v>0</v>
      </c>
    </row>
    <row r="355">
      <c r="D355" t="inlineStr">
        <is>
          <t>Run 43</t>
        </is>
      </c>
      <c r="J355" s="6" t="n">
        <v>0.3164641589239962</v>
      </c>
      <c r="K355" s="6" t="n">
        <v>-0.2382899471596663</v>
      </c>
      <c r="L355" s="6" t="n">
        <v>-0.5423181880995589</v>
      </c>
      <c r="M355" s="6" t="n">
        <v>2.424921625135761</v>
      </c>
      <c r="N355" s="6" t="n">
        <v>2.069098613443561</v>
      </c>
      <c r="O355" s="6" t="n">
        <v>1.16606619758216</v>
      </c>
      <c r="P355" s="6" t="n">
        <v>1.618239078056376</v>
      </c>
      <c r="Q355" s="6" t="n">
        <v>1.867563469664387</v>
      </c>
      <c r="R355" s="6" t="n">
        <v>3.261561775068386</v>
      </c>
      <c r="S355" s="6" t="n">
        <v>3.055743427942631</v>
      </c>
      <c r="T355" s="6" t="n">
        <v>0.7304699205658601</v>
      </c>
      <c r="U355" s="6" t="n">
        <v>-1.162358147185645</v>
      </c>
      <c r="V355" s="6" t="n">
        <v>0.5487935027514853</v>
      </c>
      <c r="W355" s="6" t="n">
        <v>-0.01542967838039369</v>
      </c>
      <c r="X355" s="6" t="n">
        <v>-4.972930616788829</v>
      </c>
      <c r="Y355" s="6" t="n">
        <v>-0.09539574530271516</v>
      </c>
      <c r="Z355" s="6" t="n">
        <v>-3.498111319628725</v>
      </c>
      <c r="AA355" s="6" t="n">
        <v>-2.673452174868408</v>
      </c>
      <c r="AB355" s="6" t="n">
        <v>1.410484436900768</v>
      </c>
      <c r="AC355" s="6" t="n">
        <v>-0.5937196306617596</v>
      </c>
      <c r="AD355" s="6" t="n">
        <v>2.786215736723946</v>
      </c>
      <c r="AE355" s="6" t="n">
        <v>0.317407501839524</v>
      </c>
      <c r="AF355" s="6" t="n">
        <v>-1.545430462904437</v>
      </c>
      <c r="AG355" s="6" t="n">
        <v>0.1676738881917838</v>
      </c>
      <c r="AH355" s="6" t="n">
        <v>-3.042791146473023</v>
      </c>
      <c r="AI355" s="6" t="n">
        <v>0.7849283517662416</v>
      </c>
      <c r="AJ355" s="6" t="n">
        <v>78.31438388866539</v>
      </c>
      <c r="AK355" s="6" t="n">
        <v>0.1446426782432809</v>
      </c>
      <c r="AL355" s="6" t="n">
        <v>1.078438589831807</v>
      </c>
      <c r="AN355" s="6" t="n">
        <v>1.33346578486561</v>
      </c>
      <c r="AO355" s="6" t="n">
        <v>1.33421946355795</v>
      </c>
      <c r="AP355" s="6" t="n">
        <v>0.1300167910357493</v>
      </c>
      <c r="AQ355" s="6" t="n">
        <v>0</v>
      </c>
      <c r="AR355" s="6" t="n">
        <v>0</v>
      </c>
    </row>
    <row r="356">
      <c r="D356" t="inlineStr">
        <is>
          <t>Run 44</t>
        </is>
      </c>
      <c r="J356" s="6" t="n">
        <v>1.757988418503138</v>
      </c>
      <c r="K356" s="6" t="n">
        <v>-0.7630569591397174</v>
      </c>
      <c r="L356" s="6" t="n">
        <v>-1.092339971622207</v>
      </c>
      <c r="M356" s="6" t="n">
        <v>-1.90193105119552</v>
      </c>
      <c r="N356" s="6" t="n">
        <v>1.292584985138945</v>
      </c>
      <c r="O356" s="6" t="n">
        <v>1.750290937046761</v>
      </c>
      <c r="P356" s="6" t="n">
        <v>1.65036674407749</v>
      </c>
      <c r="Q356" s="6" t="n">
        <v>1.696386297370232</v>
      </c>
      <c r="R356" s="6" t="n">
        <v>3.283429227510954</v>
      </c>
      <c r="S356" s="6" t="n">
        <v>5</v>
      </c>
      <c r="T356" s="6" t="n">
        <v>2.492883528728399</v>
      </c>
      <c r="U356" s="6" t="n">
        <v>2.621135412108801</v>
      </c>
      <c r="V356" s="6" t="n">
        <v>-1.610781427034557</v>
      </c>
      <c r="W356" s="6" t="n">
        <v>-1.927673095986359</v>
      </c>
      <c r="X356" s="6" t="n">
        <v>-3.822544130410023</v>
      </c>
      <c r="Y356" s="6" t="n">
        <v>4.098990670561821</v>
      </c>
      <c r="Z356" s="6" t="n">
        <v>-0.3074774659169868</v>
      </c>
      <c r="AA356" s="6" t="n">
        <v>-0.8792262870035895</v>
      </c>
      <c r="AB356" s="6" t="n">
        <v>0.1228423274413874</v>
      </c>
      <c r="AC356" s="6" t="n">
        <v>0.3861889921394423</v>
      </c>
      <c r="AD356" s="6" t="n">
        <v>-2.513388620071876</v>
      </c>
      <c r="AE356" s="6" t="n">
        <v>-0.5833569712893028</v>
      </c>
      <c r="AF356" s="6" t="n">
        <v>-2.209853757872585</v>
      </c>
      <c r="AG356" s="6" t="n">
        <v>0.6723186195010096</v>
      </c>
      <c r="AH356" s="6" t="n">
        <v>-2.327476344267361</v>
      </c>
      <c r="AI356" s="6" t="n">
        <v>0.4646544084952461</v>
      </c>
      <c r="AJ356" s="6" t="n">
        <v>76.03615666442084</v>
      </c>
      <c r="AK356" s="6" t="n">
        <v>0.08768177318132483</v>
      </c>
      <c r="AL356" s="6" t="n">
        <v>1.003121267998722</v>
      </c>
      <c r="AN356" s="6" t="n">
        <v>1.353970578566309</v>
      </c>
      <c r="AO356" s="6" t="n">
        <v>1.357396071224834</v>
      </c>
      <c r="AP356" s="6" t="n">
        <v>0.1394926093512168</v>
      </c>
      <c r="AQ356" s="6" t="n">
        <v>0</v>
      </c>
      <c r="AR356" s="6" t="n">
        <v>0</v>
      </c>
    </row>
    <row r="357">
      <c r="D357" t="inlineStr">
        <is>
          <t>Run 45</t>
        </is>
      </c>
      <c r="J357" s="6" t="n">
        <v>1.782696680958482</v>
      </c>
      <c r="K357" s="6" t="n">
        <v>2.375740860471856</v>
      </c>
      <c r="L357" s="6" t="n">
        <v>2.383525413232067</v>
      </c>
      <c r="M357" s="6" t="n">
        <v>-2.175377649760621</v>
      </c>
      <c r="N357" s="6" t="n">
        <v>-0.2388894470725317</v>
      </c>
      <c r="O357" s="6" t="n">
        <v>-1.727486907134023</v>
      </c>
      <c r="P357" s="6" t="n">
        <v>-1.286187165478414</v>
      </c>
      <c r="Q357" s="6" t="n">
        <v>2.242111703637891</v>
      </c>
      <c r="R357" s="6" t="n">
        <v>-3.043722763335653</v>
      </c>
      <c r="S357" s="6" t="n">
        <v>1.679939446673229</v>
      </c>
      <c r="T357" s="6" t="n">
        <v>1.672385030498099</v>
      </c>
      <c r="U357" s="6" t="n">
        <v>0.08070949969742663</v>
      </c>
      <c r="V357" s="6" t="n">
        <v>0.2868107224384685</v>
      </c>
      <c r="W357" s="6" t="n">
        <v>2.6016262635412</v>
      </c>
      <c r="X357" s="6" t="n">
        <v>2.929892451367307</v>
      </c>
      <c r="Y357" s="6" t="n">
        <v>0.8574011786348984</v>
      </c>
      <c r="Z357" s="6" t="n">
        <v>3.41976609635765</v>
      </c>
      <c r="AA357" s="6" t="n">
        <v>-0.2553688568421116</v>
      </c>
      <c r="AB357" s="6" t="n">
        <v>2.45617210102507</v>
      </c>
      <c r="AC357" s="6" t="n">
        <v>2.204752616230444</v>
      </c>
      <c r="AD357" s="6" t="n">
        <v>-0.3528343826770051</v>
      </c>
      <c r="AE357" s="6" t="n">
        <v>2.178177353633873</v>
      </c>
      <c r="AF357" s="6" t="n">
        <v>2.191730413017689</v>
      </c>
      <c r="AG357" s="6" t="n">
        <v>2.42887128029426</v>
      </c>
      <c r="AH357" s="6" t="n">
        <v>-1.166530119295724</v>
      </c>
      <c r="AI357" s="6" t="n">
        <v>1.666604598383774</v>
      </c>
      <c r="AJ357" s="6" t="n">
        <v>68.28097702215982</v>
      </c>
      <c r="AK357" s="6" t="n">
        <v>0.1477130132956199</v>
      </c>
      <c r="AL357" s="6" t="n">
        <v>1.050712599917207</v>
      </c>
      <c r="AN357" s="6" t="n">
        <v>1.32567609549388</v>
      </c>
      <c r="AO357" s="6" t="n">
        <v>1.332854681580009</v>
      </c>
      <c r="AP357" s="6" t="n">
        <v>0.1313711924496158</v>
      </c>
      <c r="AQ357" s="6" t="n">
        <v>0</v>
      </c>
      <c r="AR357" s="6" t="n">
        <v>0</v>
      </c>
    </row>
    <row r="358">
      <c r="D358" t="inlineStr">
        <is>
          <t>Run 46</t>
        </is>
      </c>
      <c r="J358" s="6" t="n">
        <v>0.22097490452581</v>
      </c>
      <c r="K358" s="6" t="n">
        <v>3.922944461144615</v>
      </c>
      <c r="L358" s="6" t="n">
        <v>-2.727208673266641</v>
      </c>
      <c r="M358" s="6" t="n">
        <v>0.1407226008214099</v>
      </c>
      <c r="N358" s="6" t="n">
        <v>0.03693095165951646</v>
      </c>
      <c r="O358" s="6" t="n">
        <v>-1.411507250015052</v>
      </c>
      <c r="P358" s="6" t="n">
        <v>1.661067727393073</v>
      </c>
      <c r="Q358" s="6" t="n">
        <v>0.9929915001741422</v>
      </c>
      <c r="R358" s="6" t="n">
        <v>-0.353318104993007</v>
      </c>
      <c r="S358" s="6" t="n">
        <v>-2.532856922334329</v>
      </c>
      <c r="T358" s="6" t="n">
        <v>-1.744613718081068</v>
      </c>
      <c r="U358" s="6" t="n">
        <v>-1.067246495341539</v>
      </c>
      <c r="V358" s="6" t="n">
        <v>1.277842890519666</v>
      </c>
      <c r="W358" s="6" t="n">
        <v>0.5959474861153286</v>
      </c>
      <c r="X358" s="6" t="n">
        <v>-2.192309561914203</v>
      </c>
      <c r="Y358" s="6" t="n">
        <v>-0.06511164015743004</v>
      </c>
      <c r="Z358" s="6" t="n">
        <v>-0.287966764739208</v>
      </c>
      <c r="AA358" s="6" t="n">
        <v>1.774098667529207</v>
      </c>
      <c r="AB358" s="6" t="n">
        <v>0.05278257448195549</v>
      </c>
      <c r="AC358" s="6" t="n">
        <v>2.221970337018767</v>
      </c>
      <c r="AD358" s="6" t="n">
        <v>1.656189733753827</v>
      </c>
      <c r="AE358" s="6" t="n">
        <v>-0.4802611883876775</v>
      </c>
      <c r="AF358" s="6" t="n">
        <v>1.479793666796819</v>
      </c>
      <c r="AG358" s="6" t="n">
        <v>-2.31599305901599</v>
      </c>
      <c r="AH358" s="6" t="n">
        <v>-0.7383602395911423</v>
      </c>
      <c r="AI358" s="6" t="n">
        <v>0.9379823391683308</v>
      </c>
      <c r="AJ358" s="6" t="n">
        <v>79.3815676073159</v>
      </c>
      <c r="AK358" s="6" t="n">
        <v>0.1073599829949076</v>
      </c>
      <c r="AL358" s="6" t="n">
        <v>1.070979836524615</v>
      </c>
      <c r="AN358" s="6" t="n">
        <v>1.344761682137422</v>
      </c>
      <c r="AO358" s="6" t="n">
        <v>1.345473047036192</v>
      </c>
      <c r="AP358" s="6" t="n">
        <v>0.1316746508240367</v>
      </c>
      <c r="AQ358" s="6" t="n">
        <v>0</v>
      </c>
      <c r="AR358" s="6" t="n">
        <v>0</v>
      </c>
    </row>
    <row r="359">
      <c r="D359" t="inlineStr">
        <is>
          <t>Run 47</t>
        </is>
      </c>
      <c r="J359" s="6" t="n">
        <v>-1.402686284543514</v>
      </c>
      <c r="K359" s="6" t="n">
        <v>-3.918274667386858</v>
      </c>
      <c r="L359" s="6" t="n">
        <v>-4.154044324898698</v>
      </c>
      <c r="M359" s="6" t="n">
        <v>0.3404624868556763</v>
      </c>
      <c r="N359" s="6" t="n">
        <v>-1.298380876136373</v>
      </c>
      <c r="O359" s="6" t="n">
        <v>5</v>
      </c>
      <c r="P359" s="6" t="n">
        <v>-0.03300241306700877</v>
      </c>
      <c r="Q359" s="6" t="n">
        <v>3.813069923700241</v>
      </c>
      <c r="R359" s="6" t="n">
        <v>0.5031642976064626</v>
      </c>
      <c r="S359" s="6" t="n">
        <v>-1.2760024468225</v>
      </c>
      <c r="T359" s="6" t="n">
        <v>1.352096430813821</v>
      </c>
      <c r="U359" s="6" t="n">
        <v>-4.104015399233095</v>
      </c>
      <c r="V359" s="6" t="n">
        <v>2.06506332676237</v>
      </c>
      <c r="W359" s="6" t="n">
        <v>1.150011596456533</v>
      </c>
      <c r="X359" s="6" t="n">
        <v>-0.122251586008812</v>
      </c>
      <c r="Y359" s="6" t="n">
        <v>2.404004763122886</v>
      </c>
      <c r="Z359" s="6" t="n">
        <v>-0.4017076793977825</v>
      </c>
      <c r="AA359" s="6" t="n">
        <v>-5.087002859903855</v>
      </c>
      <c r="AB359" s="6" t="n">
        <v>-0.6323833903649718</v>
      </c>
      <c r="AC359" s="6" t="n">
        <v>-1.502133551851218</v>
      </c>
      <c r="AD359" s="6" t="n">
        <v>-0.6893237646942396</v>
      </c>
      <c r="AE359" s="6" t="n">
        <v>0.9243136011977116</v>
      </c>
      <c r="AF359" s="6" t="n">
        <v>1.341107608023709</v>
      </c>
      <c r="AG359" s="6" t="n">
        <v>2.768914064996768</v>
      </c>
      <c r="AH359" s="6" t="n">
        <v>-1.224655541227758</v>
      </c>
      <c r="AI359" s="6" t="n">
        <v>-1.320546565912797</v>
      </c>
      <c r="AJ359" s="6" t="n">
        <v>71.95660069909805</v>
      </c>
      <c r="AK359" s="6" t="n">
        <v>0.1553996282983449</v>
      </c>
      <c r="AL359" s="6" t="n">
        <v>1.034342126262338</v>
      </c>
      <c r="AN359" s="6" t="n">
        <v>1.340979240813546</v>
      </c>
      <c r="AO359" s="6" t="n">
        <v>1.341559385947447</v>
      </c>
      <c r="AP359" s="6" t="n">
        <v>0.1329546681548759</v>
      </c>
      <c r="AQ359" s="6" t="n">
        <v>0</v>
      </c>
      <c r="AR359" s="6" t="n">
        <v>0</v>
      </c>
    </row>
    <row r="360">
      <c r="D360" t="inlineStr">
        <is>
          <t>Run 48</t>
        </is>
      </c>
      <c r="J360" s="6" t="n">
        <v>0.3409244538914639</v>
      </c>
      <c r="K360" s="6" t="n">
        <v>0.32631831729464</v>
      </c>
      <c r="L360" s="6" t="n">
        <v>-1.080538826417591</v>
      </c>
      <c r="M360" s="6" t="n">
        <v>-2.095500320349234</v>
      </c>
      <c r="N360" s="6" t="n">
        <v>-4.893890610601831</v>
      </c>
      <c r="O360" s="6" t="n">
        <v>-3.077257150381585</v>
      </c>
      <c r="P360" s="6" t="n">
        <v>-0.4218451027458656</v>
      </c>
      <c r="Q360" s="6" t="n">
        <v>1.213264951299606</v>
      </c>
      <c r="R360" s="6" t="n">
        <v>1.498016800368676</v>
      </c>
      <c r="S360" s="6" t="n">
        <v>-0.1543003456233077</v>
      </c>
      <c r="T360" s="6" t="n">
        <v>-1.517569857203464</v>
      </c>
      <c r="U360" s="6" t="n">
        <v>-1.531486567541956</v>
      </c>
      <c r="V360" s="6" t="n">
        <v>1.988768822637329</v>
      </c>
      <c r="W360" s="6" t="n">
        <v>-1.618530951946715</v>
      </c>
      <c r="X360" s="6" t="n">
        <v>0.7062584937052759</v>
      </c>
      <c r="Y360" s="6" t="n">
        <v>0.2441266807897444</v>
      </c>
      <c r="Z360" s="6" t="n">
        <v>2.53152394616058</v>
      </c>
      <c r="AA360" s="6" t="n">
        <v>-2.925680544785974</v>
      </c>
      <c r="AB360" s="6" t="n">
        <v>-0.8494025093075361</v>
      </c>
      <c r="AC360" s="6" t="n">
        <v>1.059558557867031</v>
      </c>
      <c r="AD360" s="6" t="n">
        <v>-1.71789451254353</v>
      </c>
      <c r="AE360" s="6" t="n">
        <v>0.3699463150325345</v>
      </c>
      <c r="AF360" s="6" t="n">
        <v>-1.334250373216108</v>
      </c>
      <c r="AG360" s="6" t="n">
        <v>-0.9826548699224048</v>
      </c>
      <c r="AH360" s="6" t="n">
        <v>0.1610997530983187</v>
      </c>
      <c r="AI360" s="6" t="n">
        <v>0.2232577541042689</v>
      </c>
      <c r="AJ360" s="6" t="n">
        <v>69.9410555220755</v>
      </c>
      <c r="AK360" s="6" t="n">
        <v>0.20076187982442</v>
      </c>
      <c r="AL360" s="6" t="n">
        <v>1.040940997096063</v>
      </c>
      <c r="AN360" s="6" t="n">
        <v>1.323370161469647</v>
      </c>
      <c r="AO360" s="6" t="n">
        <v>1.325286992224907</v>
      </c>
      <c r="AP360" s="6" t="n">
        <v>0.1309509078912735</v>
      </c>
      <c r="AQ360" s="6" t="n">
        <v>0</v>
      </c>
      <c r="AR360" s="6" t="n">
        <v>0</v>
      </c>
    </row>
    <row r="361">
      <c r="D361" t="inlineStr">
        <is>
          <t>Run 49</t>
        </is>
      </c>
      <c r="J361" s="6" t="n">
        <v>-0.7314316089768559</v>
      </c>
      <c r="K361" s="6" t="n">
        <v>-1.180891489963768</v>
      </c>
      <c r="L361" s="6" t="n">
        <v>-2.586355302790722</v>
      </c>
      <c r="M361" s="6" t="n">
        <v>0.009418800502067516</v>
      </c>
      <c r="N361" s="6" t="n">
        <v>-1.26958466688214</v>
      </c>
      <c r="O361" s="6" t="n">
        <v>0.7821417602293448</v>
      </c>
      <c r="P361" s="6" t="n">
        <v>1.844206941210138</v>
      </c>
      <c r="Q361" s="6" t="n">
        <v>0.2442165838529909</v>
      </c>
      <c r="R361" s="6" t="n">
        <v>0.2255628895186464</v>
      </c>
      <c r="S361" s="6" t="n">
        <v>-1.943893628220457</v>
      </c>
      <c r="T361" s="6" t="n">
        <v>-0.2429648847564971</v>
      </c>
      <c r="U361" s="6" t="n">
        <v>-2.013773792395672</v>
      </c>
      <c r="V361" s="6" t="n">
        <v>-2.542064914047541</v>
      </c>
      <c r="W361" s="6" t="n">
        <v>-0.6423399987270139</v>
      </c>
      <c r="X361" s="6" t="n">
        <v>0.1115332738298422</v>
      </c>
      <c r="Y361" s="6" t="n">
        <v>-2.897369818849707</v>
      </c>
      <c r="Z361" s="6" t="n">
        <v>1.778653276233422</v>
      </c>
      <c r="AA361" s="6" t="n">
        <v>0.2047872422854935</v>
      </c>
      <c r="AB361" s="6" t="n">
        <v>-2.558538295435644</v>
      </c>
      <c r="AC361" s="6" t="n">
        <v>-2.612287228325485</v>
      </c>
      <c r="AD361" s="6" t="n">
        <v>2.295312129389668</v>
      </c>
      <c r="AE361" s="6" t="n">
        <v>-0.2624024704021352</v>
      </c>
      <c r="AF361" s="6" t="n">
        <v>0.436189740568294</v>
      </c>
      <c r="AG361" s="6" t="n">
        <v>-1.200194795310058</v>
      </c>
      <c r="AH361" s="6" t="n">
        <v>-3.319275366854852</v>
      </c>
      <c r="AI361" s="6" t="n">
        <v>-1.646153778854009</v>
      </c>
      <c r="AJ361" s="6" t="n">
        <v>81.78273591109132</v>
      </c>
      <c r="AK361" s="6" t="n">
        <v>0.1576018267908931</v>
      </c>
      <c r="AL361" s="6" t="n">
        <v>1.046319819352922</v>
      </c>
      <c r="AN361" s="6" t="n">
        <v>1.34839582468741</v>
      </c>
      <c r="AO361" s="6" t="n">
        <v>1.348835582058717</v>
      </c>
      <c r="AP361" s="6" t="n">
        <v>0.1325003502103162</v>
      </c>
      <c r="AQ361" s="6" t="n">
        <v>0</v>
      </c>
      <c r="AR361" s="6" t="n">
        <v>0</v>
      </c>
    </row>
    <row r="362">
      <c r="D362" t="inlineStr">
        <is>
          <t>Run 50</t>
        </is>
      </c>
      <c r="J362" s="6" t="n">
        <v>-3.787504642634114</v>
      </c>
      <c r="K362" s="6" t="n">
        <v>-0.7773335216630836</v>
      </c>
      <c r="L362" s="6" t="n">
        <v>-0.303995859621124</v>
      </c>
      <c r="M362" s="6" t="n">
        <v>1.982564856364002</v>
      </c>
      <c r="N362" s="6" t="n">
        <v>2.305546479591728</v>
      </c>
      <c r="O362" s="6" t="n">
        <v>0.7443689401657442</v>
      </c>
      <c r="P362" s="6" t="n">
        <v>0.4906364545764569</v>
      </c>
      <c r="Q362" s="6" t="n">
        <v>2.827219453644223</v>
      </c>
      <c r="R362" s="6" t="n">
        <v>-0.4181776186552616</v>
      </c>
      <c r="S362" s="6" t="n">
        <v>0.5275881758240856</v>
      </c>
      <c r="T362" s="6" t="n">
        <v>-2.061745985945037</v>
      </c>
      <c r="U362" s="6" t="n">
        <v>-1.213997651046186</v>
      </c>
      <c r="V362" s="6" t="n">
        <v>-0.2859694487179084</v>
      </c>
      <c r="W362" s="6" t="n">
        <v>-0.984576722132544</v>
      </c>
      <c r="X362" s="6" t="n">
        <v>-1.425314761579957</v>
      </c>
      <c r="Y362" s="6" t="n">
        <v>-1.643466405625607</v>
      </c>
      <c r="Z362" s="6" t="n">
        <v>2.785157492363335</v>
      </c>
      <c r="AA362" s="6" t="n">
        <v>-1.160514052624454</v>
      </c>
      <c r="AB362" s="6" t="n">
        <v>-2.125841196965625</v>
      </c>
      <c r="AC362" s="6" t="n">
        <v>-0.5786440681739361</v>
      </c>
      <c r="AD362" s="6" t="n">
        <v>-2.560768659078513</v>
      </c>
      <c r="AE362" s="6" t="n">
        <v>-4.475528859930812</v>
      </c>
      <c r="AF362" s="6" t="n">
        <v>-0.6307062416150864</v>
      </c>
      <c r="AG362" s="6" t="n">
        <v>0.9580355223599822</v>
      </c>
      <c r="AH362" s="6" t="n">
        <v>-4.404749558366761</v>
      </c>
      <c r="AI362" s="6" t="n">
        <v>-3.166886878341028</v>
      </c>
      <c r="AJ362" s="6" t="n">
        <v>79.67706428789464</v>
      </c>
      <c r="AK362" s="6" t="n">
        <v>0.1661069397265088</v>
      </c>
      <c r="AL362" s="6" t="n">
        <v>1.060059000911999</v>
      </c>
      <c r="AN362" s="6" t="n">
        <v>1.339996386096022</v>
      </c>
      <c r="AO362" s="6" t="n">
        <v>1.340503724963711</v>
      </c>
      <c r="AP362" s="6" t="n">
        <v>0.1310495365983226</v>
      </c>
      <c r="AQ362" s="6" t="n">
        <v>0</v>
      </c>
      <c r="AR362" s="6" t="n">
        <v>0</v>
      </c>
    </row>
    <row r="363">
      <c r="D363" t="inlineStr">
        <is>
          <t>Run 51</t>
        </is>
      </c>
      <c r="J363" s="6" t="n">
        <v>-2.277896115316987</v>
      </c>
      <c r="K363" s="6" t="n">
        <v>0.4399182383805837</v>
      </c>
      <c r="L363" s="6" t="n">
        <v>2.360441185873157</v>
      </c>
      <c r="M363" s="6" t="n">
        <v>-0.5741823454835722</v>
      </c>
      <c r="N363" s="6" t="n">
        <v>0.8051409118411716</v>
      </c>
      <c r="O363" s="6" t="n">
        <v>1.431536799497223</v>
      </c>
      <c r="P363" s="6" t="n">
        <v>-0.8892927884050941</v>
      </c>
      <c r="Q363" s="6" t="n">
        <v>-0.9076356285851827</v>
      </c>
      <c r="R363" s="6" t="n">
        <v>1.741466553935997</v>
      </c>
      <c r="S363" s="6" t="n">
        <v>-3.069639745904523</v>
      </c>
      <c r="T363" s="6" t="n">
        <v>2.298240147496242</v>
      </c>
      <c r="U363" s="6" t="n">
        <v>0.8297431497543751</v>
      </c>
      <c r="V363" s="6" t="n">
        <v>1.011394065355273</v>
      </c>
      <c r="W363" s="6" t="n">
        <v>-2.739283138930572</v>
      </c>
      <c r="X363" s="6" t="n">
        <v>3.006814094693645</v>
      </c>
      <c r="Y363" s="6" t="n">
        <v>-1.037113218827543</v>
      </c>
      <c r="Z363" s="6" t="n">
        <v>0.8383825855037372</v>
      </c>
      <c r="AA363" s="6" t="n">
        <v>0.119082069430137</v>
      </c>
      <c r="AB363" s="6" t="n">
        <v>-1.910273494674382</v>
      </c>
      <c r="AC363" s="6" t="n">
        <v>1.158418395054299</v>
      </c>
      <c r="AD363" s="6" t="n">
        <v>-0.7103337970247597</v>
      </c>
      <c r="AE363" s="6" t="n">
        <v>-1.176642157972875</v>
      </c>
      <c r="AF363" s="6" t="n">
        <v>-0.7138060577048022</v>
      </c>
      <c r="AG363" s="6" t="n">
        <v>0.6245179913205513</v>
      </c>
      <c r="AH363" s="6" t="n">
        <v>2.630532069927293</v>
      </c>
      <c r="AI363" s="6" t="n">
        <v>1.761706787157205</v>
      </c>
      <c r="AJ363" s="6" t="n">
        <v>66.04579524629952</v>
      </c>
      <c r="AK363" s="6" t="n">
        <v>0.1766485248807274</v>
      </c>
      <c r="AL363" s="6" t="n">
        <v>1.036672101133495</v>
      </c>
      <c r="AN363" s="6" t="n">
        <v>1.343295228838543</v>
      </c>
      <c r="AO363" s="6" t="n">
        <v>1.343652055348928</v>
      </c>
      <c r="AP363" s="6" t="n">
        <v>0.1319518654665734</v>
      </c>
      <c r="AQ363" s="6" t="n">
        <v>0</v>
      </c>
      <c r="AR363" s="6" t="n">
        <v>0</v>
      </c>
    </row>
    <row r="364">
      <c r="D364" t="inlineStr">
        <is>
          <t>Run 52</t>
        </is>
      </c>
      <c r="J364" s="6" t="n">
        <v>2.413280665316865</v>
      </c>
      <c r="K364" s="6" t="n">
        <v>1.153153952229841</v>
      </c>
      <c r="L364" s="6" t="n">
        <v>-0.7727705520961375</v>
      </c>
      <c r="M364" s="6" t="n">
        <v>-1.111183856618301</v>
      </c>
      <c r="N364" s="6" t="n">
        <v>-0.1629078869954689</v>
      </c>
      <c r="O364" s="6" t="n">
        <v>-0.9424639908479917</v>
      </c>
      <c r="P364" s="6" t="n">
        <v>1.419643843922446</v>
      </c>
      <c r="Q364" s="6" t="n">
        <v>-1.534486052276627</v>
      </c>
      <c r="R364" s="6" t="n">
        <v>1.35456623223111</v>
      </c>
      <c r="S364" s="6" t="n">
        <v>0.04576015050670171</v>
      </c>
      <c r="T364" s="6" t="n">
        <v>1.24946441551964</v>
      </c>
      <c r="U364" s="6" t="n">
        <v>-1.812918943534432</v>
      </c>
      <c r="V364" s="6" t="n">
        <v>2.17830201326486</v>
      </c>
      <c r="W364" s="6" t="n">
        <v>-0.7296506036932905</v>
      </c>
      <c r="X364" s="6" t="n">
        <v>2.161861709993985</v>
      </c>
      <c r="Y364" s="6" t="n">
        <v>-1.371472304654153</v>
      </c>
      <c r="Z364" s="6" t="n">
        <v>3.952469961443722</v>
      </c>
      <c r="AA364" s="6" t="n">
        <v>1.13907735227191</v>
      </c>
      <c r="AB364" s="6" t="n">
        <v>4.590856781384411</v>
      </c>
      <c r="AC364" s="6" t="n">
        <v>2.654764595180418</v>
      </c>
      <c r="AD364" s="6" t="n">
        <v>0.2142803759191818</v>
      </c>
      <c r="AE364" s="6" t="n">
        <v>-0.8636777757568312</v>
      </c>
      <c r="AF364" s="6" t="n">
        <v>-1.978626197747144</v>
      </c>
      <c r="AG364" s="6" t="n">
        <v>2.083174726313598</v>
      </c>
      <c r="AH364" s="6" t="n">
        <v>-1.669635090119327</v>
      </c>
      <c r="AI364" s="6" t="n">
        <v>0.8224506589125901</v>
      </c>
      <c r="AJ364" s="6" t="n">
        <v>69.2842489870588</v>
      </c>
      <c r="AK364" s="6" t="n">
        <v>0.1364226445336106</v>
      </c>
      <c r="AL364" s="6" t="n">
        <v>1.054529048141042</v>
      </c>
      <c r="AN364" s="6" t="n">
        <v>1.33988298067468</v>
      </c>
      <c r="AO364" s="6" t="n">
        <v>1.341868563581241</v>
      </c>
      <c r="AP364" s="6" t="n">
        <v>0.1312566053938043</v>
      </c>
      <c r="AQ364" s="6" t="n">
        <v>0</v>
      </c>
      <c r="AR364" s="6" t="n">
        <v>0</v>
      </c>
    </row>
    <row r="365">
      <c r="D365" t="inlineStr">
        <is>
          <t>Run 53</t>
        </is>
      </c>
      <c r="J365" s="6" t="n">
        <v>-0.8570814509373872</v>
      </c>
      <c r="K365" s="6" t="n">
        <v>1.718500765695409</v>
      </c>
      <c r="L365" s="6" t="n">
        <v>-0.3860398502842342</v>
      </c>
      <c r="M365" s="6" t="n">
        <v>-2.763492535135909</v>
      </c>
      <c r="N365" s="6" t="n">
        <v>1.225570367767656</v>
      </c>
      <c r="O365" s="6" t="n">
        <v>1.084364906800925</v>
      </c>
      <c r="P365" s="6" t="n">
        <v>-1.067817063767802</v>
      </c>
      <c r="Q365" s="6" t="n">
        <v>-1.436503628796482</v>
      </c>
      <c r="R365" s="6" t="n">
        <v>2.750135654052245</v>
      </c>
      <c r="S365" s="6" t="n">
        <v>1.094236108357941</v>
      </c>
      <c r="T365" s="6" t="n">
        <v>1.416550781915425</v>
      </c>
      <c r="U365" s="6" t="n">
        <v>1.49217294717306</v>
      </c>
      <c r="V365" s="6" t="n">
        <v>-3.467488138041583</v>
      </c>
      <c r="W365" s="6" t="n">
        <v>1.092541525613129</v>
      </c>
      <c r="X365" s="6" t="n">
        <v>2.447423249181077</v>
      </c>
      <c r="Y365" s="6" t="n">
        <v>0.5343142528207022</v>
      </c>
      <c r="Z365" s="6" t="n">
        <v>-1.900460723340851</v>
      </c>
      <c r="AA365" s="6" t="n">
        <v>-1.294973951701953</v>
      </c>
      <c r="AB365" s="6" t="n">
        <v>1.578628495773796</v>
      </c>
      <c r="AC365" s="6" t="n">
        <v>0.8126507974948532</v>
      </c>
      <c r="AD365" s="6" t="n">
        <v>-0.364104882970948</v>
      </c>
      <c r="AE365" s="6" t="n">
        <v>0.5532045245382025</v>
      </c>
      <c r="AF365" s="6" t="n">
        <v>2.688668852881122</v>
      </c>
      <c r="AG365" s="6" t="n">
        <v>0.07616020429032272</v>
      </c>
      <c r="AH365" s="6" t="n">
        <v>-2.876982911332453</v>
      </c>
      <c r="AI365" s="6" t="n">
        <v>-0.02960550761221243</v>
      </c>
      <c r="AJ365" s="6" t="n">
        <v>74.30011789036574</v>
      </c>
      <c r="AK365" s="6" t="n">
        <v>0.06570784974591254</v>
      </c>
      <c r="AL365" s="6" t="n">
        <v>1.081758950912846</v>
      </c>
      <c r="AN365" s="6" t="n">
        <v>1.316369327931653</v>
      </c>
      <c r="AO365" s="6" t="n">
        <v>1.326256046609634</v>
      </c>
      <c r="AP365" s="6" t="n">
        <v>0.1312703667022808</v>
      </c>
      <c r="AQ365" s="6" t="n">
        <v>0</v>
      </c>
      <c r="AR365" s="6" t="n">
        <v>0</v>
      </c>
    </row>
    <row r="366">
      <c r="D366" t="inlineStr">
        <is>
          <t>Run 54</t>
        </is>
      </c>
      <c r="J366" s="6" t="n">
        <v>3.268761751813777</v>
      </c>
      <c r="K366" s="6" t="n">
        <v>0.3376532856117794</v>
      </c>
      <c r="L366" s="6" t="n">
        <v>-0.06642242588574505</v>
      </c>
      <c r="M366" s="6" t="n">
        <v>0.5400153893640681</v>
      </c>
      <c r="N366" s="6" t="n">
        <v>0.6649791436389664</v>
      </c>
      <c r="O366" s="6" t="n">
        <v>-0.9593286826183353</v>
      </c>
      <c r="P366" s="6" t="n">
        <v>-3.011089479051567</v>
      </c>
      <c r="Q366" s="6" t="n">
        <v>-2.545352743817698</v>
      </c>
      <c r="R366" s="6" t="n">
        <v>1.163238777363967</v>
      </c>
      <c r="S366" s="6" t="n">
        <v>0.8158932235427846</v>
      </c>
      <c r="T366" s="6" t="n">
        <v>-2.214442906386055</v>
      </c>
      <c r="U366" s="6" t="n">
        <v>-2.034671599325512</v>
      </c>
      <c r="V366" s="6" t="n">
        <v>0.438047624448497</v>
      </c>
      <c r="W366" s="6" t="n">
        <v>-0.007507840755944349</v>
      </c>
      <c r="X366" s="6" t="n">
        <v>-1.998942982945684</v>
      </c>
      <c r="Y366" s="6" t="n">
        <v>-1.582052637571251</v>
      </c>
      <c r="Z366" s="6" t="n">
        <v>-2.995022916531351</v>
      </c>
      <c r="AA366" s="6" t="n">
        <v>0.004041503583860195</v>
      </c>
      <c r="AB366" s="6" t="n">
        <v>-0.3634529966952857</v>
      </c>
      <c r="AC366" s="6" t="n">
        <v>-1.884850656652039</v>
      </c>
      <c r="AD366" s="6" t="n">
        <v>0.8638744230132338</v>
      </c>
      <c r="AE366" s="6" t="n">
        <v>2.267767275960629</v>
      </c>
      <c r="AF366" s="6" t="n">
        <v>1.620211914527543</v>
      </c>
      <c r="AG366" s="6" t="n">
        <v>-1.164007894598639</v>
      </c>
      <c r="AH366" s="6" t="n">
        <v>0.8914763024954073</v>
      </c>
      <c r="AI366" s="6" t="n">
        <v>-0.2817565507413416</v>
      </c>
      <c r="AJ366" s="6" t="n">
        <v>73.70676185321113</v>
      </c>
      <c r="AK366" s="6" t="n">
        <v>0.08721406050848181</v>
      </c>
      <c r="AL366" s="6" t="n">
        <v>1.072553978250469</v>
      </c>
      <c r="AN366" s="6" t="n">
        <v>1.343193454895607</v>
      </c>
      <c r="AO366" s="6" t="n">
        <v>1.343544254209113</v>
      </c>
      <c r="AP366" s="6" t="n">
        <v>0.1312772818976858</v>
      </c>
      <c r="AQ366" s="6" t="n">
        <v>0</v>
      </c>
      <c r="AR366" s="6" t="n">
        <v>0</v>
      </c>
    </row>
    <row r="367">
      <c r="D367" t="inlineStr">
        <is>
          <t>Run 55</t>
        </is>
      </c>
      <c r="J367" s="6" t="n">
        <v>-0.7693020916470881</v>
      </c>
      <c r="K367" s="6" t="n">
        <v>-1.985261679534404</v>
      </c>
      <c r="L367" s="6" t="n">
        <v>2.503545202951002</v>
      </c>
      <c r="M367" s="6" t="n">
        <v>-2.718304497827702</v>
      </c>
      <c r="N367" s="6" t="n">
        <v>-1.151286967040864</v>
      </c>
      <c r="O367" s="6" t="n">
        <v>4.204031162702308</v>
      </c>
      <c r="P367" s="6" t="n">
        <v>-4.264476416995404</v>
      </c>
      <c r="Q367" s="6" t="n">
        <v>0.3486293478335629</v>
      </c>
      <c r="R367" s="6" t="n">
        <v>-1.275024990027341</v>
      </c>
      <c r="S367" s="6" t="n">
        <v>-3.201444705045693</v>
      </c>
      <c r="T367" s="6" t="n">
        <v>-2.152697321970655</v>
      </c>
      <c r="U367" s="6" t="n">
        <v>-0.2390672682181872</v>
      </c>
      <c r="V367" s="6" t="n">
        <v>-1.549659426813452</v>
      </c>
      <c r="W367" s="6" t="n">
        <v>-0.4480091390269368</v>
      </c>
      <c r="X367" s="6" t="n">
        <v>-1.950506352651678</v>
      </c>
      <c r="Y367" s="6" t="n">
        <v>-0.08908404177554871</v>
      </c>
      <c r="Z367" s="6" t="n">
        <v>-1.174738810499621</v>
      </c>
      <c r="AA367" s="6" t="n">
        <v>2.962711388725902</v>
      </c>
      <c r="AB367" s="6" t="n">
        <v>2.314334151384992</v>
      </c>
      <c r="AC367" s="6" t="n">
        <v>1.862632172888826</v>
      </c>
      <c r="AD367" s="6" t="n">
        <v>-0.7522657872631379</v>
      </c>
      <c r="AE367" s="6" t="n">
        <v>-1.614900278382948</v>
      </c>
      <c r="AF367" s="6" t="n">
        <v>0.5686549163404447</v>
      </c>
      <c r="AG367" s="6" t="n">
        <v>0.1915238891367857</v>
      </c>
      <c r="AH367" s="6" t="n">
        <v>-1.472950687680842</v>
      </c>
      <c r="AI367" s="6" t="n">
        <v>-0.9574440742109482</v>
      </c>
      <c r="AJ367" s="6" t="n">
        <v>84.40610492388083</v>
      </c>
      <c r="AK367" s="6" t="n">
        <v>0.1479992933687896</v>
      </c>
      <c r="AL367" s="6" t="n">
        <v>0.9940971171175438</v>
      </c>
      <c r="AN367" s="6" t="n">
        <v>1.346816365727632</v>
      </c>
      <c r="AO367" s="6" t="n">
        <v>1.354687860432457</v>
      </c>
      <c r="AP367" s="6" t="n">
        <v>0.140654891183418</v>
      </c>
      <c r="AQ367" s="6" t="n">
        <v>0</v>
      </c>
      <c r="AR367" s="6" t="n">
        <v>0</v>
      </c>
    </row>
    <row r="368">
      <c r="D368" t="inlineStr">
        <is>
          <t>Run 56</t>
        </is>
      </c>
      <c r="J368" s="6" t="n">
        <v>0.4377127803218405</v>
      </c>
      <c r="K368" s="6" t="n">
        <v>-3.280427261786824</v>
      </c>
      <c r="L368" s="6" t="n">
        <v>-1.18385718408221</v>
      </c>
      <c r="M368" s="6" t="n">
        <v>1.642823152916469</v>
      </c>
      <c r="N368" s="6" t="n">
        <v>2.640840167559611</v>
      </c>
      <c r="O368" s="6" t="n">
        <v>1.834971084473044</v>
      </c>
      <c r="P368" s="6" t="n">
        <v>2.089987048792797</v>
      </c>
      <c r="Q368" s="6" t="n">
        <v>-3.680116718920861</v>
      </c>
      <c r="R368" s="6" t="n">
        <v>-3.719434234106459</v>
      </c>
      <c r="S368" s="6" t="n">
        <v>-3.881427530630805</v>
      </c>
      <c r="T368" s="6" t="n">
        <v>0.07313531670822822</v>
      </c>
      <c r="U368" s="6" t="n">
        <v>-2.511137992434581</v>
      </c>
      <c r="V368" s="6" t="n">
        <v>-4.001599855086114</v>
      </c>
      <c r="W368" s="6" t="n">
        <v>2.700796857153895</v>
      </c>
      <c r="X368" s="6" t="n">
        <v>3.625316163690521</v>
      </c>
      <c r="Y368" s="6" t="n">
        <v>2.779031056176846</v>
      </c>
      <c r="Z368" s="6" t="n">
        <v>-0.4721043198251567</v>
      </c>
      <c r="AA368" s="6" t="n">
        <v>1.105983166326365</v>
      </c>
      <c r="AB368" s="6" t="n">
        <v>-0.1787037244333011</v>
      </c>
      <c r="AC368" s="6" t="n">
        <v>-0.2232338122842744</v>
      </c>
      <c r="AD368" s="6" t="n">
        <v>3.906762851482203</v>
      </c>
      <c r="AE368" s="6" t="n">
        <v>0.4083987774793095</v>
      </c>
      <c r="AF368" s="6" t="n">
        <v>1.37351172430765</v>
      </c>
      <c r="AG368" s="6" t="n">
        <v>4.226224620157296</v>
      </c>
      <c r="AH368" s="6" t="n">
        <v>1.57331356579179</v>
      </c>
      <c r="AI368" s="6" t="n">
        <v>0.2117077828079264</v>
      </c>
      <c r="AJ368" s="6" t="n">
        <v>74.28068487967842</v>
      </c>
      <c r="AK368" s="6" t="n">
        <v>0.1144120617320232</v>
      </c>
      <c r="AL368" s="6" t="n">
        <v>1.13122603061099</v>
      </c>
      <c r="AN368" s="6" t="n">
        <v>1.319152116428078</v>
      </c>
      <c r="AO368" s="6" t="n">
        <v>1.319952547390707</v>
      </c>
      <c r="AP368" s="6" t="n">
        <v>0.1276404587830193</v>
      </c>
      <c r="AQ368" s="6" t="n">
        <v>0</v>
      </c>
      <c r="AR368" s="6" t="n">
        <v>0</v>
      </c>
    </row>
    <row r="369">
      <c r="D369" t="inlineStr">
        <is>
          <t>Run 57</t>
        </is>
      </c>
      <c r="J369" s="6" t="n">
        <v>-1.362831904428432</v>
      </c>
      <c r="K369" s="6" t="n">
        <v>3.089909260036582</v>
      </c>
      <c r="L369" s="6" t="n">
        <v>2.355901752808683</v>
      </c>
      <c r="M369" s="6" t="n">
        <v>-1.124297521736303</v>
      </c>
      <c r="N369" s="6" t="n">
        <v>-1.40633191833119</v>
      </c>
      <c r="O369" s="6" t="n">
        <v>0.780017058120396</v>
      </c>
      <c r="P369" s="6" t="n">
        <v>-2.948505139726992</v>
      </c>
      <c r="Q369" s="6" t="n">
        <v>1.726482041979075</v>
      </c>
      <c r="R369" s="6" t="n">
        <v>1.384702908936675</v>
      </c>
      <c r="S369" s="6" t="n">
        <v>3.170778325726777</v>
      </c>
      <c r="T369" s="6" t="n">
        <v>2.284049490177073</v>
      </c>
      <c r="U369" s="6" t="n">
        <v>-3.75201035502315</v>
      </c>
      <c r="V369" s="6" t="n">
        <v>0.4779859534988152</v>
      </c>
      <c r="W369" s="6" t="n">
        <v>-0.1927571389305195</v>
      </c>
      <c r="X369" s="6" t="n">
        <v>-0.4205863642970574</v>
      </c>
      <c r="Y369" s="6" t="n">
        <v>2.615960919982217</v>
      </c>
      <c r="Z369" s="6" t="n">
        <v>0.7344863865236211</v>
      </c>
      <c r="AA369" s="6" t="n">
        <v>1.4586557069873</v>
      </c>
      <c r="AB369" s="6" t="n">
        <v>1.699474352401407</v>
      </c>
      <c r="AC369" s="6" t="n">
        <v>-7.014174666492369</v>
      </c>
      <c r="AD369" s="6" t="n">
        <v>-1.292940270170413</v>
      </c>
      <c r="AE369" s="6" t="n">
        <v>2.599396079591709</v>
      </c>
      <c r="AF369" s="6" t="n">
        <v>1.632237066309072</v>
      </c>
      <c r="AG369" s="6" t="n">
        <v>0.7545851151863404</v>
      </c>
      <c r="AH369" s="6" t="n">
        <v>-0.9045370669146259</v>
      </c>
      <c r="AI369" s="6" t="n">
        <v>0.500276167718067</v>
      </c>
      <c r="AJ369" s="6" t="n">
        <v>63.1585641688588</v>
      </c>
      <c r="AK369" s="6" t="n">
        <v>0.0751538426683572</v>
      </c>
      <c r="AL369" s="6" t="n">
        <v>1.042230370345747</v>
      </c>
      <c r="AN369" s="6" t="n">
        <v>1.344068057311857</v>
      </c>
      <c r="AO369" s="6" t="n">
        <v>1.344888556064535</v>
      </c>
      <c r="AP369" s="6" t="n">
        <v>0.1331617700512013</v>
      </c>
      <c r="AQ369" s="6" t="n">
        <v>0</v>
      </c>
      <c r="AR369" s="6" t="n">
        <v>0</v>
      </c>
    </row>
    <row r="370">
      <c r="D370" t="inlineStr">
        <is>
          <t>Run 58</t>
        </is>
      </c>
      <c r="J370" s="6" t="n">
        <v>0.6467464421811157</v>
      </c>
      <c r="K370" s="6" t="n">
        <v>1.069761606693015</v>
      </c>
      <c r="L370" s="6" t="n">
        <v>1.708663447586726</v>
      </c>
      <c r="M370" s="6" t="n">
        <v>-2.360049242225136</v>
      </c>
      <c r="N370" s="6" t="n">
        <v>2.725815531918428</v>
      </c>
      <c r="O370" s="6" t="n">
        <v>0.5108306599015285</v>
      </c>
      <c r="P370" s="6" t="n">
        <v>-0.9605384487888755</v>
      </c>
      <c r="Q370" s="6" t="n">
        <v>-2.422759831131548</v>
      </c>
      <c r="R370" s="6" t="n">
        <v>1.271360030963099</v>
      </c>
      <c r="S370" s="6" t="n">
        <v>1.048396346581786</v>
      </c>
      <c r="T370" s="6" t="n">
        <v>0.3412691777932225</v>
      </c>
      <c r="U370" s="6" t="n">
        <v>-0.6699848707409388</v>
      </c>
      <c r="V370" s="6" t="n">
        <v>-1.828499481338154</v>
      </c>
      <c r="W370" s="6" t="n">
        <v>-2.647707124401174</v>
      </c>
      <c r="X370" s="6" t="n">
        <v>0.7285469387945748</v>
      </c>
      <c r="Y370" s="6" t="n">
        <v>-2.35108897011112</v>
      </c>
      <c r="Z370" s="6" t="n">
        <v>0.05381360219267814</v>
      </c>
      <c r="AA370" s="6" t="n">
        <v>-0.04463452566696417</v>
      </c>
      <c r="AB370" s="6" t="n">
        <v>1.362981761055309</v>
      </c>
      <c r="AC370" s="6" t="n">
        <v>2.41318194204919</v>
      </c>
      <c r="AD370" s="6" t="n">
        <v>0.4648718956255904</v>
      </c>
      <c r="AE370" s="6" t="n">
        <v>3.064398420409586</v>
      </c>
      <c r="AF370" s="6" t="n">
        <v>1.978930273918409</v>
      </c>
      <c r="AG370" s="6" t="n">
        <v>-0.5122759210998746</v>
      </c>
      <c r="AH370" s="6" t="n">
        <v>0.5202068822259758</v>
      </c>
      <c r="AI370" s="6" t="n">
        <v>-1.141495329935331</v>
      </c>
      <c r="AJ370" s="6" t="n">
        <v>57.35178208911997</v>
      </c>
      <c r="AK370" s="6" t="n">
        <v>0.1123443300665337</v>
      </c>
      <c r="AL370" s="6" t="n">
        <v>1.101159161214749</v>
      </c>
      <c r="AN370" s="6" t="n">
        <v>1.31002670914699</v>
      </c>
      <c r="AO370" s="6" t="n">
        <v>1.317020332537916</v>
      </c>
      <c r="AP370" s="6" t="n">
        <v>0.128187472038977</v>
      </c>
      <c r="AQ370" s="6" t="n">
        <v>0</v>
      </c>
      <c r="AR370" s="6" t="n">
        <v>0</v>
      </c>
    </row>
    <row r="371">
      <c r="D371" t="inlineStr">
        <is>
          <t>Run 59</t>
        </is>
      </c>
      <c r="J371" s="6" t="n">
        <v>-3.490970134625511</v>
      </c>
      <c r="K371" s="6" t="n">
        <v>3.070914434859562</v>
      </c>
      <c r="L371" s="6" t="n">
        <v>0.725382630678359</v>
      </c>
      <c r="M371" s="6" t="n">
        <v>-3.655096621594992</v>
      </c>
      <c r="N371" s="6" t="n">
        <v>1.864255558916166</v>
      </c>
      <c r="O371" s="6" t="n">
        <v>1.409466905689189</v>
      </c>
      <c r="P371" s="6" t="n">
        <v>2.730759175000288</v>
      </c>
      <c r="Q371" s="6" t="n">
        <v>-1.79868354234524</v>
      </c>
      <c r="R371" s="6" t="n">
        <v>3.225233911293928</v>
      </c>
      <c r="S371" s="6" t="n">
        <v>4.632519344858496</v>
      </c>
      <c r="T371" s="6" t="n">
        <v>2.300119150967615</v>
      </c>
      <c r="U371" s="6" t="n">
        <v>1.632421068238138</v>
      </c>
      <c r="V371" s="6" t="n">
        <v>-1.228417524515542</v>
      </c>
      <c r="W371" s="6" t="n">
        <v>-1.517877746939343</v>
      </c>
      <c r="X371" s="6" t="n">
        <v>1.547294571772636</v>
      </c>
      <c r="Y371" s="6" t="n">
        <v>0.4309882886839348</v>
      </c>
      <c r="Z371" s="6" t="n">
        <v>0.5347879034443331</v>
      </c>
      <c r="AA371" s="6" t="n">
        <v>2.12484460791416</v>
      </c>
      <c r="AB371" s="6" t="n">
        <v>-0.8056583608832776</v>
      </c>
      <c r="AC371" s="6" t="n">
        <v>-0.9068752803681291</v>
      </c>
      <c r="AD371" s="6" t="n">
        <v>1.391299256037554</v>
      </c>
      <c r="AE371" s="6" t="n">
        <v>-0.9908255026906735</v>
      </c>
      <c r="AF371" s="6" t="n">
        <v>-3.136477679779363</v>
      </c>
      <c r="AG371" s="6" t="n">
        <v>-1.554550353546221</v>
      </c>
      <c r="AH371" s="6" t="n">
        <v>1.57637247041572</v>
      </c>
      <c r="AI371" s="6" t="n">
        <v>-0.8293410390258337</v>
      </c>
      <c r="AJ371" s="6" t="n">
        <v>77.77283980019602</v>
      </c>
      <c r="AK371" s="6" t="n">
        <v>0.1077289129017537</v>
      </c>
      <c r="AL371" s="6" t="n">
        <v>1.041589905962255</v>
      </c>
      <c r="AN371" s="6" t="n">
        <v>1.313210732262008</v>
      </c>
      <c r="AO371" s="6" t="n">
        <v>1.327089171482899</v>
      </c>
      <c r="AP371" s="6" t="n">
        <v>0.1335014979218601</v>
      </c>
      <c r="AQ371" s="6" t="n">
        <v>0</v>
      </c>
      <c r="AR371" s="6" t="n">
        <v>0</v>
      </c>
    </row>
    <row r="372">
      <c r="D372" t="inlineStr">
        <is>
          <t>Run 60</t>
        </is>
      </c>
      <c r="J372" s="6" t="n">
        <v>-3.401004312741066</v>
      </c>
      <c r="K372" s="6" t="n">
        <v>2.767424041622686</v>
      </c>
      <c r="L372" s="6" t="n">
        <v>-2.440615517649509</v>
      </c>
      <c r="M372" s="6" t="n">
        <v>-0.8601288751460054</v>
      </c>
      <c r="N372" s="6" t="n">
        <v>-1.22063783720824</v>
      </c>
      <c r="O372" s="6" t="n">
        <v>-0.5389655836016946</v>
      </c>
      <c r="P372" s="6" t="n">
        <v>0.9337808935031759</v>
      </c>
      <c r="Q372" s="6" t="n">
        <v>1.680107826951161</v>
      </c>
      <c r="R372" s="6" t="n">
        <v>0.7547667245371377</v>
      </c>
      <c r="S372" s="6" t="n">
        <v>-0.832463491344321</v>
      </c>
      <c r="T372" s="6" t="n">
        <v>-0.1877218736282507</v>
      </c>
      <c r="U372" s="6" t="n">
        <v>-0.6138459969404765</v>
      </c>
      <c r="V372" s="6" t="n">
        <v>-2.12969031266461</v>
      </c>
      <c r="W372" s="6" t="n">
        <v>-1.302657407865026</v>
      </c>
      <c r="X372" s="6" t="n">
        <v>1.852168197797573</v>
      </c>
      <c r="Y372" s="6" t="n">
        <v>3.820476269750216</v>
      </c>
      <c r="Z372" s="6" t="n">
        <v>0.6500889906008256</v>
      </c>
      <c r="AA372" s="6" t="n">
        <v>1.51362070213077</v>
      </c>
      <c r="AB372" s="6" t="n">
        <v>1.793144839495058</v>
      </c>
      <c r="AC372" s="6" t="n">
        <v>1.407442281248813</v>
      </c>
      <c r="AD372" s="6" t="n">
        <v>-1.754748726358907</v>
      </c>
      <c r="AE372" s="6" t="n">
        <v>2.415228508050491</v>
      </c>
      <c r="AF372" s="6" t="n">
        <v>2.356419573986493</v>
      </c>
      <c r="AG372" s="6" t="n">
        <v>-0.06431296165530161</v>
      </c>
      <c r="AH372" s="6" t="n">
        <v>0.6741209897731141</v>
      </c>
      <c r="AI372" s="6" t="n">
        <v>-1.245893489279544</v>
      </c>
      <c r="AJ372" s="6" t="n">
        <v>78.36096269500629</v>
      </c>
      <c r="AK372" s="6" t="n">
        <v>0.1527579526117313</v>
      </c>
      <c r="AL372" s="6" t="n">
        <v>1.051203924567584</v>
      </c>
      <c r="AN372" s="6" t="n">
        <v>1.346330994763459</v>
      </c>
      <c r="AO372" s="6" t="n">
        <v>1.347348464556623</v>
      </c>
      <c r="AP372" s="6" t="n">
        <v>0.1321762167039881</v>
      </c>
      <c r="AQ372" s="6" t="n">
        <v>0</v>
      </c>
      <c r="AR372" s="6" t="n">
        <v>0</v>
      </c>
    </row>
    <row r="373">
      <c r="D373" t="inlineStr">
        <is>
          <t>Run 61</t>
        </is>
      </c>
      <c r="J373" s="6" t="n">
        <v>2.280295688316769</v>
      </c>
      <c r="K373" s="6" t="n">
        <v>1.346499894487285</v>
      </c>
      <c r="L373" s="6" t="n">
        <v>1.041146428063754</v>
      </c>
      <c r="M373" s="6" t="n">
        <v>0.162969018539886</v>
      </c>
      <c r="N373" s="6" t="n">
        <v>0.4652538759065392</v>
      </c>
      <c r="O373" s="6" t="n">
        <v>2.238439006378213</v>
      </c>
      <c r="P373" s="6" t="n">
        <v>-1.288568119659551</v>
      </c>
      <c r="Q373" s="6" t="n">
        <v>1.757846867149387</v>
      </c>
      <c r="R373" s="6" t="n">
        <v>1.463517711139762</v>
      </c>
      <c r="S373" s="6" t="n">
        <v>0.9123568364423672</v>
      </c>
      <c r="T373" s="6" t="n">
        <v>-2.443811385958135</v>
      </c>
      <c r="U373" s="6" t="n">
        <v>2.635865204200637</v>
      </c>
      <c r="V373" s="6" t="n">
        <v>1.810077705935529</v>
      </c>
      <c r="W373" s="6" t="n">
        <v>2.202131794706432</v>
      </c>
      <c r="X373" s="6" t="n">
        <v>-0.5969977753124678</v>
      </c>
      <c r="Y373" s="6" t="n">
        <v>3.947939937810635</v>
      </c>
      <c r="Z373" s="6" t="n">
        <v>-0.7374320981014543</v>
      </c>
      <c r="AA373" s="6" t="n">
        <v>-2.219842297641262</v>
      </c>
      <c r="AB373" s="6" t="n">
        <v>-0.7405620097483351</v>
      </c>
      <c r="AC373" s="6" t="n">
        <v>3.81144868892929</v>
      </c>
      <c r="AD373" s="6" t="n">
        <v>-3.313557804436321</v>
      </c>
      <c r="AE373" s="6" t="n">
        <v>-3.272711857305229</v>
      </c>
      <c r="AF373" s="6" t="n">
        <v>-0.8983976705746957</v>
      </c>
      <c r="AG373" s="6" t="n">
        <v>2.827654136099994</v>
      </c>
      <c r="AH373" s="6" t="n">
        <v>3.886110467697702</v>
      </c>
      <c r="AI373" s="6" t="n">
        <v>0.4879685196390419</v>
      </c>
      <c r="AJ373" s="6" t="n">
        <v>82.89695367202437</v>
      </c>
      <c r="AK373" s="6" t="n">
        <v>0.06198224315185069</v>
      </c>
      <c r="AL373" s="6" t="n">
        <v>1.041488040330273</v>
      </c>
      <c r="AN373" s="6" t="n">
        <v>1.355627305864383</v>
      </c>
      <c r="AO373" s="6" t="n">
        <v>1.355722497880593</v>
      </c>
      <c r="AP373" s="6" t="n">
        <v>0.135707186314287</v>
      </c>
      <c r="AQ373" s="6" t="n">
        <v>0</v>
      </c>
      <c r="AR373" s="6" t="n">
        <v>0</v>
      </c>
    </row>
    <row r="374">
      <c r="D374" t="inlineStr">
        <is>
          <t>Run 62</t>
        </is>
      </c>
      <c r="J374" s="6" t="n">
        <v>0.3454369005615971</v>
      </c>
      <c r="K374" s="6" t="n">
        <v>1.618309348323446</v>
      </c>
      <c r="L374" s="6" t="n">
        <v>-2.864386501478445</v>
      </c>
      <c r="M374" s="6" t="n">
        <v>-1.063106336950236</v>
      </c>
      <c r="N374" s="6" t="n">
        <v>2.620889658591787</v>
      </c>
      <c r="O374" s="6" t="n">
        <v>0.801078969789162</v>
      </c>
      <c r="P374" s="6" t="n">
        <v>0.3992664161603092</v>
      </c>
      <c r="Q374" s="6" t="n">
        <v>1.725804317949755</v>
      </c>
      <c r="R374" s="6" t="n">
        <v>0.8386423945855342</v>
      </c>
      <c r="S374" s="6" t="n">
        <v>-3.266640911156249</v>
      </c>
      <c r="T374" s="6" t="n">
        <v>4.128740462320136</v>
      </c>
      <c r="U374" s="6" t="n">
        <v>-1.051603751156357</v>
      </c>
      <c r="V374" s="6" t="n">
        <v>1.645412127528135</v>
      </c>
      <c r="W374" s="6" t="n">
        <v>-3.041910105006836</v>
      </c>
      <c r="X374" s="6" t="n">
        <v>1.697256992516203</v>
      </c>
      <c r="Y374" s="6" t="n">
        <v>-0.3929380670164528</v>
      </c>
      <c r="Z374" s="6" t="n">
        <v>2.129471715389431</v>
      </c>
      <c r="AA374" s="6" t="n">
        <v>-2.281534082729203</v>
      </c>
      <c r="AB374" s="6" t="n">
        <v>-2.446483824536764</v>
      </c>
      <c r="AC374" s="6" t="n">
        <v>2.510299531859925</v>
      </c>
      <c r="AD374" s="6" t="n">
        <v>0.8074279536041828</v>
      </c>
      <c r="AE374" s="6" t="n">
        <v>0.04380948743951917</v>
      </c>
      <c r="AF374" s="6" t="n">
        <v>-0.920405240191618</v>
      </c>
      <c r="AG374" s="6" t="n">
        <v>-1.89955627912438</v>
      </c>
      <c r="AH374" s="6" t="n">
        <v>-0.6680806546089763</v>
      </c>
      <c r="AI374" s="6" t="n">
        <v>-1.596804964566068</v>
      </c>
      <c r="AJ374" s="6" t="n">
        <v>75.27218629594965</v>
      </c>
      <c r="AK374" s="6" t="n">
        <v>0.0809404516732242</v>
      </c>
      <c r="AL374" s="6" t="n">
        <v>1.068049865695323</v>
      </c>
      <c r="AN374" s="6" t="n">
        <v>1.342521509523076</v>
      </c>
      <c r="AO374" s="6" t="n">
        <v>1.343772136083536</v>
      </c>
      <c r="AP374" s="6" t="n">
        <v>0.1322065748021064</v>
      </c>
      <c r="AQ374" s="6" t="n">
        <v>0</v>
      </c>
      <c r="AR374" s="6" t="n">
        <v>0</v>
      </c>
    </row>
    <row r="375">
      <c r="D375" t="inlineStr">
        <is>
          <t>Run 63</t>
        </is>
      </c>
      <c r="J375" s="6" t="n">
        <v>0.586618353636381</v>
      </c>
      <c r="K375" s="6" t="n">
        <v>0.8848351815579725</v>
      </c>
      <c r="L375" s="6" t="n">
        <v>2.119880031369105</v>
      </c>
      <c r="M375" s="6" t="n">
        <v>4.08857406811806</v>
      </c>
      <c r="N375" s="6" t="n">
        <v>-0.8933559150936006</v>
      </c>
      <c r="O375" s="6" t="n">
        <v>3.055843058811973</v>
      </c>
      <c r="P375" s="6" t="n">
        <v>-2.562075657580928</v>
      </c>
      <c r="Q375" s="6" t="n">
        <v>1.031919930008531</v>
      </c>
      <c r="R375" s="6" t="n">
        <v>-1.998609589305847</v>
      </c>
      <c r="S375" s="6" t="n">
        <v>1.541870787968635</v>
      </c>
      <c r="T375" s="6" t="n">
        <v>2.19859691408634</v>
      </c>
      <c r="U375" s="6" t="n">
        <v>-0.8482024239198782</v>
      </c>
      <c r="V375" s="6" t="n">
        <v>-3.880930144565305</v>
      </c>
      <c r="W375" s="6" t="n">
        <v>-0.01109506790848656</v>
      </c>
      <c r="X375" s="6" t="n">
        <v>1.763850669447227</v>
      </c>
      <c r="Y375" s="6" t="n">
        <v>-1.945285739371613</v>
      </c>
      <c r="Z375" s="6" t="n">
        <v>-0.505677621021978</v>
      </c>
      <c r="AA375" s="6" t="n">
        <v>0.1299300379401296</v>
      </c>
      <c r="AB375" s="6" t="n">
        <v>-0.7511172187284684</v>
      </c>
      <c r="AC375" s="6" t="n">
        <v>0.4958905030687354</v>
      </c>
      <c r="AD375" s="6" t="n">
        <v>0.2840740356730063</v>
      </c>
      <c r="AE375" s="6" t="n">
        <v>0.3179090680530128</v>
      </c>
      <c r="AF375" s="6" t="n">
        <v>-0.08310706891871654</v>
      </c>
      <c r="AG375" s="6" t="n">
        <v>-1.853351924016385</v>
      </c>
      <c r="AH375" s="6" t="n">
        <v>0.821345504333478</v>
      </c>
      <c r="AI375" s="6" t="n">
        <v>2.35115623608953</v>
      </c>
      <c r="AJ375" s="6" t="n">
        <v>66.19911265263477</v>
      </c>
      <c r="AK375" s="6" t="n">
        <v>0.1759865633257791</v>
      </c>
      <c r="AL375" s="6" t="n">
        <v>1.121765567333094</v>
      </c>
      <c r="AN375" s="6" t="n">
        <v>1.313562001175283</v>
      </c>
      <c r="AO375" s="6" t="n">
        <v>1.313920147245646</v>
      </c>
      <c r="AP375" s="6" t="n">
        <v>0.1267728935840634</v>
      </c>
      <c r="AQ375" s="6" t="n">
        <v>0</v>
      </c>
      <c r="AR375" s="6" t="n">
        <v>0</v>
      </c>
    </row>
    <row r="376">
      <c r="D376" t="inlineStr">
        <is>
          <t>Run 64</t>
        </is>
      </c>
      <c r="J376" s="6" t="n">
        <v>-1.386120704911382</v>
      </c>
      <c r="K376" s="6" t="n">
        <v>1.395487811408849</v>
      </c>
      <c r="L376" s="6" t="n">
        <v>0.4853273833531347</v>
      </c>
      <c r="M376" s="6" t="n">
        <v>-1.067527491942416</v>
      </c>
      <c r="N376" s="6" t="n">
        <v>-0.9599276880789002</v>
      </c>
      <c r="O376" s="6" t="n">
        <v>3.069110669585557</v>
      </c>
      <c r="P376" s="6" t="n">
        <v>-2.141709034367003</v>
      </c>
      <c r="Q376" s="6" t="n">
        <v>5</v>
      </c>
      <c r="R376" s="6" t="n">
        <v>0.1665010425461426</v>
      </c>
      <c r="S376" s="6" t="n">
        <v>-3.083472395182567</v>
      </c>
      <c r="T376" s="6" t="n">
        <v>2.434608074029265</v>
      </c>
      <c r="U376" s="6" t="n">
        <v>-3.652417651510686</v>
      </c>
      <c r="V376" s="6" t="n">
        <v>-4.752785328297914</v>
      </c>
      <c r="W376" s="6" t="n">
        <v>-1.398119961059558</v>
      </c>
      <c r="X376" s="6" t="n">
        <v>-0.8375129182573479</v>
      </c>
      <c r="Y376" s="6" t="n">
        <v>2.416190680270159</v>
      </c>
      <c r="Z376" s="6" t="n">
        <v>0.9067633818974323</v>
      </c>
      <c r="AA376" s="6" t="n">
        <v>0.7440308447584203</v>
      </c>
      <c r="AB376" s="6" t="n">
        <v>-1.392174453366655</v>
      </c>
      <c r="AC376" s="6" t="n">
        <v>-0.7039706452421243</v>
      </c>
      <c r="AD376" s="6" t="n">
        <v>-1.351711673729458</v>
      </c>
      <c r="AE376" s="6" t="n">
        <v>1.82117001841186</v>
      </c>
      <c r="AF376" s="6" t="n">
        <v>-2.836166599010973</v>
      </c>
      <c r="AG376" s="6" t="n">
        <v>1.306986968115154</v>
      </c>
      <c r="AH376" s="6" t="n">
        <v>1.232832938017508</v>
      </c>
      <c r="AI376" s="6" t="n">
        <v>-0.08352786132944988</v>
      </c>
      <c r="AJ376" s="6" t="n">
        <v>74.38247687113221</v>
      </c>
      <c r="AK376" s="6" t="n">
        <v>0.1604737290279121</v>
      </c>
      <c r="AL376" s="6" t="n">
        <v>1.040856616094052</v>
      </c>
      <c r="AN376" s="6" t="n">
        <v>1.345131687594594</v>
      </c>
      <c r="AO376" s="6" t="n">
        <v>1.347178726231114</v>
      </c>
      <c r="AP376" s="6" t="n">
        <v>0.1323713673803672</v>
      </c>
      <c r="AQ376" s="6" t="n">
        <v>0</v>
      </c>
      <c r="AR376" s="6" t="n">
        <v>0</v>
      </c>
    </row>
    <row r="377">
      <c r="D377" t="inlineStr">
        <is>
          <t>Run 65</t>
        </is>
      </c>
      <c r="J377" s="6" t="n">
        <v>-2.496592527445506</v>
      </c>
      <c r="K377" s="6" t="n">
        <v>-1.108289502549069</v>
      </c>
      <c r="L377" s="6" t="n">
        <v>-0.5444105950162941</v>
      </c>
      <c r="M377" s="6" t="n">
        <v>-1.78662611314666</v>
      </c>
      <c r="N377" s="6" t="n">
        <v>0.3424112458454905</v>
      </c>
      <c r="O377" s="6" t="n">
        <v>-1.430749227034415</v>
      </c>
      <c r="P377" s="6" t="n">
        <v>-1.826469631350496</v>
      </c>
      <c r="Q377" s="6" t="n">
        <v>-1.322895356849274</v>
      </c>
      <c r="R377" s="6" t="n">
        <v>-4.474324045572077</v>
      </c>
      <c r="S377" s="6" t="n">
        <v>-2.897130726797729</v>
      </c>
      <c r="T377" s="6" t="n">
        <v>-0.4321119768096081</v>
      </c>
      <c r="U377" s="6" t="n">
        <v>-0.2446639217019574</v>
      </c>
      <c r="V377" s="6" t="n">
        <v>-0.8189391995476749</v>
      </c>
      <c r="W377" s="6" t="n">
        <v>-2.577482414928133</v>
      </c>
      <c r="X377" s="6" t="n">
        <v>3.226091837974647</v>
      </c>
      <c r="Y377" s="6" t="n">
        <v>-1.719889543912909</v>
      </c>
      <c r="Z377" s="6" t="n">
        <v>1.676971904969034</v>
      </c>
      <c r="AA377" s="6" t="n">
        <v>1.908974334348126</v>
      </c>
      <c r="AB377" s="6" t="n">
        <v>-2.142305802816606</v>
      </c>
      <c r="AC377" s="6" t="n">
        <v>0.3510991785632967</v>
      </c>
      <c r="AD377" s="6" t="n">
        <v>3.590224267704451</v>
      </c>
      <c r="AE377" s="6" t="n">
        <v>1.51516882211392</v>
      </c>
      <c r="AF377" s="6" t="n">
        <v>-1.502915503554796</v>
      </c>
      <c r="AG377" s="6" t="n">
        <v>2.645740475582207</v>
      </c>
      <c r="AH377" s="6" t="n">
        <v>3.513116576399679</v>
      </c>
      <c r="AI377" s="6" t="n">
        <v>2.783326151797505</v>
      </c>
      <c r="AJ377" s="6" t="n">
        <v>74.46725450605157</v>
      </c>
      <c r="AK377" s="6" t="n">
        <v>0.1291931578327591</v>
      </c>
      <c r="AL377" s="6" t="n">
        <v>1.06339056071957</v>
      </c>
      <c r="AN377" s="6" t="n">
        <v>1.331212987996515</v>
      </c>
      <c r="AO377" s="6" t="n">
        <v>1.33604959817756</v>
      </c>
      <c r="AP377" s="6" t="n">
        <v>0.1311267793305451</v>
      </c>
      <c r="AQ377" s="6" t="n">
        <v>0</v>
      </c>
      <c r="AR377" s="6" t="n">
        <v>0</v>
      </c>
    </row>
    <row r="378">
      <c r="D378" t="inlineStr">
        <is>
          <t>Run 66</t>
        </is>
      </c>
      <c r="J378" s="6" t="n">
        <v>0.175694096494897</v>
      </c>
      <c r="K378" s="6" t="n">
        <v>-0.5658561707604429</v>
      </c>
      <c r="L378" s="6" t="n">
        <v>0.6460982116388392</v>
      </c>
      <c r="M378" s="6" t="n">
        <v>1.875676883892078</v>
      </c>
      <c r="N378" s="6" t="n">
        <v>2.631683739131034</v>
      </c>
      <c r="O378" s="6" t="n">
        <v>1.317293094991376</v>
      </c>
      <c r="P378" s="6" t="n">
        <v>-1.014849070732026</v>
      </c>
      <c r="Q378" s="6" t="n">
        <v>3.023821069271232</v>
      </c>
      <c r="R378" s="6" t="n">
        <v>0.06527400531383999</v>
      </c>
      <c r="S378" s="6" t="n">
        <v>-1.411824656011069</v>
      </c>
      <c r="T378" s="6" t="n">
        <v>-0.917817843929055</v>
      </c>
      <c r="U378" s="6" t="n">
        <v>1.354515834386464</v>
      </c>
      <c r="V378" s="6" t="n">
        <v>-1.518188614655756</v>
      </c>
      <c r="W378" s="6" t="n">
        <v>1.016785555225269</v>
      </c>
      <c r="X378" s="6" t="n">
        <v>1.50319348703632</v>
      </c>
      <c r="Y378" s="6" t="n">
        <v>3.38266884780884</v>
      </c>
      <c r="Z378" s="6" t="n">
        <v>-4.285809369540626</v>
      </c>
      <c r="AA378" s="6" t="n">
        <v>-0.8726821207282107</v>
      </c>
      <c r="AB378" s="6" t="n">
        <v>-5.222986417273442</v>
      </c>
      <c r="AC378" s="6" t="n">
        <v>1.632275064117793</v>
      </c>
      <c r="AD378" s="6" t="n">
        <v>-1.493698401944274</v>
      </c>
      <c r="AE378" s="6" t="n">
        <v>-0.8786511565697531</v>
      </c>
      <c r="AF378" s="6" t="n">
        <v>-0.1584514224836001</v>
      </c>
      <c r="AG378" s="6" t="n">
        <v>-1.231594560560353</v>
      </c>
      <c r="AH378" s="6" t="n">
        <v>0.5949968889808017</v>
      </c>
      <c r="AI378" s="6" t="n">
        <v>1.210759291233624</v>
      </c>
      <c r="AJ378" s="6" t="n">
        <v>74.10007582451033</v>
      </c>
      <c r="AK378" s="6" t="n">
        <v>0.122831331689042</v>
      </c>
      <c r="AL378" s="6" t="n">
        <v>1.09863859617832</v>
      </c>
      <c r="AN378" s="6" t="n">
        <v>1.329152797453295</v>
      </c>
      <c r="AO378" s="6" t="n">
        <v>1.329206691278681</v>
      </c>
      <c r="AP378" s="6" t="n">
        <v>0.129375520803008</v>
      </c>
      <c r="AQ378" s="6" t="n">
        <v>0</v>
      </c>
      <c r="AR378" s="6" t="n">
        <v>0</v>
      </c>
    </row>
    <row r="379">
      <c r="D379" t="inlineStr">
        <is>
          <t>Run 67</t>
        </is>
      </c>
      <c r="J379" s="6" t="n">
        <v>-2.025851607121125</v>
      </c>
      <c r="K379" s="6" t="n">
        <v>-0.5023563110035792</v>
      </c>
      <c r="L379" s="6" t="n">
        <v>-2.358625564452395</v>
      </c>
      <c r="M379" s="6" t="n">
        <v>1.195546419048928</v>
      </c>
      <c r="N379" s="6" t="n">
        <v>0.7075556904899911</v>
      </c>
      <c r="O379" s="6" t="n">
        <v>-0.434076904670896</v>
      </c>
      <c r="P379" s="6" t="n">
        <v>1.983733532839934</v>
      </c>
      <c r="Q379" s="6" t="n">
        <v>0.6074784881067732</v>
      </c>
      <c r="R379" s="6" t="n">
        <v>-1.525869545885491</v>
      </c>
      <c r="S379" s="6" t="n">
        <v>0.0703009760867413</v>
      </c>
      <c r="T379" s="6" t="n">
        <v>0.7076665015542168</v>
      </c>
      <c r="U379" s="6" t="n">
        <v>0.5444022630817393</v>
      </c>
      <c r="V379" s="6" t="n">
        <v>0.2656107903148514</v>
      </c>
      <c r="W379" s="6" t="n">
        <v>-2.418405226297071</v>
      </c>
      <c r="X379" s="6" t="n">
        <v>0.684590622450641</v>
      </c>
      <c r="Y379" s="6" t="n">
        <v>1.513640445753965</v>
      </c>
      <c r="Z379" s="6" t="n">
        <v>3.378909002767684</v>
      </c>
      <c r="AA379" s="6" t="n">
        <v>1.528448046785257</v>
      </c>
      <c r="AB379" s="6" t="n">
        <v>-0.2604326591973083</v>
      </c>
      <c r="AC379" s="6" t="n">
        <v>-1.862118042711955</v>
      </c>
      <c r="AD379" s="6" t="n">
        <v>-0.1139867604335031</v>
      </c>
      <c r="AE379" s="6" t="n">
        <v>-0.5221133151018779</v>
      </c>
      <c r="AF379" s="6" t="n">
        <v>-1.659057576513515</v>
      </c>
      <c r="AG379" s="6" t="n">
        <v>2.382558304584646</v>
      </c>
      <c r="AH379" s="6" t="n">
        <v>-1.245615201972565</v>
      </c>
      <c r="AI379" s="6" t="n">
        <v>1.365937759557698</v>
      </c>
      <c r="AJ379" s="6" t="n">
        <v>73.87001592050277</v>
      </c>
      <c r="AK379" s="6" t="n">
        <v>0.05906938988954104</v>
      </c>
      <c r="AL379" s="6" t="n">
        <v>1.068909964245493</v>
      </c>
      <c r="AN379" s="6" t="n">
        <v>1.34619686915058</v>
      </c>
      <c r="AO379" s="6" t="n">
        <v>1.346442377201708</v>
      </c>
      <c r="AP379" s="6" t="n">
        <v>0.132789129964055</v>
      </c>
      <c r="AQ379" s="6" t="n">
        <v>0</v>
      </c>
      <c r="AR379" s="6" t="n">
        <v>0</v>
      </c>
    </row>
    <row r="380">
      <c r="D380" t="inlineStr">
        <is>
          <t>Run 68</t>
        </is>
      </c>
      <c r="J380" s="6" t="n">
        <v>-1.376849789294018</v>
      </c>
      <c r="K380" s="6" t="n">
        <v>-1.946964644909903</v>
      </c>
      <c r="L380" s="6" t="n">
        <v>-0.3900193519158413</v>
      </c>
      <c r="M380" s="6" t="n">
        <v>-2.974076143097932</v>
      </c>
      <c r="N380" s="6" t="n">
        <v>-0.5908517592833427</v>
      </c>
      <c r="O380" s="6" t="n">
        <v>0.8265163144431917</v>
      </c>
      <c r="P380" s="6" t="n">
        <v>-0.7917536108845056</v>
      </c>
      <c r="Q380" s="6" t="n">
        <v>1.070726478695168</v>
      </c>
      <c r="R380" s="6" t="n">
        <v>-0.8568125482333078</v>
      </c>
      <c r="S380" s="6" t="n">
        <v>-0.2122180492099642</v>
      </c>
      <c r="T380" s="6" t="n">
        <v>-2.321826593183592</v>
      </c>
      <c r="U380" s="6" t="n">
        <v>1.689113650802679</v>
      </c>
      <c r="V380" s="6" t="n">
        <v>-2.388575035549994</v>
      </c>
      <c r="W380" s="6" t="n">
        <v>-2.454372428193584</v>
      </c>
      <c r="X380" s="6" t="n">
        <v>-2.837985399003413</v>
      </c>
      <c r="Y380" s="6" t="n">
        <v>0.9423323605366999</v>
      </c>
      <c r="Z380" s="6" t="n">
        <v>-3.373175397865542</v>
      </c>
      <c r="AA380" s="6" t="n">
        <v>-0.120504596801095</v>
      </c>
      <c r="AB380" s="6" t="n">
        <v>1.777972363454585</v>
      </c>
      <c r="AC380" s="6" t="n">
        <v>1.379757049529552</v>
      </c>
      <c r="AD380" s="6" t="n">
        <v>3.195931431903121</v>
      </c>
      <c r="AE380" s="6" t="n">
        <v>-2.25928573112847</v>
      </c>
      <c r="AF380" s="6" t="n">
        <v>-1.241513714035977</v>
      </c>
      <c r="AG380" s="6" t="n">
        <v>0.6931482697828956</v>
      </c>
      <c r="AH380" s="6" t="n">
        <v>-3.415102128653255</v>
      </c>
      <c r="AI380" s="6" t="n">
        <v>-2.803862295899062</v>
      </c>
      <c r="AJ380" s="6" t="n">
        <v>80.62540026274243</v>
      </c>
      <c r="AK380" s="6" t="n">
        <v>0.1201084139218715</v>
      </c>
      <c r="AL380" s="6" t="n">
        <v>1.023918978237239</v>
      </c>
      <c r="AN380" s="6" t="n">
        <v>1.329853636054559</v>
      </c>
      <c r="AO380" s="6" t="n">
        <v>1.33852563534775</v>
      </c>
      <c r="AP380" s="6" t="n">
        <v>0.1359423052074509</v>
      </c>
      <c r="AQ380" s="6" t="n">
        <v>0</v>
      </c>
      <c r="AR380" s="6" t="n">
        <v>0</v>
      </c>
    </row>
    <row r="381">
      <c r="D381" t="inlineStr">
        <is>
          <t>Run 69</t>
        </is>
      </c>
      <c r="J381" s="6" t="n">
        <v>-0.5297703519449261</v>
      </c>
      <c r="K381" s="6" t="n">
        <v>-0.164672712464638</v>
      </c>
      <c r="L381" s="6" t="n">
        <v>0.004228963239068985</v>
      </c>
      <c r="M381" s="6" t="n">
        <v>1.51076225850664</v>
      </c>
      <c r="N381" s="6" t="n">
        <v>0.2168600838548869</v>
      </c>
      <c r="O381" s="6" t="n">
        <v>-0.9364035502703594</v>
      </c>
      <c r="P381" s="6" t="n">
        <v>-0.4260115613485449</v>
      </c>
      <c r="Q381" s="6" t="n">
        <v>0.4733820512297035</v>
      </c>
      <c r="R381" s="6" t="n">
        <v>-0.1461567490243934</v>
      </c>
      <c r="S381" s="6" t="n">
        <v>-1.163438054917319</v>
      </c>
      <c r="T381" s="6" t="n">
        <v>-2.382690105158683</v>
      </c>
      <c r="U381" s="6" t="n">
        <v>-2.070162158768011</v>
      </c>
      <c r="V381" s="6" t="n">
        <v>-1.200052227713615</v>
      </c>
      <c r="W381" s="6" t="n">
        <v>3.483044054185558</v>
      </c>
      <c r="X381" s="6" t="n">
        <v>-3.250547633995218</v>
      </c>
      <c r="Y381" s="6" t="n">
        <v>3.658987570721477</v>
      </c>
      <c r="Z381" s="6" t="n">
        <v>-0.8846294956568088</v>
      </c>
      <c r="AA381" s="6" t="n">
        <v>-2.258763559890107</v>
      </c>
      <c r="AB381" s="6" t="n">
        <v>-2.325528693463385</v>
      </c>
      <c r="AC381" s="6" t="n">
        <v>-0.7521086051729421</v>
      </c>
      <c r="AD381" s="6" t="n">
        <v>0.02521637239905933</v>
      </c>
      <c r="AE381" s="6" t="n">
        <v>-0.00417211782975249</v>
      </c>
      <c r="AF381" s="6" t="n">
        <v>-1.433042974099022</v>
      </c>
      <c r="AG381" s="6" t="n">
        <v>-1.4169892987834</v>
      </c>
      <c r="AH381" s="6" t="n">
        <v>0.3367698403837073</v>
      </c>
      <c r="AI381" s="6" t="n">
        <v>-1.561134461141793</v>
      </c>
      <c r="AJ381" s="6" t="n">
        <v>68.2031461065359</v>
      </c>
      <c r="AK381" s="6" t="n">
        <v>0.1247902575260458</v>
      </c>
      <c r="AL381" s="6" t="n">
        <v>1.055628480592512</v>
      </c>
      <c r="AN381" s="6" t="n">
        <v>1.342741491609421</v>
      </c>
      <c r="AO381" s="6" t="n">
        <v>1.342981001774084</v>
      </c>
      <c r="AP381" s="6" t="n">
        <v>0.1317050407695465</v>
      </c>
      <c r="AQ381" s="6" t="n">
        <v>0</v>
      </c>
      <c r="AR381" s="6" t="n">
        <v>0</v>
      </c>
    </row>
    <row r="382">
      <c r="D382" t="inlineStr">
        <is>
          <t>Run 70</t>
        </is>
      </c>
      <c r="J382" s="6" t="n">
        <v>1.843252887828304</v>
      </c>
      <c r="K382" s="6" t="n">
        <v>0.003650652388417051</v>
      </c>
      <c r="L382" s="6" t="n">
        <v>-0.4095621570052811</v>
      </c>
      <c r="M382" s="6" t="n">
        <v>-2.739327018539146</v>
      </c>
      <c r="N382" s="6" t="n">
        <v>2.48300254018584</v>
      </c>
      <c r="O382" s="6" t="n">
        <v>-4.570821214851598</v>
      </c>
      <c r="P382" s="6" t="n">
        <v>-1.134302924096959</v>
      </c>
      <c r="Q382" s="6" t="n">
        <v>-3.144513708925554</v>
      </c>
      <c r="R382" s="6" t="n">
        <v>-0.2157248835269312</v>
      </c>
      <c r="S382" s="6" t="n">
        <v>1.148888897095125</v>
      </c>
      <c r="T382" s="6" t="n">
        <v>0.525964079811073</v>
      </c>
      <c r="U382" s="6" t="n">
        <v>-0.7419832745501351</v>
      </c>
      <c r="V382" s="6" t="n">
        <v>-2.341051533674518</v>
      </c>
      <c r="W382" s="6" t="n">
        <v>2.609139206512114</v>
      </c>
      <c r="X382" s="6" t="n">
        <v>0.217028434992598</v>
      </c>
      <c r="Y382" s="6" t="n">
        <v>-2.311142461072511</v>
      </c>
      <c r="Z382" s="6" t="n">
        <v>0.6587333412005153</v>
      </c>
      <c r="AA382" s="6" t="n">
        <v>-3.379990201282383</v>
      </c>
      <c r="AB382" s="6" t="n">
        <v>-0.1604084755274488</v>
      </c>
      <c r="AC382" s="6" t="n">
        <v>0.8167763468217974</v>
      </c>
      <c r="AD382" s="6" t="n">
        <v>3.135272778982562</v>
      </c>
      <c r="AE382" s="6" t="n">
        <v>-1.197887244544606</v>
      </c>
      <c r="AF382" s="6" t="n">
        <v>1.355533952234879</v>
      </c>
      <c r="AG382" s="6" t="n">
        <v>1.677966247319592</v>
      </c>
      <c r="AH382" s="6" t="n">
        <v>-1.222725832521825</v>
      </c>
      <c r="AI382" s="6" t="n">
        <v>3.231187509462446</v>
      </c>
      <c r="AJ382" s="6" t="n">
        <v>75.11985976339932</v>
      </c>
      <c r="AK382" s="6" t="n">
        <v>0.1528297314571099</v>
      </c>
      <c r="AL382" s="6" t="n">
        <v>1.054117850384542</v>
      </c>
      <c r="AN382" s="6" t="n">
        <v>1.31872662731136</v>
      </c>
      <c r="AO382" s="6" t="n">
        <v>1.32808809592057</v>
      </c>
      <c r="AP382" s="6" t="n">
        <v>0.1307311770027964</v>
      </c>
      <c r="AQ382" s="6" t="n">
        <v>0</v>
      </c>
      <c r="AR382" s="6" t="n">
        <v>0</v>
      </c>
    </row>
    <row r="383">
      <c r="D383" t="inlineStr">
        <is>
          <t>Run 71</t>
        </is>
      </c>
      <c r="J383" s="6" t="n">
        <v>2.264354751527148</v>
      </c>
      <c r="K383" s="6" t="n">
        <v>0.4832731695706551</v>
      </c>
      <c r="L383" s="6" t="n">
        <v>-2.447893820042793</v>
      </c>
      <c r="M383" s="6" t="n">
        <v>2.515980846727009</v>
      </c>
      <c r="N383" s="6" t="n">
        <v>-5.15595653241583</v>
      </c>
      <c r="O383" s="6" t="n">
        <v>-2.948529485190634</v>
      </c>
      <c r="P383" s="6" t="n">
        <v>-2.878062265142471</v>
      </c>
      <c r="Q383" s="6" t="n">
        <v>-0.294990326393112</v>
      </c>
      <c r="R383" s="6" t="n">
        <v>1.964744351824969</v>
      </c>
      <c r="S383" s="6" t="n">
        <v>-1.546945913883948</v>
      </c>
      <c r="T383" s="6" t="n">
        <v>3.617195319122744</v>
      </c>
      <c r="U383" s="6" t="n">
        <v>1.008962221507498</v>
      </c>
      <c r="V383" s="6" t="n">
        <v>-3.984931933896248</v>
      </c>
      <c r="W383" s="6" t="n">
        <v>-3.372757766377132</v>
      </c>
      <c r="X383" s="6" t="n">
        <v>-0.3355595784343208</v>
      </c>
      <c r="Y383" s="6" t="n">
        <v>-1.384315211733387</v>
      </c>
      <c r="Z383" s="6" t="n">
        <v>-4.651580750740797</v>
      </c>
      <c r="AA383" s="6" t="n">
        <v>1.276071485395686</v>
      </c>
      <c r="AB383" s="6" t="n">
        <v>-2.616624349459421</v>
      </c>
      <c r="AC383" s="6" t="n">
        <v>-0.7636801843392527</v>
      </c>
      <c r="AD383" s="6" t="n">
        <v>4.028892441911035</v>
      </c>
      <c r="AE383" s="6" t="n">
        <v>1.834679182864825</v>
      </c>
      <c r="AF383" s="6" t="n">
        <v>-3.157623521065864</v>
      </c>
      <c r="AG383" s="6" t="n">
        <v>1.609550530668461</v>
      </c>
      <c r="AH383" s="6" t="n">
        <v>3.223970578752562</v>
      </c>
      <c r="AI383" s="6" t="n">
        <v>-1.083124145706094</v>
      </c>
      <c r="AJ383" s="6" t="n">
        <v>70.61462427353452</v>
      </c>
      <c r="AK383" s="6" t="n">
        <v>0.1004684686481326</v>
      </c>
      <c r="AL383" s="6" t="n">
        <v>1.105529460254241</v>
      </c>
      <c r="AN383" s="6" t="n">
        <v>1.319942990451024</v>
      </c>
      <c r="AO383" s="6" t="n">
        <v>1.320442806983274</v>
      </c>
      <c r="AP383" s="6" t="n">
        <v>0.1292899528333064</v>
      </c>
      <c r="AQ383" s="6" t="n">
        <v>0</v>
      </c>
      <c r="AR383" s="6" t="n">
        <v>0</v>
      </c>
    </row>
    <row r="384">
      <c r="D384" t="inlineStr">
        <is>
          <t>Run 72</t>
        </is>
      </c>
      <c r="J384" s="6" t="n">
        <v>0.482820240899965</v>
      </c>
      <c r="K384" s="6" t="n">
        <v>-0.2633381845269286</v>
      </c>
      <c r="L384" s="6" t="n">
        <v>3.742936783150913</v>
      </c>
      <c r="M384" s="6" t="n">
        <v>-2.464703740729289</v>
      </c>
      <c r="N384" s="6" t="n">
        <v>-0.5551369063249864</v>
      </c>
      <c r="O384" s="6" t="n">
        <v>-1.930271416770344</v>
      </c>
      <c r="P384" s="6" t="n">
        <v>0.8625162559102245</v>
      </c>
      <c r="Q384" s="6" t="n">
        <v>-1.437143488461496</v>
      </c>
      <c r="R384" s="6" t="n">
        <v>3.593957853881677</v>
      </c>
      <c r="S384" s="6" t="n">
        <v>1.857102116404215</v>
      </c>
      <c r="T384" s="6" t="n">
        <v>-2.557802724424378</v>
      </c>
      <c r="U384" s="6" t="n">
        <v>0.6037859395410154</v>
      </c>
      <c r="V384" s="6" t="n">
        <v>-0.7671734014073682</v>
      </c>
      <c r="W384" s="6" t="n">
        <v>-0.06327658575100421</v>
      </c>
      <c r="X384" s="6" t="n">
        <v>-1.859906811864041</v>
      </c>
      <c r="Y384" s="6" t="n">
        <v>-0.9110926059419941</v>
      </c>
      <c r="Z384" s="6" t="n">
        <v>0.3640989734793493</v>
      </c>
      <c r="AA384" s="6" t="n">
        <v>-0.6148591505115938</v>
      </c>
      <c r="AB384" s="6" t="n">
        <v>-2.334323333117308</v>
      </c>
      <c r="AC384" s="6" t="n">
        <v>1.483931227059591</v>
      </c>
      <c r="AD384" s="6" t="n">
        <v>1.664059745716084</v>
      </c>
      <c r="AE384" s="6" t="n">
        <v>2.687146910772698</v>
      </c>
      <c r="AF384" s="6" t="n">
        <v>4.616765762164953</v>
      </c>
      <c r="AG384" s="6" t="n">
        <v>-0.5537296255706124</v>
      </c>
      <c r="AH384" s="6" t="n">
        <v>-0.4454726737903181</v>
      </c>
      <c r="AI384" s="6" t="n">
        <v>2.660820454972334</v>
      </c>
      <c r="AJ384" s="6" t="n">
        <v>78.93341105964345</v>
      </c>
      <c r="AK384" s="6" t="n">
        <v>0.1242351852558161</v>
      </c>
      <c r="AL384" s="6" t="n">
        <v>1.061548234998604</v>
      </c>
      <c r="AN384" s="6" t="n">
        <v>1.323908846177177</v>
      </c>
      <c r="AO384" s="6" t="n">
        <v>1.331440656563505</v>
      </c>
      <c r="AP384" s="6" t="n">
        <v>0.1315221832544884</v>
      </c>
      <c r="AQ384" s="6" t="n">
        <v>0</v>
      </c>
      <c r="AR384" s="6" t="n">
        <v>0</v>
      </c>
    </row>
    <row r="385">
      <c r="D385" t="inlineStr">
        <is>
          <t>Run 73</t>
        </is>
      </c>
      <c r="J385" s="6" t="n">
        <v>-0.09036049085345203</v>
      </c>
      <c r="K385" s="6" t="n">
        <v>-0.8866822857739974</v>
      </c>
      <c r="L385" s="6" t="n">
        <v>0.4819535244493921</v>
      </c>
      <c r="M385" s="6" t="n">
        <v>2.806645748579561</v>
      </c>
      <c r="N385" s="6" t="n">
        <v>-0.9459358398008338</v>
      </c>
      <c r="O385" s="6" t="n">
        <v>2.491409564460729</v>
      </c>
      <c r="P385" s="6" t="n">
        <v>0.1359711491984911</v>
      </c>
      <c r="Q385" s="6" t="n">
        <v>-0.3276784517926413</v>
      </c>
      <c r="R385" s="6" t="n">
        <v>-1.81706773515254</v>
      </c>
      <c r="S385" s="6" t="n">
        <v>-1.797178499222893</v>
      </c>
      <c r="T385" s="6" t="n">
        <v>-0.9132596060008478</v>
      </c>
      <c r="U385" s="6" t="n">
        <v>0.7133227773785265</v>
      </c>
      <c r="V385" s="6" t="n">
        <v>-0.9161600118447067</v>
      </c>
      <c r="W385" s="6" t="n">
        <v>-0.6752023746923778</v>
      </c>
      <c r="X385" s="6" t="n">
        <v>-0.8614898983436244</v>
      </c>
      <c r="Y385" s="6" t="n">
        <v>1.906042183080025</v>
      </c>
      <c r="Z385" s="6" t="n">
        <v>0.03070387124367105</v>
      </c>
      <c r="AA385" s="6" t="n">
        <v>0.9707864723205782</v>
      </c>
      <c r="AB385" s="6" t="n">
        <v>-0.3560757888334288</v>
      </c>
      <c r="AC385" s="6" t="n">
        <v>0.6150421728372074</v>
      </c>
      <c r="AD385" s="6" t="n">
        <v>-1.819176884303744</v>
      </c>
      <c r="AE385" s="6" t="n">
        <v>1.090657526452352</v>
      </c>
      <c r="AF385" s="6" t="n">
        <v>-0.514462769055354</v>
      </c>
      <c r="AG385" s="6" t="n">
        <v>3.065861677717312</v>
      </c>
      <c r="AH385" s="6" t="n">
        <v>-3.226364198259025</v>
      </c>
      <c r="AI385" s="6" t="n">
        <v>1.240049820850066</v>
      </c>
      <c r="AJ385" s="6" t="n">
        <v>75.93395712930592</v>
      </c>
      <c r="AK385" s="6" t="n">
        <v>0.127160202328089</v>
      </c>
      <c r="AL385" s="6" t="n">
        <v>1.033554462216212</v>
      </c>
      <c r="AN385" s="6" t="n">
        <v>1.351699328047503</v>
      </c>
      <c r="AO385" s="6" t="n">
        <v>1.352507721735576</v>
      </c>
      <c r="AP385" s="6" t="n">
        <v>0.1342497356794779</v>
      </c>
      <c r="AQ385" s="6" t="n">
        <v>0</v>
      </c>
      <c r="AR385" s="6" t="n">
        <v>0</v>
      </c>
    </row>
    <row r="386">
      <c r="D386" t="inlineStr">
        <is>
          <t>Run 74</t>
        </is>
      </c>
      <c r="J386" s="6" t="n">
        <v>1.166935883072679</v>
      </c>
      <c r="K386" s="6" t="n">
        <v>2.214532878482891</v>
      </c>
      <c r="L386" s="6" t="n">
        <v>-2.72490820574154</v>
      </c>
      <c r="M386" s="6" t="n">
        <v>-3.294744168040338</v>
      </c>
      <c r="N386" s="6" t="n">
        <v>2.208608765079483</v>
      </c>
      <c r="O386" s="6" t="n">
        <v>1.440842435155477</v>
      </c>
      <c r="P386" s="6" t="n">
        <v>0.9339094566706044</v>
      </c>
      <c r="Q386" s="6" t="n">
        <v>-2.510630107123594</v>
      </c>
      <c r="R386" s="6" t="n">
        <v>-2.45816494069007</v>
      </c>
      <c r="S386" s="6" t="n">
        <v>0.5160997881804334</v>
      </c>
      <c r="T386" s="6" t="n">
        <v>0.4172120050632027</v>
      </c>
      <c r="U386" s="6" t="n">
        <v>2.303878599075319</v>
      </c>
      <c r="V386" s="6" t="n">
        <v>-0.683889171581722</v>
      </c>
      <c r="W386" s="6" t="n">
        <v>2.042853282794978</v>
      </c>
      <c r="X386" s="6" t="n">
        <v>0.7075368338869807</v>
      </c>
      <c r="Y386" s="6" t="n">
        <v>3.610156363846224</v>
      </c>
      <c r="Z386" s="6" t="n">
        <v>3.709147200285354</v>
      </c>
      <c r="AA386" s="6" t="n">
        <v>-2.26841316663349</v>
      </c>
      <c r="AB386" s="6" t="n">
        <v>3.256456563274926</v>
      </c>
      <c r="AC386" s="6" t="n">
        <v>0.7349314575344501</v>
      </c>
      <c r="AD386" s="6" t="n">
        <v>2.319162641125591</v>
      </c>
      <c r="AE386" s="6" t="n">
        <v>-1.480491908198129</v>
      </c>
      <c r="AF386" s="6" t="n">
        <v>-1.110139118095288</v>
      </c>
      <c r="AG386" s="6" t="n">
        <v>-0.9287472177787559</v>
      </c>
      <c r="AH386" s="6" t="n">
        <v>0.005668573865445613</v>
      </c>
      <c r="AI386" s="6" t="n">
        <v>4.002559853878401</v>
      </c>
      <c r="AJ386" s="6" t="n">
        <v>62.45349902787196</v>
      </c>
      <c r="AK386" s="6" t="n">
        <v>0.1672599066667333</v>
      </c>
      <c r="AL386" s="6" t="n">
        <v>1.039074335336549</v>
      </c>
      <c r="AN386" s="6" t="n">
        <v>1.308844615086833</v>
      </c>
      <c r="AO386" s="6" t="n">
        <v>1.321750685822431</v>
      </c>
      <c r="AP386" s="6" t="n">
        <v>0.130994902012107</v>
      </c>
      <c r="AQ386" s="6" t="n">
        <v>0</v>
      </c>
      <c r="AR386" s="6" t="n">
        <v>0</v>
      </c>
    </row>
    <row r="387">
      <c r="D387" t="inlineStr">
        <is>
          <t>Run 75</t>
        </is>
      </c>
      <c r="J387" s="6" t="n">
        <v>-4.44766798221792</v>
      </c>
      <c r="K387" s="6" t="n">
        <v>1.007084001294021</v>
      </c>
      <c r="L387" s="6" t="n">
        <v>-0.9443438001281957</v>
      </c>
      <c r="M387" s="6" t="n">
        <v>3.078907343648475</v>
      </c>
      <c r="N387" s="6" t="n">
        <v>0.2103666697464624</v>
      </c>
      <c r="O387" s="6" t="n">
        <v>-2.152524076013539</v>
      </c>
      <c r="P387" s="6" t="n">
        <v>-0.1459464254885754</v>
      </c>
      <c r="Q387" s="6" t="n">
        <v>-2.374559541880424</v>
      </c>
      <c r="R387" s="6" t="n">
        <v>-1.286670208028263</v>
      </c>
      <c r="S387" s="6" t="n">
        <v>-2.433804359899101</v>
      </c>
      <c r="T387" s="6" t="n">
        <v>-1.69500324909596</v>
      </c>
      <c r="U387" s="6" t="n">
        <v>-1.386662362695133</v>
      </c>
      <c r="V387" s="6" t="n">
        <v>1.997123166767312</v>
      </c>
      <c r="W387" s="6" t="n">
        <v>3.620850409810338</v>
      </c>
      <c r="X387" s="6" t="n">
        <v>-0.1019633040743919</v>
      </c>
      <c r="Y387" s="6" t="n">
        <v>-4.037016407184716</v>
      </c>
      <c r="Z387" s="6" t="n">
        <v>-1.760743846766893</v>
      </c>
      <c r="AA387" s="6" t="n">
        <v>1.153532773462653</v>
      </c>
      <c r="AB387" s="6" t="n">
        <v>1.45260720886776</v>
      </c>
      <c r="AC387" s="6" t="n">
        <v>-1.789012542652388</v>
      </c>
      <c r="AD387" s="6" t="n">
        <v>-1.727069872094694</v>
      </c>
      <c r="AE387" s="6" t="n">
        <v>-0.01410154061835536</v>
      </c>
      <c r="AF387" s="6" t="n">
        <v>2.928404058087104</v>
      </c>
      <c r="AG387" s="6" t="n">
        <v>-0.9644772028490165</v>
      </c>
      <c r="AH387" s="6" t="n">
        <v>1.439320142672751</v>
      </c>
      <c r="AI387" s="6" t="n">
        <v>3.04698474730312</v>
      </c>
      <c r="AJ387" s="6" t="n">
        <v>68.65432047042052</v>
      </c>
      <c r="AK387" s="6" t="n">
        <v>0.09990484759570264</v>
      </c>
      <c r="AL387" s="6" t="n">
        <v>1.034720530296761</v>
      </c>
      <c r="AN387" s="6" t="n">
        <v>1.343316132034998</v>
      </c>
      <c r="AO387" s="6" t="n">
        <v>1.343316132034998</v>
      </c>
      <c r="AP387" s="6" t="n">
        <v>0.1335798384527483</v>
      </c>
      <c r="AQ387" s="6" t="n">
        <v>0</v>
      </c>
      <c r="AR387" s="6" t="n">
        <v>0</v>
      </c>
    </row>
    <row r="388">
      <c r="D388" t="inlineStr">
        <is>
          <t>Run 76</t>
        </is>
      </c>
      <c r="J388" s="6" t="n">
        <v>-1.725993394462949</v>
      </c>
      <c r="K388" s="6" t="n">
        <v>-1.107597143650913</v>
      </c>
      <c r="L388" s="6" t="n">
        <v>-0.6261267963299668</v>
      </c>
      <c r="M388" s="6" t="n">
        <v>-0.3645082577397913</v>
      </c>
      <c r="N388" s="6" t="n">
        <v>-4.166986077830694</v>
      </c>
      <c r="O388" s="6" t="n">
        <v>-1.06716374917068</v>
      </c>
      <c r="P388" s="6" t="n">
        <v>-0.4090534331903278</v>
      </c>
      <c r="Q388" s="6" t="n">
        <v>-0.2432775124038185</v>
      </c>
      <c r="R388" s="6" t="n">
        <v>4.443032170091547</v>
      </c>
      <c r="S388" s="6" t="n">
        <v>-0.4092392728351826</v>
      </c>
      <c r="T388" s="6" t="n">
        <v>-0.4546674888544759</v>
      </c>
      <c r="U388" s="6" t="n">
        <v>-3.608982732938061</v>
      </c>
      <c r="V388" s="6" t="n">
        <v>1.08382677440085</v>
      </c>
      <c r="W388" s="6" t="n">
        <v>0.2013853147186999</v>
      </c>
      <c r="X388" s="6" t="n">
        <v>1.719284182781615</v>
      </c>
      <c r="Y388" s="6" t="n">
        <v>0.879219423969831</v>
      </c>
      <c r="Z388" s="6" t="n">
        <v>2.793159554762449</v>
      </c>
      <c r="AA388" s="6" t="n">
        <v>-0.7791642273757152</v>
      </c>
      <c r="AB388" s="6" t="n">
        <v>-1.006911331831573</v>
      </c>
      <c r="AC388" s="6" t="n">
        <v>-3.996107241752186</v>
      </c>
      <c r="AD388" s="6" t="n">
        <v>1.538143757753338</v>
      </c>
      <c r="AE388" s="6" t="n">
        <v>-3.712362850503836</v>
      </c>
      <c r="AF388" s="6" t="n">
        <v>-0.8850372395739758</v>
      </c>
      <c r="AG388" s="6" t="n">
        <v>-0.4189162765213353</v>
      </c>
      <c r="AH388" s="6" t="n">
        <v>0.2132766082853047</v>
      </c>
      <c r="AI388" s="6" t="n">
        <v>-1.293234098625899</v>
      </c>
      <c r="AJ388" s="6" t="n">
        <v>73.00099182722367</v>
      </c>
      <c r="AK388" s="6" t="n">
        <v>0.2170307163568939</v>
      </c>
      <c r="AL388" s="6" t="n">
        <v>1.011757967631823</v>
      </c>
      <c r="AN388" s="6" t="n">
        <v>1.356070190387924</v>
      </c>
      <c r="AO388" s="6" t="n">
        <v>1.356070190387924</v>
      </c>
      <c r="AP388" s="6" t="n">
        <v>0.1347011050033025</v>
      </c>
      <c r="AQ388" s="6" t="n">
        <v>0</v>
      </c>
      <c r="AR388" s="6" t="n">
        <v>0</v>
      </c>
    </row>
    <row r="389">
      <c r="D389" t="inlineStr">
        <is>
          <t>Run 77</t>
        </is>
      </c>
      <c r="J389" s="6" t="n">
        <v>-2.063402776923057</v>
      </c>
      <c r="K389" s="6" t="n">
        <v>-0.2264495914223931</v>
      </c>
      <c r="L389" s="6" t="n">
        <v>-0.8742821677377112</v>
      </c>
      <c r="M389" s="6" t="n">
        <v>1.04577919612225</v>
      </c>
      <c r="N389" s="6" t="n">
        <v>0.1997369686662851</v>
      </c>
      <c r="O389" s="6" t="n">
        <v>-0.07303160923855145</v>
      </c>
      <c r="P389" s="6" t="n">
        <v>2.329554947233865</v>
      </c>
      <c r="Q389" s="6" t="n">
        <v>-0.353055302791599</v>
      </c>
      <c r="R389" s="6" t="n">
        <v>-0.8686006115902314</v>
      </c>
      <c r="S389" s="6" t="n">
        <v>-0.7343518748204991</v>
      </c>
      <c r="T389" s="6" t="n">
        <v>0.3311581807654042</v>
      </c>
      <c r="U389" s="6" t="n">
        <v>0.06838183889306432</v>
      </c>
      <c r="V389" s="6" t="n">
        <v>-0.8416237652953676</v>
      </c>
      <c r="W389" s="6" t="n">
        <v>0.03246340293752314</v>
      </c>
      <c r="X389" s="6" t="n">
        <v>-1.581240345682585</v>
      </c>
      <c r="Y389" s="6" t="n">
        <v>-0.1748284777330571</v>
      </c>
      <c r="Z389" s="6" t="n">
        <v>-0.8164405806726769</v>
      </c>
      <c r="AA389" s="6" t="n">
        <v>-0.4010056699116403</v>
      </c>
      <c r="AB389" s="6" t="n">
        <v>1.600727920241435</v>
      </c>
      <c r="AC389" s="6" t="n">
        <v>-2.291921657149248</v>
      </c>
      <c r="AD389" s="6" t="n">
        <v>1.366240662817941</v>
      </c>
      <c r="AE389" s="6" t="n">
        <v>2.718240870657344</v>
      </c>
      <c r="AF389" s="6" t="n">
        <v>0.9423460665764944</v>
      </c>
      <c r="AG389" s="6" t="n">
        <v>1.906739444209641</v>
      </c>
      <c r="AH389" s="6" t="n">
        <v>3.487766947141373</v>
      </c>
      <c r="AI389" s="6" t="n">
        <v>-0.9257021615370445</v>
      </c>
      <c r="AJ389" s="6" t="n">
        <v>78.16418555244788</v>
      </c>
      <c r="AK389" s="6" t="n">
        <v>0.1135204294317842</v>
      </c>
      <c r="AL389" s="6" t="n">
        <v>0.9738963752743274</v>
      </c>
      <c r="AN389" s="6" t="n">
        <v>1.366972079014139</v>
      </c>
      <c r="AO389" s="6" t="n">
        <v>1.366972079014139</v>
      </c>
      <c r="AP389" s="6" t="n">
        <v>0.1457308415108168</v>
      </c>
      <c r="AQ389" s="6" t="n">
        <v>0</v>
      </c>
      <c r="AR389" s="6" t="n">
        <v>0</v>
      </c>
    </row>
    <row r="390">
      <c r="D390" t="inlineStr">
        <is>
          <t>Run 78</t>
        </is>
      </c>
      <c r="J390" s="6" t="n">
        <v>0.7575651009078542</v>
      </c>
      <c r="K390" s="6" t="n">
        <v>0.4797557001918318</v>
      </c>
      <c r="L390" s="6" t="n">
        <v>0.2824142169515098</v>
      </c>
      <c r="M390" s="6" t="n">
        <v>1.047958112050887</v>
      </c>
      <c r="N390" s="6" t="n">
        <v>2.371538509127549</v>
      </c>
      <c r="O390" s="6" t="n">
        <v>-1.411633775042811</v>
      </c>
      <c r="P390" s="6" t="n">
        <v>1.165631162971719</v>
      </c>
      <c r="Q390" s="6" t="n">
        <v>1.632803028293194</v>
      </c>
      <c r="R390" s="6" t="n">
        <v>-4.249526255697915</v>
      </c>
      <c r="S390" s="6" t="n">
        <v>-3.220593391350489</v>
      </c>
      <c r="T390" s="6" t="n">
        <v>1.294328102063186</v>
      </c>
      <c r="U390" s="6" t="n">
        <v>-3.716300304541946</v>
      </c>
      <c r="V390" s="6" t="n">
        <v>-0.2404059300690717</v>
      </c>
      <c r="W390" s="6" t="n">
        <v>1.438825682521082</v>
      </c>
      <c r="X390" s="6" t="n">
        <v>-1.354970182402703</v>
      </c>
      <c r="Y390" s="6" t="n">
        <v>4.032187953063207</v>
      </c>
      <c r="Z390" s="6" t="n">
        <v>2.247133940803878</v>
      </c>
      <c r="AA390" s="6" t="n">
        <v>3.041394662424716</v>
      </c>
      <c r="AB390" s="6" t="n">
        <v>-2.005381133376755</v>
      </c>
      <c r="AC390" s="6" t="n">
        <v>-0.07454501055874729</v>
      </c>
      <c r="AD390" s="6" t="n">
        <v>-3.184685218757743</v>
      </c>
      <c r="AE390" s="6" t="n">
        <v>-1.389942649017247</v>
      </c>
      <c r="AF390" s="6" t="n">
        <v>1.216769398095372</v>
      </c>
      <c r="AG390" s="6" t="n">
        <v>0.3056472110307341</v>
      </c>
      <c r="AH390" s="6" t="n">
        <v>1.530658508322182</v>
      </c>
      <c r="AI390" s="6" t="n">
        <v>2.03712386138966</v>
      </c>
      <c r="AJ390" s="6" t="n">
        <v>75.76398439231306</v>
      </c>
      <c r="AK390" s="6" t="n">
        <v>0.1811852025223162</v>
      </c>
      <c r="AL390" s="6" t="n">
        <v>1.037561833672529</v>
      </c>
      <c r="AN390" s="6" t="n">
        <v>1.347933884467285</v>
      </c>
      <c r="AO390" s="6" t="n">
        <v>1.348388419731927</v>
      </c>
      <c r="AP390" s="6" t="n">
        <v>0.1323345567698664</v>
      </c>
      <c r="AQ390" s="6" t="n">
        <v>0</v>
      </c>
      <c r="AR390" s="6" t="n">
        <v>0</v>
      </c>
    </row>
    <row r="391">
      <c r="D391" t="inlineStr">
        <is>
          <t>Run 79</t>
        </is>
      </c>
      <c r="J391" s="6" t="n">
        <v>0.7391363355679711</v>
      </c>
      <c r="K391" s="6" t="n">
        <v>-2.921070748916471</v>
      </c>
      <c r="L391" s="6" t="n">
        <v>-0.9336018007303535</v>
      </c>
      <c r="M391" s="6" t="n">
        <v>0.5499777343669076</v>
      </c>
      <c r="N391" s="6" t="n">
        <v>0.3667595348878827</v>
      </c>
      <c r="O391" s="6" t="n">
        <v>2.10169873908514</v>
      </c>
      <c r="P391" s="6" t="n">
        <v>-0.7223286424672285</v>
      </c>
      <c r="Q391" s="6" t="n">
        <v>1.427636732693387</v>
      </c>
      <c r="R391" s="6" t="n">
        <v>-2.282806677777987</v>
      </c>
      <c r="S391" s="6" t="n">
        <v>-0.5485694866264573</v>
      </c>
      <c r="T391" s="6" t="n">
        <v>2.845702071529721</v>
      </c>
      <c r="U391" s="6" t="n">
        <v>-3.046105091243549</v>
      </c>
      <c r="V391" s="6" t="n">
        <v>-0.7449037331641279</v>
      </c>
      <c r="W391" s="6" t="n">
        <v>2.310013167248243</v>
      </c>
      <c r="X391" s="6" t="n">
        <v>3.148593832101731</v>
      </c>
      <c r="Y391" s="6" t="n">
        <v>2.690082929363042</v>
      </c>
      <c r="Z391" s="6" t="n">
        <v>-1.018688706361862</v>
      </c>
      <c r="AA391" s="6" t="n">
        <v>-0.8377931119214694</v>
      </c>
      <c r="AB391" s="6" t="n">
        <v>1.257180030847753</v>
      </c>
      <c r="AC391" s="6" t="n">
        <v>0.8339170064757256</v>
      </c>
      <c r="AD391" s="6" t="n">
        <v>-1.567189575147514</v>
      </c>
      <c r="AE391" s="6" t="n">
        <v>-1.452656929772817</v>
      </c>
      <c r="AF391" s="6" t="n">
        <v>0.7170447431348621</v>
      </c>
      <c r="AG391" s="6" t="n">
        <v>-1.442967502774039</v>
      </c>
      <c r="AH391" s="6" t="n">
        <v>-3.401545187747623</v>
      </c>
      <c r="AI391" s="6" t="n">
        <v>-2.269869263014663</v>
      </c>
      <c r="AJ391" s="6" t="n">
        <v>60.38170285148142</v>
      </c>
      <c r="AK391" s="6" t="n">
        <v>0.1463108668794366</v>
      </c>
      <c r="AL391" s="6" t="n">
        <v>1.077904945388457</v>
      </c>
      <c r="AN391" s="6" t="n">
        <v>1.326743577997662</v>
      </c>
      <c r="AO391" s="6" t="n">
        <v>1.327164331879395</v>
      </c>
      <c r="AP391" s="6" t="n">
        <v>0.1293619973212152</v>
      </c>
      <c r="AQ391" s="6" t="n">
        <v>0</v>
      </c>
      <c r="AR391" s="6" t="n">
        <v>0</v>
      </c>
    </row>
    <row r="392">
      <c r="D392" t="inlineStr">
        <is>
          <t>Run 80</t>
        </is>
      </c>
      <c r="J392" s="6" t="n">
        <v>-2.147298509934788</v>
      </c>
      <c r="K392" s="6" t="n">
        <v>-0.5039900457889273</v>
      </c>
      <c r="L392" s="6" t="n">
        <v>-1.331871076148075</v>
      </c>
      <c r="M392" s="6" t="n">
        <v>-1.350331539908762</v>
      </c>
      <c r="N392" s="6" t="n">
        <v>-0.2661814239627873</v>
      </c>
      <c r="O392" s="6" t="n">
        <v>-4.161205343820326</v>
      </c>
      <c r="P392" s="6" t="n">
        <v>2.322676970650975</v>
      </c>
      <c r="Q392" s="6" t="n">
        <v>0.8227494684181114</v>
      </c>
      <c r="R392" s="6" t="n">
        <v>-1.310866159212593</v>
      </c>
      <c r="S392" s="6" t="n">
        <v>0.1042703609734172</v>
      </c>
      <c r="T392" s="6" t="n">
        <v>-1.695337243679663</v>
      </c>
      <c r="U392" s="6" t="n">
        <v>0.2898539060935989</v>
      </c>
      <c r="V392" s="6" t="n">
        <v>-0.4921372116321519</v>
      </c>
      <c r="W392" s="6" t="n">
        <v>0.9782868493315653</v>
      </c>
      <c r="X392" s="6" t="n">
        <v>1.026166879998302</v>
      </c>
      <c r="Y392" s="6" t="n">
        <v>0.4793815853175535</v>
      </c>
      <c r="Z392" s="6" t="n">
        <v>2.102958091619182</v>
      </c>
      <c r="AA392" s="6" t="n">
        <v>0.7870806577110653</v>
      </c>
      <c r="AB392" s="6" t="n">
        <v>-0.02591981452609267</v>
      </c>
      <c r="AC392" s="6" t="n">
        <v>3.071554537094394</v>
      </c>
      <c r="AD392" s="6" t="n">
        <v>-2.4515451506925</v>
      </c>
      <c r="AE392" s="6" t="n">
        <v>0.7945551576651831</v>
      </c>
      <c r="AF392" s="6" t="n">
        <v>-2.006283696532547</v>
      </c>
      <c r="AG392" s="6" t="n">
        <v>-3.130510867406797</v>
      </c>
      <c r="AH392" s="6" t="n">
        <v>-1.494154176641437</v>
      </c>
      <c r="AI392" s="6" t="n">
        <v>-1.623169275634236</v>
      </c>
      <c r="AJ392" s="6" t="n">
        <v>73.44132402708652</v>
      </c>
      <c r="AK392" s="6" t="n">
        <v>0.152453567247501</v>
      </c>
      <c r="AL392" s="6" t="n">
        <v>1.025509100485543</v>
      </c>
      <c r="AN392" s="6" t="n">
        <v>1.345533751295686</v>
      </c>
      <c r="AO392" s="6" t="n">
        <v>1.350520778106262</v>
      </c>
      <c r="AP392" s="6" t="n">
        <v>0.1343747143468647</v>
      </c>
      <c r="AQ392" s="6" t="n">
        <v>0</v>
      </c>
      <c r="AR392" s="6" t="n">
        <v>0</v>
      </c>
    </row>
    <row r="393">
      <c r="D393" t="inlineStr">
        <is>
          <t>Run 81</t>
        </is>
      </c>
      <c r="J393" s="6" t="n">
        <v>0.4440758703964551</v>
      </c>
      <c r="K393" s="6" t="n">
        <v>1.87852276123115</v>
      </c>
      <c r="L393" s="6" t="n">
        <v>1.889983222650271</v>
      </c>
      <c r="M393" s="6" t="n">
        <v>-3.348846655268386</v>
      </c>
      <c r="N393" s="6" t="n">
        <v>-1.599502548518882</v>
      </c>
      <c r="O393" s="6" t="n">
        <v>1.264707703073056</v>
      </c>
      <c r="P393" s="6" t="n">
        <v>0.676561187687526</v>
      </c>
      <c r="Q393" s="6" t="n">
        <v>1.553916671980752</v>
      </c>
      <c r="R393" s="6" t="n">
        <v>2.080539698960636</v>
      </c>
      <c r="S393" s="6" t="n">
        <v>4.195717961243426</v>
      </c>
      <c r="T393" s="6" t="n">
        <v>-1.746367882107703</v>
      </c>
      <c r="U393" s="6" t="n">
        <v>2.235132126767009</v>
      </c>
      <c r="V393" s="6" t="n">
        <v>-1.282194489669584</v>
      </c>
      <c r="W393" s="6" t="n">
        <v>-0.5453310597660085</v>
      </c>
      <c r="X393" s="6" t="n">
        <v>-0.2814652390509974</v>
      </c>
      <c r="Y393" s="6" t="n">
        <v>-0.9810209542829509</v>
      </c>
      <c r="Z393" s="6" t="n">
        <v>-1.373592926457242</v>
      </c>
      <c r="AA393" s="6" t="n">
        <v>-2.669836352131835</v>
      </c>
      <c r="AB393" s="6" t="n">
        <v>-0.2398771999369607</v>
      </c>
      <c r="AC393" s="6" t="n">
        <v>-4.494518580641587</v>
      </c>
      <c r="AD393" s="6" t="n">
        <v>0.5031733435237365</v>
      </c>
      <c r="AE393" s="6" t="n">
        <v>-0.08402838254097041</v>
      </c>
      <c r="AF393" s="6" t="n">
        <v>-1.763126738053512</v>
      </c>
      <c r="AG393" s="6" t="n">
        <v>2.325081693296253</v>
      </c>
      <c r="AH393" s="6" t="n">
        <v>-0.5934726712298798</v>
      </c>
      <c r="AI393" s="6" t="n">
        <v>1.270590632409829</v>
      </c>
      <c r="AJ393" s="6" t="n">
        <v>78.55187041877279</v>
      </c>
      <c r="AK393" s="6" t="n">
        <v>0.07565781850237779</v>
      </c>
      <c r="AL393" s="6" t="n">
        <v>1.063599191704356</v>
      </c>
      <c r="AN393" s="6" t="n">
        <v>1.313563405027816</v>
      </c>
      <c r="AO393" s="6" t="n">
        <v>1.319855471950238</v>
      </c>
      <c r="AP393" s="6" t="n">
        <v>0.1323888918140389</v>
      </c>
      <c r="AQ393" s="6" t="n">
        <v>0</v>
      </c>
      <c r="AR393" s="6" t="n">
        <v>0</v>
      </c>
    </row>
    <row r="394">
      <c r="D394" t="inlineStr">
        <is>
          <t>Run 82</t>
        </is>
      </c>
      <c r="J394" s="6" t="n">
        <v>-1.399570683997943</v>
      </c>
      <c r="K394" s="6" t="n">
        <v>0.09791745138191611</v>
      </c>
      <c r="L394" s="6" t="n">
        <v>2.70732010893579</v>
      </c>
      <c r="M394" s="6" t="n">
        <v>-1.529107948668317</v>
      </c>
      <c r="N394" s="6" t="n">
        <v>-1.126416571212964</v>
      </c>
      <c r="O394" s="6" t="n">
        <v>0.632726717012279</v>
      </c>
      <c r="P394" s="6" t="n">
        <v>1.11080041190119</v>
      </c>
      <c r="Q394" s="6" t="n">
        <v>0.3280811367822053</v>
      </c>
      <c r="R394" s="6" t="n">
        <v>-1.990521371109768</v>
      </c>
      <c r="S394" s="6" t="n">
        <v>1.540848437529966</v>
      </c>
      <c r="T394" s="6" t="n">
        <v>1.095068768152437</v>
      </c>
      <c r="U394" s="6" t="n">
        <v>3.448052198087443</v>
      </c>
      <c r="V394" s="6" t="n">
        <v>-0.194117101873889</v>
      </c>
      <c r="W394" s="6" t="n">
        <v>-4.194691453181004</v>
      </c>
      <c r="X394" s="6" t="n">
        <v>-1.759427214394599</v>
      </c>
      <c r="Y394" s="6" t="n">
        <v>0.271088022005448</v>
      </c>
      <c r="Z394" s="6" t="n">
        <v>-0.3998186037930601</v>
      </c>
      <c r="AA394" s="6" t="n">
        <v>-0.03663591385349872</v>
      </c>
      <c r="AB394" s="6" t="n">
        <v>0.01813585439751568</v>
      </c>
      <c r="AC394" s="6" t="n">
        <v>-2.061497257160193</v>
      </c>
      <c r="AD394" s="6" t="n">
        <v>0.5449455145531117</v>
      </c>
      <c r="AE394" s="6" t="n">
        <v>-0.4242111900167774</v>
      </c>
      <c r="AF394" s="6" t="n">
        <v>-1.451266563837628</v>
      </c>
      <c r="AG394" s="6" t="n">
        <v>-1.852440250381522</v>
      </c>
      <c r="AH394" s="6" t="n">
        <v>0.7905933474683491</v>
      </c>
      <c r="AI394" s="6" t="n">
        <v>1.205776254093859</v>
      </c>
      <c r="AJ394" s="6" t="n">
        <v>76.86459849778099</v>
      </c>
      <c r="AK394" s="6" t="n">
        <v>0.1200708811253139</v>
      </c>
      <c r="AL394" s="6" t="n">
        <v>1.028196420291827</v>
      </c>
      <c r="AN394" s="6" t="n">
        <v>1.347805145304259</v>
      </c>
      <c r="AO394" s="6" t="n">
        <v>1.352303303513569</v>
      </c>
      <c r="AP394" s="6" t="n">
        <v>0.1350049104020018</v>
      </c>
      <c r="AQ394" s="6" t="n">
        <v>0</v>
      </c>
      <c r="AR394" s="6" t="n">
        <v>0</v>
      </c>
    </row>
    <row r="395">
      <c r="D395" t="inlineStr">
        <is>
          <t>Run 83</t>
        </is>
      </c>
      <c r="J395" s="6" t="n">
        <v>-0.668577596093574</v>
      </c>
      <c r="K395" s="6" t="n">
        <v>0.7020377630227889</v>
      </c>
      <c r="L395" s="6" t="n">
        <v>2.197389369531618</v>
      </c>
      <c r="M395" s="6" t="n">
        <v>-0.4793328210186735</v>
      </c>
      <c r="N395" s="6" t="n">
        <v>-3.033027111472774</v>
      </c>
      <c r="O395" s="6" t="n">
        <v>1.838707957539266</v>
      </c>
      <c r="P395" s="6" t="n">
        <v>-2.221708219931247</v>
      </c>
      <c r="Q395" s="6" t="n">
        <v>-0.5184729293971518</v>
      </c>
      <c r="R395" s="6" t="n">
        <v>-0.9099419553359336</v>
      </c>
      <c r="S395" s="6" t="n">
        <v>-2.509149061233872</v>
      </c>
      <c r="T395" s="6" t="n">
        <v>-2.956386851666287</v>
      </c>
      <c r="U395" s="6" t="n">
        <v>0.587428893098547</v>
      </c>
      <c r="V395" s="6" t="n">
        <v>-0.0736723989628867</v>
      </c>
      <c r="W395" s="6" t="n">
        <v>1.230750489449161</v>
      </c>
      <c r="X395" s="6" t="n">
        <v>1.471041035752278</v>
      </c>
      <c r="Y395" s="6" t="n">
        <v>-1.138365369763587</v>
      </c>
      <c r="Z395" s="6" t="n">
        <v>1.048207231584696</v>
      </c>
      <c r="AA395" s="6" t="n">
        <v>-0.9525274602970105</v>
      </c>
      <c r="AB395" s="6" t="n">
        <v>-4.510664484121438</v>
      </c>
      <c r="AC395" s="6" t="n">
        <v>1.427300146664641</v>
      </c>
      <c r="AD395" s="6" t="n">
        <v>-3.630436320626319</v>
      </c>
      <c r="AE395" s="6" t="n">
        <v>-0.1607195899130776</v>
      </c>
      <c r="AF395" s="6" t="n">
        <v>-0.8648995285270893</v>
      </c>
      <c r="AG395" s="6" t="n">
        <v>-2.069244555783479</v>
      </c>
      <c r="AH395" s="6" t="n">
        <v>1.563566033182771</v>
      </c>
      <c r="AI395" s="6" t="n">
        <v>-4.089653146725054</v>
      </c>
      <c r="AJ395" s="6" t="n">
        <v>80.21402194133292</v>
      </c>
      <c r="AK395" s="6" t="n">
        <v>0.08485557054012108</v>
      </c>
      <c r="AL395" s="6" t="n">
        <v>0.9904799645563958</v>
      </c>
      <c r="AN395" s="6" t="n">
        <v>1.363537928066312</v>
      </c>
      <c r="AO395" s="6" t="n">
        <v>1.363537928066312</v>
      </c>
      <c r="AP395" s="6" t="n">
        <v>0.1425919744262435</v>
      </c>
      <c r="AQ395" s="6" t="n">
        <v>0</v>
      </c>
      <c r="AR395" s="6" t="n">
        <v>0</v>
      </c>
    </row>
    <row r="396">
      <c r="D396" t="inlineStr">
        <is>
          <t>Run 84</t>
        </is>
      </c>
      <c r="J396" s="6" t="n">
        <v>-2.566817256606182</v>
      </c>
      <c r="K396" s="6" t="n">
        <v>1.086606084779825</v>
      </c>
      <c r="L396" s="6" t="n">
        <v>-3.887186786662493</v>
      </c>
      <c r="M396" s="6" t="n">
        <v>-2.238719492357203</v>
      </c>
      <c r="N396" s="6" t="n">
        <v>-0.4144552233595603</v>
      </c>
      <c r="O396" s="6" t="n">
        <v>0.1168115953818571</v>
      </c>
      <c r="P396" s="6" t="n">
        <v>3.479723521360448</v>
      </c>
      <c r="Q396" s="6" t="n">
        <v>3.012217683898767</v>
      </c>
      <c r="R396" s="6" t="n">
        <v>-2.73328161985819</v>
      </c>
      <c r="S396" s="6" t="n">
        <v>-1.010672473066595</v>
      </c>
      <c r="T396" s="6" t="n">
        <v>3.114342155461766</v>
      </c>
      <c r="U396" s="6" t="n">
        <v>-1.348435477201388</v>
      </c>
      <c r="V396" s="6" t="n">
        <v>-3.938032611197282</v>
      </c>
      <c r="W396" s="6" t="n">
        <v>0.5691772244638938</v>
      </c>
      <c r="X396" s="6" t="n">
        <v>0.1954670509627421</v>
      </c>
      <c r="Y396" s="6" t="n">
        <v>0.5568476476076628</v>
      </c>
      <c r="Z396" s="6" t="n">
        <v>0.6829492905923157</v>
      </c>
      <c r="AA396" s="6" t="n">
        <v>-0.1811065537615303</v>
      </c>
      <c r="AB396" s="6" t="n">
        <v>-0.6899179316035983</v>
      </c>
      <c r="AC396" s="6" t="n">
        <v>-1.121101616053496</v>
      </c>
      <c r="AD396" s="6" t="n">
        <v>3.382581078650887</v>
      </c>
      <c r="AE396" s="6" t="n">
        <v>1.20313536120771</v>
      </c>
      <c r="AF396" s="6" t="n">
        <v>3.526087256673234</v>
      </c>
      <c r="AG396" s="6" t="n">
        <v>1.365808755858449</v>
      </c>
      <c r="AH396" s="6" t="n">
        <v>1.72350945104374</v>
      </c>
      <c r="AI396" s="6" t="n">
        <v>0.6662350559017075</v>
      </c>
      <c r="AJ396" s="6" t="n">
        <v>83.93719760786571</v>
      </c>
      <c r="AK396" s="6" t="n">
        <v>0.1676305061447841</v>
      </c>
      <c r="AL396" s="6" t="n">
        <v>1.013233593887447</v>
      </c>
      <c r="AN396" s="6" t="n">
        <v>1.340421212684096</v>
      </c>
      <c r="AO396" s="6" t="n">
        <v>1.349738183830975</v>
      </c>
      <c r="AP396" s="6" t="n">
        <v>0.1366407553313248</v>
      </c>
      <c r="AQ396" s="6" t="n">
        <v>0</v>
      </c>
      <c r="AR396" s="6" t="n">
        <v>0</v>
      </c>
    </row>
    <row r="397">
      <c r="D397" t="inlineStr">
        <is>
          <t>Run 85</t>
        </is>
      </c>
      <c r="J397" s="6" t="n">
        <v>1.840996666677792</v>
      </c>
      <c r="K397" s="6" t="n">
        <v>0.5596620660416809</v>
      </c>
      <c r="L397" s="6" t="n">
        <v>3.200404281742776</v>
      </c>
      <c r="M397" s="6" t="n">
        <v>-3.569334465228299</v>
      </c>
      <c r="N397" s="6" t="n">
        <v>1.471134454517374</v>
      </c>
      <c r="O397" s="6" t="n">
        <v>2.403762004625541</v>
      </c>
      <c r="P397" s="6" t="n">
        <v>-0.4752912882369403</v>
      </c>
      <c r="Q397" s="6" t="n">
        <v>1.405805771973734</v>
      </c>
      <c r="R397" s="6" t="n">
        <v>-1.006841128414464</v>
      </c>
      <c r="S397" s="6" t="n">
        <v>2.423621081898452</v>
      </c>
      <c r="T397" s="6" t="n">
        <v>0.9697632517129715</v>
      </c>
      <c r="U397" s="6" t="n">
        <v>-3.975302796132322</v>
      </c>
      <c r="V397" s="6" t="n">
        <v>1.599268182138474</v>
      </c>
      <c r="W397" s="6" t="n">
        <v>-0.5788489346616512</v>
      </c>
      <c r="X397" s="6" t="n">
        <v>2.215058319634812</v>
      </c>
      <c r="Y397" s="6" t="n">
        <v>-0.7614602769261176</v>
      </c>
      <c r="Z397" s="6" t="n">
        <v>2.515525513883788</v>
      </c>
      <c r="AA397" s="6" t="n">
        <v>-1.090709198198372</v>
      </c>
      <c r="AB397" s="6" t="n">
        <v>0.394267405321874</v>
      </c>
      <c r="AC397" s="6" t="n">
        <v>0.5954737831430575</v>
      </c>
      <c r="AD397" s="6" t="n">
        <v>0.8019053167656665</v>
      </c>
      <c r="AE397" s="6" t="n">
        <v>-1.189968473833474</v>
      </c>
      <c r="AF397" s="6" t="n">
        <v>0.336400887686307</v>
      </c>
      <c r="AG397" s="6" t="n">
        <v>0.9576990642695706</v>
      </c>
      <c r="AH397" s="6" t="n">
        <v>-0.1917086672174838</v>
      </c>
      <c r="AI397" s="6" t="n">
        <v>-0.06125628734662187</v>
      </c>
      <c r="AJ397" s="6" t="n">
        <v>68.71143674387858</v>
      </c>
      <c r="AK397" s="6" t="n">
        <v>0.1888427765129209</v>
      </c>
      <c r="AL397" s="6" t="n">
        <v>1.101414383219501</v>
      </c>
      <c r="AN397" s="6" t="n">
        <v>1.291312599474032</v>
      </c>
      <c r="AO397" s="6" t="n">
        <v>1.303043637336741</v>
      </c>
      <c r="AP397" s="6" t="n">
        <v>0.1268553366788022</v>
      </c>
      <c r="AQ397" s="6" t="n">
        <v>0</v>
      </c>
      <c r="AR397" s="6" t="n">
        <v>0</v>
      </c>
    </row>
    <row r="398">
      <c r="D398" t="inlineStr">
        <is>
          <t>Run 86</t>
        </is>
      </c>
      <c r="J398" s="6" t="n">
        <v>3.197849214640004</v>
      </c>
      <c r="K398" s="6" t="n">
        <v>-0.5823603173789955</v>
      </c>
      <c r="L398" s="6" t="n">
        <v>-2.108538016797494</v>
      </c>
      <c r="M398" s="6" t="n">
        <v>1.566690858679517</v>
      </c>
      <c r="N398" s="6" t="n">
        <v>-1.760432280531056</v>
      </c>
      <c r="O398" s="6" t="n">
        <v>-0.9571393809226576</v>
      </c>
      <c r="P398" s="6" t="n">
        <v>-1.218214146725075</v>
      </c>
      <c r="Q398" s="6" t="n">
        <v>-4.604501563795981</v>
      </c>
      <c r="R398" s="6" t="n">
        <v>-4.149846976876684</v>
      </c>
      <c r="S398" s="6" t="n">
        <v>-1.415916543995335</v>
      </c>
      <c r="T398" s="6" t="n">
        <v>-0.2412417356339639</v>
      </c>
      <c r="U398" s="6" t="n">
        <v>0.8732002567716399</v>
      </c>
      <c r="V398" s="6" t="n">
        <v>1.86078531701511</v>
      </c>
      <c r="W398" s="6" t="n">
        <v>-4.547431521803956</v>
      </c>
      <c r="X398" s="6" t="n">
        <v>1.674207465924037</v>
      </c>
      <c r="Y398" s="6" t="n">
        <v>-2.112003997589816</v>
      </c>
      <c r="Z398" s="6" t="n">
        <v>3.724083995455197</v>
      </c>
      <c r="AA398" s="6" t="n">
        <v>0.7768268349630749</v>
      </c>
      <c r="AB398" s="6" t="n">
        <v>2.747024469042599</v>
      </c>
      <c r="AC398" s="6" t="n">
        <v>-5.55459102691113</v>
      </c>
      <c r="AD398" s="6" t="n">
        <v>0.6605837938726079</v>
      </c>
      <c r="AE398" s="6" t="n">
        <v>-1.320594285722874</v>
      </c>
      <c r="AF398" s="6" t="n">
        <v>3.758393772425899</v>
      </c>
      <c r="AG398" s="6" t="n">
        <v>-0.469501632613162</v>
      </c>
      <c r="AH398" s="6" t="n">
        <v>-1.096357922547659</v>
      </c>
      <c r="AI398" s="6" t="n">
        <v>-0.4678153622428796</v>
      </c>
      <c r="AJ398" s="6" t="n">
        <v>79.34423511546319</v>
      </c>
      <c r="AK398" s="6" t="n">
        <v>0.1040837209669118</v>
      </c>
      <c r="AL398" s="6" t="n">
        <v>1.028036545959413</v>
      </c>
      <c r="AN398" s="6" t="n">
        <v>1.356110046590409</v>
      </c>
      <c r="AO398" s="6" t="n">
        <v>1.356709296144805</v>
      </c>
      <c r="AP398" s="6" t="n">
        <v>0.1350623208667474</v>
      </c>
      <c r="AQ398" s="6" t="n">
        <v>0</v>
      </c>
      <c r="AR398" s="6" t="n">
        <v>0</v>
      </c>
    </row>
    <row r="399">
      <c r="D399" t="inlineStr">
        <is>
          <t>Run 87</t>
        </is>
      </c>
      <c r="J399" s="6" t="n">
        <v>-1.160764699431228</v>
      </c>
      <c r="K399" s="6" t="n">
        <v>1.764894326215242</v>
      </c>
      <c r="L399" s="6" t="n">
        <v>0.1019058218944194</v>
      </c>
      <c r="M399" s="6" t="n">
        <v>-1.276158775712547</v>
      </c>
      <c r="N399" s="6" t="n">
        <v>0.1538640485870302</v>
      </c>
      <c r="O399" s="6" t="n">
        <v>-2.11056359484552</v>
      </c>
      <c r="P399" s="6" t="n">
        <v>-1.061127079898226</v>
      </c>
      <c r="Q399" s="6" t="n">
        <v>0.244148001913819</v>
      </c>
      <c r="R399" s="6" t="n">
        <v>-1.879981596251675</v>
      </c>
      <c r="S399" s="6" t="n">
        <v>1.138802214492872</v>
      </c>
      <c r="T399" s="6" t="n">
        <v>0.647845698808045</v>
      </c>
      <c r="U399" s="6" t="n">
        <v>-1.850261833692546</v>
      </c>
      <c r="V399" s="6" t="n">
        <v>-1.343880423645187</v>
      </c>
      <c r="W399" s="6" t="n">
        <v>-0.2808821054397641</v>
      </c>
      <c r="X399" s="6" t="n">
        <v>0.9597773937169</v>
      </c>
      <c r="Y399" s="6" t="n">
        <v>-2.975519287884405</v>
      </c>
      <c r="Z399" s="6" t="n">
        <v>2.010748783763337</v>
      </c>
      <c r="AA399" s="6" t="n">
        <v>-0.9161132376341409</v>
      </c>
      <c r="AB399" s="6" t="n">
        <v>1.803216669723155</v>
      </c>
      <c r="AC399" s="6" t="n">
        <v>-1.007716568326853</v>
      </c>
      <c r="AD399" s="6" t="n">
        <v>-1.187920281139949</v>
      </c>
      <c r="AE399" s="6" t="n">
        <v>1.331341970425212</v>
      </c>
      <c r="AF399" s="6" t="n">
        <v>-0.150126100577848</v>
      </c>
      <c r="AG399" s="6" t="n">
        <v>-2.559574817069711</v>
      </c>
      <c r="AH399" s="6" t="n">
        <v>1.098812925260622</v>
      </c>
      <c r="AI399" s="6" t="n">
        <v>-0.8617137289093821</v>
      </c>
      <c r="AJ399" s="6" t="n">
        <v>68.33752112030254</v>
      </c>
      <c r="AK399" s="6" t="n">
        <v>0.1743232017199121</v>
      </c>
      <c r="AL399" s="6" t="n">
        <v>1.002661338956666</v>
      </c>
      <c r="AN399" s="6" t="n">
        <v>1.352769882798817</v>
      </c>
      <c r="AO399" s="6" t="n">
        <v>1.353860253594563</v>
      </c>
      <c r="AP399" s="6" t="n">
        <v>0.1364584384580813</v>
      </c>
      <c r="AQ399" s="6" t="n">
        <v>0</v>
      </c>
      <c r="AR399" s="6" t="n">
        <v>0</v>
      </c>
    </row>
    <row r="400">
      <c r="D400" t="inlineStr">
        <is>
          <t>Run 88</t>
        </is>
      </c>
      <c r="J400" s="6" t="n">
        <v>-1.230089217120159</v>
      </c>
      <c r="K400" s="6" t="n">
        <v>-2.162430741015095</v>
      </c>
      <c r="L400" s="6" t="n">
        <v>-0.2767640051620108</v>
      </c>
      <c r="M400" s="6" t="n">
        <v>2.18220325951443</v>
      </c>
      <c r="N400" s="6" t="n">
        <v>-5.152617690290048</v>
      </c>
      <c r="O400" s="6" t="n">
        <v>-0.3920539822052036</v>
      </c>
      <c r="P400" s="6" t="n">
        <v>0.09453560509728208</v>
      </c>
      <c r="Q400" s="6" t="n">
        <v>1.403127042743068</v>
      </c>
      <c r="R400" s="6" t="n">
        <v>-0.8439127659702588</v>
      </c>
      <c r="S400" s="6" t="n">
        <v>1.495428341005964</v>
      </c>
      <c r="T400" s="6" t="n">
        <v>1.285596234896854</v>
      </c>
      <c r="U400" s="6" t="n">
        <v>-3.596342547194848</v>
      </c>
      <c r="V400" s="6" t="n">
        <v>-0.1123049803846565</v>
      </c>
      <c r="W400" s="6" t="n">
        <v>-0.2418038232944464</v>
      </c>
      <c r="X400" s="6" t="n">
        <v>-2.523201913469878</v>
      </c>
      <c r="Y400" s="6" t="n">
        <v>-0.8457174454475014</v>
      </c>
      <c r="Z400" s="6" t="n">
        <v>1.668401408010303</v>
      </c>
      <c r="AA400" s="6" t="n">
        <v>3.711073539886253</v>
      </c>
      <c r="AB400" s="6" t="n">
        <v>3.359989512443013</v>
      </c>
      <c r="AC400" s="6" t="n">
        <v>3.070860396669474</v>
      </c>
      <c r="AD400" s="6" t="n">
        <v>0.6223283323729424</v>
      </c>
      <c r="AE400" s="6" t="n">
        <v>-0.5186321279840134</v>
      </c>
      <c r="AF400" s="6" t="n">
        <v>-1.885763251649031</v>
      </c>
      <c r="AG400" s="6" t="n">
        <v>0.8417850092698621</v>
      </c>
      <c r="AH400" s="6" t="n">
        <v>0.7480887486901691</v>
      </c>
      <c r="AI400" s="6" t="n">
        <v>1.517993528266899</v>
      </c>
      <c r="AJ400" s="6" t="n">
        <v>81.7502819546753</v>
      </c>
      <c r="AK400" s="6" t="n">
        <v>0.1061613255005782</v>
      </c>
      <c r="AL400" s="6" t="n">
        <v>1.069578489768882</v>
      </c>
      <c r="AN400" s="6" t="n">
        <v>1.334430708925548</v>
      </c>
      <c r="AO400" s="6" t="n">
        <v>1.339340058275275</v>
      </c>
      <c r="AP400" s="6" t="n">
        <v>0.1317791457991355</v>
      </c>
      <c r="AQ400" s="6" t="n">
        <v>0</v>
      </c>
      <c r="AR400" s="6" t="n">
        <v>0</v>
      </c>
    </row>
    <row r="401">
      <c r="D401" t="inlineStr">
        <is>
          <t>Run 89</t>
        </is>
      </c>
      <c r="J401" s="6" t="n">
        <v>0.07295903160776619</v>
      </c>
      <c r="K401" s="6" t="n">
        <v>0.9355039314053599</v>
      </c>
      <c r="L401" s="6" t="n">
        <v>4.855556668676435</v>
      </c>
      <c r="M401" s="6" t="n">
        <v>-2.382647103844449</v>
      </c>
      <c r="N401" s="6" t="n">
        <v>-1.165860096804102</v>
      </c>
      <c r="O401" s="6" t="n">
        <v>0.9254983151604929</v>
      </c>
      <c r="P401" s="6" t="n">
        <v>0.7712802606084636</v>
      </c>
      <c r="Q401" s="6" t="n">
        <v>1.482477185573496</v>
      </c>
      <c r="R401" s="6" t="n">
        <v>-2.938366609996484</v>
      </c>
      <c r="S401" s="6" t="n">
        <v>1.142641240662075</v>
      </c>
      <c r="T401" s="6" t="n">
        <v>2.576687634341457</v>
      </c>
      <c r="U401" s="6" t="n">
        <v>0.6592576184345027</v>
      </c>
      <c r="V401" s="6" t="n">
        <v>0.6716289799331341</v>
      </c>
      <c r="W401" s="6" t="n">
        <v>-1.644130993773884</v>
      </c>
      <c r="X401" s="6" t="n">
        <v>-0.2741823370477389</v>
      </c>
      <c r="Y401" s="6" t="n">
        <v>0.1424659227491583</v>
      </c>
      <c r="Z401" s="6" t="n">
        <v>0.3799293311086071</v>
      </c>
      <c r="AA401" s="6" t="n">
        <v>-0.08562408765071977</v>
      </c>
      <c r="AB401" s="6" t="n">
        <v>-3.428119008408243</v>
      </c>
      <c r="AC401" s="6" t="n">
        <v>1.264089925880046</v>
      </c>
      <c r="AD401" s="6" t="n">
        <v>2.953266646826386</v>
      </c>
      <c r="AE401" s="6" t="n">
        <v>-0.04409461385094827</v>
      </c>
      <c r="AF401" s="6" t="n">
        <v>0.3434650104668459</v>
      </c>
      <c r="AG401" s="6" t="n">
        <v>2.258469574026738</v>
      </c>
      <c r="AH401" s="6" t="n">
        <v>-0.5721367664777385</v>
      </c>
      <c r="AI401" s="6" t="n">
        <v>-1.74418375402984</v>
      </c>
      <c r="AJ401" s="6" t="n">
        <v>75.06637621124099</v>
      </c>
      <c r="AK401" s="6" t="n">
        <v>0.09625531044761683</v>
      </c>
      <c r="AL401" s="6" t="n">
        <v>1.104295396270028</v>
      </c>
      <c r="AN401" s="6" t="n">
        <v>1.315028767350888</v>
      </c>
      <c r="AO401" s="6" t="n">
        <v>1.32099431426927</v>
      </c>
      <c r="AP401" s="6" t="n">
        <v>0.1296300207566389</v>
      </c>
      <c r="AQ401" s="6" t="n">
        <v>0</v>
      </c>
      <c r="AR401" s="6" t="n">
        <v>0</v>
      </c>
    </row>
    <row r="402">
      <c r="D402" t="inlineStr">
        <is>
          <t>Run 90</t>
        </is>
      </c>
      <c r="J402" s="6" t="n">
        <v>-1.713568489137919</v>
      </c>
      <c r="K402" s="6" t="n">
        <v>0.1234386809243279</v>
      </c>
      <c r="L402" s="6" t="n">
        <v>1.089195286128124</v>
      </c>
      <c r="M402" s="6" t="n">
        <v>-2.541633061815154</v>
      </c>
      <c r="N402" s="6" t="n">
        <v>0.8599095071497381</v>
      </c>
      <c r="O402" s="6" t="n">
        <v>-1.534447694919781</v>
      </c>
      <c r="P402" s="6" t="n">
        <v>0.5914826883028794</v>
      </c>
      <c r="Q402" s="6" t="n">
        <v>0.1956142345589558</v>
      </c>
      <c r="R402" s="6" t="n">
        <v>-2.303814522872341</v>
      </c>
      <c r="S402" s="6" t="n">
        <v>1.254779706986263</v>
      </c>
      <c r="T402" s="6" t="n">
        <v>-0.4525505024420263</v>
      </c>
      <c r="U402" s="6" t="n">
        <v>-0.0707348477594231</v>
      </c>
      <c r="V402" s="6" t="n">
        <v>0.6111422487242631</v>
      </c>
      <c r="W402" s="6" t="n">
        <v>1.801678063543702</v>
      </c>
      <c r="X402" s="6" t="n">
        <v>-2.951510765020543</v>
      </c>
      <c r="Y402" s="6" t="n">
        <v>-3.14557653906651</v>
      </c>
      <c r="Z402" s="6" t="n">
        <v>0.6880241819907997</v>
      </c>
      <c r="AA402" s="6" t="n">
        <v>1.482278934107479</v>
      </c>
      <c r="AB402" s="6" t="n">
        <v>-2.538823044586554</v>
      </c>
      <c r="AC402" s="6" t="n">
        <v>0.6624173988150018</v>
      </c>
      <c r="AD402" s="6" t="n">
        <v>-1.583761028451739</v>
      </c>
      <c r="AE402" s="6" t="n">
        <v>-1.636447863482591</v>
      </c>
      <c r="AF402" s="6" t="n">
        <v>-0.7880944547100538</v>
      </c>
      <c r="AG402" s="6" t="n">
        <v>-1.901855367307294</v>
      </c>
      <c r="AH402" s="6" t="n">
        <v>1.404626991112168</v>
      </c>
      <c r="AI402" s="6" t="n">
        <v>-0.7451366253056101</v>
      </c>
      <c r="AJ402" s="6" t="n">
        <v>66.75735910724705</v>
      </c>
      <c r="AK402" s="6" t="n">
        <v>0.1892416392454958</v>
      </c>
      <c r="AL402" s="6" t="n">
        <v>1.039310458036495</v>
      </c>
      <c r="AN402" s="6" t="n">
        <v>1.320690920072918</v>
      </c>
      <c r="AO402" s="6" t="n">
        <v>1.329505547892359</v>
      </c>
      <c r="AP402" s="6" t="n">
        <v>0.1311944661132075</v>
      </c>
      <c r="AQ402" s="6" t="n">
        <v>0</v>
      </c>
      <c r="AR402" s="6" t="n">
        <v>0</v>
      </c>
    </row>
    <row r="403">
      <c r="D403" t="inlineStr">
        <is>
          <t>Run 91</t>
        </is>
      </c>
      <c r="J403" s="6" t="n">
        <v>2.910093808769237</v>
      </c>
      <c r="K403" s="6" t="n">
        <v>5</v>
      </c>
      <c r="L403" s="6" t="n">
        <v>-2.977319906234547</v>
      </c>
      <c r="M403" s="6" t="n">
        <v>-1.491028237475708</v>
      </c>
      <c r="N403" s="6" t="n">
        <v>-1.86768147156086</v>
      </c>
      <c r="O403" s="6" t="n">
        <v>1.224726587424148</v>
      </c>
      <c r="P403" s="6" t="n">
        <v>-1.038032489916475</v>
      </c>
      <c r="Q403" s="6" t="n">
        <v>1.0987525881613</v>
      </c>
      <c r="R403" s="6" t="n">
        <v>4.687868593742386</v>
      </c>
      <c r="S403" s="6" t="n">
        <v>-0.2831211085919552</v>
      </c>
      <c r="T403" s="6" t="n">
        <v>2.693084004351926</v>
      </c>
      <c r="U403" s="6" t="n">
        <v>0.3419020690301953</v>
      </c>
      <c r="V403" s="6" t="n">
        <v>1.719213003509025</v>
      </c>
      <c r="W403" s="6" t="n">
        <v>1.285889719838193</v>
      </c>
      <c r="X403" s="6" t="n">
        <v>-0.2058987373517992</v>
      </c>
      <c r="Y403" s="6" t="n">
        <v>2.444111324664461</v>
      </c>
      <c r="Z403" s="6" t="n">
        <v>0.7043275132022322</v>
      </c>
      <c r="AA403" s="6" t="n">
        <v>1.481140390850586</v>
      </c>
      <c r="AB403" s="6" t="n">
        <v>0.1317656337040317</v>
      </c>
      <c r="AC403" s="6" t="n">
        <v>0.02354586246292645</v>
      </c>
      <c r="AD403" s="6" t="n">
        <v>-1.398626526900707</v>
      </c>
      <c r="AE403" s="6" t="n">
        <v>0.9616311282257141</v>
      </c>
      <c r="AF403" s="6" t="n">
        <v>0.9377686760677211</v>
      </c>
      <c r="AG403" s="6" t="n">
        <v>0.1549981932552158</v>
      </c>
      <c r="AH403" s="6" t="n">
        <v>0.7411185206115988</v>
      </c>
      <c r="AI403" s="6" t="n">
        <v>2.516590809267639</v>
      </c>
      <c r="AJ403" s="6" t="n">
        <v>66.69425701755938</v>
      </c>
      <c r="AK403" s="6" t="n">
        <v>0.1132742187347699</v>
      </c>
      <c r="AL403" s="6" t="n">
        <v>1.053601986119789</v>
      </c>
      <c r="AN403" s="6" t="n">
        <v>1.336025460582821</v>
      </c>
      <c r="AO403" s="6" t="n">
        <v>1.340188486107255</v>
      </c>
      <c r="AP403" s="6" t="n">
        <v>0.1320186532245602</v>
      </c>
      <c r="AQ403" s="6" t="n">
        <v>0</v>
      </c>
      <c r="AR403" s="6" t="n">
        <v>0</v>
      </c>
    </row>
    <row r="404">
      <c r="D404" t="inlineStr">
        <is>
          <t>Run 92</t>
        </is>
      </c>
      <c r="J404" s="6" t="n">
        <v>0.4828305581039773</v>
      </c>
      <c r="K404" s="6" t="n">
        <v>-0.08756369415870456</v>
      </c>
      <c r="L404" s="6" t="n">
        <v>1.125982549708857</v>
      </c>
      <c r="M404" s="6" t="n">
        <v>0.9350963058220081</v>
      </c>
      <c r="N404" s="6" t="n">
        <v>-0.6822458600099173</v>
      </c>
      <c r="O404" s="6" t="n">
        <v>0.5484320588862932</v>
      </c>
      <c r="P404" s="6" t="n">
        <v>-0.0940678985528461</v>
      </c>
      <c r="Q404" s="6" t="n">
        <v>3.282549387626883</v>
      </c>
      <c r="R404" s="6" t="n">
        <v>-1.952613607207843</v>
      </c>
      <c r="S404" s="6" t="n">
        <v>-2.900995629804006</v>
      </c>
      <c r="T404" s="6" t="n">
        <v>-0.9385631561088201</v>
      </c>
      <c r="U404" s="6" t="n">
        <v>0.7832514313702514</v>
      </c>
      <c r="V404" s="6" t="n">
        <v>0.7843638255310489</v>
      </c>
      <c r="W404" s="6" t="n">
        <v>1.39982795319053</v>
      </c>
      <c r="X404" s="6" t="n">
        <v>-0.1437723309846344</v>
      </c>
      <c r="Y404" s="6" t="n">
        <v>0.5837164886016399</v>
      </c>
      <c r="Z404" s="6" t="n">
        <v>1.11684130037338</v>
      </c>
      <c r="AA404" s="6" t="n">
        <v>-1.580564814990188</v>
      </c>
      <c r="AB404" s="6" t="n">
        <v>-1.299975464048916</v>
      </c>
      <c r="AC404" s="6" t="n">
        <v>1.188686701850855</v>
      </c>
      <c r="AD404" s="6" t="n">
        <v>-2.169031543539438</v>
      </c>
      <c r="AE404" s="6" t="n">
        <v>-0.6753146262358261</v>
      </c>
      <c r="AF404" s="6" t="n">
        <v>0.09192940675974766</v>
      </c>
      <c r="AG404" s="6" t="n">
        <v>-0.6333154328314921</v>
      </c>
      <c r="AH404" s="6" t="n">
        <v>-0.5563472366318056</v>
      </c>
      <c r="AI404" s="6" t="n">
        <v>-1.254195079459458</v>
      </c>
      <c r="AJ404" s="6" t="n">
        <v>63.69520578094388</v>
      </c>
      <c r="AK404" s="6" t="n">
        <v>0.1544313188841892</v>
      </c>
      <c r="AL404" s="6" t="n">
        <v>1.051683500857116</v>
      </c>
      <c r="AN404" s="6" t="n">
        <v>1.339510150705941</v>
      </c>
      <c r="AO404" s="6" t="n">
        <v>1.339527819780736</v>
      </c>
      <c r="AP404" s="6" t="n">
        <v>0.1310830481849594</v>
      </c>
      <c r="AQ404" s="6" t="n">
        <v>0</v>
      </c>
      <c r="AR404" s="6" t="n">
        <v>0</v>
      </c>
    </row>
    <row r="405">
      <c r="D405" t="inlineStr">
        <is>
          <t>Run 93</t>
        </is>
      </c>
      <c r="J405" s="6" t="n">
        <v>1.294886770310854</v>
      </c>
      <c r="K405" s="6" t="n">
        <v>-1.585395668402773</v>
      </c>
      <c r="L405" s="6" t="n">
        <v>1.302572562856363</v>
      </c>
      <c r="M405" s="6" t="n">
        <v>-0.09812249770012513</v>
      </c>
      <c r="N405" s="6" t="n">
        <v>0.5239732618157501</v>
      </c>
      <c r="O405" s="6" t="n">
        <v>2.856075393069999</v>
      </c>
      <c r="P405" s="6" t="n">
        <v>1.338219238726767</v>
      </c>
      <c r="Q405" s="6" t="n">
        <v>2.874654430543016</v>
      </c>
      <c r="R405" s="6" t="n">
        <v>-2.008187904955063</v>
      </c>
      <c r="S405" s="6" t="n">
        <v>-0.04911980848720689</v>
      </c>
      <c r="T405" s="6" t="n">
        <v>-0.2019629789618175</v>
      </c>
      <c r="U405" s="6" t="n">
        <v>0.030330920616268</v>
      </c>
      <c r="V405" s="6" t="n">
        <v>3.407218999530628</v>
      </c>
      <c r="W405" s="6" t="n">
        <v>-2.755822732658904</v>
      </c>
      <c r="X405" s="6" t="n">
        <v>3.426117018033443</v>
      </c>
      <c r="Y405" s="6" t="n">
        <v>1.352469068859275</v>
      </c>
      <c r="Z405" s="6" t="n">
        <v>0.4695261955554634</v>
      </c>
      <c r="AA405" s="6" t="n">
        <v>0.575435103051428</v>
      </c>
      <c r="AB405" s="6" t="n">
        <v>2.283624608931249</v>
      </c>
      <c r="AC405" s="6" t="n">
        <v>-1.378887026293693</v>
      </c>
      <c r="AD405" s="6" t="n">
        <v>-0.5998362535256422</v>
      </c>
      <c r="AE405" s="6" t="n">
        <v>1.029925506439069</v>
      </c>
      <c r="AF405" s="6" t="n">
        <v>1.611035508538459</v>
      </c>
      <c r="AG405" s="6" t="n">
        <v>2.995862003467882</v>
      </c>
      <c r="AH405" s="6" t="n">
        <v>-3.475800325972239</v>
      </c>
      <c r="AI405" s="6" t="n">
        <v>-3.797826587989127</v>
      </c>
      <c r="AJ405" s="6" t="n">
        <v>74.94892321993433</v>
      </c>
      <c r="AK405" s="6" t="n">
        <v>0.1139718272093684</v>
      </c>
      <c r="AL405" s="6" t="n">
        <v>0.9666679887852889</v>
      </c>
      <c r="AN405" s="6" t="n">
        <v>1.362822396479799</v>
      </c>
      <c r="AO405" s="6" t="n">
        <v>1.362822396479799</v>
      </c>
      <c r="AP405" s="6" t="n">
        <v>0.1472365406704708</v>
      </c>
      <c r="AQ405" s="6" t="n">
        <v>0</v>
      </c>
      <c r="AR405" s="6" t="n">
        <v>0</v>
      </c>
    </row>
    <row r="406">
      <c r="D406" t="inlineStr">
        <is>
          <t>Run 94</t>
        </is>
      </c>
      <c r="J406" s="6" t="n">
        <v>-3.545498182978467</v>
      </c>
      <c r="K406" s="6" t="n">
        <v>-2.010095727324051</v>
      </c>
      <c r="L406" s="6" t="n">
        <v>-0.9107521609636003</v>
      </c>
      <c r="M406" s="6" t="n">
        <v>0.6520586863267038</v>
      </c>
      <c r="N406" s="6" t="n">
        <v>-0.2348946913070126</v>
      </c>
      <c r="O406" s="6" t="n">
        <v>-1.037487957773801</v>
      </c>
      <c r="P406" s="6" t="n">
        <v>0.6280062822454429</v>
      </c>
      <c r="Q406" s="6" t="n">
        <v>-0.7417107923962195</v>
      </c>
      <c r="R406" s="6" t="n">
        <v>2.470468031379934</v>
      </c>
      <c r="S406" s="6" t="n">
        <v>-1.176400774482385</v>
      </c>
      <c r="T406" s="6" t="n">
        <v>3.127506142813314</v>
      </c>
      <c r="U406" s="6" t="n">
        <v>-3.745843848085851</v>
      </c>
      <c r="V406" s="6" t="n">
        <v>1.714619210917806</v>
      </c>
      <c r="W406" s="6" t="n">
        <v>0.7657829595370934</v>
      </c>
      <c r="X406" s="6" t="n">
        <v>-3.077140206393195</v>
      </c>
      <c r="Y406" s="6" t="n">
        <v>0.1165502283793972</v>
      </c>
      <c r="Z406" s="6" t="n">
        <v>-0.3315460760712176</v>
      </c>
      <c r="AA406" s="6" t="n">
        <v>-3.606123421500859</v>
      </c>
      <c r="AB406" s="6" t="n">
        <v>2.40900843797621</v>
      </c>
      <c r="AC406" s="6" t="n">
        <v>1.074978152492055</v>
      </c>
      <c r="AD406" s="6" t="n">
        <v>0.9965793424729757</v>
      </c>
      <c r="AE406" s="6" t="n">
        <v>-1.181312393653925</v>
      </c>
      <c r="AF406" s="6" t="n">
        <v>-3.054342104033508</v>
      </c>
      <c r="AG406" s="6" t="n">
        <v>2.318341382052491</v>
      </c>
      <c r="AH406" s="6" t="n">
        <v>-1.401151915411138</v>
      </c>
      <c r="AI406" s="6" t="n">
        <v>1.19920498253825</v>
      </c>
      <c r="AJ406" s="6" t="n">
        <v>69.65880413586569</v>
      </c>
      <c r="AK406" s="6" t="n">
        <v>0.11357959639599</v>
      </c>
      <c r="AL406" s="6" t="n">
        <v>1.045935664917531</v>
      </c>
      <c r="AN406" s="6" t="n">
        <v>1.348280543684822</v>
      </c>
      <c r="AO406" s="6" t="n">
        <v>1.348622460031624</v>
      </c>
      <c r="AP406" s="6" t="n">
        <v>0.1328426857389527</v>
      </c>
      <c r="AQ406" s="6" t="n">
        <v>0</v>
      </c>
      <c r="AR406" s="6" t="n">
        <v>0</v>
      </c>
    </row>
    <row r="407">
      <c r="D407" t="inlineStr">
        <is>
          <t>Run 95</t>
        </is>
      </c>
      <c r="J407" s="6" t="n">
        <v>-2.909756445875213</v>
      </c>
      <c r="K407" s="6" t="n">
        <v>-0.532311940042195</v>
      </c>
      <c r="L407" s="6" t="n">
        <v>3.41679455440057</v>
      </c>
      <c r="M407" s="6" t="n">
        <v>1.537731763787353</v>
      </c>
      <c r="N407" s="6" t="n">
        <v>-1.76289596238712</v>
      </c>
      <c r="O407" s="6" t="n">
        <v>-3.251718316592686</v>
      </c>
      <c r="P407" s="6" t="n">
        <v>0.3279664212019049</v>
      </c>
      <c r="Q407" s="6" t="n">
        <v>-0.8522993937110972</v>
      </c>
      <c r="R407" s="6" t="n">
        <v>-3.408248693588305</v>
      </c>
      <c r="S407" s="6" t="n">
        <v>0.9613509346789171</v>
      </c>
      <c r="T407" s="6" t="n">
        <v>2.044989759662823</v>
      </c>
      <c r="U407" s="6" t="n">
        <v>-2.749200602769041</v>
      </c>
      <c r="V407" s="6" t="n">
        <v>-2.853919418983385</v>
      </c>
      <c r="W407" s="6" t="n">
        <v>-0.3512992017083639</v>
      </c>
      <c r="X407" s="6" t="n">
        <v>-0.951155136123381</v>
      </c>
      <c r="Y407" s="6" t="n">
        <v>0.6655364646088854</v>
      </c>
      <c r="Z407" s="6" t="n">
        <v>-0.7023297016864762</v>
      </c>
      <c r="AA407" s="6" t="n">
        <v>0.3775565905198023</v>
      </c>
      <c r="AB407" s="6" t="n">
        <v>-0.4678475601002284</v>
      </c>
      <c r="AC407" s="6" t="n">
        <v>-0.7198415046289612</v>
      </c>
      <c r="AD407" s="6" t="n">
        <v>0.9111038963620728</v>
      </c>
      <c r="AE407" s="6" t="n">
        <v>-0.5595494935552076</v>
      </c>
      <c r="AF407" s="6" t="n">
        <v>3.095988704205363</v>
      </c>
      <c r="AG407" s="6" t="n">
        <v>-1.727489498697544</v>
      </c>
      <c r="AH407" s="6" t="n">
        <v>2.696879039928044</v>
      </c>
      <c r="AI407" s="6" t="n">
        <v>2.908788797144165</v>
      </c>
      <c r="AJ407" s="6" t="n">
        <v>74.86741505712712</v>
      </c>
      <c r="AK407" s="6" t="n">
        <v>0.08539686010058611</v>
      </c>
      <c r="AL407" s="6" t="n">
        <v>1.053383015894256</v>
      </c>
      <c r="AN407" s="6" t="n">
        <v>1.349075497435346</v>
      </c>
      <c r="AO407" s="6" t="n">
        <v>1.349359274738302</v>
      </c>
      <c r="AP407" s="6" t="n">
        <v>0.1331253857687537</v>
      </c>
      <c r="AQ407" s="6" t="n">
        <v>0</v>
      </c>
      <c r="AR407" s="6" t="n">
        <v>0</v>
      </c>
    </row>
    <row r="408">
      <c r="D408" t="inlineStr">
        <is>
          <t>Run 96</t>
        </is>
      </c>
      <c r="J408" s="6" t="n">
        <v>1.424606124718799</v>
      </c>
      <c r="K408" s="6" t="n">
        <v>0.5012266649433922</v>
      </c>
      <c r="L408" s="6" t="n">
        <v>2.489773162067566</v>
      </c>
      <c r="M408" s="6" t="n">
        <v>0.7978808092000589</v>
      </c>
      <c r="N408" s="6" t="n">
        <v>-1.585168716616338</v>
      </c>
      <c r="O408" s="6" t="n">
        <v>-0.5200982499447921</v>
      </c>
      <c r="P408" s="6" t="n">
        <v>-0.9611444920151041</v>
      </c>
      <c r="Q408" s="6" t="n">
        <v>-0.428702918861385</v>
      </c>
      <c r="R408" s="6" t="n">
        <v>1.041321433195936</v>
      </c>
      <c r="S408" s="6" t="n">
        <v>-2.557159574630525</v>
      </c>
      <c r="T408" s="6" t="n">
        <v>-0.6509551147072992</v>
      </c>
      <c r="U408" s="6" t="n">
        <v>-1.785142148405692</v>
      </c>
      <c r="V408" s="6" t="n">
        <v>-2.765064560743027</v>
      </c>
      <c r="W408" s="6" t="n">
        <v>0.08586996851726737</v>
      </c>
      <c r="X408" s="6" t="n">
        <v>1.933045065118211</v>
      </c>
      <c r="Y408" s="6" t="n">
        <v>-1.531009042420208</v>
      </c>
      <c r="Z408" s="6" t="n">
        <v>-0.1936690733756332</v>
      </c>
      <c r="AA408" s="6" t="n">
        <v>0.7444374924852069</v>
      </c>
      <c r="AB408" s="6" t="n">
        <v>0.1375729963144647</v>
      </c>
      <c r="AC408" s="6" t="n">
        <v>-2.954943965907553</v>
      </c>
      <c r="AD408" s="6" t="n">
        <v>1.488035023466388</v>
      </c>
      <c r="AE408" s="6" t="n">
        <v>-0.4437296007333533</v>
      </c>
      <c r="AF408" s="6" t="n">
        <v>4.198822518143439</v>
      </c>
      <c r="AG408" s="6" t="n">
        <v>1.052043308027154</v>
      </c>
      <c r="AH408" s="6" t="n">
        <v>-2.562649760776075</v>
      </c>
      <c r="AI408" s="6" t="n">
        <v>-0.1081330961155809</v>
      </c>
      <c r="AJ408" s="6" t="n">
        <v>71.60219835743307</v>
      </c>
      <c r="AK408" s="6" t="n">
        <v>0.1310476172034045</v>
      </c>
      <c r="AL408" s="6" t="n">
        <v>1.014607692671533</v>
      </c>
      <c r="AN408" s="6" t="n">
        <v>1.351897915079683</v>
      </c>
      <c r="AO408" s="6" t="n">
        <v>1.351897915079683</v>
      </c>
      <c r="AP408" s="6" t="n">
        <v>0.1359694014614059</v>
      </c>
      <c r="AQ408" s="6" t="n">
        <v>0</v>
      </c>
      <c r="AR408" s="6" t="n">
        <v>0</v>
      </c>
    </row>
    <row r="409">
      <c r="D409" t="inlineStr">
        <is>
          <t>Run 97</t>
        </is>
      </c>
      <c r="J409" s="6" t="n">
        <v>2.221504830822634</v>
      </c>
      <c r="K409" s="6" t="n">
        <v>-3.558340483141528</v>
      </c>
      <c r="L409" s="6" t="n">
        <v>1.253720809340864</v>
      </c>
      <c r="M409" s="6" t="n">
        <v>0.5079658478693544</v>
      </c>
      <c r="N409" s="6" t="n">
        <v>-0.1820326422248653</v>
      </c>
      <c r="O409" s="6" t="n">
        <v>-2.517311000995786</v>
      </c>
      <c r="P409" s="6" t="n">
        <v>1.223165631538109</v>
      </c>
      <c r="Q409" s="6" t="n">
        <v>-0.2388778650883046</v>
      </c>
      <c r="R409" s="6" t="n">
        <v>1.677889078881235</v>
      </c>
      <c r="S409" s="6" t="n">
        <v>2.001557625797238</v>
      </c>
      <c r="T409" s="6" t="n">
        <v>0.5008334230447105</v>
      </c>
      <c r="U409" s="6" t="n">
        <v>-1.642165129489821</v>
      </c>
      <c r="V409" s="6" t="n">
        <v>2.767331924450882</v>
      </c>
      <c r="W409" s="6" t="n">
        <v>4.431287097372447</v>
      </c>
      <c r="X409" s="6" t="n">
        <v>1.991939413837613</v>
      </c>
      <c r="Y409" s="6" t="n">
        <v>1.982296840247055</v>
      </c>
      <c r="Z409" s="6" t="n">
        <v>-3.680171318680686</v>
      </c>
      <c r="AA409" s="6" t="n">
        <v>2.887145989867185</v>
      </c>
      <c r="AB409" s="6" t="n">
        <v>-1.982146251863872</v>
      </c>
      <c r="AC409" s="6" t="n">
        <v>-2.069886662866554</v>
      </c>
      <c r="AD409" s="6" t="n">
        <v>2.113173265038777</v>
      </c>
      <c r="AE409" s="6" t="n">
        <v>1.926692800715936</v>
      </c>
      <c r="AF409" s="6" t="n">
        <v>0.5483799358449254</v>
      </c>
      <c r="AG409" s="6" t="n">
        <v>0.9109226091172484</v>
      </c>
      <c r="AH409" s="6" t="n">
        <v>0.2847052831025459</v>
      </c>
      <c r="AI409" s="6" t="n">
        <v>0.1187480395145427</v>
      </c>
      <c r="AJ409" s="6" t="n">
        <v>73.12053701979707</v>
      </c>
      <c r="AK409" s="6" t="n">
        <v>0.06532184147821311</v>
      </c>
      <c r="AL409" s="6" t="n">
        <v>1.0248297606652</v>
      </c>
      <c r="AN409" s="6" t="n">
        <v>1.351440470214018</v>
      </c>
      <c r="AO409" s="6" t="n">
        <v>1.352808479844</v>
      </c>
      <c r="AP409" s="6" t="n">
        <v>0.1363628401178079</v>
      </c>
      <c r="AQ409" s="6" t="n">
        <v>0</v>
      </c>
      <c r="AR409" s="6" t="n">
        <v>0</v>
      </c>
    </row>
    <row r="410">
      <c r="D410" t="inlineStr">
        <is>
          <t>Run 98</t>
        </is>
      </c>
      <c r="J410" s="6" t="n">
        <v>-1.217174354985654</v>
      </c>
      <c r="K410" s="6" t="n">
        <v>-4.271411619060316</v>
      </c>
      <c r="L410" s="6" t="n">
        <v>-1.791464901708591</v>
      </c>
      <c r="M410" s="6" t="n">
        <v>-0.9166961587521441</v>
      </c>
      <c r="N410" s="6" t="n">
        <v>-0.8615006671614985</v>
      </c>
      <c r="O410" s="6" t="n">
        <v>1.313587489689332</v>
      </c>
      <c r="P410" s="6" t="n">
        <v>0.4124339876254434</v>
      </c>
      <c r="Q410" s="6" t="n">
        <v>0.7889274806336279</v>
      </c>
      <c r="R410" s="6" t="n">
        <v>0.9161227818496405</v>
      </c>
      <c r="S410" s="6" t="n">
        <v>0.06788288604093168</v>
      </c>
      <c r="T410" s="6" t="n">
        <v>-2.374583962408725</v>
      </c>
      <c r="U410" s="6" t="n">
        <v>-1.712464362008848</v>
      </c>
      <c r="V410" s="6" t="n">
        <v>-2.288687641765349</v>
      </c>
      <c r="W410" s="6" t="n">
        <v>2.576763612152212</v>
      </c>
      <c r="X410" s="6" t="n">
        <v>1.891001513956315</v>
      </c>
      <c r="Y410" s="6" t="n">
        <v>-1.903526116669125</v>
      </c>
      <c r="Z410" s="6" t="n">
        <v>1.587714991110475</v>
      </c>
      <c r="AA410" s="6" t="n">
        <v>2.76413922814797</v>
      </c>
      <c r="AB410" s="6" t="n">
        <v>1.065938988452386</v>
      </c>
      <c r="AC410" s="6" t="n">
        <v>2.797406193815267</v>
      </c>
      <c r="AD410" s="6" t="n">
        <v>-0.8669526383592715</v>
      </c>
      <c r="AE410" s="6" t="n">
        <v>3.182820672748238</v>
      </c>
      <c r="AF410" s="6" t="n">
        <v>-2.473938378995448</v>
      </c>
      <c r="AG410" s="6" t="n">
        <v>-0.445449948010094</v>
      </c>
      <c r="AH410" s="6" t="n">
        <v>-1.330490096389646</v>
      </c>
      <c r="AI410" s="6" t="n">
        <v>0.7243566268798109</v>
      </c>
      <c r="AJ410" s="6" t="n">
        <v>69.72569636447562</v>
      </c>
      <c r="AK410" s="6" t="n">
        <v>0.1369077126653664</v>
      </c>
      <c r="AL410" s="6" t="n">
        <v>1.047127613972735</v>
      </c>
      <c r="AN410" s="6" t="n">
        <v>1.33394718217059</v>
      </c>
      <c r="AO410" s="6" t="n">
        <v>1.33835130935489</v>
      </c>
      <c r="AP410" s="6" t="n">
        <v>0.1319905302656779</v>
      </c>
      <c r="AQ410" s="6" t="n">
        <v>0</v>
      </c>
      <c r="AR410" s="6" t="n">
        <v>0</v>
      </c>
    </row>
    <row r="411">
      <c r="D411" t="inlineStr">
        <is>
          <t>Run 99</t>
        </is>
      </c>
      <c r="J411" s="6" t="n">
        <v>-1.015365251749177</v>
      </c>
      <c r="K411" s="6" t="n">
        <v>-3.272547968146457</v>
      </c>
      <c r="L411" s="6" t="n">
        <v>0.9962249830854965</v>
      </c>
      <c r="M411" s="6" t="n">
        <v>-0.7127064434039169</v>
      </c>
      <c r="N411" s="6" t="n">
        <v>2.330213123333579</v>
      </c>
      <c r="O411" s="6" t="n">
        <v>-3.810145588400651</v>
      </c>
      <c r="P411" s="6" t="n">
        <v>0.9682268763545115</v>
      </c>
      <c r="Q411" s="6" t="n">
        <v>3.568040719601976</v>
      </c>
      <c r="R411" s="6" t="n">
        <v>0.4425122132609223</v>
      </c>
      <c r="S411" s="6" t="n">
        <v>-0.562642918845192</v>
      </c>
      <c r="T411" s="6" t="n">
        <v>-3.473519748042031</v>
      </c>
      <c r="U411" s="6" t="n">
        <v>2.334141071599145</v>
      </c>
      <c r="V411" s="6" t="n">
        <v>2.514408332714453</v>
      </c>
      <c r="W411" s="6" t="n">
        <v>-1.886293814426969</v>
      </c>
      <c r="X411" s="6" t="n">
        <v>-0.6939948710368823</v>
      </c>
      <c r="Y411" s="6" t="n">
        <v>-1.228297598118671</v>
      </c>
      <c r="Z411" s="6" t="n">
        <v>-1.274375870127219</v>
      </c>
      <c r="AA411" s="6" t="n">
        <v>2.912962019915103</v>
      </c>
      <c r="AB411" s="6" t="n">
        <v>-0.9549460714619468</v>
      </c>
      <c r="AC411" s="6" t="n">
        <v>1.793341906094842</v>
      </c>
      <c r="AD411" s="6" t="n">
        <v>1.313895106778042</v>
      </c>
      <c r="AE411" s="6" t="n">
        <v>2.045812445773844</v>
      </c>
      <c r="AF411" s="6" t="n">
        <v>-0.02492244138086129</v>
      </c>
      <c r="AG411" s="6" t="n">
        <v>0.8086924711431684</v>
      </c>
      <c r="AH411" s="6" t="n">
        <v>-0.5505877913731022</v>
      </c>
      <c r="AI411" s="6" t="n">
        <v>1.062039669346624</v>
      </c>
      <c r="AJ411" s="6" t="n">
        <v>74.20151668485776</v>
      </c>
      <c r="AK411" s="6" t="n">
        <v>0.1454320275849397</v>
      </c>
      <c r="AL411" s="6" t="n">
        <v>1.041347730694816</v>
      </c>
      <c r="AN411" s="6" t="n">
        <v>1.343853395694187</v>
      </c>
      <c r="AO411" s="6" t="n">
        <v>1.346977090622186</v>
      </c>
      <c r="AP411" s="6" t="n">
        <v>0.1328437399868393</v>
      </c>
      <c r="AQ411" s="6" t="n">
        <v>0</v>
      </c>
      <c r="AR411" s="6" t="n">
        <v>0</v>
      </c>
    </row>
    <row r="412">
      <c r="D412" t="inlineStr">
        <is>
          <t>Run 100</t>
        </is>
      </c>
      <c r="J412" s="6" t="n">
        <v>-0.4798527055971865</v>
      </c>
      <c r="K412" s="6" t="n">
        <v>0.3726320457662532</v>
      </c>
      <c r="L412" s="6" t="n">
        <v>-0.7738736697525259</v>
      </c>
      <c r="M412" s="6" t="n">
        <v>-1.351139899560779</v>
      </c>
      <c r="N412" s="6" t="n">
        <v>-2.096688598843438</v>
      </c>
      <c r="O412" s="6" t="n">
        <v>1.366742845537418</v>
      </c>
      <c r="P412" s="6" t="n">
        <v>-0.6628655762735456</v>
      </c>
      <c r="Q412" s="6" t="n">
        <v>-1.182284230588069</v>
      </c>
      <c r="R412" s="6" t="n">
        <v>-5.043323331461136</v>
      </c>
      <c r="S412" s="6" t="n">
        <v>-0.8821358756980304</v>
      </c>
      <c r="T412" s="6" t="n">
        <v>2.704430507187485</v>
      </c>
      <c r="U412" s="6" t="n">
        <v>-0.6549318372291013</v>
      </c>
      <c r="V412" s="6" t="n">
        <v>-1.772472398670974</v>
      </c>
      <c r="W412" s="6" t="n">
        <v>2.942172684708914</v>
      </c>
      <c r="X412" s="6" t="n">
        <v>2.475927105074841</v>
      </c>
      <c r="Y412" s="6" t="n">
        <v>-3.898573837931329</v>
      </c>
      <c r="Z412" s="6" t="n">
        <v>-1.307427115773504</v>
      </c>
      <c r="AA412" s="6" t="n">
        <v>-2.236255282755017</v>
      </c>
      <c r="AB412" s="6" t="n">
        <v>4.310982729032117</v>
      </c>
      <c r="AC412" s="6" t="n">
        <v>-1.274294204499475</v>
      </c>
      <c r="AD412" s="6" t="n">
        <v>0.007374520656650552</v>
      </c>
      <c r="AE412" s="6" t="n">
        <v>3.18445943405205</v>
      </c>
      <c r="AF412" s="6" t="n">
        <v>0.5659500666255179</v>
      </c>
      <c r="AG412" s="6" t="n">
        <v>-0.7872365672404372</v>
      </c>
      <c r="AH412" s="6" t="n">
        <v>2.058731513746915</v>
      </c>
      <c r="AI412" s="6" t="n">
        <v>3.027986445529322</v>
      </c>
      <c r="AJ412" s="6" t="n">
        <v>71.78422873867171</v>
      </c>
      <c r="AK412" s="6" t="n">
        <v>0.1611804641643861</v>
      </c>
      <c r="AL412" s="6" t="n">
        <v>1.073223697411646</v>
      </c>
      <c r="AN412" s="6" t="n">
        <v>1.331291480224923</v>
      </c>
      <c r="AO412" s="6" t="n">
        <v>1.332217192170988</v>
      </c>
      <c r="AP412" s="6" t="n">
        <v>0.1293046500012114</v>
      </c>
      <c r="AQ412" s="6" t="n">
        <v>0</v>
      </c>
      <c r="AR412" s="6" t="n">
        <v>0</v>
      </c>
    </row>
    <row r="413">
      <c r="D413" t="inlineStr">
        <is>
          <t>Run 101</t>
        </is>
      </c>
      <c r="J413" s="6" t="n">
        <v>-2.029640162666126</v>
      </c>
      <c r="K413" s="6" t="n">
        <v>2.662831846171821</v>
      </c>
      <c r="L413" s="6" t="n">
        <v>5</v>
      </c>
      <c r="M413" s="6" t="n">
        <v>-0.2666078916070666</v>
      </c>
      <c r="N413" s="6" t="n">
        <v>0.4558483322576123</v>
      </c>
      <c r="O413" s="6" t="n">
        <v>-0.9686166113444383</v>
      </c>
      <c r="P413" s="6" t="n">
        <v>-0.2461555654402635</v>
      </c>
      <c r="Q413" s="6" t="n">
        <v>-1.106453840518653</v>
      </c>
      <c r="R413" s="6" t="n">
        <v>-3.078904913697719</v>
      </c>
      <c r="S413" s="6" t="n">
        <v>-0.9768228965666099</v>
      </c>
      <c r="T413" s="6" t="n">
        <v>-1.047403608989843</v>
      </c>
      <c r="U413" s="6" t="n">
        <v>-0.2064357305952478</v>
      </c>
      <c r="V413" s="6" t="n">
        <v>-3.259648839402868</v>
      </c>
      <c r="W413" s="6" t="n">
        <v>-0.341764027622375</v>
      </c>
      <c r="X413" s="6" t="n">
        <v>0.3985827088838381</v>
      </c>
      <c r="Y413" s="6" t="n">
        <v>2.479967750088144</v>
      </c>
      <c r="Z413" s="6" t="n">
        <v>1.720367776842087</v>
      </c>
      <c r="AA413" s="6" t="n">
        <v>3.204277822911939</v>
      </c>
      <c r="AB413" s="6" t="n">
        <v>0.580624113444333</v>
      </c>
      <c r="AC413" s="6" t="n">
        <v>-1.301675209728212</v>
      </c>
      <c r="AD413" s="6" t="n">
        <v>0.5801863084437933</v>
      </c>
      <c r="AE413" s="6" t="n">
        <v>0.2184040322893782</v>
      </c>
      <c r="AF413" s="6" t="n">
        <v>-0.6523423983101265</v>
      </c>
      <c r="AG413" s="6" t="n">
        <v>0.3152430626397143</v>
      </c>
      <c r="AH413" s="6" t="n">
        <v>3.550117114610258</v>
      </c>
      <c r="AI413" s="6" t="n">
        <v>2.7185931139299</v>
      </c>
      <c r="AJ413" s="6" t="n">
        <v>79.05854583027585</v>
      </c>
      <c r="AK413" s="6" t="n">
        <v>0.1017904242281067</v>
      </c>
      <c r="AL413" s="6" t="n">
        <v>1.02456129771396</v>
      </c>
      <c r="AN413" s="6" t="n">
        <v>1.356060390805957</v>
      </c>
      <c r="AO413" s="6" t="n">
        <v>1.356734352780074</v>
      </c>
      <c r="AP413" s="6" t="n">
        <v>0.1362623949915439</v>
      </c>
      <c r="AQ413" s="6" t="n">
        <v>0</v>
      </c>
      <c r="AR413" s="6" t="n">
        <v>0</v>
      </c>
    </row>
    <row r="414">
      <c r="D414" t="inlineStr">
        <is>
          <t>Run 102</t>
        </is>
      </c>
      <c r="J414" s="6" t="n">
        <v>0.8912195887491832</v>
      </c>
      <c r="K414" s="6" t="n">
        <v>1.163459365868</v>
      </c>
      <c r="L414" s="6" t="n">
        <v>0.8570137577442145</v>
      </c>
      <c r="M414" s="6" t="n">
        <v>1.746782383619583</v>
      </c>
      <c r="N414" s="6" t="n">
        <v>-0.2345522995286052</v>
      </c>
      <c r="O414" s="6" t="n">
        <v>3.507836492671252</v>
      </c>
      <c r="P414" s="6" t="n">
        <v>0.2104191010194189</v>
      </c>
      <c r="Q414" s="6" t="n">
        <v>-2.285800614984636</v>
      </c>
      <c r="R414" s="6" t="n">
        <v>-0.6580774403707843</v>
      </c>
      <c r="S414" s="6" t="n">
        <v>0.964212358404207</v>
      </c>
      <c r="T414" s="6" t="n">
        <v>-0.2634435206658317</v>
      </c>
      <c r="U414" s="6" t="n">
        <v>1.116179507322624</v>
      </c>
      <c r="V414" s="6" t="n">
        <v>-0.3375849658131926</v>
      </c>
      <c r="W414" s="6" t="n">
        <v>2.44136435685244</v>
      </c>
      <c r="X414" s="6" t="n">
        <v>0.4188775354156579</v>
      </c>
      <c r="Y414" s="6" t="n">
        <v>1.573406604337664</v>
      </c>
      <c r="Z414" s="6" t="n">
        <v>1.201884275637987</v>
      </c>
      <c r="AA414" s="6" t="n">
        <v>-2.15862562254862</v>
      </c>
      <c r="AB414" s="6" t="n">
        <v>2.481777801699659</v>
      </c>
      <c r="AC414" s="6" t="n">
        <v>-3.44920027730186</v>
      </c>
      <c r="AD414" s="6" t="n">
        <v>0.228431521732512</v>
      </c>
      <c r="AE414" s="6" t="n">
        <v>0.2854278768799038</v>
      </c>
      <c r="AF414" s="6" t="n">
        <v>3.100119726880641</v>
      </c>
      <c r="AG414" s="6" t="n">
        <v>-2.150880928863529</v>
      </c>
      <c r="AH414" s="6" t="n">
        <v>0.3612788036103611</v>
      </c>
      <c r="AI414" s="6" t="n">
        <v>0.9934563494851075</v>
      </c>
      <c r="AJ414" s="6" t="n">
        <v>66.09368867520203</v>
      </c>
      <c r="AK414" s="6" t="n">
        <v>0.1186801400208937</v>
      </c>
      <c r="AL414" s="6" t="n">
        <v>1.035820664266949</v>
      </c>
      <c r="AN414" s="6" t="n">
        <v>1.345744801897319</v>
      </c>
      <c r="AO414" s="6" t="n">
        <v>1.345744801897319</v>
      </c>
      <c r="AP414" s="6" t="n">
        <v>0.1329041734159664</v>
      </c>
      <c r="AQ414" s="6" t="n">
        <v>0</v>
      </c>
      <c r="AR414" s="6" t="n">
        <v>0</v>
      </c>
    </row>
    <row r="415">
      <c r="D415" t="inlineStr">
        <is>
          <t>Run 103</t>
        </is>
      </c>
      <c r="J415" s="6" t="n">
        <v>-0.8238671569399204</v>
      </c>
      <c r="K415" s="6" t="n">
        <v>0.7886712971902679</v>
      </c>
      <c r="L415" s="6" t="n">
        <v>-1.490679428329808</v>
      </c>
      <c r="M415" s="6" t="n">
        <v>-4.378184873091215</v>
      </c>
      <c r="N415" s="6" t="n">
        <v>0.5204644961911733</v>
      </c>
      <c r="O415" s="6" t="n">
        <v>0.7537501460985366</v>
      </c>
      <c r="P415" s="6" t="n">
        <v>0.2038539272361027</v>
      </c>
      <c r="Q415" s="6" t="n">
        <v>0.9803590121404695</v>
      </c>
      <c r="R415" s="6" t="n">
        <v>-3.044596305046376</v>
      </c>
      <c r="S415" s="6" t="n">
        <v>-1.955865592585362</v>
      </c>
      <c r="T415" s="6" t="n">
        <v>4.328773862521571</v>
      </c>
      <c r="U415" s="6" t="n">
        <v>-2.127782173498895</v>
      </c>
      <c r="V415" s="6" t="n">
        <v>-0.6716300724158207</v>
      </c>
      <c r="W415" s="6" t="n">
        <v>1.003621948760844</v>
      </c>
      <c r="X415" s="6" t="n">
        <v>3.133777738805123</v>
      </c>
      <c r="Y415" s="6" t="n">
        <v>-1.305986769295329</v>
      </c>
      <c r="Z415" s="6" t="n">
        <v>2.380847033133921</v>
      </c>
      <c r="AA415" s="6" t="n">
        <v>1.893536558985074</v>
      </c>
      <c r="AB415" s="6" t="n">
        <v>-2.085915479876424</v>
      </c>
      <c r="AC415" s="6" t="n">
        <v>-2.167897063090611</v>
      </c>
      <c r="AD415" s="6" t="n">
        <v>-2.523486066546586</v>
      </c>
      <c r="AE415" s="6" t="n">
        <v>-3.491027531011551</v>
      </c>
      <c r="AF415" s="6" t="n">
        <v>1.110931789825008</v>
      </c>
      <c r="AG415" s="6" t="n">
        <v>-4.70994189731085</v>
      </c>
      <c r="AH415" s="6" t="n">
        <v>-0.753160061379383</v>
      </c>
      <c r="AI415" s="6" t="n">
        <v>1.333097811417663</v>
      </c>
      <c r="AJ415" s="6" t="n">
        <v>66.89810493714694</v>
      </c>
      <c r="AK415" s="6" t="n">
        <v>0.1775031168631891</v>
      </c>
      <c r="AL415" s="6" t="n">
        <v>1.040201728772441</v>
      </c>
      <c r="AN415" s="6" t="n">
        <v>1.294624250293161</v>
      </c>
      <c r="AO415" s="6" t="n">
        <v>1.305881710825839</v>
      </c>
      <c r="AP415" s="6" t="n">
        <v>0.131032366109813</v>
      </c>
      <c r="AQ415" s="6" t="n">
        <v>0</v>
      </c>
      <c r="AR415" s="6" t="n">
        <v>0</v>
      </c>
    </row>
    <row r="416">
      <c r="D416" t="inlineStr">
        <is>
          <t>Run 104</t>
        </is>
      </c>
      <c r="J416" s="6" t="n">
        <v>-0.4747454508963456</v>
      </c>
      <c r="K416" s="6" t="n">
        <v>-1.695337651444025</v>
      </c>
      <c r="L416" s="6" t="n">
        <v>2.298700030673729</v>
      </c>
      <c r="M416" s="6" t="n">
        <v>0.4692385954926109</v>
      </c>
      <c r="N416" s="6" t="n">
        <v>0.09596201752991901</v>
      </c>
      <c r="O416" s="6" t="n">
        <v>2.009855480347267</v>
      </c>
      <c r="P416" s="6" t="n">
        <v>0.3418509194967832</v>
      </c>
      <c r="Q416" s="6" t="n">
        <v>-3.479183356972651</v>
      </c>
      <c r="R416" s="6" t="n">
        <v>1.019282670539135</v>
      </c>
      <c r="S416" s="6" t="n">
        <v>1.069945040522924</v>
      </c>
      <c r="T416" s="6" t="n">
        <v>1.502224451390853</v>
      </c>
      <c r="U416" s="6" t="n">
        <v>0.0988378237571203</v>
      </c>
      <c r="V416" s="6" t="n">
        <v>-0.2536861566214585</v>
      </c>
      <c r="W416" s="6" t="n">
        <v>2.2044671799792</v>
      </c>
      <c r="X416" s="6" t="n">
        <v>-5.386573583429451</v>
      </c>
      <c r="Y416" s="6" t="n">
        <v>-1.95223615772874</v>
      </c>
      <c r="Z416" s="6" t="n">
        <v>2.797832446133819</v>
      </c>
      <c r="AA416" s="6" t="n">
        <v>0.8171227636445964</v>
      </c>
      <c r="AB416" s="6" t="n">
        <v>0.7638733964073752</v>
      </c>
      <c r="AC416" s="6" t="n">
        <v>0.07433387603803393</v>
      </c>
      <c r="AD416" s="6" t="n">
        <v>0.8151909514071649</v>
      </c>
      <c r="AE416" s="6" t="n">
        <v>-0.3976085661708281</v>
      </c>
      <c r="AF416" s="6" t="n">
        <v>2.447194124993179</v>
      </c>
      <c r="AG416" s="6" t="n">
        <v>0.4779380995828186</v>
      </c>
      <c r="AH416" s="6" t="n">
        <v>-1.702446819851242</v>
      </c>
      <c r="AI416" s="6" t="n">
        <v>0.04933405583261342</v>
      </c>
      <c r="AJ416" s="6" t="n">
        <v>71.37763145085169</v>
      </c>
      <c r="AK416" s="6" t="n">
        <v>0.0657841989429751</v>
      </c>
      <c r="AL416" s="6" t="n">
        <v>1.007046447022896</v>
      </c>
      <c r="AN416" s="6" t="n">
        <v>1.355315058976671</v>
      </c>
      <c r="AO416" s="6" t="n">
        <v>1.355315058976671</v>
      </c>
      <c r="AP416" s="6" t="n">
        <v>0.1381864150810831</v>
      </c>
      <c r="AQ416" s="6" t="n">
        <v>0</v>
      </c>
      <c r="AR416" s="6" t="n">
        <v>0</v>
      </c>
    </row>
    <row r="417">
      <c r="D417" t="inlineStr">
        <is>
          <t>Run 105</t>
        </is>
      </c>
      <c r="J417" s="6" t="n">
        <v>-0.1871500424379072</v>
      </c>
      <c r="K417" s="6" t="n">
        <v>3.235324611785811</v>
      </c>
      <c r="L417" s="6" t="n">
        <v>1.614823758747538</v>
      </c>
      <c r="M417" s="6" t="n">
        <v>-0.3868530139269978</v>
      </c>
      <c r="N417" s="6" t="n">
        <v>0.4126308752780316</v>
      </c>
      <c r="O417" s="6" t="n">
        <v>1.640253735650123</v>
      </c>
      <c r="P417" s="6" t="n">
        <v>-1.33027825783619</v>
      </c>
      <c r="Q417" s="6" t="n">
        <v>1.573161617848678</v>
      </c>
      <c r="R417" s="6" t="n">
        <v>-3.329017682259878</v>
      </c>
      <c r="S417" s="6" t="n">
        <v>-0.7251765134608876</v>
      </c>
      <c r="T417" s="6" t="n">
        <v>-2.924455551043477</v>
      </c>
      <c r="U417" s="6" t="n">
        <v>-1.918601454311794</v>
      </c>
      <c r="V417" s="6" t="n">
        <v>-3.385304852019027</v>
      </c>
      <c r="W417" s="6" t="n">
        <v>-2.792179446267321</v>
      </c>
      <c r="X417" s="6" t="n">
        <v>1.487739896113643</v>
      </c>
      <c r="Y417" s="6" t="n">
        <v>-0.291643786112517</v>
      </c>
      <c r="Z417" s="6" t="n">
        <v>-0.9489323107550609</v>
      </c>
      <c r="AA417" s="6" t="n">
        <v>-0.658406501226832</v>
      </c>
      <c r="AB417" s="6" t="n">
        <v>1.384119684087024</v>
      </c>
      <c r="AC417" s="6" t="n">
        <v>-0.6433345992474095</v>
      </c>
      <c r="AD417" s="6" t="n">
        <v>-0.3006000524466305</v>
      </c>
      <c r="AE417" s="6" t="n">
        <v>-1.1960654756858</v>
      </c>
      <c r="AF417" s="6" t="n">
        <v>1.598942333989513</v>
      </c>
      <c r="AG417" s="6" t="n">
        <v>1.530535739633671</v>
      </c>
      <c r="AH417" s="6" t="n">
        <v>0.2331556338466331</v>
      </c>
      <c r="AI417" s="6" t="n">
        <v>2.187831845559711</v>
      </c>
      <c r="AJ417" s="6" t="n">
        <v>71.04518624813326</v>
      </c>
      <c r="AK417" s="6" t="n">
        <v>0.1083885301298492</v>
      </c>
      <c r="AL417" s="6" t="n">
        <v>0.9997393829848428</v>
      </c>
      <c r="AN417" s="6" t="n">
        <v>1.355704392152973</v>
      </c>
      <c r="AO417" s="6" t="n">
        <v>1.355704392152973</v>
      </c>
      <c r="AP417" s="6" t="n">
        <v>0.1389767720811752</v>
      </c>
      <c r="AQ417" s="6" t="n">
        <v>0</v>
      </c>
      <c r="AR417" s="6" t="n">
        <v>0</v>
      </c>
    </row>
    <row r="418">
      <c r="D418" t="inlineStr">
        <is>
          <t>Run 106</t>
        </is>
      </c>
      <c r="J418" s="6" t="n">
        <v>-1.468988550920826</v>
      </c>
      <c r="K418" s="6" t="n">
        <v>-0.9131587490031984</v>
      </c>
      <c r="L418" s="6" t="n">
        <v>-2.473726956413636</v>
      </c>
      <c r="M418" s="6" t="n">
        <v>0.4305605901364798</v>
      </c>
      <c r="N418" s="6" t="n">
        <v>3.371863116589836</v>
      </c>
      <c r="O418" s="6" t="n">
        <v>-0.3650668197497589</v>
      </c>
      <c r="P418" s="6" t="n">
        <v>-2.83324084943592</v>
      </c>
      <c r="Q418" s="6" t="n">
        <v>0.9823558513763641</v>
      </c>
      <c r="R418" s="6" t="n">
        <v>-0.7547590078227884</v>
      </c>
      <c r="S418" s="6" t="n">
        <v>-0.4758674790220794</v>
      </c>
      <c r="T418" s="6" t="n">
        <v>5</v>
      </c>
      <c r="U418" s="6" t="n">
        <v>-2.183001237254846</v>
      </c>
      <c r="V418" s="6" t="n">
        <v>0.9997938301978276</v>
      </c>
      <c r="W418" s="6" t="n">
        <v>0.4322624826526508</v>
      </c>
      <c r="X418" s="6" t="n">
        <v>-2.363145608273888</v>
      </c>
      <c r="Y418" s="6" t="n">
        <v>0.7487125930927835</v>
      </c>
      <c r="Z418" s="6" t="n">
        <v>0.3839146824731618</v>
      </c>
      <c r="AA418" s="6" t="n">
        <v>-4.591303650351945</v>
      </c>
      <c r="AB418" s="6" t="n">
        <v>0.9798858452640796</v>
      </c>
      <c r="AC418" s="6" t="n">
        <v>2.211711354316524</v>
      </c>
      <c r="AD418" s="6" t="n">
        <v>0.7909305691802423</v>
      </c>
      <c r="AE418" s="6" t="n">
        <v>-2.396086195224594</v>
      </c>
      <c r="AF418" s="6" t="n">
        <v>-1.147823090234229</v>
      </c>
      <c r="AG418" s="6" t="n">
        <v>2.411835289991237</v>
      </c>
      <c r="AH418" s="6" t="n">
        <v>-0.8744652587467292</v>
      </c>
      <c r="AI418" s="6" t="n">
        <v>4.485712533833</v>
      </c>
      <c r="AJ418" s="6" t="n">
        <v>80.39278538229769</v>
      </c>
      <c r="AK418" s="6" t="n">
        <v>0.1160520125028148</v>
      </c>
      <c r="AL418" s="6" t="n">
        <v>1.074307433349669</v>
      </c>
      <c r="AN418" s="6" t="n">
        <v>1.342562725369109</v>
      </c>
      <c r="AO418" s="6" t="n">
        <v>1.343229326365625</v>
      </c>
      <c r="AP418" s="6" t="n">
        <v>0.13138885122435</v>
      </c>
      <c r="AQ418" s="6" t="n">
        <v>0</v>
      </c>
      <c r="AR418" s="6" t="n">
        <v>0</v>
      </c>
    </row>
    <row r="419">
      <c r="D419" t="inlineStr">
        <is>
          <t>Run 107</t>
        </is>
      </c>
      <c r="J419" s="6" t="n">
        <v>0.5265219101280099</v>
      </c>
      <c r="K419" s="6" t="n">
        <v>-3.118428149476559</v>
      </c>
      <c r="L419" s="6" t="n">
        <v>0.2251868780695081</v>
      </c>
      <c r="M419" s="6" t="n">
        <v>1.187342295623663</v>
      </c>
      <c r="N419" s="6" t="n">
        <v>1.575024382554342</v>
      </c>
      <c r="O419" s="6" t="n">
        <v>0.04046186632892287</v>
      </c>
      <c r="P419" s="6" t="n">
        <v>1.19823938411649</v>
      </c>
      <c r="Q419" s="6" t="n">
        <v>0.5609904495068714</v>
      </c>
      <c r="R419" s="6" t="n">
        <v>-3.90380875719116</v>
      </c>
      <c r="S419" s="6" t="n">
        <v>-0.7842271590761938</v>
      </c>
      <c r="T419" s="6" t="n">
        <v>0.4046768480436712</v>
      </c>
      <c r="U419" s="6" t="n">
        <v>-3.260686347441685</v>
      </c>
      <c r="V419" s="6" t="n">
        <v>-1.334946756273234</v>
      </c>
      <c r="W419" s="6" t="n">
        <v>0.4771023561481274</v>
      </c>
      <c r="X419" s="6" t="n">
        <v>0.8252319865881688</v>
      </c>
      <c r="Y419" s="6" t="n">
        <v>-1.396304907543889</v>
      </c>
      <c r="Z419" s="6" t="n">
        <v>-0.0761187964271481</v>
      </c>
      <c r="AA419" s="6" t="n">
        <v>-0.6310994303399332</v>
      </c>
      <c r="AB419" s="6" t="n">
        <v>1.467633336003285</v>
      </c>
      <c r="AC419" s="6" t="n">
        <v>2.064981575955021</v>
      </c>
      <c r="AD419" s="6" t="n">
        <v>1.973320305607191</v>
      </c>
      <c r="AE419" s="6" t="n">
        <v>-0.1817308647284965</v>
      </c>
      <c r="AF419" s="6" t="n">
        <v>-0.1008912607180089</v>
      </c>
      <c r="AG419" s="6" t="n">
        <v>1.15797544540867</v>
      </c>
      <c r="AH419" s="6" t="n">
        <v>-1.8024975644365</v>
      </c>
      <c r="AI419" s="6" t="n">
        <v>-2.968967136281645</v>
      </c>
      <c r="AJ419" s="6" t="n">
        <v>78.09966234084357</v>
      </c>
      <c r="AK419" s="6" t="n">
        <v>0.1478296914101531</v>
      </c>
      <c r="AL419" s="6" t="n">
        <v>1.056448767356868</v>
      </c>
      <c r="AN419" s="6" t="n">
        <v>1.344014560497179</v>
      </c>
      <c r="AO419" s="6" t="n">
        <v>1.344602880810197</v>
      </c>
      <c r="AP419" s="6" t="n">
        <v>0.1314515775252595</v>
      </c>
      <c r="AQ419" s="6" t="n">
        <v>0</v>
      </c>
      <c r="AR419" s="6" t="n">
        <v>0</v>
      </c>
    </row>
    <row r="420">
      <c r="D420" t="inlineStr">
        <is>
          <t>Run 108</t>
        </is>
      </c>
      <c r="J420" s="6" t="n">
        <v>1.517775449920263</v>
      </c>
      <c r="K420" s="6" t="n">
        <v>-1.348709161393223</v>
      </c>
      <c r="L420" s="6" t="n">
        <v>4.240172252854741</v>
      </c>
      <c r="M420" s="6" t="n">
        <v>-0.7376653002062394</v>
      </c>
      <c r="N420" s="6" t="n">
        <v>-2.506896690698089</v>
      </c>
      <c r="O420" s="6" t="n">
        <v>-0.5539239970944018</v>
      </c>
      <c r="P420" s="6" t="n">
        <v>-2.248200374157463</v>
      </c>
      <c r="Q420" s="6" t="n">
        <v>-0.2827749743321353</v>
      </c>
      <c r="R420" s="6" t="n">
        <v>-2.694557923624657</v>
      </c>
      <c r="S420" s="6" t="n">
        <v>1.649304040512371</v>
      </c>
      <c r="T420" s="6" t="n">
        <v>1.195798651471189</v>
      </c>
      <c r="U420" s="6" t="n">
        <v>-0.3440810193358087</v>
      </c>
      <c r="V420" s="6" t="n">
        <v>-6.689617028007741</v>
      </c>
      <c r="W420" s="6" t="n">
        <v>2.265950807768198</v>
      </c>
      <c r="X420" s="6" t="n">
        <v>-1.241858640322676</v>
      </c>
      <c r="Y420" s="6" t="n">
        <v>-2.136282702584988</v>
      </c>
      <c r="Z420" s="6" t="n">
        <v>2.930110857426412</v>
      </c>
      <c r="AA420" s="6" t="n">
        <v>-1.967348830156229</v>
      </c>
      <c r="AB420" s="6" t="n">
        <v>0.6710898465833411</v>
      </c>
      <c r="AC420" s="6" t="n">
        <v>0.8940202966507542</v>
      </c>
      <c r="AD420" s="6" t="n">
        <v>0.8578020300343711</v>
      </c>
      <c r="AE420" s="6" t="n">
        <v>-0.8875425907415959</v>
      </c>
      <c r="AF420" s="6" t="n">
        <v>1.360200695345473</v>
      </c>
      <c r="AG420" s="6" t="n">
        <v>1.283446730367269</v>
      </c>
      <c r="AH420" s="6" t="n">
        <v>0.04587306772463075</v>
      </c>
      <c r="AI420" s="6" t="n">
        <v>5</v>
      </c>
      <c r="AJ420" s="6" t="n">
        <v>62.78234631045723</v>
      </c>
      <c r="AK420" s="6" t="n">
        <v>0.1265414307917887</v>
      </c>
      <c r="AL420" s="6" t="n">
        <v>1.019944443529477</v>
      </c>
      <c r="AN420" s="6" t="n">
        <v>1.346092190492069</v>
      </c>
      <c r="AO420" s="6" t="n">
        <v>1.346092190492069</v>
      </c>
      <c r="AP420" s="6" t="n">
        <v>0.1344656996563001</v>
      </c>
      <c r="AQ420" s="6" t="n">
        <v>0</v>
      </c>
      <c r="AR420" s="6" t="n">
        <v>0</v>
      </c>
    </row>
    <row r="421">
      <c r="D421" t="inlineStr">
        <is>
          <t>Run 109</t>
        </is>
      </c>
      <c r="J421" s="6" t="n">
        <v>1.028816557883618</v>
      </c>
      <c r="K421" s="6" t="n">
        <v>2.998224591373288</v>
      </c>
      <c r="L421" s="6" t="n">
        <v>0.04229792271927488</v>
      </c>
      <c r="M421" s="6" t="n">
        <v>0.02277581602216338</v>
      </c>
      <c r="N421" s="6" t="n">
        <v>-2.05774443021861</v>
      </c>
      <c r="O421" s="6" t="n">
        <v>1.640439868846427</v>
      </c>
      <c r="P421" s="6" t="n">
        <v>-0.9882802905883361</v>
      </c>
      <c r="Q421" s="6" t="n">
        <v>1.942892028587127</v>
      </c>
      <c r="R421" s="6" t="n">
        <v>-1.422259642572397</v>
      </c>
      <c r="S421" s="6" t="n">
        <v>3.745027121589307</v>
      </c>
      <c r="T421" s="6" t="n">
        <v>-0.880478802351519</v>
      </c>
      <c r="U421" s="6" t="n">
        <v>1.369550243179726</v>
      </c>
      <c r="V421" s="6" t="n">
        <v>-2.036003689125903</v>
      </c>
      <c r="W421" s="6" t="n">
        <v>-1.493706071667884</v>
      </c>
      <c r="X421" s="6" t="n">
        <v>1.464315652550542</v>
      </c>
      <c r="Y421" s="6" t="n">
        <v>0.5163496844075218</v>
      </c>
      <c r="Z421" s="6" t="n">
        <v>2.280926678463165</v>
      </c>
      <c r="AA421" s="6" t="n">
        <v>-1.570449291999065</v>
      </c>
      <c r="AB421" s="6" t="n">
        <v>0.7420707492121887</v>
      </c>
      <c r="AC421" s="6" t="n">
        <v>-0.3226208700911524</v>
      </c>
      <c r="AD421" s="6" t="n">
        <v>1.084976140763097</v>
      </c>
      <c r="AE421" s="6" t="n">
        <v>1.316253925719302</v>
      </c>
      <c r="AF421" s="6" t="n">
        <v>-4.043185158281562</v>
      </c>
      <c r="AG421" s="6" t="n">
        <v>-0.5267564377835611</v>
      </c>
      <c r="AH421" s="6" t="n">
        <v>-3.057786495930029</v>
      </c>
      <c r="AI421" s="6" t="n">
        <v>0.1955804684682576</v>
      </c>
      <c r="AJ421" s="6" t="n">
        <v>81.62694943816102</v>
      </c>
      <c r="AK421" s="6" t="n">
        <v>0.1458499667640198</v>
      </c>
      <c r="AL421" s="6" t="n">
        <v>1.006821209828849</v>
      </c>
      <c r="AN421" s="6" t="n">
        <v>1.358913047548822</v>
      </c>
      <c r="AO421" s="6" t="n">
        <v>1.358913047548822</v>
      </c>
      <c r="AP421" s="6" t="n">
        <v>0.1382165491632689</v>
      </c>
      <c r="AQ421" s="6" t="n">
        <v>0</v>
      </c>
      <c r="AR421" s="6" t="n">
        <v>0</v>
      </c>
    </row>
    <row r="422">
      <c r="D422" t="inlineStr">
        <is>
          <t>Run 110</t>
        </is>
      </c>
      <c r="J422" s="6" t="n">
        <v>3.221955727974442</v>
      </c>
      <c r="K422" s="6" t="n">
        <v>-0.220676621330531</v>
      </c>
      <c r="L422" s="6" t="n">
        <v>1.066998417482875</v>
      </c>
      <c r="M422" s="6" t="n">
        <v>1.380379463770859</v>
      </c>
      <c r="N422" s="6" t="n">
        <v>-2.472036713893587</v>
      </c>
      <c r="O422" s="6" t="n">
        <v>0.4867366187666222</v>
      </c>
      <c r="P422" s="6" t="n">
        <v>-0.529499803837967</v>
      </c>
      <c r="Q422" s="6" t="n">
        <v>1.608442384939502</v>
      </c>
      <c r="R422" s="6" t="n">
        <v>-1.207515034576355</v>
      </c>
      <c r="S422" s="6" t="n">
        <v>-1.664695745384458</v>
      </c>
      <c r="T422" s="6" t="n">
        <v>1.034631797338397</v>
      </c>
      <c r="U422" s="6" t="n">
        <v>-2.624386371246829</v>
      </c>
      <c r="V422" s="6" t="n">
        <v>1.42113375273026</v>
      </c>
      <c r="W422" s="6" t="n">
        <v>1.22011981440001</v>
      </c>
      <c r="X422" s="6" t="n">
        <v>1.766654885709165</v>
      </c>
      <c r="Y422" s="6" t="n">
        <v>1.482436522913432</v>
      </c>
      <c r="Z422" s="6" t="n">
        <v>0.4550028946574669</v>
      </c>
      <c r="AA422" s="6" t="n">
        <v>5</v>
      </c>
      <c r="AB422" s="6" t="n">
        <v>0.2234463297864554</v>
      </c>
      <c r="AC422" s="6" t="n">
        <v>2.106472577864746</v>
      </c>
      <c r="AD422" s="6" t="n">
        <v>-3.365085948297454</v>
      </c>
      <c r="AE422" s="6" t="n">
        <v>3.229367472271187</v>
      </c>
      <c r="AF422" s="6" t="n">
        <v>-0.7086507218992845</v>
      </c>
      <c r="AG422" s="6" t="n">
        <v>-1.247788056591631</v>
      </c>
      <c r="AH422" s="6" t="n">
        <v>1.218711221448097</v>
      </c>
      <c r="AI422" s="6" t="n">
        <v>-1.337390482811298</v>
      </c>
      <c r="AJ422" s="6" t="n">
        <v>77.23609377692786</v>
      </c>
      <c r="AK422" s="6" t="n">
        <v>0.1505769803566514</v>
      </c>
      <c r="AL422" s="6" t="n">
        <v>1.073051587323332</v>
      </c>
      <c r="AN422" s="6" t="n">
        <v>1.336367769803176</v>
      </c>
      <c r="AO422" s="6" t="n">
        <v>1.33660522302822</v>
      </c>
      <c r="AP422" s="6" t="n">
        <v>0.1302720176365269</v>
      </c>
      <c r="AQ422" s="6" t="n">
        <v>0</v>
      </c>
      <c r="AR422" s="6" t="n">
        <v>0</v>
      </c>
    </row>
    <row r="423">
      <c r="D423" t="inlineStr">
        <is>
          <t>Run 111</t>
        </is>
      </c>
      <c r="J423" s="6" t="n">
        <v>3.794442641175598</v>
      </c>
      <c r="K423" s="6" t="n">
        <v>1.509537421827438</v>
      </c>
      <c r="L423" s="6" t="n">
        <v>-3.986719749417555</v>
      </c>
      <c r="M423" s="6" t="n">
        <v>-2.125330278086708</v>
      </c>
      <c r="N423" s="6" t="n">
        <v>0.2284603612814459</v>
      </c>
      <c r="O423" s="6" t="n">
        <v>1.013804278327979</v>
      </c>
      <c r="P423" s="6" t="n">
        <v>0.454463487546988</v>
      </c>
      <c r="Q423" s="6" t="n">
        <v>0.17415151935098</v>
      </c>
      <c r="R423" s="6" t="n">
        <v>1.350718436451706</v>
      </c>
      <c r="S423" s="6" t="n">
        <v>-2.294937902717188</v>
      </c>
      <c r="T423" s="6" t="n">
        <v>-4.37104323514837</v>
      </c>
      <c r="U423" s="6" t="n">
        <v>-0.07129583344446726</v>
      </c>
      <c r="V423" s="6" t="n">
        <v>-2.438538843017438</v>
      </c>
      <c r="W423" s="6" t="n">
        <v>-0.02180733360714292</v>
      </c>
      <c r="X423" s="6" t="n">
        <v>1.137031921655589</v>
      </c>
      <c r="Y423" s="6" t="n">
        <v>3.355154393335225</v>
      </c>
      <c r="Z423" s="6" t="n">
        <v>-1.126013799838983</v>
      </c>
      <c r="AA423" s="6" t="n">
        <v>1.424126058264154</v>
      </c>
      <c r="AB423" s="6" t="n">
        <v>1.943033104557356</v>
      </c>
      <c r="AC423" s="6" t="n">
        <v>-0.6704029272123952</v>
      </c>
      <c r="AD423" s="6" t="n">
        <v>-0.0445325699642754</v>
      </c>
      <c r="AE423" s="6" t="n">
        <v>-1.786521412911557</v>
      </c>
      <c r="AF423" s="6" t="n">
        <v>-2.132072899692665</v>
      </c>
      <c r="AG423" s="6" t="n">
        <v>-1.476997643620709</v>
      </c>
      <c r="AH423" s="6" t="n">
        <v>0.9028871149323565</v>
      </c>
      <c r="AI423" s="6" t="n">
        <v>-3.003328861222863</v>
      </c>
      <c r="AJ423" s="6" t="n">
        <v>74.96676927901386</v>
      </c>
      <c r="AK423" s="6" t="n">
        <v>0.1050949540002758</v>
      </c>
      <c r="AL423" s="6" t="n">
        <v>1.043637683442709</v>
      </c>
      <c r="AN423" s="6" t="n">
        <v>1.331105667218702</v>
      </c>
      <c r="AO423" s="6" t="n">
        <v>1.339320903812482</v>
      </c>
      <c r="AP423" s="6" t="n">
        <v>0.1334864203297914</v>
      </c>
      <c r="AQ423" s="6" t="n">
        <v>0</v>
      </c>
      <c r="AR423" s="6" t="n">
        <v>0</v>
      </c>
    </row>
    <row r="424">
      <c r="D424" t="inlineStr">
        <is>
          <t>Run 112</t>
        </is>
      </c>
      <c r="J424" s="6" t="n">
        <v>1.21134466738178</v>
      </c>
      <c r="K424" s="6" t="n">
        <v>-0.7894620267652007</v>
      </c>
      <c r="L424" s="6" t="n">
        <v>3.797175943214538</v>
      </c>
      <c r="M424" s="6" t="n">
        <v>-2.589939216296687</v>
      </c>
      <c r="N424" s="6" t="n">
        <v>1.443083922110844</v>
      </c>
      <c r="O424" s="6" t="n">
        <v>-0.8055660714930895</v>
      </c>
      <c r="P424" s="6" t="n">
        <v>0.4593419457562497</v>
      </c>
      <c r="Q424" s="6" t="n">
        <v>1.194289066975257</v>
      </c>
      <c r="R424" s="6" t="n">
        <v>-1.062056990110017</v>
      </c>
      <c r="S424" s="6" t="n">
        <v>-2.471917945533443</v>
      </c>
      <c r="T424" s="6" t="n">
        <v>3.542502447640873</v>
      </c>
      <c r="U424" s="6" t="n">
        <v>-0.4726729534249671</v>
      </c>
      <c r="V424" s="6" t="n">
        <v>-0.4539396779283469</v>
      </c>
      <c r="W424" s="6" t="n">
        <v>3.315958717186367</v>
      </c>
      <c r="X424" s="6" t="n">
        <v>-0.700181533532661</v>
      </c>
      <c r="Y424" s="6" t="n">
        <v>0.8419402648797828</v>
      </c>
      <c r="Z424" s="6" t="n">
        <v>-0.6492622506987811</v>
      </c>
      <c r="AA424" s="6" t="n">
        <v>-0.8728777107162582</v>
      </c>
      <c r="AB424" s="6" t="n">
        <v>1.337619805705997</v>
      </c>
      <c r="AC424" s="6" t="n">
        <v>-2.669325356948826</v>
      </c>
      <c r="AD424" s="6" t="n">
        <v>1.19083070044313</v>
      </c>
      <c r="AE424" s="6" t="n">
        <v>-0.7698982346429931</v>
      </c>
      <c r="AF424" s="6" t="n">
        <v>0.2985764204825831</v>
      </c>
      <c r="AG424" s="6" t="n">
        <v>2.057868981577785</v>
      </c>
      <c r="AH424" s="6" t="n">
        <v>-1.352018674577421</v>
      </c>
      <c r="AI424" s="6" t="n">
        <v>-2.28219788956738</v>
      </c>
      <c r="AJ424" s="6" t="n">
        <v>72.18046594586588</v>
      </c>
      <c r="AK424" s="6" t="n">
        <v>0.1378768625421912</v>
      </c>
      <c r="AL424" s="6" t="n">
        <v>1.057140712240561</v>
      </c>
      <c r="AN424" s="6" t="n">
        <v>1.319927187692179</v>
      </c>
      <c r="AO424" s="6" t="n">
        <v>1.328798390749429</v>
      </c>
      <c r="AP424" s="6" t="n">
        <v>0.1312847228882179</v>
      </c>
      <c r="AQ424" s="6" t="n">
        <v>0</v>
      </c>
      <c r="AR424" s="6" t="n">
        <v>0</v>
      </c>
    </row>
    <row r="425">
      <c r="D425" t="inlineStr">
        <is>
          <t>Run 113</t>
        </is>
      </c>
      <c r="J425" s="6" t="n">
        <v>-0.7513949410235929</v>
      </c>
      <c r="K425" s="6" t="n">
        <v>4.549146279718917</v>
      </c>
      <c r="L425" s="6" t="n">
        <v>-3.761902093351418</v>
      </c>
      <c r="M425" s="6" t="n">
        <v>-1.68873598310449</v>
      </c>
      <c r="N425" s="6" t="n">
        <v>-0.3442750011034936</v>
      </c>
      <c r="O425" s="6" t="n">
        <v>-2.640834924721426</v>
      </c>
      <c r="P425" s="6" t="n">
        <v>0.1549736202289688</v>
      </c>
      <c r="Q425" s="6" t="n">
        <v>-1.723734551227475</v>
      </c>
      <c r="R425" s="6" t="n">
        <v>-1.739114680469668</v>
      </c>
      <c r="S425" s="6" t="n">
        <v>-2.136904205686023</v>
      </c>
      <c r="T425" s="6" t="n">
        <v>-3.259987024628954</v>
      </c>
      <c r="U425" s="6" t="n">
        <v>0.8864857017597938</v>
      </c>
      <c r="V425" s="6" t="n">
        <v>-0.4329324264812747</v>
      </c>
      <c r="W425" s="6" t="n">
        <v>-2.073416881234065</v>
      </c>
      <c r="X425" s="6" t="n">
        <v>3.345839505242201</v>
      </c>
      <c r="Y425" s="6" t="n">
        <v>1.568377809519345</v>
      </c>
      <c r="Z425" s="6" t="n">
        <v>-1.06289572061532</v>
      </c>
      <c r="AA425" s="6" t="n">
        <v>-2.791270752498153</v>
      </c>
      <c r="AB425" s="6" t="n">
        <v>2.435888605399129</v>
      </c>
      <c r="AC425" s="6" t="n">
        <v>0.02229634012423349</v>
      </c>
      <c r="AD425" s="6" t="n">
        <v>-0.6087072251521128</v>
      </c>
      <c r="AE425" s="6" t="n">
        <v>0.8171054700585803</v>
      </c>
      <c r="AF425" s="6" t="n">
        <v>-2.80232258372205</v>
      </c>
      <c r="AG425" s="6" t="n">
        <v>-1.490943034146183</v>
      </c>
      <c r="AH425" s="6" t="n">
        <v>-2.344327387886532</v>
      </c>
      <c r="AI425" s="6" t="n">
        <v>0.8289372788240578</v>
      </c>
      <c r="AJ425" s="6" t="n">
        <v>79.40096191974483</v>
      </c>
      <c r="AK425" s="6" t="n">
        <v>0.0991731770000961</v>
      </c>
      <c r="AL425" s="6" t="n">
        <v>1.099387189706339</v>
      </c>
      <c r="AN425" s="6" t="n">
        <v>1.325545006601257</v>
      </c>
      <c r="AO425" s="6" t="n">
        <v>1.330517035225678</v>
      </c>
      <c r="AP425" s="6" t="n">
        <v>0.1299934411839128</v>
      </c>
      <c r="AQ425" s="6" t="n">
        <v>0</v>
      </c>
      <c r="AR425" s="6" t="n">
        <v>0</v>
      </c>
    </row>
    <row r="426">
      <c r="D426" t="inlineStr">
        <is>
          <t>Run 114</t>
        </is>
      </c>
      <c r="J426" s="6" t="n">
        <v>-0.04657863766467362</v>
      </c>
      <c r="K426" s="6" t="n">
        <v>1.617175052978199</v>
      </c>
      <c r="L426" s="6" t="n">
        <v>0.9483370216926169</v>
      </c>
      <c r="M426" s="6" t="n">
        <v>-2.007679477274506</v>
      </c>
      <c r="N426" s="6" t="n">
        <v>0.6093567800370301</v>
      </c>
      <c r="O426" s="6" t="n">
        <v>3.346865357783294</v>
      </c>
      <c r="P426" s="6" t="n">
        <v>-1.086895958257584</v>
      </c>
      <c r="Q426" s="6" t="n">
        <v>1.446714340901685</v>
      </c>
      <c r="R426" s="6" t="n">
        <v>0.293141382065362</v>
      </c>
      <c r="S426" s="6" t="n">
        <v>-2.471020417786618</v>
      </c>
      <c r="T426" s="6" t="n">
        <v>-1.956247465120615</v>
      </c>
      <c r="U426" s="6" t="n">
        <v>0.8445051325495087</v>
      </c>
      <c r="V426" s="6" t="n">
        <v>-0.1804992997010481</v>
      </c>
      <c r="W426" s="6" t="n">
        <v>-0.725811988293301</v>
      </c>
      <c r="X426" s="6" t="n">
        <v>4.328867866848865</v>
      </c>
      <c r="Y426" s="6" t="n">
        <v>3.045325097123258</v>
      </c>
      <c r="Z426" s="6" t="n">
        <v>-1.340639215408306</v>
      </c>
      <c r="AA426" s="6" t="n">
        <v>-1.978438940788688</v>
      </c>
      <c r="AB426" s="6" t="n">
        <v>-2.309438620363431</v>
      </c>
      <c r="AC426" s="6" t="n">
        <v>-5.72851872987068</v>
      </c>
      <c r="AD426" s="6" t="n">
        <v>-1.160144571212861</v>
      </c>
      <c r="AE426" s="6" t="n">
        <v>0.5033296057006083</v>
      </c>
      <c r="AF426" s="6" t="n">
        <v>-0.6339158603100188</v>
      </c>
      <c r="AG426" s="6" t="n">
        <v>-0.7609742192526839</v>
      </c>
      <c r="AH426" s="6" t="n">
        <v>-0.1848914754948351</v>
      </c>
      <c r="AI426" s="6" t="n">
        <v>2.122549496566279</v>
      </c>
      <c r="AJ426" s="6" t="n">
        <v>75.28909221331838</v>
      </c>
      <c r="AK426" s="6" t="n">
        <v>0.0761999394257292</v>
      </c>
      <c r="AL426" s="6" t="n">
        <v>1.058249247534307</v>
      </c>
      <c r="AN426" s="6" t="n">
        <v>1.333280732885588</v>
      </c>
      <c r="AO426" s="6" t="n">
        <v>1.339599135234257</v>
      </c>
      <c r="AP426" s="6" t="n">
        <v>0.1328796798432293</v>
      </c>
      <c r="AQ426" s="6" t="n">
        <v>0</v>
      </c>
      <c r="AR426" s="6" t="n">
        <v>0</v>
      </c>
    </row>
    <row r="427">
      <c r="D427" t="inlineStr">
        <is>
          <t>Run 115</t>
        </is>
      </c>
      <c r="J427" s="6" t="n">
        <v>3.086880700036103</v>
      </c>
      <c r="K427" s="6" t="n">
        <v>-4.00153690475189</v>
      </c>
      <c r="L427" s="6" t="n">
        <v>-3.073266432088996</v>
      </c>
      <c r="M427" s="6" t="n">
        <v>2.027790955039547</v>
      </c>
      <c r="N427" s="6" t="n">
        <v>-0.5828937173727822</v>
      </c>
      <c r="O427" s="6" t="n">
        <v>0.6868581975086125</v>
      </c>
      <c r="P427" s="6" t="n">
        <v>0.2957654508149149</v>
      </c>
      <c r="Q427" s="6" t="n">
        <v>2.853306005881904</v>
      </c>
      <c r="R427" s="6" t="n">
        <v>0.2241102913637111</v>
      </c>
      <c r="S427" s="6" t="n">
        <v>-2.765799387459101</v>
      </c>
      <c r="T427" s="6" t="n">
        <v>-1.561029369783692</v>
      </c>
      <c r="U427" s="6" t="n">
        <v>1.710057451000695</v>
      </c>
      <c r="V427" s="6" t="n">
        <v>-2.588023709039642</v>
      </c>
      <c r="W427" s="6" t="n">
        <v>-1.50704571381057</v>
      </c>
      <c r="X427" s="6" t="n">
        <v>4.310410036111424</v>
      </c>
      <c r="Y427" s="6" t="n">
        <v>-0.3020156485997997</v>
      </c>
      <c r="Z427" s="6" t="n">
        <v>0.2012252633388534</v>
      </c>
      <c r="AA427" s="6" t="n">
        <v>2.53522585287568</v>
      </c>
      <c r="AB427" s="6" t="n">
        <v>1.99637119562482</v>
      </c>
      <c r="AC427" s="6" t="n">
        <v>-1.715037125372213</v>
      </c>
      <c r="AD427" s="6" t="n">
        <v>1.581023017766384</v>
      </c>
      <c r="AE427" s="6" t="n">
        <v>0.3940970279139673</v>
      </c>
      <c r="AF427" s="6" t="n">
        <v>2.128353819848174</v>
      </c>
      <c r="AG427" s="6" t="n">
        <v>-0.9846979851524711</v>
      </c>
      <c r="AH427" s="6" t="n">
        <v>0.8906112162770629</v>
      </c>
      <c r="AI427" s="6" t="n">
        <v>1.504847803281174</v>
      </c>
      <c r="AJ427" s="6" t="n">
        <v>76.56446096448691</v>
      </c>
      <c r="AK427" s="6" t="n">
        <v>0.1147838029173505</v>
      </c>
      <c r="AL427" s="6" t="n">
        <v>1.034298808882114</v>
      </c>
      <c r="AN427" s="6" t="n">
        <v>1.3440842324228</v>
      </c>
      <c r="AO427" s="6" t="n">
        <v>1.345888616232269</v>
      </c>
      <c r="AP427" s="6" t="n">
        <v>0.1344384523193427</v>
      </c>
      <c r="AQ427" s="6" t="n">
        <v>0</v>
      </c>
      <c r="AR427" s="6" t="n">
        <v>0</v>
      </c>
    </row>
    <row r="428">
      <c r="D428" t="inlineStr">
        <is>
          <t>Run 116</t>
        </is>
      </c>
      <c r="J428" s="6" t="n">
        <v>2.666945929397035</v>
      </c>
      <c r="K428" s="6" t="n">
        <v>-1.920387985892537</v>
      </c>
      <c r="L428" s="6" t="n">
        <v>0.7837428971788166</v>
      </c>
      <c r="M428" s="6" t="n">
        <v>-1.590947048880417</v>
      </c>
      <c r="N428" s="6" t="n">
        <v>-1.651140102549216</v>
      </c>
      <c r="O428" s="6" t="n">
        <v>-4.173599750955253</v>
      </c>
      <c r="P428" s="6" t="n">
        <v>-2.446453532719357</v>
      </c>
      <c r="Q428" s="6" t="n">
        <v>-2.079528479574544</v>
      </c>
      <c r="R428" s="6" t="n">
        <v>-3.405287878904484</v>
      </c>
      <c r="S428" s="6" t="n">
        <v>1.467520173892262</v>
      </c>
      <c r="T428" s="6" t="n">
        <v>-2.289264608479718</v>
      </c>
      <c r="U428" s="6" t="n">
        <v>-1.110393549424576</v>
      </c>
      <c r="V428" s="6" t="n">
        <v>-2.59292071808094</v>
      </c>
      <c r="W428" s="6" t="n">
        <v>-0.945962309106946</v>
      </c>
      <c r="X428" s="6" t="n">
        <v>0.3177459042797023</v>
      </c>
      <c r="Y428" s="6" t="n">
        <v>-2.929121335329924</v>
      </c>
      <c r="Z428" s="6" t="n">
        <v>2.275975515512592</v>
      </c>
      <c r="AA428" s="6" t="n">
        <v>0.1813882776411178</v>
      </c>
      <c r="AB428" s="6" t="n">
        <v>0.1015520566485018</v>
      </c>
      <c r="AC428" s="6" t="n">
        <v>-0.8284730762846672</v>
      </c>
      <c r="AD428" s="6" t="n">
        <v>1.879100734621448</v>
      </c>
      <c r="AE428" s="6" t="n">
        <v>2.571645265861619</v>
      </c>
      <c r="AF428" s="6" t="n">
        <v>-0.1884856004575582</v>
      </c>
      <c r="AG428" s="6" t="n">
        <v>-1.579073718719777</v>
      </c>
      <c r="AH428" s="6" t="n">
        <v>-0.247166628239582</v>
      </c>
      <c r="AI428" s="6" t="n">
        <v>1.975923714831602</v>
      </c>
      <c r="AJ428" s="6" t="n">
        <v>76.77808067676926</v>
      </c>
      <c r="AK428" s="6" t="n">
        <v>0.1632215970773332</v>
      </c>
      <c r="AL428" s="6" t="n">
        <v>1.046241495703999</v>
      </c>
      <c r="AN428" s="6" t="n">
        <v>1.335157378926486</v>
      </c>
      <c r="AO428" s="6" t="n">
        <v>1.338061978397002</v>
      </c>
      <c r="AP428" s="6" t="n">
        <v>0.1315862848956513</v>
      </c>
      <c r="AQ428" s="6" t="n">
        <v>0</v>
      </c>
      <c r="AR428" s="6" t="n">
        <v>0</v>
      </c>
    </row>
    <row r="429">
      <c r="D429" t="inlineStr">
        <is>
          <t>Run 117</t>
        </is>
      </c>
      <c r="J429" s="6" t="n">
        <v>2.798095096010993</v>
      </c>
      <c r="K429" s="6" t="n">
        <v>-2.289478886160452</v>
      </c>
      <c r="L429" s="6" t="n">
        <v>-0.6122284867307135</v>
      </c>
      <c r="M429" s="6" t="n">
        <v>-1.190190371951662</v>
      </c>
      <c r="N429" s="6" t="n">
        <v>1.635171019349063</v>
      </c>
      <c r="O429" s="6" t="n">
        <v>-1.7014142627134</v>
      </c>
      <c r="P429" s="6" t="n">
        <v>-4.202985625649573</v>
      </c>
      <c r="Q429" s="6" t="n">
        <v>-0.9618373983569855</v>
      </c>
      <c r="R429" s="6" t="n">
        <v>-2.097725564060573</v>
      </c>
      <c r="S429" s="6" t="n">
        <v>0.4434114410803185</v>
      </c>
      <c r="T429" s="6" t="n">
        <v>-0.9108960265282869</v>
      </c>
      <c r="U429" s="6" t="n">
        <v>-0.5802415790194803</v>
      </c>
      <c r="V429" s="6" t="n">
        <v>0.2802627479465912</v>
      </c>
      <c r="W429" s="6" t="n">
        <v>-1.388835619284335</v>
      </c>
      <c r="X429" s="6" t="n">
        <v>-1.997134231367408</v>
      </c>
      <c r="Y429" s="6" t="n">
        <v>1.726332379789737</v>
      </c>
      <c r="Z429" s="6" t="n">
        <v>-0.3889761860228463</v>
      </c>
      <c r="AA429" s="6" t="n">
        <v>-1.057066838134811</v>
      </c>
      <c r="AB429" s="6" t="n">
        <v>-1.354016269854917</v>
      </c>
      <c r="AC429" s="6" t="n">
        <v>0.6763860920727225</v>
      </c>
      <c r="AD429" s="6" t="n">
        <v>0.682768343210812</v>
      </c>
      <c r="AE429" s="6" t="n">
        <v>-2.812609229811224</v>
      </c>
      <c r="AF429" s="6" t="n">
        <v>-2.150579566329602</v>
      </c>
      <c r="AG429" s="6" t="n">
        <v>-0.1412278749809767</v>
      </c>
      <c r="AH429" s="6" t="n">
        <v>-1.434945966464839</v>
      </c>
      <c r="AI429" s="6" t="n">
        <v>1.150535795994979</v>
      </c>
      <c r="AJ429" s="6" t="n">
        <v>64.20468456501644</v>
      </c>
      <c r="AK429" s="6" t="n">
        <v>0.1193280755239182</v>
      </c>
      <c r="AL429" s="6" t="n">
        <v>1.089565729912348</v>
      </c>
      <c r="AN429" s="6" t="n">
        <v>1.329534663402664</v>
      </c>
      <c r="AO429" s="6" t="n">
        <v>1.330851710534926</v>
      </c>
      <c r="AP429" s="6" t="n">
        <v>0.1294527432060942</v>
      </c>
      <c r="AQ429" s="6" t="n">
        <v>0</v>
      </c>
      <c r="AR429" s="6" t="n">
        <v>0</v>
      </c>
    </row>
    <row r="430">
      <c r="D430" t="inlineStr">
        <is>
          <t>Run 118</t>
        </is>
      </c>
      <c r="J430" s="6" t="n">
        <v>-4.834958664679383</v>
      </c>
      <c r="K430" s="6" t="n">
        <v>0.5350257825234885</v>
      </c>
      <c r="L430" s="6" t="n">
        <v>-1.760581570120189</v>
      </c>
      <c r="M430" s="6" t="n">
        <v>1.604612837434653</v>
      </c>
      <c r="N430" s="6" t="n">
        <v>1.541123565836349</v>
      </c>
      <c r="O430" s="6" t="n">
        <v>-2.40272007948056</v>
      </c>
      <c r="P430" s="6" t="n">
        <v>2.037048683908346</v>
      </c>
      <c r="Q430" s="6" t="n">
        <v>1.142945832640946</v>
      </c>
      <c r="R430" s="6" t="n">
        <v>3.821172954361675</v>
      </c>
      <c r="S430" s="6" t="n">
        <v>-0.2472664088140455</v>
      </c>
      <c r="T430" s="6" t="n">
        <v>0.6005315863202346</v>
      </c>
      <c r="U430" s="6" t="n">
        <v>-2.355452573868685</v>
      </c>
      <c r="V430" s="6" t="n">
        <v>1.59060564618868</v>
      </c>
      <c r="W430" s="6" t="n">
        <v>1.770348044122983</v>
      </c>
      <c r="X430" s="6" t="n">
        <v>2.751559953403182</v>
      </c>
      <c r="Y430" s="6" t="n">
        <v>0.2385009146397404</v>
      </c>
      <c r="Z430" s="6" t="n">
        <v>-0.5568641313503355</v>
      </c>
      <c r="AA430" s="6" t="n">
        <v>-0.2041252516854634</v>
      </c>
      <c r="AB430" s="6" t="n">
        <v>-2.388920866262921</v>
      </c>
      <c r="AC430" s="6" t="n">
        <v>1.848884167326675</v>
      </c>
      <c r="AD430" s="6" t="n">
        <v>-0.06354212328175457</v>
      </c>
      <c r="AE430" s="6" t="n">
        <v>-2.707735818533057</v>
      </c>
      <c r="AF430" s="6" t="n">
        <v>1.082252520465589</v>
      </c>
      <c r="AG430" s="6" t="n">
        <v>-1.556569814972842</v>
      </c>
      <c r="AH430" s="6" t="n">
        <v>-1.25094912669927</v>
      </c>
      <c r="AI430" s="6" t="n">
        <v>2.663716657952045</v>
      </c>
      <c r="AJ430" s="6" t="n">
        <v>79.67741173764406</v>
      </c>
      <c r="AK430" s="6" t="n">
        <v>0.1218572018550317</v>
      </c>
      <c r="AL430" s="6" t="n">
        <v>1.097018358768105</v>
      </c>
      <c r="AN430" s="6" t="n">
        <v>1.332755641054826</v>
      </c>
      <c r="AO430" s="6" t="n">
        <v>1.332755641054826</v>
      </c>
      <c r="AP430" s="6" t="n">
        <v>0.1295219084665047</v>
      </c>
      <c r="AQ430" s="6" t="n">
        <v>0</v>
      </c>
      <c r="AR430" s="6" t="n">
        <v>0</v>
      </c>
    </row>
    <row r="431">
      <c r="D431" t="inlineStr">
        <is>
          <t>Run 119</t>
        </is>
      </c>
      <c r="J431" s="6" t="n">
        <v>2.391482802216256</v>
      </c>
      <c r="K431" s="6" t="n">
        <v>1.923327119348648</v>
      </c>
      <c r="L431" s="6" t="n">
        <v>1.619317580713547</v>
      </c>
      <c r="M431" s="6" t="n">
        <v>-1.974039208036923</v>
      </c>
      <c r="N431" s="6" t="n">
        <v>0.5951993509915652</v>
      </c>
      <c r="O431" s="6" t="n">
        <v>-1.914434654458315</v>
      </c>
      <c r="P431" s="6" t="n">
        <v>-0.4526212945896227</v>
      </c>
      <c r="Q431" s="6" t="n">
        <v>0.2641046483329579</v>
      </c>
      <c r="R431" s="6" t="n">
        <v>-1.31736464127597</v>
      </c>
      <c r="S431" s="6" t="n">
        <v>1.017290818500613</v>
      </c>
      <c r="T431" s="6" t="n">
        <v>0.7248358088901254</v>
      </c>
      <c r="U431" s="6" t="n">
        <v>0.5503178357519481</v>
      </c>
      <c r="V431" s="6" t="n">
        <v>0.9566494982504341</v>
      </c>
      <c r="W431" s="6" t="n">
        <v>-1.982993040757124</v>
      </c>
      <c r="X431" s="6" t="n">
        <v>1.491939047293465</v>
      </c>
      <c r="Y431" s="6" t="n">
        <v>1.735184064633797</v>
      </c>
      <c r="Z431" s="6" t="n">
        <v>0.7597370926287121</v>
      </c>
      <c r="AA431" s="6" t="n">
        <v>-0.1856660870385555</v>
      </c>
      <c r="AB431" s="6" t="n">
        <v>-0.9456833370445689</v>
      </c>
      <c r="AC431" s="6" t="n">
        <v>-1.013629651349812</v>
      </c>
      <c r="AD431" s="6" t="n">
        <v>-2.371392887959747</v>
      </c>
      <c r="AE431" s="6" t="n">
        <v>3.10753876473074</v>
      </c>
      <c r="AF431" s="6" t="n">
        <v>2.817389973497618</v>
      </c>
      <c r="AG431" s="6" t="n">
        <v>3.537759413271479</v>
      </c>
      <c r="AH431" s="6" t="n">
        <v>-1.714547538644478</v>
      </c>
      <c r="AI431" s="6" t="n">
        <v>3.675660268406955</v>
      </c>
      <c r="AJ431" s="6" t="n">
        <v>78.79762499983812</v>
      </c>
      <c r="AK431" s="6" t="n">
        <v>0.1802802245369337</v>
      </c>
      <c r="AL431" s="6" t="n">
        <v>1.039143867527612</v>
      </c>
      <c r="AN431" s="6" t="n">
        <v>1.334235720369447</v>
      </c>
      <c r="AO431" s="6" t="n">
        <v>1.340071729516582</v>
      </c>
      <c r="AP431" s="6" t="n">
        <v>0.1323946733428716</v>
      </c>
      <c r="AQ431" s="6" t="n">
        <v>0</v>
      </c>
      <c r="AR431" s="6" t="n">
        <v>0</v>
      </c>
    </row>
    <row r="432">
      <c r="D432" t="inlineStr">
        <is>
          <t>Run 120</t>
        </is>
      </c>
      <c r="J432" s="6" t="n">
        <v>1.922174908769418</v>
      </c>
      <c r="K432" s="6" t="n">
        <v>-3.457513052847722</v>
      </c>
      <c r="L432" s="6" t="n">
        <v>-0.2749741288221191</v>
      </c>
      <c r="M432" s="6" t="n">
        <v>2.898095978207137</v>
      </c>
      <c r="N432" s="6" t="n">
        <v>-3.450750176692842</v>
      </c>
      <c r="O432" s="6" t="n">
        <v>0.08456344943794822</v>
      </c>
      <c r="P432" s="6" t="n">
        <v>1.646996290785248</v>
      </c>
      <c r="Q432" s="6" t="n">
        <v>1.92771937029257</v>
      </c>
      <c r="R432" s="6" t="n">
        <v>0.6063974497731991</v>
      </c>
      <c r="S432" s="6" t="n">
        <v>0.4592725796910859</v>
      </c>
      <c r="T432" s="6" t="n">
        <v>1.036111609274398</v>
      </c>
      <c r="U432" s="6" t="n">
        <v>-2.581423954016995</v>
      </c>
      <c r="V432" s="6" t="n">
        <v>0.07179151147371919</v>
      </c>
      <c r="W432" s="6" t="n">
        <v>1.547661536137312</v>
      </c>
      <c r="X432" s="6" t="n">
        <v>-1.603964319353428</v>
      </c>
      <c r="Y432" s="6" t="n">
        <v>3.90768953240552</v>
      </c>
      <c r="Z432" s="6" t="n">
        <v>1.303311409128552</v>
      </c>
      <c r="AA432" s="6" t="n">
        <v>0.9472299724260221</v>
      </c>
      <c r="AB432" s="6" t="n">
        <v>-0.3200297957041968</v>
      </c>
      <c r="AC432" s="6" t="n">
        <v>-0.6535519839084497</v>
      </c>
      <c r="AD432" s="6" t="n">
        <v>-1.882383586533793</v>
      </c>
      <c r="AE432" s="6" t="n">
        <v>0.492626940922987</v>
      </c>
      <c r="AF432" s="6" t="n">
        <v>-1.105956875033355</v>
      </c>
      <c r="AG432" s="6" t="n">
        <v>-1.593284099200287</v>
      </c>
      <c r="AH432" s="6" t="n">
        <v>-2.535428354781011</v>
      </c>
      <c r="AI432" s="6" t="n">
        <v>0.400284559566613</v>
      </c>
      <c r="AJ432" s="6" t="n">
        <v>67.89046432878385</v>
      </c>
      <c r="AK432" s="6" t="n">
        <v>0.1616507416220773</v>
      </c>
      <c r="AL432" s="6" t="n">
        <v>1.053080727707365</v>
      </c>
      <c r="AN432" s="6" t="n">
        <v>1.338949911697173</v>
      </c>
      <c r="AO432" s="6" t="n">
        <v>1.340114834692223</v>
      </c>
      <c r="AP432" s="6" t="n">
        <v>0.1309337758519229</v>
      </c>
      <c r="AQ432" s="6" t="n">
        <v>0</v>
      </c>
      <c r="AR432" s="6" t="n">
        <v>0</v>
      </c>
    </row>
    <row r="433">
      <c r="D433" t="inlineStr">
        <is>
          <t>Run 121</t>
        </is>
      </c>
      <c r="J433" s="6" t="n">
        <v>0.9801614741268448</v>
      </c>
      <c r="K433" s="6" t="n">
        <v>1.16155807957968</v>
      </c>
      <c r="L433" s="6" t="n">
        <v>-1.066959031377076</v>
      </c>
      <c r="M433" s="6" t="n">
        <v>3.583156458025587</v>
      </c>
      <c r="N433" s="6" t="n">
        <v>-2.992158341218869</v>
      </c>
      <c r="O433" s="6" t="n">
        <v>-0.444914637983805</v>
      </c>
      <c r="P433" s="6" t="n">
        <v>-1.097091543231252</v>
      </c>
      <c r="Q433" s="6" t="n">
        <v>0.07710087354494857</v>
      </c>
      <c r="R433" s="6" t="n">
        <v>-0.6942101388172047</v>
      </c>
      <c r="S433" s="6" t="n">
        <v>3.135198160338172</v>
      </c>
      <c r="T433" s="6" t="n">
        <v>0.6214812971935793</v>
      </c>
      <c r="U433" s="6" t="n">
        <v>2.090679443873836</v>
      </c>
      <c r="V433" s="6" t="n">
        <v>-0.2267419666909419</v>
      </c>
      <c r="W433" s="6" t="n">
        <v>-2.569149512761147</v>
      </c>
      <c r="X433" s="6" t="n">
        <v>0.9673971427356982</v>
      </c>
      <c r="Y433" s="6" t="n">
        <v>-1.233107616750913</v>
      </c>
      <c r="Z433" s="6" t="n">
        <v>-1.730546810517031</v>
      </c>
      <c r="AA433" s="6" t="n">
        <v>0.9342379198276476</v>
      </c>
      <c r="AB433" s="6" t="n">
        <v>-0.241507287482854</v>
      </c>
      <c r="AC433" s="6" t="n">
        <v>-1.071615709254418</v>
      </c>
      <c r="AD433" s="6" t="n">
        <v>3.064692824953496</v>
      </c>
      <c r="AE433" s="6" t="n">
        <v>3.01153223446421</v>
      </c>
      <c r="AF433" s="6" t="n">
        <v>-0.1233197582339579</v>
      </c>
      <c r="AG433" s="6" t="n">
        <v>-2.873165871695455</v>
      </c>
      <c r="AH433" s="6" t="n">
        <v>-1.005877293172441</v>
      </c>
      <c r="AI433" s="6" t="n">
        <v>-2.263235217876185</v>
      </c>
      <c r="AJ433" s="6" t="n">
        <v>78.23961694645968</v>
      </c>
      <c r="AK433" s="6" t="n">
        <v>0.1276245009745799</v>
      </c>
      <c r="AL433" s="6" t="n">
        <v>1.027439185554086</v>
      </c>
      <c r="AN433" s="6" t="n">
        <v>1.35349062232438</v>
      </c>
      <c r="AO433" s="6" t="n">
        <v>1.35349062232438</v>
      </c>
      <c r="AP433" s="6" t="n">
        <v>0.1350378153543626</v>
      </c>
      <c r="AQ433" s="6" t="n">
        <v>0</v>
      </c>
      <c r="AR433" s="6" t="n">
        <v>0</v>
      </c>
    </row>
    <row r="434">
      <c r="D434" t="inlineStr">
        <is>
          <t>Run 122</t>
        </is>
      </c>
      <c r="J434" s="6" t="n">
        <v>-1.282725198864034</v>
      </c>
      <c r="K434" s="6" t="n">
        <v>2.535128943043806</v>
      </c>
      <c r="L434" s="6" t="n">
        <v>-2.294975452362084</v>
      </c>
      <c r="M434" s="6" t="n">
        <v>-0.075698323941603</v>
      </c>
      <c r="N434" s="6" t="n">
        <v>-1.223754407210889</v>
      </c>
      <c r="O434" s="6" t="n">
        <v>-0.1348271537904198</v>
      </c>
      <c r="P434" s="6" t="n">
        <v>-0.5823656880997901</v>
      </c>
      <c r="Q434" s="6" t="n">
        <v>5</v>
      </c>
      <c r="R434" s="6" t="n">
        <v>0.4438580552686257</v>
      </c>
      <c r="S434" s="6" t="n">
        <v>-1.331680170225448</v>
      </c>
      <c r="T434" s="6" t="n">
        <v>-4.866872183938618</v>
      </c>
      <c r="U434" s="6" t="n">
        <v>-2.32518075324818</v>
      </c>
      <c r="V434" s="6" t="n">
        <v>0.7088020276914347</v>
      </c>
      <c r="W434" s="6" t="n">
        <v>-2.910216803673147</v>
      </c>
      <c r="X434" s="6" t="n">
        <v>2.300833794403628</v>
      </c>
      <c r="Y434" s="6" t="n">
        <v>-2.888240576755678</v>
      </c>
      <c r="Z434" s="6" t="n">
        <v>-1.733414551638206</v>
      </c>
      <c r="AA434" s="6" t="n">
        <v>-1.790707676308904</v>
      </c>
      <c r="AB434" s="6" t="n">
        <v>3.338548323886501</v>
      </c>
      <c r="AC434" s="6" t="n">
        <v>2.300146034887371</v>
      </c>
      <c r="AD434" s="6" t="n">
        <v>-0.247346640573894</v>
      </c>
      <c r="AE434" s="6" t="n">
        <v>-0.896259342708765</v>
      </c>
      <c r="AF434" s="6" t="n">
        <v>-2.49973077293697</v>
      </c>
      <c r="AG434" s="6" t="n">
        <v>-2.642546636191949</v>
      </c>
      <c r="AH434" s="6" t="n">
        <v>-0.549647055887973</v>
      </c>
      <c r="AI434" s="6" t="n">
        <v>-0.9222302345430945</v>
      </c>
      <c r="AJ434" s="6" t="n">
        <v>62.640022468716</v>
      </c>
      <c r="AK434" s="6" t="n">
        <v>0.06397100310347234</v>
      </c>
      <c r="AL434" s="6" t="n">
        <v>1.117485622056832</v>
      </c>
      <c r="AN434" s="6" t="n">
        <v>1.329113234900414</v>
      </c>
      <c r="AO434" s="6" t="n">
        <v>1.329176031507643</v>
      </c>
      <c r="AP434" s="6" t="n">
        <v>0.1292983078778176</v>
      </c>
      <c r="AQ434" s="6" t="n">
        <v>0</v>
      </c>
      <c r="AR434" s="6" t="n">
        <v>0</v>
      </c>
    </row>
    <row r="435">
      <c r="D435" t="inlineStr">
        <is>
          <t>Run 123</t>
        </is>
      </c>
      <c r="J435" s="6" t="n">
        <v>-1.602662695920301</v>
      </c>
      <c r="K435" s="6" t="n">
        <v>0.3434277428067399</v>
      </c>
      <c r="L435" s="6" t="n">
        <v>-1.672578991619324</v>
      </c>
      <c r="M435" s="6" t="n">
        <v>2.375364962311569</v>
      </c>
      <c r="N435" s="6" t="n">
        <v>3.308618001715841</v>
      </c>
      <c r="O435" s="6" t="n">
        <v>1.097223198471144</v>
      </c>
      <c r="P435" s="6" t="n">
        <v>-0.4276184769143052</v>
      </c>
      <c r="Q435" s="6" t="n">
        <v>3.729609503249802</v>
      </c>
      <c r="R435" s="6" t="n">
        <v>-1.716352238083572</v>
      </c>
      <c r="S435" s="6" t="n">
        <v>1.359265662243852</v>
      </c>
      <c r="T435" s="6" t="n">
        <v>0.838064178415535</v>
      </c>
      <c r="U435" s="6" t="n">
        <v>1.182239674522714</v>
      </c>
      <c r="V435" s="6" t="n">
        <v>-0.371536019266506</v>
      </c>
      <c r="W435" s="6" t="n">
        <v>-1.052124584952763</v>
      </c>
      <c r="X435" s="6" t="n">
        <v>0.2139244296009601</v>
      </c>
      <c r="Y435" s="6" t="n">
        <v>-0.5130932087184361</v>
      </c>
      <c r="Z435" s="6" t="n">
        <v>-0.9359015313190046</v>
      </c>
      <c r="AA435" s="6" t="n">
        <v>-0.6663407743018437</v>
      </c>
      <c r="AB435" s="6" t="n">
        <v>2.505988853004122</v>
      </c>
      <c r="AC435" s="6" t="n">
        <v>0.01933139136936098</v>
      </c>
      <c r="AD435" s="6" t="n">
        <v>-1.090184032105988</v>
      </c>
      <c r="AE435" s="6" t="n">
        <v>-2.365222539735369</v>
      </c>
      <c r="AF435" s="6" t="n">
        <v>1.891041154757982</v>
      </c>
      <c r="AG435" s="6" t="n">
        <v>-2.132425857983582</v>
      </c>
      <c r="AH435" s="6" t="n">
        <v>-0.278145460578068</v>
      </c>
      <c r="AI435" s="6" t="n">
        <v>-1.096399125250821</v>
      </c>
      <c r="AJ435" s="6" t="n">
        <v>76.65922955713212</v>
      </c>
      <c r="AK435" s="6" t="n">
        <v>0.1311746441217194</v>
      </c>
      <c r="AL435" s="6" t="n">
        <v>1.073742023562023</v>
      </c>
      <c r="AN435" s="6" t="n">
        <v>1.337805539053616</v>
      </c>
      <c r="AO435" s="6" t="n">
        <v>1.338076811321077</v>
      </c>
      <c r="AP435" s="6" t="n">
        <v>0.1306937034467628</v>
      </c>
      <c r="AQ435" s="6" t="n">
        <v>0</v>
      </c>
      <c r="AR435" s="6" t="n">
        <v>0</v>
      </c>
    </row>
    <row r="436">
      <c r="D436" t="inlineStr">
        <is>
          <t>Run 124</t>
        </is>
      </c>
      <c r="J436" s="6" t="n">
        <v>0.7948746660064233</v>
      </c>
      <c r="K436" s="6" t="n">
        <v>0.1474071492019313</v>
      </c>
      <c r="L436" s="6" t="n">
        <v>-1.138963914769591</v>
      </c>
      <c r="M436" s="6" t="n">
        <v>-0.06603368244235225</v>
      </c>
      <c r="N436" s="6" t="n">
        <v>-1.287756465616608</v>
      </c>
      <c r="O436" s="6" t="n">
        <v>-0.5680273907481677</v>
      </c>
      <c r="P436" s="6" t="n">
        <v>-0.2156961761350832</v>
      </c>
      <c r="Q436" s="6" t="n">
        <v>-3.197985016972912</v>
      </c>
      <c r="R436" s="6" t="n">
        <v>-2.879766063114255</v>
      </c>
      <c r="S436" s="6" t="n">
        <v>4.451135899537267</v>
      </c>
      <c r="T436" s="6" t="n">
        <v>1.22555365961484</v>
      </c>
      <c r="U436" s="6" t="n">
        <v>2.525250256129957</v>
      </c>
      <c r="V436" s="6" t="n">
        <v>1.168239350659562</v>
      </c>
      <c r="W436" s="6" t="n">
        <v>-1.605980495944889</v>
      </c>
      <c r="X436" s="6" t="n">
        <v>0.206570804455074</v>
      </c>
      <c r="Y436" s="6" t="n">
        <v>3.469126418939936</v>
      </c>
      <c r="Z436" s="6" t="n">
        <v>-4.297138707205099</v>
      </c>
      <c r="AA436" s="6" t="n">
        <v>-0.1706386799696719</v>
      </c>
      <c r="AB436" s="6" t="n">
        <v>0.2650440050595765</v>
      </c>
      <c r="AC436" s="6" t="n">
        <v>2.614854015629176</v>
      </c>
      <c r="AD436" s="6" t="n">
        <v>-1.580448345701002</v>
      </c>
      <c r="AE436" s="6" t="n">
        <v>0.226413632536375</v>
      </c>
      <c r="AF436" s="6" t="n">
        <v>-0.3319063183335416</v>
      </c>
      <c r="AG436" s="6" t="n">
        <v>-3.743125009689351</v>
      </c>
      <c r="AH436" s="6" t="n">
        <v>-2.619258937288515</v>
      </c>
      <c r="AI436" s="6" t="n">
        <v>-2.255944985610072</v>
      </c>
      <c r="AJ436" s="6" t="n">
        <v>73.96164725521589</v>
      </c>
      <c r="AK436" s="6" t="n">
        <v>0.07475988339939116</v>
      </c>
      <c r="AL436" s="6" t="n">
        <v>1.012002367076952</v>
      </c>
      <c r="AN436" s="6" t="n">
        <v>1.354263733025097</v>
      </c>
      <c r="AO436" s="6" t="n">
        <v>1.354263733025097</v>
      </c>
      <c r="AP436" s="6" t="n">
        <v>0.1376520899978386</v>
      </c>
      <c r="AQ436" s="6" t="n">
        <v>0</v>
      </c>
      <c r="AR436" s="6" t="n">
        <v>0</v>
      </c>
    </row>
    <row r="437">
      <c r="D437" t="inlineStr">
        <is>
          <t>Run 125</t>
        </is>
      </c>
      <c r="J437" s="6" t="n">
        <v>0.04941068836279676</v>
      </c>
      <c r="K437" s="6" t="n">
        <v>-0.8411631236367783</v>
      </c>
      <c r="L437" s="6" t="n">
        <v>1.870559773460397</v>
      </c>
      <c r="M437" s="6" t="n">
        <v>3.037692293735243</v>
      </c>
      <c r="N437" s="6" t="n">
        <v>0.1683844397017447</v>
      </c>
      <c r="O437" s="6" t="n">
        <v>-2.617590622845164</v>
      </c>
      <c r="P437" s="6" t="n">
        <v>-1.723438694926491</v>
      </c>
      <c r="Q437" s="6" t="n">
        <v>-0.1576672600774506</v>
      </c>
      <c r="R437" s="6" t="n">
        <v>2.214564664131612</v>
      </c>
      <c r="S437" s="6" t="n">
        <v>-2.434953163510581</v>
      </c>
      <c r="T437" s="6" t="n">
        <v>-2.742850938178527</v>
      </c>
      <c r="U437" s="6" t="n">
        <v>2.080777930785144</v>
      </c>
      <c r="V437" s="6" t="n">
        <v>0.5637171524099324</v>
      </c>
      <c r="W437" s="6" t="n">
        <v>-2.10518815881757</v>
      </c>
      <c r="X437" s="6" t="n">
        <v>3.371468866425269</v>
      </c>
      <c r="Y437" s="6" t="n">
        <v>0.1665280001883594</v>
      </c>
      <c r="Z437" s="6" t="n">
        <v>2.231314045267539</v>
      </c>
      <c r="AA437" s="6" t="n">
        <v>2.074560922367843</v>
      </c>
      <c r="AB437" s="6" t="n">
        <v>3.315367561829869</v>
      </c>
      <c r="AC437" s="6" t="n">
        <v>-7.812469900070637</v>
      </c>
      <c r="AD437" s="6" t="n">
        <v>-1.517689573040043</v>
      </c>
      <c r="AE437" s="6" t="n">
        <v>-1.623372892378991</v>
      </c>
      <c r="AF437" s="6" t="n">
        <v>-1.698759663008394</v>
      </c>
      <c r="AG437" s="6" t="n">
        <v>0.9166103764758877</v>
      </c>
      <c r="AH437" s="6" t="n">
        <v>2.077463498881773</v>
      </c>
      <c r="AI437" s="6" t="n">
        <v>-0.4749282391935569</v>
      </c>
      <c r="AJ437" s="6" t="n">
        <v>79.12914410794214</v>
      </c>
      <c r="AK437" s="6" t="n">
        <v>0.04915453031601265</v>
      </c>
      <c r="AL437" s="6" t="n">
        <v>1.125291087193354</v>
      </c>
      <c r="AN437" s="6" t="n">
        <v>1.33290332422564</v>
      </c>
      <c r="AO437" s="6" t="n">
        <v>1.333252323707693</v>
      </c>
      <c r="AP437" s="6" t="n">
        <v>0.1301620660052654</v>
      </c>
      <c r="AQ437" s="6" t="n">
        <v>0</v>
      </c>
      <c r="AR437" s="6" t="n">
        <v>0</v>
      </c>
    </row>
    <row r="438">
      <c r="D438" t="inlineStr">
        <is>
          <t>Run 126</t>
        </is>
      </c>
      <c r="J438" s="6" t="n">
        <v>1.908428286697555</v>
      </c>
      <c r="K438" s="6" t="n">
        <v>3.178800466696873</v>
      </c>
      <c r="L438" s="6" t="n">
        <v>0.2494433525803489</v>
      </c>
      <c r="M438" s="6" t="n">
        <v>2.176926421963989</v>
      </c>
      <c r="N438" s="6" t="n">
        <v>-1.013122829724448</v>
      </c>
      <c r="O438" s="6" t="n">
        <v>-1.353412647500791</v>
      </c>
      <c r="P438" s="6" t="n">
        <v>-0.5314310708765044</v>
      </c>
      <c r="Q438" s="6" t="n">
        <v>0.01043639652398369</v>
      </c>
      <c r="R438" s="6" t="n">
        <v>0.5971971431203844</v>
      </c>
      <c r="S438" s="6" t="n">
        <v>-0.9687095130523027</v>
      </c>
      <c r="T438" s="6" t="n">
        <v>0.9676322676737176</v>
      </c>
      <c r="U438" s="6" t="n">
        <v>2.075775879486633</v>
      </c>
      <c r="V438" s="6" t="n">
        <v>-3.218761552590287</v>
      </c>
      <c r="W438" s="6" t="n">
        <v>-0.3982528662665624</v>
      </c>
      <c r="X438" s="6" t="n">
        <v>1.371604906623875</v>
      </c>
      <c r="Y438" s="6" t="n">
        <v>2.378596960921094</v>
      </c>
      <c r="Z438" s="6" t="n">
        <v>-3.534786858065428</v>
      </c>
      <c r="AA438" s="6" t="n">
        <v>0.8962786575657776</v>
      </c>
      <c r="AB438" s="6" t="n">
        <v>1.173438167332747</v>
      </c>
      <c r="AC438" s="6" t="n">
        <v>-1.351286204565207</v>
      </c>
      <c r="AD438" s="6" t="n">
        <v>-1.899470433358582</v>
      </c>
      <c r="AE438" s="6" t="n">
        <v>-2.996637106265088</v>
      </c>
      <c r="AF438" s="6" t="n">
        <v>-2.189718635782757</v>
      </c>
      <c r="AG438" s="6" t="n">
        <v>2.833324183324372</v>
      </c>
      <c r="AH438" s="6" t="n">
        <v>-0.6069081107768846</v>
      </c>
      <c r="AI438" s="6" t="n">
        <v>0.452040049110538</v>
      </c>
      <c r="AJ438" s="6" t="n">
        <v>63.90934356143458</v>
      </c>
      <c r="AK438" s="6" t="n">
        <v>0.1561724825028103</v>
      </c>
      <c r="AL438" s="6" t="n">
        <v>1.02898219587292</v>
      </c>
      <c r="AN438" s="6" t="n">
        <v>1.345775691045822</v>
      </c>
      <c r="AO438" s="6" t="n">
        <v>1.345798532179334</v>
      </c>
      <c r="AP438" s="6" t="n">
        <v>0.133098501137635</v>
      </c>
      <c r="AQ438" s="6" t="n">
        <v>0</v>
      </c>
      <c r="AR438" s="6" t="n">
        <v>0</v>
      </c>
    </row>
    <row r="439">
      <c r="D439" t="inlineStr">
        <is>
          <t>Run 127</t>
        </is>
      </c>
      <c r="J439" s="6" t="n">
        <v>-1.068764170369856</v>
      </c>
      <c r="K439" s="6" t="n">
        <v>-0.1514956049255877</v>
      </c>
      <c r="L439" s="6" t="n">
        <v>-0.5265849445224664</v>
      </c>
      <c r="M439" s="6" t="n">
        <v>1.322964583692767</v>
      </c>
      <c r="N439" s="6" t="n">
        <v>-0.3738193796103648</v>
      </c>
      <c r="O439" s="6" t="n">
        <v>2.141631399314174</v>
      </c>
      <c r="P439" s="6" t="n">
        <v>-0.6306829587063236</v>
      </c>
      <c r="Q439" s="6" t="n">
        <v>-0.3828460750210645</v>
      </c>
      <c r="R439" s="6" t="n">
        <v>1.56020392419659</v>
      </c>
      <c r="S439" s="6" t="n">
        <v>-1.663611290849725</v>
      </c>
      <c r="T439" s="6" t="n">
        <v>0.3302595532853338</v>
      </c>
      <c r="U439" s="6" t="n">
        <v>-3.024090766730688</v>
      </c>
      <c r="V439" s="6" t="n">
        <v>1.061658476422193</v>
      </c>
      <c r="W439" s="6" t="n">
        <v>0.6772563847286017</v>
      </c>
      <c r="X439" s="6" t="n">
        <v>-0.9791680422123755</v>
      </c>
      <c r="Y439" s="6" t="n">
        <v>1.759928963985345</v>
      </c>
      <c r="Z439" s="6" t="n">
        <v>3.140832966324701</v>
      </c>
      <c r="AA439" s="6" t="n">
        <v>-2.210121411957207</v>
      </c>
      <c r="AB439" s="6" t="n">
        <v>-2.611240387226352</v>
      </c>
      <c r="AC439" s="6" t="n">
        <v>-0.8814808001345336</v>
      </c>
      <c r="AD439" s="6" t="n">
        <v>-1.222194622393542</v>
      </c>
      <c r="AE439" s="6" t="n">
        <v>-1.180733015783328</v>
      </c>
      <c r="AF439" s="6" t="n">
        <v>0.6456103140921776</v>
      </c>
      <c r="AG439" s="6" t="n">
        <v>3.275219913803096</v>
      </c>
      <c r="AH439" s="6" t="n">
        <v>-0.4729945330596119</v>
      </c>
      <c r="AI439" s="6" t="n">
        <v>3.251346624997654</v>
      </c>
      <c r="AJ439" s="6" t="n">
        <v>82.7504133154425</v>
      </c>
      <c r="AK439" s="6" t="n">
        <v>0.123004697704672</v>
      </c>
      <c r="AL439" s="6" t="n">
        <v>1.049877023265676</v>
      </c>
      <c r="AN439" s="6" t="n">
        <v>1.35072291450628</v>
      </c>
      <c r="AO439" s="6" t="n">
        <v>1.351347250649368</v>
      </c>
      <c r="AP439" s="6" t="n">
        <v>0.1331389610457461</v>
      </c>
      <c r="AQ439" s="6" t="n">
        <v>0</v>
      </c>
      <c r="AR439" s="6" t="n">
        <v>0</v>
      </c>
    </row>
    <row r="440">
      <c r="D440" t="inlineStr">
        <is>
          <t>Run 128</t>
        </is>
      </c>
      <c r="J440" s="6" t="n">
        <v>3.826339864350707</v>
      </c>
      <c r="K440" s="6" t="n">
        <v>0.1336432966928236</v>
      </c>
      <c r="L440" s="6" t="n">
        <v>-1.067022164954736</v>
      </c>
      <c r="M440" s="6" t="n">
        <v>-3.341169821038943</v>
      </c>
      <c r="N440" s="6" t="n">
        <v>-1.080984203205908</v>
      </c>
      <c r="O440" s="6" t="n">
        <v>-0.2662492004900345</v>
      </c>
      <c r="P440" s="6" t="n">
        <v>1.202788377201888</v>
      </c>
      <c r="Q440" s="6" t="n">
        <v>-2.95496428781023</v>
      </c>
      <c r="R440" s="6" t="n">
        <v>3.997134281878902</v>
      </c>
      <c r="S440" s="6" t="n">
        <v>3.73946409963968</v>
      </c>
      <c r="T440" s="6" t="n">
        <v>-0.7396843126752077</v>
      </c>
      <c r="U440" s="6" t="n">
        <v>-3.15411584017016</v>
      </c>
      <c r="V440" s="6" t="n">
        <v>-0.8491722385303879</v>
      </c>
      <c r="W440" s="6" t="n">
        <v>3.906891063598892</v>
      </c>
      <c r="X440" s="6" t="n">
        <v>-1.519298691979619</v>
      </c>
      <c r="Y440" s="6" t="n">
        <v>1.830112598496181</v>
      </c>
      <c r="Z440" s="6" t="n">
        <v>-0.09509258846447445</v>
      </c>
      <c r="AA440" s="6" t="n">
        <v>0.7244942561519151</v>
      </c>
      <c r="AB440" s="6" t="n">
        <v>1.185803249054159</v>
      </c>
      <c r="AC440" s="6" t="n">
        <v>1.47065037683167</v>
      </c>
      <c r="AD440" s="6" t="n">
        <v>2.632747790783691</v>
      </c>
      <c r="AE440" s="6" t="n">
        <v>2.232469113113702</v>
      </c>
      <c r="AF440" s="6" t="n">
        <v>-5.129285211700569</v>
      </c>
      <c r="AG440" s="6" t="n">
        <v>-1.092726006736141</v>
      </c>
      <c r="AH440" s="6" t="n">
        <v>-0.6808317996472707</v>
      </c>
      <c r="AI440" s="6" t="n">
        <v>-1.585779287895696</v>
      </c>
      <c r="AJ440" s="6" t="n">
        <v>70.5802689504639</v>
      </c>
      <c r="AK440" s="6" t="n">
        <v>0.0745724641981638</v>
      </c>
      <c r="AL440" s="6" t="n">
        <v>1.027787733096445</v>
      </c>
      <c r="AN440" s="6" t="n">
        <v>1.321150730815118</v>
      </c>
      <c r="AO440" s="6" t="n">
        <v>1.329262184053241</v>
      </c>
      <c r="AP440" s="6" t="n">
        <v>0.1348750131173336</v>
      </c>
      <c r="AQ440" s="6" t="n">
        <v>0</v>
      </c>
      <c r="AR440" s="6" t="n">
        <v>0</v>
      </c>
    </row>
    <row r="441">
      <c r="D441" t="inlineStr">
        <is>
          <t>Run 129</t>
        </is>
      </c>
      <c r="J441" s="6" t="n">
        <v>1.118597109637879</v>
      </c>
      <c r="K441" s="6" t="n">
        <v>-2.461981779042602</v>
      </c>
      <c r="L441" s="6" t="n">
        <v>-0.3766955361528052</v>
      </c>
      <c r="M441" s="6" t="n">
        <v>3.109072072456038</v>
      </c>
      <c r="N441" s="6" t="n">
        <v>4.292146188015938</v>
      </c>
      <c r="O441" s="6" t="n">
        <v>-0.921660306458611</v>
      </c>
      <c r="P441" s="6" t="n">
        <v>5</v>
      </c>
      <c r="Q441" s="6" t="n">
        <v>-1.430206868803533</v>
      </c>
      <c r="R441" s="6" t="n">
        <v>-0.1301004116059759</v>
      </c>
      <c r="S441" s="6" t="n">
        <v>0.1772302810373033</v>
      </c>
      <c r="T441" s="6" t="n">
        <v>1.656032977732889</v>
      </c>
      <c r="U441" s="6" t="n">
        <v>-0.0551003404792334</v>
      </c>
      <c r="V441" s="6" t="n">
        <v>1.574406006548006</v>
      </c>
      <c r="W441" s="6" t="n">
        <v>-2.803021664285513</v>
      </c>
      <c r="X441" s="6" t="n">
        <v>-1.963119193396161</v>
      </c>
      <c r="Y441" s="6" t="n">
        <v>0.5588119457798858</v>
      </c>
      <c r="Z441" s="6" t="n">
        <v>-1.89628009386721</v>
      </c>
      <c r="AA441" s="6" t="n">
        <v>-4.110172839291762</v>
      </c>
      <c r="AB441" s="6" t="n">
        <v>-2.251536938392923</v>
      </c>
      <c r="AC441" s="6" t="n">
        <v>-0.5072825252285784</v>
      </c>
      <c r="AD441" s="6" t="n">
        <v>-1.693672510512395</v>
      </c>
      <c r="AE441" s="6" t="n">
        <v>-2.576553578694688</v>
      </c>
      <c r="AF441" s="6" t="n">
        <v>-1.308323633842141</v>
      </c>
      <c r="AG441" s="6" t="n">
        <v>1.939346522613858</v>
      </c>
      <c r="AH441" s="6" t="n">
        <v>-0.6470008905326842</v>
      </c>
      <c r="AI441" s="6" t="n">
        <v>0.1804703231447976</v>
      </c>
      <c r="AJ441" s="6" t="n">
        <v>73.74403550952437</v>
      </c>
      <c r="AK441" s="6" t="n">
        <v>0.08827842120677158</v>
      </c>
      <c r="AL441" s="6" t="n">
        <v>1.077835621059511</v>
      </c>
      <c r="AN441" s="6" t="n">
        <v>1.338530389234011</v>
      </c>
      <c r="AO441" s="6" t="n">
        <v>1.338785703792321</v>
      </c>
      <c r="AP441" s="6" t="n">
        <v>0.1312179257217479</v>
      </c>
      <c r="AQ441" s="6" t="n">
        <v>0</v>
      </c>
      <c r="AR441" s="6" t="n">
        <v>0</v>
      </c>
    </row>
    <row r="442">
      <c r="D442" t="inlineStr">
        <is>
          <t>Run 130</t>
        </is>
      </c>
      <c r="J442" s="6" t="n">
        <v>-0.5075458108921058</v>
      </c>
      <c r="K442" s="6" t="n">
        <v>2.066352078597256</v>
      </c>
      <c r="L442" s="6" t="n">
        <v>-3.395016483435089</v>
      </c>
      <c r="M442" s="6" t="n">
        <v>-0.6925760211928432</v>
      </c>
      <c r="N442" s="6" t="n">
        <v>0.79538192607896</v>
      </c>
      <c r="O442" s="6" t="n">
        <v>-0.4391073971260635</v>
      </c>
      <c r="P442" s="6" t="n">
        <v>0.7346853317771899</v>
      </c>
      <c r="Q442" s="6" t="n">
        <v>1.424166321753571</v>
      </c>
      <c r="R442" s="6" t="n">
        <v>-4.738818085803493</v>
      </c>
      <c r="S442" s="6" t="n">
        <v>1.903003098557923</v>
      </c>
      <c r="T442" s="6" t="n">
        <v>4.830708031531959</v>
      </c>
      <c r="U442" s="6" t="n">
        <v>0.3758107010010694</v>
      </c>
      <c r="V442" s="6" t="n">
        <v>-0.5425621805556208</v>
      </c>
      <c r="W442" s="6" t="n">
        <v>-0.1962394028642173</v>
      </c>
      <c r="X442" s="6" t="n">
        <v>4.512664271444165</v>
      </c>
      <c r="Y442" s="6" t="n">
        <v>-0.643621446892665</v>
      </c>
      <c r="Z442" s="6" t="n">
        <v>2.904644560399043</v>
      </c>
      <c r="AA442" s="6" t="n">
        <v>-3.37965899074126</v>
      </c>
      <c r="AB442" s="6" t="n">
        <v>-3.447241004402776</v>
      </c>
      <c r="AC442" s="6" t="n">
        <v>2.087796891926873</v>
      </c>
      <c r="AD442" s="6" t="n">
        <v>5</v>
      </c>
      <c r="AE442" s="6" t="n">
        <v>-1.246608113511423</v>
      </c>
      <c r="AF442" s="6" t="n">
        <v>-1.304369889262205</v>
      </c>
      <c r="AG442" s="6" t="n">
        <v>3.502543436625821</v>
      </c>
      <c r="AH442" s="6" t="n">
        <v>0.8654703831663481</v>
      </c>
      <c r="AI442" s="6" t="n">
        <v>4.151902363392358</v>
      </c>
      <c r="AJ442" s="6" t="n">
        <v>71.17797567412505</v>
      </c>
      <c r="AK442" s="6" t="n">
        <v>0.07665169083138959</v>
      </c>
      <c r="AL442" s="6" t="n">
        <v>1.020202548959867</v>
      </c>
      <c r="AN442" s="6" t="n">
        <v>1.352553804536107</v>
      </c>
      <c r="AO442" s="6" t="n">
        <v>1.353003382850092</v>
      </c>
      <c r="AP442" s="6" t="n">
        <v>0.1366353686127962</v>
      </c>
      <c r="AQ442" s="6" t="n">
        <v>0</v>
      </c>
      <c r="AR442" s="6" t="n">
        <v>0</v>
      </c>
    </row>
    <row r="443">
      <c r="D443" t="inlineStr">
        <is>
          <t>Run 131</t>
        </is>
      </c>
      <c r="J443" s="6" t="n">
        <v>3.493264526256772</v>
      </c>
      <c r="K443" s="6" t="n">
        <v>0.818813854808094</v>
      </c>
      <c r="L443" s="6" t="n">
        <v>0.8700307779193687</v>
      </c>
      <c r="M443" s="6" t="n">
        <v>-4.232068179645633</v>
      </c>
      <c r="N443" s="6" t="n">
        <v>-2.570310626500161</v>
      </c>
      <c r="O443" s="6" t="n">
        <v>1.167555025949257</v>
      </c>
      <c r="P443" s="6" t="n">
        <v>-1.774738664121152</v>
      </c>
      <c r="Q443" s="6" t="n">
        <v>1.439145069597288</v>
      </c>
      <c r="R443" s="6" t="n">
        <v>-3.142700146652631</v>
      </c>
      <c r="S443" s="6" t="n">
        <v>1.24044795850811</v>
      </c>
      <c r="T443" s="6" t="n">
        <v>-0.7127241689600101</v>
      </c>
      <c r="U443" s="6" t="n">
        <v>1.705514528703363</v>
      </c>
      <c r="V443" s="6" t="n">
        <v>0.663301793240204</v>
      </c>
      <c r="W443" s="6" t="n">
        <v>-0.3880721674246177</v>
      </c>
      <c r="X443" s="6" t="n">
        <v>0.1599108100669917</v>
      </c>
      <c r="Y443" s="6" t="n">
        <v>-0.138022314123863</v>
      </c>
      <c r="Z443" s="6" t="n">
        <v>-2.219259862653497</v>
      </c>
      <c r="AA443" s="6" t="n">
        <v>-2.360134126104713</v>
      </c>
      <c r="AB443" s="6" t="n">
        <v>-4.38932800831196</v>
      </c>
      <c r="AC443" s="6" t="n">
        <v>-1.037372602082533</v>
      </c>
      <c r="AD443" s="6" t="n">
        <v>-2.261684682568737</v>
      </c>
      <c r="AE443" s="6" t="n">
        <v>-3.126032095922998</v>
      </c>
      <c r="AF443" s="6" t="n">
        <v>0.1819156149899656</v>
      </c>
      <c r="AG443" s="6" t="n">
        <v>2.669322744012497</v>
      </c>
      <c r="AH443" s="6" t="n">
        <v>-0.2467295466579266</v>
      </c>
      <c r="AI443" s="6" t="n">
        <v>-0.4028515286549504</v>
      </c>
      <c r="AJ443" s="6" t="n">
        <v>71.53611067193469</v>
      </c>
      <c r="AK443" s="6" t="n">
        <v>0.1627425347420316</v>
      </c>
      <c r="AL443" s="6" t="n">
        <v>1.027997106977985</v>
      </c>
      <c r="AN443" s="6" t="n">
        <v>1.303049430996836</v>
      </c>
      <c r="AO443" s="6" t="n">
        <v>1.307080495875391</v>
      </c>
      <c r="AP443" s="6" t="n">
        <v>0.1331131295690399</v>
      </c>
      <c r="AQ443" s="6" t="n">
        <v>0</v>
      </c>
      <c r="AR443" s="6" t="n">
        <v>0</v>
      </c>
    </row>
    <row r="444">
      <c r="D444" t="inlineStr">
        <is>
          <t>Run 132</t>
        </is>
      </c>
      <c r="J444" s="6" t="n">
        <v>0.492042621909752</v>
      </c>
      <c r="K444" s="6" t="n">
        <v>0.6969228239241634</v>
      </c>
      <c r="L444" s="6" t="n">
        <v>2.87157844832529</v>
      </c>
      <c r="M444" s="6" t="n">
        <v>0.6075152134103705</v>
      </c>
      <c r="N444" s="6" t="n">
        <v>-0.01236861252640807</v>
      </c>
      <c r="O444" s="6" t="n">
        <v>-1.535254718805604</v>
      </c>
      <c r="P444" s="6" t="n">
        <v>0.8765572879580615</v>
      </c>
      <c r="Q444" s="6" t="n">
        <v>1.582134376592172</v>
      </c>
      <c r="R444" s="6" t="n">
        <v>1.216988409260923</v>
      </c>
      <c r="S444" s="6" t="n">
        <v>4.123414308511658</v>
      </c>
      <c r="T444" s="6" t="n">
        <v>0.9512220573168607</v>
      </c>
      <c r="U444" s="6" t="n">
        <v>-3.652196443480658</v>
      </c>
      <c r="V444" s="6" t="n">
        <v>-2.07616305447015</v>
      </c>
      <c r="W444" s="6" t="n">
        <v>1.047953752940058</v>
      </c>
      <c r="X444" s="6" t="n">
        <v>2.888555284803214</v>
      </c>
      <c r="Y444" s="6" t="n">
        <v>1.717712630126086</v>
      </c>
      <c r="Z444" s="6" t="n">
        <v>-0.9203656988972486</v>
      </c>
      <c r="AA444" s="6" t="n">
        <v>-1.45284069109884</v>
      </c>
      <c r="AB444" s="6" t="n">
        <v>3.126815263775661</v>
      </c>
      <c r="AC444" s="6" t="n">
        <v>1.327839911269297</v>
      </c>
      <c r="AD444" s="6" t="n">
        <v>1.531551961401723</v>
      </c>
      <c r="AE444" s="6" t="n">
        <v>1.125321416813927</v>
      </c>
      <c r="AF444" s="6" t="n">
        <v>-0.7692589922299471</v>
      </c>
      <c r="AG444" s="6" t="n">
        <v>-2.976008538536165</v>
      </c>
      <c r="AH444" s="6" t="n">
        <v>1.337290829133532</v>
      </c>
      <c r="AI444" s="6" t="n">
        <v>-0.1594527672615051</v>
      </c>
      <c r="AJ444" s="6" t="n">
        <v>71.16142285106952</v>
      </c>
      <c r="AK444" s="6" t="n">
        <v>0.08457563914267544</v>
      </c>
      <c r="AL444" s="6" t="n">
        <v>1.062374838816465</v>
      </c>
      <c r="AN444" s="6" t="n">
        <v>1.344294519750952</v>
      </c>
      <c r="AO444" s="6" t="n">
        <v>1.344844018794396</v>
      </c>
      <c r="AP444" s="6" t="n">
        <v>0.1320545579424502</v>
      </c>
      <c r="AQ444" s="6" t="n">
        <v>0</v>
      </c>
      <c r="AR444" s="6" t="n">
        <v>0</v>
      </c>
    </row>
    <row r="445">
      <c r="D445" t="inlineStr">
        <is>
          <t>Run 133</t>
        </is>
      </c>
      <c r="J445" s="6" t="n">
        <v>-0.229104946140441</v>
      </c>
      <c r="K445" s="6" t="n">
        <v>-2.244014289733303</v>
      </c>
      <c r="L445" s="6" t="n">
        <v>0.4245244826131224</v>
      </c>
      <c r="M445" s="6" t="n">
        <v>2.096285687314944</v>
      </c>
      <c r="N445" s="6" t="n">
        <v>-0.05392478859253985</v>
      </c>
      <c r="O445" s="6" t="n">
        <v>-3.778220264460959</v>
      </c>
      <c r="P445" s="6" t="n">
        <v>5</v>
      </c>
      <c r="Q445" s="6" t="n">
        <v>1.621883541428677</v>
      </c>
      <c r="R445" s="6" t="n">
        <v>-2.258984756895367</v>
      </c>
      <c r="S445" s="6" t="n">
        <v>-1.831352206219233</v>
      </c>
      <c r="T445" s="6" t="n">
        <v>2.486998981358769</v>
      </c>
      <c r="U445" s="6" t="n">
        <v>-0.3263651817283269</v>
      </c>
      <c r="V445" s="6" t="n">
        <v>-0.4668137691465295</v>
      </c>
      <c r="W445" s="6" t="n">
        <v>2.832304574950062</v>
      </c>
      <c r="X445" s="6" t="n">
        <v>0.9491705097743613</v>
      </c>
      <c r="Y445" s="6" t="n">
        <v>2.272643778008372</v>
      </c>
      <c r="Z445" s="6" t="n">
        <v>3.11339705310103</v>
      </c>
      <c r="AA445" s="6" t="n">
        <v>0.0007874841552773752</v>
      </c>
      <c r="AB445" s="6" t="n">
        <v>0.01728830040026557</v>
      </c>
      <c r="AC445" s="6" t="n">
        <v>3.782480361095201</v>
      </c>
      <c r="AD445" s="6" t="n">
        <v>0.6599818652317945</v>
      </c>
      <c r="AE445" s="6" t="n">
        <v>-2.338590809447314</v>
      </c>
      <c r="AF445" s="6" t="n">
        <v>-5.577514823838574</v>
      </c>
      <c r="AG445" s="6" t="n">
        <v>1.736409625330518</v>
      </c>
      <c r="AH445" s="6" t="n">
        <v>-2.405514159311361</v>
      </c>
      <c r="AI445" s="6" t="n">
        <v>-2.868727675838242</v>
      </c>
      <c r="AJ445" s="6" t="n">
        <v>71.52610932480215</v>
      </c>
      <c r="AK445" s="6" t="n">
        <v>0.1426379377241051</v>
      </c>
      <c r="AL445" s="6" t="n">
        <v>1.04009574030417</v>
      </c>
      <c r="AN445" s="6" t="n">
        <v>1.343993969025222</v>
      </c>
      <c r="AO445" s="6" t="n">
        <v>1.345954433812763</v>
      </c>
      <c r="AP445" s="6" t="n">
        <v>0.1329471586454633</v>
      </c>
      <c r="AQ445" s="6" t="n">
        <v>0</v>
      </c>
      <c r="AR445" s="6" t="n">
        <v>0</v>
      </c>
    </row>
    <row r="446">
      <c r="D446" t="inlineStr">
        <is>
          <t>Run 134</t>
        </is>
      </c>
      <c r="J446" s="6" t="n">
        <v>3.833698424117032</v>
      </c>
      <c r="K446" s="6" t="n">
        <v>0.3042051905560055</v>
      </c>
      <c r="L446" s="6" t="n">
        <v>-2.081368502561256</v>
      </c>
      <c r="M446" s="6" t="n">
        <v>4.91035492523428</v>
      </c>
      <c r="N446" s="6" t="n">
        <v>-2.616935443603412</v>
      </c>
      <c r="O446" s="6" t="n">
        <v>-2.464258619814151</v>
      </c>
      <c r="P446" s="6" t="n">
        <v>-0.2404850019711326</v>
      </c>
      <c r="Q446" s="6" t="n">
        <v>0.03728605845318268</v>
      </c>
      <c r="R446" s="6" t="n">
        <v>1.859714846918987</v>
      </c>
      <c r="S446" s="6" t="n">
        <v>-2.162986853577935</v>
      </c>
      <c r="T446" s="6" t="n">
        <v>0.1211796481205898</v>
      </c>
      <c r="U446" s="6" t="n">
        <v>0.6383406686670948</v>
      </c>
      <c r="V446" s="6" t="n">
        <v>0.6230043157864569</v>
      </c>
      <c r="W446" s="6" t="n">
        <v>1.455052053747142</v>
      </c>
      <c r="X446" s="6" t="n">
        <v>-2.878465607313116</v>
      </c>
      <c r="Y446" s="6" t="n">
        <v>1.256658213070765</v>
      </c>
      <c r="Z446" s="6" t="n">
        <v>-0.7002644780283882</v>
      </c>
      <c r="AA446" s="6" t="n">
        <v>-1.664814809935382</v>
      </c>
      <c r="AB446" s="6" t="n">
        <v>2.689176541394062</v>
      </c>
      <c r="AC446" s="6" t="n">
        <v>-1.277156157826717</v>
      </c>
      <c r="AD446" s="6" t="n">
        <v>-2.841225833816281</v>
      </c>
      <c r="AE446" s="6" t="n">
        <v>0.9600809627427846</v>
      </c>
      <c r="AF446" s="6" t="n">
        <v>0.4484120639466441</v>
      </c>
      <c r="AG446" s="6" t="n">
        <v>-1.238580608851878</v>
      </c>
      <c r="AH446" s="6" t="n">
        <v>0.8079517654020683</v>
      </c>
      <c r="AI446" s="6" t="n">
        <v>3.247731461677671</v>
      </c>
      <c r="AJ446" s="6" t="n">
        <v>81.12008961006855</v>
      </c>
      <c r="AK446" s="6" t="n">
        <v>0.1393644215874537</v>
      </c>
      <c r="AL446" s="6" t="n">
        <v>1.064651139575574</v>
      </c>
      <c r="AN446" s="6" t="n">
        <v>1.341221386632503</v>
      </c>
      <c r="AO446" s="6" t="n">
        <v>1.342128899663746</v>
      </c>
      <c r="AP446" s="6" t="n">
        <v>0.1314597497843334</v>
      </c>
      <c r="AQ446" s="6" t="n">
        <v>0</v>
      </c>
      <c r="AR446" s="6" t="n">
        <v>0</v>
      </c>
    </row>
    <row r="447">
      <c r="D447" t="inlineStr">
        <is>
          <t>Run 135</t>
        </is>
      </c>
      <c r="J447" s="6" t="n">
        <v>-0.1157695020341671</v>
      </c>
      <c r="K447" s="6" t="n">
        <v>-3.114145579896438</v>
      </c>
      <c r="L447" s="6" t="n">
        <v>2.440801962642646</v>
      </c>
      <c r="M447" s="6" t="n">
        <v>-0.9800868062557062</v>
      </c>
      <c r="N447" s="6" t="n">
        <v>4.33954207546549</v>
      </c>
      <c r="O447" s="6" t="n">
        <v>-1.086821984573466</v>
      </c>
      <c r="P447" s="6" t="n">
        <v>-3.524671624982545</v>
      </c>
      <c r="Q447" s="6" t="n">
        <v>-2.005500111185457</v>
      </c>
      <c r="R447" s="6" t="n">
        <v>-0.3241737182346889</v>
      </c>
      <c r="S447" s="6" t="n">
        <v>-1.32863053037627</v>
      </c>
      <c r="T447" s="6" t="n">
        <v>1.9454093305391</v>
      </c>
      <c r="U447" s="6" t="n">
        <v>0.7376542702148507</v>
      </c>
      <c r="V447" s="6" t="n">
        <v>-1.22287229386508</v>
      </c>
      <c r="W447" s="6" t="n">
        <v>-2.763705767485884</v>
      </c>
      <c r="X447" s="6" t="n">
        <v>0.3375485781636763</v>
      </c>
      <c r="Y447" s="6" t="n">
        <v>2.24106175935369</v>
      </c>
      <c r="Z447" s="6" t="n">
        <v>3.78202898888009</v>
      </c>
      <c r="AA447" s="6" t="n">
        <v>-0.4558965669175584</v>
      </c>
      <c r="AB447" s="6" t="n">
        <v>0.4490714596964839</v>
      </c>
      <c r="AC447" s="6" t="n">
        <v>-0.02974897104757578</v>
      </c>
      <c r="AD447" s="6" t="n">
        <v>-0.6361555557450641</v>
      </c>
      <c r="AE447" s="6" t="n">
        <v>1.242697190203396</v>
      </c>
      <c r="AF447" s="6" t="n">
        <v>4.880104659752251</v>
      </c>
      <c r="AG447" s="6" t="n">
        <v>-1.995213072987851</v>
      </c>
      <c r="AH447" s="6" t="n">
        <v>1.497508984283026</v>
      </c>
      <c r="AI447" s="6" t="n">
        <v>-3.124920174855172</v>
      </c>
      <c r="AJ447" s="6" t="n">
        <v>74.64654911583763</v>
      </c>
      <c r="AK447" s="6" t="n">
        <v>0.1339123179504574</v>
      </c>
      <c r="AL447" s="6" t="n">
        <v>1.137519587883824</v>
      </c>
      <c r="AN447" s="6" t="n">
        <v>1.321208157671915</v>
      </c>
      <c r="AO447" s="6" t="n">
        <v>1.3216746725977</v>
      </c>
      <c r="AP447" s="6" t="n">
        <v>0.1273704364007094</v>
      </c>
      <c r="AQ447" s="6" t="n">
        <v>0</v>
      </c>
      <c r="AR447" s="6" t="n">
        <v>0</v>
      </c>
    </row>
    <row r="448">
      <c r="D448" t="inlineStr">
        <is>
          <t>Run 136</t>
        </is>
      </c>
      <c r="J448" s="6" t="n">
        <v>-2.101612378147922</v>
      </c>
      <c r="K448" s="6" t="n">
        <v>0.6261733823195271</v>
      </c>
      <c r="L448" s="6" t="n">
        <v>3.992589557998127</v>
      </c>
      <c r="M448" s="6" t="n">
        <v>2.218061391916504</v>
      </c>
      <c r="N448" s="6" t="n">
        <v>-0.2658583850665224</v>
      </c>
      <c r="O448" s="6" t="n">
        <v>-1.821392776601504</v>
      </c>
      <c r="P448" s="6" t="n">
        <v>1.141191596495313</v>
      </c>
      <c r="Q448" s="6" t="n">
        <v>0.1030697386463741</v>
      </c>
      <c r="R448" s="6" t="n">
        <v>-4.167959770549161</v>
      </c>
      <c r="S448" s="6" t="n">
        <v>-1.948534220024492</v>
      </c>
      <c r="T448" s="6" t="n">
        <v>-0.9615398903211998</v>
      </c>
      <c r="U448" s="6" t="n">
        <v>-2.017023646337247</v>
      </c>
      <c r="V448" s="6" t="n">
        <v>0.0718103035829679</v>
      </c>
      <c r="W448" s="6" t="n">
        <v>0.3786630153183477</v>
      </c>
      <c r="X448" s="6" t="n">
        <v>0.6804782039596204</v>
      </c>
      <c r="Y448" s="6" t="n">
        <v>-0.334172714185291</v>
      </c>
      <c r="Z448" s="6" t="n">
        <v>1.229821208239193</v>
      </c>
      <c r="AA448" s="6" t="n">
        <v>2.877983151484357</v>
      </c>
      <c r="AB448" s="6" t="n">
        <v>1.806176009916072</v>
      </c>
      <c r="AC448" s="6" t="n">
        <v>-3.690573325530616</v>
      </c>
      <c r="AD448" s="6" t="n">
        <v>-1.418268127413664</v>
      </c>
      <c r="AE448" s="6" t="n">
        <v>-3.059515301330586</v>
      </c>
      <c r="AF448" s="6" t="n">
        <v>0.3047757860213328</v>
      </c>
      <c r="AG448" s="6" t="n">
        <v>-0.4477966388826315</v>
      </c>
      <c r="AH448" s="6" t="n">
        <v>-2.761899480007903</v>
      </c>
      <c r="AI448" s="6" t="n">
        <v>-2.653921062189244</v>
      </c>
      <c r="AJ448" s="6" t="n">
        <v>77.37503010181867</v>
      </c>
      <c r="AK448" s="6" t="n">
        <v>0.1126143159278837</v>
      </c>
      <c r="AL448" s="6" t="n">
        <v>1.057477080954273</v>
      </c>
      <c r="AN448" s="6" t="n">
        <v>1.346745786400711</v>
      </c>
      <c r="AO448" s="6" t="n">
        <v>1.346955432218776</v>
      </c>
      <c r="AP448" s="6" t="n">
        <v>0.1322816299038389</v>
      </c>
      <c r="AQ448" s="6" t="n">
        <v>0</v>
      </c>
      <c r="AR448" s="6" t="n">
        <v>0</v>
      </c>
    </row>
    <row r="449">
      <c r="D449" t="inlineStr">
        <is>
          <t>Run 137</t>
        </is>
      </c>
      <c r="J449" s="6" t="n">
        <v>0.1120660284959425</v>
      </c>
      <c r="K449" s="6" t="n">
        <v>1.886573671804164</v>
      </c>
      <c r="L449" s="6" t="n">
        <v>2.469577275502499</v>
      </c>
      <c r="M449" s="6" t="n">
        <v>1.926947392533124</v>
      </c>
      <c r="N449" s="6" t="n">
        <v>-2.793150108651527</v>
      </c>
      <c r="O449" s="6" t="n">
        <v>0.962689783124251</v>
      </c>
      <c r="P449" s="6" t="n">
        <v>-1.436967729167039</v>
      </c>
      <c r="Q449" s="6" t="n">
        <v>-1.800950267281105</v>
      </c>
      <c r="R449" s="6" t="n">
        <v>0.1034935615501151</v>
      </c>
      <c r="S449" s="6" t="n">
        <v>-1.412527601288918</v>
      </c>
      <c r="T449" s="6" t="n">
        <v>-1.106527694382939</v>
      </c>
      <c r="U449" s="6" t="n">
        <v>2.102414700503084</v>
      </c>
      <c r="V449" s="6" t="n">
        <v>-0.3967702691311704</v>
      </c>
      <c r="W449" s="6" t="n">
        <v>0.4146687407921852</v>
      </c>
      <c r="X449" s="6" t="n">
        <v>-3.279882913068149</v>
      </c>
      <c r="Y449" s="6" t="n">
        <v>3.185077672454767</v>
      </c>
      <c r="Z449" s="6" t="n">
        <v>0.2135913786196222</v>
      </c>
      <c r="AA449" s="6" t="n">
        <v>3.339430780680625</v>
      </c>
      <c r="AB449" s="6" t="n">
        <v>2.126264695196104</v>
      </c>
      <c r="AC449" s="6" t="n">
        <v>3.412345760873845</v>
      </c>
      <c r="AD449" s="6" t="n">
        <v>0.197261612824853</v>
      </c>
      <c r="AE449" s="6" t="n">
        <v>-0.3114388704408413</v>
      </c>
      <c r="AF449" s="6" t="n">
        <v>-4.638818227402672</v>
      </c>
      <c r="AG449" s="6" t="n">
        <v>2.902441300037888</v>
      </c>
      <c r="AH449" s="6" t="n">
        <v>0.4780250812730568</v>
      </c>
      <c r="AI449" s="6" t="n">
        <v>-1.816699149427246</v>
      </c>
      <c r="AJ449" s="6" t="n">
        <v>73.65891476584369</v>
      </c>
      <c r="AK449" s="6" t="n">
        <v>0.1587938045289896</v>
      </c>
      <c r="AL449" s="6" t="n">
        <v>1.101652971460074</v>
      </c>
      <c r="AN449" s="6" t="n">
        <v>1.324065260801973</v>
      </c>
      <c r="AO449" s="6" t="n">
        <v>1.324214894796419</v>
      </c>
      <c r="AP449" s="6" t="n">
        <v>0.1280990844082252</v>
      </c>
      <c r="AQ449" s="6" t="n">
        <v>0</v>
      </c>
      <c r="AR449" s="6" t="n">
        <v>0</v>
      </c>
    </row>
    <row r="450">
      <c r="D450" t="inlineStr">
        <is>
          <t>Run 138</t>
        </is>
      </c>
      <c r="J450" s="6" t="n">
        <v>-1.17903486278398</v>
      </c>
      <c r="K450" s="6" t="n">
        <v>5</v>
      </c>
      <c r="L450" s="6" t="n">
        <v>-1.893748143278916</v>
      </c>
      <c r="M450" s="6" t="n">
        <v>-3.61452886565979</v>
      </c>
      <c r="N450" s="6" t="n">
        <v>0.07099440382649605</v>
      </c>
      <c r="O450" s="6" t="n">
        <v>2.902756968086896</v>
      </c>
      <c r="P450" s="6" t="n">
        <v>-0.3011896131862606</v>
      </c>
      <c r="Q450" s="6" t="n">
        <v>-1.768820370155851</v>
      </c>
      <c r="R450" s="6" t="n">
        <v>-1.231267472022015</v>
      </c>
      <c r="S450" s="6" t="n">
        <v>-2.016983760246294</v>
      </c>
      <c r="T450" s="6" t="n">
        <v>1.318674029296031</v>
      </c>
      <c r="U450" s="6" t="n">
        <v>2.282863242337531</v>
      </c>
      <c r="V450" s="6" t="n">
        <v>2.764494615668539</v>
      </c>
      <c r="W450" s="6" t="n">
        <v>-0.4705544183818416</v>
      </c>
      <c r="X450" s="6" t="n">
        <v>2.348226985140737</v>
      </c>
      <c r="Y450" s="6" t="n">
        <v>0.3089871852381084</v>
      </c>
      <c r="Z450" s="6" t="n">
        <v>0.3233486980651601</v>
      </c>
      <c r="AA450" s="6" t="n">
        <v>-1.462747630408582</v>
      </c>
      <c r="AB450" s="6" t="n">
        <v>0.4554435834687137</v>
      </c>
      <c r="AC450" s="6" t="n">
        <v>-3.766047858462938</v>
      </c>
      <c r="AD450" s="6" t="n">
        <v>3.684310092193203</v>
      </c>
      <c r="AE450" s="6" t="n">
        <v>-0.08061929701544428</v>
      </c>
      <c r="AF450" s="6" t="n">
        <v>0.4035493221041883</v>
      </c>
      <c r="AG450" s="6" t="n">
        <v>1.644520599205843</v>
      </c>
      <c r="AH450" s="6" t="n">
        <v>0.955424040363173</v>
      </c>
      <c r="AI450" s="6" t="n">
        <v>-0.7091424026455738</v>
      </c>
      <c r="AJ450" s="6" t="n">
        <v>77.93077221923103</v>
      </c>
      <c r="AK450" s="6" t="n">
        <v>0.1738158274105929</v>
      </c>
      <c r="AL450" s="6" t="n">
        <v>1.085466242662745</v>
      </c>
      <c r="AN450" s="6" t="n">
        <v>1.297132844479144</v>
      </c>
      <c r="AO450" s="6" t="n">
        <v>1.306261726710766</v>
      </c>
      <c r="AP450" s="6" t="n">
        <v>0.1282070687094226</v>
      </c>
      <c r="AQ450" s="6" t="n">
        <v>0</v>
      </c>
      <c r="AR450" s="6" t="n">
        <v>0</v>
      </c>
    </row>
    <row r="451">
      <c r="D451" t="inlineStr">
        <is>
          <t>Run 139</t>
        </is>
      </c>
      <c r="J451" s="6" t="n">
        <v>-1.864339521106709</v>
      </c>
      <c r="K451" s="6" t="n">
        <v>2.001509954342211</v>
      </c>
      <c r="L451" s="6" t="n">
        <v>1.865867384811105</v>
      </c>
      <c r="M451" s="6" t="n">
        <v>-1.608005179540028</v>
      </c>
      <c r="N451" s="6" t="n">
        <v>-0.04372370034922492</v>
      </c>
      <c r="O451" s="6" t="n">
        <v>-0.8187566070165064</v>
      </c>
      <c r="P451" s="6" t="n">
        <v>1.197032502223478</v>
      </c>
      <c r="Q451" s="6" t="n">
        <v>1.039874801153567</v>
      </c>
      <c r="R451" s="6" t="n">
        <v>-2.86536334132405</v>
      </c>
      <c r="S451" s="6" t="n">
        <v>-0.04167597157899688</v>
      </c>
      <c r="T451" s="6" t="n">
        <v>-0.3063358507392962</v>
      </c>
      <c r="U451" s="6" t="n">
        <v>-1.106011465828096</v>
      </c>
      <c r="V451" s="6" t="n">
        <v>1.649128869109612</v>
      </c>
      <c r="W451" s="6" t="n">
        <v>-3.39846544488251</v>
      </c>
      <c r="X451" s="6" t="n">
        <v>-0.4896484364819229</v>
      </c>
      <c r="Y451" s="6" t="n">
        <v>-2.606266019269493</v>
      </c>
      <c r="Z451" s="6" t="n">
        <v>-0.7475235249789821</v>
      </c>
      <c r="AA451" s="6" t="n">
        <v>-2.666036670354465</v>
      </c>
      <c r="AB451" s="6" t="n">
        <v>2.007748205772109</v>
      </c>
      <c r="AC451" s="6" t="n">
        <v>-0.1000858094385786</v>
      </c>
      <c r="AD451" s="6" t="n">
        <v>2.971892096046834</v>
      </c>
      <c r="AE451" s="6" t="n">
        <v>-0.1532656432087929</v>
      </c>
      <c r="AF451" s="6" t="n">
        <v>1.376697516077018</v>
      </c>
      <c r="AG451" s="6" t="n">
        <v>-1.116891175785585</v>
      </c>
      <c r="AH451" s="6" t="n">
        <v>2.168547597652372</v>
      </c>
      <c r="AI451" s="6" t="n">
        <v>3.566772573742002</v>
      </c>
      <c r="AJ451" s="6" t="n">
        <v>76.00906196662487</v>
      </c>
      <c r="AK451" s="6" t="n">
        <v>0.09852787981882827</v>
      </c>
      <c r="AL451" s="6" t="n">
        <v>1.01787692574568</v>
      </c>
      <c r="AN451" s="6" t="n">
        <v>1.351699530188265</v>
      </c>
      <c r="AO451" s="6" t="n">
        <v>1.356416927917419</v>
      </c>
      <c r="AP451" s="6" t="n">
        <v>0.1367575024078432</v>
      </c>
      <c r="AQ451" s="6" t="n">
        <v>0</v>
      </c>
      <c r="AR451" s="6" t="n">
        <v>0</v>
      </c>
    </row>
    <row r="452">
      <c r="D452" t="inlineStr">
        <is>
          <t>Run 140</t>
        </is>
      </c>
      <c r="J452" s="6" t="n">
        <v>-0.5977300604642189</v>
      </c>
      <c r="K452" s="6" t="n">
        <v>-1.074152433633111</v>
      </c>
      <c r="L452" s="6" t="n">
        <v>-0.4407186038020824</v>
      </c>
      <c r="M452" s="6" t="n">
        <v>1.606535078920529</v>
      </c>
      <c r="N452" s="6" t="n">
        <v>0.8749311279397998</v>
      </c>
      <c r="O452" s="6" t="n">
        <v>3.704599858596438</v>
      </c>
      <c r="P452" s="6" t="n">
        <v>-0.5397265739034417</v>
      </c>
      <c r="Q452" s="6" t="n">
        <v>-1.155080147081829</v>
      </c>
      <c r="R452" s="6" t="n">
        <v>-0.1720947046494037</v>
      </c>
      <c r="S452" s="6" t="n">
        <v>-2.562266893466725</v>
      </c>
      <c r="T452" s="6" t="n">
        <v>-1.027403579359383</v>
      </c>
      <c r="U452" s="6" t="n">
        <v>-1.788093083938294</v>
      </c>
      <c r="V452" s="6" t="n">
        <v>-1.11128543557459</v>
      </c>
      <c r="W452" s="6" t="n">
        <v>0.8102892022435061</v>
      </c>
      <c r="X452" s="6" t="n">
        <v>1.356356996504994</v>
      </c>
      <c r="Y452" s="6" t="n">
        <v>0.6081737838831988</v>
      </c>
      <c r="Z452" s="6" t="n">
        <v>2.21953492511399</v>
      </c>
      <c r="AA452" s="6" t="n">
        <v>-1.036820893290539</v>
      </c>
      <c r="AB452" s="6" t="n">
        <v>-0.09476844898201128</v>
      </c>
      <c r="AC452" s="6" t="n">
        <v>1.984454421828506</v>
      </c>
      <c r="AD452" s="6" t="n">
        <v>-0.07348178163564997</v>
      </c>
      <c r="AE452" s="6" t="n">
        <v>-2.353191787978665</v>
      </c>
      <c r="AF452" s="6" t="n">
        <v>-0.8262247868188053</v>
      </c>
      <c r="AG452" s="6" t="n">
        <v>-4.542158625551566</v>
      </c>
      <c r="AH452" s="6" t="n">
        <v>-1.209216978992604</v>
      </c>
      <c r="AI452" s="6" t="n">
        <v>1.382300749285151</v>
      </c>
      <c r="AJ452" s="6" t="n">
        <v>71.99819677964213</v>
      </c>
      <c r="AK452" s="6" t="n">
        <v>0.1302226270900165</v>
      </c>
      <c r="AL452" s="6" t="n">
        <v>1.072249505965922</v>
      </c>
      <c r="AN452" s="6" t="n">
        <v>1.336058913528058</v>
      </c>
      <c r="AO452" s="6" t="n">
        <v>1.336444462877902</v>
      </c>
      <c r="AP452" s="6" t="n">
        <v>0.1303899561239215</v>
      </c>
      <c r="AQ452" s="6" t="n">
        <v>0</v>
      </c>
      <c r="AR452" s="6" t="n">
        <v>0</v>
      </c>
    </row>
    <row r="453">
      <c r="D453" t="inlineStr">
        <is>
          <t>Run 141</t>
        </is>
      </c>
      <c r="J453" s="6" t="n">
        <v>-1.36338365675714</v>
      </c>
      <c r="K453" s="6" t="n">
        <v>-0.02631754571856331</v>
      </c>
      <c r="L453" s="6" t="n">
        <v>0.8702044222187509</v>
      </c>
      <c r="M453" s="6" t="n">
        <v>-2.746188401226565</v>
      </c>
      <c r="N453" s="6" t="n">
        <v>-0.3061692903723261</v>
      </c>
      <c r="O453" s="6" t="n">
        <v>-0.3465057312948663</v>
      </c>
      <c r="P453" s="6" t="n">
        <v>-1.397750205082194</v>
      </c>
      <c r="Q453" s="6" t="n">
        <v>0.1121513980789998</v>
      </c>
      <c r="R453" s="6" t="n">
        <v>-0.7458738259859304</v>
      </c>
      <c r="S453" s="6" t="n">
        <v>-0.874049065280362</v>
      </c>
      <c r="T453" s="6" t="n">
        <v>0.125454666682196</v>
      </c>
      <c r="U453" s="6" t="n">
        <v>0.4510590096673951</v>
      </c>
      <c r="V453" s="6" t="n">
        <v>-0.654266395830947</v>
      </c>
      <c r="W453" s="6" t="n">
        <v>-2.317913276815255</v>
      </c>
      <c r="X453" s="6" t="n">
        <v>-1.837795129020383</v>
      </c>
      <c r="Y453" s="6" t="n">
        <v>2.478691074816013</v>
      </c>
      <c r="Z453" s="6" t="n">
        <v>-1.265709334634959</v>
      </c>
      <c r="AA453" s="6" t="n">
        <v>2.913867351438668</v>
      </c>
      <c r="AB453" s="6" t="n">
        <v>3.00206038201444</v>
      </c>
      <c r="AC453" s="6" t="n">
        <v>0.8945011102096148</v>
      </c>
      <c r="AD453" s="6" t="n">
        <v>-2.074070789379571</v>
      </c>
      <c r="AE453" s="6" t="n">
        <v>-3.894323049678867</v>
      </c>
      <c r="AF453" s="6" t="n">
        <v>-2.550051128807798</v>
      </c>
      <c r="AG453" s="6" t="n">
        <v>1.688310538824453</v>
      </c>
      <c r="AH453" s="6" t="n">
        <v>1.284351343885646</v>
      </c>
      <c r="AI453" s="6" t="n">
        <v>-0.6970708441841768</v>
      </c>
      <c r="AJ453" s="6" t="n">
        <v>83.84434527038995</v>
      </c>
      <c r="AK453" s="6" t="n">
        <v>0.1669789328096302</v>
      </c>
      <c r="AL453" s="6" t="n">
        <v>1.071045794114913</v>
      </c>
      <c r="AN453" s="6" t="n">
        <v>1.315559694817249</v>
      </c>
      <c r="AO453" s="6" t="n">
        <v>1.323398268491223</v>
      </c>
      <c r="AP453" s="6" t="n">
        <v>0.1300810991303108</v>
      </c>
      <c r="AQ453" s="6" t="n">
        <v>0</v>
      </c>
      <c r="AR453" s="6" t="n">
        <v>0</v>
      </c>
    </row>
    <row r="454">
      <c r="D454" t="inlineStr">
        <is>
          <t>Run 142</t>
        </is>
      </c>
      <c r="J454" s="6" t="n">
        <v>0.2750532256992436</v>
      </c>
      <c r="K454" s="6" t="n">
        <v>1.739959861394942</v>
      </c>
      <c r="L454" s="6" t="n">
        <v>-1.529368998995254</v>
      </c>
      <c r="M454" s="6" t="n">
        <v>-1.203654316799</v>
      </c>
      <c r="N454" s="6" t="n">
        <v>-0.2606899122264744</v>
      </c>
      <c r="O454" s="6" t="n">
        <v>-2.926559779002241</v>
      </c>
      <c r="P454" s="6" t="n">
        <v>0.1523133153405918</v>
      </c>
      <c r="Q454" s="6" t="n">
        <v>1.282033961686212</v>
      </c>
      <c r="R454" s="6" t="n">
        <v>-2.59519497309734</v>
      </c>
      <c r="S454" s="6" t="n">
        <v>-2.721555330987834</v>
      </c>
      <c r="T454" s="6" t="n">
        <v>2.054455382039357</v>
      </c>
      <c r="U454" s="6" t="n">
        <v>-0.1835430085805258</v>
      </c>
      <c r="V454" s="6" t="n">
        <v>1.780602182321129</v>
      </c>
      <c r="W454" s="6" t="n">
        <v>3.033121261498398</v>
      </c>
      <c r="X454" s="6" t="n">
        <v>-0.9433984152528541</v>
      </c>
      <c r="Y454" s="6" t="n">
        <v>-2.8785339622608</v>
      </c>
      <c r="Z454" s="6" t="n">
        <v>1.597098310999428</v>
      </c>
      <c r="AA454" s="6" t="n">
        <v>-1.077517410167677</v>
      </c>
      <c r="AB454" s="6" t="n">
        <v>-0.4322916336678317</v>
      </c>
      <c r="AC454" s="6" t="n">
        <v>-1.534802447581391</v>
      </c>
      <c r="AD454" s="6" t="n">
        <v>-0.08045944734329424</v>
      </c>
      <c r="AE454" s="6" t="n">
        <v>-2.436600000790586</v>
      </c>
      <c r="AF454" s="6" t="n">
        <v>2.331090199158916</v>
      </c>
      <c r="AG454" s="6" t="n">
        <v>-1.295516337516332</v>
      </c>
      <c r="AH454" s="6" t="n">
        <v>1.774545330770101</v>
      </c>
      <c r="AI454" s="6" t="n">
        <v>0.6774988664824924</v>
      </c>
      <c r="AJ454" s="6" t="n">
        <v>72.16892137078736</v>
      </c>
      <c r="AK454" s="6" t="n">
        <v>0.09083621347270196</v>
      </c>
      <c r="AL454" s="6" t="n">
        <v>1.039968515253419</v>
      </c>
      <c r="AN454" s="6" t="n">
        <v>1.347274906388404</v>
      </c>
      <c r="AO454" s="6" t="n">
        <v>1.349095654750791</v>
      </c>
      <c r="AP454" s="6" t="n">
        <v>0.1340740922567801</v>
      </c>
      <c r="AQ454" s="6" t="n">
        <v>0</v>
      </c>
      <c r="AR454" s="6" t="n">
        <v>0</v>
      </c>
    </row>
    <row r="455">
      <c r="D455" t="inlineStr">
        <is>
          <t>Run 143</t>
        </is>
      </c>
      <c r="J455" s="6" t="n">
        <v>-2.548285575095175</v>
      </c>
      <c r="K455" s="6" t="n">
        <v>0.04576342872958271</v>
      </c>
      <c r="L455" s="6" t="n">
        <v>0.240425755622836</v>
      </c>
      <c r="M455" s="6" t="n">
        <v>-2.53151271450186</v>
      </c>
      <c r="N455" s="6" t="n">
        <v>1.575799604274271</v>
      </c>
      <c r="O455" s="6" t="n">
        <v>1.262714137789942</v>
      </c>
      <c r="P455" s="6" t="n">
        <v>1.71103692344308</v>
      </c>
      <c r="Q455" s="6" t="n">
        <v>-3.437719170243276</v>
      </c>
      <c r="R455" s="6" t="n">
        <v>-4.035237257962519</v>
      </c>
      <c r="S455" s="6" t="n">
        <v>-0.5151267533760793</v>
      </c>
      <c r="T455" s="6" t="n">
        <v>2.909405136834134</v>
      </c>
      <c r="U455" s="6" t="n">
        <v>-4.894986007095413</v>
      </c>
      <c r="V455" s="6" t="n">
        <v>1.470663076584832</v>
      </c>
      <c r="W455" s="6" t="n">
        <v>3.167644578866857</v>
      </c>
      <c r="X455" s="6" t="n">
        <v>-1.479031833854772</v>
      </c>
      <c r="Y455" s="6" t="n">
        <v>-0.6107205929232578</v>
      </c>
      <c r="Z455" s="6" t="n">
        <v>3.150742006314173</v>
      </c>
      <c r="AA455" s="6" t="n">
        <v>0.05449217949720154</v>
      </c>
      <c r="AB455" s="6" t="n">
        <v>-0.8138298122426536</v>
      </c>
      <c r="AC455" s="6" t="n">
        <v>2.402753139783789</v>
      </c>
      <c r="AD455" s="6" t="n">
        <v>1.893042124396472</v>
      </c>
      <c r="AE455" s="6" t="n">
        <v>1.035723002441886</v>
      </c>
      <c r="AF455" s="6" t="n">
        <v>-1.614516280168508</v>
      </c>
      <c r="AG455" s="6" t="n">
        <v>-1.573040447916927</v>
      </c>
      <c r="AH455" s="6" t="n">
        <v>-2.653835735451487</v>
      </c>
      <c r="AI455" s="6" t="n">
        <v>-2.072367132455177</v>
      </c>
      <c r="AJ455" s="6" t="n">
        <v>78.90265125909529</v>
      </c>
      <c r="AK455" s="6" t="n">
        <v>0.07656766571680412</v>
      </c>
      <c r="AL455" s="6" t="n">
        <v>0.9770703416465373</v>
      </c>
      <c r="AN455" s="6" t="n">
        <v>1.359563857492862</v>
      </c>
      <c r="AO455" s="6" t="n">
        <v>1.367559690734272</v>
      </c>
      <c r="AP455" s="6" t="n">
        <v>0.1448685585187502</v>
      </c>
      <c r="AQ455" s="6" t="n">
        <v>0</v>
      </c>
      <c r="AR455" s="6" t="n">
        <v>0</v>
      </c>
    </row>
    <row r="456">
      <c r="D456" t="inlineStr">
        <is>
          <t>Run 144</t>
        </is>
      </c>
      <c r="J456" s="6" t="n">
        <v>-1.335657034379506</v>
      </c>
      <c r="K456" s="6" t="n">
        <v>1.41714172905106</v>
      </c>
      <c r="L456" s="6" t="n">
        <v>-0.1365220988989842</v>
      </c>
      <c r="M456" s="6" t="n">
        <v>-2.368266029947736</v>
      </c>
      <c r="N456" s="6" t="n">
        <v>1.056811700126413</v>
      </c>
      <c r="O456" s="6" t="n">
        <v>2.026828599588151</v>
      </c>
      <c r="P456" s="6" t="n">
        <v>2.157439722733428</v>
      </c>
      <c r="Q456" s="6" t="n">
        <v>-0.3653010544409571</v>
      </c>
      <c r="R456" s="6" t="n">
        <v>-2.650110810659219</v>
      </c>
      <c r="S456" s="6" t="n">
        <v>-0.5347621443409644</v>
      </c>
      <c r="T456" s="6" t="n">
        <v>-0.1941710032914225</v>
      </c>
      <c r="U456" s="6" t="n">
        <v>0.8489833772669475</v>
      </c>
      <c r="V456" s="6" t="n">
        <v>1.093905437427331</v>
      </c>
      <c r="W456" s="6" t="n">
        <v>-3.096188064892893</v>
      </c>
      <c r="X456" s="6" t="n">
        <v>-0.2247073531276313</v>
      </c>
      <c r="Y456" s="6" t="n">
        <v>0.8180034863760304</v>
      </c>
      <c r="Z456" s="6" t="n">
        <v>2.232522223205941</v>
      </c>
      <c r="AA456" s="6" t="n">
        <v>-0.6619589319604119</v>
      </c>
      <c r="AB456" s="6" t="n">
        <v>0.1290274092329577</v>
      </c>
      <c r="AC456" s="6" t="n">
        <v>2.962683362212748</v>
      </c>
      <c r="AD456" s="6" t="n">
        <v>-1.427792168732891</v>
      </c>
      <c r="AE456" s="6" t="n">
        <v>2.02134864412855</v>
      </c>
      <c r="AF456" s="6" t="n">
        <v>0.6798118533410725</v>
      </c>
      <c r="AG456" s="6" t="n">
        <v>-3.022337037230793</v>
      </c>
      <c r="AH456" s="6" t="n">
        <v>-0.2347226495484314</v>
      </c>
      <c r="AI456" s="6" t="n">
        <v>1.662065408532394</v>
      </c>
      <c r="AJ456" s="6" t="n">
        <v>71.80296994227282</v>
      </c>
      <c r="AK456" s="6" t="n">
        <v>0.0916627279117857</v>
      </c>
      <c r="AL456" s="6" t="n">
        <v>1.048636681325508</v>
      </c>
      <c r="AN456" s="6" t="n">
        <v>1.328371922040477</v>
      </c>
      <c r="AO456" s="6" t="n">
        <v>1.336562487550109</v>
      </c>
      <c r="AP456" s="6" t="n">
        <v>0.132924508569803</v>
      </c>
      <c r="AQ456" s="6" t="n">
        <v>0</v>
      </c>
      <c r="AR456" s="6" t="n">
        <v>0</v>
      </c>
    </row>
    <row r="457">
      <c r="D457" t="inlineStr">
        <is>
          <t>Run 145</t>
        </is>
      </c>
      <c r="J457" s="6" t="n">
        <v>0.04398717155218423</v>
      </c>
      <c r="K457" s="6" t="n">
        <v>-1.479698371613733</v>
      </c>
      <c r="L457" s="6" t="n">
        <v>0.4346881851325342</v>
      </c>
      <c r="M457" s="6" t="n">
        <v>-0.7425463087329953</v>
      </c>
      <c r="N457" s="6" t="n">
        <v>1.512659452324869</v>
      </c>
      <c r="O457" s="6" t="n">
        <v>3.186989311835574</v>
      </c>
      <c r="P457" s="6" t="n">
        <v>0.9133869090334538</v>
      </c>
      <c r="Q457" s="6" t="n">
        <v>-0.8588142486877949</v>
      </c>
      <c r="R457" s="6" t="n">
        <v>3.855263236942166</v>
      </c>
      <c r="S457" s="6" t="n">
        <v>1.982276236007201</v>
      </c>
      <c r="T457" s="6" t="n">
        <v>-1.262465937502352</v>
      </c>
      <c r="U457" s="6" t="n">
        <v>-4.448004760473579</v>
      </c>
      <c r="V457" s="6" t="n">
        <v>-0.9421916469694439</v>
      </c>
      <c r="W457" s="6" t="n">
        <v>4.385701243486454</v>
      </c>
      <c r="X457" s="6" t="n">
        <v>0.3685189124337028</v>
      </c>
      <c r="Y457" s="6" t="n">
        <v>1.278973498932804</v>
      </c>
      <c r="Z457" s="6" t="n">
        <v>-0.6358141667235535</v>
      </c>
      <c r="AA457" s="6" t="n">
        <v>1.140408932687575</v>
      </c>
      <c r="AB457" s="6" t="n">
        <v>-0.6397340966970516</v>
      </c>
      <c r="AC457" s="6" t="n">
        <v>0.03882912733740745</v>
      </c>
      <c r="AD457" s="6" t="n">
        <v>-4.311425813694207</v>
      </c>
      <c r="AE457" s="6" t="n">
        <v>0.7622260438693914</v>
      </c>
      <c r="AF457" s="6" t="n">
        <v>0.106711833412356</v>
      </c>
      <c r="AG457" s="6" t="n">
        <v>-1.035287289844846</v>
      </c>
      <c r="AH457" s="6" t="n">
        <v>-0.6269983490405141</v>
      </c>
      <c r="AI457" s="6" t="n">
        <v>2.985353943624407</v>
      </c>
      <c r="AJ457" s="6" t="n">
        <v>70.68549673418357</v>
      </c>
      <c r="AK457" s="6" t="n">
        <v>0.07870782926958922</v>
      </c>
      <c r="AL457" s="6" t="n">
        <v>1.0657831195249</v>
      </c>
      <c r="AN457" s="6" t="n">
        <v>1.344237731315175</v>
      </c>
      <c r="AO457" s="6" t="n">
        <v>1.344302534949343</v>
      </c>
      <c r="AP457" s="6" t="n">
        <v>0.1318395995573912</v>
      </c>
      <c r="AQ457" s="6" t="n">
        <v>0</v>
      </c>
      <c r="AR457" s="6" t="n">
        <v>0</v>
      </c>
    </row>
    <row r="458">
      <c r="D458" t="inlineStr">
        <is>
          <t>Run 146</t>
        </is>
      </c>
      <c r="J458" s="6" t="n">
        <v>1.466610158772977</v>
      </c>
      <c r="K458" s="6" t="n">
        <v>-2.288577909510107</v>
      </c>
      <c r="L458" s="6" t="n">
        <v>1.149782407066935</v>
      </c>
      <c r="M458" s="6" t="n">
        <v>1.891376124174901</v>
      </c>
      <c r="N458" s="6" t="n">
        <v>-0.5404585409273154</v>
      </c>
      <c r="O458" s="6" t="n">
        <v>-1.203941026230579</v>
      </c>
      <c r="P458" s="6" t="n">
        <v>-2.358086505441921</v>
      </c>
      <c r="Q458" s="6" t="n">
        <v>-0.01544810218989794</v>
      </c>
      <c r="R458" s="6" t="n">
        <v>2.733390544819646</v>
      </c>
      <c r="S458" s="6" t="n">
        <v>-1.209783969540973</v>
      </c>
      <c r="T458" s="6" t="n">
        <v>-0.8839442068333343</v>
      </c>
      <c r="U458" s="6" t="n">
        <v>-1.984330552331789</v>
      </c>
      <c r="V458" s="6" t="n">
        <v>0.5691302744313829</v>
      </c>
      <c r="W458" s="6" t="n">
        <v>1.768431178084623</v>
      </c>
      <c r="X458" s="6" t="n">
        <v>2.544265523002193</v>
      </c>
      <c r="Y458" s="6" t="n">
        <v>-3.582502133721334</v>
      </c>
      <c r="Z458" s="6" t="n">
        <v>0.606059813753129</v>
      </c>
      <c r="AA458" s="6" t="n">
        <v>0.4343675882494418</v>
      </c>
      <c r="AB458" s="6" t="n">
        <v>2.367417296407767</v>
      </c>
      <c r="AC458" s="6" t="n">
        <v>3.50255947169089</v>
      </c>
      <c r="AD458" s="6" t="n">
        <v>0.3829457208081962</v>
      </c>
      <c r="AE458" s="6" t="n">
        <v>2.809660533203615</v>
      </c>
      <c r="AF458" s="6" t="n">
        <v>-2.487821078077018</v>
      </c>
      <c r="AG458" s="6" t="n">
        <v>-0.7691976245450065</v>
      </c>
      <c r="AH458" s="6" t="n">
        <v>-0.5492271892764875</v>
      </c>
      <c r="AI458" s="6" t="n">
        <v>-0.88199923727025</v>
      </c>
      <c r="AJ458" s="6" t="n">
        <v>61.95581114894497</v>
      </c>
      <c r="AK458" s="6" t="n">
        <v>0.07790305725206839</v>
      </c>
      <c r="AL458" s="6" t="n">
        <v>1.074807689767896</v>
      </c>
      <c r="AN458" s="6" t="n">
        <v>1.337113077993193</v>
      </c>
      <c r="AO458" s="6" t="n">
        <v>1.337279572155898</v>
      </c>
      <c r="AP458" s="6" t="n">
        <v>0.1307622057207453</v>
      </c>
      <c r="AQ458" s="6" t="n">
        <v>0</v>
      </c>
      <c r="AR458" s="6" t="n">
        <v>0</v>
      </c>
    </row>
    <row r="459">
      <c r="D459" t="inlineStr">
        <is>
          <t>Run 147</t>
        </is>
      </c>
      <c r="J459" s="6" t="n">
        <v>0.8936147374134434</v>
      </c>
      <c r="K459" s="6" t="n">
        <v>-2.801332468517458</v>
      </c>
      <c r="L459" s="6" t="n">
        <v>1.59952183876034</v>
      </c>
      <c r="M459" s="6" t="n">
        <v>-0.3957008395900123</v>
      </c>
      <c r="N459" s="6" t="n">
        <v>-2.887629101775903</v>
      </c>
      <c r="O459" s="6" t="n">
        <v>-0.7220146718667534</v>
      </c>
      <c r="P459" s="6" t="n">
        <v>0.7640466679528243</v>
      </c>
      <c r="Q459" s="6" t="n">
        <v>-0.5028056769305699</v>
      </c>
      <c r="R459" s="6" t="n">
        <v>0.006761613057392715</v>
      </c>
      <c r="S459" s="6" t="n">
        <v>-0.2509711020362366</v>
      </c>
      <c r="T459" s="6" t="n">
        <v>-3.46478566798997</v>
      </c>
      <c r="U459" s="6" t="n">
        <v>-0.9682298162129765</v>
      </c>
      <c r="V459" s="6" t="n">
        <v>1.935321407547878</v>
      </c>
      <c r="W459" s="6" t="n">
        <v>1.179462932978362</v>
      </c>
      <c r="X459" s="6" t="n">
        <v>-4.480925950586769</v>
      </c>
      <c r="Y459" s="6" t="n">
        <v>0.3770052124656952</v>
      </c>
      <c r="Z459" s="6" t="n">
        <v>0.2796077602825234</v>
      </c>
      <c r="AA459" s="6" t="n">
        <v>-1.867474054899894</v>
      </c>
      <c r="AB459" s="6" t="n">
        <v>2.435028062249184</v>
      </c>
      <c r="AC459" s="6" t="n">
        <v>-2.066132398178497</v>
      </c>
      <c r="AD459" s="6" t="n">
        <v>0.09251305572869592</v>
      </c>
      <c r="AE459" s="6" t="n">
        <v>1.394708742225519</v>
      </c>
      <c r="AF459" s="6" t="n">
        <v>0.7246985358859959</v>
      </c>
      <c r="AG459" s="6" t="n">
        <v>-2.947078706086475</v>
      </c>
      <c r="AH459" s="6" t="n">
        <v>-0.9027453396644524</v>
      </c>
      <c r="AI459" s="6" t="n">
        <v>0.6583409886939371</v>
      </c>
      <c r="AJ459" s="6" t="n">
        <v>61.72675560351931</v>
      </c>
      <c r="AK459" s="6" t="n">
        <v>0.1463569817419701</v>
      </c>
      <c r="AL459" s="6" t="n">
        <v>1.06604809501586</v>
      </c>
      <c r="AN459" s="6" t="n">
        <v>1.335075177219473</v>
      </c>
      <c r="AO459" s="6" t="n">
        <v>1.335834397675152</v>
      </c>
      <c r="AP459" s="6" t="n">
        <v>0.1301017280234966</v>
      </c>
      <c r="AQ459" s="6" t="n">
        <v>0</v>
      </c>
      <c r="AR459" s="6" t="n">
        <v>0</v>
      </c>
    </row>
    <row r="460">
      <c r="D460" t="inlineStr">
        <is>
          <t>Run 148</t>
        </is>
      </c>
      <c r="J460" s="6" t="n">
        <v>0.5917603728755761</v>
      </c>
      <c r="K460" s="6" t="n">
        <v>0.6944496692211396</v>
      </c>
      <c r="L460" s="6" t="n">
        <v>-0.4869558857354009</v>
      </c>
      <c r="M460" s="6" t="n">
        <v>-0.9795336780334033</v>
      </c>
      <c r="N460" s="6" t="n">
        <v>3.766595823673907</v>
      </c>
      <c r="O460" s="6" t="n">
        <v>1.294443730255175</v>
      </c>
      <c r="P460" s="6" t="n">
        <v>0.5606790021744025</v>
      </c>
      <c r="Q460" s="6" t="n">
        <v>-1.727868904553951</v>
      </c>
      <c r="R460" s="6" t="n">
        <v>-2.292859397599297</v>
      </c>
      <c r="S460" s="6" t="n">
        <v>3.164003989024901</v>
      </c>
      <c r="T460" s="6" t="n">
        <v>-2.195375404623237</v>
      </c>
      <c r="U460" s="6" t="n">
        <v>-0.7900505364527535</v>
      </c>
      <c r="V460" s="6" t="n">
        <v>-1.049352075285171</v>
      </c>
      <c r="W460" s="6" t="n">
        <v>-2.265804633241443</v>
      </c>
      <c r="X460" s="6" t="n">
        <v>-0.1111955508596929</v>
      </c>
      <c r="Y460" s="6" t="n">
        <v>0.703092389243732</v>
      </c>
      <c r="Z460" s="6" t="n">
        <v>0.04741604430645724</v>
      </c>
      <c r="AA460" s="6" t="n">
        <v>1.041740207279091</v>
      </c>
      <c r="AB460" s="6" t="n">
        <v>-2.163604761260088</v>
      </c>
      <c r="AC460" s="6" t="n">
        <v>-0.2638363742248172</v>
      </c>
      <c r="AD460" s="6" t="n">
        <v>-1.634481931006918</v>
      </c>
      <c r="AE460" s="6" t="n">
        <v>-0.782121656010585</v>
      </c>
      <c r="AF460" s="6" t="n">
        <v>-0.3311614944074873</v>
      </c>
      <c r="AG460" s="6" t="n">
        <v>-0.7667489394835126</v>
      </c>
      <c r="AH460" s="6" t="n">
        <v>0.9366721815222803</v>
      </c>
      <c r="AI460" s="6" t="n">
        <v>-1.848393180610603</v>
      </c>
      <c r="AJ460" s="6" t="n">
        <v>82.78607278189119</v>
      </c>
      <c r="AK460" s="6" t="n">
        <v>0.07590606164880348</v>
      </c>
      <c r="AL460" s="6" t="n">
        <v>1.033937101947364</v>
      </c>
      <c r="AN460" s="6" t="n">
        <v>1.355707406103387</v>
      </c>
      <c r="AO460" s="6" t="n">
        <v>1.355707406103387</v>
      </c>
      <c r="AP460" s="6" t="n">
        <v>0.1359160995439443</v>
      </c>
      <c r="AQ460" s="6" t="n">
        <v>0</v>
      </c>
      <c r="AR460" s="6" t="n">
        <v>0</v>
      </c>
    </row>
    <row r="461">
      <c r="D461" t="inlineStr">
        <is>
          <t>Run 149</t>
        </is>
      </c>
      <c r="J461" s="6" t="n">
        <v>-0.2734951544482261</v>
      </c>
      <c r="K461" s="6" t="n">
        <v>0.3261167312185981</v>
      </c>
      <c r="L461" s="6" t="n">
        <v>-0.3839990848257444</v>
      </c>
      <c r="M461" s="6" t="n">
        <v>-2.547729183197446</v>
      </c>
      <c r="N461" s="6" t="n">
        <v>1.067548602409974</v>
      </c>
      <c r="O461" s="6" t="n">
        <v>-0.007426241344869562</v>
      </c>
      <c r="P461" s="6" t="n">
        <v>-0.3317779630169276</v>
      </c>
      <c r="Q461" s="6" t="n">
        <v>0.3642684500657603</v>
      </c>
      <c r="R461" s="6" t="n">
        <v>0.2423436416909701</v>
      </c>
      <c r="S461" s="6" t="n">
        <v>0.1278557279803925</v>
      </c>
      <c r="T461" s="6" t="n">
        <v>2.41564425927811</v>
      </c>
      <c r="U461" s="6" t="n">
        <v>0.07573932674094619</v>
      </c>
      <c r="V461" s="6" t="n">
        <v>0.678376804576967</v>
      </c>
      <c r="W461" s="6" t="n">
        <v>-2.695850655951459</v>
      </c>
      <c r="X461" s="6" t="n">
        <v>-0.05831045143313526</v>
      </c>
      <c r="Y461" s="6" t="n">
        <v>-2.242836107680259</v>
      </c>
      <c r="Z461" s="6" t="n">
        <v>-1.971478998795973</v>
      </c>
      <c r="AA461" s="6" t="n">
        <v>2.166380245943555</v>
      </c>
      <c r="AB461" s="6" t="n">
        <v>-2.482094628568099</v>
      </c>
      <c r="AC461" s="6" t="n">
        <v>-2.050880714165491</v>
      </c>
      <c r="AD461" s="6" t="n">
        <v>-1.155349664555003</v>
      </c>
      <c r="AE461" s="6" t="n">
        <v>2.393701050087352</v>
      </c>
      <c r="AF461" s="6" t="n">
        <v>-0.4729530882260937</v>
      </c>
      <c r="AG461" s="6" t="n">
        <v>2.568746670663885</v>
      </c>
      <c r="AH461" s="6" t="n">
        <v>0.3735399260115584</v>
      </c>
      <c r="AI461" s="6" t="n">
        <v>0.2751765817926224</v>
      </c>
      <c r="AJ461" s="6" t="n">
        <v>79.32158304112515</v>
      </c>
      <c r="AK461" s="6" t="n">
        <v>0.09293031977685835</v>
      </c>
      <c r="AL461" s="6" t="n">
        <v>1.010653896279597</v>
      </c>
      <c r="AN461" s="6" t="n">
        <v>1.342701999573267</v>
      </c>
      <c r="AO461" s="6" t="n">
        <v>1.352772962293091</v>
      </c>
      <c r="AP461" s="6" t="n">
        <v>0.1382235591771512</v>
      </c>
      <c r="AQ461" s="6" t="n">
        <v>0</v>
      </c>
      <c r="AR461" s="6" t="n">
        <v>0</v>
      </c>
    </row>
    <row r="462">
      <c r="D462" t="inlineStr">
        <is>
          <t>Run 150</t>
        </is>
      </c>
      <c r="J462" s="6" t="n">
        <v>-2.584869110463956</v>
      </c>
      <c r="K462" s="6" t="n">
        <v>-2.84552621154604</v>
      </c>
      <c r="L462" s="6" t="n">
        <v>0.492017480949412</v>
      </c>
      <c r="M462" s="6" t="n">
        <v>0.9882125864739092</v>
      </c>
      <c r="N462" s="6" t="n">
        <v>-0.2153513785714199</v>
      </c>
      <c r="O462" s="6" t="n">
        <v>-1.972056401041824</v>
      </c>
      <c r="P462" s="6" t="n">
        <v>4.108247383741654</v>
      </c>
      <c r="Q462" s="6" t="n">
        <v>0.04408151165296747</v>
      </c>
      <c r="R462" s="6" t="n">
        <v>2.97170967269279</v>
      </c>
      <c r="S462" s="6" t="n">
        <v>3.201402857144211</v>
      </c>
      <c r="T462" s="6" t="n">
        <v>-0.245173683680578</v>
      </c>
      <c r="U462" s="6" t="n">
        <v>-2.792725536888746</v>
      </c>
      <c r="V462" s="6" t="n">
        <v>0.6354837561992598</v>
      </c>
      <c r="W462" s="6" t="n">
        <v>-0.3194492130131266</v>
      </c>
      <c r="X462" s="6" t="n">
        <v>0.7262263678789541</v>
      </c>
      <c r="Y462" s="6" t="n">
        <v>1.507166947830195</v>
      </c>
      <c r="Z462" s="6" t="n">
        <v>0.757194441553098</v>
      </c>
      <c r="AA462" s="6" t="n">
        <v>-0.1352184078862977</v>
      </c>
      <c r="AB462" s="6" t="n">
        <v>-1.668406657918332</v>
      </c>
      <c r="AC462" s="6" t="n">
        <v>-0.08907526654099467</v>
      </c>
      <c r="AD462" s="6" t="n">
        <v>-3.819343527675306</v>
      </c>
      <c r="AE462" s="6" t="n">
        <v>-0.5637960019600337</v>
      </c>
      <c r="AF462" s="6" t="n">
        <v>-2.768165973888521</v>
      </c>
      <c r="AG462" s="6" t="n">
        <v>-0.6705786224293797</v>
      </c>
      <c r="AH462" s="6" t="n">
        <v>1.279980896867063</v>
      </c>
      <c r="AI462" s="6" t="n">
        <v>1.191702543675531</v>
      </c>
      <c r="AJ462" s="6" t="n">
        <v>77.31421182472</v>
      </c>
      <c r="AK462" s="6" t="n">
        <v>0.1293579591238202</v>
      </c>
      <c r="AL462" s="6" t="n">
        <v>1.052284159586604</v>
      </c>
      <c r="AN462" s="6" t="n">
        <v>1.348240552578346</v>
      </c>
      <c r="AO462" s="6" t="n">
        <v>1.34844464923261</v>
      </c>
      <c r="AP462" s="6" t="n">
        <v>0.1325090859269159</v>
      </c>
      <c r="AQ462" s="6" t="n">
        <v>0</v>
      </c>
      <c r="AR462" s="6" t="n">
        <v>0</v>
      </c>
    </row>
    <row r="463">
      <c r="D463" t="inlineStr">
        <is>
          <t>Run 151</t>
        </is>
      </c>
      <c r="J463" s="6" t="n">
        <v>0.907994688916742</v>
      </c>
      <c r="K463" s="6" t="n">
        <v>2.597793318278657</v>
      </c>
      <c r="L463" s="6" t="n">
        <v>-2.206881267741779</v>
      </c>
      <c r="M463" s="6" t="n">
        <v>0.1257019609987003</v>
      </c>
      <c r="N463" s="6" t="n">
        <v>0.817747588842852</v>
      </c>
      <c r="O463" s="6" t="n">
        <v>-1.492111685755001</v>
      </c>
      <c r="P463" s="6" t="n">
        <v>-0.6226214660090029</v>
      </c>
      <c r="Q463" s="6" t="n">
        <v>-2.087154465588606</v>
      </c>
      <c r="R463" s="6" t="n">
        <v>1.935510156176584</v>
      </c>
      <c r="S463" s="6" t="n">
        <v>-1.134881856023362</v>
      </c>
      <c r="T463" s="6" t="n">
        <v>4.090664815844878</v>
      </c>
      <c r="U463" s="6" t="n">
        <v>1.25562886367305</v>
      </c>
      <c r="V463" s="6" t="n">
        <v>0.1337108313063792</v>
      </c>
      <c r="W463" s="6" t="n">
        <v>0.2740325748170497</v>
      </c>
      <c r="X463" s="6" t="n">
        <v>-3.623512793838489</v>
      </c>
      <c r="Y463" s="6" t="n">
        <v>-2.276348614774494</v>
      </c>
      <c r="Z463" s="6" t="n">
        <v>-1.75794781316037</v>
      </c>
      <c r="AA463" s="6" t="n">
        <v>2.323495799497385</v>
      </c>
      <c r="AB463" s="6" t="n">
        <v>-0.1791848584584662</v>
      </c>
      <c r="AC463" s="6" t="n">
        <v>0.9742909534685187</v>
      </c>
      <c r="AD463" s="6" t="n">
        <v>-1.404757151530629</v>
      </c>
      <c r="AE463" s="6" t="n">
        <v>-1.988423818561031</v>
      </c>
      <c r="AF463" s="6" t="n">
        <v>1.316012984168478</v>
      </c>
      <c r="AG463" s="6" t="n">
        <v>-1.450188998959241</v>
      </c>
      <c r="AH463" s="6" t="n">
        <v>2.783332123042868</v>
      </c>
      <c r="AI463" s="6" t="n">
        <v>2.41744227417458</v>
      </c>
      <c r="AJ463" s="6" t="n">
        <v>68.70145419785436</v>
      </c>
      <c r="AK463" s="6" t="n">
        <v>0.153447017693864</v>
      </c>
      <c r="AL463" s="6" t="n">
        <v>1.078102931128514</v>
      </c>
      <c r="AN463" s="6" t="n">
        <v>1.333085208623736</v>
      </c>
      <c r="AO463" s="6" t="n">
        <v>1.333206735020591</v>
      </c>
      <c r="AP463" s="6" t="n">
        <v>0.1291983169702387</v>
      </c>
      <c r="AQ463" s="6" t="n">
        <v>0</v>
      </c>
      <c r="AR463" s="6" t="n">
        <v>0</v>
      </c>
    </row>
    <row r="464">
      <c r="D464" t="inlineStr">
        <is>
          <t>Run 152</t>
        </is>
      </c>
      <c r="J464" s="6" t="n">
        <v>-0.1644749927531736</v>
      </c>
      <c r="K464" s="6" t="n">
        <v>2.777496335027791</v>
      </c>
      <c r="L464" s="6" t="n">
        <v>-1.574995918055896</v>
      </c>
      <c r="M464" s="6" t="n">
        <v>-1.066372403423222</v>
      </c>
      <c r="N464" s="6" t="n">
        <v>0.31500877355009</v>
      </c>
      <c r="O464" s="6" t="n">
        <v>-0.5043306956989466</v>
      </c>
      <c r="P464" s="6" t="n">
        <v>-1.099752558795018</v>
      </c>
      <c r="Q464" s="6" t="n">
        <v>2.117712507029999</v>
      </c>
      <c r="R464" s="6" t="n">
        <v>-1.654257745032954</v>
      </c>
      <c r="S464" s="6" t="n">
        <v>5</v>
      </c>
      <c r="T464" s="6" t="n">
        <v>0.702549105491607</v>
      </c>
      <c r="U464" s="6" t="n">
        <v>0.8895015757769075</v>
      </c>
      <c r="V464" s="6" t="n">
        <v>0.9426571909243441</v>
      </c>
      <c r="W464" s="6" t="n">
        <v>2.075307756454469</v>
      </c>
      <c r="X464" s="6" t="n">
        <v>-0.9612146956157254</v>
      </c>
      <c r="Y464" s="6" t="n">
        <v>-1.47610687613894</v>
      </c>
      <c r="Z464" s="6" t="n">
        <v>1.320310663049102</v>
      </c>
      <c r="AA464" s="6" t="n">
        <v>2.238705177678414</v>
      </c>
      <c r="AB464" s="6" t="n">
        <v>0.6553999081232137</v>
      </c>
      <c r="AC464" s="6" t="n">
        <v>2.694049249990971</v>
      </c>
      <c r="AD464" s="6" t="n">
        <v>0.2840823800113361</v>
      </c>
      <c r="AE464" s="6" t="n">
        <v>0.6120796043008582</v>
      </c>
      <c r="AF464" s="6" t="n">
        <v>0.6202853475683885</v>
      </c>
      <c r="AG464" s="6" t="n">
        <v>-0.2355397062680264</v>
      </c>
      <c r="AH464" s="6" t="n">
        <v>-1.217603244706704</v>
      </c>
      <c r="AI464" s="6" t="n">
        <v>1.741508077259872</v>
      </c>
      <c r="AJ464" s="6" t="n">
        <v>66.16662857285279</v>
      </c>
      <c r="AK464" s="6" t="n">
        <v>0.09629849031995857</v>
      </c>
      <c r="AL464" s="6" t="n">
        <v>1.040711162994987</v>
      </c>
      <c r="AN464" s="6" t="n">
        <v>1.345329045984845</v>
      </c>
      <c r="AO464" s="6" t="n">
        <v>1.345677414427524</v>
      </c>
      <c r="AP464" s="6" t="n">
        <v>0.1333359563933808</v>
      </c>
      <c r="AQ464" s="6" t="n">
        <v>0</v>
      </c>
      <c r="AR464" s="6" t="n">
        <v>0</v>
      </c>
    </row>
    <row r="465">
      <c r="D465" t="inlineStr">
        <is>
          <t>Run 153</t>
        </is>
      </c>
      <c r="J465" s="6" t="n">
        <v>1.360245903810056</v>
      </c>
      <c r="K465" s="6" t="n">
        <v>-2.554993495402648</v>
      </c>
      <c r="L465" s="6" t="n">
        <v>0.9920893244438549</v>
      </c>
      <c r="M465" s="6" t="n">
        <v>-1.635261345434866</v>
      </c>
      <c r="N465" s="6" t="n">
        <v>2.131392471083172</v>
      </c>
      <c r="O465" s="6" t="n">
        <v>2.121997392504773</v>
      </c>
      <c r="P465" s="6" t="n">
        <v>1.304917856505477</v>
      </c>
      <c r="Q465" s="6" t="n">
        <v>-0.3910911624539541</v>
      </c>
      <c r="R465" s="6" t="n">
        <v>1.253946663171445</v>
      </c>
      <c r="S465" s="6" t="n">
        <v>1.060654870612911</v>
      </c>
      <c r="T465" s="6" t="n">
        <v>0.4840072188245803</v>
      </c>
      <c r="U465" s="6" t="n">
        <v>1.794337911497779</v>
      </c>
      <c r="V465" s="6" t="n">
        <v>-0.03717186159832965</v>
      </c>
      <c r="W465" s="6" t="n">
        <v>-1.71511466390396</v>
      </c>
      <c r="X465" s="6" t="n">
        <v>-1.431695692413204</v>
      </c>
      <c r="Y465" s="6" t="n">
        <v>1.5803605464992</v>
      </c>
      <c r="Z465" s="6" t="n">
        <v>1.721054994301866</v>
      </c>
      <c r="AA465" s="6" t="n">
        <v>2.684972908397353</v>
      </c>
      <c r="AB465" s="6" t="n">
        <v>0.06802468023670945</v>
      </c>
      <c r="AC465" s="6" t="n">
        <v>0.9251013925902445</v>
      </c>
      <c r="AD465" s="6" t="n">
        <v>0.2170679963539863</v>
      </c>
      <c r="AE465" s="6" t="n">
        <v>-0.8581710621731418</v>
      </c>
      <c r="AF465" s="6" t="n">
        <v>-2.34083373225959</v>
      </c>
      <c r="AG465" s="6" t="n">
        <v>0.3379052841125228</v>
      </c>
      <c r="AH465" s="6" t="n">
        <v>-3.325132076582092</v>
      </c>
      <c r="AI465" s="6" t="n">
        <v>-1.309584654804916</v>
      </c>
      <c r="AJ465" s="6" t="n">
        <v>81.87116359402728</v>
      </c>
      <c r="AK465" s="6" t="n">
        <v>0.07188832865917467</v>
      </c>
      <c r="AL465" s="6" t="n">
        <v>1.001733011155112</v>
      </c>
      <c r="AN465" s="6" t="n">
        <v>1.360691858738891</v>
      </c>
      <c r="AO465" s="6" t="n">
        <v>1.360691858738891</v>
      </c>
      <c r="AP465" s="6" t="n">
        <v>0.1408105925253944</v>
      </c>
      <c r="AQ465" s="6" t="n">
        <v>0</v>
      </c>
      <c r="AR465" s="6" t="n">
        <v>0</v>
      </c>
    </row>
    <row r="466">
      <c r="D466" t="inlineStr">
        <is>
          <t>Run 154</t>
        </is>
      </c>
      <c r="J466" s="6" t="n">
        <v>-0.3717363284177589</v>
      </c>
      <c r="K466" s="6" t="n">
        <v>0.6795519925367982</v>
      </c>
      <c r="L466" s="6" t="n">
        <v>-1.181526952586029</v>
      </c>
      <c r="M466" s="6" t="n">
        <v>3.194455757478056</v>
      </c>
      <c r="N466" s="6" t="n">
        <v>3.447231490730544</v>
      </c>
      <c r="O466" s="6" t="n">
        <v>0.05324592936568746</v>
      </c>
      <c r="P466" s="6" t="n">
        <v>3.187669603336692</v>
      </c>
      <c r="Q466" s="6" t="n">
        <v>1.358425075351134</v>
      </c>
      <c r="R466" s="6" t="n">
        <v>1.829195411120851</v>
      </c>
      <c r="S466" s="6" t="n">
        <v>0.3899953791783148</v>
      </c>
      <c r="T466" s="6" t="n">
        <v>1.474165894087069</v>
      </c>
      <c r="U466" s="6" t="n">
        <v>0.2784393538321765</v>
      </c>
      <c r="V466" s="6" t="n">
        <v>1.670795190612692</v>
      </c>
      <c r="W466" s="6" t="n">
        <v>2.418873725184356</v>
      </c>
      <c r="X466" s="6" t="n">
        <v>-0.6193934414575059</v>
      </c>
      <c r="Y466" s="6" t="n">
        <v>-2.029237934991097</v>
      </c>
      <c r="Z466" s="6" t="n">
        <v>-0.9665561588781793</v>
      </c>
      <c r="AA466" s="6" t="n">
        <v>-1.605628962833525</v>
      </c>
      <c r="AB466" s="6" t="n">
        <v>1.52726508374777</v>
      </c>
      <c r="AC466" s="6" t="n">
        <v>1.974422395261877</v>
      </c>
      <c r="AD466" s="6" t="n">
        <v>2.820220322987623</v>
      </c>
      <c r="AE466" s="6" t="n">
        <v>1.217120939696723</v>
      </c>
      <c r="AF466" s="6" t="n">
        <v>1.631092087455448</v>
      </c>
      <c r="AG466" s="6" t="n">
        <v>1.600003521930593</v>
      </c>
      <c r="AH466" s="6" t="n">
        <v>-0.9928730731689784</v>
      </c>
      <c r="AI466" s="6" t="n">
        <v>1.698195311603688</v>
      </c>
      <c r="AJ466" s="6" t="n">
        <v>64.29660037624447</v>
      </c>
      <c r="AK466" s="6" t="n">
        <v>0.1077540182330439</v>
      </c>
      <c r="AL466" s="6" t="n">
        <v>1.079749940164712</v>
      </c>
      <c r="AN466" s="6" t="n">
        <v>1.332359332408384</v>
      </c>
      <c r="AO466" s="6" t="n">
        <v>1.332791687317953</v>
      </c>
      <c r="AP466" s="6" t="n">
        <v>0.130066139354638</v>
      </c>
      <c r="AQ466" s="6" t="n">
        <v>0</v>
      </c>
      <c r="AR466" s="6" t="n">
        <v>0</v>
      </c>
    </row>
    <row r="467">
      <c r="D467" t="inlineStr">
        <is>
          <t>Run 155</t>
        </is>
      </c>
      <c r="J467" s="6" t="n">
        <v>3.803304112589935</v>
      </c>
      <c r="K467" s="6" t="n">
        <v>-2.845605028156406</v>
      </c>
      <c r="L467" s="6" t="n">
        <v>-1.720590119010647</v>
      </c>
      <c r="M467" s="6" t="n">
        <v>-2.00720818201502</v>
      </c>
      <c r="N467" s="6" t="n">
        <v>-0.4616438208527384</v>
      </c>
      <c r="O467" s="6" t="n">
        <v>0.5261920979347887</v>
      </c>
      <c r="P467" s="6" t="n">
        <v>5</v>
      </c>
      <c r="Q467" s="6" t="n">
        <v>-0.5183513479181671</v>
      </c>
      <c r="R467" s="6" t="n">
        <v>-0.551866361484729</v>
      </c>
      <c r="S467" s="6" t="n">
        <v>-0.8797027279307117</v>
      </c>
      <c r="T467" s="6" t="n">
        <v>-0.9623698849214306</v>
      </c>
      <c r="U467" s="6" t="n">
        <v>-3.162037879731143</v>
      </c>
      <c r="V467" s="6" t="n">
        <v>0.3552843002349962</v>
      </c>
      <c r="W467" s="6" t="n">
        <v>-3.911739011967156</v>
      </c>
      <c r="X467" s="6" t="n">
        <v>0.6921216556925374</v>
      </c>
      <c r="Y467" s="6" t="n">
        <v>1.030686468382081</v>
      </c>
      <c r="Z467" s="6" t="n">
        <v>-0.8554906887806573</v>
      </c>
      <c r="AA467" s="6" t="n">
        <v>-2.271728413430223</v>
      </c>
      <c r="AB467" s="6" t="n">
        <v>-1.640852826664766</v>
      </c>
      <c r="AC467" s="6" t="n">
        <v>1.022638621292577</v>
      </c>
      <c r="AD467" s="6" t="n">
        <v>-0.05478689195067979</v>
      </c>
      <c r="AE467" s="6" t="n">
        <v>2.037437084536402</v>
      </c>
      <c r="AF467" s="6" t="n">
        <v>0.3118885621477498</v>
      </c>
      <c r="AG467" s="6" t="n">
        <v>-2.102035296169019</v>
      </c>
      <c r="AH467" s="6" t="n">
        <v>-0.36994021473012</v>
      </c>
      <c r="AI467" s="6" t="n">
        <v>-3.563051887306762</v>
      </c>
      <c r="AJ467" s="6" t="n">
        <v>61.2478362110681</v>
      </c>
      <c r="AK467" s="6" t="n">
        <v>0.04798528317064682</v>
      </c>
      <c r="AL467" s="6" t="n">
        <v>0.9926995836318537</v>
      </c>
      <c r="AN467" s="6" t="n">
        <v>1.349530895208707</v>
      </c>
      <c r="AO467" s="6" t="n">
        <v>1.352842956493522</v>
      </c>
      <c r="AP467" s="6" t="n">
        <v>0.1396784714641558</v>
      </c>
      <c r="AQ467" s="6" t="n">
        <v>0</v>
      </c>
      <c r="AR467" s="6" t="n">
        <v>0</v>
      </c>
    </row>
    <row r="468">
      <c r="D468" t="inlineStr">
        <is>
          <t>Run 156</t>
        </is>
      </c>
      <c r="J468" s="6" t="n">
        <v>3.579872180916074</v>
      </c>
      <c r="K468" s="6" t="n">
        <v>1.173158528392306</v>
      </c>
      <c r="L468" s="6" t="n">
        <v>0.3711001645003931</v>
      </c>
      <c r="M468" s="6" t="n">
        <v>-2.276553932832523</v>
      </c>
      <c r="N468" s="6" t="n">
        <v>1.608867880024105</v>
      </c>
      <c r="O468" s="6" t="n">
        <v>1.696843402028456</v>
      </c>
      <c r="P468" s="6" t="n">
        <v>-1.30880024309268</v>
      </c>
      <c r="Q468" s="6" t="n">
        <v>-0.3332215387894318</v>
      </c>
      <c r="R468" s="6" t="n">
        <v>-0.7585596847996194</v>
      </c>
      <c r="S468" s="6" t="n">
        <v>1.298361304510076</v>
      </c>
      <c r="T468" s="6" t="n">
        <v>-0.8651389267848617</v>
      </c>
      <c r="U468" s="6" t="n">
        <v>-1.033249089315515</v>
      </c>
      <c r="V468" s="6" t="n">
        <v>1.950921946993218</v>
      </c>
      <c r="W468" s="6" t="n">
        <v>1.527552924645295</v>
      </c>
      <c r="X468" s="6" t="n">
        <v>3.31339104505226</v>
      </c>
      <c r="Y468" s="6" t="n">
        <v>1.864509224057522</v>
      </c>
      <c r="Z468" s="6" t="n">
        <v>1.546506078165636</v>
      </c>
      <c r="AA468" s="6" t="n">
        <v>-2.230893334361743</v>
      </c>
      <c r="AB468" s="6" t="n">
        <v>0.5713362029394963</v>
      </c>
      <c r="AC468" s="6" t="n">
        <v>-0.309102147287162</v>
      </c>
      <c r="AD468" s="6" t="n">
        <v>-1.300013521811153</v>
      </c>
      <c r="AE468" s="6" t="n">
        <v>5</v>
      </c>
      <c r="AF468" s="6" t="n">
        <v>-1.391981840671677</v>
      </c>
      <c r="AG468" s="6" t="n">
        <v>-0.6659861098767111</v>
      </c>
      <c r="AH468" s="6" t="n">
        <v>1.146761196104356</v>
      </c>
      <c r="AI468" s="6" t="n">
        <v>1.466237860596342</v>
      </c>
      <c r="AJ468" s="6" t="n">
        <v>75.55175586104858</v>
      </c>
      <c r="AK468" s="6" t="n">
        <v>0.1786119913903524</v>
      </c>
      <c r="AL468" s="6" t="n">
        <v>1.065710437007097</v>
      </c>
      <c r="AN468" s="6" t="n">
        <v>1.320589832311994</v>
      </c>
      <c r="AO468" s="6" t="n">
        <v>1.327368875738476</v>
      </c>
      <c r="AP468" s="6" t="n">
        <v>0.1297406143061261</v>
      </c>
      <c r="AQ468" s="6" t="n">
        <v>0</v>
      </c>
      <c r="AR468" s="6" t="n">
        <v>0</v>
      </c>
    </row>
    <row r="469">
      <c r="D469" t="inlineStr">
        <is>
          <t>Run 157</t>
        </is>
      </c>
      <c r="J469" s="6" t="n">
        <v>-1.021493972699536</v>
      </c>
      <c r="K469" s="6" t="n">
        <v>1.727492339038033</v>
      </c>
      <c r="L469" s="6" t="n">
        <v>-1.785345652863164</v>
      </c>
      <c r="M469" s="6" t="n">
        <v>-4.305865311722769</v>
      </c>
      <c r="N469" s="6" t="n">
        <v>-3.418390008111811</v>
      </c>
      <c r="O469" s="6" t="n">
        <v>-0.146624233225933</v>
      </c>
      <c r="P469" s="6" t="n">
        <v>-0.593302965905381</v>
      </c>
      <c r="Q469" s="6" t="n">
        <v>1.058254175128087</v>
      </c>
      <c r="R469" s="6" t="n">
        <v>-3.753832699218404</v>
      </c>
      <c r="S469" s="6" t="n">
        <v>-0.9228526574157513</v>
      </c>
      <c r="T469" s="6" t="n">
        <v>-1.971662635402757</v>
      </c>
      <c r="U469" s="6" t="n">
        <v>-0.617269690821213</v>
      </c>
      <c r="V469" s="6" t="n">
        <v>1.719036377412311</v>
      </c>
      <c r="W469" s="6" t="n">
        <v>-2.44253470769705</v>
      </c>
      <c r="X469" s="6" t="n">
        <v>-4.510102289035296</v>
      </c>
      <c r="Y469" s="6" t="n">
        <v>-0.6294544276941132</v>
      </c>
      <c r="Z469" s="6" t="n">
        <v>-1.522837066690336</v>
      </c>
      <c r="AA469" s="6" t="n">
        <v>-0.2887307336526374</v>
      </c>
      <c r="AB469" s="6" t="n">
        <v>1.245151397954156</v>
      </c>
      <c r="AC469" s="6" t="n">
        <v>-0.6912877692419931</v>
      </c>
      <c r="AD469" s="6" t="n">
        <v>-2.799234656523122</v>
      </c>
      <c r="AE469" s="6" t="n">
        <v>-2.577224887220023</v>
      </c>
      <c r="AF469" s="6" t="n">
        <v>-0.5678989530450286</v>
      </c>
      <c r="AG469" s="6" t="n">
        <v>0.3800658580371407</v>
      </c>
      <c r="AH469" s="6" t="n">
        <v>-1.468614817813278</v>
      </c>
      <c r="AI469" s="6" t="n">
        <v>-1.562849744925456</v>
      </c>
      <c r="AJ469" s="6" t="n">
        <v>60.10588763379304</v>
      </c>
      <c r="AK469" s="6" t="n">
        <v>0.09908793602782331</v>
      </c>
      <c r="AL469" s="6" t="n">
        <v>1.049006042986455</v>
      </c>
      <c r="AN469" s="6" t="n">
        <v>1.295166330209892</v>
      </c>
      <c r="AO469" s="6" t="n">
        <v>1.297182490227801</v>
      </c>
      <c r="AP469" s="6" t="n">
        <v>0.1315828275324898</v>
      </c>
      <c r="AQ469" s="6" t="n">
        <v>0</v>
      </c>
      <c r="AR469" s="6" t="n">
        <v>0</v>
      </c>
    </row>
    <row r="470">
      <c r="D470" t="inlineStr">
        <is>
          <t>Run 158</t>
        </is>
      </c>
      <c r="J470" s="6" t="n">
        <v>-0.2590414428298855</v>
      </c>
      <c r="K470" s="6" t="n">
        <v>-0.5020833987738101</v>
      </c>
      <c r="L470" s="6" t="n">
        <v>-0.9110127423545786</v>
      </c>
      <c r="M470" s="6" t="n">
        <v>-1.483896458385012</v>
      </c>
      <c r="N470" s="6" t="n">
        <v>-1.025303096290431</v>
      </c>
      <c r="O470" s="6" t="n">
        <v>-0.003643922671715405</v>
      </c>
      <c r="P470" s="6" t="n">
        <v>-0.6236653340775307</v>
      </c>
      <c r="Q470" s="6" t="n">
        <v>3.91532685305921</v>
      </c>
      <c r="R470" s="6" t="n">
        <v>1.119883869259701</v>
      </c>
      <c r="S470" s="6" t="n">
        <v>0.1311980033147272</v>
      </c>
      <c r="T470" s="6" t="n">
        <v>1.052194605223956</v>
      </c>
      <c r="U470" s="6" t="n">
        <v>1.951008734861137</v>
      </c>
      <c r="V470" s="6" t="n">
        <v>-0.0186052575124585</v>
      </c>
      <c r="W470" s="6" t="n">
        <v>-2.787226267885956</v>
      </c>
      <c r="X470" s="6" t="n">
        <v>1.305181352080427</v>
      </c>
      <c r="Y470" s="6" t="n">
        <v>0.1084467311770853</v>
      </c>
      <c r="Z470" s="6" t="n">
        <v>-1.072701981890021</v>
      </c>
      <c r="AA470" s="6" t="n">
        <v>-0.2823650927260576</v>
      </c>
      <c r="AB470" s="6" t="n">
        <v>-1.025409070341311</v>
      </c>
      <c r="AC470" s="6" t="n">
        <v>-2.519075130168924</v>
      </c>
      <c r="AD470" s="6" t="n">
        <v>-3.674345478773035</v>
      </c>
      <c r="AE470" s="6" t="n">
        <v>4.162394691774032</v>
      </c>
      <c r="AF470" s="6" t="n">
        <v>-0.8884829125704351</v>
      </c>
      <c r="AG470" s="6" t="n">
        <v>-2.087247112115681</v>
      </c>
      <c r="AH470" s="6" t="n">
        <v>0.157047698431115</v>
      </c>
      <c r="AI470" s="6" t="n">
        <v>-0.7341176285207945</v>
      </c>
      <c r="AJ470" s="6" t="n">
        <v>70.8650028531726</v>
      </c>
      <c r="AK470" s="6" t="n">
        <v>0.1580693278699107</v>
      </c>
      <c r="AL470" s="6" t="n">
        <v>1.113901246644329</v>
      </c>
      <c r="AN470" s="6" t="n">
        <v>1.320569162856765</v>
      </c>
      <c r="AO470" s="6" t="n">
        <v>1.321467814379555</v>
      </c>
      <c r="AP470" s="6" t="n">
        <v>0.127690648975211</v>
      </c>
      <c r="AQ470" s="6" t="n">
        <v>0</v>
      </c>
      <c r="AR470" s="6" t="n">
        <v>0</v>
      </c>
    </row>
    <row r="471">
      <c r="D471" t="inlineStr">
        <is>
          <t>Run 159</t>
        </is>
      </c>
      <c r="J471" s="6" t="n">
        <v>-1.224060269081573</v>
      </c>
      <c r="K471" s="6" t="n">
        <v>-2.908844171650262</v>
      </c>
      <c r="L471" s="6" t="n">
        <v>-2.198219477975806</v>
      </c>
      <c r="M471" s="6" t="n">
        <v>1.569094976058731</v>
      </c>
      <c r="N471" s="6" t="n">
        <v>3.390967089291937</v>
      </c>
      <c r="O471" s="6" t="n">
        <v>2.236196880376775</v>
      </c>
      <c r="P471" s="6" t="n">
        <v>-0.6681764603001815</v>
      </c>
      <c r="Q471" s="6" t="n">
        <v>1.865512281586149</v>
      </c>
      <c r="R471" s="6" t="n">
        <v>-4.943039841141668</v>
      </c>
      <c r="S471" s="6" t="n">
        <v>0.4314518417671294</v>
      </c>
      <c r="T471" s="6" t="n">
        <v>2.018108995138918</v>
      </c>
      <c r="U471" s="6" t="n">
        <v>0.9356225982340705</v>
      </c>
      <c r="V471" s="6" t="n">
        <v>-1.730224179745603</v>
      </c>
      <c r="W471" s="6" t="n">
        <v>-4.447462578725868</v>
      </c>
      <c r="X471" s="6" t="n">
        <v>-1.751679404324785</v>
      </c>
      <c r="Y471" s="6" t="n">
        <v>-1.66585027697441</v>
      </c>
      <c r="Z471" s="6" t="n">
        <v>0.5876355139663856</v>
      </c>
      <c r="AA471" s="6" t="n">
        <v>1.985957714400974</v>
      </c>
      <c r="AB471" s="6" t="n">
        <v>-3.150810729338769</v>
      </c>
      <c r="AC471" s="6" t="n">
        <v>3.290583272857416</v>
      </c>
      <c r="AD471" s="6" t="n">
        <v>-2.378171661277466</v>
      </c>
      <c r="AE471" s="6" t="n">
        <v>3.244585374782175</v>
      </c>
      <c r="AF471" s="6" t="n">
        <v>-2.039417232421861</v>
      </c>
      <c r="AG471" s="6" t="n">
        <v>-1.120049824833744</v>
      </c>
      <c r="AH471" s="6" t="n">
        <v>0.7909208921259587</v>
      </c>
      <c r="AI471" s="6" t="n">
        <v>-0.4379554772925811</v>
      </c>
      <c r="AJ471" s="6" t="n">
        <v>67.6172913970284</v>
      </c>
      <c r="AK471" s="6" t="n">
        <v>0.1472595204456898</v>
      </c>
      <c r="AL471" s="6" t="n">
        <v>1.004877015550826</v>
      </c>
      <c r="AN471" s="6" t="n">
        <v>1.354085930227932</v>
      </c>
      <c r="AO471" s="6" t="n">
        <v>1.354085930227932</v>
      </c>
      <c r="AP471" s="6" t="n">
        <v>0.1368524006518183</v>
      </c>
      <c r="AQ471" s="6" t="n">
        <v>0</v>
      </c>
      <c r="AR471" s="6" t="n">
        <v>0</v>
      </c>
    </row>
    <row r="472">
      <c r="D472" t="inlineStr">
        <is>
          <t>Run 160</t>
        </is>
      </c>
      <c r="J472" s="6" t="n">
        <v>0.7110410602951016</v>
      </c>
      <c r="K472" s="6" t="n">
        <v>1.30269762786187</v>
      </c>
      <c r="L472" s="6" t="n">
        <v>-0.4070984007508461</v>
      </c>
      <c r="M472" s="6" t="n">
        <v>0.3739191141059536</v>
      </c>
      <c r="N472" s="6" t="n">
        <v>2.6077043404814</v>
      </c>
      <c r="O472" s="6" t="n">
        <v>-0.3991738180062951</v>
      </c>
      <c r="P472" s="6" t="n">
        <v>0.9199512350268723</v>
      </c>
      <c r="Q472" s="6" t="n">
        <v>-2.548272204783166</v>
      </c>
      <c r="R472" s="6" t="n">
        <v>-0.3584321359333034</v>
      </c>
      <c r="S472" s="6" t="n">
        <v>-0.9717763399694975</v>
      </c>
      <c r="T472" s="6" t="n">
        <v>-1.748421477912147</v>
      </c>
      <c r="U472" s="6" t="n">
        <v>-1.47103809653113</v>
      </c>
      <c r="V472" s="6" t="n">
        <v>0.6247575610552426</v>
      </c>
      <c r="W472" s="6" t="n">
        <v>0.2139746335998856</v>
      </c>
      <c r="X472" s="6" t="n">
        <v>-0.04732999420466132</v>
      </c>
      <c r="Y472" s="6" t="n">
        <v>0.3389767193326141</v>
      </c>
      <c r="Z472" s="6" t="n">
        <v>-1.91875807931397</v>
      </c>
      <c r="AA472" s="6" t="n">
        <v>1.279369197959619</v>
      </c>
      <c r="AB472" s="6" t="n">
        <v>0.7144983115620539</v>
      </c>
      <c r="AC472" s="6" t="n">
        <v>-0.6212445031701478</v>
      </c>
      <c r="AD472" s="6" t="n">
        <v>4.269337266094287</v>
      </c>
      <c r="AE472" s="6" t="n">
        <v>-0.4498515970752692</v>
      </c>
      <c r="AF472" s="6" t="n">
        <v>2.367987337705635</v>
      </c>
      <c r="AG472" s="6" t="n">
        <v>-1.428424220250899</v>
      </c>
      <c r="AH472" s="6" t="n">
        <v>4.553884504180113</v>
      </c>
      <c r="AI472" s="6" t="n">
        <v>0.3043602557355496</v>
      </c>
      <c r="AJ472" s="6" t="n">
        <v>69.84775077329743</v>
      </c>
      <c r="AK472" s="6" t="n">
        <v>0.1493672474751337</v>
      </c>
      <c r="AL472" s="6" t="n">
        <v>1.045632719192994</v>
      </c>
      <c r="AN472" s="6" t="n">
        <v>1.344731778121051</v>
      </c>
      <c r="AO472" s="6" t="n">
        <v>1.345432333299224</v>
      </c>
      <c r="AP472" s="6" t="n">
        <v>0.1316758292050286</v>
      </c>
      <c r="AQ472" s="6" t="n">
        <v>0</v>
      </c>
      <c r="AR472" s="6" t="n">
        <v>0</v>
      </c>
    </row>
    <row r="473">
      <c r="D473" t="inlineStr">
        <is>
          <t>Run 161</t>
        </is>
      </c>
      <c r="J473" s="6" t="n">
        <v>-0.03028495140417304</v>
      </c>
      <c r="K473" s="6" t="n">
        <v>-0.9049873868638346</v>
      </c>
      <c r="L473" s="6" t="n">
        <v>0.2795554247936552</v>
      </c>
      <c r="M473" s="6" t="n">
        <v>-2.57184042155321</v>
      </c>
      <c r="N473" s="6" t="n">
        <v>-6.058335199622555</v>
      </c>
      <c r="O473" s="6" t="n">
        <v>0.2012311080018222</v>
      </c>
      <c r="P473" s="6" t="n">
        <v>-0.345241023433455</v>
      </c>
      <c r="Q473" s="6" t="n">
        <v>1.207746145178096</v>
      </c>
      <c r="R473" s="6" t="n">
        <v>1.83489381527427</v>
      </c>
      <c r="S473" s="6" t="n">
        <v>3.085699576596665</v>
      </c>
      <c r="T473" s="6" t="n">
        <v>2.471504687392711</v>
      </c>
      <c r="U473" s="6" t="n">
        <v>-1.272330871682713</v>
      </c>
      <c r="V473" s="6" t="n">
        <v>0.9702709257141514</v>
      </c>
      <c r="W473" s="6" t="n">
        <v>0.2828296679752028</v>
      </c>
      <c r="X473" s="6" t="n">
        <v>2.933797002774516</v>
      </c>
      <c r="Y473" s="6" t="n">
        <v>-0.0228271853353542</v>
      </c>
      <c r="Z473" s="6" t="n">
        <v>-1.252781506184513</v>
      </c>
      <c r="AA473" s="6" t="n">
        <v>-1.202778890309739</v>
      </c>
      <c r="AB473" s="6" t="n">
        <v>2.854988427593974</v>
      </c>
      <c r="AC473" s="6" t="n">
        <v>-0.2955860940069504</v>
      </c>
      <c r="AD473" s="6" t="n">
        <v>-3.187697839428788</v>
      </c>
      <c r="AE473" s="6" t="n">
        <v>2.103502220910396</v>
      </c>
      <c r="AF473" s="6" t="n">
        <v>0.2505886401122129</v>
      </c>
      <c r="AG473" s="6" t="n">
        <v>0.1238107017937114</v>
      </c>
      <c r="AH473" s="6" t="n">
        <v>-0.1997147711827045</v>
      </c>
      <c r="AI473" s="6" t="n">
        <v>0.4557023277236742</v>
      </c>
      <c r="AJ473" s="6" t="n">
        <v>74.91788262879501</v>
      </c>
      <c r="AK473" s="6" t="n">
        <v>0.05983429831255325</v>
      </c>
      <c r="AL473" s="6" t="n">
        <v>1.045775121588245</v>
      </c>
      <c r="AN473" s="6" t="n">
        <v>1.320526762604053</v>
      </c>
      <c r="AO473" s="6" t="n">
        <v>1.320910362523348</v>
      </c>
      <c r="AP473" s="6" t="n">
        <v>0.1338457364356428</v>
      </c>
      <c r="AQ473" s="6" t="n">
        <v>0</v>
      </c>
      <c r="AR473" s="6" t="n">
        <v>0</v>
      </c>
    </row>
    <row r="474">
      <c r="D474" t="inlineStr">
        <is>
          <t>Run 162</t>
        </is>
      </c>
      <c r="J474" s="6" t="n">
        <v>0.3843428267882206</v>
      </c>
      <c r="K474" s="6" t="n">
        <v>1.56852812295069</v>
      </c>
      <c r="L474" s="6" t="n">
        <v>1.497961146992603</v>
      </c>
      <c r="M474" s="6" t="n">
        <v>-0.3539331134225747</v>
      </c>
      <c r="N474" s="6" t="n">
        <v>-0.3380291995104723</v>
      </c>
      <c r="O474" s="6" t="n">
        <v>0.4015801479745232</v>
      </c>
      <c r="P474" s="6" t="n">
        <v>-2.645916941914292</v>
      </c>
      <c r="Q474" s="6" t="n">
        <v>-0.07863502229821367</v>
      </c>
      <c r="R474" s="6" t="n">
        <v>-0.002061903401719149</v>
      </c>
      <c r="S474" s="6" t="n">
        <v>0.2347284717552525</v>
      </c>
      <c r="T474" s="6" t="n">
        <v>-0.6103807750801896</v>
      </c>
      <c r="U474" s="6" t="n">
        <v>1.29352902236996</v>
      </c>
      <c r="V474" s="6" t="n">
        <v>-0.1012047621110364</v>
      </c>
      <c r="W474" s="6" t="n">
        <v>0.9339825625344698</v>
      </c>
      <c r="X474" s="6" t="n">
        <v>1.254132312048613</v>
      </c>
      <c r="Y474" s="6" t="n">
        <v>1.089739300223538</v>
      </c>
      <c r="Z474" s="6" t="n">
        <v>0.9264117496855898</v>
      </c>
      <c r="AA474" s="6" t="n">
        <v>1.737526797619768</v>
      </c>
      <c r="AB474" s="6" t="n">
        <v>0.8534553382879738</v>
      </c>
      <c r="AC474" s="6" t="n">
        <v>-2.672880452234828</v>
      </c>
      <c r="AD474" s="6" t="n">
        <v>-0.1086438174813072</v>
      </c>
      <c r="AE474" s="6" t="n">
        <v>-0.6686298016404162</v>
      </c>
      <c r="AF474" s="6" t="n">
        <v>-0.3046970624385762</v>
      </c>
      <c r="AG474" s="6" t="n">
        <v>-1.678363186330537</v>
      </c>
      <c r="AH474" s="6" t="n">
        <v>1.832324026651099</v>
      </c>
      <c r="AI474" s="6" t="n">
        <v>0.8814384096850743</v>
      </c>
      <c r="AJ474" s="6" t="n">
        <v>73.63627923233595</v>
      </c>
      <c r="AK474" s="6" t="n">
        <v>0.07631448300115798</v>
      </c>
      <c r="AL474" s="6" t="n">
        <v>1.071548280753069</v>
      </c>
      <c r="AN474" s="6" t="n">
        <v>1.343747333309253</v>
      </c>
      <c r="AO474" s="6" t="n">
        <v>1.343752466968474</v>
      </c>
      <c r="AP474" s="6" t="n">
        <v>0.1318973140057696</v>
      </c>
      <c r="AQ474" s="6" t="n">
        <v>0</v>
      </c>
      <c r="AR474" s="6" t="n">
        <v>0</v>
      </c>
    </row>
    <row r="475">
      <c r="D475" t="inlineStr">
        <is>
          <t>Run 163</t>
        </is>
      </c>
      <c r="J475" s="6" t="n">
        <v>-1.375196366416649</v>
      </c>
      <c r="K475" s="6" t="n">
        <v>-1.690816225885238</v>
      </c>
      <c r="L475" s="6" t="n">
        <v>1.679248683497829</v>
      </c>
      <c r="M475" s="6" t="n">
        <v>-1.448357612441453</v>
      </c>
      <c r="N475" s="6" t="n">
        <v>3.014226799060884</v>
      </c>
      <c r="O475" s="6" t="n">
        <v>-5.523645042269864</v>
      </c>
      <c r="P475" s="6" t="n">
        <v>0.564230846635579</v>
      </c>
      <c r="Q475" s="6" t="n">
        <v>1.747533225068435</v>
      </c>
      <c r="R475" s="6" t="n">
        <v>1.626702422976521</v>
      </c>
      <c r="S475" s="6" t="n">
        <v>1.276822868762753</v>
      </c>
      <c r="T475" s="6" t="n">
        <v>0.8194245797658655</v>
      </c>
      <c r="U475" s="6" t="n">
        <v>0.2681812280300005</v>
      </c>
      <c r="V475" s="6" t="n">
        <v>3.995298304300973</v>
      </c>
      <c r="W475" s="6" t="n">
        <v>3.486769873688719</v>
      </c>
      <c r="X475" s="6" t="n">
        <v>1.349763924075176</v>
      </c>
      <c r="Y475" s="6" t="n">
        <v>-3.773867220082884</v>
      </c>
      <c r="Z475" s="6" t="n">
        <v>0.1232294530449491</v>
      </c>
      <c r="AA475" s="6" t="n">
        <v>-0.6123200395599337</v>
      </c>
      <c r="AB475" s="6" t="n">
        <v>2.387452138558478</v>
      </c>
      <c r="AC475" s="6" t="n">
        <v>-1.805273541934286</v>
      </c>
      <c r="AD475" s="6" t="n">
        <v>-4.412197154279254</v>
      </c>
      <c r="AE475" s="6" t="n">
        <v>1.755986668668833</v>
      </c>
      <c r="AF475" s="6" t="n">
        <v>-0.6294665905067341</v>
      </c>
      <c r="AG475" s="6" t="n">
        <v>-1.686331964754226</v>
      </c>
      <c r="AH475" s="6" t="n">
        <v>2.053227561636955</v>
      </c>
      <c r="AI475" s="6" t="n">
        <v>3.25256474735992</v>
      </c>
      <c r="AJ475" s="6" t="n">
        <v>63.40318647424434</v>
      </c>
      <c r="AK475" s="6" t="n">
        <v>0.1384038556974561</v>
      </c>
      <c r="AL475" s="6" t="n">
        <v>1.065389148304169</v>
      </c>
      <c r="AN475" s="6" t="n">
        <v>1.305260438128592</v>
      </c>
      <c r="AO475" s="6" t="n">
        <v>1.315572909727242</v>
      </c>
      <c r="AP475" s="6" t="n">
        <v>0.1299518785227222</v>
      </c>
      <c r="AQ475" s="6" t="n">
        <v>0</v>
      </c>
      <c r="AR475" s="6" t="n">
        <v>0</v>
      </c>
    </row>
    <row r="476">
      <c r="D476" t="inlineStr">
        <is>
          <t>Run 164</t>
        </is>
      </c>
      <c r="J476" s="6" t="n">
        <v>1.394958063971581</v>
      </c>
      <c r="K476" s="6" t="n">
        <v>-1.513014088569106</v>
      </c>
      <c r="L476" s="6" t="n">
        <v>-0.7241540510840281</v>
      </c>
      <c r="M476" s="6" t="n">
        <v>-0.6202080609530912</v>
      </c>
      <c r="N476" s="6" t="n">
        <v>-0.08437348203220556</v>
      </c>
      <c r="O476" s="6" t="n">
        <v>0.4230323509488292</v>
      </c>
      <c r="P476" s="6" t="n">
        <v>-0.9242458000511172</v>
      </c>
      <c r="Q476" s="6" t="n">
        <v>3.436461108809254</v>
      </c>
      <c r="R476" s="6" t="n">
        <v>0.08168262391565462</v>
      </c>
      <c r="S476" s="6" t="n">
        <v>1.443840630372795</v>
      </c>
      <c r="T476" s="6" t="n">
        <v>-0.5240090202779063</v>
      </c>
      <c r="U476" s="6" t="n">
        <v>-1.236425786323722</v>
      </c>
      <c r="V476" s="6" t="n">
        <v>0.5183217022460287</v>
      </c>
      <c r="W476" s="6" t="n">
        <v>-0.6476031981408582</v>
      </c>
      <c r="X476" s="6" t="n">
        <v>-0.5168233127988977</v>
      </c>
      <c r="Y476" s="6" t="n">
        <v>1.224099410476382</v>
      </c>
      <c r="Z476" s="6" t="n">
        <v>-0.2339670824670766</v>
      </c>
      <c r="AA476" s="6" t="n">
        <v>0.9612005348637973</v>
      </c>
      <c r="AB476" s="6" t="n">
        <v>-1.719121337360805</v>
      </c>
      <c r="AC476" s="6" t="n">
        <v>0.3018235399722421</v>
      </c>
      <c r="AD476" s="6" t="n">
        <v>0.1413125586838979</v>
      </c>
      <c r="AE476" s="6" t="n">
        <v>-2.797264846300695</v>
      </c>
      <c r="AF476" s="6" t="n">
        <v>1.004869884347753</v>
      </c>
      <c r="AG476" s="6" t="n">
        <v>-1.643897973333533</v>
      </c>
      <c r="AH476" s="6" t="n">
        <v>0.1287002175534166</v>
      </c>
      <c r="AI476" s="6" t="n">
        <v>0.9787724296302581</v>
      </c>
      <c r="AJ476" s="6" t="n">
        <v>74.13048762638506</v>
      </c>
      <c r="AK476" s="6" t="n">
        <v>0.1746796843157672</v>
      </c>
      <c r="AL476" s="6" t="n">
        <v>1.016364110652678</v>
      </c>
      <c r="AN476" s="6" t="n">
        <v>1.352739189866884</v>
      </c>
      <c r="AO476" s="6" t="n">
        <v>1.352739189866884</v>
      </c>
      <c r="AP476" s="6" t="n">
        <v>0.1352363624488788</v>
      </c>
      <c r="AQ476" s="6" t="n">
        <v>0</v>
      </c>
      <c r="AR476" s="6" t="n">
        <v>0</v>
      </c>
    </row>
    <row r="477">
      <c r="D477" t="inlineStr">
        <is>
          <t>Run 165</t>
        </is>
      </c>
      <c r="J477" s="6" t="n">
        <v>-1.560668405048315</v>
      </c>
      <c r="K477" s="6" t="n">
        <v>3.809109674597479</v>
      </c>
      <c r="L477" s="6" t="n">
        <v>1.394325805544776</v>
      </c>
      <c r="M477" s="6" t="n">
        <v>-0.1412964189280203</v>
      </c>
      <c r="N477" s="6" t="n">
        <v>-0.9745549055494447</v>
      </c>
      <c r="O477" s="6" t="n">
        <v>0.7931439126699767</v>
      </c>
      <c r="P477" s="6" t="n">
        <v>-0.0389400764664469</v>
      </c>
      <c r="Q477" s="6" t="n">
        <v>-2.146461633707446</v>
      </c>
      <c r="R477" s="6" t="n">
        <v>0.5508986889405059</v>
      </c>
      <c r="S477" s="6" t="n">
        <v>-0.823939909431374</v>
      </c>
      <c r="T477" s="6" t="n">
        <v>-0.569212036968019</v>
      </c>
      <c r="U477" s="6" t="n">
        <v>3.329262635434357</v>
      </c>
      <c r="V477" s="6" t="n">
        <v>3.496592082776762</v>
      </c>
      <c r="W477" s="6" t="n">
        <v>0.1396055814744338</v>
      </c>
      <c r="X477" s="6" t="n">
        <v>-0.9591222292055892</v>
      </c>
      <c r="Y477" s="6" t="n">
        <v>-0.7999109570239825</v>
      </c>
      <c r="Z477" s="6" t="n">
        <v>-3.729177228758454</v>
      </c>
      <c r="AA477" s="6" t="n">
        <v>0.8811146892133409</v>
      </c>
      <c r="AB477" s="6" t="n">
        <v>1.391185879149118</v>
      </c>
      <c r="AC477" s="6" t="n">
        <v>-1.010017429006542</v>
      </c>
      <c r="AD477" s="6" t="n">
        <v>1.611581374837269</v>
      </c>
      <c r="AE477" s="6" t="n">
        <v>-1.335174908086325</v>
      </c>
      <c r="AF477" s="6" t="n">
        <v>2.396207644141623</v>
      </c>
      <c r="AG477" s="6" t="n">
        <v>-2.781845151601648</v>
      </c>
      <c r="AH477" s="6" t="n">
        <v>-0.655875973394177</v>
      </c>
      <c r="AI477" s="6" t="n">
        <v>-1.151060838317731</v>
      </c>
      <c r="AJ477" s="6" t="n">
        <v>77.7633452291938</v>
      </c>
      <c r="AK477" s="6" t="n">
        <v>0.1444243958260197</v>
      </c>
      <c r="AL477" s="6" t="n">
        <v>1.085089025161852</v>
      </c>
      <c r="AN477" s="6" t="n">
        <v>1.332058726937813</v>
      </c>
      <c r="AO477" s="6" t="n">
        <v>1.332442309030641</v>
      </c>
      <c r="AP477" s="6" t="n">
        <v>0.129374899951872</v>
      </c>
      <c r="AQ477" s="6" t="n">
        <v>0</v>
      </c>
      <c r="AR477" s="6" t="n">
        <v>0</v>
      </c>
    </row>
    <row r="478">
      <c r="D478" t="inlineStr">
        <is>
          <t>Run 166</t>
        </is>
      </c>
      <c r="J478" s="6" t="n">
        <v>1.890218966819546</v>
      </c>
      <c r="K478" s="6" t="n">
        <v>0.838617277165266</v>
      </c>
      <c r="L478" s="6" t="n">
        <v>2.89143220564296</v>
      </c>
      <c r="M478" s="6" t="n">
        <v>-1.425074703885022</v>
      </c>
      <c r="N478" s="6" t="n">
        <v>2.770371181698131</v>
      </c>
      <c r="O478" s="6" t="n">
        <v>-0.7673293629439507</v>
      </c>
      <c r="P478" s="6" t="n">
        <v>3.667774902272059</v>
      </c>
      <c r="Q478" s="6" t="n">
        <v>-2.296221218635696</v>
      </c>
      <c r="R478" s="6" t="n">
        <v>1.126291669396574</v>
      </c>
      <c r="S478" s="6" t="n">
        <v>0.8157746990356524</v>
      </c>
      <c r="T478" s="6" t="n">
        <v>2.741744443945297</v>
      </c>
      <c r="U478" s="6" t="n">
        <v>0.9345200404734345</v>
      </c>
      <c r="V478" s="6" t="n">
        <v>-0.7733361119788362</v>
      </c>
      <c r="W478" s="6" t="n">
        <v>-0.09165697731112139</v>
      </c>
      <c r="X478" s="6" t="n">
        <v>0.3699338023278924</v>
      </c>
      <c r="Y478" s="6" t="n">
        <v>-2.669286566479855</v>
      </c>
      <c r="Z478" s="6" t="n">
        <v>3.350394431548088</v>
      </c>
      <c r="AA478" s="6" t="n">
        <v>0.8607779694009277</v>
      </c>
      <c r="AB478" s="6" t="n">
        <v>-2.263364309672293</v>
      </c>
      <c r="AC478" s="6" t="n">
        <v>-0.7873567676714985</v>
      </c>
      <c r="AD478" s="6" t="n">
        <v>-0.895458842050733</v>
      </c>
      <c r="AE478" s="6" t="n">
        <v>0.176577704935212</v>
      </c>
      <c r="AF478" s="6" t="n">
        <v>-1.701701274791491</v>
      </c>
      <c r="AG478" s="6" t="n">
        <v>-1.272127713115038</v>
      </c>
      <c r="AH478" s="6" t="n">
        <v>1.083467403479458</v>
      </c>
      <c r="AI478" s="6" t="n">
        <v>-1.7346821113578</v>
      </c>
      <c r="AJ478" s="6" t="n">
        <v>76.98088014382461</v>
      </c>
      <c r="AK478" s="6" t="n">
        <v>0.11309330085288</v>
      </c>
      <c r="AL478" s="6" t="n">
        <v>1.013981647489669</v>
      </c>
      <c r="AN478" s="6" t="n">
        <v>1.355137875226548</v>
      </c>
      <c r="AO478" s="6" t="n">
        <v>1.356069217403115</v>
      </c>
      <c r="AP478" s="6" t="n">
        <v>0.1367860956844913</v>
      </c>
      <c r="AQ478" s="6" t="n">
        <v>0</v>
      </c>
      <c r="AR478" s="6" t="n">
        <v>0</v>
      </c>
    </row>
    <row r="479">
      <c r="D479" t="inlineStr">
        <is>
          <t>Run 167</t>
        </is>
      </c>
      <c r="J479" s="6" t="n">
        <v>2.669609943484505</v>
      </c>
      <c r="K479" s="6" t="n">
        <v>-0.8586187283489226</v>
      </c>
      <c r="L479" s="6" t="n">
        <v>0.9018210051829206</v>
      </c>
      <c r="M479" s="6" t="n">
        <v>-0.05326327014540481</v>
      </c>
      <c r="N479" s="6" t="n">
        <v>1.738350431542556</v>
      </c>
      <c r="O479" s="6" t="n">
        <v>-1.071369663739843</v>
      </c>
      <c r="P479" s="6" t="n">
        <v>1.838269597439308</v>
      </c>
      <c r="Q479" s="6" t="n">
        <v>-1.799876187906901</v>
      </c>
      <c r="R479" s="6" t="n">
        <v>1.972225204678425</v>
      </c>
      <c r="S479" s="6" t="n">
        <v>-2.003890898777429</v>
      </c>
      <c r="T479" s="6" t="n">
        <v>1.033930441263504</v>
      </c>
      <c r="U479" s="6" t="n">
        <v>0.8911433820254178</v>
      </c>
      <c r="V479" s="6" t="n">
        <v>1.331887662612698</v>
      </c>
      <c r="W479" s="6" t="n">
        <v>-0.1779761478646176</v>
      </c>
      <c r="X479" s="6" t="n">
        <v>-4.522195006935879</v>
      </c>
      <c r="Y479" s="6" t="n">
        <v>-1.60718126046773</v>
      </c>
      <c r="Z479" s="6" t="n">
        <v>2.735184956931167</v>
      </c>
      <c r="AA479" s="6" t="n">
        <v>1.658314617518935</v>
      </c>
      <c r="AB479" s="6" t="n">
        <v>-0.4964614787257789</v>
      </c>
      <c r="AC479" s="6" t="n">
        <v>-0.9004488261618616</v>
      </c>
      <c r="AD479" s="6" t="n">
        <v>3.358442837443031</v>
      </c>
      <c r="AE479" s="6" t="n">
        <v>-0.446973786188429</v>
      </c>
      <c r="AF479" s="6" t="n">
        <v>0.2010875535547433</v>
      </c>
      <c r="AG479" s="6" t="n">
        <v>-0.125787859857104</v>
      </c>
      <c r="AH479" s="6" t="n">
        <v>0.681246999106816</v>
      </c>
      <c r="AI479" s="6" t="n">
        <v>1.062994878787282</v>
      </c>
      <c r="AJ479" s="6" t="n">
        <v>81.36928333770281</v>
      </c>
      <c r="AK479" s="6" t="n">
        <v>0.06302042827318599</v>
      </c>
      <c r="AL479" s="6" t="n">
        <v>1.028271975433544</v>
      </c>
      <c r="AN479" s="6" t="n">
        <v>1.357169678412864</v>
      </c>
      <c r="AO479" s="6" t="n">
        <v>1.357524572574042</v>
      </c>
      <c r="AP479" s="6" t="n">
        <v>0.1367657822146277</v>
      </c>
      <c r="AQ479" s="6" t="n">
        <v>0</v>
      </c>
      <c r="AR479" s="6" t="n">
        <v>0</v>
      </c>
    </row>
    <row r="480">
      <c r="D480" t="inlineStr">
        <is>
          <t>Run 168</t>
        </is>
      </c>
      <c r="J480" s="6" t="n">
        <v>-0.6851619646479185</v>
      </c>
      <c r="K480" s="6" t="n">
        <v>-0.643258199052769</v>
      </c>
      <c r="L480" s="6" t="n">
        <v>-0.2988074957472875</v>
      </c>
      <c r="M480" s="6" t="n">
        <v>-0.8846276025621612</v>
      </c>
      <c r="N480" s="6" t="n">
        <v>2.668603383633603</v>
      </c>
      <c r="O480" s="6" t="n">
        <v>1.514652301121663</v>
      </c>
      <c r="P480" s="6" t="n">
        <v>-0.1824049545600261</v>
      </c>
      <c r="Q480" s="6" t="n">
        <v>0.005532399967721612</v>
      </c>
      <c r="R480" s="6" t="n">
        <v>1.604574070309232</v>
      </c>
      <c r="S480" s="6" t="n">
        <v>-4.072085528595488</v>
      </c>
      <c r="T480" s="6" t="n">
        <v>1.901009049323684</v>
      </c>
      <c r="U480" s="6" t="n">
        <v>2.829270764669819</v>
      </c>
      <c r="V480" s="6" t="n">
        <v>-2.429121359373613</v>
      </c>
      <c r="W480" s="6" t="n">
        <v>5</v>
      </c>
      <c r="X480" s="6" t="n">
        <v>1.747775709634594</v>
      </c>
      <c r="Y480" s="6" t="n">
        <v>-0.7000928236275125</v>
      </c>
      <c r="Z480" s="6" t="n">
        <v>-3.749386549317317</v>
      </c>
      <c r="AA480" s="6" t="n">
        <v>-2.024409110042589</v>
      </c>
      <c r="AB480" s="6" t="n">
        <v>-0.7381305626600146</v>
      </c>
      <c r="AC480" s="6" t="n">
        <v>-0.6062168940949891</v>
      </c>
      <c r="AD480" s="6" t="n">
        <v>1.358998129549465</v>
      </c>
      <c r="AE480" s="6" t="n">
        <v>-1.662456334057153</v>
      </c>
      <c r="AF480" s="6" t="n">
        <v>0.4104792040948433</v>
      </c>
      <c r="AG480" s="6" t="n">
        <v>-1.601947075931449</v>
      </c>
      <c r="AH480" s="6" t="n">
        <v>-2.254972975559717</v>
      </c>
      <c r="AI480" s="6" t="n">
        <v>-2.617434485802579</v>
      </c>
      <c r="AJ480" s="6" t="n">
        <v>77.22025491265317</v>
      </c>
      <c r="AK480" s="6" t="n">
        <v>0.05738646001437656</v>
      </c>
      <c r="AL480" s="6" t="n">
        <v>1.060983407355814</v>
      </c>
      <c r="AN480" s="6" t="n">
        <v>1.349139560242249</v>
      </c>
      <c r="AO480" s="6" t="n">
        <v>1.349863198218505</v>
      </c>
      <c r="AP480" s="6" t="n">
        <v>0.1334055859641626</v>
      </c>
      <c r="AQ480" s="6" t="n">
        <v>0</v>
      </c>
      <c r="AR480" s="6" t="n">
        <v>0</v>
      </c>
    </row>
    <row r="481">
      <c r="D481" t="inlineStr">
        <is>
          <t>Run 169</t>
        </is>
      </c>
      <c r="J481" s="6" t="n">
        <v>-2.779623281559678</v>
      </c>
      <c r="K481" s="6" t="n">
        <v>0.9824294568833541</v>
      </c>
      <c r="L481" s="6" t="n">
        <v>-0.03653800005064035</v>
      </c>
      <c r="M481" s="6" t="n">
        <v>1.298871399084361</v>
      </c>
      <c r="N481" s="6" t="n">
        <v>-0.59798704036679</v>
      </c>
      <c r="O481" s="6" t="n">
        <v>0.9781248913045659</v>
      </c>
      <c r="P481" s="6" t="n">
        <v>4.253970109584207</v>
      </c>
      <c r="Q481" s="6" t="n">
        <v>-0.1298386763543801</v>
      </c>
      <c r="R481" s="6" t="n">
        <v>-0.5431046628591635</v>
      </c>
      <c r="S481" s="6" t="n">
        <v>0.04294081474643351</v>
      </c>
      <c r="T481" s="6" t="n">
        <v>-2.90026835583565</v>
      </c>
      <c r="U481" s="6" t="n">
        <v>-0.1725843833040812</v>
      </c>
      <c r="V481" s="6" t="n">
        <v>-3.329006488519621</v>
      </c>
      <c r="W481" s="6" t="n">
        <v>-4.328496895829205</v>
      </c>
      <c r="X481" s="6" t="n">
        <v>-0.1270823843507366</v>
      </c>
      <c r="Y481" s="6" t="n">
        <v>-1.652929325363037</v>
      </c>
      <c r="Z481" s="6" t="n">
        <v>-0.4889058811285654</v>
      </c>
      <c r="AA481" s="6" t="n">
        <v>1.046599511349369</v>
      </c>
      <c r="AB481" s="6" t="n">
        <v>-2.869264140836687</v>
      </c>
      <c r="AC481" s="6" t="n">
        <v>-0.7293963368025269</v>
      </c>
      <c r="AD481" s="6" t="n">
        <v>-0.02151505107624832</v>
      </c>
      <c r="AE481" s="6" t="n">
        <v>2.071463810135076</v>
      </c>
      <c r="AF481" s="6" t="n">
        <v>1.97642240338625</v>
      </c>
      <c r="AG481" s="6" t="n">
        <v>0.1882300963875552</v>
      </c>
      <c r="AH481" s="6" t="n">
        <v>2.742224954515792</v>
      </c>
      <c r="AI481" s="6" t="n">
        <v>3.206921159831017</v>
      </c>
      <c r="AJ481" s="6" t="n">
        <v>66.27797365072971</v>
      </c>
      <c r="AK481" s="6" t="n">
        <v>0.1209164390630142</v>
      </c>
      <c r="AL481" s="6" t="n">
        <v>1.093990178043313</v>
      </c>
      <c r="AN481" s="6" t="n">
        <v>1.326501677301685</v>
      </c>
      <c r="AO481" s="6" t="n">
        <v>1.327567793458011</v>
      </c>
      <c r="AP481" s="6" t="n">
        <v>0.1293093439909808</v>
      </c>
      <c r="AQ481" s="6" t="n">
        <v>0</v>
      </c>
      <c r="AR481" s="6" t="n">
        <v>0</v>
      </c>
    </row>
    <row r="482">
      <c r="D482" t="inlineStr">
        <is>
          <t>Run 170</t>
        </is>
      </c>
      <c r="J482" s="6" t="n">
        <v>-0.5328755481631346</v>
      </c>
      <c r="K482" s="6" t="n">
        <v>1.928925285148884</v>
      </c>
      <c r="L482" s="6" t="n">
        <v>2.490616872747265</v>
      </c>
      <c r="M482" s="6" t="n">
        <v>-0.2889658210203804</v>
      </c>
      <c r="N482" s="6" t="n">
        <v>0.8123703161542565</v>
      </c>
      <c r="O482" s="6" t="n">
        <v>-0.0746934979039687</v>
      </c>
      <c r="P482" s="6" t="n">
        <v>-0.6895744328222355</v>
      </c>
      <c r="Q482" s="6" t="n">
        <v>-0.9977256057161538</v>
      </c>
      <c r="R482" s="6" t="n">
        <v>-1.65663270841213</v>
      </c>
      <c r="S482" s="6" t="n">
        <v>-0.3086854117664056</v>
      </c>
      <c r="T482" s="6" t="n">
        <v>4.066295799056533</v>
      </c>
      <c r="U482" s="6" t="n">
        <v>0.8389456194218442</v>
      </c>
      <c r="V482" s="6" t="n">
        <v>1.632513495070648</v>
      </c>
      <c r="W482" s="6" t="n">
        <v>0.4569948105554044</v>
      </c>
      <c r="X482" s="6" t="n">
        <v>-1.606967019711691</v>
      </c>
      <c r="Y482" s="6" t="n">
        <v>0.4044876351119615</v>
      </c>
      <c r="Z482" s="6" t="n">
        <v>-0.636318883541902</v>
      </c>
      <c r="AA482" s="6" t="n">
        <v>-0.130145235396024</v>
      </c>
      <c r="AB482" s="6" t="n">
        <v>2.152665204348758</v>
      </c>
      <c r="AC482" s="6" t="n">
        <v>-0.0968670199740638</v>
      </c>
      <c r="AD482" s="6" t="n">
        <v>-2.350109655780549</v>
      </c>
      <c r="AE482" s="6" t="n">
        <v>-2.398783186442389</v>
      </c>
      <c r="AF482" s="6" t="n">
        <v>1.089391988439723</v>
      </c>
      <c r="AG482" s="6" t="n">
        <v>0.04263182761966871</v>
      </c>
      <c r="AH482" s="6" t="n">
        <v>-2.355535106476157</v>
      </c>
      <c r="AI482" s="6" t="n">
        <v>1.448561623854078</v>
      </c>
      <c r="AJ482" s="6" t="n">
        <v>64.87495263066998</v>
      </c>
      <c r="AK482" s="6" t="n">
        <v>0.1125685127899149</v>
      </c>
      <c r="AL482" s="6" t="n">
        <v>1.032739296135941</v>
      </c>
      <c r="AN482" s="6" t="n">
        <v>1.345463659643925</v>
      </c>
      <c r="AO482" s="6" t="n">
        <v>1.345995267612242</v>
      </c>
      <c r="AP482" s="6" t="n">
        <v>0.1335552562639454</v>
      </c>
      <c r="AQ482" s="6" t="n">
        <v>0</v>
      </c>
      <c r="AR482" s="6" t="n">
        <v>0</v>
      </c>
    </row>
    <row r="483">
      <c r="D483" t="inlineStr">
        <is>
          <t>Run 171</t>
        </is>
      </c>
      <c r="J483" s="6" t="n">
        <v>1.44070739497784</v>
      </c>
      <c r="K483" s="6" t="n">
        <v>1.938503472706602</v>
      </c>
      <c r="L483" s="6" t="n">
        <v>-0.6028124947015504</v>
      </c>
      <c r="M483" s="6" t="n">
        <v>-0.2267202740046355</v>
      </c>
      <c r="N483" s="6" t="n">
        <v>1.213686921735198</v>
      </c>
      <c r="O483" s="6" t="n">
        <v>-0.2079010507782549</v>
      </c>
      <c r="P483" s="6" t="n">
        <v>0.3685398066634117</v>
      </c>
      <c r="Q483" s="6" t="n">
        <v>3.839012503048249</v>
      </c>
      <c r="R483" s="6" t="n">
        <v>-2.27675294606877</v>
      </c>
      <c r="S483" s="6" t="n">
        <v>-2.380425374387078</v>
      </c>
      <c r="T483" s="6" t="n">
        <v>-3.284489703603577</v>
      </c>
      <c r="U483" s="6" t="n">
        <v>-0.06682398199725804</v>
      </c>
      <c r="V483" s="6" t="n">
        <v>-1.685585135653425</v>
      </c>
      <c r="W483" s="6" t="n">
        <v>-0.2463109192415168</v>
      </c>
      <c r="X483" s="6" t="n">
        <v>-1.386095997193127</v>
      </c>
      <c r="Y483" s="6" t="n">
        <v>0.77930696938016</v>
      </c>
      <c r="Z483" s="6" t="n">
        <v>0.2406758794275405</v>
      </c>
      <c r="AA483" s="6" t="n">
        <v>0.5023648189589941</v>
      </c>
      <c r="AB483" s="6" t="n">
        <v>-3.90543765744525</v>
      </c>
      <c r="AC483" s="6" t="n">
        <v>1.219708581497052</v>
      </c>
      <c r="AD483" s="6" t="n">
        <v>0.2995517822715587</v>
      </c>
      <c r="AE483" s="6" t="n">
        <v>-1.38914803460482</v>
      </c>
      <c r="AF483" s="6" t="n">
        <v>-0.3353694975259572</v>
      </c>
      <c r="AG483" s="6" t="n">
        <v>0.6584685570006754</v>
      </c>
      <c r="AH483" s="6" t="n">
        <v>2.383910110413145</v>
      </c>
      <c r="AI483" s="6" t="n">
        <v>-0.03602212963103255</v>
      </c>
      <c r="AJ483" s="6" t="n">
        <v>70.43761905695625</v>
      </c>
      <c r="AK483" s="6" t="n">
        <v>0.1407487735356404</v>
      </c>
      <c r="AL483" s="6" t="n">
        <v>1.027671959176288</v>
      </c>
      <c r="AN483" s="6" t="n">
        <v>1.349005419555285</v>
      </c>
      <c r="AO483" s="6" t="n">
        <v>1.349108161212809</v>
      </c>
      <c r="AP483" s="6" t="n">
        <v>0.1342326710806934</v>
      </c>
      <c r="AQ483" s="6" t="n">
        <v>0</v>
      </c>
      <c r="AR483" s="6" t="n">
        <v>0</v>
      </c>
    </row>
    <row r="484">
      <c r="D484" t="inlineStr">
        <is>
          <t>Run 172</t>
        </is>
      </c>
      <c r="J484" s="6" t="n">
        <v>-0.6978842102465916</v>
      </c>
      <c r="K484" s="6" t="n">
        <v>1.445903733133333</v>
      </c>
      <c r="L484" s="6" t="n">
        <v>-2.111894638793728</v>
      </c>
      <c r="M484" s="6" t="n">
        <v>2.22674818795203</v>
      </c>
      <c r="N484" s="6" t="n">
        <v>-5.782962429317423</v>
      </c>
      <c r="O484" s="6" t="n">
        <v>-3.414120986105594</v>
      </c>
      <c r="P484" s="6" t="n">
        <v>0.6665771066907028</v>
      </c>
      <c r="Q484" s="6" t="n">
        <v>-1.708874293505309</v>
      </c>
      <c r="R484" s="6" t="n">
        <v>-2.016490612115974</v>
      </c>
      <c r="S484" s="6" t="n">
        <v>-1.13819051537843</v>
      </c>
      <c r="T484" s="6" t="n">
        <v>-1.863057455005411</v>
      </c>
      <c r="U484" s="6" t="n">
        <v>-0.1346659600586407</v>
      </c>
      <c r="V484" s="6" t="n">
        <v>-2.11120163166249</v>
      </c>
      <c r="W484" s="6" t="n">
        <v>0.5734944778545036</v>
      </c>
      <c r="X484" s="6" t="n">
        <v>-2.872893227450764</v>
      </c>
      <c r="Y484" s="6" t="n">
        <v>-2.684067114920491</v>
      </c>
      <c r="Z484" s="6" t="n">
        <v>0.1668368812036623</v>
      </c>
      <c r="AA484" s="6" t="n">
        <v>2.900566459864631</v>
      </c>
      <c r="AB484" s="6" t="n">
        <v>2.706838965087292</v>
      </c>
      <c r="AC484" s="6" t="n">
        <v>-2.031902525339973</v>
      </c>
      <c r="AD484" s="6" t="n">
        <v>-0.2784854454977025</v>
      </c>
      <c r="AE484" s="6" t="n">
        <v>-0.3949829260274991</v>
      </c>
      <c r="AF484" s="6" t="n">
        <v>2.924697979048986</v>
      </c>
      <c r="AG484" s="6" t="n">
        <v>-1.035771458457717</v>
      </c>
      <c r="AH484" s="6" t="n">
        <v>2.211682779060276</v>
      </c>
      <c r="AI484" s="6" t="n">
        <v>-2.360913891389724</v>
      </c>
      <c r="AJ484" s="6" t="n">
        <v>78.38269775743493</v>
      </c>
      <c r="AK484" s="6" t="n">
        <v>0.08228257186491786</v>
      </c>
      <c r="AL484" s="6" t="n">
        <v>0.9948469982102903</v>
      </c>
      <c r="AN484" s="6" t="n">
        <v>1.359750330439812</v>
      </c>
      <c r="AO484" s="6" t="n">
        <v>1.359760818966292</v>
      </c>
      <c r="AP484" s="6" t="n">
        <v>0.1408034841343937</v>
      </c>
      <c r="AQ484" s="6" t="n">
        <v>0</v>
      </c>
      <c r="AR484" s="6" t="n">
        <v>0</v>
      </c>
    </row>
    <row r="485">
      <c r="D485" t="inlineStr">
        <is>
          <t>Run 173</t>
        </is>
      </c>
      <c r="J485" s="6" t="n">
        <v>-2.278855537590136</v>
      </c>
      <c r="K485" s="6" t="n">
        <v>0.9691120563322154</v>
      </c>
      <c r="L485" s="6" t="n">
        <v>-2.039212924289652</v>
      </c>
      <c r="M485" s="6" t="n">
        <v>-0.4525273267354841</v>
      </c>
      <c r="N485" s="6" t="n">
        <v>-1.704650043806329</v>
      </c>
      <c r="O485" s="6" t="n">
        <v>-2.228012924282795</v>
      </c>
      <c r="P485" s="6" t="n">
        <v>-3.33204213252422</v>
      </c>
      <c r="Q485" s="6" t="n">
        <v>-1.348285419689999</v>
      </c>
      <c r="R485" s="6" t="n">
        <v>0.8817000372374406</v>
      </c>
      <c r="S485" s="6" t="n">
        <v>2.503853503177598</v>
      </c>
      <c r="T485" s="6" t="n">
        <v>0.510879234131712</v>
      </c>
      <c r="U485" s="6" t="n">
        <v>1.059652320294126</v>
      </c>
      <c r="V485" s="6" t="n">
        <v>-0.5776275602374843</v>
      </c>
      <c r="W485" s="6" t="n">
        <v>2.235624667315166</v>
      </c>
      <c r="X485" s="6" t="n">
        <v>-0.8110621024141352</v>
      </c>
      <c r="Y485" s="6" t="n">
        <v>-3.358750292230719</v>
      </c>
      <c r="Z485" s="6" t="n">
        <v>-0.2584044961925094</v>
      </c>
      <c r="AA485" s="6" t="n">
        <v>-0.6323383690452297</v>
      </c>
      <c r="AB485" s="6" t="n">
        <v>1.418253745553838</v>
      </c>
      <c r="AC485" s="6" t="n">
        <v>2.277406850189459</v>
      </c>
      <c r="AD485" s="6" t="n">
        <v>2.556033083384547</v>
      </c>
      <c r="AE485" s="6" t="n">
        <v>-3.306717653467569</v>
      </c>
      <c r="AF485" s="6" t="n">
        <v>2.145939050167116</v>
      </c>
      <c r="AG485" s="6" t="n">
        <v>0.0130143062108248</v>
      </c>
      <c r="AH485" s="6" t="n">
        <v>-1.187365323458817</v>
      </c>
      <c r="AI485" s="6" t="n">
        <v>-1.006972926345394</v>
      </c>
      <c r="AJ485" s="6" t="n">
        <v>73.85919733530658</v>
      </c>
      <c r="AK485" s="6" t="n">
        <v>0.1156569584831479</v>
      </c>
      <c r="AL485" s="6" t="n">
        <v>1.087431080214609</v>
      </c>
      <c r="AN485" s="6" t="n">
        <v>1.339096668609784</v>
      </c>
      <c r="AO485" s="6" t="n">
        <v>1.33911768363574</v>
      </c>
      <c r="AP485" s="6" t="n">
        <v>0.1299809463354742</v>
      </c>
      <c r="AQ485" s="6" t="n">
        <v>0</v>
      </c>
      <c r="AR485" s="6" t="n">
        <v>0</v>
      </c>
    </row>
    <row r="486">
      <c r="D486" t="inlineStr">
        <is>
          <t>Run 174</t>
        </is>
      </c>
      <c r="J486" s="6" t="n">
        <v>-0.2569231950509687</v>
      </c>
      <c r="K486" s="6" t="n">
        <v>-1.153979307423196</v>
      </c>
      <c r="L486" s="6" t="n">
        <v>-0.3179234699713741</v>
      </c>
      <c r="M486" s="6" t="n">
        <v>-2.030772729558219</v>
      </c>
      <c r="N486" s="6" t="n">
        <v>-0.5341947080938357</v>
      </c>
      <c r="O486" s="6" t="n">
        <v>1.498156230784461</v>
      </c>
      <c r="P486" s="6" t="n">
        <v>-0.4236396625228487</v>
      </c>
      <c r="Q486" s="6" t="n">
        <v>1.995502034240134</v>
      </c>
      <c r="R486" s="6" t="n">
        <v>0.8637151276940579</v>
      </c>
      <c r="S486" s="6" t="n">
        <v>-2.204801892126956</v>
      </c>
      <c r="T486" s="6" t="n">
        <v>-0.5508237253968703</v>
      </c>
      <c r="U486" s="6" t="n">
        <v>-0.2015476515727027</v>
      </c>
      <c r="V486" s="6" t="n">
        <v>2.843141922864314</v>
      </c>
      <c r="W486" s="6" t="n">
        <v>0.4670453293890878</v>
      </c>
      <c r="X486" s="6" t="n">
        <v>-0.2218603323689364</v>
      </c>
      <c r="Y486" s="6" t="n">
        <v>-1.101189964807979</v>
      </c>
      <c r="Z486" s="6" t="n">
        <v>1.336332861835441</v>
      </c>
      <c r="AA486" s="6" t="n">
        <v>-2.473188074979523</v>
      </c>
      <c r="AB486" s="6" t="n">
        <v>0.0937387032495501</v>
      </c>
      <c r="AC486" s="6" t="n">
        <v>0.6479450857776466</v>
      </c>
      <c r="AD486" s="6" t="n">
        <v>0.9569611084946719</v>
      </c>
      <c r="AE486" s="6" t="n">
        <v>-4.376290158320441</v>
      </c>
      <c r="AF486" s="6" t="n">
        <v>-1.289938585703944</v>
      </c>
      <c r="AG486" s="6" t="n">
        <v>-2.042540692584785</v>
      </c>
      <c r="AH486" s="6" t="n">
        <v>0.3586592367809036</v>
      </c>
      <c r="AI486" s="6" t="n">
        <v>-1.050097748031746</v>
      </c>
      <c r="AJ486" s="6" t="n">
        <v>61.16542512848398</v>
      </c>
      <c r="AK486" s="6" t="n">
        <v>0.04730826776640985</v>
      </c>
      <c r="AL486" s="6" t="n">
        <v>1.036499263469818</v>
      </c>
      <c r="AN486" s="6" t="n">
        <v>1.334413783702681</v>
      </c>
      <c r="AO486" s="6" t="n">
        <v>1.341609280649012</v>
      </c>
      <c r="AP486" s="6" t="n">
        <v>0.1341880391523488</v>
      </c>
      <c r="AQ486" s="6" t="n">
        <v>0</v>
      </c>
      <c r="AR486" s="6" t="n">
        <v>0</v>
      </c>
    </row>
    <row r="487">
      <c r="D487" t="inlineStr">
        <is>
          <t>Run 175</t>
        </is>
      </c>
      <c r="J487" s="6" t="n">
        <v>2.342610928406464</v>
      </c>
      <c r="K487" s="6" t="n">
        <v>-0.8094649591559617</v>
      </c>
      <c r="L487" s="6" t="n">
        <v>-1.406622737685864</v>
      </c>
      <c r="M487" s="6" t="n">
        <v>-2.530523079588113</v>
      </c>
      <c r="N487" s="6" t="n">
        <v>-2.39322900888627</v>
      </c>
      <c r="O487" s="6" t="n">
        <v>0.4347816157461631</v>
      </c>
      <c r="P487" s="6" t="n">
        <v>0.5712738931520105</v>
      </c>
      <c r="Q487" s="6" t="n">
        <v>1.562342312979672</v>
      </c>
      <c r="R487" s="6" t="n">
        <v>1.097041873789091</v>
      </c>
      <c r="S487" s="6" t="n">
        <v>2.588035722332999</v>
      </c>
      <c r="T487" s="6" t="n">
        <v>0.1517391925709958</v>
      </c>
      <c r="U487" s="6" t="n">
        <v>-2.528323049176569</v>
      </c>
      <c r="V487" s="6" t="n">
        <v>1.495194036484351</v>
      </c>
      <c r="W487" s="6" t="n">
        <v>3.246566176333327</v>
      </c>
      <c r="X487" s="6" t="n">
        <v>-2.440597463977716</v>
      </c>
      <c r="Y487" s="6" t="n">
        <v>0.4923448441874096</v>
      </c>
      <c r="Z487" s="6" t="n">
        <v>-0.2003869839412159</v>
      </c>
      <c r="AA487" s="6" t="n">
        <v>1.194361578236294</v>
      </c>
      <c r="AB487" s="6" t="n">
        <v>1.165974569734388</v>
      </c>
      <c r="AC487" s="6" t="n">
        <v>2.140810075036383</v>
      </c>
      <c r="AD487" s="6" t="n">
        <v>-0.2937898265145371</v>
      </c>
      <c r="AE487" s="6" t="n">
        <v>1.55152370787135</v>
      </c>
      <c r="AF487" s="6" t="n">
        <v>-1.132862987544481</v>
      </c>
      <c r="AG487" s="6" t="n">
        <v>-0.106499692289669</v>
      </c>
      <c r="AH487" s="6" t="n">
        <v>-1.426448427611052</v>
      </c>
      <c r="AI487" s="6" t="n">
        <v>-2.701877035772704</v>
      </c>
      <c r="AJ487" s="6" t="n">
        <v>75.97790045804226</v>
      </c>
      <c r="AK487" s="6" t="n">
        <v>0.1838472068307664</v>
      </c>
      <c r="AL487" s="6" t="n">
        <v>1.053402557854123</v>
      </c>
      <c r="AN487" s="6" t="n">
        <v>1.320220156304367</v>
      </c>
      <c r="AO487" s="6" t="n">
        <v>1.323967077745724</v>
      </c>
      <c r="AP487" s="6" t="n">
        <v>0.1305732819029588</v>
      </c>
      <c r="AQ487" s="6" t="n">
        <v>0</v>
      </c>
      <c r="AR487" s="6" t="n">
        <v>0</v>
      </c>
    </row>
    <row r="488">
      <c r="D488" t="inlineStr">
        <is>
          <t>Run 176</t>
        </is>
      </c>
      <c r="J488" s="6" t="n">
        <v>-1.221831000141858</v>
      </c>
      <c r="K488" s="6" t="n">
        <v>-1.654611648409389</v>
      </c>
      <c r="L488" s="6" t="n">
        <v>-1.493634375203555</v>
      </c>
      <c r="M488" s="6" t="n">
        <v>1.524063506498363</v>
      </c>
      <c r="N488" s="6" t="n">
        <v>3.476638299398217</v>
      </c>
      <c r="O488" s="6" t="n">
        <v>0.7220948766342877</v>
      </c>
      <c r="P488" s="6" t="n">
        <v>-2.828567902195988</v>
      </c>
      <c r="Q488" s="6" t="n">
        <v>0.4394572920448925</v>
      </c>
      <c r="R488" s="6" t="n">
        <v>-0.635231058324928</v>
      </c>
      <c r="S488" s="6" t="n">
        <v>-1.169760593086131</v>
      </c>
      <c r="T488" s="6" t="n">
        <v>-0.2778157615032895</v>
      </c>
      <c r="U488" s="6" t="n">
        <v>2.829876994671119</v>
      </c>
      <c r="V488" s="6" t="n">
        <v>-0.7168455840604188</v>
      </c>
      <c r="W488" s="6" t="n">
        <v>1.201987208445656</v>
      </c>
      <c r="X488" s="6" t="n">
        <v>-1.025317699933373</v>
      </c>
      <c r="Y488" s="6" t="n">
        <v>-0.917350884413159</v>
      </c>
      <c r="Z488" s="6" t="n">
        <v>-3.504931841333411</v>
      </c>
      <c r="AA488" s="6" t="n">
        <v>-1.17340766271264</v>
      </c>
      <c r="AB488" s="6" t="n">
        <v>2.659492046234494</v>
      </c>
      <c r="AC488" s="6" t="n">
        <v>0.1331315118020312</v>
      </c>
      <c r="AD488" s="6" t="n">
        <v>1.63548179225375</v>
      </c>
      <c r="AE488" s="6" t="n">
        <v>0.930691270753335</v>
      </c>
      <c r="AF488" s="6" t="n">
        <v>-3.125417292362554</v>
      </c>
      <c r="AG488" s="6" t="n">
        <v>0.4669240368059733</v>
      </c>
      <c r="AH488" s="6" t="n">
        <v>0.7434707005902503</v>
      </c>
      <c r="AI488" s="6" t="n">
        <v>1.322530360900765</v>
      </c>
      <c r="AJ488" s="6" t="n">
        <v>81.0396616251651</v>
      </c>
      <c r="AK488" s="6" t="n">
        <v>0.06826128953967261</v>
      </c>
      <c r="AL488" s="6" t="n">
        <v>1.124684081244109</v>
      </c>
      <c r="AN488" s="6" t="n">
        <v>1.332069892869842</v>
      </c>
      <c r="AO488" s="6" t="n">
        <v>1.332346203696476</v>
      </c>
      <c r="AP488" s="6" t="n">
        <v>0.1300390601260745</v>
      </c>
      <c r="AQ488" s="6" t="n">
        <v>0</v>
      </c>
      <c r="AR488" s="6" t="n">
        <v>0</v>
      </c>
    </row>
    <row r="489">
      <c r="D489" t="inlineStr">
        <is>
          <t>Run 177</t>
        </is>
      </c>
      <c r="J489" s="6" t="n">
        <v>4.629579029849955</v>
      </c>
      <c r="K489" s="6" t="n">
        <v>0.2282634073008284</v>
      </c>
      <c r="L489" s="6" t="n">
        <v>-1.236226846198507</v>
      </c>
      <c r="M489" s="6" t="n">
        <v>-0.3377968338337192</v>
      </c>
      <c r="N489" s="6" t="n">
        <v>0.8023366477439137</v>
      </c>
      <c r="O489" s="6" t="n">
        <v>-2.136754727152387</v>
      </c>
      <c r="P489" s="6" t="n">
        <v>-1.290154939798613</v>
      </c>
      <c r="Q489" s="6" t="n">
        <v>1.076247884449907</v>
      </c>
      <c r="R489" s="6" t="n">
        <v>2.41430010857204</v>
      </c>
      <c r="S489" s="6" t="n">
        <v>-1.652135405644938</v>
      </c>
      <c r="T489" s="6" t="n">
        <v>-1.386663697940306</v>
      </c>
      <c r="U489" s="6" t="n">
        <v>-1.367020529957992</v>
      </c>
      <c r="V489" s="6" t="n">
        <v>2.938683645000133</v>
      </c>
      <c r="W489" s="6" t="n">
        <v>-0.09528876319171042</v>
      </c>
      <c r="X489" s="6" t="n">
        <v>-0.3729384102481454</v>
      </c>
      <c r="Y489" s="6" t="n">
        <v>-2.14376350614743</v>
      </c>
      <c r="Z489" s="6" t="n">
        <v>-0.7256345447378009</v>
      </c>
      <c r="AA489" s="6" t="n">
        <v>-2.364952917739407</v>
      </c>
      <c r="AB489" s="6" t="n">
        <v>4.131182395445895</v>
      </c>
      <c r="AC489" s="6" t="n">
        <v>-1.725300314810305</v>
      </c>
      <c r="AD489" s="6" t="n">
        <v>-1.491204317833532</v>
      </c>
      <c r="AE489" s="6" t="n">
        <v>-2.282973897670868</v>
      </c>
      <c r="AF489" s="6" t="n">
        <v>-2.909548721595781</v>
      </c>
      <c r="AG489" s="6" t="n">
        <v>0.6619376541433435</v>
      </c>
      <c r="AH489" s="6" t="n">
        <v>-0.5773365867477172</v>
      </c>
      <c r="AI489" s="6" t="n">
        <v>0.4212386450094728</v>
      </c>
      <c r="AJ489" s="6" t="n">
        <v>63.59304602132987</v>
      </c>
      <c r="AK489" s="6" t="n">
        <v>0.07669979961096915</v>
      </c>
      <c r="AL489" s="6" t="n">
        <v>1.028067252157238</v>
      </c>
      <c r="AN489" s="6" t="n">
        <v>1.349091235910887</v>
      </c>
      <c r="AO489" s="6" t="n">
        <v>1.349402643760988</v>
      </c>
      <c r="AP489" s="6" t="n">
        <v>0.1348859516538675</v>
      </c>
      <c r="AQ489" s="6" t="n">
        <v>0</v>
      </c>
      <c r="AR489" s="6" t="n">
        <v>0</v>
      </c>
    </row>
    <row r="490">
      <c r="D490" t="inlineStr">
        <is>
          <t>Run 178</t>
        </is>
      </c>
      <c r="J490" s="6" t="n">
        <v>2.18496914281921</v>
      </c>
      <c r="K490" s="6" t="n">
        <v>-0.1344885966615248</v>
      </c>
      <c r="L490" s="6" t="n">
        <v>2.666002656352077</v>
      </c>
      <c r="M490" s="6" t="n">
        <v>-0.1758334502693963</v>
      </c>
      <c r="N490" s="6" t="n">
        <v>-3.820765867853761</v>
      </c>
      <c r="O490" s="6" t="n">
        <v>-4.45615535519464</v>
      </c>
      <c r="P490" s="6" t="n">
        <v>-0.4846295064898257</v>
      </c>
      <c r="Q490" s="6" t="n">
        <v>0.2942359703999596</v>
      </c>
      <c r="R490" s="6" t="n">
        <v>1.474863486282193</v>
      </c>
      <c r="S490" s="6" t="n">
        <v>-1.912096381967394</v>
      </c>
      <c r="T490" s="6" t="n">
        <v>-0.2483315732024646</v>
      </c>
      <c r="U490" s="6" t="n">
        <v>2.35056891669791</v>
      </c>
      <c r="V490" s="6" t="n">
        <v>-2.928192501826249</v>
      </c>
      <c r="W490" s="6" t="n">
        <v>2.015239392344542</v>
      </c>
      <c r="X490" s="6" t="n">
        <v>-1.001675469703265</v>
      </c>
      <c r="Y490" s="6" t="n">
        <v>-2.206160769162958</v>
      </c>
      <c r="Z490" s="6" t="n">
        <v>-0.3756174905925844</v>
      </c>
      <c r="AA490" s="6" t="n">
        <v>3.281841586246954</v>
      </c>
      <c r="AB490" s="6" t="n">
        <v>-2.274082999074784</v>
      </c>
      <c r="AC490" s="6" t="n">
        <v>0.8733460205321942</v>
      </c>
      <c r="AD490" s="6" t="n">
        <v>2.75891179234871</v>
      </c>
      <c r="AE490" s="6" t="n">
        <v>0.1527596891381966</v>
      </c>
      <c r="AF490" s="6" t="n">
        <v>0.1996056077212259</v>
      </c>
      <c r="AG490" s="6" t="n">
        <v>1.996695741023763</v>
      </c>
      <c r="AH490" s="6" t="n">
        <v>0.3542967183417708</v>
      </c>
      <c r="AI490" s="6" t="n">
        <v>1.284045245475102</v>
      </c>
      <c r="AJ490" s="6" t="n">
        <v>71.52924022599026</v>
      </c>
      <c r="AK490" s="6" t="n">
        <v>0.1004362152290623</v>
      </c>
      <c r="AL490" s="6" t="n">
        <v>1.04552145509766</v>
      </c>
      <c r="AN490" s="6" t="n">
        <v>1.333590215407233</v>
      </c>
      <c r="AO490" s="6" t="n">
        <v>1.34205618726451</v>
      </c>
      <c r="AP490" s="6" t="n">
        <v>0.1331549399713753</v>
      </c>
      <c r="AQ490" s="6" t="n">
        <v>0</v>
      </c>
      <c r="AR490" s="6" t="n">
        <v>0</v>
      </c>
    </row>
    <row r="491">
      <c r="D491" t="inlineStr">
        <is>
          <t>Run 179</t>
        </is>
      </c>
      <c r="J491" s="6" t="n">
        <v>2.58972316662813</v>
      </c>
      <c r="K491" s="6" t="n">
        <v>1.354558803861453</v>
      </c>
      <c r="L491" s="6" t="n">
        <v>0.650521825222501</v>
      </c>
      <c r="M491" s="6" t="n">
        <v>3.489041794312744</v>
      </c>
      <c r="N491" s="6" t="n">
        <v>-5.063184703728815</v>
      </c>
      <c r="O491" s="6" t="n">
        <v>0.25668055940998</v>
      </c>
      <c r="P491" s="6" t="n">
        <v>-0.4677260096139939</v>
      </c>
      <c r="Q491" s="6" t="n">
        <v>0.7110522340825434</v>
      </c>
      <c r="R491" s="6" t="n">
        <v>2.466194164608672</v>
      </c>
      <c r="S491" s="6" t="n">
        <v>1.946182679487338</v>
      </c>
      <c r="T491" s="6" t="n">
        <v>-2.277642732160371</v>
      </c>
      <c r="U491" s="6" t="n">
        <v>1.193784847419433</v>
      </c>
      <c r="V491" s="6" t="n">
        <v>-1.062125063128808</v>
      </c>
      <c r="W491" s="6" t="n">
        <v>0.9040823676015246</v>
      </c>
      <c r="X491" s="6" t="n">
        <v>-2.972733121048913</v>
      </c>
      <c r="Y491" s="6" t="n">
        <v>1.88159304682843</v>
      </c>
      <c r="Z491" s="6" t="n">
        <v>0.6908143399531137</v>
      </c>
      <c r="AA491" s="6" t="n">
        <v>0.3464999465574842</v>
      </c>
      <c r="AB491" s="6" t="n">
        <v>0.3129273292778399</v>
      </c>
      <c r="AC491" s="6" t="n">
        <v>-0.0910870181045778</v>
      </c>
      <c r="AD491" s="6" t="n">
        <v>-0.2968523342793942</v>
      </c>
      <c r="AE491" s="6" t="n">
        <v>3.241906804008175</v>
      </c>
      <c r="AF491" s="6" t="n">
        <v>-0.8453675905941826</v>
      </c>
      <c r="AG491" s="6" t="n">
        <v>-0.6248971778949082</v>
      </c>
      <c r="AH491" s="6" t="n">
        <v>0.9819413889959903</v>
      </c>
      <c r="AI491" s="6" t="n">
        <v>0.3427046883134329</v>
      </c>
      <c r="AJ491" s="6" t="n">
        <v>76.22463542762488</v>
      </c>
      <c r="AK491" s="6" t="n">
        <v>0.09019117559258466</v>
      </c>
      <c r="AL491" s="6" t="n">
        <v>1.102084952116102</v>
      </c>
      <c r="AN491" s="6" t="n">
        <v>1.32564904440466</v>
      </c>
      <c r="AO491" s="6" t="n">
        <v>1.330157564339125</v>
      </c>
      <c r="AP491" s="6" t="n">
        <v>0.1299907887860007</v>
      </c>
      <c r="AQ491" s="6" t="n">
        <v>0</v>
      </c>
      <c r="AR491" s="6" t="n">
        <v>0</v>
      </c>
    </row>
    <row r="492">
      <c r="D492" t="inlineStr">
        <is>
          <t>Run 180</t>
        </is>
      </c>
      <c r="J492" s="6" t="n">
        <v>-2.847272061799066</v>
      </c>
      <c r="K492" s="6" t="n">
        <v>-0.7272875343475004</v>
      </c>
      <c r="L492" s="6" t="n">
        <v>-0.2800096883886887</v>
      </c>
      <c r="M492" s="6" t="n">
        <v>0.1415026417403052</v>
      </c>
      <c r="N492" s="6" t="n">
        <v>3.61062033717747</v>
      </c>
      <c r="O492" s="6" t="n">
        <v>2.483749390669266</v>
      </c>
      <c r="P492" s="6" t="n">
        <v>1.121809483722126</v>
      </c>
      <c r="Q492" s="6" t="n">
        <v>-0.4531675910468247</v>
      </c>
      <c r="R492" s="6" t="n">
        <v>-0.6263324200923901</v>
      </c>
      <c r="S492" s="6" t="n">
        <v>-1.766034956906239</v>
      </c>
      <c r="T492" s="6" t="n">
        <v>-1.314069916895207</v>
      </c>
      <c r="U492" s="6" t="n">
        <v>-1.292296738757917</v>
      </c>
      <c r="V492" s="6" t="n">
        <v>0.09245020181955543</v>
      </c>
      <c r="W492" s="6" t="n">
        <v>-0.05977824797483983</v>
      </c>
      <c r="X492" s="6" t="n">
        <v>1.570347313531848</v>
      </c>
      <c r="Y492" s="6" t="n">
        <v>0.3812447161466861</v>
      </c>
      <c r="Z492" s="6" t="n">
        <v>-0.2824761470603626</v>
      </c>
      <c r="AA492" s="6" t="n">
        <v>0.5675926863369589</v>
      </c>
      <c r="AB492" s="6" t="n">
        <v>2.164044074178334</v>
      </c>
      <c r="AC492" s="6" t="n">
        <v>0.1965980330337391</v>
      </c>
      <c r="AD492" s="6" t="n">
        <v>-0.84668059533486</v>
      </c>
      <c r="AE492" s="6" t="n">
        <v>-0.3331077525483181</v>
      </c>
      <c r="AF492" s="6" t="n">
        <v>-0.9833573607139898</v>
      </c>
      <c r="AG492" s="6" t="n">
        <v>-1.029006910272754</v>
      </c>
      <c r="AH492" s="6" t="n">
        <v>2.541420001318333</v>
      </c>
      <c r="AI492" s="6" t="n">
        <v>-1.130873461204364</v>
      </c>
      <c r="AJ492" s="6" t="n">
        <v>75.88999536172338</v>
      </c>
      <c r="AK492" s="6" t="n">
        <v>0.09808819879658208</v>
      </c>
      <c r="AL492" s="6" t="n">
        <v>1.077251453761977</v>
      </c>
      <c r="AN492" s="6" t="n">
        <v>1.339108697978101</v>
      </c>
      <c r="AO492" s="6" t="n">
        <v>1.339538546735168</v>
      </c>
      <c r="AP492" s="6" t="n">
        <v>0.1312814467981768</v>
      </c>
      <c r="AQ492" s="6" t="n">
        <v>0</v>
      </c>
      <c r="AR492" s="6" t="n">
        <v>0</v>
      </c>
    </row>
    <row r="493">
      <c r="D493" t="inlineStr">
        <is>
          <t>Run 181</t>
        </is>
      </c>
      <c r="J493" s="6" t="n">
        <v>2.220372218775704</v>
      </c>
      <c r="K493" s="6" t="n">
        <v>-1.115518821937415</v>
      </c>
      <c r="L493" s="6" t="n">
        <v>-5.680210605333169</v>
      </c>
      <c r="M493" s="6" t="n">
        <v>3.451932765867054</v>
      </c>
      <c r="N493" s="6" t="n">
        <v>-0.8946415738272733</v>
      </c>
      <c r="O493" s="6" t="n">
        <v>3.292626849747525</v>
      </c>
      <c r="P493" s="6" t="n">
        <v>2.300666698903626</v>
      </c>
      <c r="Q493" s="6" t="n">
        <v>0.4041615760509096</v>
      </c>
      <c r="R493" s="6" t="n">
        <v>-0.1943795430026737</v>
      </c>
      <c r="S493" s="6" t="n">
        <v>-1.864887495811121</v>
      </c>
      <c r="T493" s="6" t="n">
        <v>-4.328270623797136</v>
      </c>
      <c r="U493" s="6" t="n">
        <v>-0.04507621559297847</v>
      </c>
      <c r="V493" s="6" t="n">
        <v>0.6789178386362374</v>
      </c>
      <c r="W493" s="6" t="n">
        <v>1.51071448716804</v>
      </c>
      <c r="X493" s="6" t="n">
        <v>-1.530372046411941</v>
      </c>
      <c r="Y493" s="6" t="n">
        <v>-1.049116807312921</v>
      </c>
      <c r="Z493" s="6" t="n">
        <v>-0.3137845284154441</v>
      </c>
      <c r="AA493" s="6" t="n">
        <v>-0.4840931504726132</v>
      </c>
      <c r="AB493" s="6" t="n">
        <v>0.190588817297569</v>
      </c>
      <c r="AC493" s="6" t="n">
        <v>-0.2033143597693518</v>
      </c>
      <c r="AD493" s="6" t="n">
        <v>0.911638268914335</v>
      </c>
      <c r="AE493" s="6" t="n">
        <v>-0.8400389000267766</v>
      </c>
      <c r="AF493" s="6" t="n">
        <v>1.222384821351474</v>
      </c>
      <c r="AG493" s="6" t="n">
        <v>-2.23386120622488</v>
      </c>
      <c r="AH493" s="6" t="n">
        <v>-0.7007417922021152</v>
      </c>
      <c r="AI493" s="6" t="n">
        <v>-1.508323474521995</v>
      </c>
      <c r="AJ493" s="6" t="n">
        <v>79.21660396575595</v>
      </c>
      <c r="AK493" s="6" t="n">
        <v>0.1750667040661298</v>
      </c>
      <c r="AL493" s="6" t="n">
        <v>1.045671782508567</v>
      </c>
      <c r="AN493" s="6" t="n">
        <v>1.33001005446644</v>
      </c>
      <c r="AO493" s="6" t="n">
        <v>1.337177192081118</v>
      </c>
      <c r="AP493" s="6" t="n">
        <v>0.1317122262093336</v>
      </c>
      <c r="AQ493" s="6" t="n">
        <v>0</v>
      </c>
      <c r="AR493" s="6" t="n">
        <v>0</v>
      </c>
    </row>
    <row r="494">
      <c r="D494" t="inlineStr">
        <is>
          <t>Run 182</t>
        </is>
      </c>
      <c r="J494" s="6" t="n">
        <v>0.5253868875010256</v>
      </c>
      <c r="K494" s="6" t="n">
        <v>0.4191134202627935</v>
      </c>
      <c r="L494" s="6" t="n">
        <v>-1.362005864994654</v>
      </c>
      <c r="M494" s="6" t="n">
        <v>-2.239605711440237</v>
      </c>
      <c r="N494" s="6" t="n">
        <v>-2.233026730002615</v>
      </c>
      <c r="O494" s="6" t="n">
        <v>2.207839497161219</v>
      </c>
      <c r="P494" s="6" t="n">
        <v>1.46871555366354</v>
      </c>
      <c r="Q494" s="6" t="n">
        <v>-2.528493698614161</v>
      </c>
      <c r="R494" s="6" t="n">
        <v>-1.376488226138397</v>
      </c>
      <c r="S494" s="6" t="n">
        <v>-1.898898731151796</v>
      </c>
      <c r="T494" s="6" t="n">
        <v>2.869405818481749</v>
      </c>
      <c r="U494" s="6" t="n">
        <v>2.067325519127347</v>
      </c>
      <c r="V494" s="6" t="n">
        <v>3.698942959745292</v>
      </c>
      <c r="W494" s="6" t="n">
        <v>-0.2848618892590723</v>
      </c>
      <c r="X494" s="6" t="n">
        <v>-4.988837000238155</v>
      </c>
      <c r="Y494" s="6" t="n">
        <v>1.690172563301592</v>
      </c>
      <c r="Z494" s="6" t="n">
        <v>0.3290327851049833</v>
      </c>
      <c r="AA494" s="6" t="n">
        <v>3.713762673753968</v>
      </c>
      <c r="AB494" s="6" t="n">
        <v>0.07411131190487436</v>
      </c>
      <c r="AC494" s="6" t="n">
        <v>0.2643921442243734</v>
      </c>
      <c r="AD494" s="6" t="n">
        <v>0.2440548001206586</v>
      </c>
      <c r="AE494" s="6" t="n">
        <v>1.923860318296337</v>
      </c>
      <c r="AF494" s="6" t="n">
        <v>3.075340991499049</v>
      </c>
      <c r="AG494" s="6" t="n">
        <v>-1.722757887864517</v>
      </c>
      <c r="AH494" s="6" t="n">
        <v>0.4122275911785785</v>
      </c>
      <c r="AI494" s="6" t="n">
        <v>-2.82719033867366</v>
      </c>
      <c r="AJ494" s="6" t="n">
        <v>59.94859936216261</v>
      </c>
      <c r="AK494" s="6" t="n">
        <v>0.142638153116968</v>
      </c>
      <c r="AL494" s="6" t="n">
        <v>1.000620370573903</v>
      </c>
      <c r="AN494" s="6" t="n">
        <v>1.337302557057353</v>
      </c>
      <c r="AO494" s="6" t="n">
        <v>1.34241683104015</v>
      </c>
      <c r="AP494" s="6" t="n">
        <v>0.136058776936282</v>
      </c>
      <c r="AQ494" s="6" t="n">
        <v>0</v>
      </c>
      <c r="AR494" s="6" t="n">
        <v>0</v>
      </c>
    </row>
    <row r="495">
      <c r="D495" t="inlineStr">
        <is>
          <t>Run 183</t>
        </is>
      </c>
      <c r="J495" s="6" t="n">
        <v>2.381766679770834</v>
      </c>
      <c r="K495" s="6" t="n">
        <v>-1.588990571974173</v>
      </c>
      <c r="L495" s="6" t="n">
        <v>1.072108163347979</v>
      </c>
      <c r="M495" s="6" t="n">
        <v>-0.03931475523244123</v>
      </c>
      <c r="N495" s="6" t="n">
        <v>-1.094009066598185</v>
      </c>
      <c r="O495" s="6" t="n">
        <v>-0.9389526300990899</v>
      </c>
      <c r="P495" s="6" t="n">
        <v>-2.979987233350834</v>
      </c>
      <c r="Q495" s="6" t="n">
        <v>-1.032867978283427</v>
      </c>
      <c r="R495" s="6" t="n">
        <v>-1.89633740047421</v>
      </c>
      <c r="S495" s="6" t="n">
        <v>2.960676993996349</v>
      </c>
      <c r="T495" s="6" t="n">
        <v>-3.091196969085027</v>
      </c>
      <c r="U495" s="6" t="n">
        <v>-0.05795482402790084</v>
      </c>
      <c r="V495" s="6" t="n">
        <v>-4.569957374941419</v>
      </c>
      <c r="W495" s="6" t="n">
        <v>-0.1798114431536156</v>
      </c>
      <c r="X495" s="6" t="n">
        <v>3.039472453122638</v>
      </c>
      <c r="Y495" s="6" t="n">
        <v>-0.6816746725966382</v>
      </c>
      <c r="Z495" s="6" t="n">
        <v>-0.007887969742257566</v>
      </c>
      <c r="AA495" s="6" t="n">
        <v>0.6736220928042956</v>
      </c>
      <c r="AB495" s="6" t="n">
        <v>-1.014230942739521</v>
      </c>
      <c r="AC495" s="6" t="n">
        <v>0.2925437221041023</v>
      </c>
      <c r="AD495" s="6" t="n">
        <v>1.115856198880345</v>
      </c>
      <c r="AE495" s="6" t="n">
        <v>4.089271639186591</v>
      </c>
      <c r="AF495" s="6" t="n">
        <v>-2.268183283382694</v>
      </c>
      <c r="AG495" s="6" t="n">
        <v>-3.227462812266888</v>
      </c>
      <c r="AH495" s="6" t="n">
        <v>-0.6648126054823718</v>
      </c>
      <c r="AI495" s="6" t="n">
        <v>-2.596379009519796</v>
      </c>
      <c r="AJ495" s="6" t="n">
        <v>66.98466408275891</v>
      </c>
      <c r="AK495" s="6" t="n">
        <v>0.1763657972742742</v>
      </c>
      <c r="AL495" s="6" t="n">
        <v>1.038388042120359</v>
      </c>
      <c r="AN495" s="6" t="n">
        <v>1.344750731474569</v>
      </c>
      <c r="AO495" s="6" t="n">
        <v>1.34498770319075</v>
      </c>
      <c r="AP495" s="6" t="n">
        <v>0.1318007248507311</v>
      </c>
      <c r="AQ495" s="6" t="n">
        <v>0</v>
      </c>
      <c r="AR495" s="6" t="n">
        <v>0</v>
      </c>
    </row>
    <row r="496">
      <c r="D496" t="inlineStr">
        <is>
          <t>Run 184</t>
        </is>
      </c>
      <c r="J496" s="6" t="n">
        <v>-0.5676919914141673</v>
      </c>
      <c r="K496" s="6" t="n">
        <v>-2.038368163152624</v>
      </c>
      <c r="L496" s="6" t="n">
        <v>-0.8221759734872438</v>
      </c>
      <c r="M496" s="6" t="n">
        <v>-0.4731846849634541</v>
      </c>
      <c r="N496" s="6" t="n">
        <v>2.613183446953622</v>
      </c>
      <c r="O496" s="6" t="n">
        <v>2.26770641081835</v>
      </c>
      <c r="P496" s="6" t="n">
        <v>-2.347564105606328</v>
      </c>
      <c r="Q496" s="6" t="n">
        <v>1.406810307570207</v>
      </c>
      <c r="R496" s="6" t="n">
        <v>-0.02666662363697005</v>
      </c>
      <c r="S496" s="6" t="n">
        <v>2.31879274710576</v>
      </c>
      <c r="T496" s="6" t="n">
        <v>1.342516992188332</v>
      </c>
      <c r="U496" s="6" t="n">
        <v>3.509981354489887</v>
      </c>
      <c r="V496" s="6" t="n">
        <v>-0.2308042962703535</v>
      </c>
      <c r="W496" s="6" t="n">
        <v>-3.713537735188839</v>
      </c>
      <c r="X496" s="6" t="n">
        <v>-0.7604788172732236</v>
      </c>
      <c r="Y496" s="6" t="n">
        <v>2.388656218700025</v>
      </c>
      <c r="Z496" s="6" t="n">
        <v>-1.08242317281193</v>
      </c>
      <c r="AA496" s="6" t="n">
        <v>0.1403301063367804</v>
      </c>
      <c r="AB496" s="6" t="n">
        <v>-3.630532635491483</v>
      </c>
      <c r="AC496" s="6" t="n">
        <v>1.335440442839959</v>
      </c>
      <c r="AD496" s="6" t="n">
        <v>1.685671420232545</v>
      </c>
      <c r="AE496" s="6" t="n">
        <v>-1.747870282236536</v>
      </c>
      <c r="AF496" s="6" t="n">
        <v>0.5532699626781826</v>
      </c>
      <c r="AG496" s="6" t="n">
        <v>1.355536934834249</v>
      </c>
      <c r="AH496" s="6" t="n">
        <v>-0.07172364076454636</v>
      </c>
      <c r="AI496" s="6" t="n">
        <v>0.6812555278070623</v>
      </c>
      <c r="AJ496" s="6" t="n">
        <v>60.46950039958584</v>
      </c>
      <c r="AK496" s="6" t="n">
        <v>0.1180996495839795</v>
      </c>
      <c r="AL496" s="6" t="n">
        <v>1.028388057264385</v>
      </c>
      <c r="AN496" s="6" t="n">
        <v>1.346024496924461</v>
      </c>
      <c r="AO496" s="6" t="n">
        <v>1.346024496924461</v>
      </c>
      <c r="AP496" s="6" t="n">
        <v>0.1338019112337922</v>
      </c>
      <c r="AQ496" s="6" t="n">
        <v>0</v>
      </c>
      <c r="AR496" s="6" t="n">
        <v>0</v>
      </c>
    </row>
    <row r="497">
      <c r="D497" t="inlineStr">
        <is>
          <t>Run 185</t>
        </is>
      </c>
      <c r="J497" s="6" t="n">
        <v>2.007177651045317</v>
      </c>
      <c r="K497" s="6" t="n">
        <v>1.39565573387254</v>
      </c>
      <c r="L497" s="6" t="n">
        <v>0.2903994856767966</v>
      </c>
      <c r="M497" s="6" t="n">
        <v>-3.731253897969298</v>
      </c>
      <c r="N497" s="6" t="n">
        <v>-1.30268950100153</v>
      </c>
      <c r="O497" s="6" t="n">
        <v>0.2510733634846638</v>
      </c>
      <c r="P497" s="6" t="n">
        <v>-1.540135711775392</v>
      </c>
      <c r="Q497" s="6" t="n">
        <v>-3.115200464735211</v>
      </c>
      <c r="R497" s="6" t="n">
        <v>0.819414996138935</v>
      </c>
      <c r="S497" s="6" t="n">
        <v>1.586792236733171</v>
      </c>
      <c r="T497" s="6" t="n">
        <v>0.0659527441188922</v>
      </c>
      <c r="U497" s="6" t="n">
        <v>-1.151851171158437</v>
      </c>
      <c r="V497" s="6" t="n">
        <v>2.095171894075174</v>
      </c>
      <c r="W497" s="6" t="n">
        <v>-0.7561110101611349</v>
      </c>
      <c r="X497" s="6" t="n">
        <v>1.33240220944518</v>
      </c>
      <c r="Y497" s="6" t="n">
        <v>0.8016143486336214</v>
      </c>
      <c r="Z497" s="6" t="n">
        <v>-1.279918920632745</v>
      </c>
      <c r="AA497" s="6" t="n">
        <v>1.23456625361208</v>
      </c>
      <c r="AB497" s="6" t="n">
        <v>0.4628710359921759</v>
      </c>
      <c r="AC497" s="6" t="n">
        <v>2.793106638995955</v>
      </c>
      <c r="AD497" s="6" t="n">
        <v>-0.3030444982365024</v>
      </c>
      <c r="AE497" s="6" t="n">
        <v>-0.4144558319693571</v>
      </c>
      <c r="AF497" s="6" t="n">
        <v>-1.443767691626809</v>
      </c>
      <c r="AG497" s="6" t="n">
        <v>-5.259709789306303</v>
      </c>
      <c r="AH497" s="6" t="n">
        <v>0.7643802906321024</v>
      </c>
      <c r="AI497" s="6" t="n">
        <v>-1.122631854972119</v>
      </c>
      <c r="AJ497" s="6" t="n">
        <v>82.50240410989881</v>
      </c>
      <c r="AK497" s="6" t="n">
        <v>0.1175169651267737</v>
      </c>
      <c r="AL497" s="6" t="n">
        <v>1.017924008373213</v>
      </c>
      <c r="AN497" s="6" t="n">
        <v>1.322008866044951</v>
      </c>
      <c r="AO497" s="6" t="n">
        <v>1.329629785863493</v>
      </c>
      <c r="AP497" s="6" t="n">
        <v>0.1361481128828751</v>
      </c>
      <c r="AQ497" s="6" t="n">
        <v>0</v>
      </c>
      <c r="AR497" s="6" t="n">
        <v>0</v>
      </c>
    </row>
    <row r="498">
      <c r="D498" t="inlineStr">
        <is>
          <t>Run 186</t>
        </is>
      </c>
      <c r="J498" s="6" t="n">
        <v>-1.030266599957467</v>
      </c>
      <c r="K498" s="6" t="n">
        <v>0.9233069041370827</v>
      </c>
      <c r="L498" s="6" t="n">
        <v>-0.9576709954608369</v>
      </c>
      <c r="M498" s="6" t="n">
        <v>2.087798221846652</v>
      </c>
      <c r="N498" s="6" t="n">
        <v>-0.3564714005245812</v>
      </c>
      <c r="O498" s="6" t="n">
        <v>0.8808616591292826</v>
      </c>
      <c r="P498" s="6" t="n">
        <v>-2.178745878472358</v>
      </c>
      <c r="Q498" s="6" t="n">
        <v>3.048961568441737</v>
      </c>
      <c r="R498" s="6" t="n">
        <v>2.343907878803352</v>
      </c>
      <c r="S498" s="6" t="n">
        <v>-2.165703089674401</v>
      </c>
      <c r="T498" s="6" t="n">
        <v>2.115381798085715</v>
      </c>
      <c r="U498" s="6" t="n">
        <v>1.662534674159669</v>
      </c>
      <c r="V498" s="6" t="n">
        <v>-2.867797460584161</v>
      </c>
      <c r="W498" s="6" t="n">
        <v>1.463574826614565</v>
      </c>
      <c r="X498" s="6" t="n">
        <v>1.780110138867695</v>
      </c>
      <c r="Y498" s="6" t="n">
        <v>2.640326755699749</v>
      </c>
      <c r="Z498" s="6" t="n">
        <v>-0.3239586533575928</v>
      </c>
      <c r="AA498" s="6" t="n">
        <v>0.3435496139133744</v>
      </c>
      <c r="AB498" s="6" t="n">
        <v>0.551193195121127</v>
      </c>
      <c r="AC498" s="6" t="n">
        <v>2.711344595222766</v>
      </c>
      <c r="AD498" s="6" t="n">
        <v>-1.74665032705929</v>
      </c>
      <c r="AE498" s="6" t="n">
        <v>0.6653407990881971</v>
      </c>
      <c r="AF498" s="6" t="n">
        <v>1.747289028098828</v>
      </c>
      <c r="AG498" s="6" t="n">
        <v>2.196123488058658</v>
      </c>
      <c r="AH498" s="6" t="n">
        <v>0.04125321415214225</v>
      </c>
      <c r="AI498" s="6" t="n">
        <v>1.171312104550835</v>
      </c>
      <c r="AJ498" s="6" t="n">
        <v>79.93216697985285</v>
      </c>
      <c r="AK498" s="6" t="n">
        <v>0.04112879564381622</v>
      </c>
      <c r="AL498" s="6" t="n">
        <v>1.03217634458937</v>
      </c>
      <c r="AN498" s="6" t="n">
        <v>1.356613060999515</v>
      </c>
      <c r="AO498" s="6" t="n">
        <v>1.356613060999515</v>
      </c>
      <c r="AP498" s="6" t="n">
        <v>0.1370630446387671</v>
      </c>
      <c r="AQ498" s="6" t="n">
        <v>0</v>
      </c>
      <c r="AR498" s="6" t="n">
        <v>0</v>
      </c>
    </row>
    <row r="499">
      <c r="D499" t="inlineStr">
        <is>
          <t>Run 187</t>
        </is>
      </c>
      <c r="J499" s="6" t="n">
        <v>-1.662321727232436</v>
      </c>
      <c r="K499" s="6" t="n">
        <v>-1.097511770111418</v>
      </c>
      <c r="L499" s="6" t="n">
        <v>-0.101031587147494</v>
      </c>
      <c r="M499" s="6" t="n">
        <v>0.2572890988245973</v>
      </c>
      <c r="N499" s="6" t="n">
        <v>3.147874572204993</v>
      </c>
      <c r="O499" s="6" t="n">
        <v>0.6858473428273093</v>
      </c>
      <c r="P499" s="6" t="n">
        <v>2.10923659635752</v>
      </c>
      <c r="Q499" s="6" t="n">
        <v>4.108107451461372</v>
      </c>
      <c r="R499" s="6" t="n">
        <v>-1.8720602929948</v>
      </c>
      <c r="S499" s="6" t="n">
        <v>0.3277141407798765</v>
      </c>
      <c r="T499" s="6" t="n">
        <v>-0.2778964915255741</v>
      </c>
      <c r="U499" s="6" t="n">
        <v>3.814603379638564</v>
      </c>
      <c r="V499" s="6" t="n">
        <v>-1.802624172225344</v>
      </c>
      <c r="W499" s="6" t="n">
        <v>-1.992352634273644</v>
      </c>
      <c r="X499" s="6" t="n">
        <v>-0.5448125133847026</v>
      </c>
      <c r="Y499" s="6" t="n">
        <v>-0.9213551197620081</v>
      </c>
      <c r="Z499" s="6" t="n">
        <v>2.127403764236334</v>
      </c>
      <c r="AA499" s="6" t="n">
        <v>-2.71041180383075</v>
      </c>
      <c r="AB499" s="6" t="n">
        <v>1.503064143508919</v>
      </c>
      <c r="AC499" s="6" t="n">
        <v>2.113509993560049</v>
      </c>
      <c r="AD499" s="6" t="n">
        <v>0.01007775753324729</v>
      </c>
      <c r="AE499" s="6" t="n">
        <v>-3.620082365168594</v>
      </c>
      <c r="AF499" s="6" t="n">
        <v>0.6598513357410355</v>
      </c>
      <c r="AG499" s="6" t="n">
        <v>-0.002709080171320229</v>
      </c>
      <c r="AH499" s="6" t="n">
        <v>-0.6021997522971967</v>
      </c>
      <c r="AI499" s="6" t="n">
        <v>-1.154675756032403</v>
      </c>
      <c r="AJ499" s="6" t="n">
        <v>65.96465651247927</v>
      </c>
      <c r="AK499" s="6" t="n">
        <v>0.1033315416698044</v>
      </c>
      <c r="AL499" s="6" t="n">
        <v>1.066930842086899</v>
      </c>
      <c r="AN499" s="6" t="n">
        <v>1.338700846907371</v>
      </c>
      <c r="AO499" s="6" t="n">
        <v>1.339339398497831</v>
      </c>
      <c r="AP499" s="6" t="n">
        <v>0.1312410863648113</v>
      </c>
      <c r="AQ499" s="6" t="n">
        <v>0</v>
      </c>
      <c r="AR499" s="6" t="n">
        <v>0</v>
      </c>
    </row>
    <row r="500">
      <c r="D500" t="inlineStr">
        <is>
          <t>Run 188</t>
        </is>
      </c>
      <c r="J500" s="6" t="n">
        <v>-1.64793599202646</v>
      </c>
      <c r="K500" s="6" t="n">
        <v>1.335936028674509</v>
      </c>
      <c r="L500" s="6" t="n">
        <v>4.362216627218478</v>
      </c>
      <c r="M500" s="6" t="n">
        <v>1.04243466877331</v>
      </c>
      <c r="N500" s="6" t="n">
        <v>0.7621261458113028</v>
      </c>
      <c r="O500" s="6" t="n">
        <v>0.3574998042353869</v>
      </c>
      <c r="P500" s="6" t="n">
        <v>-2.089147778813949</v>
      </c>
      <c r="Q500" s="6" t="n">
        <v>-0.3155932980794806</v>
      </c>
      <c r="R500" s="6" t="n">
        <v>-1.272831737386592</v>
      </c>
      <c r="S500" s="6" t="n">
        <v>2.069486525844087</v>
      </c>
      <c r="T500" s="6" t="n">
        <v>0.2205398460206216</v>
      </c>
      <c r="U500" s="6" t="n">
        <v>-2.756346050114031</v>
      </c>
      <c r="V500" s="6" t="n">
        <v>-1.64308000918334</v>
      </c>
      <c r="W500" s="6" t="n">
        <v>-1.920973042942963</v>
      </c>
      <c r="X500" s="6" t="n">
        <v>0.5306971022745592</v>
      </c>
      <c r="Y500" s="6" t="n">
        <v>2.694332171534965</v>
      </c>
      <c r="Z500" s="6" t="n">
        <v>-0.6575202159425416</v>
      </c>
      <c r="AA500" s="6" t="n">
        <v>-1.751687473838774</v>
      </c>
      <c r="AB500" s="6" t="n">
        <v>1.241510329475227</v>
      </c>
      <c r="AC500" s="6" t="n">
        <v>3.06162811576444</v>
      </c>
      <c r="AD500" s="6" t="n">
        <v>4.350253327694122</v>
      </c>
      <c r="AE500" s="6" t="n">
        <v>-4.573694412636158</v>
      </c>
      <c r="AF500" s="6" t="n">
        <v>-1.56916529107693</v>
      </c>
      <c r="AG500" s="6" t="n">
        <v>0.5075563169080883</v>
      </c>
      <c r="AH500" s="6" t="n">
        <v>0.6364408244080956</v>
      </c>
      <c r="AI500" s="6" t="n">
        <v>-3.844152348628895</v>
      </c>
      <c r="AJ500" s="6" t="n">
        <v>66.85611409191085</v>
      </c>
      <c r="AK500" s="6" t="n">
        <v>0.1752374931449859</v>
      </c>
      <c r="AL500" s="6" t="n">
        <v>0.994942431804099</v>
      </c>
      <c r="AN500" s="6" t="n">
        <v>1.354676167879189</v>
      </c>
      <c r="AO500" s="6" t="n">
        <v>1.355310600983664</v>
      </c>
      <c r="AP500" s="6" t="n">
        <v>0.1377021778541761</v>
      </c>
      <c r="AQ500" s="6" t="n">
        <v>0</v>
      </c>
      <c r="AR500" s="6" t="n">
        <v>0</v>
      </c>
    </row>
    <row r="501">
      <c r="D501" t="inlineStr">
        <is>
          <t>Run 189</t>
        </is>
      </c>
      <c r="J501" s="6" t="n">
        <v>1.311826381148667</v>
      </c>
      <c r="K501" s="6" t="n">
        <v>-1.325173967011861</v>
      </c>
      <c r="L501" s="6" t="n">
        <v>1.741326414804105</v>
      </c>
      <c r="M501" s="6" t="n">
        <v>-0.07337687030595047</v>
      </c>
      <c r="N501" s="6" t="n">
        <v>1.991249681112732</v>
      </c>
      <c r="O501" s="6" t="n">
        <v>-0.6575694355131518</v>
      </c>
      <c r="P501" s="6" t="n">
        <v>4.433901599483778</v>
      </c>
      <c r="Q501" s="6" t="n">
        <v>1.932577305014365</v>
      </c>
      <c r="R501" s="6" t="n">
        <v>2.755653648314751</v>
      </c>
      <c r="S501" s="6" t="n">
        <v>2.093704495326474</v>
      </c>
      <c r="T501" s="6" t="n">
        <v>-1.495294783169211</v>
      </c>
      <c r="U501" s="6" t="n">
        <v>-3.470248515417798</v>
      </c>
      <c r="V501" s="6" t="n">
        <v>0.3040727306057289</v>
      </c>
      <c r="W501" s="6" t="n">
        <v>2.080499880863457</v>
      </c>
      <c r="X501" s="6" t="n">
        <v>-1.88895779033938</v>
      </c>
      <c r="Y501" s="6" t="n">
        <v>2.157436866054411</v>
      </c>
      <c r="Z501" s="6" t="n">
        <v>-2.285024480930042</v>
      </c>
      <c r="AA501" s="6" t="n">
        <v>3.496329703849368</v>
      </c>
      <c r="AB501" s="6" t="n">
        <v>2.043994109307121</v>
      </c>
      <c r="AC501" s="6" t="n">
        <v>0.2639840502798074</v>
      </c>
      <c r="AD501" s="6" t="n">
        <v>2.382119670347764</v>
      </c>
      <c r="AE501" s="6" t="n">
        <v>0.7345733894958982</v>
      </c>
      <c r="AF501" s="6" t="n">
        <v>3.370794530572796</v>
      </c>
      <c r="AG501" s="6" t="n">
        <v>2.547360426621656</v>
      </c>
      <c r="AH501" s="6" t="n">
        <v>-1.834469778737997</v>
      </c>
      <c r="AI501" s="6" t="n">
        <v>-2.248808455240577</v>
      </c>
      <c r="AJ501" s="6" t="n">
        <v>70.53623666188068</v>
      </c>
      <c r="AK501" s="6" t="n">
        <v>0.1026999136767066</v>
      </c>
      <c r="AL501" s="6" t="n">
        <v>1.035913337756418</v>
      </c>
      <c r="AN501" s="6" t="n">
        <v>1.347967062504281</v>
      </c>
      <c r="AO501" s="6" t="n">
        <v>1.347967062504281</v>
      </c>
      <c r="AP501" s="6" t="n">
        <v>0.1340319664966943</v>
      </c>
      <c r="AQ501" s="6" t="n">
        <v>0</v>
      </c>
      <c r="AR501" s="6" t="n">
        <v>0</v>
      </c>
    </row>
    <row r="502">
      <c r="D502" t="inlineStr">
        <is>
          <t>Run 190</t>
        </is>
      </c>
      <c r="J502" s="6" t="n">
        <v>0.1448315226503454</v>
      </c>
      <c r="K502" s="6" t="n">
        <v>0.9779826165332157</v>
      </c>
      <c r="L502" s="6" t="n">
        <v>0.9219086827366741</v>
      </c>
      <c r="M502" s="6" t="n">
        <v>-1.541520147595757</v>
      </c>
      <c r="N502" s="6" t="n">
        <v>2.813626435936121</v>
      </c>
      <c r="O502" s="6" t="n">
        <v>0.6724524768772306</v>
      </c>
      <c r="P502" s="6" t="n">
        <v>-3.334866644165233</v>
      </c>
      <c r="Q502" s="6" t="n">
        <v>-0.9369188489183427</v>
      </c>
      <c r="R502" s="6" t="n">
        <v>-2.3437065463503</v>
      </c>
      <c r="S502" s="6" t="n">
        <v>-0.3689599943864708</v>
      </c>
      <c r="T502" s="6" t="n">
        <v>1.208576448609402</v>
      </c>
      <c r="U502" s="6" t="n">
        <v>2.089222501953343</v>
      </c>
      <c r="V502" s="6" t="n">
        <v>0.4688657766740704</v>
      </c>
      <c r="W502" s="6" t="n">
        <v>-1.910822233396298</v>
      </c>
      <c r="X502" s="6" t="n">
        <v>1.802602352455266</v>
      </c>
      <c r="Y502" s="6" t="n">
        <v>3.030274573706697</v>
      </c>
      <c r="Z502" s="6" t="n">
        <v>0.1085834536133874</v>
      </c>
      <c r="AA502" s="6" t="n">
        <v>1.007394330809974</v>
      </c>
      <c r="AB502" s="6" t="n">
        <v>0.2522128681659304</v>
      </c>
      <c r="AC502" s="6" t="n">
        <v>-2.038443420149841</v>
      </c>
      <c r="AD502" s="6" t="n">
        <v>2.516480786817521</v>
      </c>
      <c r="AE502" s="6" t="n">
        <v>-1.22451254179543</v>
      </c>
      <c r="AF502" s="6" t="n">
        <v>-0.4097399275555605</v>
      </c>
      <c r="AG502" s="6" t="n">
        <v>1.77987414865313</v>
      </c>
      <c r="AH502" s="6" t="n">
        <v>-3.637421487317371</v>
      </c>
      <c r="AI502" s="6" t="n">
        <v>2.821210347210725</v>
      </c>
      <c r="AJ502" s="6" t="n">
        <v>70.90250152467924</v>
      </c>
      <c r="AK502" s="6" t="n">
        <v>0.1005378476763296</v>
      </c>
      <c r="AL502" s="6" t="n">
        <v>1.034073140635608</v>
      </c>
      <c r="AN502" s="6" t="n">
        <v>1.343898789119067</v>
      </c>
      <c r="AO502" s="6" t="n">
        <v>1.347556008641493</v>
      </c>
      <c r="AP502" s="6" t="n">
        <v>0.1341218005145842</v>
      </c>
      <c r="AQ502" s="6" t="n">
        <v>0</v>
      </c>
      <c r="AR502" s="6" t="n">
        <v>0</v>
      </c>
    </row>
    <row r="503">
      <c r="D503" t="inlineStr">
        <is>
          <t>Run 191</t>
        </is>
      </c>
      <c r="J503" s="6" t="n">
        <v>-0.9075580284121372</v>
      </c>
      <c r="K503" s="6" t="n">
        <v>-4.218899398199515</v>
      </c>
      <c r="L503" s="6" t="n">
        <v>-1.293463694548964</v>
      </c>
      <c r="M503" s="6" t="n">
        <v>-0.9935202804914128</v>
      </c>
      <c r="N503" s="6" t="n">
        <v>-1.837545228503481</v>
      </c>
      <c r="O503" s="6" t="n">
        <v>1.975204264253385</v>
      </c>
      <c r="P503" s="6" t="n">
        <v>-3.664363506343776</v>
      </c>
      <c r="Q503" s="6" t="n">
        <v>-2.207763572863044</v>
      </c>
      <c r="R503" s="6" t="n">
        <v>-0.006382566738823699</v>
      </c>
      <c r="S503" s="6" t="n">
        <v>2.859266064888072</v>
      </c>
      <c r="T503" s="6" t="n">
        <v>-1.106265578455733</v>
      </c>
      <c r="U503" s="6" t="n">
        <v>0.9885736698657928</v>
      </c>
      <c r="V503" s="6" t="n">
        <v>-2.065307830218363</v>
      </c>
      <c r="W503" s="6" t="n">
        <v>2.482562072918839</v>
      </c>
      <c r="X503" s="6" t="n">
        <v>1.916633220984279</v>
      </c>
      <c r="Y503" s="6" t="n">
        <v>-1.227034600980983</v>
      </c>
      <c r="Z503" s="6" t="n">
        <v>0.4912774976672528</v>
      </c>
      <c r="AA503" s="6" t="n">
        <v>-1.555167571540713</v>
      </c>
      <c r="AB503" s="6" t="n">
        <v>-0.9367540947279041</v>
      </c>
      <c r="AC503" s="6" t="n">
        <v>2.004594891204004</v>
      </c>
      <c r="AD503" s="6" t="n">
        <v>0.8833333281414398</v>
      </c>
      <c r="AE503" s="6" t="n">
        <v>-3.046560364720625</v>
      </c>
      <c r="AF503" s="6" t="n">
        <v>3.938246017097796</v>
      </c>
      <c r="AG503" s="6" t="n">
        <v>1.426151575332366</v>
      </c>
      <c r="AH503" s="6" t="n">
        <v>-0.4919283593738315</v>
      </c>
      <c r="AI503" s="6" t="n">
        <v>3.117352920147595</v>
      </c>
      <c r="AJ503" s="6" t="n">
        <v>69.51972340482043</v>
      </c>
      <c r="AK503" s="6" t="n">
        <v>0.1288070739954301</v>
      </c>
      <c r="AL503" s="6" t="n">
        <v>1.056945539015973</v>
      </c>
      <c r="AN503" s="6" t="n">
        <v>1.332991577352338</v>
      </c>
      <c r="AO503" s="6" t="n">
        <v>1.338264775255675</v>
      </c>
      <c r="AP503" s="6" t="n">
        <v>0.1311583900680059</v>
      </c>
      <c r="AQ503" s="6" t="n">
        <v>0</v>
      </c>
      <c r="AR503" s="6" t="n">
        <v>0</v>
      </c>
    </row>
    <row r="504">
      <c r="D504" t="inlineStr">
        <is>
          <t>Run 192</t>
        </is>
      </c>
      <c r="J504" s="6" t="n">
        <v>-2.650589536408372</v>
      </c>
      <c r="K504" s="6" t="n">
        <v>0.7272182474441612</v>
      </c>
      <c r="L504" s="6" t="n">
        <v>-1.964237557674082</v>
      </c>
      <c r="M504" s="6" t="n">
        <v>-0.4560330825934201</v>
      </c>
      <c r="N504" s="6" t="n">
        <v>-0.4436376808570585</v>
      </c>
      <c r="O504" s="6" t="n">
        <v>1.472917218232307</v>
      </c>
      <c r="P504" s="6" t="n">
        <v>-1.371492026386533</v>
      </c>
      <c r="Q504" s="6" t="n">
        <v>0.1412605583505419</v>
      </c>
      <c r="R504" s="6" t="n">
        <v>-5.101107455881974</v>
      </c>
      <c r="S504" s="6" t="n">
        <v>-0.4688346016839184</v>
      </c>
      <c r="T504" s="6" t="n">
        <v>-2.844491287370274</v>
      </c>
      <c r="U504" s="6" t="n">
        <v>0.4223217435890098</v>
      </c>
      <c r="V504" s="6" t="n">
        <v>-2.190226790339512</v>
      </c>
      <c r="W504" s="6" t="n">
        <v>-1.724428555357971</v>
      </c>
      <c r="X504" s="6" t="n">
        <v>2.517170717664118</v>
      </c>
      <c r="Y504" s="6" t="n">
        <v>-1.849812218641616</v>
      </c>
      <c r="Z504" s="6" t="n">
        <v>-0.1304552846933545</v>
      </c>
      <c r="AA504" s="6" t="n">
        <v>1.456591301009722</v>
      </c>
      <c r="AB504" s="6" t="n">
        <v>0.353591907050204</v>
      </c>
      <c r="AC504" s="6" t="n">
        <v>-0.1164985841586938</v>
      </c>
      <c r="AD504" s="6" t="n">
        <v>-3.458911057356541</v>
      </c>
      <c r="AE504" s="6" t="n">
        <v>2.469091689822187</v>
      </c>
      <c r="AF504" s="6" t="n">
        <v>0.1175728180410421</v>
      </c>
      <c r="AG504" s="6" t="n">
        <v>-2.105683717491828</v>
      </c>
      <c r="AH504" s="6" t="n">
        <v>0.1846100498782668</v>
      </c>
      <c r="AI504" s="6" t="n">
        <v>-0.1089702225994426</v>
      </c>
      <c r="AJ504" s="6" t="n">
        <v>77.32262300453246</v>
      </c>
      <c r="AK504" s="6" t="n">
        <v>0.1344435488843516</v>
      </c>
      <c r="AL504" s="6" t="n">
        <v>1.009050654761167</v>
      </c>
      <c r="AN504" s="6" t="n">
        <v>1.35910568774337</v>
      </c>
      <c r="AO504" s="6" t="n">
        <v>1.35983339636175</v>
      </c>
      <c r="AP504" s="6" t="n">
        <v>0.137496745289111</v>
      </c>
      <c r="AQ504" s="6" t="n">
        <v>0</v>
      </c>
      <c r="AR504" s="6" t="n">
        <v>0</v>
      </c>
    </row>
    <row r="505">
      <c r="D505" t="inlineStr">
        <is>
          <t>Run 193</t>
        </is>
      </c>
      <c r="J505" s="6" t="n">
        <v>3.816277335134293</v>
      </c>
      <c r="K505" s="6" t="n">
        <v>-2.790308880108838</v>
      </c>
      <c r="L505" s="6" t="n">
        <v>-0.8763136492072637</v>
      </c>
      <c r="M505" s="6" t="n">
        <v>-2.644593440593113</v>
      </c>
      <c r="N505" s="6" t="n">
        <v>0.2124116768668974</v>
      </c>
      <c r="O505" s="6" t="n">
        <v>0.8163601344117288</v>
      </c>
      <c r="P505" s="6" t="n">
        <v>0.2262117410283436</v>
      </c>
      <c r="Q505" s="6" t="n">
        <v>4.80212919999823</v>
      </c>
      <c r="R505" s="6" t="n">
        <v>1.167370963190062</v>
      </c>
      <c r="S505" s="6" t="n">
        <v>-1.211981879323828</v>
      </c>
      <c r="T505" s="6" t="n">
        <v>-0.3875463685205467</v>
      </c>
      <c r="U505" s="6" t="n">
        <v>-2.02662850703403</v>
      </c>
      <c r="V505" s="6" t="n">
        <v>0.04190373111380796</v>
      </c>
      <c r="W505" s="6" t="n">
        <v>1.175408885700077</v>
      </c>
      <c r="X505" s="6" t="n">
        <v>0.2758507331387781</v>
      </c>
      <c r="Y505" s="6" t="n">
        <v>1.036767891685639</v>
      </c>
      <c r="Z505" s="6" t="n">
        <v>-1.732883718001368</v>
      </c>
      <c r="AA505" s="6" t="n">
        <v>1.633424765208323</v>
      </c>
      <c r="AB505" s="6" t="n">
        <v>-1.891750951040688</v>
      </c>
      <c r="AC505" s="6" t="n">
        <v>5</v>
      </c>
      <c r="AD505" s="6" t="n">
        <v>-0.4919350609383753</v>
      </c>
      <c r="AE505" s="6" t="n">
        <v>1.241698202789724</v>
      </c>
      <c r="AF505" s="6" t="n">
        <v>2.27709350678963</v>
      </c>
      <c r="AG505" s="6" t="n">
        <v>-1.517994517838196</v>
      </c>
      <c r="AH505" s="6" t="n">
        <v>0.3435917449075384</v>
      </c>
      <c r="AI505" s="6" t="n">
        <v>0.7182139968369613</v>
      </c>
      <c r="AJ505" s="6" t="n">
        <v>77.02804024185318</v>
      </c>
      <c r="AK505" s="6" t="n">
        <v>0.1460378136098003</v>
      </c>
      <c r="AL505" s="6" t="n">
        <v>1.059950043788531</v>
      </c>
      <c r="AN505" s="6" t="n">
        <v>1.31950584381961</v>
      </c>
      <c r="AO505" s="6" t="n">
        <v>1.328676913956519</v>
      </c>
      <c r="AP505" s="6" t="n">
        <v>0.1311341893604441</v>
      </c>
      <c r="AQ505" s="6" t="n">
        <v>0</v>
      </c>
      <c r="AR505" s="6" t="n">
        <v>0</v>
      </c>
    </row>
    <row r="506">
      <c r="D506" t="inlineStr">
        <is>
          <t>Run 194</t>
        </is>
      </c>
      <c r="J506" s="6" t="n">
        <v>2.203829698542814</v>
      </c>
      <c r="K506" s="6" t="n">
        <v>-2.088641951094424</v>
      </c>
      <c r="L506" s="6" t="n">
        <v>4.291929074663012</v>
      </c>
      <c r="M506" s="6" t="n">
        <v>3.031998531409022</v>
      </c>
      <c r="N506" s="6" t="n">
        <v>-0.6099705968171297</v>
      </c>
      <c r="O506" s="6" t="n">
        <v>4.292824685237592</v>
      </c>
      <c r="P506" s="6" t="n">
        <v>1.625197338943147e-05</v>
      </c>
      <c r="Q506" s="6" t="n">
        <v>0.8805195802168873</v>
      </c>
      <c r="R506" s="6" t="n">
        <v>1.714255834840225</v>
      </c>
      <c r="S506" s="6" t="n">
        <v>0.9076911776349832</v>
      </c>
      <c r="T506" s="6" t="n">
        <v>-0.4839811860940089</v>
      </c>
      <c r="U506" s="6" t="n">
        <v>0.4881571032376176</v>
      </c>
      <c r="V506" s="6" t="n">
        <v>-0.2653516581543075</v>
      </c>
      <c r="W506" s="6" t="n">
        <v>-0.05983674108140824</v>
      </c>
      <c r="X506" s="6" t="n">
        <v>-1.513651537695158</v>
      </c>
      <c r="Y506" s="6" t="n">
        <v>-2.353040796460658</v>
      </c>
      <c r="Z506" s="6" t="n">
        <v>4.13727147159041</v>
      </c>
      <c r="AA506" s="6" t="n">
        <v>2.145438800658641</v>
      </c>
      <c r="AB506" s="6" t="n">
        <v>0.4264407657547906</v>
      </c>
      <c r="AC506" s="6" t="n">
        <v>0.214295740229663</v>
      </c>
      <c r="AD506" s="6" t="n">
        <v>4.074386846051719</v>
      </c>
      <c r="AE506" s="6" t="n">
        <v>1.090737846608989</v>
      </c>
      <c r="AF506" s="6" t="n">
        <v>-1.239662101250234</v>
      </c>
      <c r="AG506" s="6" t="n">
        <v>0.7557257652522262</v>
      </c>
      <c r="AH506" s="6" t="n">
        <v>-3.609527853816853</v>
      </c>
      <c r="AI506" s="6" t="n">
        <v>-1.455456993417116</v>
      </c>
      <c r="AJ506" s="6" t="n">
        <v>66.72434172669668</v>
      </c>
      <c r="AK506" s="6" t="n">
        <v>0.1184717164410087</v>
      </c>
      <c r="AL506" s="6" t="n">
        <v>1.050355755195308</v>
      </c>
      <c r="AN506" s="6" t="n">
        <v>1.342339110545492</v>
      </c>
      <c r="AO506" s="6" t="n">
        <v>1.342909316664957</v>
      </c>
      <c r="AP506" s="6" t="n">
        <v>0.1320405071131604</v>
      </c>
      <c r="AQ506" s="6" t="n">
        <v>0</v>
      </c>
      <c r="AR506" s="6" t="n">
        <v>0</v>
      </c>
    </row>
    <row r="507">
      <c r="D507" t="inlineStr">
        <is>
          <t>Run 195</t>
        </is>
      </c>
      <c r="J507" s="6" t="n">
        <v>-0.651067532538515</v>
      </c>
      <c r="K507" s="6" t="n">
        <v>1.76867248706754</v>
      </c>
      <c r="L507" s="6" t="n">
        <v>-0.006077270068510429</v>
      </c>
      <c r="M507" s="6" t="n">
        <v>-1.429971701356308</v>
      </c>
      <c r="N507" s="6" t="n">
        <v>1.674459975057667</v>
      </c>
      <c r="O507" s="6" t="n">
        <v>-0.9458838984769286</v>
      </c>
      <c r="P507" s="6" t="n">
        <v>1.289982917741003</v>
      </c>
      <c r="Q507" s="6" t="n">
        <v>-1.512666147994546</v>
      </c>
      <c r="R507" s="6" t="n">
        <v>2.108111529972565</v>
      </c>
      <c r="S507" s="6" t="n">
        <v>-2.751152454025867</v>
      </c>
      <c r="T507" s="6" t="n">
        <v>0.9413387413948355</v>
      </c>
      <c r="U507" s="6" t="n">
        <v>2.018438852224791</v>
      </c>
      <c r="V507" s="6" t="n">
        <v>0.6416612728343009</v>
      </c>
      <c r="W507" s="6" t="n">
        <v>-0.2339031849259073</v>
      </c>
      <c r="X507" s="6" t="n">
        <v>0.4874698821264148</v>
      </c>
      <c r="Y507" s="6" t="n">
        <v>0.4853100255208356</v>
      </c>
      <c r="Z507" s="6" t="n">
        <v>1.011154248854631</v>
      </c>
      <c r="AA507" s="6" t="n">
        <v>-3.17042541697239</v>
      </c>
      <c r="AB507" s="6" t="n">
        <v>-0.4733975894667066</v>
      </c>
      <c r="AC507" s="6" t="n">
        <v>2.535242241306373</v>
      </c>
      <c r="AD507" s="6" t="n">
        <v>4.922529231370065</v>
      </c>
      <c r="AE507" s="6" t="n">
        <v>1.95783080284689</v>
      </c>
      <c r="AF507" s="6" t="n">
        <v>0.4669951848898761</v>
      </c>
      <c r="AG507" s="6" t="n">
        <v>-2.388844731948531</v>
      </c>
      <c r="AH507" s="6" t="n">
        <v>-1.220725937545275</v>
      </c>
      <c r="AI507" s="6" t="n">
        <v>1.619245366179715</v>
      </c>
      <c r="AJ507" s="6" t="n">
        <v>75.0259067749994</v>
      </c>
      <c r="AK507" s="6" t="n">
        <v>0.1180491232582383</v>
      </c>
      <c r="AL507" s="6" t="n">
        <v>1.064493107260455</v>
      </c>
      <c r="AN507" s="6" t="n">
        <v>1.336586071590449</v>
      </c>
      <c r="AO507" s="6" t="n">
        <v>1.339438516587852</v>
      </c>
      <c r="AP507" s="6" t="n">
        <v>0.1312784614863342</v>
      </c>
      <c r="AQ507" s="6" t="n">
        <v>0</v>
      </c>
      <c r="AR507" s="6" t="n">
        <v>0</v>
      </c>
    </row>
    <row r="508">
      <c r="D508" t="inlineStr">
        <is>
          <t>Run 196</t>
        </is>
      </c>
      <c r="J508" s="6" t="n">
        <v>-3.378139893187241</v>
      </c>
      <c r="K508" s="6" t="n">
        <v>1.341266399585742</v>
      </c>
      <c r="L508" s="6" t="n">
        <v>1.767118899813185</v>
      </c>
      <c r="M508" s="6" t="n">
        <v>1.589795241778595</v>
      </c>
      <c r="N508" s="6" t="n">
        <v>-1.319377352659317</v>
      </c>
      <c r="O508" s="6" t="n">
        <v>2.046593177375488</v>
      </c>
      <c r="P508" s="6" t="n">
        <v>0.2725854966040961</v>
      </c>
      <c r="Q508" s="6" t="n">
        <v>-2.994788234208773</v>
      </c>
      <c r="R508" s="6" t="n">
        <v>-1.209480625383115</v>
      </c>
      <c r="S508" s="6" t="n">
        <v>-1.468951215334819</v>
      </c>
      <c r="T508" s="6" t="n">
        <v>4.686337298177531</v>
      </c>
      <c r="U508" s="6" t="n">
        <v>3.004110976318708</v>
      </c>
      <c r="V508" s="6" t="n">
        <v>2.041491066691889</v>
      </c>
      <c r="W508" s="6" t="n">
        <v>0.4314258925894606</v>
      </c>
      <c r="X508" s="6" t="n">
        <v>-0.1649132833487456</v>
      </c>
      <c r="Y508" s="6" t="n">
        <v>1.653333934130311</v>
      </c>
      <c r="Z508" s="6" t="n">
        <v>1.513836722327654</v>
      </c>
      <c r="AA508" s="6" t="n">
        <v>1.792161765684423</v>
      </c>
      <c r="AB508" s="6" t="n">
        <v>0.157417148474344</v>
      </c>
      <c r="AC508" s="6" t="n">
        <v>3.464203410770895</v>
      </c>
      <c r="AD508" s="6" t="n">
        <v>1.899726548509806</v>
      </c>
      <c r="AE508" s="6" t="n">
        <v>2.321826836328162</v>
      </c>
      <c r="AF508" s="6" t="n">
        <v>-3.270378103267563</v>
      </c>
      <c r="AG508" s="6" t="n">
        <v>-0.9875462790627137</v>
      </c>
      <c r="AH508" s="6" t="n">
        <v>1.103288967872563</v>
      </c>
      <c r="AI508" s="6" t="n">
        <v>2.285878780893109</v>
      </c>
      <c r="AJ508" s="6" t="n">
        <v>76.50295323406525</v>
      </c>
      <c r="AK508" s="6" t="n">
        <v>0.07788134809940869</v>
      </c>
      <c r="AL508" s="6" t="n">
        <v>1.024713438299964</v>
      </c>
      <c r="AN508" s="6" t="n">
        <v>1.355441341422726</v>
      </c>
      <c r="AO508" s="6" t="n">
        <v>1.356068796366994</v>
      </c>
      <c r="AP508" s="6" t="n">
        <v>0.1362263735300807</v>
      </c>
      <c r="AQ508" s="6" t="n">
        <v>0</v>
      </c>
      <c r="AR508" s="6" t="n">
        <v>0</v>
      </c>
    </row>
    <row r="509">
      <c r="D509" t="inlineStr">
        <is>
          <t>Run 197</t>
        </is>
      </c>
      <c r="J509" s="6" t="n">
        <v>0.8473010029335389</v>
      </c>
      <c r="K509" s="6" t="n">
        <v>-2.36931332548326</v>
      </c>
      <c r="L509" s="6" t="n">
        <v>1.239834463680653</v>
      </c>
      <c r="M509" s="6" t="n">
        <v>-0.67241766220467</v>
      </c>
      <c r="N509" s="6" t="n">
        <v>-0.6110483242660933</v>
      </c>
      <c r="O509" s="6" t="n">
        <v>1.295808634904012</v>
      </c>
      <c r="P509" s="6" t="n">
        <v>-1.743749430000338</v>
      </c>
      <c r="Q509" s="6" t="n">
        <v>1.775392123244233</v>
      </c>
      <c r="R509" s="6" t="n">
        <v>-5.468041180476495</v>
      </c>
      <c r="S509" s="6" t="n">
        <v>2.119815931389078</v>
      </c>
      <c r="T509" s="6" t="n">
        <v>-0.1528320254044398</v>
      </c>
      <c r="U509" s="6" t="n">
        <v>-1.972571913460612</v>
      </c>
      <c r="V509" s="6" t="n">
        <v>1.2101506529347</v>
      </c>
      <c r="W509" s="6" t="n">
        <v>0.3261837480343169</v>
      </c>
      <c r="X509" s="6" t="n">
        <v>0.7803374417795935</v>
      </c>
      <c r="Y509" s="6" t="n">
        <v>-0.5220518852175114</v>
      </c>
      <c r="Z509" s="6" t="n">
        <v>3.467650908693973</v>
      </c>
      <c r="AA509" s="6" t="n">
        <v>-1.302897565962607</v>
      </c>
      <c r="AB509" s="6" t="n">
        <v>0.7512850130896908</v>
      </c>
      <c r="AC509" s="6" t="n">
        <v>2.421015672253375</v>
      </c>
      <c r="AD509" s="6" t="n">
        <v>0.8396986314675883</v>
      </c>
      <c r="AE509" s="6" t="n">
        <v>2.325567576259365</v>
      </c>
      <c r="AF509" s="6" t="n">
        <v>-2.730864526564146</v>
      </c>
      <c r="AG509" s="6" t="n">
        <v>-3.021689155513717</v>
      </c>
      <c r="AH509" s="6" t="n">
        <v>2.663845253559385</v>
      </c>
      <c r="AI509" s="6" t="n">
        <v>5</v>
      </c>
      <c r="AJ509" s="6" t="n">
        <v>75.73553541831939</v>
      </c>
      <c r="AK509" s="6" t="n">
        <v>0.1633624122131789</v>
      </c>
      <c r="AL509" s="6" t="n">
        <v>1.026486286718483</v>
      </c>
      <c r="AN509" s="6" t="n">
        <v>1.35217763593019</v>
      </c>
      <c r="AO509" s="6" t="n">
        <v>1.35217763593019</v>
      </c>
      <c r="AP509" s="6" t="n">
        <v>0.1340923886858084</v>
      </c>
      <c r="AQ509" s="6" t="n">
        <v>0</v>
      </c>
      <c r="AR509" s="6" t="n">
        <v>0</v>
      </c>
    </row>
    <row r="510">
      <c r="D510" t="inlineStr">
        <is>
          <t>Run 198</t>
        </is>
      </c>
      <c r="J510" s="6" t="n">
        <v>2.258651229524708</v>
      </c>
      <c r="K510" s="6" t="n">
        <v>2.314017051412375</v>
      </c>
      <c r="L510" s="6" t="n">
        <v>-4.655724967212691</v>
      </c>
      <c r="M510" s="6" t="n">
        <v>1.658400517023744</v>
      </c>
      <c r="N510" s="6" t="n">
        <v>3.38724149271808</v>
      </c>
      <c r="O510" s="6" t="n">
        <v>1.599555421850124</v>
      </c>
      <c r="P510" s="6" t="n">
        <v>4.80349437083616</v>
      </c>
      <c r="Q510" s="6" t="n">
        <v>2.739698646942555</v>
      </c>
      <c r="R510" s="6" t="n">
        <v>-0.4787442084914731</v>
      </c>
      <c r="S510" s="6" t="n">
        <v>0.9266738902884849</v>
      </c>
      <c r="T510" s="6" t="n">
        <v>-1.39491692675593</v>
      </c>
      <c r="U510" s="6" t="n">
        <v>-0.735137504516162</v>
      </c>
      <c r="V510" s="6" t="n">
        <v>5</v>
      </c>
      <c r="W510" s="6" t="n">
        <v>-0.3105434753402125</v>
      </c>
      <c r="X510" s="6" t="n">
        <v>-1.089218073631889</v>
      </c>
      <c r="Y510" s="6" t="n">
        <v>-4.492518670835233</v>
      </c>
      <c r="Z510" s="6" t="n">
        <v>-1.320515597912467</v>
      </c>
      <c r="AA510" s="6" t="n">
        <v>1.859838084273971</v>
      </c>
      <c r="AB510" s="6" t="n">
        <v>0.003727217584767168</v>
      </c>
      <c r="AC510" s="6" t="n">
        <v>1.239365118762874</v>
      </c>
      <c r="AD510" s="6" t="n">
        <v>1.147826321901974</v>
      </c>
      <c r="AE510" s="6" t="n">
        <v>1.86127642073338</v>
      </c>
      <c r="AF510" s="6" t="n">
        <v>-0.4537060658578572</v>
      </c>
      <c r="AG510" s="6" t="n">
        <v>1.558519783728775</v>
      </c>
      <c r="AH510" s="6" t="n">
        <v>0.1158886783819887</v>
      </c>
      <c r="AI510" s="6" t="n">
        <v>0.7652349333548178</v>
      </c>
      <c r="AJ510" s="6" t="n">
        <v>76.10384710582956</v>
      </c>
      <c r="AK510" s="6" t="n">
        <v>0.1126719140009464</v>
      </c>
      <c r="AL510" s="6" t="n">
        <v>1.075849886625625</v>
      </c>
      <c r="AN510" s="6" t="n">
        <v>1.338302735732471</v>
      </c>
      <c r="AO510" s="6" t="n">
        <v>1.338604297376753</v>
      </c>
      <c r="AP510" s="6" t="n">
        <v>0.1307334793099914</v>
      </c>
      <c r="AQ510" s="6" t="n">
        <v>0</v>
      </c>
      <c r="AR510" s="6" t="n">
        <v>0</v>
      </c>
    </row>
    <row r="511">
      <c r="D511" t="inlineStr">
        <is>
          <t>Run 199</t>
        </is>
      </c>
      <c r="J511" s="6" t="n">
        <v>1.548525298392733</v>
      </c>
      <c r="K511" s="6" t="n">
        <v>0.8266217799202432</v>
      </c>
      <c r="L511" s="6" t="n">
        <v>-4.595184905938868</v>
      </c>
      <c r="M511" s="6" t="n">
        <v>2.667604042264245</v>
      </c>
      <c r="N511" s="6" t="n">
        <v>-0.2032300405234493</v>
      </c>
      <c r="O511" s="6" t="n">
        <v>-0.3703165897337226</v>
      </c>
      <c r="P511" s="6" t="n">
        <v>2.307721682473177</v>
      </c>
      <c r="Q511" s="6" t="n">
        <v>-0.6855591172755081</v>
      </c>
      <c r="R511" s="6" t="n">
        <v>0.8025300424000144</v>
      </c>
      <c r="S511" s="6" t="n">
        <v>-1.297180279468459</v>
      </c>
      <c r="T511" s="6" t="n">
        <v>-0.5886010090219517</v>
      </c>
      <c r="U511" s="6" t="n">
        <v>1.269844131362954</v>
      </c>
      <c r="V511" s="6" t="n">
        <v>4.514328367521808</v>
      </c>
      <c r="W511" s="6" t="n">
        <v>-1.666276523328723</v>
      </c>
      <c r="X511" s="6" t="n">
        <v>3.772501753351365</v>
      </c>
      <c r="Y511" s="6" t="n">
        <v>-0.8736687921048859</v>
      </c>
      <c r="Z511" s="6" t="n">
        <v>0.3943710285613499</v>
      </c>
      <c r="AA511" s="6" t="n">
        <v>2.904233198515445</v>
      </c>
      <c r="AB511" s="6" t="n">
        <v>1.228698874305616</v>
      </c>
      <c r="AC511" s="6" t="n">
        <v>0.4660262330718433</v>
      </c>
      <c r="AD511" s="6" t="n">
        <v>-0.3712721093305925</v>
      </c>
      <c r="AE511" s="6" t="n">
        <v>-3.353806872229428</v>
      </c>
      <c r="AF511" s="6" t="n">
        <v>0.8539027598791686</v>
      </c>
      <c r="AG511" s="6" t="n">
        <v>1.141548670159009</v>
      </c>
      <c r="AH511" s="6" t="n">
        <v>-1.123263337507029</v>
      </c>
      <c r="AI511" s="6" t="n">
        <v>-0.9350870772954486</v>
      </c>
      <c r="AJ511" s="6" t="n">
        <v>65.27321641313451</v>
      </c>
      <c r="AK511" s="6" t="n">
        <v>0.09218068310546418</v>
      </c>
      <c r="AL511" s="6" t="n">
        <v>1.005826773134995</v>
      </c>
      <c r="AN511" s="6" t="n">
        <v>1.34995829307577</v>
      </c>
      <c r="AO511" s="6" t="n">
        <v>1.34995829307577</v>
      </c>
      <c r="AP511" s="6" t="n">
        <v>0.137312854473704</v>
      </c>
      <c r="AQ511" s="6" t="n">
        <v>0</v>
      </c>
      <c r="AR511" s="6" t="n">
        <v>0</v>
      </c>
    </row>
    <row r="512">
      <c r="D512" t="inlineStr">
        <is>
          <t>Run 200</t>
        </is>
      </c>
      <c r="J512" s="6" t="n">
        <v>0.7338501148206332</v>
      </c>
      <c r="K512" s="6" t="n">
        <v>-1.46962939118939</v>
      </c>
      <c r="L512" s="6" t="n">
        <v>2.5609954075831</v>
      </c>
      <c r="M512" s="6" t="n">
        <v>-2.448944428903841</v>
      </c>
      <c r="N512" s="6" t="n">
        <v>-2.438190252878957</v>
      </c>
      <c r="O512" s="6" t="n">
        <v>1.941283966993367</v>
      </c>
      <c r="P512" s="6" t="n">
        <v>-0.8197988613387754</v>
      </c>
      <c r="Q512" s="6" t="n">
        <v>-2.110727743357825</v>
      </c>
      <c r="R512" s="6" t="n">
        <v>0.5414704390499373</v>
      </c>
      <c r="S512" s="6" t="n">
        <v>-1.077397166096597</v>
      </c>
      <c r="T512" s="6" t="n">
        <v>-1.894265342109302</v>
      </c>
      <c r="U512" s="6" t="n">
        <v>0.157424387520267</v>
      </c>
      <c r="V512" s="6" t="n">
        <v>-3.418934295838782</v>
      </c>
      <c r="W512" s="6" t="n">
        <v>-2.821358082544842</v>
      </c>
      <c r="X512" s="6" t="n">
        <v>2.310777528835822</v>
      </c>
      <c r="Y512" s="6" t="n">
        <v>-3.467918626695336</v>
      </c>
      <c r="Z512" s="6" t="n">
        <v>-0.9650617353297875</v>
      </c>
      <c r="AA512" s="6" t="n">
        <v>-1.584771696733654</v>
      </c>
      <c r="AB512" s="6" t="n">
        <v>-2.801306726439927</v>
      </c>
      <c r="AC512" s="6" t="n">
        <v>-0.6127336438561506</v>
      </c>
      <c r="AD512" s="6" t="n">
        <v>-2.292015818190321</v>
      </c>
      <c r="AE512" s="6" t="n">
        <v>-1.2011580990423</v>
      </c>
      <c r="AF512" s="6" t="n">
        <v>0.8459739911611994</v>
      </c>
      <c r="AG512" s="6" t="n">
        <v>2.781391977983434</v>
      </c>
      <c r="AH512" s="6" t="n">
        <v>-1.322190171128383</v>
      </c>
      <c r="AI512" s="6" t="n">
        <v>1.894467435202272</v>
      </c>
      <c r="AJ512" s="6" t="n">
        <v>77.24563047763864</v>
      </c>
      <c r="AK512" s="6" t="n">
        <v>0.1262182141206744</v>
      </c>
      <c r="AL512" s="6" t="n">
        <v>1.067189061843545</v>
      </c>
      <c r="AN512" s="6" t="n">
        <v>1.321754454293931</v>
      </c>
      <c r="AO512" s="6" t="n">
        <v>1.325449356269633</v>
      </c>
      <c r="AP512" s="6" t="n">
        <v>0.1307549765857987</v>
      </c>
      <c r="AQ512" s="6" t="n">
        <v>0</v>
      </c>
      <c r="AR512" s="6" t="n">
        <v>0</v>
      </c>
    </row>
    <row r="513">
      <c r="D513" t="inlineStr">
        <is>
          <t>Run 201</t>
        </is>
      </c>
      <c r="J513" s="6" t="n">
        <v>0.9699686036033591</v>
      </c>
      <c r="K513" s="6" t="n">
        <v>1.374565763884135</v>
      </c>
      <c r="L513" s="6" t="n">
        <v>-0.2682223507247383</v>
      </c>
      <c r="M513" s="6" t="n">
        <v>-0.09288202252420812</v>
      </c>
      <c r="N513" s="6" t="n">
        <v>-2.346603026317798</v>
      </c>
      <c r="O513" s="6" t="n">
        <v>-1.515658337277889</v>
      </c>
      <c r="P513" s="6" t="n">
        <v>2.406778620819824</v>
      </c>
      <c r="Q513" s="6" t="n">
        <v>4.321402238554112</v>
      </c>
      <c r="R513" s="6" t="n">
        <v>0.4767478483330719</v>
      </c>
      <c r="S513" s="6" t="n">
        <v>2.157315197981367</v>
      </c>
      <c r="T513" s="6" t="n">
        <v>-2.371053474568361</v>
      </c>
      <c r="U513" s="6" t="n">
        <v>0.3875739451170292</v>
      </c>
      <c r="V513" s="6" t="n">
        <v>-2.019217596546557</v>
      </c>
      <c r="W513" s="6" t="n">
        <v>-2.071056793785421</v>
      </c>
      <c r="X513" s="6" t="n">
        <v>1.599825436421232</v>
      </c>
      <c r="Y513" s="6" t="n">
        <v>0.3904462026338076</v>
      </c>
      <c r="Z513" s="6" t="n">
        <v>-0.4799971630204969</v>
      </c>
      <c r="AA513" s="6" t="n">
        <v>-0.06424974455129312</v>
      </c>
      <c r="AB513" s="6" t="n">
        <v>-0.5696910881923314</v>
      </c>
      <c r="AC513" s="6" t="n">
        <v>3.01840873702684</v>
      </c>
      <c r="AD513" s="6" t="n">
        <v>-1.154522491112976</v>
      </c>
      <c r="AE513" s="6" t="n">
        <v>-1.352515575906826</v>
      </c>
      <c r="AF513" s="6" t="n">
        <v>-1.047994836397587</v>
      </c>
      <c r="AG513" s="6" t="n">
        <v>0.878410560827445</v>
      </c>
      <c r="AH513" s="6" t="n">
        <v>5</v>
      </c>
      <c r="AI513" s="6" t="n">
        <v>0.01749718282126052</v>
      </c>
      <c r="AJ513" s="6" t="n">
        <v>72.67093686187224</v>
      </c>
      <c r="AK513" s="6" t="n">
        <v>0.1056928176333183</v>
      </c>
      <c r="AL513" s="6" t="n">
        <v>1.077532011912206</v>
      </c>
      <c r="AN513" s="6" t="n">
        <v>1.339535148279964</v>
      </c>
      <c r="AO513" s="6" t="n">
        <v>1.340810509973349</v>
      </c>
      <c r="AP513" s="6" t="n">
        <v>0.1309281104763902</v>
      </c>
      <c r="AQ513" s="6" t="n">
        <v>0</v>
      </c>
      <c r="AR513" s="6" t="n">
        <v>0</v>
      </c>
    </row>
    <row r="514">
      <c r="D514" t="inlineStr">
        <is>
          <t>Run 202</t>
        </is>
      </c>
      <c r="J514" s="6" t="n">
        <v>1.357952304560949</v>
      </c>
      <c r="K514" s="6" t="n">
        <v>2.605134970680472</v>
      </c>
      <c r="L514" s="6" t="n">
        <v>-0.656042310324979</v>
      </c>
      <c r="M514" s="6" t="n">
        <v>-1.540108824493058</v>
      </c>
      <c r="N514" s="6" t="n">
        <v>3.091946467328375</v>
      </c>
      <c r="O514" s="6" t="n">
        <v>2.434519778180813</v>
      </c>
      <c r="P514" s="6" t="n">
        <v>4.231437786317205</v>
      </c>
      <c r="Q514" s="6" t="n">
        <v>-2.335878766286849</v>
      </c>
      <c r="R514" s="6" t="n">
        <v>1.555679749936651</v>
      </c>
      <c r="S514" s="6" t="n">
        <v>0.1659654472828121</v>
      </c>
      <c r="T514" s="6" t="n">
        <v>0.5510319578938637</v>
      </c>
      <c r="U514" s="6" t="n">
        <v>2.568416753339472</v>
      </c>
      <c r="V514" s="6" t="n">
        <v>0.1200600128627412</v>
      </c>
      <c r="W514" s="6" t="n">
        <v>2.591991550038963</v>
      </c>
      <c r="X514" s="6" t="n">
        <v>0.3441181030342014</v>
      </c>
      <c r="Y514" s="6" t="n">
        <v>-5.435899585845507</v>
      </c>
      <c r="Z514" s="6" t="n">
        <v>1.181078897703108</v>
      </c>
      <c r="AA514" s="6" t="n">
        <v>-0.7655774586012237</v>
      </c>
      <c r="AB514" s="6" t="n">
        <v>-1.827810756180254</v>
      </c>
      <c r="AC514" s="6" t="n">
        <v>-4.265805327736428</v>
      </c>
      <c r="AD514" s="6" t="n">
        <v>-1.147956294791834</v>
      </c>
      <c r="AE514" s="6" t="n">
        <v>0.7617640138596405</v>
      </c>
      <c r="AF514" s="6" t="n">
        <v>0.8707897079161463</v>
      </c>
      <c r="AG514" s="6" t="n">
        <v>3.571144559102027</v>
      </c>
      <c r="AH514" s="6" t="n">
        <v>0.6617377781486697</v>
      </c>
      <c r="AI514" s="6" t="n">
        <v>-2.547364725788607</v>
      </c>
      <c r="AJ514" s="6" t="n">
        <v>78.12004755795139</v>
      </c>
      <c r="AK514" s="6" t="n">
        <v>0.1255547238736432</v>
      </c>
      <c r="AL514" s="6" t="n">
        <v>1.120912837468242</v>
      </c>
      <c r="AN514" s="6" t="n">
        <v>1.322226291049536</v>
      </c>
      <c r="AO514" s="6" t="n">
        <v>1.322880755731591</v>
      </c>
      <c r="AP514" s="6" t="n">
        <v>0.1277083464607122</v>
      </c>
      <c r="AQ514" s="6" t="n">
        <v>0</v>
      </c>
      <c r="AR514" s="6" t="n">
        <v>0</v>
      </c>
    </row>
    <row r="515">
      <c r="D515" t="inlineStr">
        <is>
          <t>Run 203</t>
        </is>
      </c>
      <c r="J515" s="6" t="n">
        <v>-2.402473337016793</v>
      </c>
      <c r="K515" s="6" t="n">
        <v>-0.7954225013966184</v>
      </c>
      <c r="L515" s="6" t="n">
        <v>-0.1836703433770705</v>
      </c>
      <c r="M515" s="6" t="n">
        <v>3.180652244824422</v>
      </c>
      <c r="N515" s="6" t="n">
        <v>5</v>
      </c>
      <c r="O515" s="6" t="n">
        <v>3.158154109036548</v>
      </c>
      <c r="P515" s="6" t="n">
        <v>-0.1518238386946807</v>
      </c>
      <c r="Q515" s="6" t="n">
        <v>0.9140664575315773</v>
      </c>
      <c r="R515" s="6" t="n">
        <v>-0.4355080784616379</v>
      </c>
      <c r="S515" s="6" t="n">
        <v>-0.6706353410371845</v>
      </c>
      <c r="T515" s="6" t="n">
        <v>3.455774844175437</v>
      </c>
      <c r="U515" s="6" t="n">
        <v>1.24664423790193</v>
      </c>
      <c r="V515" s="6" t="n">
        <v>0.6033993693010726</v>
      </c>
      <c r="W515" s="6" t="n">
        <v>-1.734876425998733</v>
      </c>
      <c r="X515" s="6" t="n">
        <v>-1.118611583131848</v>
      </c>
      <c r="Y515" s="6" t="n">
        <v>-0.06392590766420816</v>
      </c>
      <c r="Z515" s="6" t="n">
        <v>0.7606153554644672</v>
      </c>
      <c r="AA515" s="6" t="n">
        <v>-0.3111460510694753</v>
      </c>
      <c r="AB515" s="6" t="n">
        <v>2.021974593326912</v>
      </c>
      <c r="AC515" s="6" t="n">
        <v>1.789135151616787</v>
      </c>
      <c r="AD515" s="6" t="n">
        <v>-0.06529404438176839</v>
      </c>
      <c r="AE515" s="6" t="n">
        <v>-0.4635256983768611</v>
      </c>
      <c r="AF515" s="6" t="n">
        <v>-0.8186398616775596</v>
      </c>
      <c r="AG515" s="6" t="n">
        <v>-1.936487415740179</v>
      </c>
      <c r="AH515" s="6" t="n">
        <v>-3.532737940119242</v>
      </c>
      <c r="AI515" s="6" t="n">
        <v>-0.884826881501997</v>
      </c>
      <c r="AJ515" s="6" t="n">
        <v>78.02265000542533</v>
      </c>
      <c r="AK515" s="6" t="n">
        <v>0.1201081695565991</v>
      </c>
      <c r="AL515" s="6" t="n">
        <v>1.046902155401383</v>
      </c>
      <c r="AN515" s="6" t="n">
        <v>1.348057713841283</v>
      </c>
      <c r="AO515" s="6" t="n">
        <v>1.348292390240887</v>
      </c>
      <c r="AP515" s="6" t="n">
        <v>0.1332956866756787</v>
      </c>
      <c r="AQ515" s="6" t="n">
        <v>0</v>
      </c>
      <c r="AR515" s="6" t="n">
        <v>0</v>
      </c>
    </row>
    <row r="516">
      <c r="D516" t="inlineStr">
        <is>
          <t>Run 204</t>
        </is>
      </c>
      <c r="J516" s="6" t="n">
        <v>0.6466987373742815</v>
      </c>
      <c r="K516" s="6" t="n">
        <v>0.7253474147498745</v>
      </c>
      <c r="L516" s="6" t="n">
        <v>2.730428660010755</v>
      </c>
      <c r="M516" s="6" t="n">
        <v>1.428221860702766</v>
      </c>
      <c r="N516" s="6" t="n">
        <v>-1.162414346128536</v>
      </c>
      <c r="O516" s="6" t="n">
        <v>2.000300923821073</v>
      </c>
      <c r="P516" s="6" t="n">
        <v>-1.295397256999872</v>
      </c>
      <c r="Q516" s="6" t="n">
        <v>-0.719176109050131</v>
      </c>
      <c r="R516" s="6" t="n">
        <v>2.808715787154823</v>
      </c>
      <c r="S516" s="6" t="n">
        <v>0.000892241619095541</v>
      </c>
      <c r="T516" s="6" t="n">
        <v>-0.3827268779428157</v>
      </c>
      <c r="U516" s="6" t="n">
        <v>-0.859498408404757</v>
      </c>
      <c r="V516" s="6" t="n">
        <v>1.096262323878758</v>
      </c>
      <c r="W516" s="6" t="n">
        <v>0.183948644813893</v>
      </c>
      <c r="X516" s="6" t="n">
        <v>-1.295001464521375</v>
      </c>
      <c r="Y516" s="6" t="n">
        <v>3.067960935201406</v>
      </c>
      <c r="Z516" s="6" t="n">
        <v>-0.1140364547461285</v>
      </c>
      <c r="AA516" s="6" t="n">
        <v>-0.8887134115620438</v>
      </c>
      <c r="AB516" s="6" t="n">
        <v>1.770051012141553</v>
      </c>
      <c r="AC516" s="6" t="n">
        <v>2.746340631760619</v>
      </c>
      <c r="AD516" s="6" t="n">
        <v>1.843520719371559</v>
      </c>
      <c r="AE516" s="6" t="n">
        <v>-1.569982387149836</v>
      </c>
      <c r="AF516" s="6" t="n">
        <v>-2.53594904319535</v>
      </c>
      <c r="AG516" s="6" t="n">
        <v>-3.631290565182829</v>
      </c>
      <c r="AH516" s="6" t="n">
        <v>0.7572775707245661</v>
      </c>
      <c r="AI516" s="6" t="n">
        <v>-2.166698703948394</v>
      </c>
      <c r="AJ516" s="6" t="n">
        <v>83.44057198285212</v>
      </c>
      <c r="AK516" s="6" t="n">
        <v>0.125159692346235</v>
      </c>
      <c r="AL516" s="6" t="n">
        <v>1.050773966179161</v>
      </c>
      <c r="AN516" s="6" t="n">
        <v>1.350381736957345</v>
      </c>
      <c r="AO516" s="6" t="n">
        <v>1.351159285902348</v>
      </c>
      <c r="AP516" s="6" t="n">
        <v>0.1329387421752373</v>
      </c>
      <c r="AQ516" s="6" t="n">
        <v>0</v>
      </c>
      <c r="AR516" s="6" t="n">
        <v>0</v>
      </c>
    </row>
    <row r="517">
      <c r="D517" t="inlineStr">
        <is>
          <t>Run 205</t>
        </is>
      </c>
      <c r="J517" s="6" t="n">
        <v>-2.629351452336662</v>
      </c>
      <c r="K517" s="6" t="n">
        <v>0.04521462990547575</v>
      </c>
      <c r="L517" s="6" t="n">
        <v>1.25616060869157</v>
      </c>
      <c r="M517" s="6" t="n">
        <v>-2.1850267133448</v>
      </c>
      <c r="N517" s="6" t="n">
        <v>-3.798398498164095</v>
      </c>
      <c r="O517" s="6" t="n">
        <v>1.999962641389535</v>
      </c>
      <c r="P517" s="6" t="n">
        <v>-2.213422490094359</v>
      </c>
      <c r="Q517" s="6" t="n">
        <v>1.567798980843249</v>
      </c>
      <c r="R517" s="6" t="n">
        <v>-1.056082134362659</v>
      </c>
      <c r="S517" s="6" t="n">
        <v>0.9452232017228391</v>
      </c>
      <c r="T517" s="6" t="n">
        <v>0.1728137779107545</v>
      </c>
      <c r="U517" s="6" t="n">
        <v>-0.8722044180366894</v>
      </c>
      <c r="V517" s="6" t="n">
        <v>1.332022468730336</v>
      </c>
      <c r="W517" s="6" t="n">
        <v>3.626904150766209</v>
      </c>
      <c r="X517" s="6" t="n">
        <v>-1.208007580579851</v>
      </c>
      <c r="Y517" s="6" t="n">
        <v>1.837633182929438</v>
      </c>
      <c r="Z517" s="6" t="n">
        <v>-2.202519747402457</v>
      </c>
      <c r="AA517" s="6" t="n">
        <v>-0.9793793542770258</v>
      </c>
      <c r="AB517" s="6" t="n">
        <v>-2.029070910012641</v>
      </c>
      <c r="AC517" s="6" t="n">
        <v>1.150557457836235</v>
      </c>
      <c r="AD517" s="6" t="n">
        <v>0.7609367740970042</v>
      </c>
      <c r="AE517" s="6" t="n">
        <v>-1.97375378380467</v>
      </c>
      <c r="AF517" s="6" t="n">
        <v>-0.0985045059213468</v>
      </c>
      <c r="AG517" s="6" t="n">
        <v>3.900421592410767</v>
      </c>
      <c r="AH517" s="6" t="n">
        <v>0.05630038500044229</v>
      </c>
      <c r="AI517" s="6" t="n">
        <v>2.094571645606623</v>
      </c>
      <c r="AJ517" s="6" t="n">
        <v>83.80087161030239</v>
      </c>
      <c r="AK517" s="6" t="n">
        <v>0.08785200817017748</v>
      </c>
      <c r="AL517" s="6" t="n">
        <v>1.035542007278489</v>
      </c>
      <c r="AN517" s="6" t="n">
        <v>1.341173251050812</v>
      </c>
      <c r="AO517" s="6" t="n">
        <v>1.342434878219562</v>
      </c>
      <c r="AP517" s="6" t="n">
        <v>0.1356346799915757</v>
      </c>
      <c r="AQ517" s="6" t="n">
        <v>0</v>
      </c>
      <c r="AR517" s="6" t="n">
        <v>0</v>
      </c>
    </row>
    <row r="518">
      <c r="D518" t="inlineStr">
        <is>
          <t>Run 206</t>
        </is>
      </c>
      <c r="J518" s="6" t="n">
        <v>-2.272095644228291</v>
      </c>
      <c r="K518" s="6" t="n">
        <v>0.5065713120006031</v>
      </c>
      <c r="L518" s="6" t="n">
        <v>-2.059286377010082</v>
      </c>
      <c r="M518" s="6" t="n">
        <v>-1.700141071180482</v>
      </c>
      <c r="N518" s="6" t="n">
        <v>1.480755983724368</v>
      </c>
      <c r="O518" s="6" t="n">
        <v>5</v>
      </c>
      <c r="P518" s="6" t="n">
        <v>-0.4607660606538718</v>
      </c>
      <c r="Q518" s="6" t="n">
        <v>1.302940157330378</v>
      </c>
      <c r="R518" s="6" t="n">
        <v>0.2208973085509885</v>
      </c>
      <c r="S518" s="6" t="n">
        <v>-0.3205257040026804</v>
      </c>
      <c r="T518" s="6" t="n">
        <v>-0.6025271065935256</v>
      </c>
      <c r="U518" s="6" t="n">
        <v>-0.2532547051441528</v>
      </c>
      <c r="V518" s="6" t="n">
        <v>1.77773144522903</v>
      </c>
      <c r="W518" s="6" t="n">
        <v>0.4443174550636542</v>
      </c>
      <c r="X518" s="6" t="n">
        <v>3.654957115892995</v>
      </c>
      <c r="Y518" s="6" t="n">
        <v>-0.4479983769406385</v>
      </c>
      <c r="Z518" s="6" t="n">
        <v>0.6361866223827511</v>
      </c>
      <c r="AA518" s="6" t="n">
        <v>-1.188142112639113</v>
      </c>
      <c r="AB518" s="6" t="n">
        <v>1.120924819226861</v>
      </c>
      <c r="AC518" s="6" t="n">
        <v>-1.020139240235063</v>
      </c>
      <c r="AD518" s="6" t="n">
        <v>-1.066788167802083</v>
      </c>
      <c r="AE518" s="6" t="n">
        <v>-0.6567227480468959</v>
      </c>
      <c r="AF518" s="6" t="n">
        <v>-0.5863325279497067</v>
      </c>
      <c r="AG518" s="6" t="n">
        <v>2.671536778649721</v>
      </c>
      <c r="AH518" s="6" t="n">
        <v>-0.1049260041921381</v>
      </c>
      <c r="AI518" s="6" t="n">
        <v>-1.744050123461514</v>
      </c>
      <c r="AJ518" s="6" t="n">
        <v>76.8662808474003</v>
      </c>
      <c r="AK518" s="6" t="n">
        <v>0.1045956007312963</v>
      </c>
      <c r="AL518" s="6" t="n">
        <v>1.030222083179406</v>
      </c>
      <c r="AN518" s="6" t="n">
        <v>1.345614191616418</v>
      </c>
      <c r="AO518" s="6" t="n">
        <v>1.350498915525517</v>
      </c>
      <c r="AP518" s="6" t="n">
        <v>0.1353322888820744</v>
      </c>
      <c r="AQ518" s="6" t="n">
        <v>0</v>
      </c>
      <c r="AR518" s="6" t="n">
        <v>0</v>
      </c>
    </row>
    <row r="519">
      <c r="D519" t="inlineStr">
        <is>
          <t>Run 207</t>
        </is>
      </c>
      <c r="J519" s="6" t="n">
        <v>2.090692707934363</v>
      </c>
      <c r="K519" s="6" t="n">
        <v>1.033659714028008</v>
      </c>
      <c r="L519" s="6" t="n">
        <v>-0.333331050140128</v>
      </c>
      <c r="M519" s="6" t="n">
        <v>2.138545485700579</v>
      </c>
      <c r="N519" s="6" t="n">
        <v>1.669486286314865</v>
      </c>
      <c r="O519" s="6" t="n">
        <v>-0.431493872726028</v>
      </c>
      <c r="P519" s="6" t="n">
        <v>1.986663919326062</v>
      </c>
      <c r="Q519" s="6" t="n">
        <v>2.757531722504814</v>
      </c>
      <c r="R519" s="6" t="n">
        <v>2.05849129254884</v>
      </c>
      <c r="S519" s="6" t="n">
        <v>1.30008420823098</v>
      </c>
      <c r="T519" s="6" t="n">
        <v>-2.170594324438353</v>
      </c>
      <c r="U519" s="6" t="n">
        <v>2.702670605717472</v>
      </c>
      <c r="V519" s="6" t="n">
        <v>-2.64416265367208</v>
      </c>
      <c r="W519" s="6" t="n">
        <v>0.9508042089958821</v>
      </c>
      <c r="X519" s="6" t="n">
        <v>3.084328959951167</v>
      </c>
      <c r="Y519" s="6" t="n">
        <v>-1.217188569194595</v>
      </c>
      <c r="Z519" s="6" t="n">
        <v>-4.469192080558681</v>
      </c>
      <c r="AA519" s="6" t="n">
        <v>0.2850211108195699</v>
      </c>
      <c r="AB519" s="6" t="n">
        <v>2.901151274133906</v>
      </c>
      <c r="AC519" s="6" t="n">
        <v>2.14522852960467</v>
      </c>
      <c r="AD519" s="6" t="n">
        <v>-0.4073746560193975</v>
      </c>
      <c r="AE519" s="6" t="n">
        <v>-1.590990129548747</v>
      </c>
      <c r="AF519" s="6" t="n">
        <v>2.708768679611411</v>
      </c>
      <c r="AG519" s="6" t="n">
        <v>2.067310381289933</v>
      </c>
      <c r="AH519" s="6" t="n">
        <v>-1.523264584194907</v>
      </c>
      <c r="AI519" s="6" t="n">
        <v>0.3149385629997278</v>
      </c>
      <c r="AJ519" s="6" t="n">
        <v>68.11212606437199</v>
      </c>
      <c r="AK519" s="6" t="n">
        <v>0.05519782206219243</v>
      </c>
      <c r="AL519" s="6" t="n">
        <v>1.007175474928718</v>
      </c>
      <c r="AN519" s="6" t="n">
        <v>1.352510838183645</v>
      </c>
      <c r="AO519" s="6" t="n">
        <v>1.352510838183645</v>
      </c>
      <c r="AP519" s="6" t="n">
        <v>0.1383410635025652</v>
      </c>
      <c r="AQ519" s="6" t="n">
        <v>0</v>
      </c>
      <c r="AR519" s="6" t="n">
        <v>0</v>
      </c>
    </row>
    <row r="520">
      <c r="D520" t="inlineStr">
        <is>
          <t>Run 208</t>
        </is>
      </c>
      <c r="J520" s="6" t="n">
        <v>2.255267691427272</v>
      </c>
      <c r="K520" s="6" t="n">
        <v>-0.8478928789329762</v>
      </c>
      <c r="L520" s="6" t="n">
        <v>-1.648486839032043</v>
      </c>
      <c r="M520" s="6" t="n">
        <v>-0.4585681714496699</v>
      </c>
      <c r="N520" s="6" t="n">
        <v>1.476521539801904</v>
      </c>
      <c r="O520" s="6" t="n">
        <v>-1.163816960644265</v>
      </c>
      <c r="P520" s="6" t="n">
        <v>-3.692550324370778</v>
      </c>
      <c r="Q520" s="6" t="n">
        <v>-3.372140110307292</v>
      </c>
      <c r="R520" s="6" t="n">
        <v>0.8280798907684709</v>
      </c>
      <c r="S520" s="6" t="n">
        <v>0.1269324281398814</v>
      </c>
      <c r="T520" s="6" t="n">
        <v>0.1897083539888792</v>
      </c>
      <c r="U520" s="6" t="n">
        <v>2.051448136384231</v>
      </c>
      <c r="V520" s="6" t="n">
        <v>1.354717444883887</v>
      </c>
      <c r="W520" s="6" t="n">
        <v>-4.365278709350778</v>
      </c>
      <c r="X520" s="6" t="n">
        <v>-3.681831950496674</v>
      </c>
      <c r="Y520" s="6" t="n">
        <v>-0.900840774019556</v>
      </c>
      <c r="Z520" s="6" t="n">
        <v>-1.622776737407724</v>
      </c>
      <c r="AA520" s="6" t="n">
        <v>-0.2232595547218464</v>
      </c>
      <c r="AB520" s="6" t="n">
        <v>2.907681021821338</v>
      </c>
      <c r="AC520" s="6" t="n">
        <v>2.386575031499841</v>
      </c>
      <c r="AD520" s="6" t="n">
        <v>-2.962419159325349</v>
      </c>
      <c r="AE520" s="6" t="n">
        <v>1.555403930548182</v>
      </c>
      <c r="AF520" s="6" t="n">
        <v>0.8280489849482171</v>
      </c>
      <c r="AG520" s="6" t="n">
        <v>-2.501046241398659</v>
      </c>
      <c r="AH520" s="6" t="n">
        <v>2.671325680142131</v>
      </c>
      <c r="AI520" s="6" t="n">
        <v>1.794523314242939</v>
      </c>
      <c r="AJ520" s="6" t="n">
        <v>68.87263087570857</v>
      </c>
      <c r="AK520" s="6" t="n">
        <v>0.1699005221505472</v>
      </c>
      <c r="AL520" s="6" t="n">
        <v>1.093404053872992</v>
      </c>
      <c r="AN520" s="6" t="n">
        <v>1.326244368355168</v>
      </c>
      <c r="AO520" s="6" t="n">
        <v>1.32659062574534</v>
      </c>
      <c r="AP520" s="6" t="n">
        <v>0.1278128657383965</v>
      </c>
      <c r="AQ520" s="6" t="n">
        <v>0</v>
      </c>
      <c r="AR520" s="6" t="n">
        <v>0</v>
      </c>
    </row>
    <row r="521">
      <c r="D521" t="inlineStr">
        <is>
          <t>Run 209</t>
        </is>
      </c>
      <c r="J521" s="6" t="n">
        <v>2.080028577589022</v>
      </c>
      <c r="K521" s="6" t="n">
        <v>-1.916574999420348</v>
      </c>
      <c r="L521" s="6" t="n">
        <v>-0.8076724503541792</v>
      </c>
      <c r="M521" s="6" t="n">
        <v>0.2271056980282307</v>
      </c>
      <c r="N521" s="6" t="n">
        <v>-0.4965583504318281</v>
      </c>
      <c r="O521" s="6" t="n">
        <v>1.953936704474816</v>
      </c>
      <c r="P521" s="6" t="n">
        <v>2.312098236801625</v>
      </c>
      <c r="Q521" s="6" t="n">
        <v>0.1376289750323623</v>
      </c>
      <c r="R521" s="6" t="n">
        <v>-0.5731183241023996</v>
      </c>
      <c r="S521" s="6" t="n">
        <v>-1.888309774262455</v>
      </c>
      <c r="T521" s="6" t="n">
        <v>1.558256663330103</v>
      </c>
      <c r="U521" s="6" t="n">
        <v>-0.945494070645401</v>
      </c>
      <c r="V521" s="6" t="n">
        <v>1.337085189324747</v>
      </c>
      <c r="W521" s="6" t="n">
        <v>-1.131651605759866</v>
      </c>
      <c r="X521" s="6" t="n">
        <v>0.2892124529941918</v>
      </c>
      <c r="Y521" s="6" t="n">
        <v>-1.490418639413971</v>
      </c>
      <c r="Z521" s="6" t="n">
        <v>-4.019130323715095</v>
      </c>
      <c r="AA521" s="6" t="n">
        <v>-1.899325393455751</v>
      </c>
      <c r="AB521" s="6" t="n">
        <v>-0.9236246729697907</v>
      </c>
      <c r="AC521" s="6" t="n">
        <v>-1.969482640118962</v>
      </c>
      <c r="AD521" s="6" t="n">
        <v>-1.677543360412666</v>
      </c>
      <c r="AE521" s="6" t="n">
        <v>1.622918835097412</v>
      </c>
      <c r="AF521" s="6" t="n">
        <v>-0.6581167552278682</v>
      </c>
      <c r="AG521" s="6" t="n">
        <v>-1.696409434386213</v>
      </c>
      <c r="AH521" s="6" t="n">
        <v>-1.503274179526388</v>
      </c>
      <c r="AI521" s="6" t="n">
        <v>0.7432101903872054</v>
      </c>
      <c r="AJ521" s="6" t="n">
        <v>72.760591110319</v>
      </c>
      <c r="AK521" s="6" t="n">
        <v>0.140035447280158</v>
      </c>
      <c r="AL521" s="6" t="n">
        <v>1.01419393460923</v>
      </c>
      <c r="AN521" s="6" t="n">
        <v>1.353618612921701</v>
      </c>
      <c r="AO521" s="6" t="n">
        <v>1.353618612921701</v>
      </c>
      <c r="AP521" s="6" t="n">
        <v>0.136027549248781</v>
      </c>
      <c r="AQ521" s="6" t="n">
        <v>0</v>
      </c>
      <c r="AR521" s="6" t="n">
        <v>0</v>
      </c>
    </row>
    <row r="522">
      <c r="D522" t="inlineStr">
        <is>
          <t>Run 210</t>
        </is>
      </c>
      <c r="J522" s="6" t="n">
        <v>-1.517700627994773</v>
      </c>
      <c r="K522" s="6" t="n">
        <v>-0.161448817421496</v>
      </c>
      <c r="L522" s="6" t="n">
        <v>-1.105867176939864</v>
      </c>
      <c r="M522" s="6" t="n">
        <v>-0.1841131675956869</v>
      </c>
      <c r="N522" s="6" t="n">
        <v>-3.309304449488678</v>
      </c>
      <c r="O522" s="6" t="n">
        <v>1.972650603108794</v>
      </c>
      <c r="P522" s="6" t="n">
        <v>-2.391145133916225</v>
      </c>
      <c r="Q522" s="6" t="n">
        <v>-1.297787874758228</v>
      </c>
      <c r="R522" s="6" t="n">
        <v>0.0389878662817283</v>
      </c>
      <c r="S522" s="6" t="n">
        <v>1.863368701504891</v>
      </c>
      <c r="T522" s="6" t="n">
        <v>1.711298289834229</v>
      </c>
      <c r="U522" s="6" t="n">
        <v>1.69303835369983</v>
      </c>
      <c r="V522" s="6" t="n">
        <v>3.641306746743373</v>
      </c>
      <c r="W522" s="6" t="n">
        <v>1.542569096382622</v>
      </c>
      <c r="X522" s="6" t="n">
        <v>-2.050089437126595</v>
      </c>
      <c r="Y522" s="6" t="n">
        <v>-0.2979065703510224</v>
      </c>
      <c r="Z522" s="6" t="n">
        <v>-2.135209962492318</v>
      </c>
      <c r="AA522" s="6" t="n">
        <v>-0.757023682676777</v>
      </c>
      <c r="AB522" s="6" t="n">
        <v>-1.398714100559559</v>
      </c>
      <c r="AC522" s="6" t="n">
        <v>4.749661632910195</v>
      </c>
      <c r="AD522" s="6" t="n">
        <v>-1.671043431218956</v>
      </c>
      <c r="AE522" s="6" t="n">
        <v>4.452319965884519</v>
      </c>
      <c r="AF522" s="6" t="n">
        <v>-2.303043871076315</v>
      </c>
      <c r="AG522" s="6" t="n">
        <v>-0.3762053175234717</v>
      </c>
      <c r="AH522" s="6" t="n">
        <v>-0.1552716470974914</v>
      </c>
      <c r="AI522" s="6" t="n">
        <v>-0.402933549787012</v>
      </c>
      <c r="AJ522" s="6" t="n">
        <v>82.86579064303024</v>
      </c>
      <c r="AK522" s="6" t="n">
        <v>0.1017130470913309</v>
      </c>
      <c r="AL522" s="6" t="n">
        <v>1.101702300549226</v>
      </c>
      <c r="AN522" s="6" t="n">
        <v>1.332482662046195</v>
      </c>
      <c r="AO522" s="6" t="n">
        <v>1.33314769783736</v>
      </c>
      <c r="AP522" s="6" t="n">
        <v>0.1300886357627506</v>
      </c>
      <c r="AQ522" s="6" t="n">
        <v>0</v>
      </c>
      <c r="AR522" s="6" t="n">
        <v>0</v>
      </c>
    </row>
    <row r="523">
      <c r="D523" t="inlineStr">
        <is>
          <t>Run 211</t>
        </is>
      </c>
      <c r="J523" s="6" t="n">
        <v>-0.4883618560768513</v>
      </c>
      <c r="K523" s="6" t="n">
        <v>0.2658965834148959</v>
      </c>
      <c r="L523" s="6" t="n">
        <v>0.2890621906095212</v>
      </c>
      <c r="M523" s="6" t="n">
        <v>1.79902087600953</v>
      </c>
      <c r="N523" s="6" t="n">
        <v>0.948745798057503</v>
      </c>
      <c r="O523" s="6" t="n">
        <v>-0.03198286387250263</v>
      </c>
      <c r="P523" s="6" t="n">
        <v>-1.599114066436933</v>
      </c>
      <c r="Q523" s="6" t="n">
        <v>-0.5352299304751421</v>
      </c>
      <c r="R523" s="6" t="n">
        <v>1.799400171602469</v>
      </c>
      <c r="S523" s="6" t="n">
        <v>-2.326524751706149</v>
      </c>
      <c r="T523" s="6" t="n">
        <v>0.1839610004145402</v>
      </c>
      <c r="U523" s="6" t="n">
        <v>-0.3850112817086506</v>
      </c>
      <c r="V523" s="6" t="n">
        <v>-5.130013041272302</v>
      </c>
      <c r="W523" s="6" t="n">
        <v>-2.141637264816486</v>
      </c>
      <c r="X523" s="6" t="n">
        <v>2.638354767192743</v>
      </c>
      <c r="Y523" s="6" t="n">
        <v>3.43233800543492</v>
      </c>
      <c r="Z523" s="6" t="n">
        <v>1.859428539104954</v>
      </c>
      <c r="AA523" s="6" t="n">
        <v>-0.375201794106628</v>
      </c>
      <c r="AB523" s="6" t="n">
        <v>-1.602292655098835</v>
      </c>
      <c r="AC523" s="6" t="n">
        <v>-0.4450297134761068</v>
      </c>
      <c r="AD523" s="6" t="n">
        <v>-0.7222025053696658</v>
      </c>
      <c r="AE523" s="6" t="n">
        <v>3.783125590491882</v>
      </c>
      <c r="AF523" s="6" t="n">
        <v>2.350195574314932</v>
      </c>
      <c r="AG523" s="6" t="n">
        <v>-5.158432789513305</v>
      </c>
      <c r="AH523" s="6" t="n">
        <v>0.8949869469392436</v>
      </c>
      <c r="AI523" s="6" t="n">
        <v>3.966678301093778</v>
      </c>
      <c r="AJ523" s="6" t="n">
        <v>81.1100647769867</v>
      </c>
      <c r="AK523" s="6" t="n">
        <v>0.1258820598134645</v>
      </c>
      <c r="AL523" s="6" t="n">
        <v>1.030130153346481</v>
      </c>
      <c r="AN523" s="6" t="n">
        <v>1.35631615450089</v>
      </c>
      <c r="AO523" s="6" t="n">
        <v>1.35631615450089</v>
      </c>
      <c r="AP523" s="6" t="n">
        <v>0.1349839722091195</v>
      </c>
      <c r="AQ523" s="6" t="n">
        <v>0</v>
      </c>
      <c r="AR523" s="6" t="n">
        <v>0</v>
      </c>
    </row>
    <row r="524">
      <c r="D524" t="inlineStr">
        <is>
          <t>Run 212</t>
        </is>
      </c>
      <c r="J524" s="6" t="n">
        <v>-1.402908521919164</v>
      </c>
      <c r="K524" s="6" t="n">
        <v>0.4367081120682222</v>
      </c>
      <c r="L524" s="6" t="n">
        <v>1.349929611690536</v>
      </c>
      <c r="M524" s="6" t="n">
        <v>-1.729415529206623</v>
      </c>
      <c r="N524" s="6" t="n">
        <v>1.999678065820116</v>
      </c>
      <c r="O524" s="6" t="n">
        <v>5</v>
      </c>
      <c r="P524" s="6" t="n">
        <v>-0.7241311222254048</v>
      </c>
      <c r="Q524" s="6" t="n">
        <v>0.06063939699310634</v>
      </c>
      <c r="R524" s="6" t="n">
        <v>0.1953378515888876</v>
      </c>
      <c r="S524" s="6" t="n">
        <v>-1.728109620627457</v>
      </c>
      <c r="T524" s="6" t="n">
        <v>-2.853362722371243</v>
      </c>
      <c r="U524" s="6" t="n">
        <v>-1.3050686881996</v>
      </c>
      <c r="V524" s="6" t="n">
        <v>-1.03393878300387</v>
      </c>
      <c r="W524" s="6" t="n">
        <v>-1.935819069214576</v>
      </c>
      <c r="X524" s="6" t="n">
        <v>-2.915025547562202</v>
      </c>
      <c r="Y524" s="6" t="n">
        <v>0.9668757830771547</v>
      </c>
      <c r="Z524" s="6" t="n">
        <v>0.2027292863633681</v>
      </c>
      <c r="AA524" s="6" t="n">
        <v>0.09094740273530189</v>
      </c>
      <c r="AB524" s="6" t="n">
        <v>2.571931950482008</v>
      </c>
      <c r="AC524" s="6" t="n">
        <v>0.9708328470435557</v>
      </c>
      <c r="AD524" s="6" t="n">
        <v>0.4142419486550457</v>
      </c>
      <c r="AE524" s="6" t="n">
        <v>-0.9617913469991495</v>
      </c>
      <c r="AF524" s="6" t="n">
        <v>-3.549216337068247</v>
      </c>
      <c r="AG524" s="6" t="n">
        <v>1.866537980151341</v>
      </c>
      <c r="AH524" s="6" t="n">
        <v>1.568910682214593</v>
      </c>
      <c r="AI524" s="6" t="n">
        <v>-0.1575863093453697</v>
      </c>
      <c r="AJ524" s="6" t="n">
        <v>63.75034810240025</v>
      </c>
      <c r="AK524" s="6" t="n">
        <v>0.1205063356319029</v>
      </c>
      <c r="AL524" s="6" t="n">
        <v>0.985394602968572</v>
      </c>
      <c r="AN524" s="6" t="n">
        <v>1.354343253316189</v>
      </c>
      <c r="AO524" s="6" t="n">
        <v>1.355474139302343</v>
      </c>
      <c r="AP524" s="6" t="n">
        <v>0.1402805906051958</v>
      </c>
      <c r="AQ524" s="6" t="n">
        <v>0</v>
      </c>
      <c r="AR524" s="6" t="n">
        <v>0</v>
      </c>
    </row>
    <row r="525">
      <c r="D525" t="inlineStr">
        <is>
          <t>Run 213</t>
        </is>
      </c>
      <c r="J525" s="6" t="n">
        <v>0.5214324353781123</v>
      </c>
      <c r="K525" s="6" t="n">
        <v>1.798071069701379</v>
      </c>
      <c r="L525" s="6" t="n">
        <v>4.198962396341521</v>
      </c>
      <c r="M525" s="6" t="n">
        <v>2.846714008236778</v>
      </c>
      <c r="N525" s="6" t="n">
        <v>-1.152223504108387</v>
      </c>
      <c r="O525" s="6" t="n">
        <v>-2.240540622424296</v>
      </c>
      <c r="P525" s="6" t="n">
        <v>-1.408597195942226</v>
      </c>
      <c r="Q525" s="6" t="n">
        <v>2.101456964713253</v>
      </c>
      <c r="R525" s="6" t="n">
        <v>-0.2376894582007597</v>
      </c>
      <c r="S525" s="6" t="n">
        <v>0.6170741138185609</v>
      </c>
      <c r="T525" s="6" t="n">
        <v>3.193071457018079</v>
      </c>
      <c r="U525" s="6" t="n">
        <v>-1.816326001929981</v>
      </c>
      <c r="V525" s="6" t="n">
        <v>-0.3483170691745504</v>
      </c>
      <c r="W525" s="6" t="n">
        <v>1.275696105983292</v>
      </c>
      <c r="X525" s="6" t="n">
        <v>0.04544575641879426</v>
      </c>
      <c r="Y525" s="6" t="n">
        <v>2.078351019721239</v>
      </c>
      <c r="Z525" s="6" t="n">
        <v>2.422893989227428</v>
      </c>
      <c r="AA525" s="6" t="n">
        <v>-1.382419810682713</v>
      </c>
      <c r="AB525" s="6" t="n">
        <v>1.109182147665324</v>
      </c>
      <c r="AC525" s="6" t="n">
        <v>-3.593922783283864</v>
      </c>
      <c r="AD525" s="6" t="n">
        <v>1.28288768172756</v>
      </c>
      <c r="AE525" s="6" t="n">
        <v>-3.369127466465959</v>
      </c>
      <c r="AF525" s="6" t="n">
        <v>0.1460180585282673</v>
      </c>
      <c r="AG525" s="6" t="n">
        <v>-0.0996339388905348</v>
      </c>
      <c r="AH525" s="6" t="n">
        <v>-2.1965737417297</v>
      </c>
      <c r="AI525" s="6" t="n">
        <v>0.9076009463026938</v>
      </c>
      <c r="AJ525" s="6" t="n">
        <v>80.4789639154703</v>
      </c>
      <c r="AK525" s="6" t="n">
        <v>0.2339468815489608</v>
      </c>
      <c r="AL525" s="6" t="n">
        <v>1.086308542299522</v>
      </c>
      <c r="AN525" s="6" t="n">
        <v>1.323962210189061</v>
      </c>
      <c r="AO525" s="6" t="n">
        <v>1.325402617202415</v>
      </c>
      <c r="AP525" s="6" t="n">
        <v>0.1272288710361329</v>
      </c>
      <c r="AQ525" s="6" t="n">
        <v>0</v>
      </c>
      <c r="AR525" s="6" t="n">
        <v>0</v>
      </c>
    </row>
    <row r="526">
      <c r="D526" t="inlineStr">
        <is>
          <t>Run 214</t>
        </is>
      </c>
      <c r="J526" s="6" t="n">
        <v>-1.89749421159248</v>
      </c>
      <c r="K526" s="6" t="n">
        <v>0.1304633492152122</v>
      </c>
      <c r="L526" s="6" t="n">
        <v>-1.596336355960809</v>
      </c>
      <c r="M526" s="6" t="n">
        <v>0.9634124488174721</v>
      </c>
      <c r="N526" s="6" t="n">
        <v>1.286092084163244</v>
      </c>
      <c r="O526" s="6" t="n">
        <v>0.0559633655836199</v>
      </c>
      <c r="P526" s="6" t="n">
        <v>-0.821829401056136</v>
      </c>
      <c r="Q526" s="6" t="n">
        <v>1.467113596814799</v>
      </c>
      <c r="R526" s="6" t="n">
        <v>2.409823742181898</v>
      </c>
      <c r="S526" s="6" t="n">
        <v>-0.6850639293228588</v>
      </c>
      <c r="T526" s="6" t="n">
        <v>2.78505893846911</v>
      </c>
      <c r="U526" s="6" t="n">
        <v>0.1533917664969244</v>
      </c>
      <c r="V526" s="6" t="n">
        <v>5</v>
      </c>
      <c r="W526" s="6" t="n">
        <v>-1.44456459474162</v>
      </c>
      <c r="X526" s="6" t="n">
        <v>-0.2036991126537654</v>
      </c>
      <c r="Y526" s="6" t="n">
        <v>1.151405638395586</v>
      </c>
      <c r="Z526" s="6" t="n">
        <v>0.2199526366713069</v>
      </c>
      <c r="AA526" s="6" t="n">
        <v>1.224253625252111</v>
      </c>
      <c r="AB526" s="6" t="n">
        <v>-2.822877075066591</v>
      </c>
      <c r="AC526" s="6" t="n">
        <v>0.5428129863937911</v>
      </c>
      <c r="AD526" s="6" t="n">
        <v>-1.46402132151769</v>
      </c>
      <c r="AE526" s="6" t="n">
        <v>-0.3203082518272449</v>
      </c>
      <c r="AF526" s="6" t="n">
        <v>0.4000975594919033</v>
      </c>
      <c r="AG526" s="6" t="n">
        <v>-4.382649237655005</v>
      </c>
      <c r="AH526" s="6" t="n">
        <v>0.1498736372936541</v>
      </c>
      <c r="AI526" s="6" t="n">
        <v>-2.944717201837353</v>
      </c>
      <c r="AJ526" s="6" t="n">
        <v>80.74740710592252</v>
      </c>
      <c r="AK526" s="6" t="n">
        <v>0.1409697729548335</v>
      </c>
      <c r="AL526" s="6" t="n">
        <v>1.083422307097753</v>
      </c>
      <c r="AN526" s="6" t="n">
        <v>1.335269655490045</v>
      </c>
      <c r="AO526" s="6" t="n">
        <v>1.335629508655528</v>
      </c>
      <c r="AP526" s="6" t="n">
        <v>0.1300679209829491</v>
      </c>
      <c r="AQ526" s="6" t="n">
        <v>0</v>
      </c>
      <c r="AR526" s="6" t="n">
        <v>0</v>
      </c>
    </row>
    <row r="527">
      <c r="D527" t="inlineStr">
        <is>
          <t>Run 215</t>
        </is>
      </c>
      <c r="J527" s="6" t="n">
        <v>-3.372274344966711</v>
      </c>
      <c r="K527" s="6" t="n">
        <v>6.562380362099182e-06</v>
      </c>
      <c r="L527" s="6" t="n">
        <v>-0.9100831607415211</v>
      </c>
      <c r="M527" s="6" t="n">
        <v>3.322306200727709</v>
      </c>
      <c r="N527" s="6" t="n">
        <v>4.186619005048434</v>
      </c>
      <c r="O527" s="6" t="n">
        <v>0.3780832535907674</v>
      </c>
      <c r="P527" s="6" t="n">
        <v>-2.010965401361653</v>
      </c>
      <c r="Q527" s="6" t="n">
        <v>1.22331423547591</v>
      </c>
      <c r="R527" s="6" t="n">
        <v>1.749261414100358</v>
      </c>
      <c r="S527" s="6" t="n">
        <v>-0.8185007739931756</v>
      </c>
      <c r="T527" s="6" t="n">
        <v>-0.5076504019068713</v>
      </c>
      <c r="U527" s="6" t="n">
        <v>3.609051740331349</v>
      </c>
      <c r="V527" s="6" t="n">
        <v>-0.343407460827011</v>
      </c>
      <c r="W527" s="6" t="n">
        <v>0.2578502042822222</v>
      </c>
      <c r="X527" s="6" t="n">
        <v>-4.04142883628852</v>
      </c>
      <c r="Y527" s="6" t="n">
        <v>1.126027594548256</v>
      </c>
      <c r="Z527" s="6" t="n">
        <v>-0.6890386572093705</v>
      </c>
      <c r="AA527" s="6" t="n">
        <v>-2.44245618375321</v>
      </c>
      <c r="AB527" s="6" t="n">
        <v>1.402976591582571</v>
      </c>
      <c r="AC527" s="6" t="n">
        <v>1.46605577546976</v>
      </c>
      <c r="AD527" s="6" t="n">
        <v>3.193678260551169</v>
      </c>
      <c r="AE527" s="6" t="n">
        <v>-4.153351472610476</v>
      </c>
      <c r="AF527" s="6" t="n">
        <v>3.2725629833646</v>
      </c>
      <c r="AG527" s="6" t="n">
        <v>-3.193000178887864</v>
      </c>
      <c r="AH527" s="6" t="n">
        <v>0.1177718083006942</v>
      </c>
      <c r="AI527" s="6" t="n">
        <v>-1.669384480242224</v>
      </c>
      <c r="AJ527" s="6" t="n">
        <v>74.2725302120747</v>
      </c>
      <c r="AK527" s="6" t="n">
        <v>0.1187674736153494</v>
      </c>
      <c r="AL527" s="6" t="n">
        <v>1.030233098570129</v>
      </c>
      <c r="AN527" s="6" t="n">
        <v>1.351858140028652</v>
      </c>
      <c r="AO527" s="6" t="n">
        <v>1.352381992352421</v>
      </c>
      <c r="AP527" s="6" t="n">
        <v>0.1348029829542457</v>
      </c>
      <c r="AQ527" s="6" t="n">
        <v>0</v>
      </c>
      <c r="AR527" s="6" t="n">
        <v>0</v>
      </c>
    </row>
    <row r="528">
      <c r="D528" t="inlineStr">
        <is>
          <t>Run 216</t>
        </is>
      </c>
      <c r="J528" s="6" t="n">
        <v>1.658173007486545</v>
      </c>
      <c r="K528" s="6" t="n">
        <v>-0.9838060663662697</v>
      </c>
      <c r="L528" s="6" t="n">
        <v>2.267949859592191</v>
      </c>
      <c r="M528" s="6" t="n">
        <v>-1.26851365060571</v>
      </c>
      <c r="N528" s="6" t="n">
        <v>-0.5504553928968936</v>
      </c>
      <c r="O528" s="6" t="n">
        <v>-0.06374604150137222</v>
      </c>
      <c r="P528" s="6" t="n">
        <v>-0.6746666546684279</v>
      </c>
      <c r="Q528" s="6" t="n">
        <v>2.33166575646025</v>
      </c>
      <c r="R528" s="6" t="n">
        <v>-0.9727076078717929</v>
      </c>
      <c r="S528" s="6" t="n">
        <v>-2.774070696543812</v>
      </c>
      <c r="T528" s="6" t="n">
        <v>0.06380961249245772</v>
      </c>
      <c r="U528" s="6" t="n">
        <v>-4.147074274018172</v>
      </c>
      <c r="V528" s="6" t="n">
        <v>2.263067443887607</v>
      </c>
      <c r="W528" s="6" t="n">
        <v>1.825281747538821</v>
      </c>
      <c r="X528" s="6" t="n">
        <v>-0.6718455765205765</v>
      </c>
      <c r="Y528" s="6" t="n">
        <v>-0.1417775620401784</v>
      </c>
      <c r="Z528" s="6" t="n">
        <v>2.994688971532761</v>
      </c>
      <c r="AA528" s="6" t="n">
        <v>1.161570643421366</v>
      </c>
      <c r="AB528" s="6" t="n">
        <v>-0.1862610438086423</v>
      </c>
      <c r="AC528" s="6" t="n">
        <v>1.993415125129611</v>
      </c>
      <c r="AD528" s="6" t="n">
        <v>3.115169417138401</v>
      </c>
      <c r="AE528" s="6" t="n">
        <v>0.3320869690385551</v>
      </c>
      <c r="AF528" s="6" t="n">
        <v>-2.686612341782425</v>
      </c>
      <c r="AG528" s="6" t="n">
        <v>3.090292553546634</v>
      </c>
      <c r="AH528" s="6" t="n">
        <v>-4.27817524863546</v>
      </c>
      <c r="AI528" s="6" t="n">
        <v>-0.2254845823471517</v>
      </c>
      <c r="AJ528" s="6" t="n">
        <v>62.00115619870326</v>
      </c>
      <c r="AK528" s="6" t="n">
        <v>0.1016019963882751</v>
      </c>
      <c r="AL528" s="6" t="n">
        <v>1.042840301387825</v>
      </c>
      <c r="AN528" s="6" t="n">
        <v>1.340150874679725</v>
      </c>
      <c r="AO528" s="6" t="n">
        <v>1.342586936434363</v>
      </c>
      <c r="AP528" s="6" t="n">
        <v>0.132593702421044</v>
      </c>
      <c r="AQ528" s="6" t="n">
        <v>0</v>
      </c>
      <c r="AR528" s="6" t="n">
        <v>0</v>
      </c>
    </row>
    <row r="529">
      <c r="D529" t="inlineStr">
        <is>
          <t>Run 217</t>
        </is>
      </c>
      <c r="J529" s="6" t="n">
        <v>0.3147601682229357</v>
      </c>
      <c r="K529" s="6" t="n">
        <v>-0.8125727067627528</v>
      </c>
      <c r="L529" s="6" t="n">
        <v>-0.0003989912526564771</v>
      </c>
      <c r="M529" s="6" t="n">
        <v>-1.834797555123904</v>
      </c>
      <c r="N529" s="6" t="n">
        <v>2.203007290973209</v>
      </c>
      <c r="O529" s="6" t="n">
        <v>-0.5012457605340943</v>
      </c>
      <c r="P529" s="6" t="n">
        <v>-0.8544891900995795</v>
      </c>
      <c r="Q529" s="6" t="n">
        <v>-1.745968427953639</v>
      </c>
      <c r="R529" s="6" t="n">
        <v>-0.001448390691149582</v>
      </c>
      <c r="S529" s="6" t="n">
        <v>-3.218297756819854</v>
      </c>
      <c r="T529" s="6" t="n">
        <v>-3.084859148995904</v>
      </c>
      <c r="U529" s="6" t="n">
        <v>-2.28113981383196</v>
      </c>
      <c r="V529" s="6" t="n">
        <v>-0.04115898514195708</v>
      </c>
      <c r="W529" s="6" t="n">
        <v>-0.606294274986702</v>
      </c>
      <c r="X529" s="6" t="n">
        <v>0.671584220707709</v>
      </c>
      <c r="Y529" s="6" t="n">
        <v>0.42622327875197</v>
      </c>
      <c r="Z529" s="6" t="n">
        <v>2.198998203547692</v>
      </c>
      <c r="AA529" s="6" t="n">
        <v>3.956705530959399</v>
      </c>
      <c r="AB529" s="6" t="n">
        <v>1.712304980335965</v>
      </c>
      <c r="AC529" s="6" t="n">
        <v>-1.407855201953848</v>
      </c>
      <c r="AD529" s="6" t="n">
        <v>-0.2177203378215597</v>
      </c>
      <c r="AE529" s="6" t="n">
        <v>-1.013723403707497</v>
      </c>
      <c r="AF529" s="6" t="n">
        <v>-2.741080255337076</v>
      </c>
      <c r="AG529" s="6" t="n">
        <v>1.283682231260584</v>
      </c>
      <c r="AH529" s="6" t="n">
        <v>-1.275944486632482</v>
      </c>
      <c r="AI529" s="6" t="n">
        <v>0.01142273351899938</v>
      </c>
      <c r="AJ529" s="6" t="n">
        <v>74.71742148154267</v>
      </c>
      <c r="AK529" s="6" t="n">
        <v>0.05176749252398767</v>
      </c>
      <c r="AL529" s="6" t="n">
        <v>1.047694234597814</v>
      </c>
      <c r="AN529" s="6" t="n">
        <v>1.34032177615245</v>
      </c>
      <c r="AO529" s="6" t="n">
        <v>1.345685170033957</v>
      </c>
      <c r="AP529" s="6" t="n">
        <v>0.1342407584630474</v>
      </c>
      <c r="AQ529" s="6" t="n">
        <v>0</v>
      </c>
      <c r="AR529" s="6" t="n">
        <v>0</v>
      </c>
    </row>
    <row r="530">
      <c r="D530" t="inlineStr">
        <is>
          <t>Run 218</t>
        </is>
      </c>
      <c r="J530" s="6" t="n">
        <v>0.007357422623256004</v>
      </c>
      <c r="K530" s="6" t="n">
        <v>-3.030947988083288</v>
      </c>
      <c r="L530" s="6" t="n">
        <v>-1.7690771554913</v>
      </c>
      <c r="M530" s="6" t="n">
        <v>0.2770936474773095</v>
      </c>
      <c r="N530" s="6" t="n">
        <v>1.228828164590067</v>
      </c>
      <c r="O530" s="6" t="n">
        <v>-1.179226518560354</v>
      </c>
      <c r="P530" s="6" t="n">
        <v>-1.022605416230035</v>
      </c>
      <c r="Q530" s="6" t="n">
        <v>-2.313053402260375</v>
      </c>
      <c r="R530" s="6" t="n">
        <v>-3.024106087357355</v>
      </c>
      <c r="S530" s="6" t="n">
        <v>0.8939097319724136</v>
      </c>
      <c r="T530" s="6" t="n">
        <v>1.907790983448471</v>
      </c>
      <c r="U530" s="6" t="n">
        <v>-1.38435234800112</v>
      </c>
      <c r="V530" s="6" t="n">
        <v>-1.673169248786831</v>
      </c>
      <c r="W530" s="6" t="n">
        <v>1.348923073390294</v>
      </c>
      <c r="X530" s="6" t="n">
        <v>0.5968902318530893</v>
      </c>
      <c r="Y530" s="6" t="n">
        <v>0.3994502448672031</v>
      </c>
      <c r="Z530" s="6" t="n">
        <v>2.078371248966271</v>
      </c>
      <c r="AA530" s="6" t="n">
        <v>1.525680426196131</v>
      </c>
      <c r="AB530" s="6" t="n">
        <v>1.798185782730513</v>
      </c>
      <c r="AC530" s="6" t="n">
        <v>0.5985111261083379</v>
      </c>
      <c r="AD530" s="6" t="n">
        <v>1.567704552858156</v>
      </c>
      <c r="AE530" s="6" t="n">
        <v>0.6335616915639034</v>
      </c>
      <c r="AF530" s="6" t="n">
        <v>2.169178465397569</v>
      </c>
      <c r="AG530" s="6" t="n">
        <v>-5.093466932016986</v>
      </c>
      <c r="AH530" s="6" t="n">
        <v>-1.363765024940146</v>
      </c>
      <c r="AI530" s="6" t="n">
        <v>0.9955229240412578</v>
      </c>
      <c r="AJ530" s="6" t="n">
        <v>68.54687171088901</v>
      </c>
      <c r="AK530" s="6" t="n">
        <v>0.08904931871087042</v>
      </c>
      <c r="AL530" s="6" t="n">
        <v>1.057606012073027</v>
      </c>
      <c r="AN530" s="6" t="n">
        <v>1.344793449538533</v>
      </c>
      <c r="AO530" s="6" t="n">
        <v>1.345466720105246</v>
      </c>
      <c r="AP530" s="6" t="n">
        <v>0.1320064573577877</v>
      </c>
      <c r="AQ530" s="6" t="n">
        <v>0</v>
      </c>
      <c r="AR530" s="6" t="n">
        <v>0</v>
      </c>
    </row>
    <row r="531">
      <c r="D531" t="inlineStr">
        <is>
          <t>Run 219</t>
        </is>
      </c>
      <c r="J531" s="6" t="n">
        <v>-2.93882256594819</v>
      </c>
      <c r="K531" s="6" t="n">
        <v>0.2576495093715968</v>
      </c>
      <c r="L531" s="6" t="n">
        <v>-1.589973760317407</v>
      </c>
      <c r="M531" s="6" t="n">
        <v>-2.599427274547255</v>
      </c>
      <c r="N531" s="6" t="n">
        <v>-0.4913496025851392</v>
      </c>
      <c r="O531" s="6" t="n">
        <v>-0.6668102905069037</v>
      </c>
      <c r="P531" s="6" t="n">
        <v>-0.2713008380236573</v>
      </c>
      <c r="Q531" s="6" t="n">
        <v>0.792421580339436</v>
      </c>
      <c r="R531" s="6" t="n">
        <v>-0.5809017099663509</v>
      </c>
      <c r="S531" s="6" t="n">
        <v>1.139986385896391</v>
      </c>
      <c r="T531" s="6" t="n">
        <v>-2.927743577765733</v>
      </c>
      <c r="U531" s="6" t="n">
        <v>0.6774054372119627</v>
      </c>
      <c r="V531" s="6" t="n">
        <v>-1.34637676740805</v>
      </c>
      <c r="W531" s="6" t="n">
        <v>3.669933312557934</v>
      </c>
      <c r="X531" s="6" t="n">
        <v>0.560251089014929</v>
      </c>
      <c r="Y531" s="6" t="n">
        <v>1.976254566134954</v>
      </c>
      <c r="Z531" s="6" t="n">
        <v>-1.380335320617303</v>
      </c>
      <c r="AA531" s="6" t="n">
        <v>0.8051278332247817</v>
      </c>
      <c r="AB531" s="6" t="n">
        <v>3.157598398917658</v>
      </c>
      <c r="AC531" s="6" t="n">
        <v>-1.256475681457488</v>
      </c>
      <c r="AD531" s="6" t="n">
        <v>-0.3507777585852608</v>
      </c>
      <c r="AE531" s="6" t="n">
        <v>2.399230076319717</v>
      </c>
      <c r="AF531" s="6" t="n">
        <v>-1.635999483004322</v>
      </c>
      <c r="AG531" s="6" t="n">
        <v>-1.207622865331996</v>
      </c>
      <c r="AH531" s="6" t="n">
        <v>0.5844641649071244</v>
      </c>
      <c r="AI531" s="6" t="n">
        <v>2.987923974694344</v>
      </c>
      <c r="AJ531" s="6" t="n">
        <v>79.9991526898456</v>
      </c>
      <c r="AK531" s="6" t="n">
        <v>0.1383692277554096</v>
      </c>
      <c r="AL531" s="6" t="n">
        <v>1.002442217622717</v>
      </c>
      <c r="AN531" s="6" t="n">
        <v>1.342598672208886</v>
      </c>
      <c r="AO531" s="6" t="n">
        <v>1.351690959235459</v>
      </c>
      <c r="AP531" s="6" t="n">
        <v>0.1388523024539628</v>
      </c>
      <c r="AQ531" s="6" t="n">
        <v>0</v>
      </c>
      <c r="AR531" s="6" t="n">
        <v>0</v>
      </c>
    </row>
    <row r="532">
      <c r="D532" t="inlineStr">
        <is>
          <t>Run 220</t>
        </is>
      </c>
      <c r="J532" s="6" t="n">
        <v>-4.205764321966221</v>
      </c>
      <c r="K532" s="6" t="n">
        <v>-1.337901277439805</v>
      </c>
      <c r="L532" s="6" t="n">
        <v>3.664506587668344</v>
      </c>
      <c r="M532" s="6" t="n">
        <v>-2.409288872220664</v>
      </c>
      <c r="N532" s="6" t="n">
        <v>-0.2212672850768506</v>
      </c>
      <c r="O532" s="6" t="n">
        <v>0.2133901875602602</v>
      </c>
      <c r="P532" s="6" t="n">
        <v>3.283314821038705</v>
      </c>
      <c r="Q532" s="6" t="n">
        <v>-0.2949909864642159</v>
      </c>
      <c r="R532" s="6" t="n">
        <v>-2.435827460990453</v>
      </c>
      <c r="S532" s="6" t="n">
        <v>0.2253261774869644</v>
      </c>
      <c r="T532" s="6" t="n">
        <v>-0.7907584954628933</v>
      </c>
      <c r="U532" s="6" t="n">
        <v>0.9649070561484322</v>
      </c>
      <c r="V532" s="6" t="n">
        <v>-0.8928449950104732</v>
      </c>
      <c r="W532" s="6" t="n">
        <v>0.2245657337515121</v>
      </c>
      <c r="X532" s="6" t="n">
        <v>-3.166281878749582</v>
      </c>
      <c r="Y532" s="6" t="n">
        <v>-3.016261614339858</v>
      </c>
      <c r="Z532" s="6" t="n">
        <v>3.790283301563901</v>
      </c>
      <c r="AA532" s="6" t="n">
        <v>1.702784957329867</v>
      </c>
      <c r="AB532" s="6" t="n">
        <v>2.632004139081578</v>
      </c>
      <c r="AC532" s="6" t="n">
        <v>-1.254468491717412</v>
      </c>
      <c r="AD532" s="6" t="n">
        <v>-0.7812237078275752</v>
      </c>
      <c r="AE532" s="6" t="n">
        <v>1.129859681117275</v>
      </c>
      <c r="AF532" s="6" t="n">
        <v>-3.566172294100211</v>
      </c>
      <c r="AG532" s="6" t="n">
        <v>1.254507196180093</v>
      </c>
      <c r="AH532" s="6" t="n">
        <v>-1.255733278314035</v>
      </c>
      <c r="AI532" s="6" t="n">
        <v>0.4203332213755699</v>
      </c>
      <c r="AJ532" s="6" t="n">
        <v>64.393713161281</v>
      </c>
      <c r="AK532" s="6" t="n">
        <v>0.2013598388093162</v>
      </c>
      <c r="AL532" s="6" t="n">
        <v>1.036776700293751</v>
      </c>
      <c r="AN532" s="6" t="n">
        <v>1.321681014265394</v>
      </c>
      <c r="AO532" s="6" t="n">
        <v>1.330038441422557</v>
      </c>
      <c r="AP532" s="6" t="n">
        <v>0.1310755388270773</v>
      </c>
      <c r="AQ532" s="6" t="n">
        <v>0</v>
      </c>
      <c r="AR532" s="6" t="n">
        <v>0</v>
      </c>
    </row>
    <row r="533">
      <c r="D533" t="inlineStr">
        <is>
          <t>Run 221</t>
        </is>
      </c>
      <c r="J533" s="6" t="n">
        <v>-0.05125999506443091</v>
      </c>
      <c r="K533" s="6" t="n">
        <v>1.568803115365736</v>
      </c>
      <c r="L533" s="6" t="n">
        <v>0.07158859321321021</v>
      </c>
      <c r="M533" s="6" t="n">
        <v>5</v>
      </c>
      <c r="N533" s="6" t="n">
        <v>-0.6828888472974656</v>
      </c>
      <c r="O533" s="6" t="n">
        <v>-0.1308380205631495</v>
      </c>
      <c r="P533" s="6" t="n">
        <v>-1.506982319378781</v>
      </c>
      <c r="Q533" s="6" t="n">
        <v>-0.01429940864486994</v>
      </c>
      <c r="R533" s="6" t="n">
        <v>-2.281971895775635</v>
      </c>
      <c r="S533" s="6" t="n">
        <v>-3.498613442417647</v>
      </c>
      <c r="T533" s="6" t="n">
        <v>-0.380776860435412</v>
      </c>
      <c r="U533" s="6" t="n">
        <v>0.5403580203671186</v>
      </c>
      <c r="V533" s="6" t="n">
        <v>-1.010681189525654</v>
      </c>
      <c r="W533" s="6" t="n">
        <v>-0.6582373692201388</v>
      </c>
      <c r="X533" s="6" t="n">
        <v>-1.464021683529275</v>
      </c>
      <c r="Y533" s="6" t="n">
        <v>-0.848360339150849</v>
      </c>
      <c r="Z533" s="6" t="n">
        <v>0.6169245974155406</v>
      </c>
      <c r="AA533" s="6" t="n">
        <v>-0.7441071767775961</v>
      </c>
      <c r="AB533" s="6" t="n">
        <v>-0.4973208116158777</v>
      </c>
      <c r="AC533" s="6" t="n">
        <v>-2.473371797062551</v>
      </c>
      <c r="AD533" s="6" t="n">
        <v>-0.7638118434468537</v>
      </c>
      <c r="AE533" s="6" t="n">
        <v>-0.5376052051029628</v>
      </c>
      <c r="AF533" s="6" t="n">
        <v>-1.708832654345745</v>
      </c>
      <c r="AG533" s="6" t="n">
        <v>-3.04232754742718</v>
      </c>
      <c r="AH533" s="6" t="n">
        <v>1.320573555541347</v>
      </c>
      <c r="AI533" s="6" t="n">
        <v>2.139423213189575</v>
      </c>
      <c r="AJ533" s="6" t="n">
        <v>65.32802410464285</v>
      </c>
      <c r="AK533" s="6" t="n">
        <v>0.1291597140898072</v>
      </c>
      <c r="AL533" s="6" t="n">
        <v>1.046170471672203</v>
      </c>
      <c r="AN533" s="6" t="n">
        <v>1.340027892833462</v>
      </c>
      <c r="AO533" s="6" t="n">
        <v>1.340812077292589</v>
      </c>
      <c r="AP533" s="6" t="n">
        <v>0.1319513306855294</v>
      </c>
      <c r="AQ533" s="6" t="n">
        <v>0</v>
      </c>
      <c r="AR533" s="6" t="n">
        <v>0</v>
      </c>
    </row>
    <row r="534">
      <c r="D534" t="inlineStr">
        <is>
          <t>Run 222</t>
        </is>
      </c>
      <c r="J534" s="6" t="n">
        <v>1.052189792382239</v>
      </c>
      <c r="K534" s="6" t="n">
        <v>-1.298419488633817</v>
      </c>
      <c r="L534" s="6" t="n">
        <v>0.1449958146219867</v>
      </c>
      <c r="M534" s="6" t="n">
        <v>-2.91805284032279</v>
      </c>
      <c r="N534" s="6" t="n">
        <v>3.279637254416776</v>
      </c>
      <c r="O534" s="6" t="n">
        <v>-0.272245255536374</v>
      </c>
      <c r="P534" s="6" t="n">
        <v>1.436544449845484</v>
      </c>
      <c r="Q534" s="6" t="n">
        <v>0.9244804212990867</v>
      </c>
      <c r="R534" s="6" t="n">
        <v>3.534545539747004</v>
      </c>
      <c r="S534" s="6" t="n">
        <v>2.099460659640241</v>
      </c>
      <c r="T534" s="6" t="n">
        <v>-0.5863206807036772</v>
      </c>
      <c r="U534" s="6" t="n">
        <v>-0.3230066681118328</v>
      </c>
      <c r="V534" s="6" t="n">
        <v>-0.6335853211692234</v>
      </c>
      <c r="W534" s="6" t="n">
        <v>1.586542504036052</v>
      </c>
      <c r="X534" s="6" t="n">
        <v>-1.274967448903481</v>
      </c>
      <c r="Y534" s="6" t="n">
        <v>0.3771363115875124</v>
      </c>
      <c r="Z534" s="6" t="n">
        <v>-2.429342655424297</v>
      </c>
      <c r="AA534" s="6" t="n">
        <v>2.598954597454899</v>
      </c>
      <c r="AB534" s="6" t="n">
        <v>-0.778856506925985</v>
      </c>
      <c r="AC534" s="6" t="n">
        <v>0.3651607933856229</v>
      </c>
      <c r="AD534" s="6" t="n">
        <v>-3.766784856746756</v>
      </c>
      <c r="AE534" s="6" t="n">
        <v>0.2628156351764898</v>
      </c>
      <c r="AF534" s="6" t="n">
        <v>-1.009833372499072</v>
      </c>
      <c r="AG534" s="6" t="n">
        <v>-0.9853159040430374</v>
      </c>
      <c r="AH534" s="6" t="n">
        <v>-1.91878273610862</v>
      </c>
      <c r="AI534" s="6" t="n">
        <v>-1.445673816590181</v>
      </c>
      <c r="AJ534" s="6" t="n">
        <v>65.02783675822549</v>
      </c>
      <c r="AK534" s="6" t="n">
        <v>0.1040203882541317</v>
      </c>
      <c r="AL534" s="6" t="n">
        <v>1.057573636364978</v>
      </c>
      <c r="AN534" s="6" t="n">
        <v>1.314474838780301</v>
      </c>
      <c r="AO534" s="6" t="n">
        <v>1.324768626919973</v>
      </c>
      <c r="AP534" s="6" t="n">
        <v>0.1314924084664624</v>
      </c>
      <c r="AQ534" s="6" t="n">
        <v>0</v>
      </c>
      <c r="AR534" s="6" t="n">
        <v>0</v>
      </c>
    </row>
    <row r="535">
      <c r="D535" t="inlineStr">
        <is>
          <t>Run 223</t>
        </is>
      </c>
      <c r="J535" s="6" t="n">
        <v>1.38725950443711</v>
      </c>
      <c r="K535" s="6" t="n">
        <v>2.345583499167273</v>
      </c>
      <c r="L535" s="6" t="n">
        <v>1.183071458258758</v>
      </c>
      <c r="M535" s="6" t="n">
        <v>-1.494864891301283</v>
      </c>
      <c r="N535" s="6" t="n">
        <v>1.59670218517389</v>
      </c>
      <c r="O535" s="6" t="n">
        <v>0.327660770325453</v>
      </c>
      <c r="P535" s="6" t="n">
        <v>-1.961333682890581</v>
      </c>
      <c r="Q535" s="6" t="n">
        <v>-2.72834265002244</v>
      </c>
      <c r="R535" s="6" t="n">
        <v>2.574269059747392</v>
      </c>
      <c r="S535" s="6" t="n">
        <v>1.530893409105112</v>
      </c>
      <c r="T535" s="6" t="n">
        <v>3.263744034136071</v>
      </c>
      <c r="U535" s="6" t="n">
        <v>-0.4391040073724963</v>
      </c>
      <c r="V535" s="6" t="n">
        <v>-0.7832481248549125</v>
      </c>
      <c r="W535" s="6" t="n">
        <v>3.407737384670077</v>
      </c>
      <c r="X535" s="6" t="n">
        <v>1.566691013886579</v>
      </c>
      <c r="Y535" s="6" t="n">
        <v>2.671941265029596</v>
      </c>
      <c r="Z535" s="6" t="n">
        <v>4.144635719364836</v>
      </c>
      <c r="AA535" s="6" t="n">
        <v>2.4379113440149</v>
      </c>
      <c r="AB535" s="6" t="n">
        <v>-0.7414276722704458</v>
      </c>
      <c r="AC535" s="6" t="n">
        <v>-0.0197855360246011</v>
      </c>
      <c r="AD535" s="6" t="n">
        <v>2.530939324243751</v>
      </c>
      <c r="AE535" s="6" t="n">
        <v>-3.297986311772415</v>
      </c>
      <c r="AF535" s="6" t="n">
        <v>-0.1899334096991092</v>
      </c>
      <c r="AG535" s="6" t="n">
        <v>1.519677637442455</v>
      </c>
      <c r="AH535" s="6" t="n">
        <v>-3.4224681781021</v>
      </c>
      <c r="AI535" s="6" t="n">
        <v>0.2952498941880946</v>
      </c>
      <c r="AJ535" s="6" t="n">
        <v>70.34313133287911</v>
      </c>
      <c r="AK535" s="6" t="n">
        <v>0.1455649212487608</v>
      </c>
      <c r="AL535" s="6" t="n">
        <v>1.035425950725569</v>
      </c>
      <c r="AN535" s="6" t="n">
        <v>1.340956128687316</v>
      </c>
      <c r="AO535" s="6" t="n">
        <v>1.34442383519922</v>
      </c>
      <c r="AP535" s="6" t="n">
        <v>0.1327455583590162</v>
      </c>
      <c r="AQ535" s="6" t="n">
        <v>0</v>
      </c>
      <c r="AR535" s="6" t="n">
        <v>0</v>
      </c>
    </row>
    <row r="536">
      <c r="D536" t="inlineStr">
        <is>
          <t>Run 224</t>
        </is>
      </c>
      <c r="J536" s="6" t="n">
        <v>-1.426700298057722</v>
      </c>
      <c r="K536" s="6" t="n">
        <v>0.7807537511421342</v>
      </c>
      <c r="L536" s="6" t="n">
        <v>-3.4306298937602</v>
      </c>
      <c r="M536" s="6" t="n">
        <v>-4.197174600398785</v>
      </c>
      <c r="N536" s="6" t="n">
        <v>5</v>
      </c>
      <c r="O536" s="6" t="n">
        <v>-1.466586829541602</v>
      </c>
      <c r="P536" s="6" t="n">
        <v>-0.2741960306344612</v>
      </c>
      <c r="Q536" s="6" t="n">
        <v>-1.3288976549058</v>
      </c>
      <c r="R536" s="6" t="n">
        <v>1.130194519464048</v>
      </c>
      <c r="S536" s="6" t="n">
        <v>-4.539522827915471</v>
      </c>
      <c r="T536" s="6" t="n">
        <v>-3.211689608301513</v>
      </c>
      <c r="U536" s="6" t="n">
        <v>1.387146731429079</v>
      </c>
      <c r="V536" s="6" t="n">
        <v>0.4260670010475018</v>
      </c>
      <c r="W536" s="6" t="n">
        <v>1.152007261421996</v>
      </c>
      <c r="X536" s="6" t="n">
        <v>-1.599617066039437</v>
      </c>
      <c r="Y536" s="6" t="n">
        <v>0.7585428618845961</v>
      </c>
      <c r="Z536" s="6" t="n">
        <v>-0.4521500915723488</v>
      </c>
      <c r="AA536" s="6" t="n">
        <v>-1.008088404667861</v>
      </c>
      <c r="AB536" s="6" t="n">
        <v>-0.3224506966457898</v>
      </c>
      <c r="AC536" s="6" t="n">
        <v>1.790555013030392</v>
      </c>
      <c r="AD536" s="6" t="n">
        <v>0.8240588903105012</v>
      </c>
      <c r="AE536" s="6" t="n">
        <v>-3.403526994374594</v>
      </c>
      <c r="AF536" s="6" t="n">
        <v>0.7943917091025372</v>
      </c>
      <c r="AG536" s="6" t="n">
        <v>3.060474684459427</v>
      </c>
      <c r="AH536" s="6" t="n">
        <v>-0.06911003218010058</v>
      </c>
      <c r="AI536" s="6" t="n">
        <v>5</v>
      </c>
      <c r="AJ536" s="6" t="n">
        <v>66.91486155354416</v>
      </c>
      <c r="AK536" s="6" t="n">
        <v>0.09433351014722495</v>
      </c>
      <c r="AL536" s="6" t="n">
        <v>1.056772793553396</v>
      </c>
      <c r="AN536" s="6" t="n">
        <v>1.293413787159954</v>
      </c>
      <c r="AO536" s="6" t="n">
        <v>1.312147017830095</v>
      </c>
      <c r="AP536" s="6" t="n">
        <v>0.1315464992714317</v>
      </c>
      <c r="AQ536" s="6" t="n">
        <v>0</v>
      </c>
      <c r="AR536" s="6" t="n">
        <v>0</v>
      </c>
    </row>
    <row r="537">
      <c r="D537" t="inlineStr">
        <is>
          <t>Run 225</t>
        </is>
      </c>
      <c r="J537" s="6" t="n">
        <v>-3.227799409312339</v>
      </c>
      <c r="K537" s="6" t="n">
        <v>-3.385403150597364</v>
      </c>
      <c r="L537" s="6" t="n">
        <v>-0.09867174418529542</v>
      </c>
      <c r="M537" s="6" t="n">
        <v>-1.921723168178577</v>
      </c>
      <c r="N537" s="6" t="n">
        <v>-1.815641133188401</v>
      </c>
      <c r="O537" s="6" t="n">
        <v>-0.08308301412597752</v>
      </c>
      <c r="P537" s="6" t="n">
        <v>-0.3418214160207558</v>
      </c>
      <c r="Q537" s="6" t="n">
        <v>1.909066680473716</v>
      </c>
      <c r="R537" s="6" t="n">
        <v>-0.41192260263442</v>
      </c>
      <c r="S537" s="6" t="n">
        <v>1.368050037473611</v>
      </c>
      <c r="T537" s="6" t="n">
        <v>4.378022780642236</v>
      </c>
      <c r="U537" s="6" t="n">
        <v>2.566214628632491</v>
      </c>
      <c r="V537" s="6" t="n">
        <v>0.4823294834505299</v>
      </c>
      <c r="W537" s="6" t="n">
        <v>-1.920373734539847</v>
      </c>
      <c r="X537" s="6" t="n">
        <v>-0.553764155892707</v>
      </c>
      <c r="Y537" s="6" t="n">
        <v>0.902973360802263</v>
      </c>
      <c r="Z537" s="6" t="n">
        <v>-0.169066057678789</v>
      </c>
      <c r="AA537" s="6" t="n">
        <v>2.065122410921598</v>
      </c>
      <c r="AB537" s="6" t="n">
        <v>0.5127579529455009</v>
      </c>
      <c r="AC537" s="6" t="n">
        <v>1.510245590257755</v>
      </c>
      <c r="AD537" s="6" t="n">
        <v>-0.3673134384069694</v>
      </c>
      <c r="AE537" s="6" t="n">
        <v>-0.6089927589508952</v>
      </c>
      <c r="AF537" s="6" t="n">
        <v>-1.55294973859563</v>
      </c>
      <c r="AG537" s="6" t="n">
        <v>2.317346333851885</v>
      </c>
      <c r="AH537" s="6" t="n">
        <v>-0.01031832534165356</v>
      </c>
      <c r="AI537" s="6" t="n">
        <v>-0.0429046447844818</v>
      </c>
      <c r="AJ537" s="6" t="n">
        <v>64.99833017514679</v>
      </c>
      <c r="AK537" s="6" t="n">
        <v>0.1188806361029011</v>
      </c>
      <c r="AL537" s="6" t="n">
        <v>1.053645857092529</v>
      </c>
      <c r="AN537" s="6" t="n">
        <v>1.328997398859429</v>
      </c>
      <c r="AO537" s="6" t="n">
        <v>1.333855795601904</v>
      </c>
      <c r="AP537" s="6" t="n">
        <v>0.1317879353793939</v>
      </c>
      <c r="AQ537" s="6" t="n">
        <v>0</v>
      </c>
      <c r="AR537" s="6" t="n">
        <v>0</v>
      </c>
    </row>
    <row r="538">
      <c r="D538" t="inlineStr">
        <is>
          <t>Run 226</t>
        </is>
      </c>
      <c r="J538" s="6" t="n">
        <v>0.1518041850983254</v>
      </c>
      <c r="K538" s="6" t="n">
        <v>-2.224659087463894</v>
      </c>
      <c r="L538" s="6" t="n">
        <v>2.287764508890525</v>
      </c>
      <c r="M538" s="6" t="n">
        <v>1.808279526228551</v>
      </c>
      <c r="N538" s="6" t="n">
        <v>1.673043560622065</v>
      </c>
      <c r="O538" s="6" t="n">
        <v>-0.4052244104531867</v>
      </c>
      <c r="P538" s="6" t="n">
        <v>-0.8988254501443073</v>
      </c>
      <c r="Q538" s="6" t="n">
        <v>-0.2338888651909957</v>
      </c>
      <c r="R538" s="6" t="n">
        <v>-1.30630724819524</v>
      </c>
      <c r="S538" s="6" t="n">
        <v>-5.511854050306702</v>
      </c>
      <c r="T538" s="6" t="n">
        <v>1.444364398132243</v>
      </c>
      <c r="U538" s="6" t="n">
        <v>2.918274479633328</v>
      </c>
      <c r="V538" s="6" t="n">
        <v>-3.51594342948681</v>
      </c>
      <c r="W538" s="6" t="n">
        <v>-3.59304033685985</v>
      </c>
      <c r="X538" s="6" t="n">
        <v>1.684944083662649</v>
      </c>
      <c r="Y538" s="6" t="n">
        <v>-2.243350627790742</v>
      </c>
      <c r="Z538" s="6" t="n">
        <v>-0.4317089373085989</v>
      </c>
      <c r="AA538" s="6" t="n">
        <v>0.1333621335290436</v>
      </c>
      <c r="AB538" s="6" t="n">
        <v>-0.592976637136246</v>
      </c>
      <c r="AC538" s="6" t="n">
        <v>1.261357903146074</v>
      </c>
      <c r="AD538" s="6" t="n">
        <v>0.5252210620305201</v>
      </c>
      <c r="AE538" s="6" t="n">
        <v>0.6784365184918518</v>
      </c>
      <c r="AF538" s="6" t="n">
        <v>1.471923646349012</v>
      </c>
      <c r="AG538" s="6" t="n">
        <v>-1.265261791489877</v>
      </c>
      <c r="AH538" s="6" t="n">
        <v>-1.087257063767436</v>
      </c>
      <c r="AI538" s="6" t="n">
        <v>-0.7344531729391062</v>
      </c>
      <c r="AJ538" s="6" t="n">
        <v>77.47761740239613</v>
      </c>
      <c r="AK538" s="6" t="n">
        <v>0.1616938598465966</v>
      </c>
      <c r="AL538" s="6" t="n">
        <v>1.055510560743546</v>
      </c>
      <c r="AN538" s="6" t="n">
        <v>1.343052729012969</v>
      </c>
      <c r="AO538" s="6" t="n">
        <v>1.343406878346727</v>
      </c>
      <c r="AP538" s="6" t="n">
        <v>0.1310600072848415</v>
      </c>
      <c r="AQ538" s="6" t="n">
        <v>0</v>
      </c>
      <c r="AR538" s="6" t="n">
        <v>0</v>
      </c>
    </row>
    <row r="539">
      <c r="D539" t="inlineStr">
        <is>
          <t>Run 227</t>
        </is>
      </c>
      <c r="J539" s="6" t="n">
        <v>1.839185812138535</v>
      </c>
      <c r="K539" s="6" t="n">
        <v>4.644753560673148</v>
      </c>
      <c r="L539" s="6" t="n">
        <v>1.731040865904148</v>
      </c>
      <c r="M539" s="6" t="n">
        <v>1.750332336895882</v>
      </c>
      <c r="N539" s="6" t="n">
        <v>-0.985244534001232</v>
      </c>
      <c r="O539" s="6" t="n">
        <v>-3.898253712934634</v>
      </c>
      <c r="P539" s="6" t="n">
        <v>-1.974626994182023</v>
      </c>
      <c r="Q539" s="6" t="n">
        <v>-1.675899460657162</v>
      </c>
      <c r="R539" s="6" t="n">
        <v>0.6350536403005214</v>
      </c>
      <c r="S539" s="6" t="n">
        <v>-1.491243650380663</v>
      </c>
      <c r="T539" s="6" t="n">
        <v>-1.441790410016788</v>
      </c>
      <c r="U539" s="6" t="n">
        <v>-0.7000112568322953</v>
      </c>
      <c r="V539" s="6" t="n">
        <v>2.883907546989832</v>
      </c>
      <c r="W539" s="6" t="n">
        <v>0.6916810746599505</v>
      </c>
      <c r="X539" s="6" t="n">
        <v>2.655525035822154</v>
      </c>
      <c r="Y539" s="6" t="n">
        <v>-0.06827516036658388</v>
      </c>
      <c r="Z539" s="6" t="n">
        <v>0.743631228860793</v>
      </c>
      <c r="AA539" s="6" t="n">
        <v>-3.854090514992532</v>
      </c>
      <c r="AB539" s="6" t="n">
        <v>-0.1768884520986694</v>
      </c>
      <c r="AC539" s="6" t="n">
        <v>1.205627644206365</v>
      </c>
      <c r="AD539" s="6" t="n">
        <v>1.408818948276096</v>
      </c>
      <c r="AE539" s="6" t="n">
        <v>1.483424886055304</v>
      </c>
      <c r="AF539" s="6" t="n">
        <v>-1.528195580566961</v>
      </c>
      <c r="AG539" s="6" t="n">
        <v>-2.679817908534745</v>
      </c>
      <c r="AH539" s="6" t="n">
        <v>-0.3793355851445639</v>
      </c>
      <c r="AI539" s="6" t="n">
        <v>-0.4553116547924203</v>
      </c>
      <c r="AJ539" s="6" t="n">
        <v>64.90535695137211</v>
      </c>
      <c r="AK539" s="6" t="n">
        <v>0.1381972839570283</v>
      </c>
      <c r="AL539" s="6" t="n">
        <v>1.004716450511187</v>
      </c>
      <c r="AN539" s="6" t="n">
        <v>1.350044851425512</v>
      </c>
      <c r="AO539" s="6" t="n">
        <v>1.350044851425512</v>
      </c>
      <c r="AP539" s="6" t="n">
        <v>0.1364268652305472</v>
      </c>
      <c r="AQ539" s="6" t="n">
        <v>0</v>
      </c>
      <c r="AR539" s="6" t="n">
        <v>0</v>
      </c>
    </row>
    <row r="540">
      <c r="D540" t="inlineStr">
        <is>
          <t>Run 228</t>
        </is>
      </c>
      <c r="J540" s="6" t="n">
        <v>-0.3646650658381757</v>
      </c>
      <c r="K540" s="6" t="n">
        <v>-1.41068781462043</v>
      </c>
      <c r="L540" s="6" t="n">
        <v>-2.163531780756281</v>
      </c>
      <c r="M540" s="6" t="n">
        <v>0.0308786979488735</v>
      </c>
      <c r="N540" s="6" t="n">
        <v>1.794068996605313</v>
      </c>
      <c r="O540" s="6" t="n">
        <v>1.594267655551083</v>
      </c>
      <c r="P540" s="6" t="n">
        <v>-0.4939577477026202</v>
      </c>
      <c r="Q540" s="6" t="n">
        <v>-0.8190439309715369</v>
      </c>
      <c r="R540" s="6" t="n">
        <v>1.438839931398605</v>
      </c>
      <c r="S540" s="6" t="n">
        <v>1.645414444326345</v>
      </c>
      <c r="T540" s="6" t="n">
        <v>0.8908676362879261</v>
      </c>
      <c r="U540" s="6" t="n">
        <v>2.069633366876397</v>
      </c>
      <c r="V540" s="6" t="n">
        <v>-0.3277879186337362</v>
      </c>
      <c r="W540" s="6" t="n">
        <v>2.951220167850047</v>
      </c>
      <c r="X540" s="6" t="n">
        <v>1.192901951059867</v>
      </c>
      <c r="Y540" s="6" t="n">
        <v>0.6721127375833222</v>
      </c>
      <c r="Z540" s="6" t="n">
        <v>2.901012784282255</v>
      </c>
      <c r="AA540" s="6" t="n">
        <v>3.283547993874843</v>
      </c>
      <c r="AB540" s="6" t="n">
        <v>3.958745673013952</v>
      </c>
      <c r="AC540" s="6" t="n">
        <v>2.337954959590695</v>
      </c>
      <c r="AD540" s="6" t="n">
        <v>-0.07241023209243359</v>
      </c>
      <c r="AE540" s="6" t="n">
        <v>-0.08680242080026913</v>
      </c>
      <c r="AF540" s="6" t="n">
        <v>0.9023566559058287</v>
      </c>
      <c r="AG540" s="6" t="n">
        <v>-3.092031471602079</v>
      </c>
      <c r="AH540" s="6" t="n">
        <v>1.293777972404107</v>
      </c>
      <c r="AI540" s="6" t="n">
        <v>2.95656230490357</v>
      </c>
      <c r="AJ540" s="6" t="n">
        <v>65.90697523803556</v>
      </c>
      <c r="AK540" s="6" t="n">
        <v>0.1431638586953553</v>
      </c>
      <c r="AL540" s="6" t="n">
        <v>1.067781710249994</v>
      </c>
      <c r="AN540" s="6" t="n">
        <v>1.333588902835379</v>
      </c>
      <c r="AO540" s="6" t="n">
        <v>1.33383198154398</v>
      </c>
      <c r="AP540" s="6" t="n">
        <v>0.1301308826333712</v>
      </c>
      <c r="AQ540" s="6" t="n">
        <v>0</v>
      </c>
      <c r="AR540" s="6" t="n">
        <v>0</v>
      </c>
    </row>
    <row r="541">
      <c r="D541" t="inlineStr">
        <is>
          <t>Run 229</t>
        </is>
      </c>
      <c r="J541" s="6" t="n">
        <v>0.7948508367086515</v>
      </c>
      <c r="K541" s="6" t="n">
        <v>0.2063650340434848</v>
      </c>
      <c r="L541" s="6" t="n">
        <v>-2.398328509714001</v>
      </c>
      <c r="M541" s="6" t="n">
        <v>0.9370782290272069</v>
      </c>
      <c r="N541" s="6" t="n">
        <v>0.7468841336276472</v>
      </c>
      <c r="O541" s="6" t="n">
        <v>0.7436130739156159</v>
      </c>
      <c r="P541" s="6" t="n">
        <v>-1.70268951586486</v>
      </c>
      <c r="Q541" s="6" t="n">
        <v>-0.6477365673053085</v>
      </c>
      <c r="R541" s="6" t="n">
        <v>2.891767202597867</v>
      </c>
      <c r="S541" s="6" t="n">
        <v>-2.210143957991787</v>
      </c>
      <c r="T541" s="6" t="n">
        <v>-0.8368535219599504</v>
      </c>
      <c r="U541" s="6" t="n">
        <v>1.631016823217469</v>
      </c>
      <c r="V541" s="6" t="n">
        <v>2.307344954258074</v>
      </c>
      <c r="W541" s="6" t="n">
        <v>1.93855775736496</v>
      </c>
      <c r="X541" s="6" t="n">
        <v>0.871712246053154</v>
      </c>
      <c r="Y541" s="6" t="n">
        <v>1.655870235121058</v>
      </c>
      <c r="Z541" s="6" t="n">
        <v>1.877236230260489</v>
      </c>
      <c r="AA541" s="6" t="n">
        <v>-0.8162310038391812</v>
      </c>
      <c r="AB541" s="6" t="n">
        <v>-2.45700961392972</v>
      </c>
      <c r="AC541" s="6" t="n">
        <v>2.171988559800559</v>
      </c>
      <c r="AD541" s="6" t="n">
        <v>-0.2103323803692973</v>
      </c>
      <c r="AE541" s="6" t="n">
        <v>-2.658848960570007</v>
      </c>
      <c r="AF541" s="6" t="n">
        <v>-0.007005898789148172</v>
      </c>
      <c r="AG541" s="6" t="n">
        <v>1.355499631929958</v>
      </c>
      <c r="AH541" s="6" t="n">
        <v>2.118160879586113</v>
      </c>
      <c r="AI541" s="6" t="n">
        <v>1.060272653725354</v>
      </c>
      <c r="AJ541" s="6" t="n">
        <v>81.50248021114632</v>
      </c>
      <c r="AK541" s="6" t="n">
        <v>0.1420780195681051</v>
      </c>
      <c r="AL541" s="6" t="n">
        <v>1.056319782815246</v>
      </c>
      <c r="AN541" s="6" t="n">
        <v>1.346385838372757</v>
      </c>
      <c r="AO541" s="6" t="n">
        <v>1.346613822980848</v>
      </c>
      <c r="AP541" s="6" t="n">
        <v>0.1319870327058213</v>
      </c>
      <c r="AQ541" s="6" t="n">
        <v>0</v>
      </c>
      <c r="AR541" s="6" t="n">
        <v>0</v>
      </c>
    </row>
    <row r="542">
      <c r="D542" t="inlineStr">
        <is>
          <t>Run 230</t>
        </is>
      </c>
      <c r="J542" s="6" t="n">
        <v>0.9321235165043507</v>
      </c>
      <c r="K542" s="6" t="n">
        <v>-0.9422567907828965</v>
      </c>
      <c r="L542" s="6" t="n">
        <v>0.7821803868371685</v>
      </c>
      <c r="M542" s="6" t="n">
        <v>2.802184997514111</v>
      </c>
      <c r="N542" s="6" t="n">
        <v>-0.8949680476068876</v>
      </c>
      <c r="O542" s="6" t="n">
        <v>0.08361304468256056</v>
      </c>
      <c r="P542" s="6" t="n">
        <v>2.626903198431856</v>
      </c>
      <c r="Q542" s="6" t="n">
        <v>2.473392072409077</v>
      </c>
      <c r="R542" s="6" t="n">
        <v>0.004419364951830118</v>
      </c>
      <c r="S542" s="6" t="n">
        <v>2.770849879745902</v>
      </c>
      <c r="T542" s="6" t="n">
        <v>2.936660073443204</v>
      </c>
      <c r="U542" s="6" t="n">
        <v>1.939720243547314</v>
      </c>
      <c r="V542" s="6" t="n">
        <v>-1.079261311158299</v>
      </c>
      <c r="W542" s="6" t="n">
        <v>-2.9446301759655</v>
      </c>
      <c r="X542" s="6" t="n">
        <v>-1.470260027478595</v>
      </c>
      <c r="Y542" s="6" t="n">
        <v>-0.660891445431619</v>
      </c>
      <c r="Z542" s="6" t="n">
        <v>4.018927742543501</v>
      </c>
      <c r="AA542" s="6" t="n">
        <v>-1.026699099798489</v>
      </c>
      <c r="AB542" s="6" t="n">
        <v>2.468518923184445</v>
      </c>
      <c r="AC542" s="6" t="n">
        <v>1.034191904137577</v>
      </c>
      <c r="AD542" s="6" t="n">
        <v>-2.866917077627364</v>
      </c>
      <c r="AE542" s="6" t="n">
        <v>-1.817878481662336</v>
      </c>
      <c r="AF542" s="6" t="n">
        <v>0.3795528364526423</v>
      </c>
      <c r="AG542" s="6" t="n">
        <v>-0.4520718842114423</v>
      </c>
      <c r="AH542" s="6" t="n">
        <v>-1.503707784044039</v>
      </c>
      <c r="AI542" s="6" t="n">
        <v>0.3247504385879331</v>
      </c>
      <c r="AJ542" s="6" t="n">
        <v>69.59211115634575</v>
      </c>
      <c r="AK542" s="6" t="n">
        <v>0.169272714779668</v>
      </c>
      <c r="AL542" s="6" t="n">
        <v>1.075012199250739</v>
      </c>
      <c r="AN542" s="6" t="n">
        <v>1.329483572805186</v>
      </c>
      <c r="AO542" s="6" t="n">
        <v>1.330812416858767</v>
      </c>
      <c r="AP542" s="6" t="n">
        <v>0.1293227820879896</v>
      </c>
      <c r="AQ542" s="6" t="n">
        <v>0</v>
      </c>
      <c r="AR542" s="6" t="n">
        <v>0</v>
      </c>
    </row>
    <row r="543">
      <c r="D543" t="inlineStr">
        <is>
          <t>Run 231</t>
        </is>
      </c>
      <c r="J543" s="6" t="n">
        <v>0.01890580471834395</v>
      </c>
      <c r="K543" s="6" t="n">
        <v>-0.5314574121517965</v>
      </c>
      <c r="L543" s="6" t="n">
        <v>0.05431392529168783</v>
      </c>
      <c r="M543" s="6" t="n">
        <v>-2.228581795809654</v>
      </c>
      <c r="N543" s="6" t="n">
        <v>-0.6894063406607801</v>
      </c>
      <c r="O543" s="6" t="n">
        <v>2.396489503166702</v>
      </c>
      <c r="P543" s="6" t="n">
        <v>-0.3588823677291407</v>
      </c>
      <c r="Q543" s="6" t="n">
        <v>0.9256974745656081</v>
      </c>
      <c r="R543" s="6" t="n">
        <v>-2.471174827397066</v>
      </c>
      <c r="S543" s="6" t="n">
        <v>-2.046660617013249</v>
      </c>
      <c r="T543" s="6" t="n">
        <v>0.9164722588335514</v>
      </c>
      <c r="U543" s="6" t="n">
        <v>-6.314183813124761</v>
      </c>
      <c r="V543" s="6" t="n">
        <v>4.423014904648043</v>
      </c>
      <c r="W543" s="6" t="n">
        <v>-0.9362250366415061</v>
      </c>
      <c r="X543" s="6" t="n">
        <v>-0.3383054113474517</v>
      </c>
      <c r="Y543" s="6" t="n">
        <v>-0.2153833616267054</v>
      </c>
      <c r="Z543" s="6" t="n">
        <v>3.499614759470994</v>
      </c>
      <c r="AA543" s="6" t="n">
        <v>4.985403073343583</v>
      </c>
      <c r="AB543" s="6" t="n">
        <v>0.2399472718645226</v>
      </c>
      <c r="AC543" s="6" t="n">
        <v>-0.5351336958778666</v>
      </c>
      <c r="AD543" s="6" t="n">
        <v>-1.954771822748458</v>
      </c>
      <c r="AE543" s="6" t="n">
        <v>-0.2635755789206912</v>
      </c>
      <c r="AF543" s="6" t="n">
        <v>-0.9663643733056484</v>
      </c>
      <c r="AG543" s="6" t="n">
        <v>1.425754138727737</v>
      </c>
      <c r="AH543" s="6" t="n">
        <v>2.710633827076153</v>
      </c>
      <c r="AI543" s="6" t="n">
        <v>-0.3699869662671094</v>
      </c>
      <c r="AJ543" s="6" t="n">
        <v>76.01158014520352</v>
      </c>
      <c r="AK543" s="6" t="n">
        <v>0.1154038865203317</v>
      </c>
      <c r="AL543" s="6" t="n">
        <v>1.060113561785646</v>
      </c>
      <c r="AN543" s="6" t="n">
        <v>1.327203756443518</v>
      </c>
      <c r="AO543" s="6" t="n">
        <v>1.33441159678561</v>
      </c>
      <c r="AP543" s="6" t="n">
        <v>0.1316850051210272</v>
      </c>
      <c r="AQ543" s="6" t="n">
        <v>0</v>
      </c>
      <c r="AR543" s="6" t="n">
        <v>0</v>
      </c>
    </row>
    <row r="544">
      <c r="D544" t="inlineStr">
        <is>
          <t>Run 232</t>
        </is>
      </c>
      <c r="J544" s="6" t="n">
        <v>-0.3639692022058996</v>
      </c>
      <c r="K544" s="6" t="n">
        <v>2.445645317366606</v>
      </c>
      <c r="L544" s="6" t="n">
        <v>-0.4993672880366314</v>
      </c>
      <c r="M544" s="6" t="n">
        <v>-1.930460318146134</v>
      </c>
      <c r="N544" s="6" t="n">
        <v>1.111308567353632</v>
      </c>
      <c r="O544" s="6" t="n">
        <v>0.3583467095530531</v>
      </c>
      <c r="P544" s="6" t="n">
        <v>-5.429874399155393</v>
      </c>
      <c r="Q544" s="6" t="n">
        <v>-0.8570757227861222</v>
      </c>
      <c r="R544" s="6" t="n">
        <v>3.170110696402021</v>
      </c>
      <c r="S544" s="6" t="n">
        <v>1.24928989415345</v>
      </c>
      <c r="T544" s="6" t="n">
        <v>3.946661985094611</v>
      </c>
      <c r="U544" s="6" t="n">
        <v>-2.481805910788069</v>
      </c>
      <c r="V544" s="6" t="n">
        <v>0.4809334971884176</v>
      </c>
      <c r="W544" s="6" t="n">
        <v>-1.289391086608328</v>
      </c>
      <c r="X544" s="6" t="n">
        <v>-0.8842903923682046</v>
      </c>
      <c r="Y544" s="6" t="n">
        <v>2.132974953482882</v>
      </c>
      <c r="Z544" s="6" t="n">
        <v>0.6683957132416702</v>
      </c>
      <c r="AA544" s="6" t="n">
        <v>1.187826723214878</v>
      </c>
      <c r="AB544" s="6" t="n">
        <v>0.4558841686386121</v>
      </c>
      <c r="AC544" s="6" t="n">
        <v>3.888310676925096</v>
      </c>
      <c r="AD544" s="6" t="n">
        <v>1.889919515445842</v>
      </c>
      <c r="AE544" s="6" t="n">
        <v>-0.08191887051792669</v>
      </c>
      <c r="AF544" s="6" t="n">
        <v>-0.1051910067470677</v>
      </c>
      <c r="AG544" s="6" t="n">
        <v>-0.842392945090798</v>
      </c>
      <c r="AH544" s="6" t="n">
        <v>1.057081880547543</v>
      </c>
      <c r="AI544" s="6" t="n">
        <v>2.100182798880229</v>
      </c>
      <c r="AJ544" s="6" t="n">
        <v>77.43238397156199</v>
      </c>
      <c r="AK544" s="6" t="n">
        <v>0.1257043185540261</v>
      </c>
      <c r="AL544" s="6" t="n">
        <v>1.081603804346725</v>
      </c>
      <c r="AN544" s="6" t="n">
        <v>1.325486054401736</v>
      </c>
      <c r="AO544" s="6" t="n">
        <v>1.330663278487635</v>
      </c>
      <c r="AP544" s="6" t="n">
        <v>0.1298076178861497</v>
      </c>
      <c r="AQ544" s="6" t="n">
        <v>0</v>
      </c>
      <c r="AR544" s="6" t="n">
        <v>0</v>
      </c>
    </row>
    <row r="545">
      <c r="D545" t="inlineStr">
        <is>
          <t>Run 233</t>
        </is>
      </c>
      <c r="J545" s="6" t="n">
        <v>1.056927445856555</v>
      </c>
      <c r="K545" s="6" t="n">
        <v>-0.06164287097305647</v>
      </c>
      <c r="L545" s="6" t="n">
        <v>1.476161321344772</v>
      </c>
      <c r="M545" s="6" t="n">
        <v>-0.04755984731032583</v>
      </c>
      <c r="N545" s="6" t="n">
        <v>0.8261405544796657</v>
      </c>
      <c r="O545" s="6" t="n">
        <v>-1.203094352724206</v>
      </c>
      <c r="P545" s="6" t="n">
        <v>0.7740819730167364</v>
      </c>
      <c r="Q545" s="6" t="n">
        <v>-0.1476743333465803</v>
      </c>
      <c r="R545" s="6" t="n">
        <v>0.8348297267869479</v>
      </c>
      <c r="S545" s="6" t="n">
        <v>2.468035621205773</v>
      </c>
      <c r="T545" s="6" t="n">
        <v>1.647390671382256</v>
      </c>
      <c r="U545" s="6" t="n">
        <v>-2.538641012864872</v>
      </c>
      <c r="V545" s="6" t="n">
        <v>0.2594183598933261</v>
      </c>
      <c r="W545" s="6" t="n">
        <v>-0.5926078212376519</v>
      </c>
      <c r="X545" s="6" t="n">
        <v>-0.0176580834363597</v>
      </c>
      <c r="Y545" s="6" t="n">
        <v>1.497957165294455</v>
      </c>
      <c r="Z545" s="6" t="n">
        <v>-2.703852029995169</v>
      </c>
      <c r="AA545" s="6" t="n">
        <v>-0.4182396398804104</v>
      </c>
      <c r="AB545" s="6" t="n">
        <v>-2.145232964740353</v>
      </c>
      <c r="AC545" s="6" t="n">
        <v>-2.326851782364973</v>
      </c>
      <c r="AD545" s="6" t="n">
        <v>-3.156686195197495</v>
      </c>
      <c r="AE545" s="6" t="n">
        <v>1.677947903244951</v>
      </c>
      <c r="AF545" s="6" t="n">
        <v>1.504996797892488</v>
      </c>
      <c r="AG545" s="6" t="n">
        <v>0.22130493695216</v>
      </c>
      <c r="AH545" s="6" t="n">
        <v>1.43076265375678</v>
      </c>
      <c r="AI545" s="6" t="n">
        <v>2.659360319958648</v>
      </c>
      <c r="AJ545" s="6" t="n">
        <v>66.79366343260222</v>
      </c>
      <c r="AK545" s="6" t="n">
        <v>0.1111652147985234</v>
      </c>
      <c r="AL545" s="6" t="n">
        <v>1.082356509636715</v>
      </c>
      <c r="AN545" s="6" t="n">
        <v>1.33471122938404</v>
      </c>
      <c r="AO545" s="6" t="n">
        <v>1.334971253649937</v>
      </c>
      <c r="AP545" s="6" t="n">
        <v>0.1299793862032497</v>
      </c>
      <c r="AQ545" s="6" t="n">
        <v>0</v>
      </c>
      <c r="AR545" s="6" t="n">
        <v>0</v>
      </c>
    </row>
    <row r="546">
      <c r="D546" t="inlineStr">
        <is>
          <t>Run 234</t>
        </is>
      </c>
      <c r="J546" s="6" t="n">
        <v>3.754601015397501</v>
      </c>
      <c r="K546" s="6" t="n">
        <v>0.701095229526002</v>
      </c>
      <c r="L546" s="6" t="n">
        <v>-0.1958775376399725</v>
      </c>
      <c r="M546" s="6" t="n">
        <v>-0.3645986423591021</v>
      </c>
      <c r="N546" s="6" t="n">
        <v>0.6611702965076941</v>
      </c>
      <c r="O546" s="6" t="n">
        <v>0.4446412607129945</v>
      </c>
      <c r="P546" s="6" t="n">
        <v>-2.500808220513152</v>
      </c>
      <c r="Q546" s="6" t="n">
        <v>-4.566640793818342</v>
      </c>
      <c r="R546" s="6" t="n">
        <v>-0.817104401877762</v>
      </c>
      <c r="S546" s="6" t="n">
        <v>-0.692899981701293</v>
      </c>
      <c r="T546" s="6" t="n">
        <v>-0.9048531969396139</v>
      </c>
      <c r="U546" s="6" t="n">
        <v>-0.4130121356322792</v>
      </c>
      <c r="V546" s="6" t="n">
        <v>0.9900019968349448</v>
      </c>
      <c r="W546" s="6" t="n">
        <v>-0.2266078930528476</v>
      </c>
      <c r="X546" s="6" t="n">
        <v>-1.073052110454094</v>
      </c>
      <c r="Y546" s="6" t="n">
        <v>0.5316849284702923</v>
      </c>
      <c r="Z546" s="6" t="n">
        <v>1.251015670625326</v>
      </c>
      <c r="AA546" s="6" t="n">
        <v>-1.891785482407705</v>
      </c>
      <c r="AB546" s="6" t="n">
        <v>2.641941775951896</v>
      </c>
      <c r="AC546" s="6" t="n">
        <v>-3.080335326774277</v>
      </c>
      <c r="AD546" s="6" t="n">
        <v>-3.149570301358354</v>
      </c>
      <c r="AE546" s="6" t="n">
        <v>0.8618869102404745</v>
      </c>
      <c r="AF546" s="6" t="n">
        <v>-0.3678185991047539</v>
      </c>
      <c r="AG546" s="6" t="n">
        <v>-4.016283799790158</v>
      </c>
      <c r="AH546" s="6" t="n">
        <v>2.387685027160142</v>
      </c>
      <c r="AI546" s="6" t="n">
        <v>-0.004127548664263359</v>
      </c>
      <c r="AJ546" s="6" t="n">
        <v>63.42621789420785</v>
      </c>
      <c r="AK546" s="6" t="n">
        <v>0.1240541170445335</v>
      </c>
      <c r="AL546" s="6" t="n">
        <v>1.070811763856967</v>
      </c>
      <c r="AN546" s="6" t="n">
        <v>1.335460822672044</v>
      </c>
      <c r="AO546" s="6" t="n">
        <v>1.335496843704794</v>
      </c>
      <c r="AP546" s="6" t="n">
        <v>0.1297237420272216</v>
      </c>
      <c r="AQ546" s="6" t="n">
        <v>0</v>
      </c>
      <c r="AR546" s="6" t="n">
        <v>0</v>
      </c>
    </row>
    <row r="547">
      <c r="D547" t="inlineStr">
        <is>
          <t>Run 235</t>
        </is>
      </c>
      <c r="J547" s="6" t="n">
        <v>-0.3798976779605663</v>
      </c>
      <c r="K547" s="6" t="n">
        <v>-2.384155251258463</v>
      </c>
      <c r="L547" s="6" t="n">
        <v>-2.518716233624517</v>
      </c>
      <c r="M547" s="6" t="n">
        <v>0.009171684134296382</v>
      </c>
      <c r="N547" s="6" t="n">
        <v>-0.4112971578760739</v>
      </c>
      <c r="O547" s="6" t="n">
        <v>1.499221523473404</v>
      </c>
      <c r="P547" s="6" t="n">
        <v>-2.224423280077565</v>
      </c>
      <c r="Q547" s="6" t="n">
        <v>1.465370296143659</v>
      </c>
      <c r="R547" s="6" t="n">
        <v>-1.859898138509994</v>
      </c>
      <c r="S547" s="6" t="n">
        <v>3.602311228477018</v>
      </c>
      <c r="T547" s="6" t="n">
        <v>2.494059026581099</v>
      </c>
      <c r="U547" s="6" t="n">
        <v>-1.297500136835706</v>
      </c>
      <c r="V547" s="6" t="n">
        <v>2.143855779760885</v>
      </c>
      <c r="W547" s="6" t="n">
        <v>-0.3209080294040569</v>
      </c>
      <c r="X547" s="6" t="n">
        <v>-3.109647249886824</v>
      </c>
      <c r="Y547" s="6" t="n">
        <v>1.603421202861792</v>
      </c>
      <c r="Z547" s="6" t="n">
        <v>3.293562345343954</v>
      </c>
      <c r="AA547" s="6" t="n">
        <v>1.518120375651147</v>
      </c>
      <c r="AB547" s="6" t="n">
        <v>-1.212522453762255</v>
      </c>
      <c r="AC547" s="6" t="n">
        <v>-1.727652388047493</v>
      </c>
      <c r="AD547" s="6" t="n">
        <v>-1.614051301450329</v>
      </c>
      <c r="AE547" s="6" t="n">
        <v>1.433684723273955</v>
      </c>
      <c r="AF547" s="6" t="n">
        <v>-0.08706184959956396</v>
      </c>
      <c r="AG547" s="6" t="n">
        <v>0.4125183697670869</v>
      </c>
      <c r="AH547" s="6" t="n">
        <v>0.6716762490434716</v>
      </c>
      <c r="AI547" s="6" t="n">
        <v>-0.7798050943142506</v>
      </c>
      <c r="AJ547" s="6" t="n">
        <v>75.76268015290722</v>
      </c>
      <c r="AK547" s="6" t="n">
        <v>0.2253447116452896</v>
      </c>
      <c r="AL547" s="6" t="n">
        <v>1.132231052589885</v>
      </c>
      <c r="AN547" s="6" t="n">
        <v>1.306937361273653</v>
      </c>
      <c r="AO547" s="6" t="n">
        <v>1.307280342010805</v>
      </c>
      <c r="AP547" s="6" t="n">
        <v>0.1256277171673885</v>
      </c>
      <c r="AQ547" s="6" t="n">
        <v>0</v>
      </c>
      <c r="AR547" s="6" t="n">
        <v>0</v>
      </c>
    </row>
    <row r="548">
      <c r="D548" t="inlineStr">
        <is>
          <t>Run 236</t>
        </is>
      </c>
      <c r="J548" s="6" t="n">
        <v>-2.877639376817906</v>
      </c>
      <c r="K548" s="6" t="n">
        <v>-0.9132971189017395</v>
      </c>
      <c r="L548" s="6" t="n">
        <v>0.7825166300758041</v>
      </c>
      <c r="M548" s="6" t="n">
        <v>0.7972109814642341</v>
      </c>
      <c r="N548" s="6" t="n">
        <v>2.609592201884083</v>
      </c>
      <c r="O548" s="6" t="n">
        <v>-1.440267064164655</v>
      </c>
      <c r="P548" s="6" t="n">
        <v>0.7316458613839308</v>
      </c>
      <c r="Q548" s="6" t="n">
        <v>-2.601643592560878</v>
      </c>
      <c r="R548" s="6" t="n">
        <v>-2.996701877194254</v>
      </c>
      <c r="S548" s="6" t="n">
        <v>-1.37474244779671</v>
      </c>
      <c r="T548" s="6" t="n">
        <v>-1.526092286109075</v>
      </c>
      <c r="U548" s="6" t="n">
        <v>-0.4558551122321375</v>
      </c>
      <c r="V548" s="6" t="n">
        <v>-2.916653267316532</v>
      </c>
      <c r="W548" s="6" t="n">
        <v>1.600924855313787</v>
      </c>
      <c r="X548" s="6" t="n">
        <v>-0.9977106845487107</v>
      </c>
      <c r="Y548" s="6" t="n">
        <v>-2.972109198708976</v>
      </c>
      <c r="Z548" s="6" t="n">
        <v>0.5701828427760478</v>
      </c>
      <c r="AA548" s="6" t="n">
        <v>-0.724548020974481</v>
      </c>
      <c r="AB548" s="6" t="n">
        <v>-0.3875583388441018</v>
      </c>
      <c r="AC548" s="6" t="n">
        <v>1.501189686478407</v>
      </c>
      <c r="AD548" s="6" t="n">
        <v>1.477972853286602</v>
      </c>
      <c r="AE548" s="6" t="n">
        <v>2.586879348620268</v>
      </c>
      <c r="AF548" s="6" t="n">
        <v>-0.9817602079076885</v>
      </c>
      <c r="AG548" s="6" t="n">
        <v>-1.842819547962155</v>
      </c>
      <c r="AH548" s="6" t="n">
        <v>-1.168615079214405</v>
      </c>
      <c r="AI548" s="6" t="n">
        <v>-1.931337617624411</v>
      </c>
      <c r="AJ548" s="6" t="n">
        <v>57.01683900016582</v>
      </c>
      <c r="AK548" s="6" t="n">
        <v>0.1294061271385538</v>
      </c>
      <c r="AL548" s="6" t="n">
        <v>1.004899118638581</v>
      </c>
      <c r="AN548" s="6" t="n">
        <v>1.350574744049956</v>
      </c>
      <c r="AO548" s="6" t="n">
        <v>1.350981282854097</v>
      </c>
      <c r="AP548" s="6" t="n">
        <v>0.1355250599584253</v>
      </c>
      <c r="AQ548" s="6" t="n">
        <v>0</v>
      </c>
      <c r="AR548" s="6" t="n">
        <v>0</v>
      </c>
    </row>
    <row r="549">
      <c r="D549" t="inlineStr">
        <is>
          <t>Run 237</t>
        </is>
      </c>
      <c r="J549" s="6" t="n">
        <v>0.2990956477080542</v>
      </c>
      <c r="K549" s="6" t="n">
        <v>-0.3808668587558282</v>
      </c>
      <c r="L549" s="6" t="n">
        <v>0.9341350347133521</v>
      </c>
      <c r="M549" s="6" t="n">
        <v>3.400253443139763</v>
      </c>
      <c r="N549" s="6" t="n">
        <v>-0.3376950581354499</v>
      </c>
      <c r="O549" s="6" t="n">
        <v>-3.252258123304419</v>
      </c>
      <c r="P549" s="6" t="n">
        <v>-3.816237540451171</v>
      </c>
      <c r="Q549" s="6" t="n">
        <v>-0.1083961104790113</v>
      </c>
      <c r="R549" s="6" t="n">
        <v>0.597725700189878</v>
      </c>
      <c r="S549" s="6" t="n">
        <v>1.980189952311432</v>
      </c>
      <c r="T549" s="6" t="n">
        <v>2.710821893882737</v>
      </c>
      <c r="U549" s="6" t="n">
        <v>-1.04621560970796</v>
      </c>
      <c r="V549" s="6" t="n">
        <v>-0.6707337977694395</v>
      </c>
      <c r="W549" s="6" t="n">
        <v>3.086994964968285</v>
      </c>
      <c r="X549" s="6" t="n">
        <v>2.046896885578985</v>
      </c>
      <c r="Y549" s="6" t="n">
        <v>0.2841464016499596</v>
      </c>
      <c r="Z549" s="6" t="n">
        <v>2.587061870767054</v>
      </c>
      <c r="AA549" s="6" t="n">
        <v>0.1703324373185858</v>
      </c>
      <c r="AB549" s="6" t="n">
        <v>1.481904473816165</v>
      </c>
      <c r="AC549" s="6" t="n">
        <v>-3.383785465355242</v>
      </c>
      <c r="AD549" s="6" t="n">
        <v>2.152301022111857</v>
      </c>
      <c r="AE549" s="6" t="n">
        <v>1.170102378111577</v>
      </c>
      <c r="AF549" s="6" t="n">
        <v>0.5099876932270729</v>
      </c>
      <c r="AG549" s="6" t="n">
        <v>-2.960758414252151</v>
      </c>
      <c r="AH549" s="6" t="n">
        <v>-0.4195002409066617</v>
      </c>
      <c r="AI549" s="6" t="n">
        <v>-2.277722126802511</v>
      </c>
      <c r="AJ549" s="6" t="n">
        <v>70.18807500776727</v>
      </c>
      <c r="AK549" s="6" t="n">
        <v>0.1048427635622794</v>
      </c>
      <c r="AL549" s="6" t="n">
        <v>1.028734856583467</v>
      </c>
      <c r="AN549" s="6" t="n">
        <v>1.349917048295577</v>
      </c>
      <c r="AO549" s="6" t="n">
        <v>1.349917048295577</v>
      </c>
      <c r="AP549" s="6" t="n">
        <v>0.1345727846236991</v>
      </c>
      <c r="AQ549" s="6" t="n">
        <v>0</v>
      </c>
      <c r="AR549" s="6" t="n">
        <v>0</v>
      </c>
    </row>
    <row r="550">
      <c r="D550" t="inlineStr">
        <is>
          <t>Run 238</t>
        </is>
      </c>
      <c r="J550" s="6" t="n">
        <v>-3.466407358283211</v>
      </c>
      <c r="K550" s="6" t="n">
        <v>-0.7181404635527709</v>
      </c>
      <c r="L550" s="6" t="n">
        <v>5</v>
      </c>
      <c r="M550" s="6" t="n">
        <v>3.543454734860921</v>
      </c>
      <c r="N550" s="6" t="n">
        <v>1.817212268820414</v>
      </c>
      <c r="O550" s="6" t="n">
        <v>-3.698468352087456</v>
      </c>
      <c r="P550" s="6" t="n">
        <v>-3.003274472047337</v>
      </c>
      <c r="Q550" s="6" t="n">
        <v>0.2263090883341509</v>
      </c>
      <c r="R550" s="6" t="n">
        <v>1.481296921755753</v>
      </c>
      <c r="S550" s="6" t="n">
        <v>4.990275860490046</v>
      </c>
      <c r="T550" s="6" t="n">
        <v>-0.8195229027819745</v>
      </c>
      <c r="U550" s="6" t="n">
        <v>-1.241254904684392</v>
      </c>
      <c r="V550" s="6" t="n">
        <v>3.40865955316426</v>
      </c>
      <c r="W550" s="6" t="n">
        <v>-1.980773885058354</v>
      </c>
      <c r="X550" s="6" t="n">
        <v>-1.828295559786545</v>
      </c>
      <c r="Y550" s="6" t="n">
        <v>-2.560623424853376</v>
      </c>
      <c r="Z550" s="6" t="n">
        <v>1.655209317475716</v>
      </c>
      <c r="AA550" s="6" t="n">
        <v>-3.5042450370905</v>
      </c>
      <c r="AB550" s="6" t="n">
        <v>2.463268913979656</v>
      </c>
      <c r="AC550" s="6" t="n">
        <v>0.9427721916707277</v>
      </c>
      <c r="AD550" s="6" t="n">
        <v>1.181693931836191</v>
      </c>
      <c r="AE550" s="6" t="n">
        <v>-0.8891243214675296</v>
      </c>
      <c r="AF550" s="6" t="n">
        <v>0.5913537388222553</v>
      </c>
      <c r="AG550" s="6" t="n">
        <v>0.5555278917363158</v>
      </c>
      <c r="AH550" s="6" t="n">
        <v>1.381890811628163</v>
      </c>
      <c r="AI550" s="6" t="n">
        <v>0.8747244099850432</v>
      </c>
      <c r="AJ550" s="6" t="n">
        <v>64.95614277563402</v>
      </c>
      <c r="AK550" s="6" t="n">
        <v>0.07442069905620805</v>
      </c>
      <c r="AL550" s="6" t="n">
        <v>1.04464690139969</v>
      </c>
      <c r="AN550" s="6" t="n">
        <v>1.345293579991283</v>
      </c>
      <c r="AO550" s="6" t="n">
        <v>1.345525028775347</v>
      </c>
      <c r="AP550" s="6" t="n">
        <v>0.1333640339432632</v>
      </c>
      <c r="AQ550" s="6" t="n">
        <v>0</v>
      </c>
      <c r="AR550" s="6" t="n">
        <v>0</v>
      </c>
    </row>
    <row r="551">
      <c r="D551" t="inlineStr">
        <is>
          <t>Run 239</t>
        </is>
      </c>
      <c r="J551" s="6" t="n">
        <v>-0.3213566215764144</v>
      </c>
      <c r="K551" s="6" t="n">
        <v>1.747433125279085</v>
      </c>
      <c r="L551" s="6" t="n">
        <v>2.043635262389051</v>
      </c>
      <c r="M551" s="6" t="n">
        <v>-0.364441200865001</v>
      </c>
      <c r="N551" s="6" t="n">
        <v>1.302483449530655</v>
      </c>
      <c r="O551" s="6" t="n">
        <v>-0.8114659961557124</v>
      </c>
      <c r="P551" s="6" t="n">
        <v>-0.1817958204717592</v>
      </c>
      <c r="Q551" s="6" t="n">
        <v>2.868180988260736</v>
      </c>
      <c r="R551" s="6" t="n">
        <v>1.006666580040169</v>
      </c>
      <c r="S551" s="6" t="n">
        <v>-1.449262074552693</v>
      </c>
      <c r="T551" s="6" t="n">
        <v>-1.723534353194141</v>
      </c>
      <c r="U551" s="6" t="n">
        <v>1.08079493787092</v>
      </c>
      <c r="V551" s="6" t="n">
        <v>2.00142511639955</v>
      </c>
      <c r="W551" s="6" t="n">
        <v>0.6787696371780949</v>
      </c>
      <c r="X551" s="6" t="n">
        <v>0.7697779974949613</v>
      </c>
      <c r="Y551" s="6" t="n">
        <v>-0.3357266888417444</v>
      </c>
      <c r="Z551" s="6" t="n">
        <v>-0.7258794411301196</v>
      </c>
      <c r="AA551" s="6" t="n">
        <v>4.196754409362085</v>
      </c>
      <c r="AB551" s="6" t="n">
        <v>-1.426631147944564</v>
      </c>
      <c r="AC551" s="6" t="n">
        <v>-2.121689909595039</v>
      </c>
      <c r="AD551" s="6" t="n">
        <v>5</v>
      </c>
      <c r="AE551" s="6" t="n">
        <v>-1.146367930455302</v>
      </c>
      <c r="AF551" s="6" t="n">
        <v>3.170278264437781</v>
      </c>
      <c r="AG551" s="6" t="n">
        <v>-0.3549957529990617</v>
      </c>
      <c r="AH551" s="6" t="n">
        <v>-1.575471392320149</v>
      </c>
      <c r="AI551" s="6" t="n">
        <v>-0.3426132821374491</v>
      </c>
      <c r="AJ551" s="6" t="n">
        <v>74.6002268912552</v>
      </c>
      <c r="AK551" s="6" t="n">
        <v>0.1432980970239351</v>
      </c>
      <c r="AL551" s="6" t="n">
        <v>1.069960452973031</v>
      </c>
      <c r="AN551" s="6" t="n">
        <v>1.338477953916136</v>
      </c>
      <c r="AO551" s="6" t="n">
        <v>1.338502513079295</v>
      </c>
      <c r="AP551" s="6" t="n">
        <v>0.1304832549358327</v>
      </c>
      <c r="AQ551" s="6" t="n">
        <v>0</v>
      </c>
      <c r="AR551" s="6" t="n">
        <v>0</v>
      </c>
    </row>
    <row r="552">
      <c r="D552" t="inlineStr">
        <is>
          <t>Run 240</t>
        </is>
      </c>
      <c r="J552" s="6" t="n">
        <v>-0.6968779343946565</v>
      </c>
      <c r="K552" s="6" t="n">
        <v>-5.517585622244518</v>
      </c>
      <c r="L552" s="6" t="n">
        <v>-0.29083676666916</v>
      </c>
      <c r="M552" s="6" t="n">
        <v>0.3552750669317423</v>
      </c>
      <c r="N552" s="6" t="n">
        <v>0.2934658652433276</v>
      </c>
      <c r="O552" s="6" t="n">
        <v>1.448849464326281</v>
      </c>
      <c r="P552" s="6" t="n">
        <v>-1.622965255437824</v>
      </c>
      <c r="Q552" s="6" t="n">
        <v>-1.350621629428441</v>
      </c>
      <c r="R552" s="6" t="n">
        <v>1.458200610435901</v>
      </c>
      <c r="S552" s="6" t="n">
        <v>-2.486251429661633</v>
      </c>
      <c r="T552" s="6" t="n">
        <v>1.426710625875043</v>
      </c>
      <c r="U552" s="6" t="n">
        <v>0.09619688105750561</v>
      </c>
      <c r="V552" s="6" t="n">
        <v>-1.00760636779779</v>
      </c>
      <c r="W552" s="6" t="n">
        <v>1.36812598639047</v>
      </c>
      <c r="X552" s="6" t="n">
        <v>-6.215451275260222</v>
      </c>
      <c r="Y552" s="6" t="n">
        <v>0.0755881805114627</v>
      </c>
      <c r="Z552" s="6" t="n">
        <v>1.667174368002793</v>
      </c>
      <c r="AA552" s="6" t="n">
        <v>1.815293534356094</v>
      </c>
      <c r="AB552" s="6" t="n">
        <v>4.451976715794101</v>
      </c>
      <c r="AC552" s="6" t="n">
        <v>0.9336537539746401</v>
      </c>
      <c r="AD552" s="6" t="n">
        <v>0.1630791585188867</v>
      </c>
      <c r="AE552" s="6" t="n">
        <v>-0.9933893764018801</v>
      </c>
      <c r="AF552" s="6" t="n">
        <v>0.6436727433085676</v>
      </c>
      <c r="AG552" s="6" t="n">
        <v>0.2672188337662424</v>
      </c>
      <c r="AH552" s="6" t="n">
        <v>-1.446761608027314</v>
      </c>
      <c r="AI552" s="6" t="n">
        <v>1.882401522863518</v>
      </c>
      <c r="AJ552" s="6" t="n">
        <v>69.18370355796414</v>
      </c>
      <c r="AK552" s="6" t="n">
        <v>0.1027664245770921</v>
      </c>
      <c r="AL552" s="6" t="n">
        <v>1.09187933747127</v>
      </c>
      <c r="AN552" s="6" t="n">
        <v>1.309014926389775</v>
      </c>
      <c r="AO552" s="6" t="n">
        <v>1.31701424795771</v>
      </c>
      <c r="AP552" s="6" t="n">
        <v>0.1293642328970509</v>
      </c>
      <c r="AQ552" s="6" t="n">
        <v>0</v>
      </c>
      <c r="AR552" s="6" t="n">
        <v>0</v>
      </c>
    </row>
    <row r="553">
      <c r="D553" t="inlineStr">
        <is>
          <t>Run 241</t>
        </is>
      </c>
      <c r="J553" s="6" t="n">
        <v>0.7344391945929659</v>
      </c>
      <c r="K553" s="6" t="n">
        <v>-1.667434339950405</v>
      </c>
      <c r="L553" s="6" t="n">
        <v>-2.938431285479269</v>
      </c>
      <c r="M553" s="6" t="n">
        <v>0.1415113831168549</v>
      </c>
      <c r="N553" s="6" t="n">
        <v>2.211102359168537</v>
      </c>
      <c r="O553" s="6" t="n">
        <v>-0.1469425589405914</v>
      </c>
      <c r="P553" s="6" t="n">
        <v>-3.233296203876391</v>
      </c>
      <c r="Q553" s="6" t="n">
        <v>1.327782576997357</v>
      </c>
      <c r="R553" s="6" t="n">
        <v>3.218377223215685</v>
      </c>
      <c r="S553" s="6" t="n">
        <v>-0.5817233072132005</v>
      </c>
      <c r="T553" s="6" t="n">
        <v>0.7175831662896389</v>
      </c>
      <c r="U553" s="6" t="n">
        <v>-1.458842114259142</v>
      </c>
      <c r="V553" s="6" t="n">
        <v>-0.890899460348163</v>
      </c>
      <c r="W553" s="6" t="n">
        <v>0.4035783495534497</v>
      </c>
      <c r="X553" s="6" t="n">
        <v>-1.374806571731483</v>
      </c>
      <c r="Y553" s="6" t="n">
        <v>1.473927380254096</v>
      </c>
      <c r="Z553" s="6" t="n">
        <v>0.3256750353153424</v>
      </c>
      <c r="AA553" s="6" t="n">
        <v>-0.3035456300898157</v>
      </c>
      <c r="AB553" s="6" t="n">
        <v>-1.573869466829519</v>
      </c>
      <c r="AC553" s="6" t="n">
        <v>-0.8518995831740842</v>
      </c>
      <c r="AD553" s="6" t="n">
        <v>1.839270860667294</v>
      </c>
      <c r="AE553" s="6" t="n">
        <v>1.544974101019183</v>
      </c>
      <c r="AF553" s="6" t="n">
        <v>-3.020795749474727</v>
      </c>
      <c r="AG553" s="6" t="n">
        <v>0.3281854857484264</v>
      </c>
      <c r="AH553" s="6" t="n">
        <v>2.980119313969634</v>
      </c>
      <c r="AI553" s="6" t="n">
        <v>-2.791925430106103</v>
      </c>
      <c r="AJ553" s="6" t="n">
        <v>72.09565120938569</v>
      </c>
      <c r="AK553" s="6" t="n">
        <v>0.1776152582124537</v>
      </c>
      <c r="AL553" s="6" t="n">
        <v>1.079051348124071</v>
      </c>
      <c r="AN553" s="6" t="n">
        <v>1.329844455759267</v>
      </c>
      <c r="AO553" s="6" t="n">
        <v>1.330324521400492</v>
      </c>
      <c r="AP553" s="6" t="n">
        <v>0.1292265625248533</v>
      </c>
      <c r="AQ553" s="6" t="n">
        <v>0</v>
      </c>
      <c r="AR553" s="6" t="n">
        <v>0</v>
      </c>
    </row>
    <row r="554">
      <c r="D554" t="inlineStr">
        <is>
          <t>Run 242</t>
        </is>
      </c>
      <c r="J554" s="6" t="n">
        <v>-0.08186000993709794</v>
      </c>
      <c r="K554" s="6" t="n">
        <v>-1.692419083112682</v>
      </c>
      <c r="L554" s="6" t="n">
        <v>2.13681455612965</v>
      </c>
      <c r="M554" s="6" t="n">
        <v>-2.90883483973359</v>
      </c>
      <c r="N554" s="6" t="n">
        <v>0.9752420636661214</v>
      </c>
      <c r="O554" s="6" t="n">
        <v>-1.455455984101974</v>
      </c>
      <c r="P554" s="6" t="n">
        <v>-3.062506913385817</v>
      </c>
      <c r="Q554" s="6" t="n">
        <v>-0.09057330496946815</v>
      </c>
      <c r="R554" s="6" t="n">
        <v>0.6202815278753036</v>
      </c>
      <c r="S554" s="6" t="n">
        <v>0.4401611243650953</v>
      </c>
      <c r="T554" s="6" t="n">
        <v>-1.721305551284</v>
      </c>
      <c r="U554" s="6" t="n">
        <v>2.759329678594235</v>
      </c>
      <c r="V554" s="6" t="n">
        <v>2.559969174698785</v>
      </c>
      <c r="W554" s="6" t="n">
        <v>-4.311268290192839</v>
      </c>
      <c r="X554" s="6" t="n">
        <v>-2.366112079266063</v>
      </c>
      <c r="Y554" s="6" t="n">
        <v>-1.436154838398516</v>
      </c>
      <c r="Z554" s="6" t="n">
        <v>-0.8034609796365437</v>
      </c>
      <c r="AA554" s="6" t="n">
        <v>-1.02514737817903</v>
      </c>
      <c r="AB554" s="6" t="n">
        <v>0.6474449639165483</v>
      </c>
      <c r="AC554" s="6" t="n">
        <v>-0.4983438002597274</v>
      </c>
      <c r="AD554" s="6" t="n">
        <v>-2.558186106655396</v>
      </c>
      <c r="AE554" s="6" t="n">
        <v>2.259619555210429</v>
      </c>
      <c r="AF554" s="6" t="n">
        <v>-2.180699256498848</v>
      </c>
      <c r="AG554" s="6" t="n">
        <v>2.283945567440664</v>
      </c>
      <c r="AH554" s="6" t="n">
        <v>0.04074704212108878</v>
      </c>
      <c r="AI554" s="6" t="n">
        <v>-2.71038740124525</v>
      </c>
      <c r="AJ554" s="6" t="n">
        <v>73.70417065512625</v>
      </c>
      <c r="AK554" s="6" t="n">
        <v>0.008770661299348989</v>
      </c>
      <c r="AL554" s="6" t="n">
        <v>1.019001284216963</v>
      </c>
      <c r="AN554" s="6" t="n">
        <v>1.336495563547043</v>
      </c>
      <c r="AO554" s="6" t="n">
        <v>1.348678557815185</v>
      </c>
      <c r="AP554" s="6" t="n">
        <v>0.1382525525593794</v>
      </c>
      <c r="AQ554" s="6" t="n">
        <v>0</v>
      </c>
      <c r="AR554" s="6" t="n">
        <v>0</v>
      </c>
    </row>
    <row r="555">
      <c r="D555" t="inlineStr">
        <is>
          <t>Run 243</t>
        </is>
      </c>
      <c r="J555" s="6" t="n">
        <v>-2.369691396632877</v>
      </c>
      <c r="K555" s="6" t="n">
        <v>2.873257298591836</v>
      </c>
      <c r="L555" s="6" t="n">
        <v>1.962569802885616</v>
      </c>
      <c r="M555" s="6" t="n">
        <v>-3.192379355147502</v>
      </c>
      <c r="N555" s="6" t="n">
        <v>1.401491822639566</v>
      </c>
      <c r="O555" s="6" t="n">
        <v>-0.2962556710641291</v>
      </c>
      <c r="P555" s="6" t="n">
        <v>4.422629140766172</v>
      </c>
      <c r="Q555" s="6" t="n">
        <v>-4.064488927222524</v>
      </c>
      <c r="R555" s="6" t="n">
        <v>-1.150610134924179</v>
      </c>
      <c r="S555" s="6" t="n">
        <v>4.358959874203754</v>
      </c>
      <c r="T555" s="6" t="n">
        <v>1.942668520480169</v>
      </c>
      <c r="U555" s="6" t="n">
        <v>-0.9822274815567149</v>
      </c>
      <c r="V555" s="6" t="n">
        <v>0.3543890235567415</v>
      </c>
      <c r="W555" s="6" t="n">
        <v>3.053128706651315</v>
      </c>
      <c r="X555" s="6" t="n">
        <v>0.03036543273816976</v>
      </c>
      <c r="Y555" s="6" t="n">
        <v>-3.578621909884764</v>
      </c>
      <c r="Z555" s="6" t="n">
        <v>1.261410284107359</v>
      </c>
      <c r="AA555" s="6" t="n">
        <v>-1.767500662478938</v>
      </c>
      <c r="AB555" s="6" t="n">
        <v>2.51657604357365</v>
      </c>
      <c r="AC555" s="6" t="n">
        <v>-0.5155045404322323</v>
      </c>
      <c r="AD555" s="6" t="n">
        <v>0.2426767016410769</v>
      </c>
      <c r="AE555" s="6" t="n">
        <v>1.249226680597373</v>
      </c>
      <c r="AF555" s="6" t="n">
        <v>0.7519610644027095</v>
      </c>
      <c r="AG555" s="6" t="n">
        <v>2.407399414163489</v>
      </c>
      <c r="AH555" s="6" t="n">
        <v>-3.409959917459862</v>
      </c>
      <c r="AI555" s="6" t="n">
        <v>-2.574210695243162</v>
      </c>
      <c r="AJ555" s="6" t="n">
        <v>67.76956615812242</v>
      </c>
      <c r="AK555" s="6" t="n">
        <v>0.1608388087917956</v>
      </c>
      <c r="AL555" s="6" t="n">
        <v>1.088732895308877</v>
      </c>
      <c r="AN555" s="6" t="n">
        <v>1.300771927080594</v>
      </c>
      <c r="AO555" s="6" t="n">
        <v>1.312300154701379</v>
      </c>
      <c r="AP555" s="6" t="n">
        <v>0.1277442626212619</v>
      </c>
      <c r="AQ555" s="6" t="n">
        <v>0</v>
      </c>
      <c r="AR555" s="6" t="n">
        <v>0</v>
      </c>
    </row>
    <row r="556">
      <c r="D556" t="inlineStr">
        <is>
          <t>Run 244</t>
        </is>
      </c>
      <c r="J556" s="6" t="n">
        <v>0.3794220520550343</v>
      </c>
      <c r="K556" s="6" t="n">
        <v>-2.109940932745475</v>
      </c>
      <c r="L556" s="6" t="n">
        <v>-2.055234569736715</v>
      </c>
      <c r="M556" s="6" t="n">
        <v>-4.417573423112781</v>
      </c>
      <c r="N556" s="6" t="n">
        <v>-2.154190531094022</v>
      </c>
      <c r="O556" s="6" t="n">
        <v>-2.133803203535452</v>
      </c>
      <c r="P556" s="6" t="n">
        <v>2.709762485668164</v>
      </c>
      <c r="Q556" s="6" t="n">
        <v>-0.2037368249156149</v>
      </c>
      <c r="R556" s="6" t="n">
        <v>-0.5977524404523643</v>
      </c>
      <c r="S556" s="6" t="n">
        <v>-0.9873193686062914</v>
      </c>
      <c r="T556" s="6" t="n">
        <v>-4.371237932264454</v>
      </c>
      <c r="U556" s="6" t="n">
        <v>3.726208031394657</v>
      </c>
      <c r="V556" s="6" t="n">
        <v>1.605540890607575</v>
      </c>
      <c r="W556" s="6" t="n">
        <v>0.8868438316973017</v>
      </c>
      <c r="X556" s="6" t="n">
        <v>-0.6901725364099193</v>
      </c>
      <c r="Y556" s="6" t="n">
        <v>1.936199089170424</v>
      </c>
      <c r="Z556" s="6" t="n">
        <v>-3.1304745758449</v>
      </c>
      <c r="AA556" s="6" t="n">
        <v>2.084786162111499</v>
      </c>
      <c r="AB556" s="6" t="n">
        <v>1.339839145187557</v>
      </c>
      <c r="AC556" s="6" t="n">
        <v>1.156462716756578</v>
      </c>
      <c r="AD556" s="6" t="n">
        <v>1.126124457747669</v>
      </c>
      <c r="AE556" s="6" t="n">
        <v>-1.220157246475692</v>
      </c>
      <c r="AF556" s="6" t="n">
        <v>-0.1992350317609681</v>
      </c>
      <c r="AG556" s="6" t="n">
        <v>-2.475797515814998</v>
      </c>
      <c r="AH556" s="6" t="n">
        <v>1.774354178018714</v>
      </c>
      <c r="AI556" s="6" t="n">
        <v>0.9053110713937851</v>
      </c>
      <c r="AJ556" s="6" t="n">
        <v>69.18357818605773</v>
      </c>
      <c r="AK556" s="6" t="n">
        <v>0.1193579088297225</v>
      </c>
      <c r="AL556" s="6" t="n">
        <v>1.057296140228682</v>
      </c>
      <c r="AN556" s="6" t="n">
        <v>1.293102626731273</v>
      </c>
      <c r="AO556" s="6" t="n">
        <v>1.298150871913767</v>
      </c>
      <c r="AP556" s="6" t="n">
        <v>0.1310739981035126</v>
      </c>
      <c r="AQ556" s="6" t="n">
        <v>0</v>
      </c>
      <c r="AR556" s="6" t="n">
        <v>0</v>
      </c>
    </row>
    <row r="557">
      <c r="D557" t="inlineStr">
        <is>
          <t>Run 245</t>
        </is>
      </c>
      <c r="J557" s="6" t="n">
        <v>0.3353865911694019</v>
      </c>
      <c r="K557" s="6" t="n">
        <v>-1.353157229284476</v>
      </c>
      <c r="L557" s="6" t="n">
        <v>-0.7620786658484262</v>
      </c>
      <c r="M557" s="6" t="n">
        <v>0.1819355699165529</v>
      </c>
      <c r="N557" s="6" t="n">
        <v>1.021753133974758</v>
      </c>
      <c r="O557" s="6" t="n">
        <v>-2.171444721857716</v>
      </c>
      <c r="P557" s="6" t="n">
        <v>-1.710497117113312</v>
      </c>
      <c r="Q557" s="6" t="n">
        <v>4.187227240580932</v>
      </c>
      <c r="R557" s="6" t="n">
        <v>-3.052643060766027</v>
      </c>
      <c r="S557" s="6" t="n">
        <v>-0.7002913897001464</v>
      </c>
      <c r="T557" s="6" t="n">
        <v>-0.153928301275286</v>
      </c>
      <c r="U557" s="6" t="n">
        <v>0.7668887914841903</v>
      </c>
      <c r="V557" s="6" t="n">
        <v>3.601265450694476</v>
      </c>
      <c r="W557" s="6" t="n">
        <v>-0.9424952775516405</v>
      </c>
      <c r="X557" s="6" t="n">
        <v>-0.9560587769731849</v>
      </c>
      <c r="Y557" s="6" t="n">
        <v>1.579160991916486</v>
      </c>
      <c r="Z557" s="6" t="n">
        <v>1.064582931321024</v>
      </c>
      <c r="AA557" s="6" t="n">
        <v>-0.6818918910312571</v>
      </c>
      <c r="AB557" s="6" t="n">
        <v>0.8852232371349924</v>
      </c>
      <c r="AC557" s="6" t="n">
        <v>-0.03790906940475247</v>
      </c>
      <c r="AD557" s="6" t="n">
        <v>-1.525839890155567</v>
      </c>
      <c r="AE557" s="6" t="n">
        <v>1.270689685439908</v>
      </c>
      <c r="AF557" s="6" t="n">
        <v>-0.2171120568787279</v>
      </c>
      <c r="AG557" s="6" t="n">
        <v>3.226554971355942</v>
      </c>
      <c r="AH557" s="6" t="n">
        <v>0.4636201921985728</v>
      </c>
      <c r="AI557" s="6" t="n">
        <v>-1.586075818102429</v>
      </c>
      <c r="AJ557" s="6" t="n">
        <v>77.94859959367341</v>
      </c>
      <c r="AK557" s="6" t="n">
        <v>0.08433238594423831</v>
      </c>
      <c r="AL557" s="6" t="n">
        <v>1.056449301683126</v>
      </c>
      <c r="AN557" s="6" t="n">
        <v>1.349861682964181</v>
      </c>
      <c r="AO557" s="6" t="n">
        <v>1.349861682964181</v>
      </c>
      <c r="AP557" s="6" t="n">
        <v>0.1334504695487527</v>
      </c>
      <c r="AQ557" s="6" t="n">
        <v>0</v>
      </c>
      <c r="AR557" s="6" t="n">
        <v>0</v>
      </c>
    </row>
    <row r="558">
      <c r="D558" t="inlineStr">
        <is>
          <t>Run 246</t>
        </is>
      </c>
      <c r="J558" s="6" t="n">
        <v>1.696069601779583</v>
      </c>
      <c r="K558" s="6" t="n">
        <v>1.2323151225633</v>
      </c>
      <c r="L558" s="6" t="n">
        <v>0.542793955343311</v>
      </c>
      <c r="M558" s="6" t="n">
        <v>3.651388091124402</v>
      </c>
      <c r="N558" s="6" t="n">
        <v>5</v>
      </c>
      <c r="O558" s="6" t="n">
        <v>-0.3384976938360821</v>
      </c>
      <c r="P558" s="6" t="n">
        <v>-2.054203988000607</v>
      </c>
      <c r="Q558" s="6" t="n">
        <v>-3.302862625466682</v>
      </c>
      <c r="R558" s="6" t="n">
        <v>-1.907632651000674</v>
      </c>
      <c r="S558" s="6" t="n">
        <v>-2.907425858648319</v>
      </c>
      <c r="T558" s="6" t="n">
        <v>1.826367354316965</v>
      </c>
      <c r="U558" s="6" t="n">
        <v>-0.004301447865616741</v>
      </c>
      <c r="V558" s="6" t="n">
        <v>1.668611675734126</v>
      </c>
      <c r="W558" s="6" t="n">
        <v>0.209149959136036</v>
      </c>
      <c r="X558" s="6" t="n">
        <v>-1.139618658179889</v>
      </c>
      <c r="Y558" s="6" t="n">
        <v>1.281157295929509</v>
      </c>
      <c r="Z558" s="6" t="n">
        <v>-0.8939783945660963</v>
      </c>
      <c r="AA558" s="6" t="n">
        <v>-0.1504691480505987</v>
      </c>
      <c r="AB558" s="6" t="n">
        <v>0.3557259771821216</v>
      </c>
      <c r="AC558" s="6" t="n">
        <v>1.294192963152943</v>
      </c>
      <c r="AD558" s="6" t="n">
        <v>-1.62261408535875</v>
      </c>
      <c r="AE558" s="6" t="n">
        <v>-1.141082699145066</v>
      </c>
      <c r="AF558" s="6" t="n">
        <v>-4.278373429978119</v>
      </c>
      <c r="AG558" s="6" t="n">
        <v>0.3436374177329055</v>
      </c>
      <c r="AH558" s="6" t="n">
        <v>2.794540890935624</v>
      </c>
      <c r="AI558" s="6" t="n">
        <v>0.01269403598945028</v>
      </c>
      <c r="AJ558" s="6" t="n">
        <v>58.96948057350193</v>
      </c>
      <c r="AK558" s="6" t="n">
        <v>0.1304072513043319</v>
      </c>
      <c r="AL558" s="6" t="n">
        <v>1.044884146639173</v>
      </c>
      <c r="AN558" s="6" t="n">
        <v>1.337657231858877</v>
      </c>
      <c r="AO558" s="6" t="n">
        <v>1.338203468476392</v>
      </c>
      <c r="AP558" s="6" t="n">
        <v>0.1312644601412733</v>
      </c>
      <c r="AQ558" s="6" t="n">
        <v>0</v>
      </c>
      <c r="AR558" s="6" t="n">
        <v>0</v>
      </c>
    </row>
    <row r="559">
      <c r="D559" t="inlineStr">
        <is>
          <t>Run 247</t>
        </is>
      </c>
      <c r="J559" s="6" t="n">
        <v>-3.057198437496056</v>
      </c>
      <c r="K559" s="6" t="n">
        <v>1.501876783116592</v>
      </c>
      <c r="L559" s="6" t="n">
        <v>-1.041927203791411</v>
      </c>
      <c r="M559" s="6" t="n">
        <v>2.798947516309056</v>
      </c>
      <c r="N559" s="6" t="n">
        <v>3.158533779522175</v>
      </c>
      <c r="O559" s="6" t="n">
        <v>1.013231393988323</v>
      </c>
      <c r="P559" s="6" t="n">
        <v>1.589283400597474</v>
      </c>
      <c r="Q559" s="6" t="n">
        <v>1.79443586598624</v>
      </c>
      <c r="R559" s="6" t="n">
        <v>2.725945228214968</v>
      </c>
      <c r="S559" s="6" t="n">
        <v>-0.4716292363764353</v>
      </c>
      <c r="T559" s="6" t="n">
        <v>1.168497070900502</v>
      </c>
      <c r="U559" s="6" t="n">
        <v>-2.062728732818173</v>
      </c>
      <c r="V559" s="6" t="n">
        <v>2.978092920500244</v>
      </c>
      <c r="W559" s="6" t="n">
        <v>0.2685292983570767</v>
      </c>
      <c r="X559" s="6" t="n">
        <v>2.903748782347613</v>
      </c>
      <c r="Y559" s="6" t="n">
        <v>-1.508514646904009</v>
      </c>
      <c r="Z559" s="6" t="n">
        <v>1.128211669029706</v>
      </c>
      <c r="AA559" s="6" t="n">
        <v>-0.4916574885889446</v>
      </c>
      <c r="AB559" s="6" t="n">
        <v>1.64594040297632</v>
      </c>
      <c r="AC559" s="6" t="n">
        <v>-1.525918401760857</v>
      </c>
      <c r="AD559" s="6" t="n">
        <v>1.142995242028515</v>
      </c>
      <c r="AE559" s="6" t="n">
        <v>3.694692873982034</v>
      </c>
      <c r="AF559" s="6" t="n">
        <v>-2.255175477647781</v>
      </c>
      <c r="AG559" s="6" t="n">
        <v>-2.762976400597117</v>
      </c>
      <c r="AH559" s="6" t="n">
        <v>-2.838526963126777</v>
      </c>
      <c r="AI559" s="6" t="n">
        <v>3.292946439475082</v>
      </c>
      <c r="AJ559" s="6" t="n">
        <v>60.87895871946549</v>
      </c>
      <c r="AK559" s="6" t="n">
        <v>0.1114108000492869</v>
      </c>
      <c r="AL559" s="6" t="n">
        <v>1.079212335222021</v>
      </c>
      <c r="AN559" s="6" t="n">
        <v>1.331151137521406</v>
      </c>
      <c r="AO559" s="6" t="n">
        <v>1.331698334460689</v>
      </c>
      <c r="AP559" s="6" t="n">
        <v>0.1298191119462184</v>
      </c>
      <c r="AQ559" s="6" t="n">
        <v>0</v>
      </c>
      <c r="AR559" s="6" t="n">
        <v>0</v>
      </c>
    </row>
    <row r="560">
      <c r="D560" t="inlineStr">
        <is>
          <t>Run 248</t>
        </is>
      </c>
      <c r="J560" s="6" t="n">
        <v>1.965809095052254</v>
      </c>
      <c r="K560" s="6" t="n">
        <v>0.1102985844784913</v>
      </c>
      <c r="L560" s="6" t="n">
        <v>0.02480792644933578</v>
      </c>
      <c r="M560" s="6" t="n">
        <v>0.3725831705719508</v>
      </c>
      <c r="N560" s="6" t="n">
        <v>-0.5832648326019274</v>
      </c>
      <c r="O560" s="6" t="n">
        <v>1.02067725338534</v>
      </c>
      <c r="P560" s="6" t="n">
        <v>-0.1493755428120272</v>
      </c>
      <c r="Q560" s="6" t="n">
        <v>-3.263062920027899</v>
      </c>
      <c r="R560" s="6" t="n">
        <v>0.02722038446698738</v>
      </c>
      <c r="S560" s="6" t="n">
        <v>-1.33653574108409</v>
      </c>
      <c r="T560" s="6" t="n">
        <v>-1.898428650724213</v>
      </c>
      <c r="U560" s="6" t="n">
        <v>-1.948312250914536</v>
      </c>
      <c r="V560" s="6" t="n">
        <v>-1.29557325461845</v>
      </c>
      <c r="W560" s="6" t="n">
        <v>0.01620384931280964</v>
      </c>
      <c r="X560" s="6" t="n">
        <v>0.4046077731490283</v>
      </c>
      <c r="Y560" s="6" t="n">
        <v>1.709868380040455</v>
      </c>
      <c r="Z560" s="6" t="n">
        <v>0.3722101128637437</v>
      </c>
      <c r="AA560" s="6" t="n">
        <v>-1.222403960133907</v>
      </c>
      <c r="AB560" s="6" t="n">
        <v>1.052121551601368</v>
      </c>
      <c r="AC560" s="6" t="n">
        <v>0.3258357752685208</v>
      </c>
      <c r="AD560" s="6" t="n">
        <v>-0.271435916173168</v>
      </c>
      <c r="AE560" s="6" t="n">
        <v>-3.094123790318768</v>
      </c>
      <c r="AF560" s="6" t="n">
        <v>-1.318097162506912</v>
      </c>
      <c r="AG560" s="6" t="n">
        <v>0.5609992073969871</v>
      </c>
      <c r="AH560" s="6" t="n">
        <v>2.043831283064117</v>
      </c>
      <c r="AI560" s="6" t="n">
        <v>-1.843338580973567</v>
      </c>
      <c r="AJ560" s="6" t="n">
        <v>61.22009401783908</v>
      </c>
      <c r="AK560" s="6" t="n">
        <v>0.1036127416956011</v>
      </c>
      <c r="AL560" s="6" t="n">
        <v>1.037090482017232</v>
      </c>
      <c r="AN560" s="6" t="n">
        <v>1.34336177627286</v>
      </c>
      <c r="AO560" s="6" t="n">
        <v>1.343454745895513</v>
      </c>
      <c r="AP560" s="6" t="n">
        <v>0.1327567712527925</v>
      </c>
      <c r="AQ560" s="6" t="n">
        <v>0</v>
      </c>
      <c r="AR560" s="6" t="n">
        <v>0</v>
      </c>
    </row>
    <row r="561">
      <c r="D561" t="inlineStr">
        <is>
          <t>Run 249</t>
        </is>
      </c>
      <c r="J561" s="6" t="n">
        <v>-3.948876350101033</v>
      </c>
      <c r="K561" s="6" t="n">
        <v>-0.500176875709432</v>
      </c>
      <c r="L561" s="6" t="n">
        <v>1.730051176883361</v>
      </c>
      <c r="M561" s="6" t="n">
        <v>-0.3000334194083403</v>
      </c>
      <c r="N561" s="6" t="n">
        <v>2.76919260877302</v>
      </c>
      <c r="O561" s="6" t="n">
        <v>1.028331296205788</v>
      </c>
      <c r="P561" s="6" t="n">
        <v>0.9005077530355587</v>
      </c>
      <c r="Q561" s="6" t="n">
        <v>2.912514984588192</v>
      </c>
      <c r="R561" s="6" t="n">
        <v>-3.661347996754522</v>
      </c>
      <c r="S561" s="6" t="n">
        <v>3.139619859604928</v>
      </c>
      <c r="T561" s="6" t="n">
        <v>-5.043869232010199</v>
      </c>
      <c r="U561" s="6" t="n">
        <v>-0.3946057325784616</v>
      </c>
      <c r="V561" s="6" t="n">
        <v>-3.02210212772936</v>
      </c>
      <c r="W561" s="6" t="n">
        <v>0.4287407622136949</v>
      </c>
      <c r="X561" s="6" t="n">
        <v>1.706550933333279</v>
      </c>
      <c r="Y561" s="6" t="n">
        <v>-1.084994280490508</v>
      </c>
      <c r="Z561" s="6" t="n">
        <v>0.7502930440105118</v>
      </c>
      <c r="AA561" s="6" t="n">
        <v>-0.4499969777587772</v>
      </c>
      <c r="AB561" s="6" t="n">
        <v>0.4728402018489828</v>
      </c>
      <c r="AC561" s="6" t="n">
        <v>0.9729881717004959</v>
      </c>
      <c r="AD561" s="6" t="n">
        <v>-0.7175261258481559</v>
      </c>
      <c r="AE561" s="6" t="n">
        <v>-1.757571231780895</v>
      </c>
      <c r="AF561" s="6" t="n">
        <v>-0.6040058005764768</v>
      </c>
      <c r="AG561" s="6" t="n">
        <v>1.085067730674139</v>
      </c>
      <c r="AH561" s="6" t="n">
        <v>0.07669208931074697</v>
      </c>
      <c r="AI561" s="6" t="n">
        <v>-0.1839143680957516</v>
      </c>
      <c r="AJ561" s="6" t="n">
        <v>76.60749938739086</v>
      </c>
      <c r="AK561" s="6" t="n">
        <v>0.1512067311789529</v>
      </c>
      <c r="AL561" s="6" t="n">
        <v>1.043812027629664</v>
      </c>
      <c r="AN561" s="6" t="n">
        <v>1.348469503104014</v>
      </c>
      <c r="AO561" s="6" t="n">
        <v>1.348727860027623</v>
      </c>
      <c r="AP561" s="6" t="n">
        <v>0.1326965032868492</v>
      </c>
      <c r="AQ561" s="6" t="n">
        <v>0</v>
      </c>
      <c r="AR561" s="6" t="n">
        <v>0</v>
      </c>
    </row>
    <row r="562">
      <c r="D562" t="inlineStr">
        <is>
          <t>Run 250</t>
        </is>
      </c>
      <c r="J562" s="6" t="n">
        <v>0.5154645422097979</v>
      </c>
      <c r="K562" s="6" t="n">
        <v>3.084015666413665</v>
      </c>
      <c r="L562" s="6" t="n">
        <v>1.174467812155561</v>
      </c>
      <c r="M562" s="6" t="n">
        <v>-1.259307869479681</v>
      </c>
      <c r="N562" s="6" t="n">
        <v>-1.201703240039731</v>
      </c>
      <c r="O562" s="6" t="n">
        <v>-1.16111685127588</v>
      </c>
      <c r="P562" s="6" t="n">
        <v>-1.11708225798522</v>
      </c>
      <c r="Q562" s="6" t="n">
        <v>0.1187473073059367</v>
      </c>
      <c r="R562" s="6" t="n">
        <v>-1.200236945572725</v>
      </c>
      <c r="S562" s="6" t="n">
        <v>1.860878248631034</v>
      </c>
      <c r="T562" s="6" t="n">
        <v>-4.546374241865118</v>
      </c>
      <c r="U562" s="6" t="n">
        <v>-1.638860800927905</v>
      </c>
      <c r="V562" s="6" t="n">
        <v>2.205314703879909</v>
      </c>
      <c r="W562" s="6" t="n">
        <v>-1.412016562782126</v>
      </c>
      <c r="X562" s="6" t="n">
        <v>-2.354413182734523</v>
      </c>
      <c r="Y562" s="6" t="n">
        <v>-1.904828651322282</v>
      </c>
      <c r="Z562" s="6" t="n">
        <v>-1.954760262188913</v>
      </c>
      <c r="AA562" s="6" t="n">
        <v>1.086803083588529</v>
      </c>
      <c r="AB562" s="6" t="n">
        <v>-0.3908020113702833</v>
      </c>
      <c r="AC562" s="6" t="n">
        <v>-1.551106617848913</v>
      </c>
      <c r="AD562" s="6" t="n">
        <v>2.797631539105604</v>
      </c>
      <c r="AE562" s="6" t="n">
        <v>2.661989633489061</v>
      </c>
      <c r="AF562" s="6" t="n">
        <v>-1.414663715581911</v>
      </c>
      <c r="AG562" s="6" t="n">
        <v>-2.696356013158827</v>
      </c>
      <c r="AH562" s="6" t="n">
        <v>-1.811533569510448</v>
      </c>
      <c r="AI562" s="6" t="n">
        <v>1.631447121347265</v>
      </c>
      <c r="AJ562" s="6" t="n">
        <v>66.72772828292943</v>
      </c>
      <c r="AK562" s="6" t="n">
        <v>0.1002240389232165</v>
      </c>
      <c r="AL562" s="6" t="n">
        <v>1.017634154997366</v>
      </c>
      <c r="AN562" s="6" t="n">
        <v>1.349418808382558</v>
      </c>
      <c r="AO562" s="6" t="n">
        <v>1.349418808382558</v>
      </c>
      <c r="AP562" s="6" t="n">
        <v>0.1355758717641955</v>
      </c>
      <c r="AQ562" s="6" t="n">
        <v>0</v>
      </c>
      <c r="AR562" s="6" t="n">
        <v>0</v>
      </c>
    </row>
    <row r="563">
      <c r="D563" t="inlineStr">
        <is>
          <t>Run 251</t>
        </is>
      </c>
      <c r="J563" s="6" t="n">
        <v>-0.4835740592026712</v>
      </c>
      <c r="K563" s="6" t="n">
        <v>-0.2387230935589882</v>
      </c>
      <c r="L563" s="6" t="n">
        <v>-0.4124256197441886</v>
      </c>
      <c r="M563" s="6" t="n">
        <v>-2.40829424989753</v>
      </c>
      <c r="N563" s="6" t="n">
        <v>2.164438044700117</v>
      </c>
      <c r="O563" s="6" t="n">
        <v>-1.32207688979553</v>
      </c>
      <c r="P563" s="6" t="n">
        <v>-1.651118761832756</v>
      </c>
      <c r="Q563" s="6" t="n">
        <v>0.7447003149915813</v>
      </c>
      <c r="R563" s="6" t="n">
        <v>-4.020257792065173</v>
      </c>
      <c r="S563" s="6" t="n">
        <v>-1.125765648512355</v>
      </c>
      <c r="T563" s="6" t="n">
        <v>-0.9863454369291086</v>
      </c>
      <c r="U563" s="6" t="n">
        <v>0.2922949599121912</v>
      </c>
      <c r="V563" s="6" t="n">
        <v>1.355629709695138</v>
      </c>
      <c r="W563" s="6" t="n">
        <v>-1.225197644796003</v>
      </c>
      <c r="X563" s="6" t="n">
        <v>3.614435090714548</v>
      </c>
      <c r="Y563" s="6" t="n">
        <v>1.942172386071362</v>
      </c>
      <c r="Z563" s="6" t="n">
        <v>2.666128443950697</v>
      </c>
      <c r="AA563" s="6" t="n">
        <v>0.1908886130068523</v>
      </c>
      <c r="AB563" s="6" t="n">
        <v>-1.295869367457094</v>
      </c>
      <c r="AC563" s="6" t="n">
        <v>0.9963095769930286</v>
      </c>
      <c r="AD563" s="6" t="n">
        <v>-2.471144293409645</v>
      </c>
      <c r="AE563" s="6" t="n">
        <v>0.09765058204117318</v>
      </c>
      <c r="AF563" s="6" t="n">
        <v>4.504317870405677</v>
      </c>
      <c r="AG563" s="6" t="n">
        <v>-0.6632883269615973</v>
      </c>
      <c r="AH563" s="6" t="n">
        <v>1.33482783179131</v>
      </c>
      <c r="AI563" s="6" t="n">
        <v>1.891194488280572</v>
      </c>
      <c r="AJ563" s="6" t="n">
        <v>78.01933279602193</v>
      </c>
      <c r="AK563" s="6" t="n">
        <v>0.0865360832746557</v>
      </c>
      <c r="AL563" s="6" t="n">
        <v>1.034460815754605</v>
      </c>
      <c r="AN563" s="6" t="n">
        <v>1.33548287547286</v>
      </c>
      <c r="AO563" s="6" t="n">
        <v>1.343988657476938</v>
      </c>
      <c r="AP563" s="6" t="n">
        <v>0.1352530352784606</v>
      </c>
      <c r="AQ563" s="6" t="n">
        <v>0</v>
      </c>
      <c r="AR563" s="6" t="n">
        <v>0</v>
      </c>
    </row>
    <row r="564">
      <c r="D564" t="inlineStr">
        <is>
          <t>Run 252</t>
        </is>
      </c>
      <c r="J564" s="6" t="n">
        <v>-0.06984845516775633</v>
      </c>
      <c r="K564" s="6" t="n">
        <v>-1.809768920407653</v>
      </c>
      <c r="L564" s="6" t="n">
        <v>-0.6147147848834332</v>
      </c>
      <c r="M564" s="6" t="n">
        <v>-1.292153403215804</v>
      </c>
      <c r="N564" s="6" t="n">
        <v>-0.8633639871574553</v>
      </c>
      <c r="O564" s="6" t="n">
        <v>-5.08614230568569</v>
      </c>
      <c r="P564" s="6" t="n">
        <v>-0.3413904456587319</v>
      </c>
      <c r="Q564" s="6" t="n">
        <v>0.4660922258342445</v>
      </c>
      <c r="R564" s="6" t="n">
        <v>-2.80740490314045</v>
      </c>
      <c r="S564" s="6" t="n">
        <v>0.3090517581082023</v>
      </c>
      <c r="T564" s="6" t="n">
        <v>0.7215860233212726</v>
      </c>
      <c r="U564" s="6" t="n">
        <v>2.433030069397281</v>
      </c>
      <c r="V564" s="6" t="n">
        <v>-0.2279636277954963</v>
      </c>
      <c r="W564" s="6" t="n">
        <v>2.636235800814763</v>
      </c>
      <c r="X564" s="6" t="n">
        <v>3.401695616536772</v>
      </c>
      <c r="Y564" s="6" t="n">
        <v>0.5540234501179262</v>
      </c>
      <c r="Z564" s="6" t="n">
        <v>1.52044518567217</v>
      </c>
      <c r="AA564" s="6" t="n">
        <v>-2.645912889984043</v>
      </c>
      <c r="AB564" s="6" t="n">
        <v>-1.664607583273314</v>
      </c>
      <c r="AC564" s="6" t="n">
        <v>-0.1764442005991712</v>
      </c>
      <c r="AD564" s="6" t="n">
        <v>-0.483461943443599</v>
      </c>
      <c r="AE564" s="6" t="n">
        <v>-2.323334360471061</v>
      </c>
      <c r="AF564" s="6" t="n">
        <v>-2.036243182054191</v>
      </c>
      <c r="AG564" s="6" t="n">
        <v>-1.823714073888926</v>
      </c>
      <c r="AH564" s="6" t="n">
        <v>-0.08275489032277972</v>
      </c>
      <c r="AI564" s="6" t="n">
        <v>-0.3303133578914015</v>
      </c>
      <c r="AJ564" s="6" t="n">
        <v>78.80306213211441</v>
      </c>
      <c r="AK564" s="6" t="n">
        <v>0.1285497948641428</v>
      </c>
      <c r="AL564" s="6" t="n">
        <v>1.036943110761634</v>
      </c>
      <c r="AN564" s="6" t="n">
        <v>1.330480225072016</v>
      </c>
      <c r="AO564" s="6" t="n">
        <v>1.339016788873408</v>
      </c>
      <c r="AP564" s="6" t="n">
        <v>0.1339505037226589</v>
      </c>
      <c r="AQ564" s="6" t="n">
        <v>0</v>
      </c>
      <c r="AR564" s="6" t="n">
        <v>0</v>
      </c>
    </row>
    <row r="565">
      <c r="D565" t="inlineStr">
        <is>
          <t>Run 253</t>
        </is>
      </c>
      <c r="J565" s="6" t="n">
        <v>-1.391807893391529</v>
      </c>
      <c r="K565" s="6" t="n">
        <v>3.423265614342113</v>
      </c>
      <c r="L565" s="6" t="n">
        <v>-0.5886901788436074</v>
      </c>
      <c r="M565" s="6" t="n">
        <v>2.786690086056839</v>
      </c>
      <c r="N565" s="6" t="n">
        <v>-3.459513790305745</v>
      </c>
      <c r="O565" s="6" t="n">
        <v>-0.6694411723206137</v>
      </c>
      <c r="P565" s="6" t="n">
        <v>-1.674777663214024</v>
      </c>
      <c r="Q565" s="6" t="n">
        <v>-0.7177806123641362</v>
      </c>
      <c r="R565" s="6" t="n">
        <v>3.938246171668245</v>
      </c>
      <c r="S565" s="6" t="n">
        <v>-0.4862189481846452</v>
      </c>
      <c r="T565" s="6" t="n">
        <v>0.1378779531251603</v>
      </c>
      <c r="U565" s="6" t="n">
        <v>-4.116169445739531</v>
      </c>
      <c r="V565" s="6" t="n">
        <v>-1.632424892098146</v>
      </c>
      <c r="W565" s="6" t="n">
        <v>-0.8829113633796665</v>
      </c>
      <c r="X565" s="6" t="n">
        <v>0.6666351301166135</v>
      </c>
      <c r="Y565" s="6" t="n">
        <v>-2.6848005945131</v>
      </c>
      <c r="Z565" s="6" t="n">
        <v>-0.2372683053641327</v>
      </c>
      <c r="AA565" s="6" t="n">
        <v>-1.511301620184776</v>
      </c>
      <c r="AB565" s="6" t="n">
        <v>0.9201133454429116</v>
      </c>
      <c r="AC565" s="6" t="n">
        <v>3.079575460830212</v>
      </c>
      <c r="AD565" s="6" t="n">
        <v>1.981994500913634</v>
      </c>
      <c r="AE565" s="6" t="n">
        <v>-2.027906849215242</v>
      </c>
      <c r="AF565" s="6" t="n">
        <v>-2.493991413410487</v>
      </c>
      <c r="AG565" s="6" t="n">
        <v>-0.2311798350646639</v>
      </c>
      <c r="AH565" s="6" t="n">
        <v>-1.765406597691498</v>
      </c>
      <c r="AI565" s="6" t="n">
        <v>0.9710036257645726</v>
      </c>
      <c r="AJ565" s="6" t="n">
        <v>76.76201896736885</v>
      </c>
      <c r="AK565" s="6" t="n">
        <v>0.05878814658704366</v>
      </c>
      <c r="AL565" s="6" t="n">
        <v>1.058189176702437</v>
      </c>
      <c r="AN565" s="6" t="n">
        <v>1.348602492982002</v>
      </c>
      <c r="AO565" s="6" t="n">
        <v>1.349405738735253</v>
      </c>
      <c r="AP565" s="6" t="n">
        <v>0.133362081052271</v>
      </c>
      <c r="AQ565" s="6" t="n">
        <v>0</v>
      </c>
      <c r="AR565" s="6" t="n">
        <v>0</v>
      </c>
    </row>
    <row r="566">
      <c r="D566" t="inlineStr">
        <is>
          <t>Run 254</t>
        </is>
      </c>
      <c r="J566" s="6" t="n">
        <v>5</v>
      </c>
      <c r="K566" s="6" t="n">
        <v>-0.4249946624644101</v>
      </c>
      <c r="L566" s="6" t="n">
        <v>1.546314139064617</v>
      </c>
      <c r="M566" s="6" t="n">
        <v>-3.196834580973261</v>
      </c>
      <c r="N566" s="6" t="n">
        <v>-3.271864955073024</v>
      </c>
      <c r="O566" s="6" t="n">
        <v>-1.994861921177135</v>
      </c>
      <c r="P566" s="6" t="n">
        <v>2.361626138592788</v>
      </c>
      <c r="Q566" s="6" t="n">
        <v>-3.284390104728009</v>
      </c>
      <c r="R566" s="6" t="n">
        <v>0.5579758182493643</v>
      </c>
      <c r="S566" s="6" t="n">
        <v>-1.610060806600472</v>
      </c>
      <c r="T566" s="6" t="n">
        <v>2.176183003499264</v>
      </c>
      <c r="U566" s="6" t="n">
        <v>1.270220981517886</v>
      </c>
      <c r="V566" s="6" t="n">
        <v>0.125627320376784</v>
      </c>
      <c r="W566" s="6" t="n">
        <v>2.375923502859864</v>
      </c>
      <c r="X566" s="6" t="n">
        <v>1.788402577099058</v>
      </c>
      <c r="Y566" s="6" t="n">
        <v>0.8126684452324063</v>
      </c>
      <c r="Z566" s="6" t="n">
        <v>3.53773797730607</v>
      </c>
      <c r="AA566" s="6" t="n">
        <v>-2.453222350319222</v>
      </c>
      <c r="AB566" s="6" t="n">
        <v>1.22039730994253</v>
      </c>
      <c r="AC566" s="6" t="n">
        <v>1.564186780025672</v>
      </c>
      <c r="AD566" s="6" t="n">
        <v>0.07699998190069213</v>
      </c>
      <c r="AE566" s="6" t="n">
        <v>0.2372145049012863</v>
      </c>
      <c r="AF566" s="6" t="n">
        <v>1.198235973821692</v>
      </c>
      <c r="AG566" s="6" t="n">
        <v>0.6852860611372532</v>
      </c>
      <c r="AH566" s="6" t="n">
        <v>2.286556570281005</v>
      </c>
      <c r="AI566" s="6" t="n">
        <v>0.6864984853714086</v>
      </c>
      <c r="AJ566" s="6" t="n">
        <v>59.51742977001182</v>
      </c>
      <c r="AK566" s="6" t="n">
        <v>0.1253434380357629</v>
      </c>
      <c r="AL566" s="6" t="n">
        <v>1.022011849106304</v>
      </c>
      <c r="AN566" s="6" t="n">
        <v>1.316785733928053</v>
      </c>
      <c r="AO566" s="6" t="n">
        <v>1.319563503842902</v>
      </c>
      <c r="AP566" s="6" t="n">
        <v>0.1333300802763716</v>
      </c>
      <c r="AQ566" s="6" t="n">
        <v>0</v>
      </c>
      <c r="AR566" s="6" t="n">
        <v>0</v>
      </c>
    </row>
    <row r="567">
      <c r="D567" t="inlineStr">
        <is>
          <t>Run 255</t>
        </is>
      </c>
      <c r="J567" s="6" t="n">
        <v>-1.459996649137081</v>
      </c>
      <c r="K567" s="6" t="n">
        <v>-0.7862499178142986</v>
      </c>
      <c r="L567" s="6" t="n">
        <v>2.607127029261205</v>
      </c>
      <c r="M567" s="6" t="n">
        <v>2.753734336838421</v>
      </c>
      <c r="N567" s="6" t="n">
        <v>-1.139583987664584</v>
      </c>
      <c r="O567" s="6" t="n">
        <v>-1.870152970959659</v>
      </c>
      <c r="P567" s="6" t="n">
        <v>1.510526285763069</v>
      </c>
      <c r="Q567" s="6" t="n">
        <v>-0.2694643394953512</v>
      </c>
      <c r="R567" s="6" t="n">
        <v>-1.445051616873668</v>
      </c>
      <c r="S567" s="6" t="n">
        <v>-0.1394245317240653</v>
      </c>
      <c r="T567" s="6" t="n">
        <v>0.3100257685139819</v>
      </c>
      <c r="U567" s="6" t="n">
        <v>0.7073308869415194</v>
      </c>
      <c r="V567" s="6" t="n">
        <v>-1.998898915285164</v>
      </c>
      <c r="W567" s="6" t="n">
        <v>-0.5363688043312015</v>
      </c>
      <c r="X567" s="6" t="n">
        <v>0.5803890560866266</v>
      </c>
      <c r="Y567" s="6" t="n">
        <v>-2.812009276842335</v>
      </c>
      <c r="Z567" s="6" t="n">
        <v>2.602909516591989</v>
      </c>
      <c r="AA567" s="6" t="n">
        <v>1.031067940298816</v>
      </c>
      <c r="AB567" s="6" t="n">
        <v>1.225277178522764</v>
      </c>
      <c r="AC567" s="6" t="n">
        <v>-3.168014271588458</v>
      </c>
      <c r="AD567" s="6" t="n">
        <v>1.961228037723125</v>
      </c>
      <c r="AE567" s="6" t="n">
        <v>1.841869381555259</v>
      </c>
      <c r="AF567" s="6" t="n">
        <v>0.781367830323747</v>
      </c>
      <c r="AG567" s="6" t="n">
        <v>-2.022185964400938</v>
      </c>
      <c r="AH567" s="6" t="n">
        <v>-1.216702866394017</v>
      </c>
      <c r="AI567" s="6" t="n">
        <v>-0.1685394870609414</v>
      </c>
      <c r="AJ567" s="6" t="n">
        <v>69.96316734957625</v>
      </c>
      <c r="AK567" s="6" t="n">
        <v>0.1124443348542641</v>
      </c>
      <c r="AL567" s="6" t="n">
        <v>1.100750802403729</v>
      </c>
      <c r="AN567" s="6" t="n">
        <v>1.331032183759447</v>
      </c>
      <c r="AO567" s="6" t="n">
        <v>1.331499690252272</v>
      </c>
      <c r="AP567" s="6" t="n">
        <v>0.1291885395135552</v>
      </c>
      <c r="AQ567" s="6" t="n">
        <v>0</v>
      </c>
      <c r="AR567" s="6" t="n">
        <v>0</v>
      </c>
    </row>
    <row r="568">
      <c r="D568" t="inlineStr">
        <is>
          <t>Run 256</t>
        </is>
      </c>
      <c r="J568" s="6" t="n">
        <v>4.055295393158243</v>
      </c>
      <c r="K568" s="6" t="n">
        <v>-0.8021076982597695</v>
      </c>
      <c r="L568" s="6" t="n">
        <v>-3.221987613302168</v>
      </c>
      <c r="M568" s="6" t="n">
        <v>-2.475277670421464</v>
      </c>
      <c r="N568" s="6" t="n">
        <v>0.238247088974966</v>
      </c>
      <c r="O568" s="6" t="n">
        <v>2.298515642593829</v>
      </c>
      <c r="P568" s="6" t="n">
        <v>-4.837103708568563</v>
      </c>
      <c r="Q568" s="6" t="n">
        <v>-2.520413149913838</v>
      </c>
      <c r="R568" s="6" t="n">
        <v>-0.6498110037157322</v>
      </c>
      <c r="S568" s="6" t="n">
        <v>2.923269169037648</v>
      </c>
      <c r="T568" s="6" t="n">
        <v>2.326257831177227</v>
      </c>
      <c r="U568" s="6" t="n">
        <v>-2.686036356989553</v>
      </c>
      <c r="V568" s="6" t="n">
        <v>1.161902083044497</v>
      </c>
      <c r="W568" s="6" t="n">
        <v>-1.087259180868585</v>
      </c>
      <c r="X568" s="6" t="n">
        <v>1.870511968937949</v>
      </c>
      <c r="Y568" s="6" t="n">
        <v>0.5347814697034721</v>
      </c>
      <c r="Z568" s="6" t="n">
        <v>-0.5478556112396961</v>
      </c>
      <c r="AA568" s="6" t="n">
        <v>1.338589925275927</v>
      </c>
      <c r="AB568" s="6" t="n">
        <v>1.082575864837083</v>
      </c>
      <c r="AC568" s="6" t="n">
        <v>-1.732897772114956</v>
      </c>
      <c r="AD568" s="6" t="n">
        <v>2.882149480179988</v>
      </c>
      <c r="AE568" s="6" t="n">
        <v>1.305933349695797</v>
      </c>
      <c r="AF568" s="6" t="n">
        <v>-1.907214279715667</v>
      </c>
      <c r="AG568" s="6" t="n">
        <v>-1.029199477482754</v>
      </c>
      <c r="AH568" s="6" t="n">
        <v>0.2865668343554695</v>
      </c>
      <c r="AI568" s="6" t="n">
        <v>0.7364364319301482</v>
      </c>
      <c r="AJ568" s="6" t="n">
        <v>64.55871606424598</v>
      </c>
      <c r="AK568" s="6" t="n">
        <v>0.07914869652048644</v>
      </c>
      <c r="AL568" s="6" t="n">
        <v>1.06512882572186</v>
      </c>
      <c r="AN568" s="6" t="n">
        <v>1.319241170308106</v>
      </c>
      <c r="AO568" s="6" t="n">
        <v>1.328470130964456</v>
      </c>
      <c r="AP568" s="6" t="n">
        <v>0.1310016448101287</v>
      </c>
      <c r="AQ568" s="6" t="n">
        <v>0</v>
      </c>
      <c r="AR568" s="6" t="n">
        <v>0</v>
      </c>
    </row>
    <row r="569">
      <c r="D569" t="inlineStr">
        <is>
          <t>Run 257</t>
        </is>
      </c>
      <c r="J569" s="6" t="n">
        <v>0.02688736365585429</v>
      </c>
      <c r="K569" s="6" t="n">
        <v>-1.385399230874433</v>
      </c>
      <c r="L569" s="6" t="n">
        <v>0.9311445241069437</v>
      </c>
      <c r="M569" s="6" t="n">
        <v>0.5318407301530091</v>
      </c>
      <c r="N569" s="6" t="n">
        <v>2.016198270346938</v>
      </c>
      <c r="O569" s="6" t="n">
        <v>-0.5765577097463174</v>
      </c>
      <c r="P569" s="6" t="n">
        <v>4.803192345850806</v>
      </c>
      <c r="Q569" s="6" t="n">
        <v>0.1194055830176365</v>
      </c>
      <c r="R569" s="6" t="n">
        <v>2.437450217732971</v>
      </c>
      <c r="S569" s="6" t="n">
        <v>0.6014157862220104</v>
      </c>
      <c r="T569" s="6" t="n">
        <v>1.215827794738055</v>
      </c>
      <c r="U569" s="6" t="n">
        <v>2.838981741405265</v>
      </c>
      <c r="V569" s="6" t="n">
        <v>2.6767403517253</v>
      </c>
      <c r="W569" s="6" t="n">
        <v>-0.3462827177312011</v>
      </c>
      <c r="X569" s="6" t="n">
        <v>-0.7024567673961551</v>
      </c>
      <c r="Y569" s="6" t="n">
        <v>-3.12118038321489</v>
      </c>
      <c r="Z569" s="6" t="n">
        <v>1.985963930531538</v>
      </c>
      <c r="AA569" s="6" t="n">
        <v>1.884074598856177</v>
      </c>
      <c r="AB569" s="6" t="n">
        <v>-0.8278690784549376</v>
      </c>
      <c r="AC569" s="6" t="n">
        <v>0.3921802132895422</v>
      </c>
      <c r="AD569" s="6" t="n">
        <v>-1.210495934446761</v>
      </c>
      <c r="AE569" s="6" t="n">
        <v>3.903620037001124</v>
      </c>
      <c r="AF569" s="6" t="n">
        <v>-3.077801634844814</v>
      </c>
      <c r="AG569" s="6" t="n">
        <v>3.463429095962758</v>
      </c>
      <c r="AH569" s="6" t="n">
        <v>1.000784124946097</v>
      </c>
      <c r="AI569" s="6" t="n">
        <v>1.080419735558061</v>
      </c>
      <c r="AJ569" s="6" t="n">
        <v>76.43129357856026</v>
      </c>
      <c r="AK569" s="6" t="n">
        <v>0.123491187825795</v>
      </c>
      <c r="AL569" s="6" t="n">
        <v>1.049506531210527</v>
      </c>
      <c r="AN569" s="6" t="n">
        <v>1.348783142664774</v>
      </c>
      <c r="AO569" s="6" t="n">
        <v>1.349269036777288</v>
      </c>
      <c r="AP569" s="6" t="n">
        <v>0.132620909642526</v>
      </c>
      <c r="AQ569" s="6" t="n">
        <v>0</v>
      </c>
      <c r="AR569" s="6" t="n">
        <v>0</v>
      </c>
    </row>
    <row r="570">
      <c r="D570" t="inlineStr">
        <is>
          <t>Run 258</t>
        </is>
      </c>
      <c r="J570" s="6" t="n">
        <v>-2.583576757131033</v>
      </c>
      <c r="K570" s="6" t="n">
        <v>-0.01148240101028969</v>
      </c>
      <c r="L570" s="6" t="n">
        <v>-0.3018362663236529</v>
      </c>
      <c r="M570" s="6" t="n">
        <v>2.07213873869925</v>
      </c>
      <c r="N570" s="6" t="n">
        <v>-3.655680591261115</v>
      </c>
      <c r="O570" s="6" t="n">
        <v>2.027648456138481</v>
      </c>
      <c r="P570" s="6" t="n">
        <v>-2.683577408524612</v>
      </c>
      <c r="Q570" s="6" t="n">
        <v>1.527638899792642</v>
      </c>
      <c r="R570" s="6" t="n">
        <v>-0.8799929331545672</v>
      </c>
      <c r="S570" s="6" t="n">
        <v>-1.108662925319828</v>
      </c>
      <c r="T570" s="6" t="n">
        <v>2.633042883616443</v>
      </c>
      <c r="U570" s="6" t="n">
        <v>0.7291888457921816</v>
      </c>
      <c r="V570" s="6" t="n">
        <v>-0.1112355078505499</v>
      </c>
      <c r="W570" s="6" t="n">
        <v>2.525872054433478</v>
      </c>
      <c r="X570" s="6" t="n">
        <v>0.2094585898032089</v>
      </c>
      <c r="Y570" s="6" t="n">
        <v>-0.6034121565302035</v>
      </c>
      <c r="Z570" s="6" t="n">
        <v>1.110532496058467</v>
      </c>
      <c r="AA570" s="6" t="n">
        <v>0.7968671759972873</v>
      </c>
      <c r="AB570" s="6" t="n">
        <v>-2.101457185257125</v>
      </c>
      <c r="AC570" s="6" t="n">
        <v>-2.634476242241359</v>
      </c>
      <c r="AD570" s="6" t="n">
        <v>-0.6494634829042234</v>
      </c>
      <c r="AE570" s="6" t="n">
        <v>1.205550043180365</v>
      </c>
      <c r="AF570" s="6" t="n">
        <v>0.217381391560189</v>
      </c>
      <c r="AG570" s="6" t="n">
        <v>0.4671366229748283</v>
      </c>
      <c r="AH570" s="6" t="n">
        <v>1.240406059331711</v>
      </c>
      <c r="AI570" s="6" t="n">
        <v>-0.7461285147786479</v>
      </c>
      <c r="AJ570" s="6" t="n">
        <v>75.85504313537194</v>
      </c>
      <c r="AK570" s="6" t="n">
        <v>0.1426395055979164</v>
      </c>
      <c r="AL570" s="6" t="n">
        <v>1.056057265289885</v>
      </c>
      <c r="AN570" s="6" t="n">
        <v>1.341916854329152</v>
      </c>
      <c r="AO570" s="6" t="n">
        <v>1.342926091194486</v>
      </c>
      <c r="AP570" s="6" t="n">
        <v>0.1317929669970461</v>
      </c>
      <c r="AQ570" s="6" t="n">
        <v>0</v>
      </c>
      <c r="AR570" s="6" t="n">
        <v>0</v>
      </c>
    </row>
    <row r="571">
      <c r="D571" t="inlineStr">
        <is>
          <t>Run 259</t>
        </is>
      </c>
      <c r="J571" s="6" t="n">
        <v>-0.3365499636671624</v>
      </c>
      <c r="K571" s="6" t="n">
        <v>1.573397738159865</v>
      </c>
      <c r="L571" s="6" t="n">
        <v>2.654359902800201</v>
      </c>
      <c r="M571" s="6" t="n">
        <v>3.314582350638912</v>
      </c>
      <c r="N571" s="6" t="n">
        <v>1.537258827958754</v>
      </c>
      <c r="O571" s="6" t="n">
        <v>0.07320058546276391</v>
      </c>
      <c r="P571" s="6" t="n">
        <v>0.2613404114575401</v>
      </c>
      <c r="Q571" s="6" t="n">
        <v>1.533821686806</v>
      </c>
      <c r="R571" s="6" t="n">
        <v>-4.595918176814936</v>
      </c>
      <c r="S571" s="6" t="n">
        <v>-3.316708331077226</v>
      </c>
      <c r="T571" s="6" t="n">
        <v>0.02747884469599145</v>
      </c>
      <c r="U571" s="6" t="n">
        <v>-0.7133207687525003</v>
      </c>
      <c r="V571" s="6" t="n">
        <v>0.2502556257811876</v>
      </c>
      <c r="W571" s="6" t="n">
        <v>-0.01907078579337902</v>
      </c>
      <c r="X571" s="6" t="n">
        <v>1.689793980560627</v>
      </c>
      <c r="Y571" s="6" t="n">
        <v>2.267068117133804</v>
      </c>
      <c r="Z571" s="6" t="n">
        <v>4.227303965157035</v>
      </c>
      <c r="AA571" s="6" t="n">
        <v>0.4332091936714355</v>
      </c>
      <c r="AB571" s="6" t="n">
        <v>2.233450393775599</v>
      </c>
      <c r="AC571" s="6" t="n">
        <v>3.793391060958675</v>
      </c>
      <c r="AD571" s="6" t="n">
        <v>-1.571349947208917</v>
      </c>
      <c r="AE571" s="6" t="n">
        <v>-1.117077912789151</v>
      </c>
      <c r="AF571" s="6" t="n">
        <v>-0.2073224420304364</v>
      </c>
      <c r="AG571" s="6" t="n">
        <v>0.4868922407101998</v>
      </c>
      <c r="AH571" s="6" t="n">
        <v>1.186387077188383</v>
      </c>
      <c r="AI571" s="6" t="n">
        <v>0.117811618636188</v>
      </c>
      <c r="AJ571" s="6" t="n">
        <v>74.56873856764528</v>
      </c>
      <c r="AK571" s="6" t="n">
        <v>0.1388127932031452</v>
      </c>
      <c r="AL571" s="6" t="n">
        <v>1.109298806842979</v>
      </c>
      <c r="AN571" s="6" t="n">
        <v>1.324671903792391</v>
      </c>
      <c r="AO571" s="6" t="n">
        <v>1.32540246354744</v>
      </c>
      <c r="AP571" s="6" t="n">
        <v>0.1283794252296849</v>
      </c>
      <c r="AQ571" s="6" t="n">
        <v>0</v>
      </c>
      <c r="AR571" s="6" t="n">
        <v>0</v>
      </c>
    </row>
    <row r="572">
      <c r="D572" t="inlineStr">
        <is>
          <t>Run 260</t>
        </is>
      </c>
      <c r="J572" s="6" t="n">
        <v>0.9579103960486386</v>
      </c>
      <c r="K572" s="6" t="n">
        <v>-2.510066585586358</v>
      </c>
      <c r="L572" s="6" t="n">
        <v>-0.8109699621837864</v>
      </c>
      <c r="M572" s="6" t="n">
        <v>2.426980947465591</v>
      </c>
      <c r="N572" s="6" t="n">
        <v>-0.7009812699556035</v>
      </c>
      <c r="O572" s="6" t="n">
        <v>0.8085875056844388</v>
      </c>
      <c r="P572" s="6" t="n">
        <v>-0.4394968149921429</v>
      </c>
      <c r="Q572" s="6" t="n">
        <v>-3.740570682232657</v>
      </c>
      <c r="R572" s="6" t="n">
        <v>0.07516995446101811</v>
      </c>
      <c r="S572" s="6" t="n">
        <v>-3.773754792760057</v>
      </c>
      <c r="T572" s="6" t="n">
        <v>-0.8658250143905135</v>
      </c>
      <c r="U572" s="6" t="n">
        <v>1.737935678539221</v>
      </c>
      <c r="V572" s="6" t="n">
        <v>2.717665107716773</v>
      </c>
      <c r="W572" s="6" t="n">
        <v>-1.076916632655263</v>
      </c>
      <c r="X572" s="6" t="n">
        <v>-0.1232224489109245</v>
      </c>
      <c r="Y572" s="6" t="n">
        <v>-2.898669603607817</v>
      </c>
      <c r="Z572" s="6" t="n">
        <v>0.7004740806350548</v>
      </c>
      <c r="AA572" s="6" t="n">
        <v>4.388080843869404</v>
      </c>
      <c r="AB572" s="6" t="n">
        <v>1.498728617129355</v>
      </c>
      <c r="AC572" s="6" t="n">
        <v>0.4183689437642077</v>
      </c>
      <c r="AD572" s="6" t="n">
        <v>-3.118928240830734</v>
      </c>
      <c r="AE572" s="6" t="n">
        <v>0.121294946510929</v>
      </c>
      <c r="AF572" s="6" t="n">
        <v>0.9340067839836095</v>
      </c>
      <c r="AG572" s="6" t="n">
        <v>0.5051243352319975</v>
      </c>
      <c r="AH572" s="6" t="n">
        <v>0.2616437955581987</v>
      </c>
      <c r="AI572" s="6" t="n">
        <v>-3.293701817584004</v>
      </c>
      <c r="AJ572" s="6" t="n">
        <v>73.02220897459206</v>
      </c>
      <c r="AK572" s="6" t="n">
        <v>0.09064714044527535</v>
      </c>
      <c r="AL572" s="6" t="n">
        <v>1.027277241771082</v>
      </c>
      <c r="AN572" s="6" t="n">
        <v>1.350903318430476</v>
      </c>
      <c r="AO572" s="6" t="n">
        <v>1.350903318430476</v>
      </c>
      <c r="AP572" s="6" t="n">
        <v>0.1350621805052815</v>
      </c>
      <c r="AQ572" s="6" t="n">
        <v>0</v>
      </c>
      <c r="AR572" s="6" t="n">
        <v>0</v>
      </c>
    </row>
    <row r="573">
      <c r="D573" t="inlineStr">
        <is>
          <t>Run 261</t>
        </is>
      </c>
      <c r="J573" s="6" t="n">
        <v>-1.578586464183638</v>
      </c>
      <c r="K573" s="6" t="n">
        <v>1.53573760449557</v>
      </c>
      <c r="L573" s="6" t="n">
        <v>-0.6643668578463382</v>
      </c>
      <c r="M573" s="6" t="n">
        <v>-0.1105384111113017</v>
      </c>
      <c r="N573" s="6" t="n">
        <v>0.6749982102293191</v>
      </c>
      <c r="O573" s="6" t="n">
        <v>0.9426700914951173</v>
      </c>
      <c r="P573" s="6" t="n">
        <v>0.1830975029702597</v>
      </c>
      <c r="Q573" s="6" t="n">
        <v>-3.919722693202293</v>
      </c>
      <c r="R573" s="6" t="n">
        <v>-1.49120961164133</v>
      </c>
      <c r="S573" s="6" t="n">
        <v>0.7180305305569981</v>
      </c>
      <c r="T573" s="6" t="n">
        <v>0.07802990922855389</v>
      </c>
      <c r="U573" s="6" t="n">
        <v>1.041449031008322</v>
      </c>
      <c r="V573" s="6" t="n">
        <v>1.30522923156026</v>
      </c>
      <c r="W573" s="6" t="n">
        <v>1.558952711614463</v>
      </c>
      <c r="X573" s="6" t="n">
        <v>1.916767898246551</v>
      </c>
      <c r="Y573" s="6" t="n">
        <v>1.868683042166656</v>
      </c>
      <c r="Z573" s="6" t="n">
        <v>-0.06192421682332889</v>
      </c>
      <c r="AA573" s="6" t="n">
        <v>1.791131125071558</v>
      </c>
      <c r="AB573" s="6" t="n">
        <v>-1.735176440743686</v>
      </c>
      <c r="AC573" s="6" t="n">
        <v>-1.056763722497405</v>
      </c>
      <c r="AD573" s="6" t="n">
        <v>-3.493370802460585</v>
      </c>
      <c r="AE573" s="6" t="n">
        <v>0.188732124736729</v>
      </c>
      <c r="AF573" s="6" t="n">
        <v>2.47569524172551</v>
      </c>
      <c r="AG573" s="6" t="n">
        <v>-3.234727389402935</v>
      </c>
      <c r="AH573" s="6" t="n">
        <v>-0.136042896304621</v>
      </c>
      <c r="AI573" s="6" t="n">
        <v>0.9618066322034224</v>
      </c>
      <c r="AJ573" s="6" t="n">
        <v>72.5720983754332</v>
      </c>
      <c r="AK573" s="6" t="n">
        <v>0.1360372223665287</v>
      </c>
      <c r="AL573" s="6" t="n">
        <v>1.036028476588099</v>
      </c>
      <c r="AN573" s="6" t="n">
        <v>1.348924994833718</v>
      </c>
      <c r="AO573" s="6" t="n">
        <v>1.349583660471195</v>
      </c>
      <c r="AP573" s="6" t="n">
        <v>0.1329709537112035</v>
      </c>
      <c r="AQ573" s="6" t="n">
        <v>0</v>
      </c>
      <c r="AR573" s="6" t="n">
        <v>0</v>
      </c>
    </row>
    <row r="574">
      <c r="D574" t="inlineStr">
        <is>
          <t>Run 262</t>
        </is>
      </c>
      <c r="J574" s="6" t="n">
        <v>-2.418564184401414</v>
      </c>
      <c r="K574" s="6" t="n">
        <v>-3.445709227967162</v>
      </c>
      <c r="L574" s="6" t="n">
        <v>-2.851653912380275</v>
      </c>
      <c r="M574" s="6" t="n">
        <v>0.8107494371401771</v>
      </c>
      <c r="N574" s="6" t="n">
        <v>3.44014962526999</v>
      </c>
      <c r="O574" s="6" t="n">
        <v>0.6829716120067687</v>
      </c>
      <c r="P574" s="6" t="n">
        <v>1.322818624805826</v>
      </c>
      <c r="Q574" s="6" t="n">
        <v>-1.029226758165437</v>
      </c>
      <c r="R574" s="6" t="n">
        <v>1.093079240732883</v>
      </c>
      <c r="S574" s="6" t="n">
        <v>2.126037606941552</v>
      </c>
      <c r="T574" s="6" t="n">
        <v>-1.47637592946647</v>
      </c>
      <c r="U574" s="6" t="n">
        <v>-2.110346306154656</v>
      </c>
      <c r="V574" s="6" t="n">
        <v>2.966348702690719</v>
      </c>
      <c r="W574" s="6" t="n">
        <v>0.9012800150709878</v>
      </c>
      <c r="X574" s="6" t="n">
        <v>1.323285376900754</v>
      </c>
      <c r="Y574" s="6" t="n">
        <v>-0.02601382861127575</v>
      </c>
      <c r="Z574" s="6" t="n">
        <v>4.791831492576625</v>
      </c>
      <c r="AA574" s="6" t="n">
        <v>0.3347106331557412</v>
      </c>
      <c r="AB574" s="6" t="n">
        <v>0.5216302735292637</v>
      </c>
      <c r="AC574" s="6" t="n">
        <v>2.03209575738927</v>
      </c>
      <c r="AD574" s="6" t="n">
        <v>-5.906623357559175</v>
      </c>
      <c r="AE574" s="6" t="n">
        <v>-0.3171498565306484</v>
      </c>
      <c r="AF574" s="6" t="n">
        <v>-4.313439246291582</v>
      </c>
      <c r="AG574" s="6" t="n">
        <v>0.7296389888013315</v>
      </c>
      <c r="AH574" s="6" t="n">
        <v>-0.9924338820553918</v>
      </c>
      <c r="AI574" s="6" t="n">
        <v>1.731642832505353</v>
      </c>
      <c r="AJ574" s="6" t="n">
        <v>69.1791064560029</v>
      </c>
      <c r="AK574" s="6" t="n">
        <v>0.1506426467310016</v>
      </c>
      <c r="AL574" s="6" t="n">
        <v>1.067743383663043</v>
      </c>
      <c r="AN574" s="6" t="n">
        <v>1.334473779538498</v>
      </c>
      <c r="AO574" s="6" t="n">
        <v>1.335260017159254</v>
      </c>
      <c r="AP574" s="6" t="n">
        <v>0.1301573386250532</v>
      </c>
      <c r="AQ574" s="6" t="n">
        <v>0</v>
      </c>
      <c r="AR574" s="6" t="n">
        <v>0</v>
      </c>
    </row>
    <row r="575">
      <c r="D575" t="inlineStr">
        <is>
          <t>Run 263</t>
        </is>
      </c>
      <c r="J575" s="6" t="n">
        <v>0.8658230486743124</v>
      </c>
      <c r="K575" s="6" t="n">
        <v>2.393609651712005</v>
      </c>
      <c r="L575" s="6" t="n">
        <v>2.514824937706857</v>
      </c>
      <c r="M575" s="6" t="n">
        <v>-0.1153413355345398</v>
      </c>
      <c r="N575" s="6" t="n">
        <v>1.533440594170939</v>
      </c>
      <c r="O575" s="6" t="n">
        <v>-1.287377361965841</v>
      </c>
      <c r="P575" s="6" t="n">
        <v>0.4566505032792164</v>
      </c>
      <c r="Q575" s="6" t="n">
        <v>1.852291351302837</v>
      </c>
      <c r="R575" s="6" t="n">
        <v>3.387759170826815</v>
      </c>
      <c r="S575" s="6" t="n">
        <v>3.142827485888849</v>
      </c>
      <c r="T575" s="6" t="n">
        <v>-1.787894018652518</v>
      </c>
      <c r="U575" s="6" t="n">
        <v>-2.35370164317669</v>
      </c>
      <c r="V575" s="6" t="n">
        <v>2.702979163071332</v>
      </c>
      <c r="W575" s="6" t="n">
        <v>-0.4047777346232088</v>
      </c>
      <c r="X575" s="6" t="n">
        <v>1.297639701936119</v>
      </c>
      <c r="Y575" s="6" t="n">
        <v>1.489166733940029</v>
      </c>
      <c r="Z575" s="6" t="n">
        <v>0.8180811725972976</v>
      </c>
      <c r="AA575" s="6" t="n">
        <v>0.3886315948934299</v>
      </c>
      <c r="AB575" s="6" t="n">
        <v>-0.247925750643832</v>
      </c>
      <c r="AC575" s="6" t="n">
        <v>-2.599829523831559</v>
      </c>
      <c r="AD575" s="6" t="n">
        <v>-4.206037253559183</v>
      </c>
      <c r="AE575" s="6" t="n">
        <v>-0.1043660030145756</v>
      </c>
      <c r="AF575" s="6" t="n">
        <v>-0.2923553152859624</v>
      </c>
      <c r="AG575" s="6" t="n">
        <v>-0.6655975222481895</v>
      </c>
      <c r="AH575" s="6" t="n">
        <v>0.3450529498434307</v>
      </c>
      <c r="AI575" s="6" t="n">
        <v>-1.180080613459735</v>
      </c>
      <c r="AJ575" s="6" t="n">
        <v>66.10834834327301</v>
      </c>
      <c r="AK575" s="6" t="n">
        <v>0.1183155732225595</v>
      </c>
      <c r="AL575" s="6" t="n">
        <v>1.037172178572464</v>
      </c>
      <c r="AN575" s="6" t="n">
        <v>1.345098700275009</v>
      </c>
      <c r="AO575" s="6" t="n">
        <v>1.345267969467381</v>
      </c>
      <c r="AP575" s="6" t="n">
        <v>0.1331135696380474</v>
      </c>
      <c r="AQ575" s="6" t="n">
        <v>0</v>
      </c>
      <c r="AR575" s="6" t="n">
        <v>0</v>
      </c>
    </row>
    <row r="576">
      <c r="D576" t="inlineStr">
        <is>
          <t>Run 264</t>
        </is>
      </c>
      <c r="J576" s="6" t="n">
        <v>3.544869559632479</v>
      </c>
      <c r="K576" s="6" t="n">
        <v>-1.859837773153156</v>
      </c>
      <c r="L576" s="6" t="n">
        <v>-0.1502396783535997</v>
      </c>
      <c r="M576" s="6" t="n">
        <v>2.754162731404153</v>
      </c>
      <c r="N576" s="6" t="n">
        <v>-2.814260707148326</v>
      </c>
      <c r="O576" s="6" t="n">
        <v>3.546047992725172</v>
      </c>
      <c r="P576" s="6" t="n">
        <v>-2.159594584513383</v>
      </c>
      <c r="Q576" s="6" t="n">
        <v>-4.380293991841228</v>
      </c>
      <c r="R576" s="6" t="n">
        <v>0.003570821285895395</v>
      </c>
      <c r="S576" s="6" t="n">
        <v>-1.572796812758298</v>
      </c>
      <c r="T576" s="6" t="n">
        <v>-0.5405228633256712</v>
      </c>
      <c r="U576" s="6" t="n">
        <v>-1.941420405873487</v>
      </c>
      <c r="V576" s="6" t="n">
        <v>0.1637025272397838</v>
      </c>
      <c r="W576" s="6" t="n">
        <v>-0.6455410497235544</v>
      </c>
      <c r="X576" s="6" t="n">
        <v>-2.416327389346717</v>
      </c>
      <c r="Y576" s="6" t="n">
        <v>-0.04360167098311423</v>
      </c>
      <c r="Z576" s="6" t="n">
        <v>0.5195374182284738</v>
      </c>
      <c r="AA576" s="6" t="n">
        <v>0.8047728183214092</v>
      </c>
      <c r="AB576" s="6" t="n">
        <v>-2.267865903583675</v>
      </c>
      <c r="AC576" s="6" t="n">
        <v>-1.1579188436728</v>
      </c>
      <c r="AD576" s="6" t="n">
        <v>1.628002675076088</v>
      </c>
      <c r="AE576" s="6" t="n">
        <v>0.5054231802027264</v>
      </c>
      <c r="AF576" s="6" t="n">
        <v>2.253953308288104</v>
      </c>
      <c r="AG576" s="6" t="n">
        <v>-1.065560630614492</v>
      </c>
      <c r="AH576" s="6" t="n">
        <v>-1.667885639496067</v>
      </c>
      <c r="AI576" s="6" t="n">
        <v>1.938501634564476</v>
      </c>
      <c r="AJ576" s="6" t="n">
        <v>76.59923733315513</v>
      </c>
      <c r="AK576" s="6" t="n">
        <v>0.0409136873095659</v>
      </c>
      <c r="AL576" s="6" t="n">
        <v>1.025942650653153</v>
      </c>
      <c r="AN576" s="6" t="n">
        <v>1.355976382317853</v>
      </c>
      <c r="AO576" s="6" t="n">
        <v>1.356505064723447</v>
      </c>
      <c r="AP576" s="6" t="n">
        <v>0.1367642445006526</v>
      </c>
      <c r="AQ576" s="6" t="n">
        <v>0</v>
      </c>
      <c r="AR576" s="6" t="n">
        <v>0</v>
      </c>
    </row>
    <row r="577">
      <c r="D577" t="inlineStr">
        <is>
          <t>Run 265</t>
        </is>
      </c>
      <c r="J577" s="6" t="n">
        <v>2.781703045657355</v>
      </c>
      <c r="K577" s="6" t="n">
        <v>1.344268467450171</v>
      </c>
      <c r="L577" s="6" t="n">
        <v>-2.060735788985895</v>
      </c>
      <c r="M577" s="6" t="n">
        <v>0.4815599984304899</v>
      </c>
      <c r="N577" s="6" t="n">
        <v>1.764488000628546</v>
      </c>
      <c r="O577" s="6" t="n">
        <v>1.841475120482897</v>
      </c>
      <c r="P577" s="6" t="n">
        <v>-1.228398681574904</v>
      </c>
      <c r="Q577" s="6" t="n">
        <v>1.454622169279418</v>
      </c>
      <c r="R577" s="6" t="n">
        <v>0.1725941299039576</v>
      </c>
      <c r="S577" s="6" t="n">
        <v>0.6323310894187276</v>
      </c>
      <c r="T577" s="6" t="n">
        <v>0.9808215281476321</v>
      </c>
      <c r="U577" s="6" t="n">
        <v>-0.4930843562250157</v>
      </c>
      <c r="V577" s="6" t="n">
        <v>0.58093052963976</v>
      </c>
      <c r="W577" s="6" t="n">
        <v>1.613780498119479</v>
      </c>
      <c r="X577" s="6" t="n">
        <v>-1.322838704709787</v>
      </c>
      <c r="Y577" s="6" t="n">
        <v>-2.671715486186472</v>
      </c>
      <c r="Z577" s="6" t="n">
        <v>0.193414159439822</v>
      </c>
      <c r="AA577" s="6" t="n">
        <v>-1.16683829152307</v>
      </c>
      <c r="AB577" s="6" t="n">
        <v>1.41192815507658</v>
      </c>
      <c r="AC577" s="6" t="n">
        <v>3.824970517553952</v>
      </c>
      <c r="AD577" s="6" t="n">
        <v>2.072209146444002</v>
      </c>
      <c r="AE577" s="6" t="n">
        <v>1.501710223465731</v>
      </c>
      <c r="AF577" s="6" t="n">
        <v>-0.4742394987959263</v>
      </c>
      <c r="AG577" s="6" t="n">
        <v>1.191454162420056</v>
      </c>
      <c r="AH577" s="6" t="n">
        <v>-3.346403249649425</v>
      </c>
      <c r="AI577" s="6" t="n">
        <v>-1.032874948355215</v>
      </c>
      <c r="AJ577" s="6" t="n">
        <v>81.65319850021022</v>
      </c>
      <c r="AK577" s="6" t="n">
        <v>0.08625488318696714</v>
      </c>
      <c r="AL577" s="6" t="n">
        <v>1.073457225610364</v>
      </c>
      <c r="AN577" s="6" t="n">
        <v>1.344834179948365</v>
      </c>
      <c r="AO577" s="6" t="n">
        <v>1.345396147475819</v>
      </c>
      <c r="AP577" s="6" t="n">
        <v>0.1321026069862135</v>
      </c>
      <c r="AQ577" s="6" t="n">
        <v>0</v>
      </c>
      <c r="AR577" s="6" t="n">
        <v>0</v>
      </c>
    </row>
    <row r="578">
      <c r="D578" t="inlineStr">
        <is>
          <t>Run 266</t>
        </is>
      </c>
      <c r="J578" s="6" t="n">
        <v>-2.753098908009714</v>
      </c>
      <c r="K578" s="6" t="n">
        <v>-0.4898918614765676</v>
      </c>
      <c r="L578" s="6" t="n">
        <v>-1.159542070485108</v>
      </c>
      <c r="M578" s="6" t="n">
        <v>0.4062674799120941</v>
      </c>
      <c r="N578" s="6" t="n">
        <v>-1.408427539051886</v>
      </c>
      <c r="O578" s="6" t="n">
        <v>-1.664337293988694</v>
      </c>
      <c r="P578" s="6" t="n">
        <v>-1.034030862343579</v>
      </c>
      <c r="Q578" s="6" t="n">
        <v>-1.17192558533432</v>
      </c>
      <c r="R578" s="6" t="n">
        <v>2.79918787264935</v>
      </c>
      <c r="S578" s="6" t="n">
        <v>-5.363948855819305</v>
      </c>
      <c r="T578" s="6" t="n">
        <v>-0.2324555560415372</v>
      </c>
      <c r="U578" s="6" t="n">
        <v>-1.173522323048502</v>
      </c>
      <c r="V578" s="6" t="n">
        <v>-1.692320956292001</v>
      </c>
      <c r="W578" s="6" t="n">
        <v>-0.1658988634229835</v>
      </c>
      <c r="X578" s="6" t="n">
        <v>-2.083893679380608</v>
      </c>
      <c r="Y578" s="6" t="n">
        <v>2.811411476836867</v>
      </c>
      <c r="Z578" s="6" t="n">
        <v>0.5398160753164639</v>
      </c>
      <c r="AA578" s="6" t="n">
        <v>0.1077356671457895</v>
      </c>
      <c r="AB578" s="6" t="n">
        <v>-1.063450285707576</v>
      </c>
      <c r="AC578" s="6" t="n">
        <v>2.227174438973779</v>
      </c>
      <c r="AD578" s="6" t="n">
        <v>1.056687457130337</v>
      </c>
      <c r="AE578" s="6" t="n">
        <v>1.980163926028982</v>
      </c>
      <c r="AF578" s="6" t="n">
        <v>1.113410315736743</v>
      </c>
      <c r="AG578" s="6" t="n">
        <v>2.535575255397199</v>
      </c>
      <c r="AH578" s="6" t="n">
        <v>3.521191620086491</v>
      </c>
      <c r="AI578" s="6" t="n">
        <v>-2.874204122520691</v>
      </c>
      <c r="AJ578" s="6" t="n">
        <v>79.02440649832471</v>
      </c>
      <c r="AK578" s="6" t="n">
        <v>0.2204434416006844</v>
      </c>
      <c r="AL578" s="6" t="n">
        <v>1.10305194766129</v>
      </c>
      <c r="AN578" s="6" t="n">
        <v>1.319081970708089</v>
      </c>
      <c r="AO578" s="6" t="n">
        <v>1.320498924115979</v>
      </c>
      <c r="AP578" s="6" t="n">
        <v>0.1266996052664332</v>
      </c>
      <c r="AQ578" s="6" t="n">
        <v>0</v>
      </c>
      <c r="AR578" s="6" t="n">
        <v>0</v>
      </c>
    </row>
    <row r="579">
      <c r="D579" t="inlineStr">
        <is>
          <t>Run 267</t>
        </is>
      </c>
      <c r="J579" s="6" t="n">
        <v>1.096913287842675</v>
      </c>
      <c r="K579" s="6" t="n">
        <v>1.444372114366177</v>
      </c>
      <c r="L579" s="6" t="n">
        <v>2.235502155823414</v>
      </c>
      <c r="M579" s="6" t="n">
        <v>1.222016683146933</v>
      </c>
      <c r="N579" s="6" t="n">
        <v>-0.8900955349719516</v>
      </c>
      <c r="O579" s="6" t="n">
        <v>0.01147772606976146</v>
      </c>
      <c r="P579" s="6" t="n">
        <v>-0.4452259771684554</v>
      </c>
      <c r="Q579" s="6" t="n">
        <v>-2.053515033899674</v>
      </c>
      <c r="R579" s="6" t="n">
        <v>-1.229341422562672</v>
      </c>
      <c r="S579" s="6" t="n">
        <v>-1.295862221187451</v>
      </c>
      <c r="T579" s="6" t="n">
        <v>-0.2546733957153168</v>
      </c>
      <c r="U579" s="6" t="n">
        <v>1.192259404582834</v>
      </c>
      <c r="V579" s="6" t="n">
        <v>2.95432742346299</v>
      </c>
      <c r="W579" s="6" t="n">
        <v>4.440418912166447</v>
      </c>
      <c r="X579" s="6" t="n">
        <v>0.3421141866854279</v>
      </c>
      <c r="Y579" s="6" t="n">
        <v>0.8479519671351358</v>
      </c>
      <c r="Z579" s="6" t="n">
        <v>2.502414993447365</v>
      </c>
      <c r="AA579" s="6" t="n">
        <v>-2.79151765354089</v>
      </c>
      <c r="AB579" s="6" t="n">
        <v>5</v>
      </c>
      <c r="AC579" s="6" t="n">
        <v>0.9742750913235831</v>
      </c>
      <c r="AD579" s="6" t="n">
        <v>-0.636752299450723</v>
      </c>
      <c r="AE579" s="6" t="n">
        <v>0.8462275679824837</v>
      </c>
      <c r="AF579" s="6" t="n">
        <v>2.811668546700474</v>
      </c>
      <c r="AG579" s="6" t="n">
        <v>0.9447008131651289</v>
      </c>
      <c r="AH579" s="6" t="n">
        <v>-1.185725528520206</v>
      </c>
      <c r="AI579" s="6" t="n">
        <v>-3.141191299341112</v>
      </c>
      <c r="AJ579" s="6" t="n">
        <v>65.72503615868453</v>
      </c>
      <c r="AK579" s="6" t="n">
        <v>0.1057688695434078</v>
      </c>
      <c r="AL579" s="6" t="n">
        <v>1.048711589618761</v>
      </c>
      <c r="AN579" s="6" t="n">
        <v>1.343434606172063</v>
      </c>
      <c r="AO579" s="6" t="n">
        <v>1.343507470161108</v>
      </c>
      <c r="AP579" s="6" t="n">
        <v>0.1321342165479555</v>
      </c>
      <c r="AQ579" s="6" t="n">
        <v>0</v>
      </c>
      <c r="AR579" s="6" t="n">
        <v>0</v>
      </c>
    </row>
    <row r="580">
      <c r="D580" t="inlineStr">
        <is>
          <t>Run 268</t>
        </is>
      </c>
      <c r="J580" s="6" t="n">
        <v>-1.533442806943251</v>
      </c>
      <c r="K580" s="6" t="n">
        <v>1.208029979906732</v>
      </c>
      <c r="L580" s="6" t="n">
        <v>-1.442498633417876</v>
      </c>
      <c r="M580" s="6" t="n">
        <v>-0.0008170995527290272</v>
      </c>
      <c r="N580" s="6" t="n">
        <v>0.8502002225544285</v>
      </c>
      <c r="O580" s="6" t="n">
        <v>2.942106995730501</v>
      </c>
      <c r="P580" s="6" t="n">
        <v>-1.547069426879626</v>
      </c>
      <c r="Q580" s="6" t="n">
        <v>-2.493177753192703</v>
      </c>
      <c r="R580" s="6" t="n">
        <v>2.28374869675365</v>
      </c>
      <c r="S580" s="6" t="n">
        <v>-2.814086344569007</v>
      </c>
      <c r="T580" s="6" t="n">
        <v>2.029430741695083</v>
      </c>
      <c r="U580" s="6" t="n">
        <v>-2.424624331311616</v>
      </c>
      <c r="V580" s="6" t="n">
        <v>-2.367475671145187</v>
      </c>
      <c r="W580" s="6" t="n">
        <v>2.309787335520799</v>
      </c>
      <c r="X580" s="6" t="n">
        <v>0.2253555132643146</v>
      </c>
      <c r="Y580" s="6" t="n">
        <v>-0.4259038426162929</v>
      </c>
      <c r="Z580" s="6" t="n">
        <v>-2.80697821159064</v>
      </c>
      <c r="AA580" s="6" t="n">
        <v>-2.145351613098972</v>
      </c>
      <c r="AB580" s="6" t="n">
        <v>1.622123763250757</v>
      </c>
      <c r="AC580" s="6" t="n">
        <v>-0.3753188108374122</v>
      </c>
      <c r="AD580" s="6" t="n">
        <v>0.05261226291256094</v>
      </c>
      <c r="AE580" s="6" t="n">
        <v>-1.87719346773903</v>
      </c>
      <c r="AF580" s="6" t="n">
        <v>1.284993377087533</v>
      </c>
      <c r="AG580" s="6" t="n">
        <v>-1.871159020916678</v>
      </c>
      <c r="AH580" s="6" t="n">
        <v>3.198474683723323</v>
      </c>
      <c r="AI580" s="6" t="n">
        <v>2.272124043496243</v>
      </c>
      <c r="AJ580" s="6" t="n">
        <v>77.13399050486076</v>
      </c>
      <c r="AK580" s="6" t="n">
        <v>0.06086820851999606</v>
      </c>
      <c r="AL580" s="6" t="n">
        <v>1.090870650773144</v>
      </c>
      <c r="AN580" s="6" t="n">
        <v>1.339924079558493</v>
      </c>
      <c r="AO580" s="6" t="n">
        <v>1.340007321314473</v>
      </c>
      <c r="AP580" s="6" t="n">
        <v>0.1311633523580838</v>
      </c>
      <c r="AQ580" s="6" t="n">
        <v>0</v>
      </c>
      <c r="AR580" s="6" t="n">
        <v>0</v>
      </c>
    </row>
    <row r="581">
      <c r="D581" t="inlineStr">
        <is>
          <t>Run 269</t>
        </is>
      </c>
      <c r="J581" s="6" t="n">
        <v>-4.477408994656852</v>
      </c>
      <c r="K581" s="6" t="n">
        <v>-0.04717486919459765</v>
      </c>
      <c r="L581" s="6" t="n">
        <v>-3.835644350554433</v>
      </c>
      <c r="M581" s="6" t="n">
        <v>0.8420488102614041</v>
      </c>
      <c r="N581" s="6" t="n">
        <v>-1.527834151597779</v>
      </c>
      <c r="O581" s="6" t="n">
        <v>-0.7652755287603611</v>
      </c>
      <c r="P581" s="6" t="n">
        <v>-0.8815507791863738</v>
      </c>
      <c r="Q581" s="6" t="n">
        <v>-2.513415819223812</v>
      </c>
      <c r="R581" s="6" t="n">
        <v>-1.017254130939165</v>
      </c>
      <c r="S581" s="6" t="n">
        <v>2.776774937484471</v>
      </c>
      <c r="T581" s="6" t="n">
        <v>-1.357663836874961</v>
      </c>
      <c r="U581" s="6" t="n">
        <v>2.380271002448259</v>
      </c>
      <c r="V581" s="6" t="n">
        <v>1.499802849583455</v>
      </c>
      <c r="W581" s="6" t="n">
        <v>1.770911326823219</v>
      </c>
      <c r="X581" s="6" t="n">
        <v>1.305320867349021</v>
      </c>
      <c r="Y581" s="6" t="n">
        <v>2.06332223667705</v>
      </c>
      <c r="Z581" s="6" t="n">
        <v>-1.218007684795425</v>
      </c>
      <c r="AA581" s="6" t="n">
        <v>0.8679795660310614</v>
      </c>
      <c r="AB581" s="6" t="n">
        <v>2.373046437916388</v>
      </c>
      <c r="AC581" s="6" t="n">
        <v>1.103482915326778</v>
      </c>
      <c r="AD581" s="6" t="n">
        <v>0.6074784114816744</v>
      </c>
      <c r="AE581" s="6" t="n">
        <v>3.116618233088795</v>
      </c>
      <c r="AF581" s="6" t="n">
        <v>-0.283418201371822</v>
      </c>
      <c r="AG581" s="6" t="n">
        <v>2.059940353720007</v>
      </c>
      <c r="AH581" s="6" t="n">
        <v>-2.865229804766444</v>
      </c>
      <c r="AI581" s="6" t="n">
        <v>-2.60494712232621</v>
      </c>
      <c r="AJ581" s="6" t="n">
        <v>73.91369197483473</v>
      </c>
      <c r="AK581" s="6" t="n">
        <v>0.08510918388331784</v>
      </c>
      <c r="AL581" s="6" t="n">
        <v>1.058985887724818</v>
      </c>
      <c r="AN581" s="6" t="n">
        <v>1.341788436847828</v>
      </c>
      <c r="AO581" s="6" t="n">
        <v>1.341788436847828</v>
      </c>
      <c r="AP581" s="6" t="n">
        <v>0.1324869972255419</v>
      </c>
      <c r="AQ581" s="6" t="n">
        <v>0</v>
      </c>
      <c r="AR581" s="6" t="n">
        <v>0</v>
      </c>
    </row>
    <row r="582">
      <c r="D582" t="inlineStr">
        <is>
          <t>Run 270</t>
        </is>
      </c>
      <c r="J582" s="6" t="n">
        <v>2.45023862308565</v>
      </c>
      <c r="K582" s="6" t="n">
        <v>-0.06327935798677825</v>
      </c>
      <c r="L582" s="6" t="n">
        <v>-0.1419603191661101</v>
      </c>
      <c r="M582" s="6" t="n">
        <v>1.13551543189293</v>
      </c>
      <c r="N582" s="6" t="n">
        <v>0.2193043827362476</v>
      </c>
      <c r="O582" s="6" t="n">
        <v>-1.600885701269376</v>
      </c>
      <c r="P582" s="6" t="n">
        <v>0.3658018929592571</v>
      </c>
      <c r="Q582" s="6" t="n">
        <v>-1.399045264752643</v>
      </c>
      <c r="R582" s="6" t="n">
        <v>-0.06704281597683608</v>
      </c>
      <c r="S582" s="6" t="n">
        <v>-2.917160031337488</v>
      </c>
      <c r="T582" s="6" t="n">
        <v>0.1836020356139557</v>
      </c>
      <c r="U582" s="6" t="n">
        <v>2.571966282585432</v>
      </c>
      <c r="V582" s="6" t="n">
        <v>2.734146000722848</v>
      </c>
      <c r="W582" s="6" t="n">
        <v>1.590289721862437</v>
      </c>
      <c r="X582" s="6" t="n">
        <v>4.590053922069636</v>
      </c>
      <c r="Y582" s="6" t="n">
        <v>3.395476324698713</v>
      </c>
      <c r="Z582" s="6" t="n">
        <v>0.001004036851637738</v>
      </c>
      <c r="AA582" s="6" t="n">
        <v>-2.767098522533344</v>
      </c>
      <c r="AB582" s="6" t="n">
        <v>1.899001575082845</v>
      </c>
      <c r="AC582" s="6" t="n">
        <v>1.010098016621081</v>
      </c>
      <c r="AD582" s="6" t="n">
        <v>1.054724649585635</v>
      </c>
      <c r="AE582" s="6" t="n">
        <v>0.3933640791920458</v>
      </c>
      <c r="AF582" s="6" t="n">
        <v>-2.498578778056364</v>
      </c>
      <c r="AG582" s="6" t="n">
        <v>0.9163281207855456</v>
      </c>
      <c r="AH582" s="6" t="n">
        <v>-2.493023610467543</v>
      </c>
      <c r="AI582" s="6" t="n">
        <v>0.3647756379650002</v>
      </c>
      <c r="AJ582" s="6" t="n">
        <v>80.64385206452414</v>
      </c>
      <c r="AK582" s="6" t="n">
        <v>0.07987700122041011</v>
      </c>
      <c r="AL582" s="6" t="n">
        <v>1.051541845584939</v>
      </c>
      <c r="AN582" s="6" t="n">
        <v>1.351735132332061</v>
      </c>
      <c r="AO582" s="6" t="n">
        <v>1.352408323665666</v>
      </c>
      <c r="AP582" s="6" t="n">
        <v>0.1339240125598677</v>
      </c>
      <c r="AQ582" s="6" t="n">
        <v>0</v>
      </c>
      <c r="AR582" s="6" t="n">
        <v>0</v>
      </c>
    </row>
    <row r="583">
      <c r="D583" t="inlineStr">
        <is>
          <t>Run 271</t>
        </is>
      </c>
      <c r="J583" s="6" t="n">
        <v>3.305777714457641</v>
      </c>
      <c r="K583" s="6" t="n">
        <v>-2.264004295935995</v>
      </c>
      <c r="L583" s="6" t="n">
        <v>0.3651720364150108</v>
      </c>
      <c r="M583" s="6" t="n">
        <v>-0.5858833751802482</v>
      </c>
      <c r="N583" s="6" t="n">
        <v>2.906723791159462</v>
      </c>
      <c r="O583" s="6" t="n">
        <v>-0.684919106447806</v>
      </c>
      <c r="P583" s="6" t="n">
        <v>-0.4270340973842766</v>
      </c>
      <c r="Q583" s="6" t="n">
        <v>-1.46797021580072</v>
      </c>
      <c r="R583" s="6" t="n">
        <v>3.171591316324306</v>
      </c>
      <c r="S583" s="6" t="n">
        <v>1.78730436905539</v>
      </c>
      <c r="T583" s="6" t="n">
        <v>-4.320676793844096</v>
      </c>
      <c r="U583" s="6" t="n">
        <v>-1.358934406090311</v>
      </c>
      <c r="V583" s="6" t="n">
        <v>-0.9334044306021988</v>
      </c>
      <c r="W583" s="6" t="n">
        <v>4.45081750892783</v>
      </c>
      <c r="X583" s="6" t="n">
        <v>-0.607668488521905</v>
      </c>
      <c r="Y583" s="6" t="n">
        <v>2.014268620071899</v>
      </c>
      <c r="Z583" s="6" t="n">
        <v>-1.64086625480215</v>
      </c>
      <c r="AA583" s="6" t="n">
        <v>0.9101146801796509</v>
      </c>
      <c r="AB583" s="6" t="n">
        <v>-1.491366995265574</v>
      </c>
      <c r="AC583" s="6" t="n">
        <v>-0.8928420804180665</v>
      </c>
      <c r="AD583" s="6" t="n">
        <v>1.14416017081532</v>
      </c>
      <c r="AE583" s="6" t="n">
        <v>-1.976329252886536</v>
      </c>
      <c r="AF583" s="6" t="n">
        <v>2.651546670012598</v>
      </c>
      <c r="AG583" s="6" t="n">
        <v>0.6681997872299061</v>
      </c>
      <c r="AH583" s="6" t="n">
        <v>0.5601193090946547</v>
      </c>
      <c r="AI583" s="6" t="n">
        <v>2.210037977820492</v>
      </c>
      <c r="AJ583" s="6" t="n">
        <v>66.92547151638026</v>
      </c>
      <c r="AK583" s="6" t="n">
        <v>0.126486904747644</v>
      </c>
      <c r="AL583" s="6" t="n">
        <v>1.072369820052602</v>
      </c>
      <c r="AN583" s="6" t="n">
        <v>1.335675653795816</v>
      </c>
      <c r="AO583" s="6" t="n">
        <v>1.336607042015249</v>
      </c>
      <c r="AP583" s="6" t="n">
        <v>0.1303195468006751</v>
      </c>
      <c r="AQ583" s="6" t="n">
        <v>0</v>
      </c>
      <c r="AR583" s="6" t="n">
        <v>0</v>
      </c>
    </row>
    <row r="584">
      <c r="D584" t="inlineStr">
        <is>
          <t>Run 272</t>
        </is>
      </c>
      <c r="J584" s="6" t="n">
        <v>-2.517746189183832</v>
      </c>
      <c r="K584" s="6" t="n">
        <v>-0.2398730492768316</v>
      </c>
      <c r="L584" s="6" t="n">
        <v>0.4751700286411406</v>
      </c>
      <c r="M584" s="6" t="n">
        <v>1.5523590647605</v>
      </c>
      <c r="N584" s="6" t="n">
        <v>-1.951361570759169</v>
      </c>
      <c r="O584" s="6" t="n">
        <v>1.108048373361529</v>
      </c>
      <c r="P584" s="6" t="n">
        <v>-0.2594296311294174</v>
      </c>
      <c r="Q584" s="6" t="n">
        <v>1.728508019380203</v>
      </c>
      <c r="R584" s="6" t="n">
        <v>-1.315943978135893</v>
      </c>
      <c r="S584" s="6" t="n">
        <v>-3.90515538545304</v>
      </c>
      <c r="T584" s="6" t="n">
        <v>-0.3059680754152209</v>
      </c>
      <c r="U584" s="6" t="n">
        <v>-2.015569815402828</v>
      </c>
      <c r="V584" s="6" t="n">
        <v>1.409583386800395</v>
      </c>
      <c r="W584" s="6" t="n">
        <v>1.390019003496669</v>
      </c>
      <c r="X584" s="6" t="n">
        <v>-0.7382219082614333</v>
      </c>
      <c r="Y584" s="6" t="n">
        <v>2.0060509224894</v>
      </c>
      <c r="Z584" s="6" t="n">
        <v>-2.074271443821225</v>
      </c>
      <c r="AA584" s="6" t="n">
        <v>-3.109800151903146</v>
      </c>
      <c r="AB584" s="6" t="n">
        <v>0.5885930050401191</v>
      </c>
      <c r="AC584" s="6" t="n">
        <v>0.117162164419597</v>
      </c>
      <c r="AD584" s="6" t="n">
        <v>-0.7103119919538688</v>
      </c>
      <c r="AE584" s="6" t="n">
        <v>-2.306209079573997</v>
      </c>
      <c r="AF584" s="6" t="n">
        <v>-1.129570301479919</v>
      </c>
      <c r="AG584" s="6" t="n">
        <v>1.460895258113827</v>
      </c>
      <c r="AH584" s="6" t="n">
        <v>2.59909845269003</v>
      </c>
      <c r="AI584" s="6" t="n">
        <v>1.068624105173762</v>
      </c>
      <c r="AJ584" s="6" t="n">
        <v>70.36620576093723</v>
      </c>
      <c r="AK584" s="6" t="n">
        <v>0.1774448703257211</v>
      </c>
      <c r="AL584" s="6" t="n">
        <v>1.060956166096423</v>
      </c>
      <c r="AN584" s="6" t="n">
        <v>1.334784689916367</v>
      </c>
      <c r="AO584" s="6" t="n">
        <v>1.334916889654619</v>
      </c>
      <c r="AP584" s="6" t="n">
        <v>0.1303108792816381</v>
      </c>
      <c r="AQ584" s="6" t="n">
        <v>0</v>
      </c>
      <c r="AR584" s="6" t="n">
        <v>0</v>
      </c>
    </row>
    <row r="585">
      <c r="D585" t="inlineStr">
        <is>
          <t>Run 273</t>
        </is>
      </c>
      <c r="J585" s="6" t="n">
        <v>-0.6019977269822492</v>
      </c>
      <c r="K585" s="6" t="n">
        <v>-2.979100565579641</v>
      </c>
      <c r="L585" s="6" t="n">
        <v>1.687429965148657</v>
      </c>
      <c r="M585" s="6" t="n">
        <v>-1.855275687673978</v>
      </c>
      <c r="N585" s="6" t="n">
        <v>-0.7533103163974585</v>
      </c>
      <c r="O585" s="6" t="n">
        <v>-2.278845144847334</v>
      </c>
      <c r="P585" s="6" t="n">
        <v>-1.902875501645985</v>
      </c>
      <c r="Q585" s="6" t="n">
        <v>-1.366620556552829</v>
      </c>
      <c r="R585" s="6" t="n">
        <v>0.9113911322527594</v>
      </c>
      <c r="S585" s="6" t="n">
        <v>2.161220927720717</v>
      </c>
      <c r="T585" s="6" t="n">
        <v>-0.4899450766269676</v>
      </c>
      <c r="U585" s="6" t="n">
        <v>1.791654530022469</v>
      </c>
      <c r="V585" s="6" t="n">
        <v>3.620208776993098</v>
      </c>
      <c r="W585" s="6" t="n">
        <v>-1.536958961100056</v>
      </c>
      <c r="X585" s="6" t="n">
        <v>-0.8166105827095568</v>
      </c>
      <c r="Y585" s="6" t="n">
        <v>2.084355334812261</v>
      </c>
      <c r="Z585" s="6" t="n">
        <v>-0.1509719732959986</v>
      </c>
      <c r="AA585" s="6" t="n">
        <v>2.09203149285808</v>
      </c>
      <c r="AB585" s="6" t="n">
        <v>-1.06563171294982</v>
      </c>
      <c r="AC585" s="6" t="n">
        <v>1.717710324699006</v>
      </c>
      <c r="AD585" s="6" t="n">
        <v>-1.919257448784699</v>
      </c>
      <c r="AE585" s="6" t="n">
        <v>-2.713536130249778</v>
      </c>
      <c r="AF585" s="6" t="n">
        <v>-2.118144340963623</v>
      </c>
      <c r="AG585" s="6" t="n">
        <v>3.459254665680141</v>
      </c>
      <c r="AH585" s="6" t="n">
        <v>-2.146454156003564</v>
      </c>
      <c r="AI585" s="6" t="n">
        <v>3.167814533475562</v>
      </c>
      <c r="AJ585" s="6" t="n">
        <v>66.78407359551683</v>
      </c>
      <c r="AK585" s="6" t="n">
        <v>0.01306168119192673</v>
      </c>
      <c r="AL585" s="6" t="n">
        <v>1.047823704198608</v>
      </c>
      <c r="AN585" s="6" t="n">
        <v>1.338463283221647</v>
      </c>
      <c r="AO585" s="6" t="n">
        <v>1.344805310130911</v>
      </c>
      <c r="AP585" s="6" t="n">
        <v>0.1345103515157768</v>
      </c>
      <c r="AQ585" s="6" t="n">
        <v>0</v>
      </c>
      <c r="AR585" s="6" t="n">
        <v>0</v>
      </c>
    </row>
    <row r="586">
      <c r="D586" t="inlineStr">
        <is>
          <t>Run 274</t>
        </is>
      </c>
      <c r="J586" s="6" t="n">
        <v>3.845697876911302</v>
      </c>
      <c r="K586" s="6" t="n">
        <v>-4.103563211534213</v>
      </c>
      <c r="L586" s="6" t="n">
        <v>2.404765103750096</v>
      </c>
      <c r="M586" s="6" t="n">
        <v>1.935701927069932</v>
      </c>
      <c r="N586" s="6" t="n">
        <v>-5.518645453369726</v>
      </c>
      <c r="O586" s="6" t="n">
        <v>0.1827695348958632</v>
      </c>
      <c r="P586" s="6" t="n">
        <v>0.5365125743534673</v>
      </c>
      <c r="Q586" s="6" t="n">
        <v>-1.062398666331863</v>
      </c>
      <c r="R586" s="6" t="n">
        <v>-1.653738579527325</v>
      </c>
      <c r="S586" s="6" t="n">
        <v>0.6212418677948209</v>
      </c>
      <c r="T586" s="6" t="n">
        <v>0.2849045035736079</v>
      </c>
      <c r="U586" s="6" t="n">
        <v>-0.9402301826705437</v>
      </c>
      <c r="V586" s="6" t="n">
        <v>3.034204604273858</v>
      </c>
      <c r="W586" s="6" t="n">
        <v>2.024358678664608</v>
      </c>
      <c r="X586" s="6" t="n">
        <v>-4.233016593691271</v>
      </c>
      <c r="Y586" s="6" t="n">
        <v>2.365963742973476</v>
      </c>
      <c r="Z586" s="6" t="n">
        <v>-3.520423585434183</v>
      </c>
      <c r="AA586" s="6" t="n">
        <v>1.281224948442872</v>
      </c>
      <c r="AB586" s="6" t="n">
        <v>-2.274318338724227</v>
      </c>
      <c r="AC586" s="6" t="n">
        <v>-0.8323593404664013</v>
      </c>
      <c r="AD586" s="6" t="n">
        <v>1.459480317140265</v>
      </c>
      <c r="AE586" s="6" t="n">
        <v>-0.1354230976097191</v>
      </c>
      <c r="AF586" s="6" t="n">
        <v>1.278054908076529</v>
      </c>
      <c r="AG586" s="6" t="n">
        <v>2.592220857300688</v>
      </c>
      <c r="AH586" s="6" t="n">
        <v>1.31629440357915</v>
      </c>
      <c r="AI586" s="6" t="n">
        <v>3.562638150918715</v>
      </c>
      <c r="AJ586" s="6" t="n">
        <v>74.46179580081511</v>
      </c>
      <c r="AK586" s="6" t="n">
        <v>0.1355791695270138</v>
      </c>
      <c r="AL586" s="6" t="n">
        <v>1.002026709619225</v>
      </c>
      <c r="AN586" s="6" t="n">
        <v>1.348635818125143</v>
      </c>
      <c r="AO586" s="6" t="n">
        <v>1.353549260016403</v>
      </c>
      <c r="AP586" s="6" t="n">
        <v>0.1379963319514469</v>
      </c>
      <c r="AQ586" s="6" t="n">
        <v>0</v>
      </c>
      <c r="AR586" s="6" t="n">
        <v>0</v>
      </c>
    </row>
    <row r="587">
      <c r="D587" t="inlineStr">
        <is>
          <t>Run 275</t>
        </is>
      </c>
      <c r="J587" s="6" t="n">
        <v>-0.7397342471525824</v>
      </c>
      <c r="K587" s="6" t="n">
        <v>-1.790320794657726</v>
      </c>
      <c r="L587" s="6" t="n">
        <v>0.795052165422008</v>
      </c>
      <c r="M587" s="6" t="n">
        <v>0.2492630571037513</v>
      </c>
      <c r="N587" s="6" t="n">
        <v>0.1191688059889545</v>
      </c>
      <c r="O587" s="6" t="n">
        <v>1.735306465049504</v>
      </c>
      <c r="P587" s="6" t="n">
        <v>2.926718699627678</v>
      </c>
      <c r="Q587" s="6" t="n">
        <v>2.056271867246613</v>
      </c>
      <c r="R587" s="6" t="n">
        <v>5</v>
      </c>
      <c r="S587" s="6" t="n">
        <v>0.1132740297408227</v>
      </c>
      <c r="T587" s="6" t="n">
        <v>-1.016522206305263</v>
      </c>
      <c r="U587" s="6" t="n">
        <v>2.744397294145922</v>
      </c>
      <c r="V587" s="6" t="n">
        <v>-1.992557904158115</v>
      </c>
      <c r="W587" s="6" t="n">
        <v>-0.1499548633259396</v>
      </c>
      <c r="X587" s="6" t="n">
        <v>2.053886893881213</v>
      </c>
      <c r="Y587" s="6" t="n">
        <v>-1.679564330363467</v>
      </c>
      <c r="Z587" s="6" t="n">
        <v>1.238986737957161</v>
      </c>
      <c r="AA587" s="6" t="n">
        <v>0.3639963509524956</v>
      </c>
      <c r="AB587" s="6" t="n">
        <v>1.132075366646456</v>
      </c>
      <c r="AC587" s="6" t="n">
        <v>0.3416905762443473</v>
      </c>
      <c r="AD587" s="6" t="n">
        <v>-1.024834315014707</v>
      </c>
      <c r="AE587" s="6" t="n">
        <v>3.257076921396743</v>
      </c>
      <c r="AF587" s="6" t="n">
        <v>-3.625032382503972</v>
      </c>
      <c r="AG587" s="6" t="n">
        <v>-3.599660408661634</v>
      </c>
      <c r="AH587" s="6" t="n">
        <v>-0.1569643827365228</v>
      </c>
      <c r="AI587" s="6" t="n">
        <v>-4.449173059807131</v>
      </c>
      <c r="AJ587" s="6" t="n">
        <v>80.76009404608462</v>
      </c>
      <c r="AK587" s="6" t="n">
        <v>0.1422112666419026</v>
      </c>
      <c r="AL587" s="6" t="n">
        <v>1.024063983168825</v>
      </c>
      <c r="AN587" s="6" t="n">
        <v>1.35733632892702</v>
      </c>
      <c r="AO587" s="6" t="n">
        <v>1.35733632892702</v>
      </c>
      <c r="AP587" s="6" t="n">
        <v>0.1354470188809093</v>
      </c>
      <c r="AQ587" s="6" t="n">
        <v>0</v>
      </c>
      <c r="AR587" s="6" t="n">
        <v>0</v>
      </c>
    </row>
    <row r="588">
      <c r="D588" t="inlineStr">
        <is>
          <t>Run 276</t>
        </is>
      </c>
      <c r="J588" s="6" t="n">
        <v>-0.1136094663082167</v>
      </c>
      <c r="K588" s="6" t="n">
        <v>-0.7102814257741724</v>
      </c>
      <c r="L588" s="6" t="n">
        <v>-0.6975224130371248</v>
      </c>
      <c r="M588" s="6" t="n">
        <v>-3.293248870135544</v>
      </c>
      <c r="N588" s="6" t="n">
        <v>4.223807673647886</v>
      </c>
      <c r="O588" s="6" t="n">
        <v>1.587771508626388</v>
      </c>
      <c r="P588" s="6" t="n">
        <v>1.800172929188725</v>
      </c>
      <c r="Q588" s="6" t="n">
        <v>0.9432708227272875</v>
      </c>
      <c r="R588" s="6" t="n">
        <v>1.695036320709488</v>
      </c>
      <c r="S588" s="6" t="n">
        <v>0.631821013902388</v>
      </c>
      <c r="T588" s="6" t="n">
        <v>-3.3978209457392</v>
      </c>
      <c r="U588" s="6" t="n">
        <v>-0.1131383291350669</v>
      </c>
      <c r="V588" s="6" t="n">
        <v>2.001179436144047</v>
      </c>
      <c r="W588" s="6" t="n">
        <v>-2.049936009178393</v>
      </c>
      <c r="X588" s="6" t="n">
        <v>-2.719373371157193</v>
      </c>
      <c r="Y588" s="6" t="n">
        <v>3.091181067117168</v>
      </c>
      <c r="Z588" s="6" t="n">
        <v>1.221518369408516</v>
      </c>
      <c r="AA588" s="6" t="n">
        <v>-3.034579767495466</v>
      </c>
      <c r="AB588" s="6" t="n">
        <v>-1.62108046692729</v>
      </c>
      <c r="AC588" s="6" t="n">
        <v>-0.9793776858681077</v>
      </c>
      <c r="AD588" s="6" t="n">
        <v>-0.4376396841188526</v>
      </c>
      <c r="AE588" s="6" t="n">
        <v>0.6522050530274625</v>
      </c>
      <c r="AF588" s="6" t="n">
        <v>-0.08101669060881264</v>
      </c>
      <c r="AG588" s="6" t="n">
        <v>-1.23348318933894</v>
      </c>
      <c r="AH588" s="6" t="n">
        <v>-0.2012817930110392</v>
      </c>
      <c r="AI588" s="6" t="n">
        <v>1.401394073062776</v>
      </c>
      <c r="AJ588" s="6" t="n">
        <v>78.45623010837743</v>
      </c>
      <c r="AK588" s="6" t="n">
        <v>0.1337120747533511</v>
      </c>
      <c r="AL588" s="6" t="n">
        <v>1.046360393154209</v>
      </c>
      <c r="AN588" s="6" t="n">
        <v>1.315481119781241</v>
      </c>
      <c r="AO588" s="6" t="n">
        <v>1.327666769922315</v>
      </c>
      <c r="AP588" s="6" t="n">
        <v>0.1327479406346178</v>
      </c>
      <c r="AQ588" s="6" t="n">
        <v>0</v>
      </c>
      <c r="AR588" s="6" t="n">
        <v>0</v>
      </c>
    </row>
    <row r="589">
      <c r="D589" t="inlineStr">
        <is>
          <t>Run 277</t>
        </is>
      </c>
      <c r="J589" s="6" t="n">
        <v>2.696468743001536</v>
      </c>
      <c r="K589" s="6" t="n">
        <v>0.4910743235825527</v>
      </c>
      <c r="L589" s="6" t="n">
        <v>0.6917614024538739</v>
      </c>
      <c r="M589" s="6" t="n">
        <v>-0.6248128799457389</v>
      </c>
      <c r="N589" s="6" t="n">
        <v>-3.050016894151722</v>
      </c>
      <c r="O589" s="6" t="n">
        <v>-1.509779193358012</v>
      </c>
      <c r="P589" s="6" t="n">
        <v>0.9171843448225228</v>
      </c>
      <c r="Q589" s="6" t="n">
        <v>-2.325498532231835</v>
      </c>
      <c r="R589" s="6" t="n">
        <v>-1.177552900211834</v>
      </c>
      <c r="S589" s="6" t="n">
        <v>0.01022336981636297</v>
      </c>
      <c r="T589" s="6" t="n">
        <v>-2.844342409962489</v>
      </c>
      <c r="U589" s="6" t="n">
        <v>-2.271792070021938</v>
      </c>
      <c r="V589" s="6" t="n">
        <v>0.9941964834081033</v>
      </c>
      <c r="W589" s="6" t="n">
        <v>1.714954828283982</v>
      </c>
      <c r="X589" s="6" t="n">
        <v>-1.736175631966831</v>
      </c>
      <c r="Y589" s="6" t="n">
        <v>2.161268802881986</v>
      </c>
      <c r="Z589" s="6" t="n">
        <v>-1.213447742985056</v>
      </c>
      <c r="AA589" s="6" t="n">
        <v>-1.924021796876494</v>
      </c>
      <c r="AB589" s="6" t="n">
        <v>1.769576134345582</v>
      </c>
      <c r="AC589" s="6" t="n">
        <v>-2.567165618322318</v>
      </c>
      <c r="AD589" s="6" t="n">
        <v>1.981939766043891</v>
      </c>
      <c r="AE589" s="6" t="n">
        <v>-2.566457717015209</v>
      </c>
      <c r="AF589" s="6" t="n">
        <v>-1.267061031593737</v>
      </c>
      <c r="AG589" s="6" t="n">
        <v>1.313062931387701</v>
      </c>
      <c r="AH589" s="6" t="n">
        <v>-1.442665207542172</v>
      </c>
      <c r="AI589" s="6" t="n">
        <v>0.4673031401273824</v>
      </c>
      <c r="AJ589" s="6" t="n">
        <v>68.39635189378113</v>
      </c>
      <c r="AK589" s="6" t="n">
        <v>0.1080084454586284</v>
      </c>
      <c r="AL589" s="6" t="n">
        <v>1.052619809612051</v>
      </c>
      <c r="AN589" s="6" t="n">
        <v>1.345085730491199</v>
      </c>
      <c r="AO589" s="6" t="n">
        <v>1.345408231039193</v>
      </c>
      <c r="AP589" s="6" t="n">
        <v>0.1320577175245423</v>
      </c>
      <c r="AQ589" s="6" t="n">
        <v>0</v>
      </c>
      <c r="AR589" s="6" t="n">
        <v>0</v>
      </c>
    </row>
    <row r="590">
      <c r="D590" t="inlineStr">
        <is>
          <t>Run 278</t>
        </is>
      </c>
      <c r="J590" s="6" t="n">
        <v>-0.1929080596123962</v>
      </c>
      <c r="K590" s="6" t="n">
        <v>-0.8455970770188906</v>
      </c>
      <c r="L590" s="6" t="n">
        <v>4.189384237399843</v>
      </c>
      <c r="M590" s="6" t="n">
        <v>-0.5099587444355597</v>
      </c>
      <c r="N590" s="6" t="n">
        <v>-1.877602938548828</v>
      </c>
      <c r="O590" s="6" t="n">
        <v>0.06707342905364766</v>
      </c>
      <c r="P590" s="6" t="n">
        <v>-2.599927880931703</v>
      </c>
      <c r="Q590" s="6" t="n">
        <v>-0.4787835288323232</v>
      </c>
      <c r="R590" s="6" t="n">
        <v>0.4166115798719935</v>
      </c>
      <c r="S590" s="6" t="n">
        <v>-1.426300122479819</v>
      </c>
      <c r="T590" s="6" t="n">
        <v>2.038355244466735</v>
      </c>
      <c r="U590" s="6" t="n">
        <v>1.503823923061765</v>
      </c>
      <c r="V590" s="6" t="n">
        <v>-1.072679756130087</v>
      </c>
      <c r="W590" s="6" t="n">
        <v>1.740158605096252</v>
      </c>
      <c r="X590" s="6" t="n">
        <v>-0.9667564808919009</v>
      </c>
      <c r="Y590" s="6" t="n">
        <v>2.712334186874313</v>
      </c>
      <c r="Z590" s="6" t="n">
        <v>-2.226003819579281</v>
      </c>
      <c r="AA590" s="6" t="n">
        <v>0.3066614190506389</v>
      </c>
      <c r="AB590" s="6" t="n">
        <v>-0.4564305873167982</v>
      </c>
      <c r="AC590" s="6" t="n">
        <v>1.808211449626891</v>
      </c>
      <c r="AD590" s="6" t="n">
        <v>-1.967912724109025</v>
      </c>
      <c r="AE590" s="6" t="n">
        <v>-1.25487935587326</v>
      </c>
      <c r="AF590" s="6" t="n">
        <v>1.027289620925531</v>
      </c>
      <c r="AG590" s="6" t="n">
        <v>0.6327977338102297</v>
      </c>
      <c r="AH590" s="6" t="n">
        <v>0.009574246033705847</v>
      </c>
      <c r="AI590" s="6" t="n">
        <v>0.7530434634321992</v>
      </c>
      <c r="AJ590" s="6" t="n">
        <v>67.45899986102077</v>
      </c>
      <c r="AK590" s="6" t="n">
        <v>0.1045181207231968</v>
      </c>
      <c r="AL590" s="6" t="n">
        <v>1.070010299384509</v>
      </c>
      <c r="AN590" s="6" t="n">
        <v>1.340090770720878</v>
      </c>
      <c r="AO590" s="6" t="n">
        <v>1.340835421681897</v>
      </c>
      <c r="AP590" s="6" t="n">
        <v>0.1311318197904078</v>
      </c>
      <c r="AQ590" s="6" t="n">
        <v>0</v>
      </c>
      <c r="AR590" s="6" t="n">
        <v>0</v>
      </c>
    </row>
    <row r="591">
      <c r="D591" t="inlineStr">
        <is>
          <t>Run 279</t>
        </is>
      </c>
      <c r="J591" s="6" t="n">
        <v>-2.044472003841937</v>
      </c>
      <c r="K591" s="6" t="n">
        <v>1.186876110866476</v>
      </c>
      <c r="L591" s="6" t="n">
        <v>-0.6384649067590966</v>
      </c>
      <c r="M591" s="6" t="n">
        <v>-0.3619899473967186</v>
      </c>
      <c r="N591" s="6" t="n">
        <v>-0.4951998808985085</v>
      </c>
      <c r="O591" s="6" t="n">
        <v>-3.071478734358139</v>
      </c>
      <c r="P591" s="6" t="n">
        <v>2.182504251481334</v>
      </c>
      <c r="Q591" s="6" t="n">
        <v>1.565310057728748</v>
      </c>
      <c r="R591" s="6" t="n">
        <v>1.477418108748942</v>
      </c>
      <c r="S591" s="6" t="n">
        <v>0.8672139604090557</v>
      </c>
      <c r="T591" s="6" t="n">
        <v>-0.8878669706377473</v>
      </c>
      <c r="U591" s="6" t="n">
        <v>1.247788019731071</v>
      </c>
      <c r="V591" s="6" t="n">
        <v>-3.155256135833757</v>
      </c>
      <c r="W591" s="6" t="n">
        <v>0.1762718771585605</v>
      </c>
      <c r="X591" s="6" t="n">
        <v>-0.1689113954114145</v>
      </c>
      <c r="Y591" s="6" t="n">
        <v>1.196647499547183</v>
      </c>
      <c r="Z591" s="6" t="n">
        <v>1.904269648684626</v>
      </c>
      <c r="AA591" s="6" t="n">
        <v>0.8639595787707789</v>
      </c>
      <c r="AB591" s="6" t="n">
        <v>2.186497114815</v>
      </c>
      <c r="AC591" s="6" t="n">
        <v>-2.043638890330936</v>
      </c>
      <c r="AD591" s="6" t="n">
        <v>-0.2235394276333526</v>
      </c>
      <c r="AE591" s="6" t="n">
        <v>3.013937704818464</v>
      </c>
      <c r="AF591" s="6" t="n">
        <v>-3.245003889434031</v>
      </c>
      <c r="AG591" s="6" t="n">
        <v>0.8270030573292321</v>
      </c>
      <c r="AH591" s="6" t="n">
        <v>-1.368664059192888</v>
      </c>
      <c r="AI591" s="6" t="n">
        <v>0.07574509662224638</v>
      </c>
      <c r="AJ591" s="6" t="n">
        <v>79.33981468075417</v>
      </c>
      <c r="AK591" s="6" t="n">
        <v>0.09652601230864388</v>
      </c>
      <c r="AL591" s="6" t="n">
        <v>1.064488417350728</v>
      </c>
      <c r="AN591" s="6" t="n">
        <v>1.347779445556534</v>
      </c>
      <c r="AO591" s="6" t="n">
        <v>1.348162978487371</v>
      </c>
      <c r="AP591" s="6" t="n">
        <v>0.132566133440689</v>
      </c>
      <c r="AQ591" s="6" t="n">
        <v>0</v>
      </c>
      <c r="AR591" s="6" t="n">
        <v>0</v>
      </c>
    </row>
    <row r="592">
      <c r="D592" t="inlineStr">
        <is>
          <t>Run 280</t>
        </is>
      </c>
      <c r="J592" s="6" t="n">
        <v>0.5754285575118887</v>
      </c>
      <c r="K592" s="6" t="n">
        <v>-1.984213206422067</v>
      </c>
      <c r="L592" s="6" t="n">
        <v>0.6576485462269721</v>
      </c>
      <c r="M592" s="6" t="n">
        <v>1.503261052724593</v>
      </c>
      <c r="N592" s="6" t="n">
        <v>-0.7747719835711634</v>
      </c>
      <c r="O592" s="6" t="n">
        <v>0.4630867512265898</v>
      </c>
      <c r="P592" s="6" t="n">
        <v>1.616885795337514</v>
      </c>
      <c r="Q592" s="6" t="n">
        <v>1.631349869634084</v>
      </c>
      <c r="R592" s="6" t="n">
        <v>0.8994148036473665</v>
      </c>
      <c r="S592" s="6" t="n">
        <v>4.535648654845479</v>
      </c>
      <c r="T592" s="6" t="n">
        <v>1.444615198865001</v>
      </c>
      <c r="U592" s="6" t="n">
        <v>1.420888588034724</v>
      </c>
      <c r="V592" s="6" t="n">
        <v>1.074398350298041</v>
      </c>
      <c r="W592" s="6" t="n">
        <v>2.582223395770084</v>
      </c>
      <c r="X592" s="6" t="n">
        <v>1.578929007979263</v>
      </c>
      <c r="Y592" s="6" t="n">
        <v>1.773004176458751</v>
      </c>
      <c r="Z592" s="6" t="n">
        <v>-1.069543960960437</v>
      </c>
      <c r="AA592" s="6" t="n">
        <v>0.6597997163739381</v>
      </c>
      <c r="AB592" s="6" t="n">
        <v>0.03276121306315416</v>
      </c>
      <c r="AC592" s="6" t="n">
        <v>0.3882291499676791</v>
      </c>
      <c r="AD592" s="6" t="n">
        <v>1.084145505202046</v>
      </c>
      <c r="AE592" s="6" t="n">
        <v>2.803758285605471</v>
      </c>
      <c r="AF592" s="6" t="n">
        <v>-1.00751075237314</v>
      </c>
      <c r="AG592" s="6" t="n">
        <v>1.06134618255934</v>
      </c>
      <c r="AH592" s="6" t="n">
        <v>-0.6915711305761977</v>
      </c>
      <c r="AI592" s="6" t="n">
        <v>-1.770541080508256</v>
      </c>
      <c r="AJ592" s="6" t="n">
        <v>72.57934510714188</v>
      </c>
      <c r="AK592" s="6" t="n">
        <v>0.09797957758999878</v>
      </c>
      <c r="AL592" s="6" t="n">
        <v>1.054637540920276</v>
      </c>
      <c r="AN592" s="6" t="n">
        <v>1.346750015428315</v>
      </c>
      <c r="AO592" s="6" t="n">
        <v>1.347009230339907</v>
      </c>
      <c r="AP592" s="6" t="n">
        <v>0.1327072508749499</v>
      </c>
      <c r="AQ592" s="6" t="n">
        <v>0</v>
      </c>
      <c r="AR592" s="6" t="n">
        <v>0</v>
      </c>
    </row>
    <row r="593">
      <c r="D593" t="inlineStr">
        <is>
          <t>Run 281</t>
        </is>
      </c>
      <c r="J593" s="6" t="n">
        <v>3.204988228427508</v>
      </c>
      <c r="K593" s="6" t="n">
        <v>2.195572018202734</v>
      </c>
      <c r="L593" s="6" t="n">
        <v>-2.372013321451793</v>
      </c>
      <c r="M593" s="6" t="n">
        <v>2.172289933163499</v>
      </c>
      <c r="N593" s="6" t="n">
        <v>-2.892742521837946</v>
      </c>
      <c r="O593" s="6" t="n">
        <v>1.493675886323319</v>
      </c>
      <c r="P593" s="6" t="n">
        <v>-0.08481714876688418</v>
      </c>
      <c r="Q593" s="6" t="n">
        <v>2.063397768400239</v>
      </c>
      <c r="R593" s="6" t="n">
        <v>2.474562061935508</v>
      </c>
      <c r="S593" s="6" t="n">
        <v>-0.869654536934712</v>
      </c>
      <c r="T593" s="6" t="n">
        <v>-0.2117371376857068</v>
      </c>
      <c r="U593" s="6" t="n">
        <v>-1.269839475636758</v>
      </c>
      <c r="V593" s="6" t="n">
        <v>-2.521274861950831</v>
      </c>
      <c r="W593" s="6" t="n">
        <v>-0.9192486699804012</v>
      </c>
      <c r="X593" s="6" t="n">
        <v>-2.519156636902479</v>
      </c>
      <c r="Y593" s="6" t="n">
        <v>0.6018337669227941</v>
      </c>
      <c r="Z593" s="6" t="n">
        <v>-3.170276256447563</v>
      </c>
      <c r="AA593" s="6" t="n">
        <v>-0.127315634354358</v>
      </c>
      <c r="AB593" s="6" t="n">
        <v>2.968669926335366</v>
      </c>
      <c r="AC593" s="6" t="n">
        <v>3.498035235468439</v>
      </c>
      <c r="AD593" s="6" t="n">
        <v>3.00593932716012</v>
      </c>
      <c r="AE593" s="6" t="n">
        <v>-0.3166923099176503</v>
      </c>
      <c r="AF593" s="6" t="n">
        <v>0.07124899754256184</v>
      </c>
      <c r="AG593" s="6" t="n">
        <v>0.4651770149890679</v>
      </c>
      <c r="AH593" s="6" t="n">
        <v>1.704573130834736</v>
      </c>
      <c r="AI593" s="6" t="n">
        <v>-0.126000847210117</v>
      </c>
      <c r="AJ593" s="6" t="n">
        <v>79.37721436703191</v>
      </c>
      <c r="AK593" s="6" t="n">
        <v>0.1670082168288778</v>
      </c>
      <c r="AL593" s="6" t="n">
        <v>1.012449351311403</v>
      </c>
      <c r="AN593" s="6" t="n">
        <v>1.357842019991996</v>
      </c>
      <c r="AO593" s="6" t="n">
        <v>1.358691881947236</v>
      </c>
      <c r="AP593" s="6" t="n">
        <v>0.1365671620318208</v>
      </c>
      <c r="AQ593" s="6" t="n">
        <v>0</v>
      </c>
      <c r="AR593" s="6" t="n">
        <v>0</v>
      </c>
    </row>
    <row r="594">
      <c r="D594" t="inlineStr">
        <is>
          <t>Run 282</t>
        </is>
      </c>
      <c r="J594" s="6" t="n">
        <v>2.445314643082303</v>
      </c>
      <c r="K594" s="6" t="n">
        <v>4.623679554326261</v>
      </c>
      <c r="L594" s="6" t="n">
        <v>-1.083856077173577</v>
      </c>
      <c r="M594" s="6" t="n">
        <v>-1.013697591731706</v>
      </c>
      <c r="N594" s="6" t="n">
        <v>-4.245511343085633</v>
      </c>
      <c r="O594" s="6" t="n">
        <v>2.660504052867054</v>
      </c>
      <c r="P594" s="6" t="n">
        <v>-0.8618740284384651</v>
      </c>
      <c r="Q594" s="6" t="n">
        <v>-1.859180824873671</v>
      </c>
      <c r="R594" s="6" t="n">
        <v>3.757198002721426</v>
      </c>
      <c r="S594" s="6" t="n">
        <v>4.481997712552094</v>
      </c>
      <c r="T594" s="6" t="n">
        <v>-1.709554264946524</v>
      </c>
      <c r="U594" s="6" t="n">
        <v>0.09216861512478039</v>
      </c>
      <c r="V594" s="6" t="n">
        <v>3.097671468844748</v>
      </c>
      <c r="W594" s="6" t="n">
        <v>4.254217098282457</v>
      </c>
      <c r="X594" s="6" t="n">
        <v>0.2386065250704733</v>
      </c>
      <c r="Y594" s="6" t="n">
        <v>0.8572560740815575</v>
      </c>
      <c r="Z594" s="6" t="n">
        <v>0.3788546160069518</v>
      </c>
      <c r="AA594" s="6" t="n">
        <v>3.495070863474074</v>
      </c>
      <c r="AB594" s="6" t="n">
        <v>-2.062059808294173</v>
      </c>
      <c r="AC594" s="6" t="n">
        <v>-2.406215970088715</v>
      </c>
      <c r="AD594" s="6" t="n">
        <v>-0.3664212267144032</v>
      </c>
      <c r="AE594" s="6" t="n">
        <v>-2.547791729617273</v>
      </c>
      <c r="AF594" s="6" t="n">
        <v>2.284286883823606</v>
      </c>
      <c r="AG594" s="6" t="n">
        <v>-0.3121470725030565</v>
      </c>
      <c r="AH594" s="6" t="n">
        <v>-4.197913407583245</v>
      </c>
      <c r="AI594" s="6" t="n">
        <v>0.1306140231660133</v>
      </c>
      <c r="AJ594" s="6" t="n">
        <v>66.96874793828424</v>
      </c>
      <c r="AK594" s="6" t="n">
        <v>0.05897282685531622</v>
      </c>
      <c r="AL594" s="6" t="n">
        <v>1.033996674396967</v>
      </c>
      <c r="AN594" s="6" t="n">
        <v>1.348175942463705</v>
      </c>
      <c r="AO594" s="6" t="n">
        <v>1.348175942463705</v>
      </c>
      <c r="AP594" s="6" t="n">
        <v>0.1347207706562701</v>
      </c>
      <c r="AQ594" s="6" t="n">
        <v>0</v>
      </c>
      <c r="AR594" s="6" t="n">
        <v>0</v>
      </c>
    </row>
    <row r="595">
      <c r="D595" t="inlineStr">
        <is>
          <t>Run 283</t>
        </is>
      </c>
      <c r="J595" s="6" t="n">
        <v>-2.309698890668259</v>
      </c>
      <c r="K595" s="6" t="n">
        <v>-0.3657795684389881</v>
      </c>
      <c r="L595" s="6" t="n">
        <v>1.999053756245115</v>
      </c>
      <c r="M595" s="6" t="n">
        <v>1.537536134802578</v>
      </c>
      <c r="N595" s="6" t="n">
        <v>1.401659593661717</v>
      </c>
      <c r="O595" s="6" t="n">
        <v>0.7435641693201472</v>
      </c>
      <c r="P595" s="6" t="n">
        <v>-1.561078022714444</v>
      </c>
      <c r="Q595" s="6" t="n">
        <v>-0.1051351572713838</v>
      </c>
      <c r="R595" s="6" t="n">
        <v>-2.479236962593297</v>
      </c>
      <c r="S595" s="6" t="n">
        <v>0.7397212874980934</v>
      </c>
      <c r="T595" s="6" t="n">
        <v>-1.396941548989878</v>
      </c>
      <c r="U595" s="6" t="n">
        <v>-0.4520615564712726</v>
      </c>
      <c r="V595" s="6" t="n">
        <v>1.319033264139378</v>
      </c>
      <c r="W595" s="6" t="n">
        <v>-0.5943997732273275</v>
      </c>
      <c r="X595" s="6" t="n">
        <v>-2.832646863217637</v>
      </c>
      <c r="Y595" s="6" t="n">
        <v>-0.4051433784198118</v>
      </c>
      <c r="Z595" s="6" t="n">
        <v>1.683123869083635</v>
      </c>
      <c r="AA595" s="6" t="n">
        <v>1.568302131372369</v>
      </c>
      <c r="AB595" s="6" t="n">
        <v>-2.921794394635066</v>
      </c>
      <c r="AC595" s="6" t="n">
        <v>2.530639762734844</v>
      </c>
      <c r="AD595" s="6" t="n">
        <v>2.850200926927673</v>
      </c>
      <c r="AE595" s="6" t="n">
        <v>-4.784637338086529</v>
      </c>
      <c r="AF595" s="6" t="n">
        <v>0.6151411808906566</v>
      </c>
      <c r="AG595" s="6" t="n">
        <v>-3.491426031945152</v>
      </c>
      <c r="AH595" s="6" t="n">
        <v>-2.178827106818454</v>
      </c>
      <c r="AI595" s="6" t="n">
        <v>0.251926674086678</v>
      </c>
      <c r="AJ595" s="6" t="n">
        <v>57.35176007012394</v>
      </c>
      <c r="AK595" s="6" t="n">
        <v>0.08995301488370436</v>
      </c>
      <c r="AL595" s="6" t="n">
        <v>1.087218183261975</v>
      </c>
      <c r="AN595" s="6" t="n">
        <v>1.33009294125173</v>
      </c>
      <c r="AO595" s="6" t="n">
        <v>1.330295735324484</v>
      </c>
      <c r="AP595" s="6" t="n">
        <v>0.1297631885382186</v>
      </c>
      <c r="AQ595" s="6" t="n">
        <v>0</v>
      </c>
      <c r="AR595" s="6" t="n">
        <v>0</v>
      </c>
    </row>
    <row r="596">
      <c r="D596" t="inlineStr">
        <is>
          <t>Run 284</t>
        </is>
      </c>
      <c r="J596" s="6" t="n">
        <v>3.508333042872223</v>
      </c>
      <c r="K596" s="6" t="n">
        <v>2.257903398617667</v>
      </c>
      <c r="L596" s="6" t="n">
        <v>-1.913409427664592</v>
      </c>
      <c r="M596" s="6" t="n">
        <v>-0.8737967684241348</v>
      </c>
      <c r="N596" s="6" t="n">
        <v>0.7415624713295705</v>
      </c>
      <c r="O596" s="6" t="n">
        <v>-3.535021565739433</v>
      </c>
      <c r="P596" s="6" t="n">
        <v>0.2248815096737438</v>
      </c>
      <c r="Q596" s="6" t="n">
        <v>0.4664606092554332</v>
      </c>
      <c r="R596" s="6" t="n">
        <v>0.7951727764391255</v>
      </c>
      <c r="S596" s="6" t="n">
        <v>-1.980999265881546</v>
      </c>
      <c r="T596" s="6" t="n">
        <v>1.924149967593838</v>
      </c>
      <c r="U596" s="6" t="n">
        <v>3.626168461969445</v>
      </c>
      <c r="V596" s="6" t="n">
        <v>0.2015472545837665</v>
      </c>
      <c r="W596" s="6" t="n">
        <v>-1.031436428266625</v>
      </c>
      <c r="X596" s="6" t="n">
        <v>-1.279165617375824</v>
      </c>
      <c r="Y596" s="6" t="n">
        <v>3.854000235098241</v>
      </c>
      <c r="Z596" s="6" t="n">
        <v>-1.131156490558458</v>
      </c>
      <c r="AA596" s="6" t="n">
        <v>-0.5902618104172014</v>
      </c>
      <c r="AB596" s="6" t="n">
        <v>1.628898573057508</v>
      </c>
      <c r="AC596" s="6" t="n">
        <v>2.347892748192028</v>
      </c>
      <c r="AD596" s="6" t="n">
        <v>0.427659518482124</v>
      </c>
      <c r="AE596" s="6" t="n">
        <v>-1.056481228310295</v>
      </c>
      <c r="AF596" s="6" t="n">
        <v>0.2992615413016548</v>
      </c>
      <c r="AG596" s="6" t="n">
        <v>4.127093003426012</v>
      </c>
      <c r="AH596" s="6" t="n">
        <v>-1.4596990918207</v>
      </c>
      <c r="AI596" s="6" t="n">
        <v>1.595662066466565</v>
      </c>
      <c r="AJ596" s="6" t="n">
        <v>78.88769540457159</v>
      </c>
      <c r="AK596" s="6" t="n">
        <v>0.1307794541904423</v>
      </c>
      <c r="AL596" s="6" t="n">
        <v>1.005175492116302</v>
      </c>
      <c r="AN596" s="6" t="n">
        <v>1.360750570836391</v>
      </c>
      <c r="AO596" s="6" t="n">
        <v>1.361374582661113</v>
      </c>
      <c r="AP596" s="6" t="n">
        <v>0.1385648189036569</v>
      </c>
      <c r="AQ596" s="6" t="n">
        <v>0</v>
      </c>
      <c r="AR596" s="6" t="n">
        <v>0</v>
      </c>
    </row>
    <row r="597">
      <c r="D597" t="inlineStr">
        <is>
          <t>Run 285</t>
        </is>
      </c>
      <c r="J597" s="6" t="n">
        <v>-0.0904174713123081</v>
      </c>
      <c r="K597" s="6" t="n">
        <v>-0.5803126230441937</v>
      </c>
      <c r="L597" s="6" t="n">
        <v>0.4116578237333704</v>
      </c>
      <c r="M597" s="6" t="n">
        <v>-0.8196982349456461</v>
      </c>
      <c r="N597" s="6" t="n">
        <v>0.9909920184033797</v>
      </c>
      <c r="O597" s="6" t="n">
        <v>-1.404589953936875</v>
      </c>
      <c r="P597" s="6" t="n">
        <v>-2.155595885250616</v>
      </c>
      <c r="Q597" s="6" t="n">
        <v>-0.03610922169654458</v>
      </c>
      <c r="R597" s="6" t="n">
        <v>-4.320178529843679</v>
      </c>
      <c r="S597" s="6" t="n">
        <v>4.101290176713426</v>
      </c>
      <c r="T597" s="6" t="n">
        <v>-3.122512435822646</v>
      </c>
      <c r="U597" s="6" t="n">
        <v>-2.549762168436366</v>
      </c>
      <c r="V597" s="6" t="n">
        <v>-0.8212090945986043</v>
      </c>
      <c r="W597" s="6" t="n">
        <v>0.07374394653179661</v>
      </c>
      <c r="X597" s="6" t="n">
        <v>-2.252801622654141</v>
      </c>
      <c r="Y597" s="6" t="n">
        <v>1.337609958654536</v>
      </c>
      <c r="Z597" s="6" t="n">
        <v>0.8402029645407887</v>
      </c>
      <c r="AA597" s="6" t="n">
        <v>-3.296795983310533</v>
      </c>
      <c r="AB597" s="6" t="n">
        <v>0.6622178403870637</v>
      </c>
      <c r="AC597" s="6" t="n">
        <v>-0.09115911581466447</v>
      </c>
      <c r="AD597" s="6" t="n">
        <v>-1.959978834138796</v>
      </c>
      <c r="AE597" s="6" t="n">
        <v>1.189407626130984</v>
      </c>
      <c r="AF597" s="6" t="n">
        <v>1.15531628617864</v>
      </c>
      <c r="AG597" s="6" t="n">
        <v>-1.611292129146058</v>
      </c>
      <c r="AH597" s="6" t="n">
        <v>-5.643299428425838</v>
      </c>
      <c r="AI597" s="6" t="n">
        <v>-4.751666695150018</v>
      </c>
      <c r="AJ597" s="6" t="n">
        <v>72.78497493864597</v>
      </c>
      <c r="AK597" s="6" t="n">
        <v>0.07465435775613657</v>
      </c>
      <c r="AL597" s="6" t="n">
        <v>1.086323896442716</v>
      </c>
      <c r="AN597" s="6" t="n">
        <v>1.339091863288712</v>
      </c>
      <c r="AO597" s="6" t="n">
        <v>1.339581828799854</v>
      </c>
      <c r="AP597" s="6" t="n">
        <v>0.1309798225016056</v>
      </c>
      <c r="AQ597" s="6" t="n">
        <v>0</v>
      </c>
      <c r="AR597" s="6" t="n">
        <v>0</v>
      </c>
    </row>
    <row r="598">
      <c r="D598" t="inlineStr">
        <is>
          <t>Run 286</t>
        </is>
      </c>
      <c r="J598" s="6" t="n">
        <v>1.393220783927698</v>
      </c>
      <c r="K598" s="6" t="n">
        <v>-2.20698241710274</v>
      </c>
      <c r="L598" s="6" t="n">
        <v>3.446439802911957</v>
      </c>
      <c r="M598" s="6" t="n">
        <v>0.1634314443267403</v>
      </c>
      <c r="N598" s="6" t="n">
        <v>1.326633422791597</v>
      </c>
      <c r="O598" s="6" t="n">
        <v>2.471228031141372</v>
      </c>
      <c r="P598" s="6" t="n">
        <v>-0.4211679702417385</v>
      </c>
      <c r="Q598" s="6" t="n">
        <v>-0.5819475465806668</v>
      </c>
      <c r="R598" s="6" t="n">
        <v>1.941689062065032</v>
      </c>
      <c r="S598" s="6" t="n">
        <v>0.682884843069042</v>
      </c>
      <c r="T598" s="6" t="n">
        <v>-1.894307908907922</v>
      </c>
      <c r="U598" s="6" t="n">
        <v>-0.2505545435894784</v>
      </c>
      <c r="V598" s="6" t="n">
        <v>1.333880315794262</v>
      </c>
      <c r="W598" s="6" t="n">
        <v>-1.00565820801401</v>
      </c>
      <c r="X598" s="6" t="n">
        <v>2.806538087321992</v>
      </c>
      <c r="Y598" s="6" t="n">
        <v>1.397414847647538</v>
      </c>
      <c r="Z598" s="6" t="n">
        <v>-1.303881044527532</v>
      </c>
      <c r="AA598" s="6" t="n">
        <v>1.147976330109935</v>
      </c>
      <c r="AB598" s="6" t="n">
        <v>3.282007945583443</v>
      </c>
      <c r="AC598" s="6" t="n">
        <v>1.457075283557733</v>
      </c>
      <c r="AD598" s="6" t="n">
        <v>1.079454096691012</v>
      </c>
      <c r="AE598" s="6" t="n">
        <v>4.063524757841099</v>
      </c>
      <c r="AF598" s="6" t="n">
        <v>-2.506494918050473</v>
      </c>
      <c r="AG598" s="6" t="n">
        <v>2.895181971623703</v>
      </c>
      <c r="AH598" s="6" t="n">
        <v>0.8906884405880054</v>
      </c>
      <c r="AI598" s="6" t="n">
        <v>-1.142685123369371</v>
      </c>
      <c r="AJ598" s="6" t="n">
        <v>72.42311569044685</v>
      </c>
      <c r="AK598" s="6" t="n">
        <v>0.1232293970011239</v>
      </c>
      <c r="AL598" s="6" t="n">
        <v>1.027838149301668</v>
      </c>
      <c r="AN598" s="6" t="n">
        <v>1.350241919331201</v>
      </c>
      <c r="AO598" s="6" t="n">
        <v>1.350241919331201</v>
      </c>
      <c r="AP598" s="6" t="n">
        <v>0.1346483776319364</v>
      </c>
      <c r="AQ598" s="6" t="n">
        <v>0</v>
      </c>
      <c r="AR598" s="6" t="n">
        <v>0</v>
      </c>
    </row>
    <row r="599">
      <c r="D599" t="inlineStr">
        <is>
          <t>Run 287</t>
        </is>
      </c>
      <c r="J599" s="6" t="n">
        <v>-1.870998647186922</v>
      </c>
      <c r="K599" s="6" t="n">
        <v>-0.3018082463658383</v>
      </c>
      <c r="L599" s="6" t="n">
        <v>-1.472704119252313</v>
      </c>
      <c r="M599" s="6" t="n">
        <v>2.020796857514539</v>
      </c>
      <c r="N599" s="6" t="n">
        <v>-4.77444979781036</v>
      </c>
      <c r="O599" s="6" t="n">
        <v>-3.589024783526112</v>
      </c>
      <c r="P599" s="6" t="n">
        <v>1.400572599574007</v>
      </c>
      <c r="Q599" s="6" t="n">
        <v>-1.439003063676937</v>
      </c>
      <c r="R599" s="6" t="n">
        <v>2.389588227319954</v>
      </c>
      <c r="S599" s="6" t="n">
        <v>-0.6345142160878191</v>
      </c>
      <c r="T599" s="6" t="n">
        <v>1.263810663625898</v>
      </c>
      <c r="U599" s="6" t="n">
        <v>-0.774159492866521</v>
      </c>
      <c r="V599" s="6" t="n">
        <v>0.1806858756963911</v>
      </c>
      <c r="W599" s="6" t="n">
        <v>1.73600326103855</v>
      </c>
      <c r="X599" s="6" t="n">
        <v>-3.192338712047108</v>
      </c>
      <c r="Y599" s="6" t="n">
        <v>0.9835245442185502</v>
      </c>
      <c r="Z599" s="6" t="n">
        <v>-0.1724162921458372</v>
      </c>
      <c r="AA599" s="6" t="n">
        <v>0.820116159036836</v>
      </c>
      <c r="AB599" s="6" t="n">
        <v>0.3198073597191957</v>
      </c>
      <c r="AC599" s="6" t="n">
        <v>-1.842218436082886</v>
      </c>
      <c r="AD599" s="6" t="n">
        <v>-0.6630631162806755</v>
      </c>
      <c r="AE599" s="6" t="n">
        <v>1.074944852754111</v>
      </c>
      <c r="AF599" s="6" t="n">
        <v>1.082555466593935</v>
      </c>
      <c r="AG599" s="6" t="n">
        <v>0.02756378702457068</v>
      </c>
      <c r="AH599" s="6" t="n">
        <v>-0.2419551339048609</v>
      </c>
      <c r="AI599" s="6" t="n">
        <v>1.897295344189331</v>
      </c>
      <c r="AJ599" s="6" t="n">
        <v>74.7264901937242</v>
      </c>
      <c r="AK599" s="6" t="n">
        <v>0.121121407086765</v>
      </c>
      <c r="AL599" s="6" t="n">
        <v>1.009572082457121</v>
      </c>
      <c r="AN599" s="6" t="n">
        <v>1.358151543341616</v>
      </c>
      <c r="AO599" s="6" t="n">
        <v>1.358151543341616</v>
      </c>
      <c r="AP599" s="6" t="n">
        <v>0.1372645396355362</v>
      </c>
      <c r="AQ599" s="6" t="n">
        <v>0</v>
      </c>
      <c r="AR599" s="6" t="n">
        <v>0</v>
      </c>
    </row>
    <row r="600">
      <c r="D600" t="inlineStr">
        <is>
          <t>Run 288</t>
        </is>
      </c>
      <c r="J600" s="6" t="n">
        <v>-0.8912980798114341</v>
      </c>
      <c r="K600" s="6" t="n">
        <v>-1.23962038090349</v>
      </c>
      <c r="L600" s="6" t="n">
        <v>-0.3536541912308999</v>
      </c>
      <c r="M600" s="6" t="n">
        <v>-1.421822854570626</v>
      </c>
      <c r="N600" s="6" t="n">
        <v>1.87262364934936</v>
      </c>
      <c r="O600" s="6" t="n">
        <v>2.468764939515611</v>
      </c>
      <c r="P600" s="6" t="n">
        <v>-3.63231928855046</v>
      </c>
      <c r="Q600" s="6" t="n">
        <v>0.04388275749336411</v>
      </c>
      <c r="R600" s="6" t="n">
        <v>4.096975125047543</v>
      </c>
      <c r="S600" s="6" t="n">
        <v>1.706179660500348</v>
      </c>
      <c r="T600" s="6" t="n">
        <v>0.5495194173506038</v>
      </c>
      <c r="U600" s="6" t="n">
        <v>1.280350267511357</v>
      </c>
      <c r="V600" s="6" t="n">
        <v>-0.1171520797841457</v>
      </c>
      <c r="W600" s="6" t="n">
        <v>-4.352723251184258</v>
      </c>
      <c r="X600" s="6" t="n">
        <v>-0.2864449965581502</v>
      </c>
      <c r="Y600" s="6" t="n">
        <v>-2.316314368557642</v>
      </c>
      <c r="Z600" s="6" t="n">
        <v>0.9217699341997126</v>
      </c>
      <c r="AA600" s="6" t="n">
        <v>0.5981615373566638</v>
      </c>
      <c r="AB600" s="6" t="n">
        <v>0.1778505098208284</v>
      </c>
      <c r="AC600" s="6" t="n">
        <v>2.079689313067105</v>
      </c>
      <c r="AD600" s="6" t="n">
        <v>-0.7130518835694152</v>
      </c>
      <c r="AE600" s="6" t="n">
        <v>-1.846137914148795</v>
      </c>
      <c r="AF600" s="6" t="n">
        <v>-1.419143746135019</v>
      </c>
      <c r="AG600" s="6" t="n">
        <v>-0.7399302548180127</v>
      </c>
      <c r="AH600" s="6" t="n">
        <v>0.7855040393590264</v>
      </c>
      <c r="AI600" s="6" t="n">
        <v>0.7391358630983565</v>
      </c>
      <c r="AJ600" s="6" t="n">
        <v>58.39102289200202</v>
      </c>
      <c r="AK600" s="6" t="n">
        <v>0.1126392509010621</v>
      </c>
      <c r="AL600" s="6" t="n">
        <v>1.085075440420157</v>
      </c>
      <c r="AN600" s="6" t="n">
        <v>1.326300033121725</v>
      </c>
      <c r="AO600" s="6" t="n">
        <v>1.328404890573966</v>
      </c>
      <c r="AP600" s="6" t="n">
        <v>0.1294061754164519</v>
      </c>
      <c r="AQ600" s="6" t="n">
        <v>0</v>
      </c>
      <c r="AR600" s="6" t="n">
        <v>0</v>
      </c>
    </row>
    <row r="601">
      <c r="D601" t="inlineStr">
        <is>
          <t>Run 289</t>
        </is>
      </c>
      <c r="J601" s="6" t="n">
        <v>0.3045307211171681</v>
      </c>
      <c r="K601" s="6" t="n">
        <v>-0.06542140307526424</v>
      </c>
      <c r="L601" s="6" t="n">
        <v>0.8681229949099784</v>
      </c>
      <c r="M601" s="6" t="n">
        <v>1.916398508292732</v>
      </c>
      <c r="N601" s="6" t="n">
        <v>2.166865160384017</v>
      </c>
      <c r="O601" s="6" t="n">
        <v>-1.758250297366332</v>
      </c>
      <c r="P601" s="6" t="n">
        <v>-2.333306940426466</v>
      </c>
      <c r="Q601" s="6" t="n">
        <v>-0.02438718006361565</v>
      </c>
      <c r="R601" s="6" t="n">
        <v>3.041313154364118</v>
      </c>
      <c r="S601" s="6" t="n">
        <v>-1.013815338324654</v>
      </c>
      <c r="T601" s="6" t="n">
        <v>2.273707526013656</v>
      </c>
      <c r="U601" s="6" t="n">
        <v>0.4753189310424384</v>
      </c>
      <c r="V601" s="6" t="n">
        <v>1.031320933172805</v>
      </c>
      <c r="W601" s="6" t="n">
        <v>1.976554282789381</v>
      </c>
      <c r="X601" s="6" t="n">
        <v>-1.283713390422762</v>
      </c>
      <c r="Y601" s="6" t="n">
        <v>-1.306189601724033</v>
      </c>
      <c r="Z601" s="6" t="n">
        <v>-3.398090771146278</v>
      </c>
      <c r="AA601" s="6" t="n">
        <v>-0.723795978687658</v>
      </c>
      <c r="AB601" s="6" t="n">
        <v>-0.5761226046918851</v>
      </c>
      <c r="AC601" s="6" t="n">
        <v>-0.4222641600066316</v>
      </c>
      <c r="AD601" s="6" t="n">
        <v>0.8874608807246261</v>
      </c>
      <c r="AE601" s="6" t="n">
        <v>-2.475721540661998</v>
      </c>
      <c r="AF601" s="6" t="n">
        <v>-2.275194060305752</v>
      </c>
      <c r="AG601" s="6" t="n">
        <v>-0.3458062102974702</v>
      </c>
      <c r="AH601" s="6" t="n">
        <v>-0.4413468996336851</v>
      </c>
      <c r="AI601" s="6" t="n">
        <v>0.7751260753709622</v>
      </c>
      <c r="AJ601" s="6" t="n">
        <v>70.7546019746396</v>
      </c>
      <c r="AK601" s="6" t="n">
        <v>0.1350876483308399</v>
      </c>
      <c r="AL601" s="6" t="n">
        <v>1.045784112417322</v>
      </c>
      <c r="AN601" s="6" t="n">
        <v>1.345474674287791</v>
      </c>
      <c r="AO601" s="6" t="n">
        <v>1.345547036786665</v>
      </c>
      <c r="AP601" s="6" t="n">
        <v>0.1323204006668001</v>
      </c>
      <c r="AQ601" s="6" t="n">
        <v>0</v>
      </c>
      <c r="AR601" s="6" t="n">
        <v>0</v>
      </c>
    </row>
    <row r="602">
      <c r="D602" t="inlineStr">
        <is>
          <t>Run 290</t>
        </is>
      </c>
      <c r="J602" s="6" t="n">
        <v>-2.993311677615886</v>
      </c>
      <c r="K602" s="6" t="n">
        <v>-0.3472116591946224</v>
      </c>
      <c r="L602" s="6" t="n">
        <v>1.143874612574631</v>
      </c>
      <c r="M602" s="6" t="n">
        <v>-1.985282071302524</v>
      </c>
      <c r="N602" s="6" t="n">
        <v>1.142969227613116</v>
      </c>
      <c r="O602" s="6" t="n">
        <v>-0.2098481379148359</v>
      </c>
      <c r="P602" s="6" t="n">
        <v>1.661560555415296</v>
      </c>
      <c r="Q602" s="6" t="n">
        <v>-1.917542805390646</v>
      </c>
      <c r="R602" s="6" t="n">
        <v>0.4989490889343021</v>
      </c>
      <c r="S602" s="6" t="n">
        <v>0.9138741164435253</v>
      </c>
      <c r="T602" s="6" t="n">
        <v>2.351799432983558</v>
      </c>
      <c r="U602" s="6" t="n">
        <v>0.8443970885036004</v>
      </c>
      <c r="V602" s="6" t="n">
        <v>-0.6783393588583317</v>
      </c>
      <c r="W602" s="6" t="n">
        <v>3.54016246661076</v>
      </c>
      <c r="X602" s="6" t="n">
        <v>2.944399489633718</v>
      </c>
      <c r="Y602" s="6" t="n">
        <v>3.190182464773191</v>
      </c>
      <c r="Z602" s="6" t="n">
        <v>-1.384750181638833</v>
      </c>
      <c r="AA602" s="6" t="n">
        <v>1.728683833877434</v>
      </c>
      <c r="AB602" s="6" t="n">
        <v>-1.70686586512027</v>
      </c>
      <c r="AC602" s="6" t="n">
        <v>0.9053490831784313</v>
      </c>
      <c r="AD602" s="6" t="n">
        <v>0.1390844155805543</v>
      </c>
      <c r="AE602" s="6" t="n">
        <v>-2.543283750470477</v>
      </c>
      <c r="AF602" s="6" t="n">
        <v>0.3710496718523922</v>
      </c>
      <c r="AG602" s="6" t="n">
        <v>1.222490452700012</v>
      </c>
      <c r="AH602" s="6" t="n">
        <v>-1.934993762214392</v>
      </c>
      <c r="AI602" s="6" t="n">
        <v>-1.603023073315118</v>
      </c>
      <c r="AJ602" s="6" t="n">
        <v>79.03523038790213</v>
      </c>
      <c r="AK602" s="6" t="n">
        <v>0.116126220768501</v>
      </c>
      <c r="AL602" s="6" t="n">
        <v>1.035358436969304</v>
      </c>
      <c r="AN602" s="6" t="n">
        <v>1.339920717090568</v>
      </c>
      <c r="AO602" s="6" t="n">
        <v>1.346171138403407</v>
      </c>
      <c r="AP602" s="6" t="n">
        <v>0.1343191333435354</v>
      </c>
      <c r="AQ602" s="6" t="n">
        <v>0</v>
      </c>
      <c r="AR602" s="6" t="n">
        <v>0</v>
      </c>
    </row>
    <row r="603">
      <c r="D603" t="inlineStr">
        <is>
          <t>Run 291</t>
        </is>
      </c>
      <c r="J603" s="6" t="n">
        <v>1.479193939055741</v>
      </c>
      <c r="K603" s="6" t="n">
        <v>0.8897581257466708</v>
      </c>
      <c r="L603" s="6" t="n">
        <v>1.585532490589724</v>
      </c>
      <c r="M603" s="6" t="n">
        <v>0.5169094564005873</v>
      </c>
      <c r="N603" s="6" t="n">
        <v>-0.9667466500412489</v>
      </c>
      <c r="O603" s="6" t="n">
        <v>0.0569569797790772</v>
      </c>
      <c r="P603" s="6" t="n">
        <v>0.4410927120834027</v>
      </c>
      <c r="Q603" s="6" t="n">
        <v>0.6872458987086634</v>
      </c>
      <c r="R603" s="6" t="n">
        <v>0.5028507097418419</v>
      </c>
      <c r="S603" s="6" t="n">
        <v>-2.847015296408513</v>
      </c>
      <c r="T603" s="6" t="n">
        <v>-2.92255264506743</v>
      </c>
      <c r="U603" s="6" t="n">
        <v>-1.169523897856258</v>
      </c>
      <c r="V603" s="6" t="n">
        <v>1.718538313638029</v>
      </c>
      <c r="W603" s="6" t="n">
        <v>-0.7844060698073473</v>
      </c>
      <c r="X603" s="6" t="n">
        <v>-2.339247536725746</v>
      </c>
      <c r="Y603" s="6" t="n">
        <v>2.45315083492457</v>
      </c>
      <c r="Z603" s="6" t="n">
        <v>1.837719566892555</v>
      </c>
      <c r="AA603" s="6" t="n">
        <v>2.066194408172005</v>
      </c>
      <c r="AB603" s="6" t="n">
        <v>-2.578466962832809</v>
      </c>
      <c r="AC603" s="6" t="n">
        <v>-1.520823870616932</v>
      </c>
      <c r="AD603" s="6" t="n">
        <v>-2.429070119426548</v>
      </c>
      <c r="AE603" s="6" t="n">
        <v>0.6359281466510672</v>
      </c>
      <c r="AF603" s="6" t="n">
        <v>-2.673667149048137</v>
      </c>
      <c r="AG603" s="6" t="n">
        <v>-1.482629497496251</v>
      </c>
      <c r="AH603" s="6" t="n">
        <v>-2.504725450170095</v>
      </c>
      <c r="AI603" s="6" t="n">
        <v>-5.454135388934605</v>
      </c>
      <c r="AJ603" s="6" t="n">
        <v>59.16735331990261</v>
      </c>
      <c r="AK603" s="6" t="n">
        <v>0.1374621203588485</v>
      </c>
      <c r="AL603" s="6" t="n">
        <v>1.037300777591614</v>
      </c>
      <c r="AN603" s="6" t="n">
        <v>1.341573910238872</v>
      </c>
      <c r="AO603" s="6" t="n">
        <v>1.341573910238872</v>
      </c>
      <c r="AP603" s="6" t="n">
        <v>0.1322517555254037</v>
      </c>
      <c r="AQ603" s="6" t="n">
        <v>0</v>
      </c>
      <c r="AR603" s="6" t="n">
        <v>0</v>
      </c>
    </row>
    <row r="604">
      <c r="D604" t="inlineStr">
        <is>
          <t>Run 292</t>
        </is>
      </c>
      <c r="J604" s="6" t="n">
        <v>3.23245554344741</v>
      </c>
      <c r="K604" s="6" t="n">
        <v>2.181720907154253</v>
      </c>
      <c r="L604" s="6" t="n">
        <v>-0.3434860054108946</v>
      </c>
      <c r="M604" s="6" t="n">
        <v>1.115920913440109</v>
      </c>
      <c r="N604" s="6" t="n">
        <v>-0.4370981967733267</v>
      </c>
      <c r="O604" s="6" t="n">
        <v>1.4080607231317</v>
      </c>
      <c r="P604" s="6" t="n">
        <v>3.475295058760861</v>
      </c>
      <c r="Q604" s="6" t="n">
        <v>0.7173620952813042</v>
      </c>
      <c r="R604" s="6" t="n">
        <v>0.8082549945449703</v>
      </c>
      <c r="S604" s="6" t="n">
        <v>-0.4869086991982305</v>
      </c>
      <c r="T604" s="6" t="n">
        <v>1.738596412368852</v>
      </c>
      <c r="U604" s="6" t="n">
        <v>1.108165010507576</v>
      </c>
      <c r="V604" s="6" t="n">
        <v>1.288735984169872</v>
      </c>
      <c r="W604" s="6" t="n">
        <v>-3.747800541177421</v>
      </c>
      <c r="X604" s="6" t="n">
        <v>0.3075066167324026</v>
      </c>
      <c r="Y604" s="6" t="n">
        <v>-0.4654598699207242</v>
      </c>
      <c r="Z604" s="6" t="n">
        <v>-1.624599797337724</v>
      </c>
      <c r="AA604" s="6" t="n">
        <v>0.4240800807946559</v>
      </c>
      <c r="AB604" s="6" t="n">
        <v>0.05219964507395459</v>
      </c>
      <c r="AC604" s="6" t="n">
        <v>0.2984590615085686</v>
      </c>
      <c r="AD604" s="6" t="n">
        <v>-2.243195785633603</v>
      </c>
      <c r="AE604" s="6" t="n">
        <v>-0.7052302000165852</v>
      </c>
      <c r="AF604" s="6" t="n">
        <v>2.097222969753528</v>
      </c>
      <c r="AG604" s="6" t="n">
        <v>-1.822995008799669</v>
      </c>
      <c r="AH604" s="6" t="n">
        <v>2.105003281182952</v>
      </c>
      <c r="AI604" s="6" t="n">
        <v>0.3030808728355046</v>
      </c>
      <c r="AJ604" s="6" t="n">
        <v>84.01240399307363</v>
      </c>
      <c r="AK604" s="6" t="n">
        <v>0.1390293692323363</v>
      </c>
      <c r="AL604" s="6" t="n">
        <v>1.06520237504103</v>
      </c>
      <c r="AN604" s="6" t="n">
        <v>1.341836502602515</v>
      </c>
      <c r="AO604" s="6" t="n">
        <v>1.342317645216183</v>
      </c>
      <c r="AP604" s="6" t="n">
        <v>0.1314158976305826</v>
      </c>
      <c r="AQ604" s="6" t="n">
        <v>0</v>
      </c>
      <c r="AR604" s="6" t="n">
        <v>0</v>
      </c>
    </row>
    <row r="605">
      <c r="D605" t="inlineStr">
        <is>
          <t>Run 293</t>
        </is>
      </c>
      <c r="J605" s="6" t="n">
        <v>-4.566297351654917</v>
      </c>
      <c r="K605" s="6" t="n">
        <v>-2.118274320593002</v>
      </c>
      <c r="L605" s="6" t="n">
        <v>1.824142167097539</v>
      </c>
      <c r="M605" s="6" t="n">
        <v>1.401485645067241</v>
      </c>
      <c r="N605" s="6" t="n">
        <v>0.904470783785792</v>
      </c>
      <c r="O605" s="6" t="n">
        <v>-1.245599742048119</v>
      </c>
      <c r="P605" s="6" t="n">
        <v>1.787394143469984</v>
      </c>
      <c r="Q605" s="6" t="n">
        <v>1.990394916721828</v>
      </c>
      <c r="R605" s="6" t="n">
        <v>-0.2159809418252119</v>
      </c>
      <c r="S605" s="6" t="n">
        <v>1.177672516696621</v>
      </c>
      <c r="T605" s="6" t="n">
        <v>2.071023912423286</v>
      </c>
      <c r="U605" s="6" t="n">
        <v>1.712534971246908</v>
      </c>
      <c r="V605" s="6" t="n">
        <v>0.9645810155475749</v>
      </c>
      <c r="W605" s="6" t="n">
        <v>0.7141245616522137</v>
      </c>
      <c r="X605" s="6" t="n">
        <v>0.08659027541386034</v>
      </c>
      <c r="Y605" s="6" t="n">
        <v>0.7011804551989144</v>
      </c>
      <c r="Z605" s="6" t="n">
        <v>0.4358603816769057</v>
      </c>
      <c r="AA605" s="6" t="n">
        <v>0.8435602934074271</v>
      </c>
      <c r="AB605" s="6" t="n">
        <v>-1.873067261874977</v>
      </c>
      <c r="AC605" s="6" t="n">
        <v>1.071838160179149</v>
      </c>
      <c r="AD605" s="6" t="n">
        <v>-0.6993932148071613</v>
      </c>
      <c r="AE605" s="6" t="n">
        <v>-0.1618609422316176</v>
      </c>
      <c r="AF605" s="6" t="n">
        <v>2.157865343704306</v>
      </c>
      <c r="AG605" s="6" t="n">
        <v>1.922446653701712</v>
      </c>
      <c r="AH605" s="6" t="n">
        <v>4.181768956943695</v>
      </c>
      <c r="AI605" s="6" t="n">
        <v>-1.513296103115151</v>
      </c>
      <c r="AJ605" s="6" t="n">
        <v>72.14696936868293</v>
      </c>
      <c r="AK605" s="6" t="n">
        <v>0.1148053457381841</v>
      </c>
      <c r="AL605" s="6" t="n">
        <v>1.029623021081701</v>
      </c>
      <c r="AN605" s="6" t="n">
        <v>1.343477457190642</v>
      </c>
      <c r="AO605" s="6" t="n">
        <v>1.343477457190642</v>
      </c>
      <c r="AP605" s="6" t="n">
        <v>0.134596888694729</v>
      </c>
      <c r="AQ605" s="6" t="n">
        <v>0</v>
      </c>
      <c r="AR605" s="6" t="n">
        <v>0</v>
      </c>
    </row>
    <row r="606">
      <c r="D606" t="inlineStr">
        <is>
          <t>Run 294</t>
        </is>
      </c>
      <c r="J606" s="6" t="n">
        <v>-2.064173884161728</v>
      </c>
      <c r="K606" s="6" t="n">
        <v>-0.4748606289216685</v>
      </c>
      <c r="L606" s="6" t="n">
        <v>-3.149256844482752</v>
      </c>
      <c r="M606" s="6" t="n">
        <v>-3.121618983331704</v>
      </c>
      <c r="N606" s="6" t="n">
        <v>2.300114617959525</v>
      </c>
      <c r="O606" s="6" t="n">
        <v>-0.2517602586601747</v>
      </c>
      <c r="P606" s="6" t="n">
        <v>-2.447269548226056</v>
      </c>
      <c r="Q606" s="6" t="n">
        <v>0.360401649973115</v>
      </c>
      <c r="R606" s="6" t="n">
        <v>0.9774936022352957</v>
      </c>
      <c r="S606" s="6" t="n">
        <v>-0.314037863504968</v>
      </c>
      <c r="T606" s="6" t="n">
        <v>-2.506410821269468</v>
      </c>
      <c r="U606" s="6" t="n">
        <v>3.10017550421517</v>
      </c>
      <c r="V606" s="6" t="n">
        <v>4.684792472748287</v>
      </c>
      <c r="W606" s="6" t="n">
        <v>4.498752853902202</v>
      </c>
      <c r="X606" s="6" t="n">
        <v>0.7720841815185183</v>
      </c>
      <c r="Y606" s="6" t="n">
        <v>-0.4155979853196355</v>
      </c>
      <c r="Z606" s="6" t="n">
        <v>4.585979003022285</v>
      </c>
      <c r="AA606" s="6" t="n">
        <v>-0.7003223269193986</v>
      </c>
      <c r="AB606" s="6" t="n">
        <v>-2.478068179030734</v>
      </c>
      <c r="AC606" s="6" t="n">
        <v>-1.614512267909438</v>
      </c>
      <c r="AD606" s="6" t="n">
        <v>-0.5790022528260111</v>
      </c>
      <c r="AE606" s="6" t="n">
        <v>-1.297823263248723</v>
      </c>
      <c r="AF606" s="6" t="n">
        <v>2.368412354134829</v>
      </c>
      <c r="AG606" s="6" t="n">
        <v>-0.591476175303988</v>
      </c>
      <c r="AH606" s="6" t="n">
        <v>-6.175951731130362</v>
      </c>
      <c r="AI606" s="6" t="n">
        <v>0.9060423894827195</v>
      </c>
      <c r="AJ606" s="6" t="n">
        <v>79.01778132886784</v>
      </c>
      <c r="AK606" s="6" t="n">
        <v>0.1300853874644922</v>
      </c>
      <c r="AL606" s="6" t="n">
        <v>1.049041986452904</v>
      </c>
      <c r="AN606" s="6" t="n">
        <v>1.315749639433977</v>
      </c>
      <c r="AO606" s="6" t="n">
        <v>1.328360919922432</v>
      </c>
      <c r="AP606" s="6" t="n">
        <v>0.132581589368183</v>
      </c>
      <c r="AQ606" s="6" t="n">
        <v>0</v>
      </c>
      <c r="AR606" s="6" t="n">
        <v>0</v>
      </c>
    </row>
    <row r="607">
      <c r="D607" t="inlineStr">
        <is>
          <t>Run 295</t>
        </is>
      </c>
      <c r="J607" s="6" t="n">
        <v>3.92996120081008</v>
      </c>
      <c r="K607" s="6" t="n">
        <v>0.1354711465962915</v>
      </c>
      <c r="L607" s="6" t="n">
        <v>-0.2681347269108583</v>
      </c>
      <c r="M607" s="6" t="n">
        <v>1.048343305004191</v>
      </c>
      <c r="N607" s="6" t="n">
        <v>-0.6771944020450544</v>
      </c>
      <c r="O607" s="6" t="n">
        <v>1.815795104339732</v>
      </c>
      <c r="P607" s="6" t="n">
        <v>4.196787874442551</v>
      </c>
      <c r="Q607" s="6" t="n">
        <v>-4.352115470155696</v>
      </c>
      <c r="R607" s="6" t="n">
        <v>0.4555006477654191</v>
      </c>
      <c r="S607" s="6" t="n">
        <v>-3.113209719524248</v>
      </c>
      <c r="T607" s="6" t="n">
        <v>-1.328380189014485</v>
      </c>
      <c r="U607" s="6" t="n">
        <v>-1.212279937277514</v>
      </c>
      <c r="V607" s="6" t="n">
        <v>-2.807795420652661</v>
      </c>
      <c r="W607" s="6" t="n">
        <v>0.4606444649861444</v>
      </c>
      <c r="X607" s="6" t="n">
        <v>1.183715550431641</v>
      </c>
      <c r="Y607" s="6" t="n">
        <v>3.120779344150874</v>
      </c>
      <c r="Z607" s="6" t="n">
        <v>1.4385052645089</v>
      </c>
      <c r="AA607" s="6" t="n">
        <v>0.616174811111618</v>
      </c>
      <c r="AB607" s="6" t="n">
        <v>0.07513606593551143</v>
      </c>
      <c r="AC607" s="6" t="n">
        <v>1.967865830176067</v>
      </c>
      <c r="AD607" s="6" t="n">
        <v>-0.4886823546712875</v>
      </c>
      <c r="AE607" s="6" t="n">
        <v>0.4135395347399188</v>
      </c>
      <c r="AF607" s="6" t="n">
        <v>1.108609864623461</v>
      </c>
      <c r="AG607" s="6" t="n">
        <v>1.926610264579453</v>
      </c>
      <c r="AH607" s="6" t="n">
        <v>2.259711424450512</v>
      </c>
      <c r="AI607" s="6" t="n">
        <v>-3.45162346273715</v>
      </c>
      <c r="AJ607" s="6" t="n">
        <v>75.953796537782</v>
      </c>
      <c r="AK607" s="6" t="n">
        <v>0.2033145665772032</v>
      </c>
      <c r="AL607" s="6" t="n">
        <v>1.054144392133312</v>
      </c>
      <c r="AN607" s="6" t="n">
        <v>1.335418604810132</v>
      </c>
      <c r="AO607" s="6" t="n">
        <v>1.335597992851939</v>
      </c>
      <c r="AP607" s="6" t="n">
        <v>0.1298758061803891</v>
      </c>
      <c r="AQ607" s="6" t="n">
        <v>0</v>
      </c>
      <c r="AR607" s="6" t="n">
        <v>0</v>
      </c>
    </row>
    <row r="608">
      <c r="D608" t="inlineStr">
        <is>
          <t>Run 296</t>
        </is>
      </c>
      <c r="J608" s="6" t="n">
        <v>3.003095130380711</v>
      </c>
      <c r="K608" s="6" t="n">
        <v>1.2999273120943</v>
      </c>
      <c r="L608" s="6" t="n">
        <v>-0.9019749917190186</v>
      </c>
      <c r="M608" s="6" t="n">
        <v>2.172766846110177</v>
      </c>
      <c r="N608" s="6" t="n">
        <v>-0.3602817497276107</v>
      </c>
      <c r="O608" s="6" t="n">
        <v>-0.07505531444460334</v>
      </c>
      <c r="P608" s="6" t="n">
        <v>-0.1900037171771229</v>
      </c>
      <c r="Q608" s="6" t="n">
        <v>2.773684113770313</v>
      </c>
      <c r="R608" s="6" t="n">
        <v>-2.136529638951243</v>
      </c>
      <c r="S608" s="6" t="n">
        <v>-0.8432249754816173</v>
      </c>
      <c r="T608" s="6" t="n">
        <v>-0.03291617903368195</v>
      </c>
      <c r="U608" s="6" t="n">
        <v>1.128966514129937</v>
      </c>
      <c r="V608" s="6" t="n">
        <v>0.2167058811883009</v>
      </c>
      <c r="W608" s="6" t="n">
        <v>-2.751537434558977</v>
      </c>
      <c r="X608" s="6" t="n">
        <v>0.3157344864630954</v>
      </c>
      <c r="Y608" s="6" t="n">
        <v>-4.248431360292888</v>
      </c>
      <c r="Z608" s="6" t="n">
        <v>-0.3844917495998332</v>
      </c>
      <c r="AA608" s="6" t="n">
        <v>-0.7171895627600436</v>
      </c>
      <c r="AB608" s="6" t="n">
        <v>2.329518935971194</v>
      </c>
      <c r="AC608" s="6" t="n">
        <v>-2.492988079773465</v>
      </c>
      <c r="AD608" s="6" t="n">
        <v>1.433269398924869</v>
      </c>
      <c r="AE608" s="6" t="n">
        <v>3.055180263607703</v>
      </c>
      <c r="AF608" s="6" t="n">
        <v>-1.446951101842198</v>
      </c>
      <c r="AG608" s="6" t="n">
        <v>-0.4056267649752955</v>
      </c>
      <c r="AH608" s="6" t="n">
        <v>-1.968782587346055</v>
      </c>
      <c r="AI608" s="6" t="n">
        <v>-1.362380079057355</v>
      </c>
      <c r="AJ608" s="6" t="n">
        <v>72.5801669454746</v>
      </c>
      <c r="AK608" s="6" t="n">
        <v>0.1070577745336237</v>
      </c>
      <c r="AL608" s="6" t="n">
        <v>1.073081434527585</v>
      </c>
      <c r="AN608" s="6" t="n">
        <v>1.339922119539207</v>
      </c>
      <c r="AO608" s="6" t="n">
        <v>1.340322994743133</v>
      </c>
      <c r="AP608" s="6" t="n">
        <v>0.1309382129167332</v>
      </c>
      <c r="AQ608" s="6" t="n">
        <v>0</v>
      </c>
      <c r="AR608" s="6" t="n">
        <v>0</v>
      </c>
    </row>
    <row r="609">
      <c r="D609" t="inlineStr">
        <is>
          <t>Run 297</t>
        </is>
      </c>
      <c r="J609" s="6" t="n">
        <v>-1.869355612824323</v>
      </c>
      <c r="K609" s="6" t="n">
        <v>1.253867373389046</v>
      </c>
      <c r="L609" s="6" t="n">
        <v>-2.235983373650673</v>
      </c>
      <c r="M609" s="6" t="n">
        <v>2.753236949373973</v>
      </c>
      <c r="N609" s="6" t="n">
        <v>1.957138782384874</v>
      </c>
      <c r="O609" s="6" t="n">
        <v>0.596656763103919</v>
      </c>
      <c r="P609" s="6" t="n">
        <v>-0.4427452340711258</v>
      </c>
      <c r="Q609" s="6" t="n">
        <v>-1.923850165392881</v>
      </c>
      <c r="R609" s="6" t="n">
        <v>-2.470451552475173</v>
      </c>
      <c r="S609" s="6" t="n">
        <v>-0.2682314983619365</v>
      </c>
      <c r="T609" s="6" t="n">
        <v>5</v>
      </c>
      <c r="U609" s="6" t="n">
        <v>0.8632399129952684</v>
      </c>
      <c r="V609" s="6" t="n">
        <v>1.000798300450716</v>
      </c>
      <c r="W609" s="6" t="n">
        <v>2.656200202273198</v>
      </c>
      <c r="X609" s="6" t="n">
        <v>-1.388871721064946</v>
      </c>
      <c r="Y609" s="6" t="n">
        <v>-3.043794376215923</v>
      </c>
      <c r="Z609" s="6" t="n">
        <v>3.240601849978069</v>
      </c>
      <c r="AA609" s="6" t="n">
        <v>-0.6191115388173106</v>
      </c>
      <c r="AB609" s="6" t="n">
        <v>1.172953703313988</v>
      </c>
      <c r="AC609" s="6" t="n">
        <v>-1.75185459445923</v>
      </c>
      <c r="AD609" s="6" t="n">
        <v>3.135890748570517</v>
      </c>
      <c r="AE609" s="6" t="n">
        <v>-3.880455101042646</v>
      </c>
      <c r="AF609" s="6" t="n">
        <v>-1.289615920403232</v>
      </c>
      <c r="AG609" s="6" t="n">
        <v>2.83656800648272</v>
      </c>
      <c r="AH609" s="6" t="n">
        <v>-0.3496624928404519</v>
      </c>
      <c r="AI609" s="6" t="n">
        <v>2.792980217164122</v>
      </c>
      <c r="AJ609" s="6" t="n">
        <v>67.81772902474327</v>
      </c>
      <c r="AK609" s="6" t="n">
        <v>0.1133968424392749</v>
      </c>
      <c r="AL609" s="6" t="n">
        <v>1.057906925932767</v>
      </c>
      <c r="AN609" s="6" t="n">
        <v>1.340787789683212</v>
      </c>
      <c r="AO609" s="6" t="n">
        <v>1.34087383052119</v>
      </c>
      <c r="AP609" s="6" t="n">
        <v>0.1313435613283338</v>
      </c>
      <c r="AQ609" s="6" t="n">
        <v>0</v>
      </c>
      <c r="AR609" s="6" t="n">
        <v>0</v>
      </c>
    </row>
    <row r="610">
      <c r="D610" t="inlineStr">
        <is>
          <t>Run 298</t>
        </is>
      </c>
      <c r="J610" s="6" t="n">
        <v>-2.183457535735527</v>
      </c>
      <c r="K610" s="6" t="n">
        <v>0.6438361008318508</v>
      </c>
      <c r="L610" s="6" t="n">
        <v>-1.784033761970646</v>
      </c>
      <c r="M610" s="6" t="n">
        <v>1.492581074257922</v>
      </c>
      <c r="N610" s="6" t="n">
        <v>0.1471842042688457</v>
      </c>
      <c r="O610" s="6" t="n">
        <v>1.076057786184795</v>
      </c>
      <c r="P610" s="6" t="n">
        <v>1.142437835938932</v>
      </c>
      <c r="Q610" s="6" t="n">
        <v>1.150820318409461</v>
      </c>
      <c r="R610" s="6" t="n">
        <v>2.984747408806604</v>
      </c>
      <c r="S610" s="6" t="n">
        <v>0.483255674575392</v>
      </c>
      <c r="T610" s="6" t="n">
        <v>1.685406951036989</v>
      </c>
      <c r="U610" s="6" t="n">
        <v>2.344777819324165</v>
      </c>
      <c r="V610" s="6" t="n">
        <v>-1.28791700493478</v>
      </c>
      <c r="W610" s="6" t="n">
        <v>0.9698524250309322</v>
      </c>
      <c r="X610" s="6" t="n">
        <v>-2.067423660336363</v>
      </c>
      <c r="Y610" s="6" t="n">
        <v>1.26917070521576</v>
      </c>
      <c r="Z610" s="6" t="n">
        <v>0.2934063324750938</v>
      </c>
      <c r="AA610" s="6" t="n">
        <v>2.87742571526234</v>
      </c>
      <c r="AB610" s="6" t="n">
        <v>0.6216112634657004</v>
      </c>
      <c r="AC610" s="6" t="n">
        <v>-2.756787138187313</v>
      </c>
      <c r="AD610" s="6" t="n">
        <v>-0.3804130358606896</v>
      </c>
      <c r="AE610" s="6" t="n">
        <v>0.7116446713278247</v>
      </c>
      <c r="AF610" s="6" t="n">
        <v>0.1370527859906921</v>
      </c>
      <c r="AG610" s="6" t="n">
        <v>1.575646244677281</v>
      </c>
      <c r="AH610" s="6" t="n">
        <v>0.6818224016314453</v>
      </c>
      <c r="AI610" s="6" t="n">
        <v>2.349036769313647</v>
      </c>
      <c r="AJ610" s="6" t="n">
        <v>70.32407962476857</v>
      </c>
      <c r="AK610" s="6" t="n">
        <v>0.1234333680512478</v>
      </c>
      <c r="AL610" s="6" t="n">
        <v>1.086394512025043</v>
      </c>
      <c r="AN610" s="6" t="n">
        <v>1.330982180217791</v>
      </c>
      <c r="AO610" s="6" t="n">
        <v>1.331426842038204</v>
      </c>
      <c r="AP610" s="6" t="n">
        <v>0.1298602666513287</v>
      </c>
      <c r="AQ610" s="6" t="n">
        <v>0</v>
      </c>
      <c r="AR610" s="6" t="n">
        <v>0</v>
      </c>
    </row>
    <row r="611">
      <c r="D611" t="inlineStr">
        <is>
          <t>Run 299</t>
        </is>
      </c>
      <c r="J611" s="6" t="n">
        <v>1.694107168904555</v>
      </c>
      <c r="K611" s="6" t="n">
        <v>0.07058929510740733</v>
      </c>
      <c r="L611" s="6" t="n">
        <v>1.476745645966242</v>
      </c>
      <c r="M611" s="6" t="n">
        <v>1.640136331465021</v>
      </c>
      <c r="N611" s="6" t="n">
        <v>-0.07840733608714988</v>
      </c>
      <c r="O611" s="6" t="n">
        <v>-0.7637933351768486</v>
      </c>
      <c r="P611" s="6" t="n">
        <v>-0.7044478883837194</v>
      </c>
      <c r="Q611" s="6" t="n">
        <v>4.290484321856919</v>
      </c>
      <c r="R611" s="6" t="n">
        <v>1.955066262660797</v>
      </c>
      <c r="S611" s="6" t="n">
        <v>-0.2360783560598533</v>
      </c>
      <c r="T611" s="6" t="n">
        <v>1.159202586538362</v>
      </c>
      <c r="U611" s="6" t="n">
        <v>-0.1261637497596811</v>
      </c>
      <c r="V611" s="6" t="n">
        <v>-0.9479173902171805</v>
      </c>
      <c r="W611" s="6" t="n">
        <v>-0.2501504138474568</v>
      </c>
      <c r="X611" s="6" t="n">
        <v>2.45769483247358</v>
      </c>
      <c r="Y611" s="6" t="n">
        <v>-3.705381883790217</v>
      </c>
      <c r="Z611" s="6" t="n">
        <v>-0.2302624362033231</v>
      </c>
      <c r="AA611" s="6" t="n">
        <v>-1.385833690062087</v>
      </c>
      <c r="AB611" s="6" t="n">
        <v>-0.4410168403777319</v>
      </c>
      <c r="AC611" s="6" t="n">
        <v>-0.6883173325099798</v>
      </c>
      <c r="AD611" s="6" t="n">
        <v>-2.881180076715967</v>
      </c>
      <c r="AE611" s="6" t="n">
        <v>1.612347910156787</v>
      </c>
      <c r="AF611" s="6" t="n">
        <v>-0.3629801897628405</v>
      </c>
      <c r="AG611" s="6" t="n">
        <v>1.934099141508148</v>
      </c>
      <c r="AH611" s="6" t="n">
        <v>-0.2771368778703535</v>
      </c>
      <c r="AI611" s="6" t="n">
        <v>-0.6012729285409024</v>
      </c>
      <c r="AJ611" s="6" t="n">
        <v>58.20556393014915</v>
      </c>
      <c r="AK611" s="6" t="n">
        <v>0.1265486915437556</v>
      </c>
      <c r="AL611" s="6" t="n">
        <v>1.071385900919951</v>
      </c>
      <c r="AN611" s="6" t="n">
        <v>1.334058342841115</v>
      </c>
      <c r="AO611" s="6" t="n">
        <v>1.334067070334985</v>
      </c>
      <c r="AP611" s="6" t="n">
        <v>0.1297718829557654</v>
      </c>
      <c r="AQ611" s="6" t="n">
        <v>0</v>
      </c>
      <c r="AR611" s="6" t="n">
        <v>0</v>
      </c>
    </row>
    <row r="612">
      <c r="D612" t="inlineStr">
        <is>
          <t>Run 300</t>
        </is>
      </c>
      <c r="J612" s="6" t="n">
        <v>3.960899248923065</v>
      </c>
      <c r="K612" s="6" t="n">
        <v>2.264156064470363</v>
      </c>
      <c r="L612" s="6" t="n">
        <v>-2.000841374709208</v>
      </c>
      <c r="M612" s="6" t="n">
        <v>1.99794375556439</v>
      </c>
      <c r="N612" s="6" t="n">
        <v>-2.422618174488656</v>
      </c>
      <c r="O612" s="6" t="n">
        <v>1.108268249515254</v>
      </c>
      <c r="P612" s="6" t="n">
        <v>1.757512075840788</v>
      </c>
      <c r="Q612" s="6" t="n">
        <v>0.6961273225180817</v>
      </c>
      <c r="R612" s="6" t="n">
        <v>-0.6787124087061577</v>
      </c>
      <c r="S612" s="6" t="n">
        <v>1.061756444838776</v>
      </c>
      <c r="T612" s="6" t="n">
        <v>0.4817311051980995</v>
      </c>
      <c r="U612" s="6" t="n">
        <v>0.3598977317640948</v>
      </c>
      <c r="V612" s="6" t="n">
        <v>-1.972034932779716</v>
      </c>
      <c r="W612" s="6" t="n">
        <v>0.4228866107906331</v>
      </c>
      <c r="X612" s="6" t="n">
        <v>-1.396360103658539</v>
      </c>
      <c r="Y612" s="6" t="n">
        <v>-1.986005857233709</v>
      </c>
      <c r="Z612" s="6" t="n">
        <v>0.4323996753181418</v>
      </c>
      <c r="AA612" s="6" t="n">
        <v>-1.772935081400772</v>
      </c>
      <c r="AB612" s="6" t="n">
        <v>1.662071302230761</v>
      </c>
      <c r="AC612" s="6" t="n">
        <v>0.4071494316606597</v>
      </c>
      <c r="AD612" s="6" t="n">
        <v>-2.247630817736128</v>
      </c>
      <c r="AE612" s="6" t="n">
        <v>1.42554048682026</v>
      </c>
      <c r="AF612" s="6" t="n">
        <v>0.09670714937602815</v>
      </c>
      <c r="AG612" s="6" t="n">
        <v>-0.5135323860864698</v>
      </c>
      <c r="AH612" s="6" t="n">
        <v>-4.46818622800034</v>
      </c>
      <c r="AI612" s="6" t="n">
        <v>-1.755848616848335</v>
      </c>
      <c r="AJ612" s="6" t="n">
        <v>60.183079701549</v>
      </c>
      <c r="AK612" s="6" t="n">
        <v>0.136527874864573</v>
      </c>
      <c r="AL612" s="6" t="n">
        <v>1.006015613495945</v>
      </c>
      <c r="AN612" s="6" t="n">
        <v>1.348521061520344</v>
      </c>
      <c r="AO612" s="6" t="n">
        <v>1.349312126935811</v>
      </c>
      <c r="AP612" s="6" t="n">
        <v>0.1359154539881562</v>
      </c>
      <c r="AQ612" s="6" t="n">
        <v>0</v>
      </c>
      <c r="AR612" s="6" t="n">
        <v>0</v>
      </c>
    </row>
    <row r="613">
      <c r="D613" t="inlineStr">
        <is>
          <t>Run 301</t>
        </is>
      </c>
      <c r="J613" s="6" t="n">
        <v>-2.190640380530154</v>
      </c>
      <c r="K613" s="6" t="n">
        <v>-1.775255957305242</v>
      </c>
      <c r="L613" s="6" t="n">
        <v>1.440172570797124</v>
      </c>
      <c r="M613" s="6" t="n">
        <v>-2.922560458950736</v>
      </c>
      <c r="N613" s="6" t="n">
        <v>-1.216323229889238</v>
      </c>
      <c r="O613" s="6" t="n">
        <v>0.0008524421004575982</v>
      </c>
      <c r="P613" s="6" t="n">
        <v>0.590487689607149</v>
      </c>
      <c r="Q613" s="6" t="n">
        <v>-1.793152850372176</v>
      </c>
      <c r="R613" s="6" t="n">
        <v>-3.802190653414006</v>
      </c>
      <c r="S613" s="6" t="n">
        <v>0.5951737595990443</v>
      </c>
      <c r="T613" s="6" t="n">
        <v>0.7914173414752661</v>
      </c>
      <c r="U613" s="6" t="n">
        <v>-0.3983913336333542</v>
      </c>
      <c r="V613" s="6" t="n">
        <v>-1.64346550260341</v>
      </c>
      <c r="W613" s="6" t="n">
        <v>1.785944351115793</v>
      </c>
      <c r="X613" s="6" t="n">
        <v>-1.219171326453749</v>
      </c>
      <c r="Y613" s="6" t="n">
        <v>-0.4133012546839379</v>
      </c>
      <c r="Z613" s="6" t="n">
        <v>-0.05733293910094708</v>
      </c>
      <c r="AA613" s="6" t="n">
        <v>0.7747622567736144</v>
      </c>
      <c r="AB613" s="6" t="n">
        <v>1.431604841746839</v>
      </c>
      <c r="AC613" s="6" t="n">
        <v>-4.173225078208464</v>
      </c>
      <c r="AD613" s="6" t="n">
        <v>-1.740546351316443</v>
      </c>
      <c r="AE613" s="6" t="n">
        <v>0.654661791136924</v>
      </c>
      <c r="AF613" s="6" t="n">
        <v>0.7765659242386462</v>
      </c>
      <c r="AG613" s="6" t="n">
        <v>2.238582128553359</v>
      </c>
      <c r="AH613" s="6" t="n">
        <v>-2.41217944282839</v>
      </c>
      <c r="AI613" s="6" t="n">
        <v>-0.4172041743349282</v>
      </c>
      <c r="AJ613" s="6" t="n">
        <v>73.36669388370198</v>
      </c>
      <c r="AK613" s="6" t="n">
        <v>0.1237694149720456</v>
      </c>
      <c r="AL613" s="6" t="n">
        <v>1.044294777759194</v>
      </c>
      <c r="AN613" s="6" t="n">
        <v>1.320231307332272</v>
      </c>
      <c r="AO613" s="6" t="n">
        <v>1.327148534956074</v>
      </c>
      <c r="AP613" s="6" t="n">
        <v>0.132420779188865</v>
      </c>
      <c r="AQ613" s="6" t="n">
        <v>0</v>
      </c>
      <c r="AR613" s="6" t="n">
        <v>0</v>
      </c>
    </row>
    <row r="614">
      <c r="D614" t="inlineStr">
        <is>
          <t>Run 302</t>
        </is>
      </c>
      <c r="J614" s="6" t="n">
        <v>-1.816622221259299</v>
      </c>
      <c r="K614" s="6" t="n">
        <v>-0.4290310549585934</v>
      </c>
      <c r="L614" s="6" t="n">
        <v>-2.236821399654042</v>
      </c>
      <c r="M614" s="6" t="n">
        <v>0.5088374756430434</v>
      </c>
      <c r="N614" s="6" t="n">
        <v>3.987700285467938</v>
      </c>
      <c r="O614" s="6" t="n">
        <v>-1.332202528434726</v>
      </c>
      <c r="P614" s="6" t="n">
        <v>-4.511235713411407</v>
      </c>
      <c r="Q614" s="6" t="n">
        <v>1.000879468262206</v>
      </c>
      <c r="R614" s="6" t="n">
        <v>0.7968911571938302</v>
      </c>
      <c r="S614" s="6" t="n">
        <v>1.66882829658429</v>
      </c>
      <c r="T614" s="6" t="n">
        <v>-2.754265673959204</v>
      </c>
      <c r="U614" s="6" t="n">
        <v>-0.366565675537662</v>
      </c>
      <c r="V614" s="6" t="n">
        <v>2.672024527581854</v>
      </c>
      <c r="W614" s="6" t="n">
        <v>-1.871045082189654</v>
      </c>
      <c r="X614" s="6" t="n">
        <v>0.7941615613634112</v>
      </c>
      <c r="Y614" s="6" t="n">
        <v>2.395764772235859</v>
      </c>
      <c r="Z614" s="6" t="n">
        <v>0.9254225790756551</v>
      </c>
      <c r="AA614" s="6" t="n">
        <v>-0.7012893787865491</v>
      </c>
      <c r="AB614" s="6" t="n">
        <v>-0.9774758379039867</v>
      </c>
      <c r="AC614" s="6" t="n">
        <v>-0.3111007546274743</v>
      </c>
      <c r="AD614" s="6" t="n">
        <v>-2.043270193746245</v>
      </c>
      <c r="AE614" s="6" t="n">
        <v>-3.080968917513935</v>
      </c>
      <c r="AF614" s="6" t="n">
        <v>-2.174673672663242</v>
      </c>
      <c r="AG614" s="6" t="n">
        <v>0.8414412506604015</v>
      </c>
      <c r="AH614" s="6" t="n">
        <v>-2.060141909617899</v>
      </c>
      <c r="AI614" s="6" t="n">
        <v>-0.9191851878696184</v>
      </c>
      <c r="AJ614" s="6" t="n">
        <v>72.01229140590578</v>
      </c>
      <c r="AK614" s="6" t="n">
        <v>0.1142053278694507</v>
      </c>
      <c r="AL614" s="6" t="n">
        <v>1.083955872054687</v>
      </c>
      <c r="AN614" s="6" t="n">
        <v>1.336378207453949</v>
      </c>
      <c r="AO614" s="6" t="n">
        <v>1.337404350578403</v>
      </c>
      <c r="AP614" s="6" t="n">
        <v>0.1304551763413593</v>
      </c>
      <c r="AQ614" s="6" t="n">
        <v>0</v>
      </c>
      <c r="AR614" s="6" t="n">
        <v>0</v>
      </c>
    </row>
    <row r="615">
      <c r="D615" t="inlineStr">
        <is>
          <t>Run 303</t>
        </is>
      </c>
      <c r="J615" s="6" t="n">
        <v>-2.136399213548702</v>
      </c>
      <c r="K615" s="6" t="n">
        <v>1.744696955407737</v>
      </c>
      <c r="L615" s="6" t="n">
        <v>-4.566449966781198</v>
      </c>
      <c r="M615" s="6" t="n">
        <v>2.478730832820043</v>
      </c>
      <c r="N615" s="6" t="n">
        <v>-0.175153032255914</v>
      </c>
      <c r="O615" s="6" t="n">
        <v>3.167051611071058</v>
      </c>
      <c r="P615" s="6" t="n">
        <v>-4.710662509898811</v>
      </c>
      <c r="Q615" s="6" t="n">
        <v>0.4000134841991621</v>
      </c>
      <c r="R615" s="6" t="n">
        <v>1.105612440470859</v>
      </c>
      <c r="S615" s="6" t="n">
        <v>-0.7781412879977384</v>
      </c>
      <c r="T615" s="6" t="n">
        <v>0.3719725503651716</v>
      </c>
      <c r="U615" s="6" t="n">
        <v>-0.4415027865602323</v>
      </c>
      <c r="V615" s="6" t="n">
        <v>0.3969757156826876</v>
      </c>
      <c r="W615" s="6" t="n">
        <v>2.337773326769546</v>
      </c>
      <c r="X615" s="6" t="n">
        <v>-0.1312511364232114</v>
      </c>
      <c r="Y615" s="6" t="n">
        <v>1.367633476853109</v>
      </c>
      <c r="Z615" s="6" t="n">
        <v>-3.382719154768623</v>
      </c>
      <c r="AA615" s="6" t="n">
        <v>-1.011996513979237</v>
      </c>
      <c r="AB615" s="6" t="n">
        <v>3.063016789495494</v>
      </c>
      <c r="AC615" s="6" t="n">
        <v>4.176622400330407</v>
      </c>
      <c r="AD615" s="6" t="n">
        <v>3.569511777663007</v>
      </c>
      <c r="AE615" s="6" t="n">
        <v>-2.803261274974504</v>
      </c>
      <c r="AF615" s="6" t="n">
        <v>0.8153895106571625</v>
      </c>
      <c r="AG615" s="6" t="n">
        <v>0.9564482391203352</v>
      </c>
      <c r="AH615" s="6" t="n">
        <v>1.243110407185507</v>
      </c>
      <c r="AI615" s="6" t="n">
        <v>-1.885238541842263</v>
      </c>
      <c r="AJ615" s="6" t="n">
        <v>64.90530646944443</v>
      </c>
      <c r="AK615" s="6" t="n">
        <v>0.1568042055781602</v>
      </c>
      <c r="AL615" s="6" t="n">
        <v>1.046647588808773</v>
      </c>
      <c r="AN615" s="6" t="n">
        <v>1.340234415302435</v>
      </c>
      <c r="AO615" s="6" t="n">
        <v>1.340776354319545</v>
      </c>
      <c r="AP615" s="6" t="n">
        <v>0.1313711016790729</v>
      </c>
      <c r="AQ615" s="6" t="n">
        <v>0</v>
      </c>
      <c r="AR615" s="6" t="n">
        <v>0</v>
      </c>
    </row>
    <row r="616">
      <c r="D616" t="inlineStr">
        <is>
          <t>Run 304</t>
        </is>
      </c>
      <c r="J616" s="6" t="n">
        <v>0.2106957178262611</v>
      </c>
      <c r="K616" s="6" t="n">
        <v>1.763173993333237</v>
      </c>
      <c r="L616" s="6" t="n">
        <v>0.9256850642565498</v>
      </c>
      <c r="M616" s="6" t="n">
        <v>-1.339559459566306</v>
      </c>
      <c r="N616" s="6" t="n">
        <v>-0.4672755240375407</v>
      </c>
      <c r="O616" s="6" t="n">
        <v>-2.529741127376769</v>
      </c>
      <c r="P616" s="6" t="n">
        <v>-0.5922817603473345</v>
      </c>
      <c r="Q616" s="6" t="n">
        <v>-0.8028243507603863</v>
      </c>
      <c r="R616" s="6" t="n">
        <v>-1.375917426708702</v>
      </c>
      <c r="S616" s="6" t="n">
        <v>-0.8732066533539313</v>
      </c>
      <c r="T616" s="6" t="n">
        <v>-1.018734740462627</v>
      </c>
      <c r="U616" s="6" t="n">
        <v>-0.7707248624938561</v>
      </c>
      <c r="V616" s="6" t="n">
        <v>0.8952486169505569</v>
      </c>
      <c r="W616" s="6" t="n">
        <v>1.536470209174049</v>
      </c>
      <c r="X616" s="6" t="n">
        <v>-0.4863825942900504</v>
      </c>
      <c r="Y616" s="6" t="n">
        <v>0.1407963015173646</v>
      </c>
      <c r="Z616" s="6" t="n">
        <v>0.001967423020157674</v>
      </c>
      <c r="AA616" s="6" t="n">
        <v>1.027108981850084</v>
      </c>
      <c r="AB616" s="6" t="n">
        <v>1.522523946396737</v>
      </c>
      <c r="AC616" s="6" t="n">
        <v>0.07722880620568985</v>
      </c>
      <c r="AD616" s="6" t="n">
        <v>-1.132926371509511</v>
      </c>
      <c r="AE616" s="6" t="n">
        <v>-3.48422953775943</v>
      </c>
      <c r="AF616" s="6" t="n">
        <v>-0.9047034273178038</v>
      </c>
      <c r="AG616" s="6" t="n">
        <v>-0.3309120518116864</v>
      </c>
      <c r="AH616" s="6" t="n">
        <v>0.9606664580727488</v>
      </c>
      <c r="AI616" s="6" t="n">
        <v>-0.908958997863031</v>
      </c>
      <c r="AJ616" s="6" t="n">
        <v>76.39133752723409</v>
      </c>
      <c r="AK616" s="6" t="n">
        <v>0.15306754043351</v>
      </c>
      <c r="AL616" s="6" t="n">
        <v>1.014304084387338</v>
      </c>
      <c r="AN616" s="6" t="n">
        <v>1.352964361290774</v>
      </c>
      <c r="AO616" s="6" t="n">
        <v>1.355448901426604</v>
      </c>
      <c r="AP616" s="6" t="n">
        <v>0.1360079704990717</v>
      </c>
      <c r="AQ616" s="6" t="n">
        <v>0</v>
      </c>
      <c r="AR616" s="6" t="n">
        <v>0</v>
      </c>
    </row>
    <row r="617">
      <c r="D617" t="inlineStr">
        <is>
          <t>Run 305</t>
        </is>
      </c>
      <c r="J617" s="6" t="n">
        <v>-0.08155737453853903</v>
      </c>
      <c r="K617" s="6" t="n">
        <v>-3.335076093364477</v>
      </c>
      <c r="L617" s="6" t="n">
        <v>1.919877350697322</v>
      </c>
      <c r="M617" s="6" t="n">
        <v>-3.170429286416141</v>
      </c>
      <c r="N617" s="6" t="n">
        <v>2.842346154851314</v>
      </c>
      <c r="O617" s="6" t="n">
        <v>2.343110213033758</v>
      </c>
      <c r="P617" s="6" t="n">
        <v>0.5916592699556008</v>
      </c>
      <c r="Q617" s="6" t="n">
        <v>1.663179789930045</v>
      </c>
      <c r="R617" s="6" t="n">
        <v>-2.084825763687296</v>
      </c>
      <c r="S617" s="6" t="n">
        <v>3.224891695981958</v>
      </c>
      <c r="T617" s="6" t="n">
        <v>0.8164227653319195</v>
      </c>
      <c r="U617" s="6" t="n">
        <v>4.220162634262903</v>
      </c>
      <c r="V617" s="6" t="n">
        <v>1.561864431702367</v>
      </c>
      <c r="W617" s="6" t="n">
        <v>0.6315634750607881</v>
      </c>
      <c r="X617" s="6" t="n">
        <v>-2.524534439349165</v>
      </c>
      <c r="Y617" s="6" t="n">
        <v>3.645583299744318</v>
      </c>
      <c r="Z617" s="6" t="n">
        <v>-3.073330855938774</v>
      </c>
      <c r="AA617" s="6" t="n">
        <v>5</v>
      </c>
      <c r="AB617" s="6" t="n">
        <v>0.284956896489188</v>
      </c>
      <c r="AC617" s="6" t="n">
        <v>-2.50951289638305</v>
      </c>
      <c r="AD617" s="6" t="n">
        <v>-2.21802240791463</v>
      </c>
      <c r="AE617" s="6" t="n">
        <v>-0.6982544869831601</v>
      </c>
      <c r="AF617" s="6" t="n">
        <v>0.1552554204782428</v>
      </c>
      <c r="AG617" s="6" t="n">
        <v>1.66128826549905</v>
      </c>
      <c r="AH617" s="6" t="n">
        <v>0.2309692611102639</v>
      </c>
      <c r="AI617" s="6" t="n">
        <v>-2.839597936194759</v>
      </c>
      <c r="AJ617" s="6" t="n">
        <v>73.83617415484386</v>
      </c>
      <c r="AK617" s="6" t="n">
        <v>0.08385729247754961</v>
      </c>
      <c r="AL617" s="6" t="n">
        <v>1.024496154565873</v>
      </c>
      <c r="AN617" s="6" t="n">
        <v>1.325889024803886</v>
      </c>
      <c r="AO617" s="6" t="n">
        <v>1.338488134363902</v>
      </c>
      <c r="AP617" s="6" t="n">
        <v>0.1358633242369456</v>
      </c>
      <c r="AQ617" s="6" t="n">
        <v>0</v>
      </c>
      <c r="AR617" s="6" t="n">
        <v>0</v>
      </c>
    </row>
    <row r="618">
      <c r="D618" t="inlineStr">
        <is>
          <t>Run 306</t>
        </is>
      </c>
      <c r="J618" s="6" t="n">
        <v>-2.113457256344712</v>
      </c>
      <c r="K618" s="6" t="n">
        <v>4.567176479551996</v>
      </c>
      <c r="L618" s="6" t="n">
        <v>-2.277639817076228</v>
      </c>
      <c r="M618" s="6" t="n">
        <v>1.327769750384593</v>
      </c>
      <c r="N618" s="6" t="n">
        <v>3.621300120856546</v>
      </c>
      <c r="O618" s="6" t="n">
        <v>1.353796737449595</v>
      </c>
      <c r="P618" s="6" t="n">
        <v>3.83382937269879</v>
      </c>
      <c r="Q618" s="6" t="n">
        <v>-0.5615322608366786</v>
      </c>
      <c r="R618" s="6" t="n">
        <v>-2.060357066196115</v>
      </c>
      <c r="S618" s="6" t="n">
        <v>-1.20931423204969</v>
      </c>
      <c r="T618" s="6" t="n">
        <v>3.135740971289711</v>
      </c>
      <c r="U618" s="6" t="n">
        <v>-3.301585922930613</v>
      </c>
      <c r="V618" s="6" t="n">
        <v>-1.240224344472663</v>
      </c>
      <c r="W618" s="6" t="n">
        <v>-0.909127170315978</v>
      </c>
      <c r="X618" s="6" t="n">
        <v>0.1177165294577537</v>
      </c>
      <c r="Y618" s="6" t="n">
        <v>0.09467088715084039</v>
      </c>
      <c r="Z618" s="6" t="n">
        <v>0.8009485387633679</v>
      </c>
      <c r="AA618" s="6" t="n">
        <v>1.540551572522706</v>
      </c>
      <c r="AB618" s="6" t="n">
        <v>0.1626575567841939</v>
      </c>
      <c r="AC618" s="6" t="n">
        <v>0.6564267897522502</v>
      </c>
      <c r="AD618" s="6" t="n">
        <v>0.9719770989016646</v>
      </c>
      <c r="AE618" s="6" t="n">
        <v>0.15757596118068</v>
      </c>
      <c r="AF618" s="6" t="n">
        <v>-0.3592622194629096</v>
      </c>
      <c r="AG618" s="6" t="n">
        <v>3.004169765500656</v>
      </c>
      <c r="AH618" s="6" t="n">
        <v>1.436521210883581</v>
      </c>
      <c r="AI618" s="6" t="n">
        <v>-0.1720402699325733</v>
      </c>
      <c r="AJ618" s="6" t="n">
        <v>67.1337949587754</v>
      </c>
      <c r="AK618" s="6" t="n">
        <v>0.1235141014649775</v>
      </c>
      <c r="AL618" s="6" t="n">
        <v>0.9975588498754281</v>
      </c>
      <c r="AN618" s="6" t="n">
        <v>1.355375366497861</v>
      </c>
      <c r="AO618" s="6" t="n">
        <v>1.355883589192715</v>
      </c>
      <c r="AP618" s="6" t="n">
        <v>0.1383265770954875</v>
      </c>
      <c r="AQ618" s="6" t="n">
        <v>0</v>
      </c>
      <c r="AR618" s="6" t="n">
        <v>0</v>
      </c>
    </row>
    <row r="619">
      <c r="D619" t="inlineStr">
        <is>
          <t>Run 307</t>
        </is>
      </c>
      <c r="J619" s="6" t="n">
        <v>0.2723030869250623</v>
      </c>
      <c r="K619" s="6" t="n">
        <v>-2.917192079145923</v>
      </c>
      <c r="L619" s="6" t="n">
        <v>0.6207044018394244</v>
      </c>
      <c r="M619" s="6" t="n">
        <v>-1.876220160486352</v>
      </c>
      <c r="N619" s="6" t="n">
        <v>0.8548293668170841</v>
      </c>
      <c r="O619" s="6" t="n">
        <v>2.557442274462427</v>
      </c>
      <c r="P619" s="6" t="n">
        <v>-4.956275173650113</v>
      </c>
      <c r="Q619" s="6" t="n">
        <v>0.574384243290643</v>
      </c>
      <c r="R619" s="6" t="n">
        <v>-1.042933311011293</v>
      </c>
      <c r="S619" s="6" t="n">
        <v>-0.18376129128391</v>
      </c>
      <c r="T619" s="6" t="n">
        <v>-3.1871588741152</v>
      </c>
      <c r="U619" s="6" t="n">
        <v>-1.14384691061782</v>
      </c>
      <c r="V619" s="6" t="n">
        <v>0.3583771430723759</v>
      </c>
      <c r="W619" s="6" t="n">
        <v>1.800665799413431</v>
      </c>
      <c r="X619" s="6" t="n">
        <v>0.06135884627652508</v>
      </c>
      <c r="Y619" s="6" t="n">
        <v>1.379414158549914</v>
      </c>
      <c r="Z619" s="6" t="n">
        <v>-5.401866565347275</v>
      </c>
      <c r="AA619" s="6" t="n">
        <v>1.176485456336695</v>
      </c>
      <c r="AB619" s="6" t="n">
        <v>-1.858605802363652</v>
      </c>
      <c r="AC619" s="6" t="n">
        <v>1.449879522030195</v>
      </c>
      <c r="AD619" s="6" t="n">
        <v>-1.112545519462425</v>
      </c>
      <c r="AE619" s="6" t="n">
        <v>-0.7907783373056473</v>
      </c>
      <c r="AF619" s="6" t="n">
        <v>1.765842928214333</v>
      </c>
      <c r="AG619" s="6" t="n">
        <v>1.765792349440907</v>
      </c>
      <c r="AH619" s="6" t="n">
        <v>-0.647827769506039</v>
      </c>
      <c r="AI619" s="6" t="n">
        <v>-1.457743616945746</v>
      </c>
      <c r="AJ619" s="6" t="n">
        <v>74.59085259482782</v>
      </c>
      <c r="AK619" s="6" t="n">
        <v>0.1009449689082303</v>
      </c>
      <c r="AL619" s="6" t="n">
        <v>1.056177017632242</v>
      </c>
      <c r="AN619" s="6" t="n">
        <v>1.333881587249585</v>
      </c>
      <c r="AO619" s="6" t="n">
        <v>1.339338100290583</v>
      </c>
      <c r="AP619" s="6" t="n">
        <v>0.1324398994263201</v>
      </c>
      <c r="AQ619" s="6" t="n">
        <v>0</v>
      </c>
      <c r="AR619" s="6" t="n">
        <v>0</v>
      </c>
    </row>
    <row r="620">
      <c r="D620" t="inlineStr">
        <is>
          <t>Run 308</t>
        </is>
      </c>
      <c r="J620" s="6" t="n">
        <v>5</v>
      </c>
      <c r="K620" s="6" t="n">
        <v>0.9151541131866832</v>
      </c>
      <c r="L620" s="6" t="n">
        <v>2.364523333991451</v>
      </c>
      <c r="M620" s="6" t="n">
        <v>1.133252784097975</v>
      </c>
      <c r="N620" s="6" t="n">
        <v>-0.2228621197206359</v>
      </c>
      <c r="O620" s="6" t="n">
        <v>-2.980374850433147</v>
      </c>
      <c r="P620" s="6" t="n">
        <v>-1.869750487736734</v>
      </c>
      <c r="Q620" s="6" t="n">
        <v>-0.2660300440365101</v>
      </c>
      <c r="R620" s="6" t="n">
        <v>1.163384666065064</v>
      </c>
      <c r="S620" s="6" t="n">
        <v>-0.4037672582782084</v>
      </c>
      <c r="T620" s="6" t="n">
        <v>-1.593871864317864</v>
      </c>
      <c r="U620" s="6" t="n">
        <v>-1.57345782097686</v>
      </c>
      <c r="V620" s="6" t="n">
        <v>3.177198066276774</v>
      </c>
      <c r="W620" s="6" t="n">
        <v>-3.391149411894738</v>
      </c>
      <c r="X620" s="6" t="n">
        <v>0.03996672016836303</v>
      </c>
      <c r="Y620" s="6" t="n">
        <v>4.043511776198553</v>
      </c>
      <c r="Z620" s="6" t="n">
        <v>-4.050135088893175</v>
      </c>
      <c r="AA620" s="6" t="n">
        <v>3.411857842753304</v>
      </c>
      <c r="AB620" s="6" t="n">
        <v>-2.391808412964718</v>
      </c>
      <c r="AC620" s="6" t="n">
        <v>0.09788017565651914</v>
      </c>
      <c r="AD620" s="6" t="n">
        <v>-0.6941343054536617</v>
      </c>
      <c r="AE620" s="6" t="n">
        <v>1.433840629429692</v>
      </c>
      <c r="AF620" s="6" t="n">
        <v>-1.882435764503624</v>
      </c>
      <c r="AG620" s="6" t="n">
        <v>-0.6286095548515117</v>
      </c>
      <c r="AH620" s="6" t="n">
        <v>-1.419528585273964</v>
      </c>
      <c r="AI620" s="6" t="n">
        <v>0.2957357401053978</v>
      </c>
      <c r="AJ620" s="6" t="n">
        <v>76.97867846879055</v>
      </c>
      <c r="AK620" s="6" t="n">
        <v>0.1071092148309561</v>
      </c>
      <c r="AL620" s="6" t="n">
        <v>1.062919033145906</v>
      </c>
      <c r="AN620" s="6" t="n">
        <v>1.345735359129498</v>
      </c>
      <c r="AO620" s="6" t="n">
        <v>1.345955466176723</v>
      </c>
      <c r="AP620" s="6" t="n">
        <v>0.1321353312274555</v>
      </c>
      <c r="AQ620" s="6" t="n">
        <v>0</v>
      </c>
      <c r="AR620" s="6" t="n">
        <v>0</v>
      </c>
    </row>
    <row r="621">
      <c r="D621" t="inlineStr">
        <is>
          <t>Run 309</t>
        </is>
      </c>
      <c r="J621" s="6" t="n">
        <v>-3.249055584756309</v>
      </c>
      <c r="K621" s="6" t="n">
        <v>-3.496301540937488</v>
      </c>
      <c r="L621" s="6" t="n">
        <v>2.423236904007029</v>
      </c>
      <c r="M621" s="6" t="n">
        <v>2.410870321989205</v>
      </c>
      <c r="N621" s="6" t="n">
        <v>-1.552021280333451</v>
      </c>
      <c r="O621" s="6" t="n">
        <v>2.092793059033268</v>
      </c>
      <c r="P621" s="6" t="n">
        <v>2.760943513879487</v>
      </c>
      <c r="Q621" s="6" t="n">
        <v>-1.797023047286612</v>
      </c>
      <c r="R621" s="6" t="n">
        <v>-1.287724201202167</v>
      </c>
      <c r="S621" s="6" t="n">
        <v>5</v>
      </c>
      <c r="T621" s="6" t="n">
        <v>1.775797147109806</v>
      </c>
      <c r="U621" s="6" t="n">
        <v>3.491117904797541</v>
      </c>
      <c r="V621" s="6" t="n">
        <v>0.640185730574357</v>
      </c>
      <c r="W621" s="6" t="n">
        <v>-1.562790703358228</v>
      </c>
      <c r="X621" s="6" t="n">
        <v>-3.696656842315459</v>
      </c>
      <c r="Y621" s="6" t="n">
        <v>3.727408681055708</v>
      </c>
      <c r="Z621" s="6" t="n">
        <v>-0.4030113467654995</v>
      </c>
      <c r="AA621" s="6" t="n">
        <v>-0.4764895642665609</v>
      </c>
      <c r="AB621" s="6" t="n">
        <v>1.156833720754335</v>
      </c>
      <c r="AC621" s="6" t="n">
        <v>1.981589190313715</v>
      </c>
      <c r="AD621" s="6" t="n">
        <v>1.380373930223635</v>
      </c>
      <c r="AE621" s="6" t="n">
        <v>1.054503914408907</v>
      </c>
      <c r="AF621" s="6" t="n">
        <v>-2.723282985718587</v>
      </c>
      <c r="AG621" s="6" t="n">
        <v>2.202438689663542</v>
      </c>
      <c r="AH621" s="6" t="n">
        <v>2.512744898119965</v>
      </c>
      <c r="AI621" s="6" t="n">
        <v>-0.8847197673283584</v>
      </c>
      <c r="AJ621" s="6" t="n">
        <v>74.7435450077582</v>
      </c>
      <c r="AK621" s="6" t="n">
        <v>0.1114121931556784</v>
      </c>
      <c r="AL621" s="6" t="n">
        <v>1.085051259501049</v>
      </c>
      <c r="AN621" s="6" t="n">
        <v>1.333709368890832</v>
      </c>
      <c r="AO621" s="6" t="n">
        <v>1.333840335554946</v>
      </c>
      <c r="AP621" s="6" t="n">
        <v>0.1301956421249517</v>
      </c>
      <c r="AQ621" s="6" t="n">
        <v>0</v>
      </c>
      <c r="AR621" s="6" t="n">
        <v>0</v>
      </c>
    </row>
    <row r="622">
      <c r="D622" t="inlineStr">
        <is>
          <t>Run 310</t>
        </is>
      </c>
      <c r="J622" s="6" t="n">
        <v>2.208052597883822</v>
      </c>
      <c r="K622" s="6" t="n">
        <v>4.437880554760424</v>
      </c>
      <c r="L622" s="6" t="n">
        <v>1.132241319068312</v>
      </c>
      <c r="M622" s="6" t="n">
        <v>1.824406258357896</v>
      </c>
      <c r="N622" s="6" t="n">
        <v>-3.465911374474506</v>
      </c>
      <c r="O622" s="6" t="n">
        <v>-1.939092874163544</v>
      </c>
      <c r="P622" s="6" t="n">
        <v>-1.302963411307366</v>
      </c>
      <c r="Q622" s="6" t="n">
        <v>-1.508160541185135</v>
      </c>
      <c r="R622" s="6" t="n">
        <v>2.177961601656729</v>
      </c>
      <c r="S622" s="6" t="n">
        <v>0.3018234127566566</v>
      </c>
      <c r="T622" s="6" t="n">
        <v>0.8442278157642398</v>
      </c>
      <c r="U622" s="6" t="n">
        <v>1.564916627950395</v>
      </c>
      <c r="V622" s="6" t="n">
        <v>0.1191346260785625</v>
      </c>
      <c r="W622" s="6" t="n">
        <v>3.048853827692152</v>
      </c>
      <c r="X622" s="6" t="n">
        <v>2.216791838584167</v>
      </c>
      <c r="Y622" s="6" t="n">
        <v>0.8985388202705034</v>
      </c>
      <c r="Z622" s="6" t="n">
        <v>2.130109188639734</v>
      </c>
      <c r="AA622" s="6" t="n">
        <v>-2.532544833428639</v>
      </c>
      <c r="AB622" s="6" t="n">
        <v>5</v>
      </c>
      <c r="AC622" s="6" t="n">
        <v>1.260038543427411</v>
      </c>
      <c r="AD622" s="6" t="n">
        <v>1.35178733476389</v>
      </c>
      <c r="AE622" s="6" t="n">
        <v>3.399630227063819</v>
      </c>
      <c r="AF622" s="6" t="n">
        <v>1.084591768695322</v>
      </c>
      <c r="AG622" s="6" t="n">
        <v>-0.4788464376286777</v>
      </c>
      <c r="AH622" s="6" t="n">
        <v>0.9389119024989526</v>
      </c>
      <c r="AI622" s="6" t="n">
        <v>-1.086387025510534</v>
      </c>
      <c r="AJ622" s="6" t="n">
        <v>74.97998923248004</v>
      </c>
      <c r="AK622" s="6" t="n">
        <v>0.1914689943337047</v>
      </c>
      <c r="AL622" s="6" t="n">
        <v>1.029467602990297</v>
      </c>
      <c r="AN622" s="6" t="n">
        <v>1.349630324865559</v>
      </c>
      <c r="AO622" s="6" t="n">
        <v>1.349930067021757</v>
      </c>
      <c r="AP622" s="6" t="n">
        <v>0.1330286320436043</v>
      </c>
      <c r="AQ622" s="6" t="n">
        <v>0</v>
      </c>
      <c r="AR622" s="6" t="n">
        <v>0</v>
      </c>
    </row>
    <row r="623">
      <c r="D623" t="inlineStr">
        <is>
          <t>Run 311</t>
        </is>
      </c>
      <c r="J623" s="6" t="n">
        <v>2.451909192800636</v>
      </c>
      <c r="K623" s="6" t="n">
        <v>-0.2622951754212922</v>
      </c>
      <c r="L623" s="6" t="n">
        <v>1.060408596501451</v>
      </c>
      <c r="M623" s="6" t="n">
        <v>0.5642527300897296</v>
      </c>
      <c r="N623" s="6" t="n">
        <v>4.949083236903269</v>
      </c>
      <c r="O623" s="6" t="n">
        <v>-3.130025026156591</v>
      </c>
      <c r="P623" s="6" t="n">
        <v>-2.445320838609371</v>
      </c>
      <c r="Q623" s="6" t="n">
        <v>1.756242553790933</v>
      </c>
      <c r="R623" s="6" t="n">
        <v>0.7734797311825411</v>
      </c>
      <c r="S623" s="6" t="n">
        <v>1.359816624222463</v>
      </c>
      <c r="T623" s="6" t="n">
        <v>0.6673231778294185</v>
      </c>
      <c r="U623" s="6" t="n">
        <v>1.656943629931507</v>
      </c>
      <c r="V623" s="6" t="n">
        <v>2.064782149829153</v>
      </c>
      <c r="W623" s="6" t="n">
        <v>-0.5291906865817935</v>
      </c>
      <c r="X623" s="6" t="n">
        <v>-1.644285571897498</v>
      </c>
      <c r="Y623" s="6" t="n">
        <v>3.199754917050833</v>
      </c>
      <c r="Z623" s="6" t="n">
        <v>-0.07145091946196412</v>
      </c>
      <c r="AA623" s="6" t="n">
        <v>-1.801332943022494</v>
      </c>
      <c r="AB623" s="6" t="n">
        <v>-1.036420282664804</v>
      </c>
      <c r="AC623" s="6" t="n">
        <v>-0.1777573904987663</v>
      </c>
      <c r="AD623" s="6" t="n">
        <v>1.746414952482672</v>
      </c>
      <c r="AE623" s="6" t="n">
        <v>1.403806225473132</v>
      </c>
      <c r="AF623" s="6" t="n">
        <v>4.130321711452511</v>
      </c>
      <c r="AG623" s="6" t="n">
        <v>0.6413574727934449</v>
      </c>
      <c r="AH623" s="6" t="n">
        <v>-1.266672625846232</v>
      </c>
      <c r="AI623" s="6" t="n">
        <v>1.454318464682859</v>
      </c>
      <c r="AJ623" s="6" t="n">
        <v>64.87248814969497</v>
      </c>
      <c r="AK623" s="6" t="n">
        <v>0.1155513755278009</v>
      </c>
      <c r="AL623" s="6" t="n">
        <v>1.081600901732573</v>
      </c>
      <c r="AN623" s="6" t="n">
        <v>1.333790376785833</v>
      </c>
      <c r="AO623" s="6" t="n">
        <v>1.335181417665623</v>
      </c>
      <c r="AP623" s="6" t="n">
        <v>0.1300332384043608</v>
      </c>
      <c r="AQ623" s="6" t="n">
        <v>0</v>
      </c>
      <c r="AR623" s="6" t="n">
        <v>0</v>
      </c>
    </row>
    <row r="624">
      <c r="D624" t="inlineStr">
        <is>
          <t>Run 312</t>
        </is>
      </c>
      <c r="J624" s="6" t="n">
        <v>-1.837853499627039</v>
      </c>
      <c r="K624" s="6" t="n">
        <v>1.934818324549935</v>
      </c>
      <c r="L624" s="6" t="n">
        <v>2.698897073103196</v>
      </c>
      <c r="M624" s="6" t="n">
        <v>-0.9347832898266225</v>
      </c>
      <c r="N624" s="6" t="n">
        <v>-0.8169423957111327</v>
      </c>
      <c r="O624" s="6" t="n">
        <v>-3.385905774962558</v>
      </c>
      <c r="P624" s="6" t="n">
        <v>0.6951798160116568</v>
      </c>
      <c r="Q624" s="6" t="n">
        <v>3.288592618070067</v>
      </c>
      <c r="R624" s="6" t="n">
        <v>-0.9927766961375105</v>
      </c>
      <c r="S624" s="6" t="n">
        <v>-3.46600693311632</v>
      </c>
      <c r="T624" s="6" t="n">
        <v>0.2068796924329083</v>
      </c>
      <c r="U624" s="6" t="n">
        <v>-2.460289768917601</v>
      </c>
      <c r="V624" s="6" t="n">
        <v>-0.4764286424164586</v>
      </c>
      <c r="W624" s="6" t="n">
        <v>1.916833024885463</v>
      </c>
      <c r="X624" s="6" t="n">
        <v>2.232587036844063</v>
      </c>
      <c r="Y624" s="6" t="n">
        <v>4.778435665770461</v>
      </c>
      <c r="Z624" s="6" t="n">
        <v>1.476254632768332</v>
      </c>
      <c r="AA624" s="6" t="n">
        <v>-2.560542498130449</v>
      </c>
      <c r="AB624" s="6" t="n">
        <v>4.134552144320169</v>
      </c>
      <c r="AC624" s="6" t="n">
        <v>0.8430262979548836</v>
      </c>
      <c r="AD624" s="6" t="n">
        <v>-0.0388758026849474</v>
      </c>
      <c r="AE624" s="6" t="n">
        <v>0.5823841831915962</v>
      </c>
      <c r="AF624" s="6" t="n">
        <v>-1.131735927465486</v>
      </c>
      <c r="AG624" s="6" t="n">
        <v>-1.287808857004065</v>
      </c>
      <c r="AH624" s="6" t="n">
        <v>0.5531807714734945</v>
      </c>
      <c r="AI624" s="6" t="n">
        <v>-1.044997699473534</v>
      </c>
      <c r="AJ624" s="6" t="n">
        <v>60.61120348177649</v>
      </c>
      <c r="AK624" s="6" t="n">
        <v>0.09736874550841862</v>
      </c>
      <c r="AL624" s="6" t="n">
        <v>1.059042815153102</v>
      </c>
      <c r="AN624" s="6" t="n">
        <v>1.338649779938887</v>
      </c>
      <c r="AO624" s="6" t="n">
        <v>1.338885160781603</v>
      </c>
      <c r="AP624" s="6" t="n">
        <v>0.1314082224029715</v>
      </c>
      <c r="AQ624" s="6" t="n">
        <v>0</v>
      </c>
      <c r="AR624" s="6" t="n">
        <v>0</v>
      </c>
    </row>
    <row r="625">
      <c r="D625" t="inlineStr">
        <is>
          <t>Run 313</t>
        </is>
      </c>
      <c r="J625" s="6" t="n">
        <v>-1.025198624411903</v>
      </c>
      <c r="K625" s="6" t="n">
        <v>1.189981346812698</v>
      </c>
      <c r="L625" s="6" t="n">
        <v>0.3673863677818335</v>
      </c>
      <c r="M625" s="6" t="n">
        <v>3.250299611935183</v>
      </c>
      <c r="N625" s="6" t="n">
        <v>-3.912242081385085</v>
      </c>
      <c r="O625" s="6" t="n">
        <v>3.507933436184369</v>
      </c>
      <c r="P625" s="6" t="n">
        <v>-0.3520997982090099</v>
      </c>
      <c r="Q625" s="6" t="n">
        <v>-1.157111027650636</v>
      </c>
      <c r="R625" s="6" t="n">
        <v>-0.3390742079979763</v>
      </c>
      <c r="S625" s="6" t="n">
        <v>0.5379206375379322</v>
      </c>
      <c r="T625" s="6" t="n">
        <v>-1.430728497085408</v>
      </c>
      <c r="U625" s="6" t="n">
        <v>2.938990829242047</v>
      </c>
      <c r="V625" s="6" t="n">
        <v>-2.662379835254437</v>
      </c>
      <c r="W625" s="6" t="n">
        <v>-0.3087183724342342</v>
      </c>
      <c r="X625" s="6" t="n">
        <v>-4.149443750444878</v>
      </c>
      <c r="Y625" s="6" t="n">
        <v>0.3202356995944879</v>
      </c>
      <c r="Z625" s="6" t="n">
        <v>-2.695165495009006</v>
      </c>
      <c r="AA625" s="6" t="n">
        <v>2.333258295198022</v>
      </c>
      <c r="AB625" s="6" t="n">
        <v>-2.682533105865032</v>
      </c>
      <c r="AC625" s="6" t="n">
        <v>-3.571747032889838</v>
      </c>
      <c r="AD625" s="6" t="n">
        <v>-4.100781123535602</v>
      </c>
      <c r="AE625" s="6" t="n">
        <v>0.9626612349611021</v>
      </c>
      <c r="AF625" s="6" t="n">
        <v>-0.3718463598733677</v>
      </c>
      <c r="AG625" s="6" t="n">
        <v>1.902976187409237</v>
      </c>
      <c r="AH625" s="6" t="n">
        <v>-2.836980278436255</v>
      </c>
      <c r="AI625" s="6" t="n">
        <v>-3.701004291812409</v>
      </c>
      <c r="AJ625" s="6" t="n">
        <v>60.52944964732055</v>
      </c>
      <c r="AK625" s="6" t="n">
        <v>0.1584795056428815</v>
      </c>
      <c r="AL625" s="6" t="n">
        <v>1.103943169260281</v>
      </c>
      <c r="AN625" s="6" t="n">
        <v>1.318301951014912</v>
      </c>
      <c r="AO625" s="6" t="n">
        <v>1.319030085236746</v>
      </c>
      <c r="AP625" s="6" t="n">
        <v>0.1277296120693185</v>
      </c>
      <c r="AQ625" s="6" t="n">
        <v>0</v>
      </c>
      <c r="AR625" s="6" t="n">
        <v>0</v>
      </c>
    </row>
    <row r="626">
      <c r="D626" t="inlineStr">
        <is>
          <t>Run 314</t>
        </is>
      </c>
      <c r="J626" s="6" t="n">
        <v>-0.4195589277241298</v>
      </c>
      <c r="K626" s="6" t="n">
        <v>-3.56762341549377</v>
      </c>
      <c r="L626" s="6" t="n">
        <v>-0.6423341187091325</v>
      </c>
      <c r="M626" s="6" t="n">
        <v>0.4969191842586196</v>
      </c>
      <c r="N626" s="6" t="n">
        <v>1.372455778376806</v>
      </c>
      <c r="O626" s="6" t="n">
        <v>1.005311384802772</v>
      </c>
      <c r="P626" s="6" t="n">
        <v>-0.3383510842823421</v>
      </c>
      <c r="Q626" s="6" t="n">
        <v>0.3815118528949516</v>
      </c>
      <c r="R626" s="6" t="n">
        <v>-4.367152549120832</v>
      </c>
      <c r="S626" s="6" t="n">
        <v>-2.544298940767787</v>
      </c>
      <c r="T626" s="6" t="n">
        <v>0.218848108551998</v>
      </c>
      <c r="U626" s="6" t="n">
        <v>1.769679852900006</v>
      </c>
      <c r="V626" s="6" t="n">
        <v>-2.177513566424876</v>
      </c>
      <c r="W626" s="6" t="n">
        <v>4.496526695837477</v>
      </c>
      <c r="X626" s="6" t="n">
        <v>-1.146243015690539</v>
      </c>
      <c r="Y626" s="6" t="n">
        <v>-0.3671246649825101</v>
      </c>
      <c r="Z626" s="6" t="n">
        <v>0.2429185051809064</v>
      </c>
      <c r="AA626" s="6" t="n">
        <v>2.02658077804833</v>
      </c>
      <c r="AB626" s="6" t="n">
        <v>-3.684329124244288</v>
      </c>
      <c r="AC626" s="6" t="n">
        <v>-2.54830505770259</v>
      </c>
      <c r="AD626" s="6" t="n">
        <v>-2.319747350772767</v>
      </c>
      <c r="AE626" s="6" t="n">
        <v>-2.293607477542212</v>
      </c>
      <c r="AF626" s="6" t="n">
        <v>-1.370134824033927</v>
      </c>
      <c r="AG626" s="6" t="n">
        <v>-3.333578824411367</v>
      </c>
      <c r="AH626" s="6" t="n">
        <v>-1.297936254167922</v>
      </c>
      <c r="AI626" s="6" t="n">
        <v>-0.6615387631137343</v>
      </c>
      <c r="AJ626" s="6" t="n">
        <v>63.30905213956429</v>
      </c>
      <c r="AK626" s="6" t="n">
        <v>0.0848319281541976</v>
      </c>
      <c r="AL626" s="6" t="n">
        <v>1.104365812561341</v>
      </c>
      <c r="AN626" s="6" t="n">
        <v>1.328312552625964</v>
      </c>
      <c r="AO626" s="6" t="n">
        <v>1.328365454061729</v>
      </c>
      <c r="AP626" s="6" t="n">
        <v>0.1294270438247803</v>
      </c>
      <c r="AQ626" s="6" t="n">
        <v>0</v>
      </c>
      <c r="AR626" s="6" t="n">
        <v>0</v>
      </c>
    </row>
    <row r="627">
      <c r="D627" t="inlineStr">
        <is>
          <t>Run 315</t>
        </is>
      </c>
      <c r="J627" s="6" t="n">
        <v>-1.837086293294165</v>
      </c>
      <c r="K627" s="6" t="n">
        <v>0.7377700138644263</v>
      </c>
      <c r="L627" s="6" t="n">
        <v>-0.9433665334317282</v>
      </c>
      <c r="M627" s="6" t="n">
        <v>-2.08841727606853</v>
      </c>
      <c r="N627" s="6" t="n">
        <v>2.062324365347975</v>
      </c>
      <c r="O627" s="6" t="n">
        <v>-3.031864355103938</v>
      </c>
      <c r="P627" s="6" t="n">
        <v>-6.713267196109227</v>
      </c>
      <c r="Q627" s="6" t="n">
        <v>-1.721182106956825</v>
      </c>
      <c r="R627" s="6" t="n">
        <v>2.841486669504034</v>
      </c>
      <c r="S627" s="6" t="n">
        <v>0.928660542431869</v>
      </c>
      <c r="T627" s="6" t="n">
        <v>-6.345423906552681</v>
      </c>
      <c r="U627" s="6" t="n">
        <v>0.2365726707562877</v>
      </c>
      <c r="V627" s="6" t="n">
        <v>-0.2401352165155594</v>
      </c>
      <c r="W627" s="6" t="n">
        <v>-3.358069923167724</v>
      </c>
      <c r="X627" s="6" t="n">
        <v>-2.678400769620391</v>
      </c>
      <c r="Y627" s="6" t="n">
        <v>-3.573411952764102</v>
      </c>
      <c r="Z627" s="6" t="n">
        <v>-0.08367871826884178</v>
      </c>
      <c r="AA627" s="6" t="n">
        <v>1.253990971897977</v>
      </c>
      <c r="AB627" s="6" t="n">
        <v>1.340191690928337</v>
      </c>
      <c r="AC627" s="6" t="n">
        <v>-1.679431829187819</v>
      </c>
      <c r="AD627" s="6" t="n">
        <v>1.266402578090454</v>
      </c>
      <c r="AE627" s="6" t="n">
        <v>-1.742216441627652</v>
      </c>
      <c r="AF627" s="6" t="n">
        <v>0.01599479544013191</v>
      </c>
      <c r="AG627" s="6" t="n">
        <v>-1.62389874091885</v>
      </c>
      <c r="AH627" s="6" t="n">
        <v>4.230437305580668</v>
      </c>
      <c r="AI627" s="6" t="n">
        <v>-0.8429406961711061</v>
      </c>
      <c r="AJ627" s="6" t="n">
        <v>75.40516074459282</v>
      </c>
      <c r="AK627" s="6" t="n">
        <v>0.2008075589950503</v>
      </c>
      <c r="AL627" s="6" t="n">
        <v>1.060831525822256</v>
      </c>
      <c r="AN627" s="6" t="n">
        <v>1.314674062917681</v>
      </c>
      <c r="AO627" s="6" t="n">
        <v>1.31956792579206</v>
      </c>
      <c r="AP627" s="6" t="n">
        <v>0.128747727962424</v>
      </c>
      <c r="AQ627" s="6" t="n">
        <v>0</v>
      </c>
      <c r="AR627" s="6" t="n">
        <v>0</v>
      </c>
    </row>
    <row r="628">
      <c r="D628" t="inlineStr">
        <is>
          <t>Run 316</t>
        </is>
      </c>
      <c r="J628" s="6" t="n">
        <v>-1.035981081951405</v>
      </c>
      <c r="K628" s="6" t="n">
        <v>1.437635100233716</v>
      </c>
      <c r="L628" s="6" t="n">
        <v>0.4150562147917507</v>
      </c>
      <c r="M628" s="6" t="n">
        <v>-0.8738559161503713</v>
      </c>
      <c r="N628" s="6" t="n">
        <v>2.720295795073862</v>
      </c>
      <c r="O628" s="6" t="n">
        <v>-0.2740879029255511</v>
      </c>
      <c r="P628" s="6" t="n">
        <v>4.100119023747442</v>
      </c>
      <c r="Q628" s="6" t="n">
        <v>2.437424399226338</v>
      </c>
      <c r="R628" s="6" t="n">
        <v>1.35716278773986</v>
      </c>
      <c r="S628" s="6" t="n">
        <v>1.383141914707683</v>
      </c>
      <c r="T628" s="6" t="n">
        <v>1.591963923952031</v>
      </c>
      <c r="U628" s="6" t="n">
        <v>-4.355958503257733</v>
      </c>
      <c r="V628" s="6" t="n">
        <v>-0.9522556384518159</v>
      </c>
      <c r="W628" s="6" t="n">
        <v>-1.843157354041609</v>
      </c>
      <c r="X628" s="6" t="n">
        <v>-2.065433946655675</v>
      </c>
      <c r="Y628" s="6" t="n">
        <v>-3.961832099963505</v>
      </c>
      <c r="Z628" s="6" t="n">
        <v>-1.456617768503311</v>
      </c>
      <c r="AA628" s="6" t="n">
        <v>-1.159456482817394</v>
      </c>
      <c r="AB628" s="6" t="n">
        <v>2.488938472554878</v>
      </c>
      <c r="AC628" s="6" t="n">
        <v>-0.7704965181530309</v>
      </c>
      <c r="AD628" s="6" t="n">
        <v>2.703793221563166</v>
      </c>
      <c r="AE628" s="6" t="n">
        <v>0.1521539685677797</v>
      </c>
      <c r="AF628" s="6" t="n">
        <v>2.992772770857636</v>
      </c>
      <c r="AG628" s="6" t="n">
        <v>-1.028347126149745</v>
      </c>
      <c r="AH628" s="6" t="n">
        <v>-1.626262670351762</v>
      </c>
      <c r="AI628" s="6" t="n">
        <v>0.3843129413882649</v>
      </c>
      <c r="AJ628" s="6" t="n">
        <v>61.41644414723063</v>
      </c>
      <c r="AK628" s="6" t="n">
        <v>0.05822496638346345</v>
      </c>
      <c r="AL628" s="6" t="n">
        <v>1.066990829120609</v>
      </c>
      <c r="AN628" s="6" t="n">
        <v>1.339297191128751</v>
      </c>
      <c r="AO628" s="6" t="n">
        <v>1.339652618639645</v>
      </c>
      <c r="AP628" s="6" t="n">
        <v>0.1313568184360058</v>
      </c>
      <c r="AQ628" s="6" t="n">
        <v>0</v>
      </c>
      <c r="AR628" s="6" t="n">
        <v>0</v>
      </c>
    </row>
    <row r="629">
      <c r="D629" t="inlineStr">
        <is>
          <t>Run 317</t>
        </is>
      </c>
      <c r="J629" s="6" t="n">
        <v>3.495257379788293</v>
      </c>
      <c r="K629" s="6" t="n">
        <v>0.9614793930302588</v>
      </c>
      <c r="L629" s="6" t="n">
        <v>2.624989632243345</v>
      </c>
      <c r="M629" s="6" t="n">
        <v>1.495990880660918</v>
      </c>
      <c r="N629" s="6" t="n">
        <v>-0.7519281753272545</v>
      </c>
      <c r="O629" s="6" t="n">
        <v>0.5868147747953476</v>
      </c>
      <c r="P629" s="6" t="n">
        <v>2.561814535934326</v>
      </c>
      <c r="Q629" s="6" t="n">
        <v>2.659903944683421</v>
      </c>
      <c r="R629" s="6" t="n">
        <v>1.255963967737101</v>
      </c>
      <c r="S629" s="6" t="n">
        <v>0.07391941758682948</v>
      </c>
      <c r="T629" s="6" t="n">
        <v>-1.207630172542271</v>
      </c>
      <c r="U629" s="6" t="n">
        <v>-0.6521777595533216</v>
      </c>
      <c r="V629" s="6" t="n">
        <v>-0.9974782995624087</v>
      </c>
      <c r="W629" s="6" t="n">
        <v>-0.172178286484059</v>
      </c>
      <c r="X629" s="6" t="n">
        <v>-1.361888255049071</v>
      </c>
      <c r="Y629" s="6" t="n">
        <v>-0.4321275280047238</v>
      </c>
      <c r="Z629" s="6" t="n">
        <v>-2.017897125978676</v>
      </c>
      <c r="AA629" s="6" t="n">
        <v>-2.731635244965879</v>
      </c>
      <c r="AB629" s="6" t="n">
        <v>0.8361536687268094</v>
      </c>
      <c r="AC629" s="6" t="n">
        <v>0.8603939634432402</v>
      </c>
      <c r="AD629" s="6" t="n">
        <v>-0.8400870913511981</v>
      </c>
      <c r="AE629" s="6" t="n">
        <v>2.086941120204701</v>
      </c>
      <c r="AF629" s="6" t="n">
        <v>-2.46455009117421</v>
      </c>
      <c r="AG629" s="6" t="n">
        <v>-1.896447898473839</v>
      </c>
      <c r="AH629" s="6" t="n">
        <v>-0.6533148830129505</v>
      </c>
      <c r="AI629" s="6" t="n">
        <v>-2.741977646866526</v>
      </c>
      <c r="AJ629" s="6" t="n">
        <v>75.54155980251399</v>
      </c>
      <c r="AK629" s="6" t="n">
        <v>0.1115543988727387</v>
      </c>
      <c r="AL629" s="6" t="n">
        <v>1.059224703938089</v>
      </c>
      <c r="AN629" s="6" t="n">
        <v>1.345238196754778</v>
      </c>
      <c r="AO629" s="6" t="n">
        <v>1.345680085240398</v>
      </c>
      <c r="AP629" s="6" t="n">
        <v>0.1321420819938344</v>
      </c>
      <c r="AQ629" s="6" t="n">
        <v>0</v>
      </c>
      <c r="AR629" s="6" t="n">
        <v>0</v>
      </c>
    </row>
    <row r="630">
      <c r="D630" t="inlineStr">
        <is>
          <t>Run 318</t>
        </is>
      </c>
      <c r="J630" s="6" t="n">
        <v>0.09093644180548774</v>
      </c>
      <c r="K630" s="6" t="n">
        <v>0.9272413648437493</v>
      </c>
      <c r="L630" s="6" t="n">
        <v>0.07351495782147943</v>
      </c>
      <c r="M630" s="6" t="n">
        <v>3.160079169016856</v>
      </c>
      <c r="N630" s="6" t="n">
        <v>-2.382188800792847</v>
      </c>
      <c r="O630" s="6" t="n">
        <v>4.129293484149958</v>
      </c>
      <c r="P630" s="6" t="n">
        <v>1.700027524280642</v>
      </c>
      <c r="Q630" s="6" t="n">
        <v>-0.4500596725916363</v>
      </c>
      <c r="R630" s="6" t="n">
        <v>0.578770660703696</v>
      </c>
      <c r="S630" s="6" t="n">
        <v>-0.8435490999180726</v>
      </c>
      <c r="T630" s="6" t="n">
        <v>1.707793040679821</v>
      </c>
      <c r="U630" s="6" t="n">
        <v>-2.146001149450394</v>
      </c>
      <c r="V630" s="6" t="n">
        <v>4.725395714171491</v>
      </c>
      <c r="W630" s="6" t="n">
        <v>-2.022420905493244</v>
      </c>
      <c r="X630" s="6" t="n">
        <v>-4.062149367665851</v>
      </c>
      <c r="Y630" s="6" t="n">
        <v>-0.9770054881290897</v>
      </c>
      <c r="Z630" s="6" t="n">
        <v>3.726257550583688</v>
      </c>
      <c r="AA630" s="6" t="n">
        <v>2.132162801783801</v>
      </c>
      <c r="AB630" s="6" t="n">
        <v>0.8073464677849921</v>
      </c>
      <c r="AC630" s="6" t="n">
        <v>0.437919129006396</v>
      </c>
      <c r="AD630" s="6" t="n">
        <v>1.096767387434261</v>
      </c>
      <c r="AE630" s="6" t="n">
        <v>0.5364711626545767</v>
      </c>
      <c r="AF630" s="6" t="n">
        <v>-0.6402546802548944</v>
      </c>
      <c r="AG630" s="6" t="n">
        <v>0.499448898169337</v>
      </c>
      <c r="AH630" s="6" t="n">
        <v>-0.2181896499526587</v>
      </c>
      <c r="AI630" s="6" t="n">
        <v>0.3561418398958699</v>
      </c>
      <c r="AJ630" s="6" t="n">
        <v>64.59934445824018</v>
      </c>
      <c r="AK630" s="6" t="n">
        <v>0.1610410706748404</v>
      </c>
      <c r="AL630" s="6" t="n">
        <v>1.029718009419823</v>
      </c>
      <c r="AN630" s="6" t="n">
        <v>1.344291777390581</v>
      </c>
      <c r="AO630" s="6" t="n">
        <v>1.345542018136303</v>
      </c>
      <c r="AP630" s="6" t="n">
        <v>0.132773956813346</v>
      </c>
      <c r="AQ630" s="6" t="n">
        <v>0</v>
      </c>
      <c r="AR630" s="6" t="n">
        <v>0</v>
      </c>
    </row>
    <row r="631">
      <c r="D631" t="inlineStr">
        <is>
          <t>Run 319</t>
        </is>
      </c>
      <c r="J631" s="6" t="n">
        <v>-2.086757202812768</v>
      </c>
      <c r="K631" s="6" t="n">
        <v>-0.6506855513559231</v>
      </c>
      <c r="L631" s="6" t="n">
        <v>4.638088911812007</v>
      </c>
      <c r="M631" s="6" t="n">
        <v>-1.486577207413373</v>
      </c>
      <c r="N631" s="6" t="n">
        <v>-1.042074995278292</v>
      </c>
      <c r="O631" s="6" t="n">
        <v>1.395068157418962</v>
      </c>
      <c r="P631" s="6" t="n">
        <v>0.3381654413491549</v>
      </c>
      <c r="Q631" s="6" t="n">
        <v>3.317413695186073</v>
      </c>
      <c r="R631" s="6" t="n">
        <v>0.924431639679738</v>
      </c>
      <c r="S631" s="6" t="n">
        <v>-0.9343555018054042</v>
      </c>
      <c r="T631" s="6" t="n">
        <v>-2.409115401403076</v>
      </c>
      <c r="U631" s="6" t="n">
        <v>1.48429242385115</v>
      </c>
      <c r="V631" s="6" t="n">
        <v>2.342793478777887</v>
      </c>
      <c r="W631" s="6" t="n">
        <v>-0.1790634072367374</v>
      </c>
      <c r="X631" s="6" t="n">
        <v>-2.442031911785175</v>
      </c>
      <c r="Y631" s="6" t="n">
        <v>0.8610005032917316</v>
      </c>
      <c r="Z631" s="6" t="n">
        <v>-0.04693554771598997</v>
      </c>
      <c r="AA631" s="6" t="n">
        <v>-1.936784373716405</v>
      </c>
      <c r="AB631" s="6" t="n">
        <v>-3.51318261578536</v>
      </c>
      <c r="AC631" s="6" t="n">
        <v>-3.767996611890794</v>
      </c>
      <c r="AD631" s="6" t="n">
        <v>0.9452562227145217</v>
      </c>
      <c r="AE631" s="6" t="n">
        <v>2.217750818293699</v>
      </c>
      <c r="AF631" s="6" t="n">
        <v>-4.43458593663972</v>
      </c>
      <c r="AG631" s="6" t="n">
        <v>-4.443308764168798</v>
      </c>
      <c r="AH631" s="6" t="n">
        <v>1.428351294193095</v>
      </c>
      <c r="AI631" s="6" t="n">
        <v>-2.12384751708481</v>
      </c>
      <c r="AJ631" s="6" t="n">
        <v>77.88033329455199</v>
      </c>
      <c r="AK631" s="6" t="n">
        <v>0.1150625559939243</v>
      </c>
      <c r="AL631" s="6" t="n">
        <v>1.049959033422095</v>
      </c>
      <c r="AN631" s="6" t="n">
        <v>1.341872062131923</v>
      </c>
      <c r="AO631" s="6" t="n">
        <v>1.345694611316977</v>
      </c>
      <c r="AP631" s="6" t="n">
        <v>0.1329567395079856</v>
      </c>
      <c r="AQ631" s="6" t="n">
        <v>0</v>
      </c>
      <c r="AR631" s="6" t="n">
        <v>0</v>
      </c>
    </row>
    <row r="632">
      <c r="D632" t="inlineStr">
        <is>
          <t>Run 320</t>
        </is>
      </c>
      <c r="J632" s="6" t="n">
        <v>1.520517994183609</v>
      </c>
      <c r="K632" s="6" t="n">
        <v>1.637825734156874</v>
      </c>
      <c r="L632" s="6" t="n">
        <v>2.392020052935101</v>
      </c>
      <c r="M632" s="6" t="n">
        <v>-0.773051040037754</v>
      </c>
      <c r="N632" s="6" t="n">
        <v>0.4664468791033186</v>
      </c>
      <c r="O632" s="6" t="n">
        <v>1.885271804733128</v>
      </c>
      <c r="P632" s="6" t="n">
        <v>3.345644757294237</v>
      </c>
      <c r="Q632" s="6" t="n">
        <v>0.7881588575654223</v>
      </c>
      <c r="R632" s="6" t="n">
        <v>-0.1807690284626628</v>
      </c>
      <c r="S632" s="6" t="n">
        <v>1.620827709379157</v>
      </c>
      <c r="T632" s="6" t="n">
        <v>-0.1844652751708667</v>
      </c>
      <c r="U632" s="6" t="n">
        <v>0.140098730663726</v>
      </c>
      <c r="V632" s="6" t="n">
        <v>5</v>
      </c>
      <c r="W632" s="6" t="n">
        <v>1.377494768547183</v>
      </c>
      <c r="X632" s="6" t="n">
        <v>0.6671392586769418</v>
      </c>
      <c r="Y632" s="6" t="n">
        <v>3.075504932695157</v>
      </c>
      <c r="Z632" s="6" t="n">
        <v>0.3935454791686193</v>
      </c>
      <c r="AA632" s="6" t="n">
        <v>5</v>
      </c>
      <c r="AB632" s="6" t="n">
        <v>-0.9987709957867298</v>
      </c>
      <c r="AC632" s="6" t="n">
        <v>2.578767066858972</v>
      </c>
      <c r="AD632" s="6" t="n">
        <v>0.4721106254423265</v>
      </c>
      <c r="AE632" s="6" t="n">
        <v>-4.70263863101848</v>
      </c>
      <c r="AF632" s="6" t="n">
        <v>-0.275254890637421</v>
      </c>
      <c r="AG632" s="6" t="n">
        <v>-0.9697188752637501</v>
      </c>
      <c r="AH632" s="6" t="n">
        <v>-1.489805067747791</v>
      </c>
      <c r="AI632" s="6" t="n">
        <v>2.21357041720734</v>
      </c>
      <c r="AJ632" s="6" t="n">
        <v>72.15179634976064</v>
      </c>
      <c r="AK632" s="6" t="n">
        <v>0.2393625799676795</v>
      </c>
      <c r="AL632" s="6" t="n">
        <v>0.976149113990726</v>
      </c>
      <c r="AN632" s="6" t="n">
        <v>1.358555643792893</v>
      </c>
      <c r="AO632" s="6" t="n">
        <v>1.358555643792893</v>
      </c>
      <c r="AP632" s="6" t="n">
        <v>0.1412440676528943</v>
      </c>
      <c r="AQ632" s="6" t="n">
        <v>0</v>
      </c>
      <c r="AR632" s="6" t="n">
        <v>0</v>
      </c>
    </row>
    <row r="633">
      <c r="D633" t="inlineStr">
        <is>
          <t>Run 321</t>
        </is>
      </c>
      <c r="J633" s="6" t="n">
        <v>4.508319907257847</v>
      </c>
      <c r="K633" s="6" t="n">
        <v>0.3935341927361107</v>
      </c>
      <c r="L633" s="6" t="n">
        <v>0.3341246485084598</v>
      </c>
      <c r="M633" s="6" t="n">
        <v>-0.8274675653804684</v>
      </c>
      <c r="N633" s="6" t="n">
        <v>0.9599218358821349</v>
      </c>
      <c r="O633" s="6" t="n">
        <v>1.349547170022914</v>
      </c>
      <c r="P633" s="6" t="n">
        <v>-3.220385494870019</v>
      </c>
      <c r="Q633" s="6" t="n">
        <v>0.06140756868370062</v>
      </c>
      <c r="R633" s="6" t="n">
        <v>1.752171286227192</v>
      </c>
      <c r="S633" s="6" t="n">
        <v>1.691263569413687</v>
      </c>
      <c r="T633" s="6" t="n">
        <v>3.789115308757409</v>
      </c>
      <c r="U633" s="6" t="n">
        <v>-0.3915958093788394</v>
      </c>
      <c r="V633" s="6" t="n">
        <v>-2.713903582796407</v>
      </c>
      <c r="W633" s="6" t="n">
        <v>-2.624369118322914</v>
      </c>
      <c r="X633" s="6" t="n">
        <v>1.041377992565648</v>
      </c>
      <c r="Y633" s="6" t="n">
        <v>-0.7212187674213735</v>
      </c>
      <c r="Z633" s="6" t="n">
        <v>2.568586228651311</v>
      </c>
      <c r="AA633" s="6" t="n">
        <v>0.3754060427844366</v>
      </c>
      <c r="AB633" s="6" t="n">
        <v>0.6028082190008694</v>
      </c>
      <c r="AC633" s="6" t="n">
        <v>2.030102598966272</v>
      </c>
      <c r="AD633" s="6" t="n">
        <v>-1.546273645670115</v>
      </c>
      <c r="AE633" s="6" t="n">
        <v>-0.01356286412206983</v>
      </c>
      <c r="AF633" s="6" t="n">
        <v>1.53036914739694</v>
      </c>
      <c r="AG633" s="6" t="n">
        <v>-0.617531600902387</v>
      </c>
      <c r="AH633" s="6" t="n">
        <v>-2.757509494793594</v>
      </c>
      <c r="AI633" s="6" t="n">
        <v>2.149585248482035</v>
      </c>
      <c r="AJ633" s="6" t="n">
        <v>71.70908024072531</v>
      </c>
      <c r="AK633" s="6" t="n">
        <v>0.1555120287311709</v>
      </c>
      <c r="AL633" s="6" t="n">
        <v>1.02134683901247</v>
      </c>
      <c r="AN633" s="6" t="n">
        <v>1.353479908110842</v>
      </c>
      <c r="AO633" s="6" t="n">
        <v>1.353575754135473</v>
      </c>
      <c r="AP633" s="6" t="n">
        <v>0.1346916343939795</v>
      </c>
      <c r="AQ633" s="6" t="n">
        <v>0</v>
      </c>
      <c r="AR633" s="6" t="n">
        <v>0</v>
      </c>
    </row>
    <row r="634">
      <c r="D634" t="inlineStr">
        <is>
          <t>Run 322</t>
        </is>
      </c>
      <c r="J634" s="6" t="n">
        <v>5</v>
      </c>
      <c r="K634" s="6" t="n">
        <v>-0.6956855053833001</v>
      </c>
      <c r="L634" s="6" t="n">
        <v>2.057390733837823</v>
      </c>
      <c r="M634" s="6" t="n">
        <v>0.9215761177485021</v>
      </c>
      <c r="N634" s="6" t="n">
        <v>-3.071681954097106</v>
      </c>
      <c r="O634" s="6" t="n">
        <v>1.590854203331799</v>
      </c>
      <c r="P634" s="6" t="n">
        <v>-0.03544582669282808</v>
      </c>
      <c r="Q634" s="6" t="n">
        <v>1.596296207657113</v>
      </c>
      <c r="R634" s="6" t="n">
        <v>-1.677912859137346</v>
      </c>
      <c r="S634" s="6" t="n">
        <v>1.32477991312134</v>
      </c>
      <c r="T634" s="6" t="n">
        <v>-2.725640876356139</v>
      </c>
      <c r="U634" s="6" t="n">
        <v>0.9234324176382115</v>
      </c>
      <c r="V634" s="6" t="n">
        <v>-1.185480296720192</v>
      </c>
      <c r="W634" s="6" t="n">
        <v>-0.299828544681254</v>
      </c>
      <c r="X634" s="6" t="n">
        <v>-0.4134215368777026</v>
      </c>
      <c r="Y634" s="6" t="n">
        <v>-1.176536065879288</v>
      </c>
      <c r="Z634" s="6" t="n">
        <v>-1.104842855216215</v>
      </c>
      <c r="AA634" s="6" t="n">
        <v>-2.513295767351488</v>
      </c>
      <c r="AB634" s="6" t="n">
        <v>0.2867536948177294</v>
      </c>
      <c r="AC634" s="6" t="n">
        <v>1.297823902842142</v>
      </c>
      <c r="AD634" s="6" t="n">
        <v>3.875148616160126</v>
      </c>
      <c r="AE634" s="6" t="n">
        <v>3.82351011594588</v>
      </c>
      <c r="AF634" s="6" t="n">
        <v>-5.829697177790591</v>
      </c>
      <c r="AG634" s="6" t="n">
        <v>2.509981417810516</v>
      </c>
      <c r="AH634" s="6" t="n">
        <v>2.526822099557672</v>
      </c>
      <c r="AI634" s="6" t="n">
        <v>-0.8137195323247096</v>
      </c>
      <c r="AJ634" s="6" t="n">
        <v>72.01421813414171</v>
      </c>
      <c r="AK634" s="6" t="n">
        <v>0.08291227694869997</v>
      </c>
      <c r="AL634" s="6" t="n">
        <v>1.056272938667997</v>
      </c>
      <c r="AN634" s="6" t="n">
        <v>1.346745084804313</v>
      </c>
      <c r="AO634" s="6" t="n">
        <v>1.347174156740001</v>
      </c>
      <c r="AP634" s="6" t="n">
        <v>0.132966057358224</v>
      </c>
      <c r="AQ634" s="6" t="n">
        <v>0</v>
      </c>
      <c r="AR634" s="6" t="n">
        <v>0</v>
      </c>
    </row>
    <row r="635">
      <c r="D635" t="inlineStr">
        <is>
          <t>Run 323</t>
        </is>
      </c>
      <c r="J635" s="6" t="n">
        <v>0.8013031109759056</v>
      </c>
      <c r="K635" s="6" t="n">
        <v>4.160397974687079</v>
      </c>
      <c r="L635" s="6" t="n">
        <v>-0.1628442393397263</v>
      </c>
      <c r="M635" s="6" t="n">
        <v>3.356177316294602</v>
      </c>
      <c r="N635" s="6" t="n">
        <v>2.304593093279275</v>
      </c>
      <c r="O635" s="6" t="n">
        <v>-1.785199418582001</v>
      </c>
      <c r="P635" s="6" t="n">
        <v>3.053223062086951</v>
      </c>
      <c r="Q635" s="6" t="n">
        <v>-0.999777225668357</v>
      </c>
      <c r="R635" s="6" t="n">
        <v>-0.9569226399908516</v>
      </c>
      <c r="S635" s="6" t="n">
        <v>2.333952371512723</v>
      </c>
      <c r="T635" s="6" t="n">
        <v>0.553402819825521</v>
      </c>
      <c r="U635" s="6" t="n">
        <v>-2.363443805065124</v>
      </c>
      <c r="V635" s="6" t="n">
        <v>4.011811104972555</v>
      </c>
      <c r="W635" s="6" t="n">
        <v>-4.488945613664191</v>
      </c>
      <c r="X635" s="6" t="n">
        <v>-0.9654342921317294</v>
      </c>
      <c r="Y635" s="6" t="n">
        <v>0.2570451624152971</v>
      </c>
      <c r="Z635" s="6" t="n">
        <v>1.403295519161931</v>
      </c>
      <c r="AA635" s="6" t="n">
        <v>-2.691493882961991</v>
      </c>
      <c r="AB635" s="6" t="n">
        <v>-1.133985721270276</v>
      </c>
      <c r="AC635" s="6" t="n">
        <v>-3.169862838582229</v>
      </c>
      <c r="AD635" s="6" t="n">
        <v>1.98244023051751</v>
      </c>
      <c r="AE635" s="6" t="n">
        <v>3.227892599795896</v>
      </c>
      <c r="AF635" s="6" t="n">
        <v>2.747406901419245</v>
      </c>
      <c r="AG635" s="6" t="n">
        <v>2.954469585924638</v>
      </c>
      <c r="AH635" s="6" t="n">
        <v>-0.8353543726590361</v>
      </c>
      <c r="AI635" s="6" t="n">
        <v>1.56492107029508</v>
      </c>
      <c r="AJ635" s="6" t="n">
        <v>79.06139881361148</v>
      </c>
      <c r="AK635" s="6" t="n">
        <v>0.1259260772980592</v>
      </c>
      <c r="AL635" s="6" t="n">
        <v>1.038706839521458</v>
      </c>
      <c r="AN635" s="6" t="n">
        <v>1.350837239712941</v>
      </c>
      <c r="AO635" s="6" t="n">
        <v>1.351261239865204</v>
      </c>
      <c r="AP635" s="6" t="n">
        <v>0.1336670304421022</v>
      </c>
      <c r="AQ635" s="6" t="n">
        <v>0</v>
      </c>
      <c r="AR635" s="6" t="n">
        <v>0</v>
      </c>
    </row>
    <row r="636">
      <c r="D636" t="inlineStr">
        <is>
          <t>Run 324</t>
        </is>
      </c>
      <c r="J636" s="6" t="n">
        <v>0.3520996099460175</v>
      </c>
      <c r="K636" s="6" t="n">
        <v>2.699247975654206</v>
      </c>
      <c r="L636" s="6" t="n">
        <v>1.715808150228381</v>
      </c>
      <c r="M636" s="6" t="n">
        <v>0.2116981747148757</v>
      </c>
      <c r="N636" s="6" t="n">
        <v>1.818889558527701</v>
      </c>
      <c r="O636" s="6" t="n">
        <v>-0.2927353536604572</v>
      </c>
      <c r="P636" s="6" t="n">
        <v>-5.282033829338312</v>
      </c>
      <c r="Q636" s="6" t="n">
        <v>0.02558566240711957</v>
      </c>
      <c r="R636" s="6" t="n">
        <v>0.8738758043015898</v>
      </c>
      <c r="S636" s="6" t="n">
        <v>2.695615374495</v>
      </c>
      <c r="T636" s="6" t="n">
        <v>-2.994838603212766</v>
      </c>
      <c r="U636" s="6" t="n">
        <v>1.799036475068629</v>
      </c>
      <c r="V636" s="6" t="n">
        <v>-0.02792729155631844</v>
      </c>
      <c r="W636" s="6" t="n">
        <v>0.4149330937529876</v>
      </c>
      <c r="X636" s="6" t="n">
        <v>1.143785844215303</v>
      </c>
      <c r="Y636" s="6" t="n">
        <v>0.5000530962671661</v>
      </c>
      <c r="Z636" s="6" t="n">
        <v>-3.766242910880169</v>
      </c>
      <c r="AA636" s="6" t="n">
        <v>-0.05573292666701811</v>
      </c>
      <c r="AB636" s="6" t="n">
        <v>-0.9723604818573004</v>
      </c>
      <c r="AC636" s="6" t="n">
        <v>-0.9564778713362548</v>
      </c>
      <c r="AD636" s="6" t="n">
        <v>-0.8297160510550454</v>
      </c>
      <c r="AE636" s="6" t="n">
        <v>0.3956795104222788</v>
      </c>
      <c r="AF636" s="6" t="n">
        <v>0.8030899745639345</v>
      </c>
      <c r="AG636" s="6" t="n">
        <v>0.4352160418105415</v>
      </c>
      <c r="AH636" s="6" t="n">
        <v>-1.219881980799506</v>
      </c>
      <c r="AI636" s="6" t="n">
        <v>2.746045117508006</v>
      </c>
      <c r="AJ636" s="6" t="n">
        <v>71.96400400423809</v>
      </c>
      <c r="AK636" s="6" t="n">
        <v>0.1364293227602293</v>
      </c>
      <c r="AL636" s="6" t="n">
        <v>1.038415654488831</v>
      </c>
      <c r="AN636" s="6" t="n">
        <v>1.347941712748738</v>
      </c>
      <c r="AO636" s="6" t="n">
        <v>1.348164668033991</v>
      </c>
      <c r="AP636" s="6" t="n">
        <v>0.1329476971345749</v>
      </c>
      <c r="AQ636" s="6" t="n">
        <v>0</v>
      </c>
      <c r="AR636" s="6" t="n">
        <v>0</v>
      </c>
    </row>
    <row r="637">
      <c r="D637" t="inlineStr">
        <is>
          <t>Run 325</t>
        </is>
      </c>
      <c r="J637" s="6" t="n">
        <v>-0.06567735244663563</v>
      </c>
      <c r="K637" s="6" t="n">
        <v>2.536302040672008</v>
      </c>
      <c r="L637" s="6" t="n">
        <v>0.4765101774054418</v>
      </c>
      <c r="M637" s="6" t="n">
        <v>-3.98926480854098</v>
      </c>
      <c r="N637" s="6" t="n">
        <v>-0.4661855620705956</v>
      </c>
      <c r="O637" s="6" t="n">
        <v>2.052939049927574</v>
      </c>
      <c r="P637" s="6" t="n">
        <v>5</v>
      </c>
      <c r="Q637" s="6" t="n">
        <v>2.601235889251297</v>
      </c>
      <c r="R637" s="6" t="n">
        <v>0.1094546800597712</v>
      </c>
      <c r="S637" s="6" t="n">
        <v>0.9247543882950056</v>
      </c>
      <c r="T637" s="6" t="n">
        <v>2.786404190092884</v>
      </c>
      <c r="U637" s="6" t="n">
        <v>-0.1392411794557949</v>
      </c>
      <c r="V637" s="6" t="n">
        <v>-2.466599358476659</v>
      </c>
      <c r="W637" s="6" t="n">
        <v>-0.4611824720260669</v>
      </c>
      <c r="X637" s="6" t="n">
        <v>-2.632435711564127</v>
      </c>
      <c r="Y637" s="6" t="n">
        <v>0.3716281879655009</v>
      </c>
      <c r="Z637" s="6" t="n">
        <v>2.5842534589419</v>
      </c>
      <c r="AA637" s="6" t="n">
        <v>0.2031236089396534</v>
      </c>
      <c r="AB637" s="6" t="n">
        <v>-0.4928400621124459</v>
      </c>
      <c r="AC637" s="6" t="n">
        <v>0.6943255562410674</v>
      </c>
      <c r="AD637" s="6" t="n">
        <v>3.223760565430167</v>
      </c>
      <c r="AE637" s="6" t="n">
        <v>3.186813787590108</v>
      </c>
      <c r="AF637" s="6" t="n">
        <v>0.7602504114284877</v>
      </c>
      <c r="AG637" s="6" t="n">
        <v>1.733871619066847</v>
      </c>
      <c r="AH637" s="6" t="n">
        <v>-0.005909993689111692</v>
      </c>
      <c r="AI637" s="6" t="n">
        <v>-3.097171825287206</v>
      </c>
      <c r="AJ637" s="6" t="n">
        <v>64.33435423608111</v>
      </c>
      <c r="AK637" s="6" t="n">
        <v>0.1459480004837277</v>
      </c>
      <c r="AL637" s="6" t="n">
        <v>1.03511592705492</v>
      </c>
      <c r="AN637" s="6" t="n">
        <v>1.302481760226009</v>
      </c>
      <c r="AO637" s="6" t="n">
        <v>1.311657167913736</v>
      </c>
      <c r="AP637" s="6" t="n">
        <v>0.132143067740018</v>
      </c>
      <c r="AQ637" s="6" t="n">
        <v>0</v>
      </c>
      <c r="AR637" s="6" t="n">
        <v>0</v>
      </c>
    </row>
    <row r="638">
      <c r="D638" t="inlineStr">
        <is>
          <t>Run 326</t>
        </is>
      </c>
      <c r="J638" s="6" t="n">
        <v>1.799316843687976</v>
      </c>
      <c r="K638" s="6" t="n">
        <v>2.812904841434347</v>
      </c>
      <c r="L638" s="6" t="n">
        <v>0.3696039955287168</v>
      </c>
      <c r="M638" s="6" t="n">
        <v>-0.6692814773751997</v>
      </c>
      <c r="N638" s="6" t="n">
        <v>-2.094983491627891</v>
      </c>
      <c r="O638" s="6" t="n">
        <v>-1.936054968706295</v>
      </c>
      <c r="P638" s="6" t="n">
        <v>4.108120559798468</v>
      </c>
      <c r="Q638" s="6" t="n">
        <v>-0.9486616089154696</v>
      </c>
      <c r="R638" s="6" t="n">
        <v>0.4692932652666687</v>
      </c>
      <c r="S638" s="6" t="n">
        <v>0.5697590697171266</v>
      </c>
      <c r="T638" s="6" t="n">
        <v>0.8958136231201035</v>
      </c>
      <c r="U638" s="6" t="n">
        <v>0.1677147328282478</v>
      </c>
      <c r="V638" s="6" t="n">
        <v>-0.323927020699003</v>
      </c>
      <c r="W638" s="6" t="n">
        <v>-2.228569308920222</v>
      </c>
      <c r="X638" s="6" t="n">
        <v>-0.9715515999574645</v>
      </c>
      <c r="Y638" s="6" t="n">
        <v>-0.1902306532818385</v>
      </c>
      <c r="Z638" s="6" t="n">
        <v>-0.3152869877357056</v>
      </c>
      <c r="AA638" s="6" t="n">
        <v>-2.344605202147872</v>
      </c>
      <c r="AB638" s="6" t="n">
        <v>0.4886481163487577</v>
      </c>
      <c r="AC638" s="6" t="n">
        <v>-0.461107301614722</v>
      </c>
      <c r="AD638" s="6" t="n">
        <v>-3.581268239286472</v>
      </c>
      <c r="AE638" s="6" t="n">
        <v>-0.9334801164504748</v>
      </c>
      <c r="AF638" s="6" t="n">
        <v>0.5972578444377894</v>
      </c>
      <c r="AG638" s="6" t="n">
        <v>0.2020148166085216</v>
      </c>
      <c r="AH638" s="6" t="n">
        <v>-3.590319485024239</v>
      </c>
      <c r="AI638" s="6" t="n">
        <v>0.6964648031139746</v>
      </c>
      <c r="AJ638" s="6" t="n">
        <v>70.36773876946239</v>
      </c>
      <c r="AK638" s="6" t="n">
        <v>0.007137540252980468</v>
      </c>
      <c r="AL638" s="6" t="n">
        <v>0.9945289417535678</v>
      </c>
      <c r="AN638" s="6" t="n">
        <v>1.355959368409458</v>
      </c>
      <c r="AO638" s="6" t="n">
        <v>1.355959368409458</v>
      </c>
      <c r="AP638" s="6" t="n">
        <v>0.1418354214216159</v>
      </c>
      <c r="AQ638" s="6" t="n">
        <v>0</v>
      </c>
      <c r="AR638" s="6" t="n">
        <v>0</v>
      </c>
    </row>
    <row r="639">
      <c r="D639" t="inlineStr">
        <is>
          <t>Run 327</t>
        </is>
      </c>
      <c r="J639" s="6" t="n">
        <v>1.863857022710164</v>
      </c>
      <c r="K639" s="6" t="n">
        <v>1.744827860815785</v>
      </c>
      <c r="L639" s="6" t="n">
        <v>-0.7041510609095811</v>
      </c>
      <c r="M639" s="6" t="n">
        <v>1.395953833622056</v>
      </c>
      <c r="N639" s="6" t="n">
        <v>0.3218899896153322</v>
      </c>
      <c r="O639" s="6" t="n">
        <v>-3.355736330371436</v>
      </c>
      <c r="P639" s="6" t="n">
        <v>-1.184695438789406</v>
      </c>
      <c r="Q639" s="6" t="n">
        <v>-3.036509132785209</v>
      </c>
      <c r="R639" s="6" t="n">
        <v>0.1255928163483675</v>
      </c>
      <c r="S639" s="6" t="n">
        <v>0.4500973807240681</v>
      </c>
      <c r="T639" s="6" t="n">
        <v>2.594378877408636</v>
      </c>
      <c r="U639" s="6" t="n">
        <v>-2.743588588962667</v>
      </c>
      <c r="V639" s="6" t="n">
        <v>-1.648764906663548</v>
      </c>
      <c r="W639" s="6" t="n">
        <v>-0.6964919978947461</v>
      </c>
      <c r="X639" s="6" t="n">
        <v>-0.7862538623121529</v>
      </c>
      <c r="Y639" s="6" t="n">
        <v>0.2889360873040966</v>
      </c>
      <c r="Z639" s="6" t="n">
        <v>-2.136225730877173</v>
      </c>
      <c r="AA639" s="6" t="n">
        <v>-0.2104369955972539</v>
      </c>
      <c r="AB639" s="6" t="n">
        <v>0.8645161184153448</v>
      </c>
      <c r="AC639" s="6" t="n">
        <v>0.5166364690229753</v>
      </c>
      <c r="AD639" s="6" t="n">
        <v>-1.341279563808748</v>
      </c>
      <c r="AE639" s="6" t="n">
        <v>-1.174982017076564</v>
      </c>
      <c r="AF639" s="6" t="n">
        <v>-1.311909929203519</v>
      </c>
      <c r="AG639" s="6" t="n">
        <v>-0.8219695009631456</v>
      </c>
      <c r="AH639" s="6" t="n">
        <v>0.738962953841741</v>
      </c>
      <c r="AI639" s="6" t="n">
        <v>1.036523887580924</v>
      </c>
      <c r="AJ639" s="6" t="n">
        <v>81.23585169094953</v>
      </c>
      <c r="AK639" s="6" t="n">
        <v>0.07189609591275023</v>
      </c>
      <c r="AL639" s="6" t="n">
        <v>1.050196193283471</v>
      </c>
      <c r="AN639" s="6" t="n">
        <v>1.352115117363429</v>
      </c>
      <c r="AO639" s="6" t="n">
        <v>1.352252946543415</v>
      </c>
      <c r="AP639" s="6" t="n">
        <v>0.1339397178592645</v>
      </c>
      <c r="AQ639" s="6" t="n">
        <v>0</v>
      </c>
      <c r="AR639" s="6" t="n">
        <v>0</v>
      </c>
    </row>
    <row r="640">
      <c r="D640" t="inlineStr">
        <is>
          <t>Run 328</t>
        </is>
      </c>
      <c r="J640" s="6" t="n">
        <v>2.373829431814936</v>
      </c>
      <c r="K640" s="6" t="n">
        <v>3.905247568895907</v>
      </c>
      <c r="L640" s="6" t="n">
        <v>-1.490663385879525</v>
      </c>
      <c r="M640" s="6" t="n">
        <v>0.5981003013812376</v>
      </c>
      <c r="N640" s="6" t="n">
        <v>-0.7685017522549628</v>
      </c>
      <c r="O640" s="6" t="n">
        <v>-5.737261115248142</v>
      </c>
      <c r="P640" s="6" t="n">
        <v>-1.704894267758327</v>
      </c>
      <c r="Q640" s="6" t="n">
        <v>2.911185818706404</v>
      </c>
      <c r="R640" s="6" t="n">
        <v>0.381858722079999</v>
      </c>
      <c r="S640" s="6" t="n">
        <v>0.3804789581974399</v>
      </c>
      <c r="T640" s="6" t="n">
        <v>-0.5342297374282361</v>
      </c>
      <c r="U640" s="6" t="n">
        <v>-0.0206163748443017</v>
      </c>
      <c r="V640" s="6" t="n">
        <v>-2.307725164097159</v>
      </c>
      <c r="W640" s="6" t="n">
        <v>0.7729876776862257</v>
      </c>
      <c r="X640" s="6" t="n">
        <v>3.173199574530674</v>
      </c>
      <c r="Y640" s="6" t="n">
        <v>0.03234450819908138</v>
      </c>
      <c r="Z640" s="6" t="n">
        <v>-1.947540842763225</v>
      </c>
      <c r="AA640" s="6" t="n">
        <v>-1.276326795130302</v>
      </c>
      <c r="AB640" s="6" t="n">
        <v>1.228101615345636</v>
      </c>
      <c r="AC640" s="6" t="n">
        <v>3.165562788856293</v>
      </c>
      <c r="AD640" s="6" t="n">
        <v>0.1604209687095972</v>
      </c>
      <c r="AE640" s="6" t="n">
        <v>-1.389553511389626</v>
      </c>
      <c r="AF640" s="6" t="n">
        <v>-0.3159526696736511</v>
      </c>
      <c r="AG640" s="6" t="n">
        <v>-4.561171506905075</v>
      </c>
      <c r="AH640" s="6" t="n">
        <v>1.072860913937991</v>
      </c>
      <c r="AI640" s="6" t="n">
        <v>0.2518323434562038</v>
      </c>
      <c r="AJ640" s="6" t="n">
        <v>71.6800143362193</v>
      </c>
      <c r="AK640" s="6" t="n">
        <v>0.09996826700559212</v>
      </c>
      <c r="AL640" s="6" t="n">
        <v>1.064627790003885</v>
      </c>
      <c r="AN640" s="6" t="n">
        <v>1.309074929343897</v>
      </c>
      <c r="AO640" s="6" t="n">
        <v>1.314721013178215</v>
      </c>
      <c r="AP640" s="6" t="n">
        <v>0.1315018068267211</v>
      </c>
      <c r="AQ640" s="6" t="n">
        <v>0</v>
      </c>
      <c r="AR640" s="6" t="n">
        <v>0</v>
      </c>
    </row>
    <row r="641">
      <c r="D641" t="inlineStr">
        <is>
          <t>Run 329</t>
        </is>
      </c>
      <c r="J641" s="6" t="n">
        <v>-2.312190491469517</v>
      </c>
      <c r="K641" s="6" t="n">
        <v>3.840963821896252</v>
      </c>
      <c r="L641" s="6" t="n">
        <v>-1.857015641619384</v>
      </c>
      <c r="M641" s="6" t="n">
        <v>1.730667199857763</v>
      </c>
      <c r="N641" s="6" t="n">
        <v>-3.768780072999694</v>
      </c>
      <c r="O641" s="6" t="n">
        <v>-0.922471879585671</v>
      </c>
      <c r="P641" s="6" t="n">
        <v>0.8387261262743783</v>
      </c>
      <c r="Q641" s="6" t="n">
        <v>-2.679677306089201</v>
      </c>
      <c r="R641" s="6" t="n">
        <v>2.475585328144064</v>
      </c>
      <c r="S641" s="6" t="n">
        <v>0.7831779920463405</v>
      </c>
      <c r="T641" s="6" t="n">
        <v>-0.2443533880395409</v>
      </c>
      <c r="U641" s="6" t="n">
        <v>2.656255917698734</v>
      </c>
      <c r="V641" s="6" t="n">
        <v>-0.06924269830753992</v>
      </c>
      <c r="W641" s="6" t="n">
        <v>-0.1011333935152956</v>
      </c>
      <c r="X641" s="6" t="n">
        <v>-0.9327066193420728</v>
      </c>
      <c r="Y641" s="6" t="n">
        <v>-4.051589564960942</v>
      </c>
      <c r="Z641" s="6" t="n">
        <v>-1.632955955620424</v>
      </c>
      <c r="AA641" s="6" t="n">
        <v>-1.091524958480723</v>
      </c>
      <c r="AB641" s="6" t="n">
        <v>0.5354357696244422</v>
      </c>
      <c r="AC641" s="6" t="n">
        <v>-0.6680853559169587</v>
      </c>
      <c r="AD641" s="6" t="n">
        <v>-1.762682221856091</v>
      </c>
      <c r="AE641" s="6" t="n">
        <v>-2.991088160492881</v>
      </c>
      <c r="AF641" s="6" t="n">
        <v>2.012345387961874</v>
      </c>
      <c r="AG641" s="6" t="n">
        <v>-0.5116129013081967</v>
      </c>
      <c r="AH641" s="6" t="n">
        <v>-0.7116556448739515</v>
      </c>
      <c r="AI641" s="6" t="n">
        <v>2.602367400845027</v>
      </c>
      <c r="AJ641" s="6" t="n">
        <v>76.14403789246846</v>
      </c>
      <c r="AK641" s="6" t="n">
        <v>0.08266681720256941</v>
      </c>
      <c r="AL641" s="6" t="n">
        <v>1.042787147833418</v>
      </c>
      <c r="AN641" s="6" t="n">
        <v>1.351974445512307</v>
      </c>
      <c r="AO641" s="6" t="n">
        <v>1.352073991345347</v>
      </c>
      <c r="AP641" s="6" t="n">
        <v>0.1340676832883837</v>
      </c>
      <c r="AQ641" s="6" t="n">
        <v>0</v>
      </c>
      <c r="AR641" s="6" t="n">
        <v>0</v>
      </c>
    </row>
    <row r="642">
      <c r="D642" t="inlineStr">
        <is>
          <t>Run 330</t>
        </is>
      </c>
      <c r="J642" s="6" t="n">
        <v>-1.070640179469572</v>
      </c>
      <c r="K642" s="6" t="n">
        <v>-2.865091395041072</v>
      </c>
      <c r="L642" s="6" t="n">
        <v>-2.786303301485123</v>
      </c>
      <c r="M642" s="6" t="n">
        <v>-0.7892044756901949</v>
      </c>
      <c r="N642" s="6" t="n">
        <v>-0.2690123308514523</v>
      </c>
      <c r="O642" s="6" t="n">
        <v>0.154296950493718</v>
      </c>
      <c r="P642" s="6" t="n">
        <v>-1.552593695817756</v>
      </c>
      <c r="Q642" s="6" t="n">
        <v>1.917147928911431</v>
      </c>
      <c r="R642" s="6" t="n">
        <v>-2.532882542443688</v>
      </c>
      <c r="S642" s="6" t="n">
        <v>-1.686317920141802</v>
      </c>
      <c r="T642" s="6" t="n">
        <v>-1.435442822500417</v>
      </c>
      <c r="U642" s="6" t="n">
        <v>1.041477661352462</v>
      </c>
      <c r="V642" s="6" t="n">
        <v>0.9081350672582692</v>
      </c>
      <c r="W642" s="6" t="n">
        <v>0.7722070132746258</v>
      </c>
      <c r="X642" s="6" t="n">
        <v>-0.5342348430057769</v>
      </c>
      <c r="Y642" s="6" t="n">
        <v>2.996824918647522</v>
      </c>
      <c r="Z642" s="6" t="n">
        <v>-0.2675605029645698</v>
      </c>
      <c r="AA642" s="6" t="n">
        <v>0.1071786954205691</v>
      </c>
      <c r="AB642" s="6" t="n">
        <v>-1.161700770144899</v>
      </c>
      <c r="AC642" s="6" t="n">
        <v>0.1662435727887676</v>
      </c>
      <c r="AD642" s="6" t="n">
        <v>0.8282739988528481</v>
      </c>
      <c r="AE642" s="6" t="n">
        <v>4.620689215869122</v>
      </c>
      <c r="AF642" s="6" t="n">
        <v>1.264349033004863</v>
      </c>
      <c r="AG642" s="6" t="n">
        <v>3.191015819706267</v>
      </c>
      <c r="AH642" s="6" t="n">
        <v>0.8895122667707445</v>
      </c>
      <c r="AI642" s="6" t="n">
        <v>1.485925315179325</v>
      </c>
      <c r="AJ642" s="6" t="n">
        <v>67.42376638812513</v>
      </c>
      <c r="AK642" s="6" t="n">
        <v>0.1285036411742087</v>
      </c>
      <c r="AL642" s="6" t="n">
        <v>1.072132045351527</v>
      </c>
      <c r="AN642" s="6" t="n">
        <v>1.336669568600581</v>
      </c>
      <c r="AO642" s="6" t="n">
        <v>1.336896096865654</v>
      </c>
      <c r="AP642" s="6" t="n">
        <v>0.1307176311225333</v>
      </c>
      <c r="AQ642" s="6" t="n">
        <v>0</v>
      </c>
      <c r="AR642" s="6" t="n">
        <v>0</v>
      </c>
    </row>
    <row r="643">
      <c r="D643" t="inlineStr">
        <is>
          <t>Run 331</t>
        </is>
      </c>
      <c r="J643" s="6" t="n">
        <v>1.380375161797293</v>
      </c>
      <c r="K643" s="6" t="n">
        <v>2.560460126372588</v>
      </c>
      <c r="L643" s="6" t="n">
        <v>0.2116771400665423</v>
      </c>
      <c r="M643" s="6" t="n">
        <v>-0.9148272080797468</v>
      </c>
      <c r="N643" s="6" t="n">
        <v>-0.5418915294919234</v>
      </c>
      <c r="O643" s="6" t="n">
        <v>0.4564116382347597</v>
      </c>
      <c r="P643" s="6" t="n">
        <v>-3.660744499934955</v>
      </c>
      <c r="Q643" s="6" t="n">
        <v>-0.8183924918966194</v>
      </c>
      <c r="R643" s="6" t="n">
        <v>-0.294159813545377</v>
      </c>
      <c r="S643" s="6" t="n">
        <v>-0.507431596804087</v>
      </c>
      <c r="T643" s="6" t="n">
        <v>-0.3889171881974949</v>
      </c>
      <c r="U643" s="6" t="n">
        <v>-0.05674112235402447</v>
      </c>
      <c r="V643" s="6" t="n">
        <v>1.520317643033459</v>
      </c>
      <c r="W643" s="6" t="n">
        <v>0.9587535601520507</v>
      </c>
      <c r="X643" s="6" t="n">
        <v>-1.477448021774065</v>
      </c>
      <c r="Y643" s="6" t="n">
        <v>0.588989304378793</v>
      </c>
      <c r="Z643" s="6" t="n">
        <v>-0.3992370729341541</v>
      </c>
      <c r="AA643" s="6" t="n">
        <v>4.071239118578275</v>
      </c>
      <c r="AB643" s="6" t="n">
        <v>1.19070197696393</v>
      </c>
      <c r="AC643" s="6" t="n">
        <v>-4.480009085813091</v>
      </c>
      <c r="AD643" s="6" t="n">
        <v>-1.403304980179364</v>
      </c>
      <c r="AE643" s="6" t="n">
        <v>4.083523263889158</v>
      </c>
      <c r="AF643" s="6" t="n">
        <v>2.073477521768593</v>
      </c>
      <c r="AG643" s="6" t="n">
        <v>0.4141251122133975</v>
      </c>
      <c r="AH643" s="6" t="n">
        <v>1.441601048608409</v>
      </c>
      <c r="AI643" s="6" t="n">
        <v>-1.020910612492148</v>
      </c>
      <c r="AJ643" s="6" t="n">
        <v>68.64886611608233</v>
      </c>
      <c r="AK643" s="6" t="n">
        <v>0.1278426670279985</v>
      </c>
      <c r="AL643" s="6" t="n">
        <v>1.027998951336916</v>
      </c>
      <c r="AN643" s="6" t="n">
        <v>1.348046452742097</v>
      </c>
      <c r="AO643" s="6" t="n">
        <v>1.348046452742097</v>
      </c>
      <c r="AP643" s="6" t="n">
        <v>0.1339848562317499</v>
      </c>
      <c r="AQ643" s="6" t="n">
        <v>0</v>
      </c>
      <c r="AR643" s="6" t="n">
        <v>0</v>
      </c>
    </row>
    <row r="644">
      <c r="D644" t="inlineStr">
        <is>
          <t>Run 332</t>
        </is>
      </c>
      <c r="J644" s="6" t="n">
        <v>2.149181574489715</v>
      </c>
      <c r="K644" s="6" t="n">
        <v>0.7004561849936706</v>
      </c>
      <c r="L644" s="6" t="n">
        <v>-1.084598588848871</v>
      </c>
      <c r="M644" s="6" t="n">
        <v>-0.05760406281968014</v>
      </c>
      <c r="N644" s="6" t="n">
        <v>1.851853619037931</v>
      </c>
      <c r="O644" s="6" t="n">
        <v>-0.123321417172334</v>
      </c>
      <c r="P644" s="6" t="n">
        <v>1.940600727778695</v>
      </c>
      <c r="Q644" s="6" t="n">
        <v>-0.06270564904195841</v>
      </c>
      <c r="R644" s="6" t="n">
        <v>1.638140517901403</v>
      </c>
      <c r="S644" s="6" t="n">
        <v>4.444423128257534</v>
      </c>
      <c r="T644" s="6" t="n">
        <v>1.342519820570905</v>
      </c>
      <c r="U644" s="6" t="n">
        <v>-0.6703703412179357</v>
      </c>
      <c r="V644" s="6" t="n">
        <v>-1.698434267587877</v>
      </c>
      <c r="W644" s="6" t="n">
        <v>-1.290097779774405</v>
      </c>
      <c r="X644" s="6" t="n">
        <v>-5.788207795142081</v>
      </c>
      <c r="Y644" s="6" t="n">
        <v>1.855446375190046</v>
      </c>
      <c r="Z644" s="6" t="n">
        <v>4.888808357669491</v>
      </c>
      <c r="AA644" s="6" t="n">
        <v>-1.065503054032603</v>
      </c>
      <c r="AB644" s="6" t="n">
        <v>1.071532264957639</v>
      </c>
      <c r="AC644" s="6" t="n">
        <v>-1.785117613671651</v>
      </c>
      <c r="AD644" s="6" t="n">
        <v>-2.815263304564822</v>
      </c>
      <c r="AE644" s="6" t="n">
        <v>0.6804093360165787</v>
      </c>
      <c r="AF644" s="6" t="n">
        <v>3.935522158593285</v>
      </c>
      <c r="AG644" s="6" t="n">
        <v>-1.552494696243493</v>
      </c>
      <c r="AH644" s="6" t="n">
        <v>-0.962592534502739</v>
      </c>
      <c r="AI644" s="6" t="n">
        <v>-0.9538978281965947</v>
      </c>
      <c r="AJ644" s="6" t="n">
        <v>81.2875686646082</v>
      </c>
      <c r="AK644" s="6" t="n">
        <v>0.1141276466933546</v>
      </c>
      <c r="AL644" s="6" t="n">
        <v>1.059565489596624</v>
      </c>
      <c r="AN644" s="6" t="n">
        <v>1.348378275366636</v>
      </c>
      <c r="AO644" s="6" t="n">
        <v>1.348689181382482</v>
      </c>
      <c r="AP644" s="6" t="n">
        <v>0.1323682374142732</v>
      </c>
      <c r="AQ644" s="6" t="n">
        <v>0</v>
      </c>
      <c r="AR644" s="6" t="n">
        <v>0</v>
      </c>
    </row>
    <row r="645">
      <c r="D645" t="inlineStr">
        <is>
          <t>Run 333</t>
        </is>
      </c>
      <c r="J645" s="6" t="n">
        <v>3.190088543354602</v>
      </c>
      <c r="K645" s="6" t="n">
        <v>-0.7698785006687419</v>
      </c>
      <c r="L645" s="6" t="n">
        <v>-0.513137687193735</v>
      </c>
      <c r="M645" s="6" t="n">
        <v>0.8525561195654423</v>
      </c>
      <c r="N645" s="6" t="n">
        <v>-1.541543811021056</v>
      </c>
      <c r="O645" s="6" t="n">
        <v>1.155245423592221</v>
      </c>
      <c r="P645" s="6" t="n">
        <v>-2.573580666700325</v>
      </c>
      <c r="Q645" s="6" t="n">
        <v>-2.672379514663222</v>
      </c>
      <c r="R645" s="6" t="n">
        <v>1.734279375007165</v>
      </c>
      <c r="S645" s="6" t="n">
        <v>-4.484890824318467</v>
      </c>
      <c r="T645" s="6" t="n">
        <v>2.838751959705038</v>
      </c>
      <c r="U645" s="6" t="n">
        <v>-2.301458898266727</v>
      </c>
      <c r="V645" s="6" t="n">
        <v>1.433985061461552</v>
      </c>
      <c r="W645" s="6" t="n">
        <v>-4.328904813665776</v>
      </c>
      <c r="X645" s="6" t="n">
        <v>3.092114473644914</v>
      </c>
      <c r="Y645" s="6" t="n">
        <v>3.198506309817745</v>
      </c>
      <c r="Z645" s="6" t="n">
        <v>1.234987146811334</v>
      </c>
      <c r="AA645" s="6" t="n">
        <v>-2.310679127592186</v>
      </c>
      <c r="AB645" s="6" t="n">
        <v>-0.021184827466596</v>
      </c>
      <c r="AC645" s="6" t="n">
        <v>-0.7557216692758234</v>
      </c>
      <c r="AD645" s="6" t="n">
        <v>-0.375934847505502</v>
      </c>
      <c r="AE645" s="6" t="n">
        <v>-2.683100032123941</v>
      </c>
      <c r="AF645" s="6" t="n">
        <v>1.535399624290609</v>
      </c>
      <c r="AG645" s="6" t="n">
        <v>1.823632237105614</v>
      </c>
      <c r="AH645" s="6" t="n">
        <v>-2.443068707655037</v>
      </c>
      <c r="AI645" s="6" t="n">
        <v>-0.8060470470698901</v>
      </c>
      <c r="AJ645" s="6" t="n">
        <v>77.47483745889424</v>
      </c>
      <c r="AK645" s="6" t="n">
        <v>0.154164093026787</v>
      </c>
      <c r="AL645" s="6" t="n">
        <v>1.085082144409235</v>
      </c>
      <c r="AN645" s="6" t="n">
        <v>1.330953183839024</v>
      </c>
      <c r="AO645" s="6" t="n">
        <v>1.331292094157671</v>
      </c>
      <c r="AP645" s="6" t="n">
        <v>0.1291057330179645</v>
      </c>
      <c r="AQ645" s="6" t="n">
        <v>0</v>
      </c>
      <c r="AR645" s="6" t="n">
        <v>0</v>
      </c>
    </row>
    <row r="646">
      <c r="D646" t="inlineStr">
        <is>
          <t>Run 334</t>
        </is>
      </c>
      <c r="J646" s="6" t="n">
        <v>-1.958686194897285</v>
      </c>
      <c r="K646" s="6" t="n">
        <v>-0.08619271823300113</v>
      </c>
      <c r="L646" s="6" t="n">
        <v>1.534343215742444</v>
      </c>
      <c r="M646" s="6" t="n">
        <v>-1.965862792050345</v>
      </c>
      <c r="N646" s="6" t="n">
        <v>0.3759069456104657</v>
      </c>
      <c r="O646" s="6" t="n">
        <v>-1.436104043733832</v>
      </c>
      <c r="P646" s="6" t="n">
        <v>0.3493862388776443</v>
      </c>
      <c r="Q646" s="6" t="n">
        <v>0.8870091243409235</v>
      </c>
      <c r="R646" s="6" t="n">
        <v>0.07624816369020654</v>
      </c>
      <c r="S646" s="6" t="n">
        <v>1.854826383592109</v>
      </c>
      <c r="T646" s="6" t="n">
        <v>0.9901497991893757</v>
      </c>
      <c r="U646" s="6" t="n">
        <v>-1.737697799293413</v>
      </c>
      <c r="V646" s="6" t="n">
        <v>-0.379384866860195</v>
      </c>
      <c r="W646" s="6" t="n">
        <v>0.001393819619881814</v>
      </c>
      <c r="X646" s="6" t="n">
        <v>0.06310990999291226</v>
      </c>
      <c r="Y646" s="6" t="n">
        <v>-0.07825453779862522</v>
      </c>
      <c r="Z646" s="6" t="n">
        <v>2.787722314275804</v>
      </c>
      <c r="AA646" s="6" t="n">
        <v>0.2591159778085726</v>
      </c>
      <c r="AB646" s="6" t="n">
        <v>0.2051202789961888</v>
      </c>
      <c r="AC646" s="6" t="n">
        <v>0.8986170567218073</v>
      </c>
      <c r="AD646" s="6" t="n">
        <v>1.545380033736177</v>
      </c>
      <c r="AE646" s="6" t="n">
        <v>-1.167063799437457</v>
      </c>
      <c r="AF646" s="6" t="n">
        <v>-3.006518350409453</v>
      </c>
      <c r="AG646" s="6" t="n">
        <v>3.021813020111428</v>
      </c>
      <c r="AH646" s="6" t="n">
        <v>4.01212541980712</v>
      </c>
      <c r="AI646" s="6" t="n">
        <v>-1.483832804507981</v>
      </c>
      <c r="AJ646" s="6" t="n">
        <v>67.48628587749336</v>
      </c>
      <c r="AK646" s="6" t="n">
        <v>0.120287391913059</v>
      </c>
      <c r="AL646" s="6" t="n">
        <v>1.025018174236309</v>
      </c>
      <c r="AN646" s="6" t="n">
        <v>1.3379653586276</v>
      </c>
      <c r="AO646" s="6" t="n">
        <v>1.344479320054063</v>
      </c>
      <c r="AP646" s="6" t="n">
        <v>0.134525527064819</v>
      </c>
      <c r="AQ646" s="6" t="n">
        <v>0</v>
      </c>
      <c r="AR646" s="6" t="n">
        <v>0</v>
      </c>
    </row>
    <row r="647">
      <c r="D647" t="inlineStr">
        <is>
          <t>Run 335</t>
        </is>
      </c>
      <c r="J647" s="6" t="n">
        <v>0.8032724018437205</v>
      </c>
      <c r="K647" s="6" t="n">
        <v>-0.07813270477884368</v>
      </c>
      <c r="L647" s="6" t="n">
        <v>2.871799042484224</v>
      </c>
      <c r="M647" s="6" t="n">
        <v>-0.4542972141538394</v>
      </c>
      <c r="N647" s="6" t="n">
        <v>-1.571516009803973</v>
      </c>
      <c r="O647" s="6" t="n">
        <v>0.03990284263104878</v>
      </c>
      <c r="P647" s="6" t="n">
        <v>-0.4822234827990486</v>
      </c>
      <c r="Q647" s="6" t="n">
        <v>0.07335553318871575</v>
      </c>
      <c r="R647" s="6" t="n">
        <v>-1.916618128385444</v>
      </c>
      <c r="S647" s="6" t="n">
        <v>-1.474237567717907</v>
      </c>
      <c r="T647" s="6" t="n">
        <v>0.2184832180115359</v>
      </c>
      <c r="U647" s="6" t="n">
        <v>-0.8355184021180633</v>
      </c>
      <c r="V647" s="6" t="n">
        <v>-0.3783826927057093</v>
      </c>
      <c r="W647" s="6" t="n">
        <v>-1.509642307481112</v>
      </c>
      <c r="X647" s="6" t="n">
        <v>0.7552561659428956</v>
      </c>
      <c r="Y647" s="6" t="n">
        <v>2.301111155070773</v>
      </c>
      <c r="Z647" s="6" t="n">
        <v>-2.177160725201905</v>
      </c>
      <c r="AA647" s="6" t="n">
        <v>-2.112679286215819</v>
      </c>
      <c r="AB647" s="6" t="n">
        <v>-0.951264223198778</v>
      </c>
      <c r="AC647" s="6" t="n">
        <v>0.5940408068710517</v>
      </c>
      <c r="AD647" s="6" t="n">
        <v>3.557410045937782</v>
      </c>
      <c r="AE647" s="6" t="n">
        <v>-0.3987112565252288</v>
      </c>
      <c r="AF647" s="6" t="n">
        <v>-1.003719664795242</v>
      </c>
      <c r="AG647" s="6" t="n">
        <v>1.256169970623153</v>
      </c>
      <c r="AH647" s="6" t="n">
        <v>1.859334458032447</v>
      </c>
      <c r="AI647" s="6" t="n">
        <v>-1.092091101575194</v>
      </c>
      <c r="AJ647" s="6" t="n">
        <v>77.14734416112036</v>
      </c>
      <c r="AK647" s="6" t="n">
        <v>0.1113538239636252</v>
      </c>
      <c r="AL647" s="6" t="n">
        <v>1.090425558888993</v>
      </c>
      <c r="AN647" s="6" t="n">
        <v>1.335515198981574</v>
      </c>
      <c r="AO647" s="6" t="n">
        <v>1.335780926857066</v>
      </c>
      <c r="AP647" s="6" t="n">
        <v>0.1302926612211113</v>
      </c>
      <c r="AQ647" s="6" t="n">
        <v>0</v>
      </c>
      <c r="AR647" s="6" t="n">
        <v>0</v>
      </c>
    </row>
    <row r="648">
      <c r="D648" t="inlineStr">
        <is>
          <t>Run 336</t>
        </is>
      </c>
      <c r="J648" s="6" t="n">
        <v>1.867046484838445</v>
      </c>
      <c r="K648" s="6" t="n">
        <v>-2.667782494273509</v>
      </c>
      <c r="L648" s="6" t="n">
        <v>-0.2769205221397532</v>
      </c>
      <c r="M648" s="6" t="n">
        <v>-2.574821326660474</v>
      </c>
      <c r="N648" s="6" t="n">
        <v>1.967592801924417</v>
      </c>
      <c r="O648" s="6" t="n">
        <v>0.3283639904386004</v>
      </c>
      <c r="P648" s="6" t="n">
        <v>-0.2909505884516144</v>
      </c>
      <c r="Q648" s="6" t="n">
        <v>-1.588752035195288</v>
      </c>
      <c r="R648" s="6" t="n">
        <v>0.939533645472801</v>
      </c>
      <c r="S648" s="6" t="n">
        <v>-0.3579434347147671</v>
      </c>
      <c r="T648" s="6" t="n">
        <v>2.301934825462074</v>
      </c>
      <c r="U648" s="6" t="n">
        <v>1.589000243877271</v>
      </c>
      <c r="V648" s="6" t="n">
        <v>-0.9311562990156749</v>
      </c>
      <c r="W648" s="6" t="n">
        <v>0.6208315683301745</v>
      </c>
      <c r="X648" s="6" t="n">
        <v>1.600204578735432</v>
      </c>
      <c r="Y648" s="6" t="n">
        <v>-3.298473912744244</v>
      </c>
      <c r="Z648" s="6" t="n">
        <v>2.750962283014381</v>
      </c>
      <c r="AA648" s="6" t="n">
        <v>-2.304728302636018</v>
      </c>
      <c r="AB648" s="6" t="n">
        <v>1.927126228484432</v>
      </c>
      <c r="AC648" s="6" t="n">
        <v>0.3967032092488164</v>
      </c>
      <c r="AD648" s="6" t="n">
        <v>2.360216587723315</v>
      </c>
      <c r="AE648" s="6" t="n">
        <v>-0.3261369021228613</v>
      </c>
      <c r="AF648" s="6" t="n">
        <v>-2.750290105833267</v>
      </c>
      <c r="AG648" s="6" t="n">
        <v>2.29693783559576</v>
      </c>
      <c r="AH648" s="6" t="n">
        <v>1.05011449211841</v>
      </c>
      <c r="AI648" s="6" t="n">
        <v>-1.46514587455711</v>
      </c>
      <c r="AJ648" s="6" t="n">
        <v>71.32454196442214</v>
      </c>
      <c r="AK648" s="6" t="n">
        <v>0.1576057557392029</v>
      </c>
      <c r="AL648" s="6" t="n">
        <v>1.040355778554085</v>
      </c>
      <c r="AN648" s="6" t="n">
        <v>1.32356841292581</v>
      </c>
      <c r="AO648" s="6" t="n">
        <v>1.33241193378209</v>
      </c>
      <c r="AP648" s="6" t="n">
        <v>0.1319743515002399</v>
      </c>
      <c r="AQ648" s="6" t="n">
        <v>0</v>
      </c>
      <c r="AR648" s="6" t="n">
        <v>0</v>
      </c>
    </row>
    <row r="649">
      <c r="D649" t="inlineStr">
        <is>
          <t>Run 337</t>
        </is>
      </c>
      <c r="J649" s="6" t="n">
        <v>-3.032678317705079</v>
      </c>
      <c r="K649" s="6" t="n">
        <v>-0.7910976199003802</v>
      </c>
      <c r="L649" s="6" t="n">
        <v>1.560059595255746</v>
      </c>
      <c r="M649" s="6" t="n">
        <v>3.176432863234639</v>
      </c>
      <c r="N649" s="6" t="n">
        <v>-0.1573686202241991</v>
      </c>
      <c r="O649" s="6" t="n">
        <v>2.382611622421021</v>
      </c>
      <c r="P649" s="6" t="n">
        <v>-5.206213439218009</v>
      </c>
      <c r="Q649" s="6" t="n">
        <v>1.423554589050734</v>
      </c>
      <c r="R649" s="6" t="n">
        <v>3.516175517875284</v>
      </c>
      <c r="S649" s="6" t="n">
        <v>-2.473357439085734</v>
      </c>
      <c r="T649" s="6" t="n">
        <v>0.2037886022080283</v>
      </c>
      <c r="U649" s="6" t="n">
        <v>2.060465683272262</v>
      </c>
      <c r="V649" s="6" t="n">
        <v>1.786960091539771</v>
      </c>
      <c r="W649" s="6" t="n">
        <v>-1.853329679915781</v>
      </c>
      <c r="X649" s="6" t="n">
        <v>2.943519639148938</v>
      </c>
      <c r="Y649" s="6" t="n">
        <v>0.5920923492942501</v>
      </c>
      <c r="Z649" s="6" t="n">
        <v>-1.575499925578655</v>
      </c>
      <c r="AA649" s="6" t="n">
        <v>1.380535809427781</v>
      </c>
      <c r="AB649" s="6" t="n">
        <v>1.89330168436479</v>
      </c>
      <c r="AC649" s="6" t="n">
        <v>-1.211307122381262</v>
      </c>
      <c r="AD649" s="6" t="n">
        <v>-0.6476179949239015</v>
      </c>
      <c r="AE649" s="6" t="n">
        <v>1.445153596360498</v>
      </c>
      <c r="AF649" s="6" t="n">
        <v>-0.8976133429646103</v>
      </c>
      <c r="AG649" s="6" t="n">
        <v>-2.512049606746603</v>
      </c>
      <c r="AH649" s="6" t="n">
        <v>-2.68993340417358</v>
      </c>
      <c r="AI649" s="6" t="n">
        <v>-1.806777822208311</v>
      </c>
      <c r="AJ649" s="6" t="n">
        <v>68.32617672320507</v>
      </c>
      <c r="AK649" s="6" t="n">
        <v>0.08326613957571059</v>
      </c>
      <c r="AL649" s="6" t="n">
        <v>1.081647402488116</v>
      </c>
      <c r="AN649" s="6" t="n">
        <v>1.335649656088109</v>
      </c>
      <c r="AO649" s="6" t="n">
        <v>1.336567146716314</v>
      </c>
      <c r="AP649" s="6" t="n">
        <v>0.1307857480659952</v>
      </c>
      <c r="AQ649" s="6" t="n">
        <v>0</v>
      </c>
      <c r="AR649" s="6" t="n">
        <v>0</v>
      </c>
    </row>
    <row r="650">
      <c r="D650" t="inlineStr">
        <is>
          <t>Run 338</t>
        </is>
      </c>
      <c r="J650" s="6" t="n">
        <v>1.515563778735823</v>
      </c>
      <c r="K650" s="6" t="n">
        <v>1.934543789139251</v>
      </c>
      <c r="L650" s="6" t="n">
        <v>1.598253677347506</v>
      </c>
      <c r="M650" s="6" t="n">
        <v>2.272225879295412</v>
      </c>
      <c r="N650" s="6" t="n">
        <v>2.238914918258044</v>
      </c>
      <c r="O650" s="6" t="n">
        <v>-0.3955896410246743</v>
      </c>
      <c r="P650" s="6" t="n">
        <v>4.378757577458688</v>
      </c>
      <c r="Q650" s="6" t="n">
        <v>-1.807232199806658</v>
      </c>
      <c r="R650" s="6" t="n">
        <v>-0.6927023700926574</v>
      </c>
      <c r="S650" s="6" t="n">
        <v>1.032427119305597</v>
      </c>
      <c r="T650" s="6" t="n">
        <v>1.819846487026234</v>
      </c>
      <c r="U650" s="6" t="n">
        <v>5</v>
      </c>
      <c r="V650" s="6" t="n">
        <v>0.1408360848837053</v>
      </c>
      <c r="W650" s="6" t="n">
        <v>-0.2822256967621976</v>
      </c>
      <c r="X650" s="6" t="n">
        <v>2.370094982971741</v>
      </c>
      <c r="Y650" s="6" t="n">
        <v>0.6465673960717331</v>
      </c>
      <c r="Z650" s="6" t="n">
        <v>0.35639643175089</v>
      </c>
      <c r="AA650" s="6" t="n">
        <v>2.295300498218594</v>
      </c>
      <c r="AB650" s="6" t="n">
        <v>-2.667194370425553</v>
      </c>
      <c r="AC650" s="6" t="n">
        <v>0.212689301547712</v>
      </c>
      <c r="AD650" s="6" t="n">
        <v>-0.4666701937243963</v>
      </c>
      <c r="AE650" s="6" t="n">
        <v>1.014690515262368</v>
      </c>
      <c r="AF650" s="6" t="n">
        <v>1.488579518391124</v>
      </c>
      <c r="AG650" s="6" t="n">
        <v>-2.962883147726759</v>
      </c>
      <c r="AH650" s="6" t="n">
        <v>-4.3556063428142</v>
      </c>
      <c r="AI650" s="6" t="n">
        <v>-0.2576068872030586</v>
      </c>
      <c r="AJ650" s="6" t="n">
        <v>77.90359660748503</v>
      </c>
      <c r="AK650" s="6" t="n">
        <v>0.1615180472384605</v>
      </c>
      <c r="AL650" s="6" t="n">
        <v>1.035789467535572</v>
      </c>
      <c r="AN650" s="6" t="n">
        <v>1.350212817797489</v>
      </c>
      <c r="AO650" s="6" t="n">
        <v>1.350218346370553</v>
      </c>
      <c r="AP650" s="6" t="n">
        <v>0.1328724317400304</v>
      </c>
      <c r="AQ650" s="6" t="n">
        <v>0</v>
      </c>
      <c r="AR650" s="6" t="n">
        <v>0</v>
      </c>
    </row>
    <row r="651">
      <c r="D651" t="inlineStr">
        <is>
          <t>Run 339</t>
        </is>
      </c>
      <c r="J651" s="6" t="n">
        <v>-1.298950651377882</v>
      </c>
      <c r="K651" s="6" t="n">
        <v>-0.6081150940661378</v>
      </c>
      <c r="L651" s="6" t="n">
        <v>-0.574224708247308</v>
      </c>
      <c r="M651" s="6" t="n">
        <v>0.5107415959283935</v>
      </c>
      <c r="N651" s="6" t="n">
        <v>-0.7559532684725948</v>
      </c>
      <c r="O651" s="6" t="n">
        <v>0.1648052534358471</v>
      </c>
      <c r="P651" s="6" t="n">
        <v>-2.910162654089386</v>
      </c>
      <c r="Q651" s="6" t="n">
        <v>-3.274862260184497</v>
      </c>
      <c r="R651" s="6" t="n">
        <v>-1.226807968441242</v>
      </c>
      <c r="S651" s="6" t="n">
        <v>3.042519811544151</v>
      </c>
      <c r="T651" s="6" t="n">
        <v>0.3558711737839904</v>
      </c>
      <c r="U651" s="6" t="n">
        <v>1.265164126467246</v>
      </c>
      <c r="V651" s="6" t="n">
        <v>2.283562891205942</v>
      </c>
      <c r="W651" s="6" t="n">
        <v>-2.925616070449859</v>
      </c>
      <c r="X651" s="6" t="n">
        <v>0.4143915528543898</v>
      </c>
      <c r="Y651" s="6" t="n">
        <v>-1.306783509102874</v>
      </c>
      <c r="Z651" s="6" t="n">
        <v>-5.911142576283171</v>
      </c>
      <c r="AA651" s="6" t="n">
        <v>2.548076240541439</v>
      </c>
      <c r="AB651" s="6" t="n">
        <v>0.1723286614485973</v>
      </c>
      <c r="AC651" s="6" t="n">
        <v>-0.5803202881413249</v>
      </c>
      <c r="AD651" s="6" t="n">
        <v>2.822105053018577</v>
      </c>
      <c r="AE651" s="6" t="n">
        <v>2.856586715316508</v>
      </c>
      <c r="AF651" s="6" t="n">
        <v>-2.833424121665967</v>
      </c>
      <c r="AG651" s="6" t="n">
        <v>-4.327942791247452</v>
      </c>
      <c r="AH651" s="6" t="n">
        <v>-1.994752060216271</v>
      </c>
      <c r="AI651" s="6" t="n">
        <v>2.6145984320766</v>
      </c>
      <c r="AJ651" s="6" t="n">
        <v>72.9384372812321</v>
      </c>
      <c r="AK651" s="6" t="n">
        <v>0.1187264106859074</v>
      </c>
      <c r="AL651" s="6" t="n">
        <v>1.033295019834061</v>
      </c>
      <c r="AN651" s="6" t="n">
        <v>1.352719224656001</v>
      </c>
      <c r="AO651" s="6" t="n">
        <v>1.352719224656001</v>
      </c>
      <c r="AP651" s="6" t="n">
        <v>0.1336526727033069</v>
      </c>
      <c r="AQ651" s="6" t="n">
        <v>0</v>
      </c>
      <c r="AR651" s="6" t="n">
        <v>0</v>
      </c>
    </row>
    <row r="652">
      <c r="D652" t="inlineStr">
        <is>
          <t>Run 340</t>
        </is>
      </c>
      <c r="J652" s="6" t="n">
        <v>2.036675285160593</v>
      </c>
      <c r="K652" s="6" t="n">
        <v>-1.392550224555643</v>
      </c>
      <c r="L652" s="6" t="n">
        <v>-1.832589611358237</v>
      </c>
      <c r="M652" s="6" t="n">
        <v>0.06966188492752338</v>
      </c>
      <c r="N652" s="6" t="n">
        <v>-0.6633903724168642</v>
      </c>
      <c r="O652" s="6" t="n">
        <v>-1.105025973812458</v>
      </c>
      <c r="P652" s="6" t="n">
        <v>0.8186549844144122</v>
      </c>
      <c r="Q652" s="6" t="n">
        <v>-0.1029849106679809</v>
      </c>
      <c r="R652" s="6" t="n">
        <v>-3.981655197313288</v>
      </c>
      <c r="S652" s="6" t="n">
        <v>1.26958443705204</v>
      </c>
      <c r="T652" s="6" t="n">
        <v>-2.104361727349191</v>
      </c>
      <c r="U652" s="6" t="n">
        <v>1.163138548918667</v>
      </c>
      <c r="V652" s="6" t="n">
        <v>-4.295614140866646</v>
      </c>
      <c r="W652" s="6" t="n">
        <v>0.3721593940617554</v>
      </c>
      <c r="X652" s="6" t="n">
        <v>2.873869990202833</v>
      </c>
      <c r="Y652" s="6" t="n">
        <v>-1.545840636655649</v>
      </c>
      <c r="Z652" s="6" t="n">
        <v>-1.256616549559163</v>
      </c>
      <c r="AA652" s="6" t="n">
        <v>1.026182252812766</v>
      </c>
      <c r="AB652" s="6" t="n">
        <v>0.6929773934090867</v>
      </c>
      <c r="AC652" s="6" t="n">
        <v>-1.680745512548994</v>
      </c>
      <c r="AD652" s="6" t="n">
        <v>-0.4523317386329739</v>
      </c>
      <c r="AE652" s="6" t="n">
        <v>0.940776696592718</v>
      </c>
      <c r="AF652" s="6" t="n">
        <v>1.612312074847162</v>
      </c>
      <c r="AG652" s="6" t="n">
        <v>-0.6100068302659057</v>
      </c>
      <c r="AH652" s="6" t="n">
        <v>1.126764584626316</v>
      </c>
      <c r="AI652" s="6" t="n">
        <v>0.04029013828045345</v>
      </c>
      <c r="AJ652" s="6" t="n">
        <v>77.64517916896351</v>
      </c>
      <c r="AK652" s="6" t="n">
        <v>0.1583039900705554</v>
      </c>
      <c r="AL652" s="6" t="n">
        <v>1.043496043382464</v>
      </c>
      <c r="AN652" s="6" t="n">
        <v>1.350336609093016</v>
      </c>
      <c r="AO652" s="6" t="n">
        <v>1.350561138416333</v>
      </c>
      <c r="AP652" s="6" t="n">
        <v>0.132504049037194</v>
      </c>
      <c r="AQ652" s="6" t="n">
        <v>0</v>
      </c>
      <c r="AR652" s="6" t="n">
        <v>0</v>
      </c>
    </row>
    <row r="653">
      <c r="D653" t="inlineStr">
        <is>
          <t>Run 341</t>
        </is>
      </c>
      <c r="J653" s="6" t="n">
        <v>3.453704033800396</v>
      </c>
      <c r="K653" s="6" t="n">
        <v>1.700630727946935</v>
      </c>
      <c r="L653" s="6" t="n">
        <v>2.684316644226914</v>
      </c>
      <c r="M653" s="6" t="n">
        <v>-3.246880476798223</v>
      </c>
      <c r="N653" s="6" t="n">
        <v>-0.6234787499376389</v>
      </c>
      <c r="O653" s="6" t="n">
        <v>2.013985006253426</v>
      </c>
      <c r="P653" s="6" t="n">
        <v>0.9853345020411588</v>
      </c>
      <c r="Q653" s="6" t="n">
        <v>-1.050995513352067</v>
      </c>
      <c r="R653" s="6" t="n">
        <v>1.857181916391626</v>
      </c>
      <c r="S653" s="6" t="n">
        <v>-0.8749742820381904</v>
      </c>
      <c r="T653" s="6" t="n">
        <v>3.244272351127357</v>
      </c>
      <c r="U653" s="6" t="n">
        <v>-2.371251417850806</v>
      </c>
      <c r="V653" s="6" t="n">
        <v>0.1459474118290435</v>
      </c>
      <c r="W653" s="6" t="n">
        <v>-0.7693820321845164</v>
      </c>
      <c r="X653" s="6" t="n">
        <v>0.1486026528021927</v>
      </c>
      <c r="Y653" s="6" t="n">
        <v>2.802089655367897</v>
      </c>
      <c r="Z653" s="6" t="n">
        <v>0.8263080510369064</v>
      </c>
      <c r="AA653" s="6" t="n">
        <v>4.642986170598227</v>
      </c>
      <c r="AB653" s="6" t="n">
        <v>-3.035424990053713</v>
      </c>
      <c r="AC653" s="6" t="n">
        <v>0.2250360597960928</v>
      </c>
      <c r="AD653" s="6" t="n">
        <v>-2.480309127083815</v>
      </c>
      <c r="AE653" s="6" t="n">
        <v>-2.593275009951588</v>
      </c>
      <c r="AF653" s="6" t="n">
        <v>0.2631482847736968</v>
      </c>
      <c r="AG653" s="6" t="n">
        <v>-0.1063732260694309</v>
      </c>
      <c r="AH653" s="6" t="n">
        <v>-1.043892257703397</v>
      </c>
      <c r="AI653" s="6" t="n">
        <v>-1.301208701573209</v>
      </c>
      <c r="AJ653" s="6" t="n">
        <v>79.22230825535654</v>
      </c>
      <c r="AK653" s="6" t="n">
        <v>0.1775400732509694</v>
      </c>
      <c r="AL653" s="6" t="n">
        <v>1.031997188402174</v>
      </c>
      <c r="AN653" s="6" t="n">
        <v>1.318378346286246</v>
      </c>
      <c r="AO653" s="6" t="n">
        <v>1.326612459078895</v>
      </c>
      <c r="AP653" s="6" t="n">
        <v>0.1328927570587112</v>
      </c>
      <c r="AQ653" s="6" t="n">
        <v>0</v>
      </c>
      <c r="AR653" s="6" t="n">
        <v>0</v>
      </c>
    </row>
    <row r="654">
      <c r="D654" t="inlineStr">
        <is>
          <t>Run 342</t>
        </is>
      </c>
      <c r="J654" s="6" t="n">
        <v>-1.415280436932018</v>
      </c>
      <c r="K654" s="6" t="n">
        <v>-2.227219752123553</v>
      </c>
      <c r="L654" s="6" t="n">
        <v>-0.7964355599537968</v>
      </c>
      <c r="M654" s="6" t="n">
        <v>1.459561950799986</v>
      </c>
      <c r="N654" s="6" t="n">
        <v>2.145754457731561</v>
      </c>
      <c r="O654" s="6" t="n">
        <v>-6.429837085599409</v>
      </c>
      <c r="P654" s="6" t="n">
        <v>-1.623846554430465</v>
      </c>
      <c r="Q654" s="6" t="n">
        <v>-3.425808085386306</v>
      </c>
      <c r="R654" s="6" t="n">
        <v>-1.436859739027869</v>
      </c>
      <c r="S654" s="6" t="n">
        <v>-1.389347437952367</v>
      </c>
      <c r="T654" s="6" t="n">
        <v>-1.813810996711152</v>
      </c>
      <c r="U654" s="6" t="n">
        <v>0.9650073688999343</v>
      </c>
      <c r="V654" s="6" t="n">
        <v>-3.46513005776691</v>
      </c>
      <c r="W654" s="6" t="n">
        <v>1.808728211009774</v>
      </c>
      <c r="X654" s="6" t="n">
        <v>-0.466858785287597</v>
      </c>
      <c r="Y654" s="6" t="n">
        <v>-0.3812060104537374</v>
      </c>
      <c r="Z654" s="6" t="n">
        <v>1.955175240865789</v>
      </c>
      <c r="AA654" s="6" t="n">
        <v>-0.3895388280939129</v>
      </c>
      <c r="AB654" s="6" t="n">
        <v>1.976475349599873</v>
      </c>
      <c r="AC654" s="6" t="n">
        <v>2.985546198725924</v>
      </c>
      <c r="AD654" s="6" t="n">
        <v>3.346901995339592</v>
      </c>
      <c r="AE654" s="6" t="n">
        <v>2.037161430124582</v>
      </c>
      <c r="AF654" s="6" t="n">
        <v>2.447052513057447</v>
      </c>
      <c r="AG654" s="6" t="n">
        <v>-1.612507829755087</v>
      </c>
      <c r="AH654" s="6" t="n">
        <v>0.5267769554051457</v>
      </c>
      <c r="AI654" s="6" t="n">
        <v>-1.338473460856684</v>
      </c>
      <c r="AJ654" s="6" t="n">
        <v>75.64867810548589</v>
      </c>
      <c r="AK654" s="6" t="n">
        <v>0.1439280032833196</v>
      </c>
      <c r="AL654" s="6" t="n">
        <v>1.042868216200993</v>
      </c>
      <c r="AN654" s="6" t="n">
        <v>1.303925586162321</v>
      </c>
      <c r="AO654" s="6" t="n">
        <v>1.309757645929055</v>
      </c>
      <c r="AP654" s="6" t="n">
        <v>0.1320823775913009</v>
      </c>
      <c r="AQ654" s="6" t="n">
        <v>0</v>
      </c>
      <c r="AR654" s="6" t="n">
        <v>0</v>
      </c>
    </row>
    <row r="655">
      <c r="D655" t="inlineStr">
        <is>
          <t>Run 343</t>
        </is>
      </c>
      <c r="J655" s="6" t="n">
        <v>-0.5428984694850797</v>
      </c>
      <c r="K655" s="6" t="n">
        <v>1.868311529904998</v>
      </c>
      <c r="L655" s="6" t="n">
        <v>-0.7979546724978671</v>
      </c>
      <c r="M655" s="6" t="n">
        <v>0.2321170362376928</v>
      </c>
      <c r="N655" s="6" t="n">
        <v>0.2739362599622494</v>
      </c>
      <c r="O655" s="6" t="n">
        <v>0.7269052996200274</v>
      </c>
      <c r="P655" s="6" t="n">
        <v>1.380964543033226</v>
      </c>
      <c r="Q655" s="6" t="n">
        <v>3.066819799030635</v>
      </c>
      <c r="R655" s="6" t="n">
        <v>-2.925557504050402</v>
      </c>
      <c r="S655" s="6" t="n">
        <v>-1.597000150379441</v>
      </c>
      <c r="T655" s="6" t="n">
        <v>-0.5906505108963429</v>
      </c>
      <c r="U655" s="6" t="n">
        <v>-2.954695377894034</v>
      </c>
      <c r="V655" s="6" t="n">
        <v>0.7204454935474108</v>
      </c>
      <c r="W655" s="6" t="n">
        <v>3.424035405880587</v>
      </c>
      <c r="X655" s="6" t="n">
        <v>0.9862225584972368</v>
      </c>
      <c r="Y655" s="6" t="n">
        <v>3.094523311044125</v>
      </c>
      <c r="Z655" s="6" t="n">
        <v>0.9732688734436247</v>
      </c>
      <c r="AA655" s="6" t="n">
        <v>1.197038837191616</v>
      </c>
      <c r="AB655" s="6" t="n">
        <v>-1.410181271596743</v>
      </c>
      <c r="AC655" s="6" t="n">
        <v>0.1312918237676856</v>
      </c>
      <c r="AD655" s="6" t="n">
        <v>-2.475371614606826</v>
      </c>
      <c r="AE655" s="6" t="n">
        <v>0.007275277870941553</v>
      </c>
      <c r="AF655" s="6" t="n">
        <v>-1.784736937194593</v>
      </c>
      <c r="AG655" s="6" t="n">
        <v>2.533031477117661</v>
      </c>
      <c r="AH655" s="6" t="n">
        <v>2.767629014758791</v>
      </c>
      <c r="AI655" s="6" t="n">
        <v>-0.3388085824599522</v>
      </c>
      <c r="AJ655" s="6" t="n">
        <v>78.86913036795178</v>
      </c>
      <c r="AK655" s="6" t="n">
        <v>0.1028093557330284</v>
      </c>
      <c r="AL655" s="6" t="n">
        <v>1.026599791628627</v>
      </c>
      <c r="AN655" s="6" t="n">
        <v>1.355078006992084</v>
      </c>
      <c r="AO655" s="6" t="n">
        <v>1.355560379391307</v>
      </c>
      <c r="AP655" s="6" t="n">
        <v>0.1359659822935511</v>
      </c>
      <c r="AQ655" s="6" t="n">
        <v>0</v>
      </c>
      <c r="AR655" s="6" t="n">
        <v>0</v>
      </c>
    </row>
    <row r="656">
      <c r="D656" t="inlineStr">
        <is>
          <t>Run 344</t>
        </is>
      </c>
      <c r="J656" s="6" t="n">
        <v>0.132967798925957</v>
      </c>
      <c r="K656" s="6" t="n">
        <v>3.448574486684891</v>
      </c>
      <c r="L656" s="6" t="n">
        <v>2.791812615494393</v>
      </c>
      <c r="M656" s="6" t="n">
        <v>0.762956501630131</v>
      </c>
      <c r="N656" s="6" t="n">
        <v>4.591410414945946</v>
      </c>
      <c r="O656" s="6" t="n">
        <v>2.0226102576633</v>
      </c>
      <c r="P656" s="6" t="n">
        <v>-1.051953134610668</v>
      </c>
      <c r="Q656" s="6" t="n">
        <v>1.765014037097006</v>
      </c>
      <c r="R656" s="6" t="n">
        <v>-1.973362394843183</v>
      </c>
      <c r="S656" s="6" t="n">
        <v>2.047138110156473</v>
      </c>
      <c r="T656" s="6" t="n">
        <v>-0.03139396733285688</v>
      </c>
      <c r="U656" s="6" t="n">
        <v>3.697887266948508</v>
      </c>
      <c r="V656" s="6" t="n">
        <v>-0.6842689842313898</v>
      </c>
      <c r="W656" s="6" t="n">
        <v>-2.030501382521255</v>
      </c>
      <c r="X656" s="6" t="n">
        <v>-0.9165997600722573</v>
      </c>
      <c r="Y656" s="6" t="n">
        <v>-2.579283203788048</v>
      </c>
      <c r="Z656" s="6" t="n">
        <v>2.343410400005219</v>
      </c>
      <c r="AA656" s="6" t="n">
        <v>0.5232596268999186</v>
      </c>
      <c r="AB656" s="6" t="n">
        <v>-0.5490436101648346</v>
      </c>
      <c r="AC656" s="6" t="n">
        <v>-2.246391660741748</v>
      </c>
      <c r="AD656" s="6" t="n">
        <v>1.358917648869882</v>
      </c>
      <c r="AE656" s="6" t="n">
        <v>-0.1998239295423714</v>
      </c>
      <c r="AF656" s="6" t="n">
        <v>3.502924053064749</v>
      </c>
      <c r="AG656" s="6" t="n">
        <v>-3.791221571543321</v>
      </c>
      <c r="AH656" s="6" t="n">
        <v>-0.3019582714820633</v>
      </c>
      <c r="AI656" s="6" t="n">
        <v>1.626821402040446</v>
      </c>
      <c r="AJ656" s="6" t="n">
        <v>74.29024185313729</v>
      </c>
      <c r="AK656" s="6" t="n">
        <v>0.1105545096558481</v>
      </c>
      <c r="AL656" s="6" t="n">
        <v>1.031777279136342</v>
      </c>
      <c r="AN656" s="6" t="n">
        <v>1.351165447301139</v>
      </c>
      <c r="AO656" s="6" t="n">
        <v>1.351495592342472</v>
      </c>
      <c r="AP656" s="6" t="n">
        <v>0.1345660575005297</v>
      </c>
      <c r="AQ656" s="6" t="n">
        <v>0</v>
      </c>
      <c r="AR656" s="6" t="n">
        <v>0</v>
      </c>
    </row>
    <row r="657">
      <c r="D657" t="inlineStr">
        <is>
          <t>Run 345</t>
        </is>
      </c>
      <c r="J657" s="6" t="n">
        <v>0.950396047110742</v>
      </c>
      <c r="K657" s="6" t="n">
        <v>-1.852352769315504</v>
      </c>
      <c r="L657" s="6" t="n">
        <v>0.6746894718960504</v>
      </c>
      <c r="M657" s="6" t="n">
        <v>-0.6708623376938478</v>
      </c>
      <c r="N657" s="6" t="n">
        <v>-5.162000587903665</v>
      </c>
      <c r="O657" s="6" t="n">
        <v>-2.871216408847991</v>
      </c>
      <c r="P657" s="6" t="n">
        <v>-0.06334446553118392</v>
      </c>
      <c r="Q657" s="6" t="n">
        <v>-2.412620156868067</v>
      </c>
      <c r="R657" s="6" t="n">
        <v>-0.6303419924113047</v>
      </c>
      <c r="S657" s="6" t="n">
        <v>-1.501403612261966</v>
      </c>
      <c r="T657" s="6" t="n">
        <v>-0.1506259509721027</v>
      </c>
      <c r="U657" s="6" t="n">
        <v>-2.313996087278092</v>
      </c>
      <c r="V657" s="6" t="n">
        <v>-2.218893142900099</v>
      </c>
      <c r="W657" s="6" t="n">
        <v>-2.671348905936761</v>
      </c>
      <c r="X657" s="6" t="n">
        <v>1.861804025947595</v>
      </c>
      <c r="Y657" s="6" t="n">
        <v>2.576323374306513</v>
      </c>
      <c r="Z657" s="6" t="n">
        <v>-2.393787844081398</v>
      </c>
      <c r="AA657" s="6" t="n">
        <v>1.571745361017937</v>
      </c>
      <c r="AB657" s="6" t="n">
        <v>1.445107021165483</v>
      </c>
      <c r="AC657" s="6" t="n">
        <v>-2.878076870169422</v>
      </c>
      <c r="AD657" s="6" t="n">
        <v>-0.1910832917197867</v>
      </c>
      <c r="AE657" s="6" t="n">
        <v>0.265656203945917</v>
      </c>
      <c r="AF657" s="6" t="n">
        <v>-1.647581906530658</v>
      </c>
      <c r="AG657" s="6" t="n">
        <v>-0.1619994164617582</v>
      </c>
      <c r="AH657" s="6" t="n">
        <v>1.884589938501605</v>
      </c>
      <c r="AI657" s="6" t="n">
        <v>1.648160180492747</v>
      </c>
      <c r="AJ657" s="6" t="n">
        <v>77.3226744746251</v>
      </c>
      <c r="AK657" s="6" t="n">
        <v>0.1705065629372346</v>
      </c>
      <c r="AL657" s="6" t="n">
        <v>1.076905995209849</v>
      </c>
      <c r="AN657" s="6" t="n">
        <v>1.321985610019313</v>
      </c>
      <c r="AO657" s="6" t="n">
        <v>1.322461025554853</v>
      </c>
      <c r="AP657" s="6" t="n">
        <v>0.1290361898590351</v>
      </c>
      <c r="AQ657" s="6" t="n">
        <v>0</v>
      </c>
      <c r="AR657" s="6" t="n">
        <v>0</v>
      </c>
    </row>
    <row r="658">
      <c r="D658" t="inlineStr">
        <is>
          <t>Run 346</t>
        </is>
      </c>
      <c r="J658" s="6" t="n">
        <v>2.835751762331676</v>
      </c>
      <c r="K658" s="6" t="n">
        <v>-1.562081650456466</v>
      </c>
      <c r="L658" s="6" t="n">
        <v>0.7285052466111004</v>
      </c>
      <c r="M658" s="6" t="n">
        <v>-2.068411648185326</v>
      </c>
      <c r="N658" s="6" t="n">
        <v>0.5872142114884211</v>
      </c>
      <c r="O658" s="6" t="n">
        <v>2.691467885843823</v>
      </c>
      <c r="P658" s="6" t="n">
        <v>-1.830318692929307</v>
      </c>
      <c r="Q658" s="6" t="n">
        <v>-1.708393079099778</v>
      </c>
      <c r="R658" s="6" t="n">
        <v>-0.3948940191119306</v>
      </c>
      <c r="S658" s="6" t="n">
        <v>0.05289855481759195</v>
      </c>
      <c r="T658" s="6" t="n">
        <v>-1.319496946621914</v>
      </c>
      <c r="U658" s="6" t="n">
        <v>1.471065003186526</v>
      </c>
      <c r="V658" s="6" t="n">
        <v>1.469529225602178</v>
      </c>
      <c r="W658" s="6" t="n">
        <v>2.042931297618516</v>
      </c>
      <c r="X658" s="6" t="n">
        <v>-2.522574326755542</v>
      </c>
      <c r="Y658" s="6" t="n">
        <v>-3.813003389428828</v>
      </c>
      <c r="Z658" s="6" t="n">
        <v>4.459260257709952</v>
      </c>
      <c r="AA658" s="6" t="n">
        <v>1.694537039032597</v>
      </c>
      <c r="AB658" s="6" t="n">
        <v>-1.533051680700648</v>
      </c>
      <c r="AC658" s="6" t="n">
        <v>-1.259901564206588</v>
      </c>
      <c r="AD658" s="6" t="n">
        <v>-3.360307376031507</v>
      </c>
      <c r="AE658" s="6" t="n">
        <v>0.1964127718595032</v>
      </c>
      <c r="AF658" s="6" t="n">
        <v>-0.7526757758495485</v>
      </c>
      <c r="AG658" s="6" t="n">
        <v>-0.9142045116702385</v>
      </c>
      <c r="AH658" s="6" t="n">
        <v>-1.53086338365725</v>
      </c>
      <c r="AI658" s="6" t="n">
        <v>0.149010708719828</v>
      </c>
      <c r="AJ658" s="6" t="n">
        <v>65.57069516059761</v>
      </c>
      <c r="AK658" s="6" t="n">
        <v>0.1546185469454868</v>
      </c>
      <c r="AL658" s="6" t="n">
        <v>1.028447768590246</v>
      </c>
      <c r="AN658" s="6" t="n">
        <v>1.332443737784874</v>
      </c>
      <c r="AO658" s="6" t="n">
        <v>1.339199838749307</v>
      </c>
      <c r="AP658" s="6" t="n">
        <v>0.1328373941589603</v>
      </c>
      <c r="AQ658" s="6" t="n">
        <v>0</v>
      </c>
      <c r="AR658" s="6" t="n">
        <v>0</v>
      </c>
    </row>
    <row r="659">
      <c r="D659" t="inlineStr">
        <is>
          <t>Run 347</t>
        </is>
      </c>
      <c r="J659" s="6" t="n">
        <v>-1.923912185415147</v>
      </c>
      <c r="K659" s="6" t="n">
        <v>1.495013682843777</v>
      </c>
      <c r="L659" s="6" t="n">
        <v>-0.2910197531797271</v>
      </c>
      <c r="M659" s="6" t="n">
        <v>0.8238479747233866</v>
      </c>
      <c r="N659" s="6" t="n">
        <v>1.872627741360357</v>
      </c>
      <c r="O659" s="6" t="n">
        <v>2.944743382085424</v>
      </c>
      <c r="P659" s="6" t="n">
        <v>-0.1270626235423632</v>
      </c>
      <c r="Q659" s="6" t="n">
        <v>3.820529131658124</v>
      </c>
      <c r="R659" s="6" t="n">
        <v>-2.025041583954518</v>
      </c>
      <c r="S659" s="6" t="n">
        <v>-1.266317592100519</v>
      </c>
      <c r="T659" s="6" t="n">
        <v>-0.9010495624485411</v>
      </c>
      <c r="U659" s="6" t="n">
        <v>0.9251712993035012</v>
      </c>
      <c r="V659" s="6" t="n">
        <v>3.505154275122173</v>
      </c>
      <c r="W659" s="6" t="n">
        <v>0.05152468987248782</v>
      </c>
      <c r="X659" s="6" t="n">
        <v>2.27008900106563</v>
      </c>
      <c r="Y659" s="6" t="n">
        <v>2.225442680064118</v>
      </c>
      <c r="Z659" s="6" t="n">
        <v>-1.641257545419553</v>
      </c>
      <c r="AA659" s="6" t="n">
        <v>0.8803159323137422</v>
      </c>
      <c r="AB659" s="6" t="n">
        <v>-2.309976686356028</v>
      </c>
      <c r="AC659" s="6" t="n">
        <v>-1.842999233352681</v>
      </c>
      <c r="AD659" s="6" t="n">
        <v>1.555094740274931</v>
      </c>
      <c r="AE659" s="6" t="n">
        <v>-2.893203916391586</v>
      </c>
      <c r="AF659" s="6" t="n">
        <v>3.766928769670986</v>
      </c>
      <c r="AG659" s="6" t="n">
        <v>-2.11905897354872</v>
      </c>
      <c r="AH659" s="6" t="n">
        <v>1.379402709498512</v>
      </c>
      <c r="AI659" s="6" t="n">
        <v>-1.204180009665049</v>
      </c>
      <c r="AJ659" s="6" t="n">
        <v>79.50035813910604</v>
      </c>
      <c r="AK659" s="6" t="n">
        <v>0.09435874127004942</v>
      </c>
      <c r="AL659" s="6" t="n">
        <v>1.085157559277437</v>
      </c>
      <c r="AN659" s="6" t="n">
        <v>1.338231672341082</v>
      </c>
      <c r="AO659" s="6" t="n">
        <v>1.338690581495549</v>
      </c>
      <c r="AP659" s="6" t="n">
        <v>0.1310929513850235</v>
      </c>
      <c r="AQ659" s="6" t="n">
        <v>0</v>
      </c>
      <c r="AR659" s="6" t="n">
        <v>0</v>
      </c>
    </row>
    <row r="660">
      <c r="D660" t="inlineStr">
        <is>
          <t>Run 348</t>
        </is>
      </c>
      <c r="J660" s="6" t="n">
        <v>2.240918079606073</v>
      </c>
      <c r="K660" s="6" t="n">
        <v>0.6162581021498476</v>
      </c>
      <c r="L660" s="6" t="n">
        <v>1.227199797818723</v>
      </c>
      <c r="M660" s="6" t="n">
        <v>1.356057781523375</v>
      </c>
      <c r="N660" s="6" t="n">
        <v>-3.769930977045263</v>
      </c>
      <c r="O660" s="6" t="n">
        <v>1.210575569020424</v>
      </c>
      <c r="P660" s="6" t="n">
        <v>-1.089252124154168</v>
      </c>
      <c r="Q660" s="6" t="n">
        <v>0.1363803539451839</v>
      </c>
      <c r="R660" s="6" t="n">
        <v>0.08902601628438424</v>
      </c>
      <c r="S660" s="6" t="n">
        <v>0.3620606916787621</v>
      </c>
      <c r="T660" s="6" t="n">
        <v>-4.036076985579801</v>
      </c>
      <c r="U660" s="6" t="n">
        <v>1.747481539949657</v>
      </c>
      <c r="V660" s="6" t="n">
        <v>-0.6711809687293713</v>
      </c>
      <c r="W660" s="6" t="n">
        <v>-2.054300585841783</v>
      </c>
      <c r="X660" s="6" t="n">
        <v>2.190261639089147</v>
      </c>
      <c r="Y660" s="6" t="n">
        <v>-0.1106153653403742</v>
      </c>
      <c r="Z660" s="6" t="n">
        <v>2.012191516332859</v>
      </c>
      <c r="AA660" s="6" t="n">
        <v>-1.060989059388809</v>
      </c>
      <c r="AB660" s="6" t="n">
        <v>3.486295495910216</v>
      </c>
      <c r="AC660" s="6" t="n">
        <v>0.2030913840690946</v>
      </c>
      <c r="AD660" s="6" t="n">
        <v>0.9898646141350226</v>
      </c>
      <c r="AE660" s="6" t="n">
        <v>-0.1675031804560784</v>
      </c>
      <c r="AF660" s="6" t="n">
        <v>0.7480851854198568</v>
      </c>
      <c r="AG660" s="6" t="n">
        <v>-1.253903304535107</v>
      </c>
      <c r="AH660" s="6" t="n">
        <v>-4.172172582785036</v>
      </c>
      <c r="AI660" s="6" t="n">
        <v>-1.859309779517669</v>
      </c>
      <c r="AJ660" s="6" t="n">
        <v>76.13466885449077</v>
      </c>
      <c r="AK660" s="6" t="n">
        <v>0.1645463512036058</v>
      </c>
      <c r="AL660" s="6" t="n">
        <v>1.084699335394239</v>
      </c>
      <c r="AN660" s="6" t="n">
        <v>1.329117233010183</v>
      </c>
      <c r="AO660" s="6" t="n">
        <v>1.329238582492408</v>
      </c>
      <c r="AP660" s="6" t="n">
        <v>0.1291007416359156</v>
      </c>
      <c r="AQ660" s="6" t="n">
        <v>0</v>
      </c>
      <c r="AR660" s="6" t="n">
        <v>0</v>
      </c>
    </row>
    <row r="661">
      <c r="D661" t="inlineStr">
        <is>
          <t>Run 349</t>
        </is>
      </c>
      <c r="J661" s="6" t="n">
        <v>-2.219521594300661</v>
      </c>
      <c r="K661" s="6" t="n">
        <v>-0.2624384465793624</v>
      </c>
      <c r="L661" s="6" t="n">
        <v>-0.1663822284740279</v>
      </c>
      <c r="M661" s="6" t="n">
        <v>-1.079637516201352</v>
      </c>
      <c r="N661" s="6" t="n">
        <v>0.710165748037877</v>
      </c>
      <c r="O661" s="6" t="n">
        <v>0.5441614256608842</v>
      </c>
      <c r="P661" s="6" t="n">
        <v>-0.5468661171195672</v>
      </c>
      <c r="Q661" s="6" t="n">
        <v>-1.166883980213018</v>
      </c>
      <c r="R661" s="6" t="n">
        <v>0.5393505327886997</v>
      </c>
      <c r="S661" s="6" t="n">
        <v>1.095508594165494</v>
      </c>
      <c r="T661" s="6" t="n">
        <v>-1.518850472620989</v>
      </c>
      <c r="U661" s="6" t="n">
        <v>-1.603713394116457</v>
      </c>
      <c r="V661" s="6" t="n">
        <v>-1.475501267605781</v>
      </c>
      <c r="W661" s="6" t="n">
        <v>-2.007753546592181</v>
      </c>
      <c r="X661" s="6" t="n">
        <v>0.8604203167185709</v>
      </c>
      <c r="Y661" s="6" t="n">
        <v>3.601419940708328</v>
      </c>
      <c r="Z661" s="6" t="n">
        <v>1.331520331362486</v>
      </c>
      <c r="AA661" s="6" t="n">
        <v>1.060021310036721</v>
      </c>
      <c r="AB661" s="6" t="n">
        <v>-3.550047939885656</v>
      </c>
      <c r="AC661" s="6" t="n">
        <v>-1.413080709357309</v>
      </c>
      <c r="AD661" s="6" t="n">
        <v>1.122789106859553</v>
      </c>
      <c r="AE661" s="6" t="n">
        <v>5</v>
      </c>
      <c r="AF661" s="6" t="n">
        <v>0.7093885837492773</v>
      </c>
      <c r="AG661" s="6" t="n">
        <v>1.228960586591942</v>
      </c>
      <c r="AH661" s="6" t="n">
        <v>0.9475373062705587</v>
      </c>
      <c r="AI661" s="6" t="n">
        <v>0.9922558378994908</v>
      </c>
      <c r="AJ661" s="6" t="n">
        <v>67.07891078312849</v>
      </c>
      <c r="AK661" s="6" t="n">
        <v>0.1368606181526634</v>
      </c>
      <c r="AL661" s="6" t="n">
        <v>1.090827847565746</v>
      </c>
      <c r="AN661" s="6" t="n">
        <v>1.328530163802858</v>
      </c>
      <c r="AO661" s="6" t="n">
        <v>1.328680804250324</v>
      </c>
      <c r="AP661" s="6" t="n">
        <v>0.1290961322742008</v>
      </c>
      <c r="AQ661" s="6" t="n">
        <v>0</v>
      </c>
      <c r="AR661" s="6" t="n">
        <v>0</v>
      </c>
    </row>
    <row r="662">
      <c r="D662" t="inlineStr">
        <is>
          <t>Run 350</t>
        </is>
      </c>
      <c r="J662" s="6" t="n">
        <v>-1.304729729616734</v>
      </c>
      <c r="K662" s="6" t="n">
        <v>2.367904471960975</v>
      </c>
      <c r="L662" s="6" t="n">
        <v>-0.2274866488447934</v>
      </c>
      <c r="M662" s="6" t="n">
        <v>-1.014675033170224</v>
      </c>
      <c r="N662" s="6" t="n">
        <v>3.492685633936497</v>
      </c>
      <c r="O662" s="6" t="n">
        <v>-1.459084741982174</v>
      </c>
      <c r="P662" s="6" t="n">
        <v>2.491912491456749</v>
      </c>
      <c r="Q662" s="6" t="n">
        <v>0.8268469951922723</v>
      </c>
      <c r="R662" s="6" t="n">
        <v>1.819895906489337</v>
      </c>
      <c r="S662" s="6" t="n">
        <v>2.705964750564708</v>
      </c>
      <c r="T662" s="6" t="n">
        <v>-2.487259167870372</v>
      </c>
      <c r="U662" s="6" t="n">
        <v>-2.037585897611282</v>
      </c>
      <c r="V662" s="6" t="n">
        <v>-1.265559880837426</v>
      </c>
      <c r="W662" s="6" t="n">
        <v>-2.088271050727267</v>
      </c>
      <c r="X662" s="6" t="n">
        <v>0.2406000099010259</v>
      </c>
      <c r="Y662" s="6" t="n">
        <v>3.916943397158381</v>
      </c>
      <c r="Z662" s="6" t="n">
        <v>2.339400250191499</v>
      </c>
      <c r="AA662" s="6" t="n">
        <v>-2.016422370499212</v>
      </c>
      <c r="AB662" s="6" t="n">
        <v>-0.7695683179816091</v>
      </c>
      <c r="AC662" s="6" t="n">
        <v>-1.39991607959894</v>
      </c>
      <c r="AD662" s="6" t="n">
        <v>-0.497178411859558</v>
      </c>
      <c r="AE662" s="6" t="n">
        <v>-0.7996839704685308</v>
      </c>
      <c r="AF662" s="6" t="n">
        <v>-0.04725580421805091</v>
      </c>
      <c r="AG662" s="6" t="n">
        <v>-1.097444781269179</v>
      </c>
      <c r="AH662" s="6" t="n">
        <v>-0.4786362976827677</v>
      </c>
      <c r="AI662" s="6" t="n">
        <v>1.098411275886737</v>
      </c>
      <c r="AJ662" s="6" t="n">
        <v>74.49950504417086</v>
      </c>
      <c r="AK662" s="6" t="n">
        <v>0.1034404951716326</v>
      </c>
      <c r="AL662" s="6" t="n">
        <v>1.045684103958658</v>
      </c>
      <c r="AN662" s="6" t="n">
        <v>1.347994921337061</v>
      </c>
      <c r="AO662" s="6" t="n">
        <v>1.348741609974836</v>
      </c>
      <c r="AP662" s="6" t="n">
        <v>0.1334402405600198</v>
      </c>
      <c r="AQ662" s="6" t="n">
        <v>0</v>
      </c>
      <c r="AR662" s="6" t="n">
        <v>0</v>
      </c>
    </row>
    <row r="663">
      <c r="D663" t="inlineStr">
        <is>
          <t>Run 351</t>
        </is>
      </c>
      <c r="J663" s="6" t="n">
        <v>-1.722796555856594</v>
      </c>
      <c r="K663" s="6" t="n">
        <v>-0.2242266043648565</v>
      </c>
      <c r="L663" s="6" t="n">
        <v>-2.587163714888824</v>
      </c>
      <c r="M663" s="6" t="n">
        <v>2.418686093813358</v>
      </c>
      <c r="N663" s="6" t="n">
        <v>-1.538888207312507</v>
      </c>
      <c r="O663" s="6" t="n">
        <v>-1.529897174611286</v>
      </c>
      <c r="P663" s="6" t="n">
        <v>-0.8417795513110691</v>
      </c>
      <c r="Q663" s="6" t="n">
        <v>1.573728408542692</v>
      </c>
      <c r="R663" s="6" t="n">
        <v>-0.1201095380143358</v>
      </c>
      <c r="S663" s="6" t="n">
        <v>0.8987278927637428</v>
      </c>
      <c r="T663" s="6" t="n">
        <v>2.963344403474732</v>
      </c>
      <c r="U663" s="6" t="n">
        <v>2.499977739175093</v>
      </c>
      <c r="V663" s="6" t="n">
        <v>-2.367968320189351</v>
      </c>
      <c r="W663" s="6" t="n">
        <v>-0.02591298782929667</v>
      </c>
      <c r="X663" s="6" t="n">
        <v>-2.396250490692258</v>
      </c>
      <c r="Y663" s="6" t="n">
        <v>0.8189565274504139</v>
      </c>
      <c r="Z663" s="6" t="n">
        <v>1.66213301979732</v>
      </c>
      <c r="AA663" s="6" t="n">
        <v>-0.4550701907980174</v>
      </c>
      <c r="AB663" s="6" t="n">
        <v>-0.3891453233828208</v>
      </c>
      <c r="AC663" s="6" t="n">
        <v>2.66928381741759</v>
      </c>
      <c r="AD663" s="6" t="n">
        <v>1.594686326899015</v>
      </c>
      <c r="AE663" s="6" t="n">
        <v>0.7337973756634234</v>
      </c>
      <c r="AF663" s="6" t="n">
        <v>1.235797082411667</v>
      </c>
      <c r="AG663" s="6" t="n">
        <v>-0.6043829198718565</v>
      </c>
      <c r="AH663" s="6" t="n">
        <v>-1.371766307905166</v>
      </c>
      <c r="AI663" s="6" t="n">
        <v>1.243896802257944</v>
      </c>
      <c r="AJ663" s="6" t="n">
        <v>75.61733944969046</v>
      </c>
      <c r="AK663" s="6" t="n">
        <v>0.1327190944576871</v>
      </c>
      <c r="AL663" s="6" t="n">
        <v>1.051755033932024</v>
      </c>
      <c r="AN663" s="6" t="n">
        <v>1.345407613513684</v>
      </c>
      <c r="AO663" s="6" t="n">
        <v>1.346265621772625</v>
      </c>
      <c r="AP663" s="6" t="n">
        <v>0.1324844715272786</v>
      </c>
      <c r="AQ663" s="6" t="n">
        <v>0</v>
      </c>
      <c r="AR663" s="6" t="n">
        <v>0</v>
      </c>
    </row>
    <row r="664">
      <c r="D664" t="inlineStr">
        <is>
          <t>Run 352</t>
        </is>
      </c>
      <c r="J664" s="6" t="n">
        <v>-1.498576857505399</v>
      </c>
      <c r="K664" s="6" t="n">
        <v>-2.451585908686857</v>
      </c>
      <c r="L664" s="6" t="n">
        <v>-0.4874822674832466</v>
      </c>
      <c r="M664" s="6" t="n">
        <v>0.9049588715240464</v>
      </c>
      <c r="N664" s="6" t="n">
        <v>0.6745362546118763</v>
      </c>
      <c r="O664" s="6" t="n">
        <v>0.4414890253858569</v>
      </c>
      <c r="P664" s="6" t="n">
        <v>-1.153203960200073</v>
      </c>
      <c r="Q664" s="6" t="n">
        <v>-1.724752858146703</v>
      </c>
      <c r="R664" s="6" t="n">
        <v>0.383435561350312</v>
      </c>
      <c r="S664" s="6" t="n">
        <v>-1.042519258847638</v>
      </c>
      <c r="T664" s="6" t="n">
        <v>-2.776343112280982</v>
      </c>
      <c r="U664" s="6" t="n">
        <v>-1.944168596029859</v>
      </c>
      <c r="V664" s="6" t="n">
        <v>-2.415184414535664</v>
      </c>
      <c r="W664" s="6" t="n">
        <v>1.888800923280081</v>
      </c>
      <c r="X664" s="6" t="n">
        <v>2.958331592753639</v>
      </c>
      <c r="Y664" s="6" t="n">
        <v>0.8135467456905716</v>
      </c>
      <c r="Z664" s="6" t="n">
        <v>0.2521119861755196</v>
      </c>
      <c r="AA664" s="6" t="n">
        <v>-2.319519462945895</v>
      </c>
      <c r="AB664" s="6" t="n">
        <v>-1.357916354536215</v>
      </c>
      <c r="AC664" s="6" t="n">
        <v>-2.290233272759443</v>
      </c>
      <c r="AD664" s="6" t="n">
        <v>0.5470588532281985</v>
      </c>
      <c r="AE664" s="6" t="n">
        <v>1.613267639543003</v>
      </c>
      <c r="AF664" s="6" t="n">
        <v>1.613062348453216</v>
      </c>
      <c r="AG664" s="6" t="n">
        <v>1.641110356990369</v>
      </c>
      <c r="AH664" s="6" t="n">
        <v>-2.850161218433455</v>
      </c>
      <c r="AI664" s="6" t="n">
        <v>-2.715344388670559</v>
      </c>
      <c r="AJ664" s="6" t="n">
        <v>58.28222153933505</v>
      </c>
      <c r="AK664" s="6" t="n">
        <v>0.1064628067810623</v>
      </c>
      <c r="AL664" s="6" t="n">
        <v>1.101649848951129</v>
      </c>
      <c r="AN664" s="6" t="n">
        <v>1.326287534603685</v>
      </c>
      <c r="AO664" s="6" t="n">
        <v>1.326402251517737</v>
      </c>
      <c r="AP664" s="6" t="n">
        <v>0.1289289692289442</v>
      </c>
      <c r="AQ664" s="6" t="n">
        <v>0</v>
      </c>
      <c r="AR664" s="6" t="n">
        <v>0</v>
      </c>
    </row>
    <row r="665">
      <c r="D665" t="inlineStr">
        <is>
          <t>Run 353</t>
        </is>
      </c>
      <c r="J665" s="6" t="n">
        <v>2.672738995978925</v>
      </c>
      <c r="K665" s="6" t="n">
        <v>2.27029537816399</v>
      </c>
      <c r="L665" s="6" t="n">
        <v>-0.9708651071512534</v>
      </c>
      <c r="M665" s="6" t="n">
        <v>1.548879171673248</v>
      </c>
      <c r="N665" s="6" t="n">
        <v>-4.571375257361542</v>
      </c>
      <c r="O665" s="6" t="n">
        <v>1.960011188879207</v>
      </c>
      <c r="P665" s="6" t="n">
        <v>-0.005786406976506861</v>
      </c>
      <c r="Q665" s="6" t="n">
        <v>0.07837839981754334</v>
      </c>
      <c r="R665" s="6" t="n">
        <v>1.295373182845185</v>
      </c>
      <c r="S665" s="6" t="n">
        <v>0.08602874474857912</v>
      </c>
      <c r="T665" s="6" t="n">
        <v>0.6259838903586619</v>
      </c>
      <c r="U665" s="6" t="n">
        <v>0.5345316292973415</v>
      </c>
      <c r="V665" s="6" t="n">
        <v>1.516199708888118</v>
      </c>
      <c r="W665" s="6" t="n">
        <v>5</v>
      </c>
      <c r="X665" s="6" t="n">
        <v>-0.6512301096310514</v>
      </c>
      <c r="Y665" s="6" t="n">
        <v>-0.3361378233186131</v>
      </c>
      <c r="Z665" s="6" t="n">
        <v>-0.1909601368937951</v>
      </c>
      <c r="AA665" s="6" t="n">
        <v>-0.8424195203891669</v>
      </c>
      <c r="AB665" s="6" t="n">
        <v>-1.439267321790807</v>
      </c>
      <c r="AC665" s="6" t="n">
        <v>-0.9314355483792498</v>
      </c>
      <c r="AD665" s="6" t="n">
        <v>-2.227110537187296</v>
      </c>
      <c r="AE665" s="6" t="n">
        <v>0.1477620644471054</v>
      </c>
      <c r="AF665" s="6" t="n">
        <v>-0.9071585246439637</v>
      </c>
      <c r="AG665" s="6" t="n">
        <v>-3.990530203343414</v>
      </c>
      <c r="AH665" s="6" t="n">
        <v>-0.1244989722532529</v>
      </c>
      <c r="AI665" s="6" t="n">
        <v>1.970893559572702</v>
      </c>
      <c r="AJ665" s="6" t="n">
        <v>69.91893936433159</v>
      </c>
      <c r="AK665" s="6" t="n">
        <v>0.1099565887504973</v>
      </c>
      <c r="AL665" s="6" t="n">
        <v>1.076417029285697</v>
      </c>
      <c r="AN665" s="6" t="n">
        <v>1.335244633764912</v>
      </c>
      <c r="AO665" s="6" t="n">
        <v>1.335463591319954</v>
      </c>
      <c r="AP665" s="6" t="n">
        <v>0.1305031915430736</v>
      </c>
      <c r="AQ665" s="6" t="n">
        <v>0</v>
      </c>
      <c r="AR665" s="6" t="n">
        <v>0</v>
      </c>
    </row>
    <row r="666">
      <c r="D666" t="inlineStr">
        <is>
          <t>Run 354</t>
        </is>
      </c>
      <c r="J666" s="6" t="n">
        <v>-0.03426221279652623</v>
      </c>
      <c r="K666" s="6" t="n">
        <v>-1.377499473571161</v>
      </c>
      <c r="L666" s="6" t="n">
        <v>-3.158007415727058</v>
      </c>
      <c r="M666" s="6" t="n">
        <v>-0.1698455197002464</v>
      </c>
      <c r="N666" s="6" t="n">
        <v>1.315489556332939</v>
      </c>
      <c r="O666" s="6" t="n">
        <v>-0.4543867039501415</v>
      </c>
      <c r="P666" s="6" t="n">
        <v>2.02098646572371</v>
      </c>
      <c r="Q666" s="6" t="n">
        <v>0.8221828793676579</v>
      </c>
      <c r="R666" s="6" t="n">
        <v>0.9827000251872021</v>
      </c>
      <c r="S666" s="6" t="n">
        <v>-1.103450953697378</v>
      </c>
      <c r="T666" s="6" t="n">
        <v>-0.09982821735905884</v>
      </c>
      <c r="U666" s="6" t="n">
        <v>2.397215073251768</v>
      </c>
      <c r="V666" s="6" t="n">
        <v>-1.459527442955672</v>
      </c>
      <c r="W666" s="6" t="n">
        <v>-0.06746499267571378</v>
      </c>
      <c r="X666" s="6" t="n">
        <v>1.667352068589399</v>
      </c>
      <c r="Y666" s="6" t="n">
        <v>-0.9636007731461086</v>
      </c>
      <c r="Z666" s="6" t="n">
        <v>-2.513402016930559</v>
      </c>
      <c r="AA666" s="6" t="n">
        <v>0.6295487185158803</v>
      </c>
      <c r="AB666" s="6" t="n">
        <v>1.489110380012305</v>
      </c>
      <c r="AC666" s="6" t="n">
        <v>2.214264255168519</v>
      </c>
      <c r="AD666" s="6" t="n">
        <v>0.7255296864288217</v>
      </c>
      <c r="AE666" s="6" t="n">
        <v>-0.4221788617638464</v>
      </c>
      <c r="AF666" s="6" t="n">
        <v>-0.1484414890285083</v>
      </c>
      <c r="AG666" s="6" t="n">
        <v>-1.709630226377309</v>
      </c>
      <c r="AH666" s="6" t="n">
        <v>2.491322484324839</v>
      </c>
      <c r="AI666" s="6" t="n">
        <v>-0.4201703818454819</v>
      </c>
      <c r="AJ666" s="6" t="n">
        <v>73.60785621921494</v>
      </c>
      <c r="AK666" s="6" t="n">
        <v>0.1525795399945158</v>
      </c>
      <c r="AL666" s="6" t="n">
        <v>1.032576379451922</v>
      </c>
      <c r="AN666" s="6" t="n">
        <v>1.351277032312621</v>
      </c>
      <c r="AO666" s="6" t="n">
        <v>1.351277032312621</v>
      </c>
      <c r="AP666" s="6" t="n">
        <v>0.1336211742087119</v>
      </c>
      <c r="AQ666" s="6" t="n">
        <v>0</v>
      </c>
      <c r="AR666" s="6" t="n">
        <v>0</v>
      </c>
    </row>
    <row r="667">
      <c r="D667" t="inlineStr">
        <is>
          <t>Run 355</t>
        </is>
      </c>
      <c r="J667" s="6" t="n">
        <v>0.9428264923786741</v>
      </c>
      <c r="K667" s="6" t="n">
        <v>0.8972330045605844</v>
      </c>
      <c r="L667" s="6" t="n">
        <v>-0.7676621651918275</v>
      </c>
      <c r="M667" s="6" t="n">
        <v>-5.62618231434885</v>
      </c>
      <c r="N667" s="6" t="n">
        <v>-1.881901243898351</v>
      </c>
      <c r="O667" s="6" t="n">
        <v>-0.09204563571589641</v>
      </c>
      <c r="P667" s="6" t="n">
        <v>-0.2915090386639072</v>
      </c>
      <c r="Q667" s="6" t="n">
        <v>-1.673505041386685</v>
      </c>
      <c r="R667" s="6" t="n">
        <v>-0.3770918713109175</v>
      </c>
      <c r="S667" s="6" t="n">
        <v>3.776112635729614</v>
      </c>
      <c r="T667" s="6" t="n">
        <v>-2.860531509991805</v>
      </c>
      <c r="U667" s="6" t="n">
        <v>3.428782368195633</v>
      </c>
      <c r="V667" s="6" t="n">
        <v>1.030335338819778</v>
      </c>
      <c r="W667" s="6" t="n">
        <v>-0.4828450472854686</v>
      </c>
      <c r="X667" s="6" t="n">
        <v>2.165472796601173</v>
      </c>
      <c r="Y667" s="6" t="n">
        <v>-0.706548250420762</v>
      </c>
      <c r="Z667" s="6" t="n">
        <v>-0.1393381785247845</v>
      </c>
      <c r="AA667" s="6" t="n">
        <v>-1.852668396320299</v>
      </c>
      <c r="AB667" s="6" t="n">
        <v>-0.5734257302936896</v>
      </c>
      <c r="AC667" s="6" t="n">
        <v>0.9565895643986784</v>
      </c>
      <c r="AD667" s="6" t="n">
        <v>-0.8607985341979674</v>
      </c>
      <c r="AE667" s="6" t="n">
        <v>0.5283099256476474</v>
      </c>
      <c r="AF667" s="6" t="n">
        <v>1.014926133781305</v>
      </c>
      <c r="AG667" s="6" t="n">
        <v>1.8263062651833</v>
      </c>
      <c r="AH667" s="6" t="n">
        <v>-0.6024721987983955</v>
      </c>
      <c r="AI667" s="6" t="n">
        <v>-1.721860240769247</v>
      </c>
      <c r="AJ667" s="6" t="n">
        <v>72.82335409282364</v>
      </c>
      <c r="AK667" s="6" t="n">
        <v>0.1474465743054697</v>
      </c>
      <c r="AL667" s="6" t="n">
        <v>1.085300447398654</v>
      </c>
      <c r="AN667" s="6" t="n">
        <v>1.268830354154766</v>
      </c>
      <c r="AO667" s="6" t="n">
        <v>1.273748061452747</v>
      </c>
      <c r="AP667" s="6" t="n">
        <v>0.1282026707925039</v>
      </c>
      <c r="AQ667" s="6" t="n">
        <v>0</v>
      </c>
      <c r="AR667" s="6" t="n">
        <v>0</v>
      </c>
    </row>
    <row r="668">
      <c r="D668" t="inlineStr">
        <is>
          <t>Run 356</t>
        </is>
      </c>
      <c r="J668" s="6" t="n">
        <v>-1.517228072388954</v>
      </c>
      <c r="K668" s="6" t="n">
        <v>-2.312266392725537</v>
      </c>
      <c r="L668" s="6" t="n">
        <v>-2.092798407434461</v>
      </c>
      <c r="M668" s="6" t="n">
        <v>0.4120532844356308</v>
      </c>
      <c r="N668" s="6" t="n">
        <v>0.8786499106748705</v>
      </c>
      <c r="O668" s="6" t="n">
        <v>4.838906872481194</v>
      </c>
      <c r="P668" s="6" t="n">
        <v>-1.030730310857789</v>
      </c>
      <c r="Q668" s="6" t="n">
        <v>-0.3477817075298863</v>
      </c>
      <c r="R668" s="6" t="n">
        <v>2.304557751633213</v>
      </c>
      <c r="S668" s="6" t="n">
        <v>-0.1465213219930502</v>
      </c>
      <c r="T668" s="6" t="n">
        <v>1.472591645694618</v>
      </c>
      <c r="U668" s="6" t="n">
        <v>0.2495319478032312</v>
      </c>
      <c r="V668" s="6" t="n">
        <v>-2.899852380476502</v>
      </c>
      <c r="W668" s="6" t="n">
        <v>0.06294282161789763</v>
      </c>
      <c r="X668" s="6" t="n">
        <v>0.08248203158860593</v>
      </c>
      <c r="Y668" s="6" t="n">
        <v>1.856307588381903</v>
      </c>
      <c r="Z668" s="6" t="n">
        <v>-3.725865249885368</v>
      </c>
      <c r="AA668" s="6" t="n">
        <v>0.05961951793073297</v>
      </c>
      <c r="AB668" s="6" t="n">
        <v>1.252166761371637</v>
      </c>
      <c r="AC668" s="6" t="n">
        <v>1.954624868657671</v>
      </c>
      <c r="AD668" s="6" t="n">
        <v>0.2607176641524012</v>
      </c>
      <c r="AE668" s="6" t="n">
        <v>1.289248040673229</v>
      </c>
      <c r="AF668" s="6" t="n">
        <v>0.6366798117257539</v>
      </c>
      <c r="AG668" s="6" t="n">
        <v>-3.320719680294646</v>
      </c>
      <c r="AH668" s="6" t="n">
        <v>0.08511421913049197</v>
      </c>
      <c r="AI668" s="6" t="n">
        <v>0.9433665437117936</v>
      </c>
      <c r="AJ668" s="6" t="n">
        <v>71.10054869214292</v>
      </c>
      <c r="AK668" s="6" t="n">
        <v>0.08248800208202624</v>
      </c>
      <c r="AL668" s="6" t="n">
        <v>1.016757009168741</v>
      </c>
      <c r="AN668" s="6" t="n">
        <v>1.354866585970163</v>
      </c>
      <c r="AO668" s="6" t="n">
        <v>1.354866585970163</v>
      </c>
      <c r="AP668" s="6" t="n">
        <v>0.136967275471808</v>
      </c>
      <c r="AQ668" s="6" t="n">
        <v>0</v>
      </c>
      <c r="AR668" s="6" t="n">
        <v>0</v>
      </c>
    </row>
    <row r="669">
      <c r="D669" t="inlineStr">
        <is>
          <t>Run 357</t>
        </is>
      </c>
      <c r="J669" s="6" t="n">
        <v>-2.055784638093785</v>
      </c>
      <c r="K669" s="6" t="n">
        <v>-0.2486255461425098</v>
      </c>
      <c r="L669" s="6" t="n">
        <v>-0.3710705521620667</v>
      </c>
      <c r="M669" s="6" t="n">
        <v>-1.11569476696051</v>
      </c>
      <c r="N669" s="6" t="n">
        <v>-2.67805645136296</v>
      </c>
      <c r="O669" s="6" t="n">
        <v>-1.536181704891262</v>
      </c>
      <c r="P669" s="6" t="n">
        <v>-2.330039375357344</v>
      </c>
      <c r="Q669" s="6" t="n">
        <v>1.60842788341429</v>
      </c>
      <c r="R669" s="6" t="n">
        <v>-2.346702999050518</v>
      </c>
      <c r="S669" s="6" t="n">
        <v>1.137559543609617</v>
      </c>
      <c r="T669" s="6" t="n">
        <v>3.095269757379111</v>
      </c>
      <c r="U669" s="6" t="n">
        <v>0.1584259587664845</v>
      </c>
      <c r="V669" s="6" t="n">
        <v>-0.9160310028876555</v>
      </c>
      <c r="W669" s="6" t="n">
        <v>-2.67578027518006</v>
      </c>
      <c r="X669" s="6" t="n">
        <v>1.006824336961909</v>
      </c>
      <c r="Y669" s="6" t="n">
        <v>-0.503222506824436</v>
      </c>
      <c r="Z669" s="6" t="n">
        <v>3.299487984984396</v>
      </c>
      <c r="AA669" s="6" t="n">
        <v>-0.7609523374147288</v>
      </c>
      <c r="AB669" s="6" t="n">
        <v>2.790644082342753</v>
      </c>
      <c r="AC669" s="6" t="n">
        <v>3.321481940697321</v>
      </c>
      <c r="AD669" s="6" t="n">
        <v>-1.176148410970651</v>
      </c>
      <c r="AE669" s="6" t="n">
        <v>4.806711710882237</v>
      </c>
      <c r="AF669" s="6" t="n">
        <v>-2.199589427245285</v>
      </c>
      <c r="AG669" s="6" t="n">
        <v>0.2421296970694411</v>
      </c>
      <c r="AH669" s="6" t="n">
        <v>-0.2315653220064312</v>
      </c>
      <c r="AI669" s="6" t="n">
        <v>-1.431453547745226</v>
      </c>
      <c r="AJ669" s="6" t="n">
        <v>65.98716741149515</v>
      </c>
      <c r="AK669" s="6" t="n">
        <v>0.1139259491753835</v>
      </c>
      <c r="AL669" s="6" t="n">
        <v>1.0304297240138</v>
      </c>
      <c r="AN669" s="6" t="n">
        <v>1.347045443812528</v>
      </c>
      <c r="AO669" s="6" t="n">
        <v>1.349684597791648</v>
      </c>
      <c r="AP669" s="6" t="n">
        <v>0.1342405470794837</v>
      </c>
      <c r="AQ669" s="6" t="n">
        <v>0</v>
      </c>
      <c r="AR669" s="6" t="n">
        <v>0</v>
      </c>
    </row>
    <row r="670">
      <c r="D670" t="inlineStr">
        <is>
          <t>Run 358</t>
        </is>
      </c>
      <c r="J670" s="6" t="n">
        <v>0.04911002628241946</v>
      </c>
      <c r="K670" s="6" t="n">
        <v>2.351102083900285</v>
      </c>
      <c r="L670" s="6" t="n">
        <v>2.454421365172699</v>
      </c>
      <c r="M670" s="6" t="n">
        <v>1.137384541940349</v>
      </c>
      <c r="N670" s="6" t="n">
        <v>1.432816924276417</v>
      </c>
      <c r="O670" s="6" t="n">
        <v>0.02463339842445999</v>
      </c>
      <c r="P670" s="6" t="n">
        <v>-1.446881709206797</v>
      </c>
      <c r="Q670" s="6" t="n">
        <v>-2.603027050349394</v>
      </c>
      <c r="R670" s="6" t="n">
        <v>-0.4548436852533859</v>
      </c>
      <c r="S670" s="6" t="n">
        <v>-0.4945803193286978</v>
      </c>
      <c r="T670" s="6" t="n">
        <v>-1.339817107586522</v>
      </c>
      <c r="U670" s="6" t="n">
        <v>2.672930594000132</v>
      </c>
      <c r="V670" s="6" t="n">
        <v>-1.52372586289624</v>
      </c>
      <c r="W670" s="6" t="n">
        <v>0.0755974094120095</v>
      </c>
      <c r="X670" s="6" t="n">
        <v>-1.264804440681774</v>
      </c>
      <c r="Y670" s="6" t="n">
        <v>-1.872027672704934</v>
      </c>
      <c r="Z670" s="6" t="n">
        <v>-0.3264237689578675</v>
      </c>
      <c r="AA670" s="6" t="n">
        <v>0.9677841710812248</v>
      </c>
      <c r="AB670" s="6" t="n">
        <v>0.7036119874295826</v>
      </c>
      <c r="AC670" s="6" t="n">
        <v>0.1586673185570398</v>
      </c>
      <c r="AD670" s="6" t="n">
        <v>-2.596440155531957</v>
      </c>
      <c r="AE670" s="6" t="n">
        <v>0.07161681165639285</v>
      </c>
      <c r="AF670" s="6" t="n">
        <v>2.065696117412611</v>
      </c>
      <c r="AG670" s="6" t="n">
        <v>-0.985680786841268</v>
      </c>
      <c r="AH670" s="6" t="n">
        <v>-0.1428151791389344</v>
      </c>
      <c r="AI670" s="6" t="n">
        <v>0.401435725072548</v>
      </c>
      <c r="AJ670" s="6" t="n">
        <v>58.76583119078163</v>
      </c>
      <c r="AK670" s="6" t="n">
        <v>0.1168058221622732</v>
      </c>
      <c r="AL670" s="6" t="n">
        <v>1.040210912287514</v>
      </c>
      <c r="AN670" s="6" t="n">
        <v>1.340483030120468</v>
      </c>
      <c r="AO670" s="6" t="n">
        <v>1.341061008345537</v>
      </c>
      <c r="AP670" s="6" t="n">
        <v>0.1319043192251683</v>
      </c>
      <c r="AQ670" s="6" t="n">
        <v>0</v>
      </c>
      <c r="AR670" s="6" t="n">
        <v>0</v>
      </c>
    </row>
    <row r="671">
      <c r="D671" t="inlineStr">
        <is>
          <t>Run 359</t>
        </is>
      </c>
      <c r="J671" s="6" t="n">
        <v>0.5753776228321111</v>
      </c>
      <c r="K671" s="6" t="n">
        <v>1.56558458169646</v>
      </c>
      <c r="L671" s="6" t="n">
        <v>1.32375702804493</v>
      </c>
      <c r="M671" s="6" t="n">
        <v>-0.3074435593166839</v>
      </c>
      <c r="N671" s="6" t="n">
        <v>3.467770776983395</v>
      </c>
      <c r="O671" s="6" t="n">
        <v>0.6347127130718986</v>
      </c>
      <c r="P671" s="6" t="n">
        <v>2.240606155439327</v>
      </c>
      <c r="Q671" s="6" t="n">
        <v>-0.0760399381391125</v>
      </c>
      <c r="R671" s="6" t="n">
        <v>-1.235353395423273</v>
      </c>
      <c r="S671" s="6" t="n">
        <v>0.4619620829747032</v>
      </c>
      <c r="T671" s="6" t="n">
        <v>-0.8921423336576993</v>
      </c>
      <c r="U671" s="6" t="n">
        <v>2.313101449112498</v>
      </c>
      <c r="V671" s="6" t="n">
        <v>2.743016914602126</v>
      </c>
      <c r="W671" s="6" t="n">
        <v>-2.26479851276102</v>
      </c>
      <c r="X671" s="6" t="n">
        <v>3.103998683990731</v>
      </c>
      <c r="Y671" s="6" t="n">
        <v>1.866378792197334</v>
      </c>
      <c r="Z671" s="6" t="n">
        <v>-6.497032193052221</v>
      </c>
      <c r="AA671" s="6" t="n">
        <v>-0.3162176784470628</v>
      </c>
      <c r="AB671" s="6" t="n">
        <v>-1.16301979840338</v>
      </c>
      <c r="AC671" s="6" t="n">
        <v>1.591079094005776</v>
      </c>
      <c r="AD671" s="6" t="n">
        <v>-1.214627963723243</v>
      </c>
      <c r="AE671" s="6" t="n">
        <v>1.823917242004772</v>
      </c>
      <c r="AF671" s="6" t="n">
        <v>-2.617583871838911</v>
      </c>
      <c r="AG671" s="6" t="n">
        <v>0.6017487548194322</v>
      </c>
      <c r="AH671" s="6" t="n">
        <v>-0.02538860841625879</v>
      </c>
      <c r="AI671" s="6" t="n">
        <v>-1.512938169310885</v>
      </c>
      <c r="AJ671" s="6" t="n">
        <v>58.46381438341266</v>
      </c>
      <c r="AK671" s="6" t="n">
        <v>0.09973695341517928</v>
      </c>
      <c r="AL671" s="6" t="n">
        <v>1.026137058879226</v>
      </c>
      <c r="AN671" s="6" t="n">
        <v>1.343514909391607</v>
      </c>
      <c r="AO671" s="6" t="n">
        <v>1.343514909391607</v>
      </c>
      <c r="AP671" s="6" t="n">
        <v>0.1338286231120777</v>
      </c>
      <c r="AQ671" s="6" t="n">
        <v>0</v>
      </c>
      <c r="AR671" s="6" t="n">
        <v>0</v>
      </c>
    </row>
    <row r="672">
      <c r="D672" t="inlineStr">
        <is>
          <t>Run 360</t>
        </is>
      </c>
      <c r="J672" s="6" t="n">
        <v>-2.266747706645256</v>
      </c>
      <c r="K672" s="6" t="n">
        <v>-0.261078873115115</v>
      </c>
      <c r="L672" s="6" t="n">
        <v>-1.936217525507905</v>
      </c>
      <c r="M672" s="6" t="n">
        <v>1.032125483357683</v>
      </c>
      <c r="N672" s="6" t="n">
        <v>-4.63738074053</v>
      </c>
      <c r="O672" s="6" t="n">
        <v>-1.975270478287707</v>
      </c>
      <c r="P672" s="6" t="n">
        <v>-0.5870269044937003</v>
      </c>
      <c r="Q672" s="6" t="n">
        <v>-2.868951071566125</v>
      </c>
      <c r="R672" s="6" t="n">
        <v>1.649658169665425</v>
      </c>
      <c r="S672" s="6" t="n">
        <v>-5.401247110986525</v>
      </c>
      <c r="T672" s="6" t="n">
        <v>4.71600932119166</v>
      </c>
      <c r="U672" s="6" t="n">
        <v>-0.3163474837420413</v>
      </c>
      <c r="V672" s="6" t="n">
        <v>4.723492935310674</v>
      </c>
      <c r="W672" s="6" t="n">
        <v>-0.1726397393635037</v>
      </c>
      <c r="X672" s="6" t="n">
        <v>-3.450716971598331</v>
      </c>
      <c r="Y672" s="6" t="n">
        <v>2.897281346568319</v>
      </c>
      <c r="Z672" s="6" t="n">
        <v>-0.4518254612753332</v>
      </c>
      <c r="AA672" s="6" t="n">
        <v>0.292684958953252</v>
      </c>
      <c r="AB672" s="6" t="n">
        <v>0.5134869294692431</v>
      </c>
      <c r="AC672" s="6" t="n">
        <v>-2.457239389933987</v>
      </c>
      <c r="AD672" s="6" t="n">
        <v>-2.634423329602093</v>
      </c>
      <c r="AE672" s="6" t="n">
        <v>-0.9340328324895213</v>
      </c>
      <c r="AF672" s="6" t="n">
        <v>-1.583864820024515</v>
      </c>
      <c r="AG672" s="6" t="n">
        <v>3.596093927130717</v>
      </c>
      <c r="AH672" s="6" t="n">
        <v>0.1207582184241428</v>
      </c>
      <c r="AI672" s="6" t="n">
        <v>-2.529662599359275</v>
      </c>
      <c r="AJ672" s="6" t="n">
        <v>80.09155476927856</v>
      </c>
      <c r="AK672" s="6" t="n">
        <v>0.1120496585830469</v>
      </c>
      <c r="AL672" s="6" t="n">
        <v>0.9920307398221722</v>
      </c>
      <c r="AN672" s="6" t="n">
        <v>1.364733200685247</v>
      </c>
      <c r="AO672" s="6" t="n">
        <v>1.364733200685247</v>
      </c>
      <c r="AP672" s="6" t="n">
        <v>0.1413385629477678</v>
      </c>
      <c r="AQ672" s="6" t="n">
        <v>0</v>
      </c>
      <c r="AR672" s="6" t="n">
        <v>0</v>
      </c>
    </row>
    <row r="673">
      <c r="D673" t="inlineStr">
        <is>
          <t>Run 361</t>
        </is>
      </c>
      <c r="J673" s="6" t="n">
        <v>0.07657309335957435</v>
      </c>
      <c r="K673" s="6" t="n">
        <v>-2.196125397013955</v>
      </c>
      <c r="L673" s="6" t="n">
        <v>2.483227970539629</v>
      </c>
      <c r="M673" s="6" t="n">
        <v>-3.141364289213676</v>
      </c>
      <c r="N673" s="6" t="n">
        <v>-0.7389774551795314</v>
      </c>
      <c r="O673" s="6" t="n">
        <v>-0.8727250203103369</v>
      </c>
      <c r="P673" s="6" t="n">
        <v>-2.459578427452361</v>
      </c>
      <c r="Q673" s="6" t="n">
        <v>2.255528521849611</v>
      </c>
      <c r="R673" s="6" t="n">
        <v>2.408144626909816</v>
      </c>
      <c r="S673" s="6" t="n">
        <v>-4.278503223638136</v>
      </c>
      <c r="T673" s="6" t="n">
        <v>-0.3363122450515298</v>
      </c>
      <c r="U673" s="6" t="n">
        <v>1.591309272877101</v>
      </c>
      <c r="V673" s="6" t="n">
        <v>-2.00646865196543</v>
      </c>
      <c r="W673" s="6" t="n">
        <v>0.08932673566884841</v>
      </c>
      <c r="X673" s="6" t="n">
        <v>0.7209818961961384</v>
      </c>
      <c r="Y673" s="6" t="n">
        <v>0.1132495445194688</v>
      </c>
      <c r="Z673" s="6" t="n">
        <v>-3.473561941162005</v>
      </c>
      <c r="AA673" s="6" t="n">
        <v>-2.18142487059056</v>
      </c>
      <c r="AB673" s="6" t="n">
        <v>0.6764986207043566</v>
      </c>
      <c r="AC673" s="6" t="n">
        <v>-2.004062861691378</v>
      </c>
      <c r="AD673" s="6" t="n">
        <v>0.2454742995686382</v>
      </c>
      <c r="AE673" s="6" t="n">
        <v>2.838536446267113</v>
      </c>
      <c r="AF673" s="6" t="n">
        <v>-0.5829827010021205</v>
      </c>
      <c r="AG673" s="6" t="n">
        <v>-0.05733454489418224</v>
      </c>
      <c r="AH673" s="6" t="n">
        <v>0.1442320963703907</v>
      </c>
      <c r="AI673" s="6" t="n">
        <v>-2.444398980578589</v>
      </c>
      <c r="AJ673" s="6" t="n">
        <v>81.59821570691837</v>
      </c>
      <c r="AK673" s="6" t="n">
        <v>0.1282515701218804</v>
      </c>
      <c r="AL673" s="6" t="n">
        <v>1.049258053049828</v>
      </c>
      <c r="AN673" s="6" t="n">
        <v>1.318485869871806</v>
      </c>
      <c r="AO673" s="6" t="n">
        <v>1.326346010731534</v>
      </c>
      <c r="AP673" s="6" t="n">
        <v>0.1327274822739333</v>
      </c>
      <c r="AQ673" s="6" t="n">
        <v>0</v>
      </c>
      <c r="AR673" s="6" t="n">
        <v>0</v>
      </c>
    </row>
    <row r="674">
      <c r="D674" t="inlineStr">
        <is>
          <t>Run 362</t>
        </is>
      </c>
      <c r="J674" s="6" t="n">
        <v>0.360928587598841</v>
      </c>
      <c r="K674" s="6" t="n">
        <v>-3.402325407119132</v>
      </c>
      <c r="L674" s="6" t="n">
        <v>-2.896739887118075</v>
      </c>
      <c r="M674" s="6" t="n">
        <v>2.8251431051098</v>
      </c>
      <c r="N674" s="6" t="n">
        <v>1.573569144355519</v>
      </c>
      <c r="O674" s="6" t="n">
        <v>1.18609525723318</v>
      </c>
      <c r="P674" s="6" t="n">
        <v>-0.9570485672993498</v>
      </c>
      <c r="Q674" s="6" t="n">
        <v>-1.75742199877765</v>
      </c>
      <c r="R674" s="6" t="n">
        <v>1.318297612499026</v>
      </c>
      <c r="S674" s="6" t="n">
        <v>2.302703210464675</v>
      </c>
      <c r="T674" s="6" t="n">
        <v>-0.3912394261936176</v>
      </c>
      <c r="U674" s="6" t="n">
        <v>-0.8881640668826376</v>
      </c>
      <c r="V674" s="6" t="n">
        <v>-2.218067826184923</v>
      </c>
      <c r="W674" s="6" t="n">
        <v>0.1135699318847219</v>
      </c>
      <c r="X674" s="6" t="n">
        <v>-1.031890772441225</v>
      </c>
      <c r="Y674" s="6" t="n">
        <v>-3.847003977544536</v>
      </c>
      <c r="Z674" s="6" t="n">
        <v>0.1038130490712488</v>
      </c>
      <c r="AA674" s="6" t="n">
        <v>-0.6289045766861761</v>
      </c>
      <c r="AB674" s="6" t="n">
        <v>0.3495925103165345</v>
      </c>
      <c r="AC674" s="6" t="n">
        <v>-0.5984830592963036</v>
      </c>
      <c r="AD674" s="6" t="n">
        <v>-1.061589818164747</v>
      </c>
      <c r="AE674" s="6" t="n">
        <v>1.659517192332606</v>
      </c>
      <c r="AF674" s="6" t="n">
        <v>-0.503886497021915</v>
      </c>
      <c r="AG674" s="6" t="n">
        <v>1.873973708829699</v>
      </c>
      <c r="AH674" s="6" t="n">
        <v>1.25465798445808</v>
      </c>
      <c r="AI674" s="6" t="n">
        <v>0.8985537439834127</v>
      </c>
      <c r="AJ674" s="6" t="n">
        <v>78.96175980527633</v>
      </c>
      <c r="AK674" s="6" t="n">
        <v>0.09745563162063017</v>
      </c>
      <c r="AL674" s="6" t="n">
        <v>1.029209322217415</v>
      </c>
      <c r="AN674" s="6" t="n">
        <v>1.354361598272162</v>
      </c>
      <c r="AO674" s="6" t="n">
        <v>1.354548345923451</v>
      </c>
      <c r="AP674" s="6" t="n">
        <v>0.1354381514053002</v>
      </c>
      <c r="AQ674" s="6" t="n">
        <v>0</v>
      </c>
      <c r="AR674" s="6" t="n">
        <v>0</v>
      </c>
    </row>
    <row r="675">
      <c r="D675" t="inlineStr">
        <is>
          <t>Run 363</t>
        </is>
      </c>
      <c r="J675" s="6" t="n">
        <v>-1.766747339733596</v>
      </c>
      <c r="K675" s="6" t="n">
        <v>1.007623531911054</v>
      </c>
      <c r="L675" s="6" t="n">
        <v>-5.297106437224402</v>
      </c>
      <c r="M675" s="6" t="n">
        <v>-1.541084486535903</v>
      </c>
      <c r="N675" s="6" t="n">
        <v>0.4032432192542693</v>
      </c>
      <c r="O675" s="6" t="n">
        <v>2.027664148956319</v>
      </c>
      <c r="P675" s="6" t="n">
        <v>0.3925058606790057</v>
      </c>
      <c r="Q675" s="6" t="n">
        <v>0.1128038908497615</v>
      </c>
      <c r="R675" s="6" t="n">
        <v>0.3425230106773564</v>
      </c>
      <c r="S675" s="6" t="n">
        <v>4.170781226390366</v>
      </c>
      <c r="T675" s="6" t="n">
        <v>2.183199608596458</v>
      </c>
      <c r="U675" s="6" t="n">
        <v>-1.562361715177239</v>
      </c>
      <c r="V675" s="6" t="n">
        <v>2.61569328817348</v>
      </c>
      <c r="W675" s="6" t="n">
        <v>0.5625802168069483</v>
      </c>
      <c r="X675" s="6" t="n">
        <v>1.15958758021189</v>
      </c>
      <c r="Y675" s="6" t="n">
        <v>-1.573770726653902</v>
      </c>
      <c r="Z675" s="6" t="n">
        <v>-1.585562920905962</v>
      </c>
      <c r="AA675" s="6" t="n">
        <v>0.958156458893944</v>
      </c>
      <c r="AB675" s="6" t="n">
        <v>2.994946060850362</v>
      </c>
      <c r="AC675" s="6" t="n">
        <v>0.08001215788455189</v>
      </c>
      <c r="AD675" s="6" t="n">
        <v>2.528545768284887</v>
      </c>
      <c r="AE675" s="6" t="n">
        <v>-1.062947243990296</v>
      </c>
      <c r="AF675" s="6" t="n">
        <v>-1.791264161515189</v>
      </c>
      <c r="AG675" s="6" t="n">
        <v>0.3375288232218451</v>
      </c>
      <c r="AH675" s="6" t="n">
        <v>-0.8047706685745117</v>
      </c>
      <c r="AI675" s="6" t="n">
        <v>1.126894563500079</v>
      </c>
      <c r="AJ675" s="6" t="n">
        <v>58.76267999923038</v>
      </c>
      <c r="AK675" s="6" t="n">
        <v>0.1527822146594384</v>
      </c>
      <c r="AL675" s="6" t="n">
        <v>1.058952313632402</v>
      </c>
      <c r="AN675" s="6" t="n">
        <v>1.320264685463604</v>
      </c>
      <c r="AO675" s="6" t="n">
        <v>1.321744334351789</v>
      </c>
      <c r="AP675" s="6" t="n">
        <v>0.1297496360514667</v>
      </c>
      <c r="AQ675" s="6" t="n">
        <v>0</v>
      </c>
      <c r="AR675" s="6" t="n">
        <v>0</v>
      </c>
    </row>
    <row r="676">
      <c r="D676" t="inlineStr">
        <is>
          <t>Run 364</t>
        </is>
      </c>
      <c r="J676" s="6" t="n">
        <v>0.1139597425227212</v>
      </c>
      <c r="K676" s="6" t="n">
        <v>-0.4162500691466474</v>
      </c>
      <c r="L676" s="6" t="n">
        <v>2.256481272942325</v>
      </c>
      <c r="M676" s="6" t="n">
        <v>-2.040368287564239</v>
      </c>
      <c r="N676" s="6" t="n">
        <v>0.9694279529461612</v>
      </c>
      <c r="O676" s="6" t="n">
        <v>-0.2608395625656172</v>
      </c>
      <c r="P676" s="6" t="n">
        <v>-1.311460506721552</v>
      </c>
      <c r="Q676" s="6" t="n">
        <v>1.771083137597639</v>
      </c>
      <c r="R676" s="6" t="n">
        <v>-1.209808925029016</v>
      </c>
      <c r="S676" s="6" t="n">
        <v>3.406262555403626</v>
      </c>
      <c r="T676" s="6" t="n">
        <v>2.936153305793423</v>
      </c>
      <c r="U676" s="6" t="n">
        <v>3.381736374036202</v>
      </c>
      <c r="V676" s="6" t="n">
        <v>-1.270583395200628</v>
      </c>
      <c r="W676" s="6" t="n">
        <v>1.68490007405097</v>
      </c>
      <c r="X676" s="6" t="n">
        <v>-2.746318303813091</v>
      </c>
      <c r="Y676" s="6" t="n">
        <v>1.686272485254416</v>
      </c>
      <c r="Z676" s="6" t="n">
        <v>-1.402624167889081</v>
      </c>
      <c r="AA676" s="6" t="n">
        <v>-0.2180218646525465</v>
      </c>
      <c r="AB676" s="6" t="n">
        <v>0.4576200357200405</v>
      </c>
      <c r="AC676" s="6" t="n">
        <v>-1.991231275330926</v>
      </c>
      <c r="AD676" s="6" t="n">
        <v>-1.770951889455033</v>
      </c>
      <c r="AE676" s="6" t="n">
        <v>-2.512127120551065</v>
      </c>
      <c r="AF676" s="6" t="n">
        <v>-0.674008621696442</v>
      </c>
      <c r="AG676" s="6" t="n">
        <v>1.051363700045698</v>
      </c>
      <c r="AH676" s="6" t="n">
        <v>-0.4076486429047211</v>
      </c>
      <c r="AI676" s="6" t="n">
        <v>-1.115616366905232</v>
      </c>
      <c r="AJ676" s="6" t="n">
        <v>76.50304185413709</v>
      </c>
      <c r="AK676" s="6" t="n">
        <v>0.09490561200267865</v>
      </c>
      <c r="AL676" s="6" t="n">
        <v>1.037322499111044</v>
      </c>
      <c r="AN676" s="6" t="n">
        <v>1.338720998913625</v>
      </c>
      <c r="AO676" s="6" t="n">
        <v>1.345373137636296</v>
      </c>
      <c r="AP676" s="6" t="n">
        <v>0.1346124117778184</v>
      </c>
      <c r="AQ676" s="6" t="n">
        <v>0</v>
      </c>
      <c r="AR676" s="6" t="n">
        <v>0</v>
      </c>
    </row>
    <row r="677">
      <c r="D677" t="inlineStr">
        <is>
          <t>Run 365</t>
        </is>
      </c>
      <c r="J677" s="6" t="n">
        <v>-0.4325529753205035</v>
      </c>
      <c r="K677" s="6" t="n">
        <v>2.718043318370472</v>
      </c>
      <c r="L677" s="6" t="n">
        <v>-0.88796412290156</v>
      </c>
      <c r="M677" s="6" t="n">
        <v>0.08820553071478636</v>
      </c>
      <c r="N677" s="6" t="n">
        <v>1.390775823444193</v>
      </c>
      <c r="O677" s="6" t="n">
        <v>3.966854938784161</v>
      </c>
      <c r="P677" s="6" t="n">
        <v>0.7760716623852809</v>
      </c>
      <c r="Q677" s="6" t="n">
        <v>1.311809973140876</v>
      </c>
      <c r="R677" s="6" t="n">
        <v>0.7774586633376919</v>
      </c>
      <c r="S677" s="6" t="n">
        <v>2.743847472187648</v>
      </c>
      <c r="T677" s="6" t="n">
        <v>3.047569627974375</v>
      </c>
      <c r="U677" s="6" t="n">
        <v>-2.094393401673953</v>
      </c>
      <c r="V677" s="6" t="n">
        <v>3.173568860670223</v>
      </c>
      <c r="W677" s="6" t="n">
        <v>0.2445634906600753</v>
      </c>
      <c r="X677" s="6" t="n">
        <v>4.076918856083964</v>
      </c>
      <c r="Y677" s="6" t="n">
        <v>-1.594445858792726</v>
      </c>
      <c r="Z677" s="6" t="n">
        <v>-0.3769200425633849</v>
      </c>
      <c r="AA677" s="6" t="n">
        <v>0.3899297565098894</v>
      </c>
      <c r="AB677" s="6" t="n">
        <v>2.234109992918307</v>
      </c>
      <c r="AC677" s="6" t="n">
        <v>0.332969433032544</v>
      </c>
      <c r="AD677" s="6" t="n">
        <v>-0.8083332721602265</v>
      </c>
      <c r="AE677" s="6" t="n">
        <v>3.11433595627331</v>
      </c>
      <c r="AF677" s="6" t="n">
        <v>-1.131164246592332</v>
      </c>
      <c r="AG677" s="6" t="n">
        <v>-0.499660342376266</v>
      </c>
      <c r="AH677" s="6" t="n">
        <v>1.982059348691647</v>
      </c>
      <c r="AI677" s="6" t="n">
        <v>-0.7521631655736281</v>
      </c>
      <c r="AJ677" s="6" t="n">
        <v>72.9590667088643</v>
      </c>
      <c r="AK677" s="6" t="n">
        <v>0.1304149669091856</v>
      </c>
      <c r="AL677" s="6" t="n">
        <v>1.041702171135676</v>
      </c>
      <c r="AN677" s="6" t="n">
        <v>1.347943179190307</v>
      </c>
      <c r="AO677" s="6" t="n">
        <v>1.348250138706823</v>
      </c>
      <c r="AP677" s="6" t="n">
        <v>0.1329521243730883</v>
      </c>
      <c r="AQ677" s="6" t="n">
        <v>0</v>
      </c>
      <c r="AR677" s="6" t="n">
        <v>0</v>
      </c>
    </row>
    <row r="678">
      <c r="D678" t="inlineStr">
        <is>
          <t>Run 366</t>
        </is>
      </c>
      <c r="J678" s="6" t="n">
        <v>0.6187131651223468</v>
      </c>
      <c r="K678" s="6" t="n">
        <v>3.666708516115846</v>
      </c>
      <c r="L678" s="6" t="n">
        <v>1.868163279783376</v>
      </c>
      <c r="M678" s="6" t="n">
        <v>-0.6642626194748698</v>
      </c>
      <c r="N678" s="6" t="n">
        <v>0.6813144544795154</v>
      </c>
      <c r="O678" s="6" t="n">
        <v>-0.7604894164709616</v>
      </c>
      <c r="P678" s="6" t="n">
        <v>3.100937314249179</v>
      </c>
      <c r="Q678" s="6" t="n">
        <v>2.12850870928056</v>
      </c>
      <c r="R678" s="6" t="n">
        <v>1.33499306743331</v>
      </c>
      <c r="S678" s="6" t="n">
        <v>1.176133298075915</v>
      </c>
      <c r="T678" s="6" t="n">
        <v>-1.041800178906573</v>
      </c>
      <c r="U678" s="6" t="n">
        <v>-1.880959181123552</v>
      </c>
      <c r="V678" s="6" t="n">
        <v>-0.1964838412930132</v>
      </c>
      <c r="W678" s="6" t="n">
        <v>-0.004369664169111007</v>
      </c>
      <c r="X678" s="6" t="n">
        <v>1.790842983825894</v>
      </c>
      <c r="Y678" s="6" t="n">
        <v>0.5820241757917688</v>
      </c>
      <c r="Z678" s="6" t="n">
        <v>0.2252944966809435</v>
      </c>
      <c r="AA678" s="6" t="n">
        <v>-0.4797704736827082</v>
      </c>
      <c r="AB678" s="6" t="n">
        <v>0.8395973628432307</v>
      </c>
      <c r="AC678" s="6" t="n">
        <v>0.6816282504447654</v>
      </c>
      <c r="AD678" s="6" t="n">
        <v>1.515626597800254</v>
      </c>
      <c r="AE678" s="6" t="n">
        <v>0.9533873921299991</v>
      </c>
      <c r="AF678" s="6" t="n">
        <v>-2.883488023700885</v>
      </c>
      <c r="AG678" s="6" t="n">
        <v>0.1578709986901737</v>
      </c>
      <c r="AH678" s="6" t="n">
        <v>-0.9427292059575768</v>
      </c>
      <c r="AI678" s="6" t="n">
        <v>3.56983337084537</v>
      </c>
      <c r="AJ678" s="6" t="n">
        <v>80.25446442192288</v>
      </c>
      <c r="AK678" s="6" t="n">
        <v>0.1733412817015101</v>
      </c>
      <c r="AL678" s="6" t="n">
        <v>1.02905726513048</v>
      </c>
      <c r="AN678" s="6" t="n">
        <v>1.353720410805123</v>
      </c>
      <c r="AO678" s="6" t="n">
        <v>1.354068234183124</v>
      </c>
      <c r="AP678" s="6" t="n">
        <v>0.1339749109568697</v>
      </c>
      <c r="AQ678" s="6" t="n">
        <v>0</v>
      </c>
      <c r="AR678" s="6" t="n">
        <v>0</v>
      </c>
    </row>
    <row r="679">
      <c r="D679" t="inlineStr">
        <is>
          <t>Run 367</t>
        </is>
      </c>
      <c r="J679" s="6" t="n">
        <v>-1.336307489555409</v>
      </c>
      <c r="K679" s="6" t="n">
        <v>1.749918726661706</v>
      </c>
      <c r="L679" s="6" t="n">
        <v>-0.8209411136859485</v>
      </c>
      <c r="M679" s="6" t="n">
        <v>1.903061086746961</v>
      </c>
      <c r="N679" s="6" t="n">
        <v>0.3505664218150014</v>
      </c>
      <c r="O679" s="6" t="n">
        <v>1.017466597941109</v>
      </c>
      <c r="P679" s="6" t="n">
        <v>2.435364856963376</v>
      </c>
      <c r="Q679" s="6" t="n">
        <v>2.173725826478763</v>
      </c>
      <c r="R679" s="6" t="n">
        <v>4.1620101455634</v>
      </c>
      <c r="S679" s="6" t="n">
        <v>-1.903024698467993</v>
      </c>
      <c r="T679" s="6" t="n">
        <v>-0.6787462480160151</v>
      </c>
      <c r="U679" s="6" t="n">
        <v>-0.9368999422274065</v>
      </c>
      <c r="V679" s="6" t="n">
        <v>-2.272826419729534</v>
      </c>
      <c r="W679" s="6" t="n">
        <v>2.261052833348991</v>
      </c>
      <c r="X679" s="6" t="n">
        <v>0.3562651254222048</v>
      </c>
      <c r="Y679" s="6" t="n">
        <v>-1.694795005434933</v>
      </c>
      <c r="Z679" s="6" t="n">
        <v>-0.01859353370257546</v>
      </c>
      <c r="AA679" s="6" t="n">
        <v>2.38698962084652</v>
      </c>
      <c r="AB679" s="6" t="n">
        <v>0.1196990138463435</v>
      </c>
      <c r="AC679" s="6" t="n">
        <v>0.4775601307892646</v>
      </c>
      <c r="AD679" s="6" t="n">
        <v>0.5545345885266648</v>
      </c>
      <c r="AE679" s="6" t="n">
        <v>-3.082334807942466</v>
      </c>
      <c r="AF679" s="6" t="n">
        <v>2.189461640844358</v>
      </c>
      <c r="AG679" s="6" t="n">
        <v>0.9300982337404916</v>
      </c>
      <c r="AH679" s="6" t="n">
        <v>-1.668893296275167</v>
      </c>
      <c r="AI679" s="6" t="n">
        <v>-3.387543679174909</v>
      </c>
      <c r="AJ679" s="6" t="n">
        <v>70.93674332690546</v>
      </c>
      <c r="AK679" s="6" t="n">
        <v>0.1269154387704759</v>
      </c>
      <c r="AL679" s="6" t="n">
        <v>1.089556044053698</v>
      </c>
      <c r="AN679" s="6" t="n">
        <v>1.329003973797964</v>
      </c>
      <c r="AO679" s="6" t="n">
        <v>1.329887769666958</v>
      </c>
      <c r="AP679" s="6" t="n">
        <v>0.1295361004029548</v>
      </c>
      <c r="AQ679" s="6" t="n">
        <v>0</v>
      </c>
      <c r="AR679" s="6" t="n">
        <v>0</v>
      </c>
    </row>
    <row r="680">
      <c r="D680" t="inlineStr">
        <is>
          <t>Run 368</t>
        </is>
      </c>
      <c r="J680" s="6" t="n">
        <v>-0.3564233256057222</v>
      </c>
      <c r="K680" s="6" t="n">
        <v>-2.548421645065672</v>
      </c>
      <c r="L680" s="6" t="n">
        <v>-1.373271217201632</v>
      </c>
      <c r="M680" s="6" t="n">
        <v>-1.077642112817081</v>
      </c>
      <c r="N680" s="6" t="n">
        <v>0.3537090421575134</v>
      </c>
      <c r="O680" s="6" t="n">
        <v>-0.05426622351796044</v>
      </c>
      <c r="P680" s="6" t="n">
        <v>-1.673767912996007</v>
      </c>
      <c r="Q680" s="6" t="n">
        <v>-2.406945982736798</v>
      </c>
      <c r="R680" s="6" t="n">
        <v>0.05599742661845165</v>
      </c>
      <c r="S680" s="6" t="n">
        <v>2.211312075832877</v>
      </c>
      <c r="T680" s="6" t="n">
        <v>-2.024110383397133</v>
      </c>
      <c r="U680" s="6" t="n">
        <v>-5.02168339932002</v>
      </c>
      <c r="V680" s="6" t="n">
        <v>-1.971069035717224</v>
      </c>
      <c r="W680" s="6" t="n">
        <v>1.816131941263298</v>
      </c>
      <c r="X680" s="6" t="n">
        <v>-0.07839783937094168</v>
      </c>
      <c r="Y680" s="6" t="n">
        <v>-1.636975411058698</v>
      </c>
      <c r="Z680" s="6" t="n">
        <v>-1.540757149820605</v>
      </c>
      <c r="AA680" s="6" t="n">
        <v>1.41630770496848</v>
      </c>
      <c r="AB680" s="6" t="n">
        <v>2.418440833992533</v>
      </c>
      <c r="AC680" s="6" t="n">
        <v>4.774192425703818</v>
      </c>
      <c r="AD680" s="6" t="n">
        <v>1.141817824663689</v>
      </c>
      <c r="AE680" s="6" t="n">
        <v>1.782822908807181</v>
      </c>
      <c r="AF680" s="6" t="n">
        <v>-1.180686928889444</v>
      </c>
      <c r="AG680" s="6" t="n">
        <v>2.779346549279981</v>
      </c>
      <c r="AH680" s="6" t="n">
        <v>-0.7242360235410208</v>
      </c>
      <c r="AI680" s="6" t="n">
        <v>1.345680805026984</v>
      </c>
      <c r="AJ680" s="6" t="n">
        <v>82.87702075525839</v>
      </c>
      <c r="AK680" s="6" t="n">
        <v>0.1084346146224613</v>
      </c>
      <c r="AL680" s="6" t="n">
        <v>1.063158317683265</v>
      </c>
      <c r="AN680" s="6" t="n">
        <v>1.344838999510108</v>
      </c>
      <c r="AO680" s="6" t="n">
        <v>1.346585720222931</v>
      </c>
      <c r="AP680" s="6" t="n">
        <v>0.1318569143556932</v>
      </c>
      <c r="AQ680" s="6" t="n">
        <v>0</v>
      </c>
      <c r="AR680" s="6" t="n">
        <v>0</v>
      </c>
    </row>
    <row r="681">
      <c r="D681" t="inlineStr">
        <is>
          <t>Run 369</t>
        </is>
      </c>
      <c r="J681" s="6" t="n">
        <v>1.436030038464896</v>
      </c>
      <c r="K681" s="6" t="n">
        <v>-0.02921925266166189</v>
      </c>
      <c r="L681" s="6" t="n">
        <v>-2.80866799623351</v>
      </c>
      <c r="M681" s="6" t="n">
        <v>1.176463749739448</v>
      </c>
      <c r="N681" s="6" t="n">
        <v>2.547186882553456</v>
      </c>
      <c r="O681" s="6" t="n">
        <v>0.2877806972628069</v>
      </c>
      <c r="P681" s="6" t="n">
        <v>-0.3417246951726921</v>
      </c>
      <c r="Q681" s="6" t="n">
        <v>1.693742434047513</v>
      </c>
      <c r="R681" s="6" t="n">
        <v>1.512066956337491</v>
      </c>
      <c r="S681" s="6" t="n">
        <v>-0.1580321616160735</v>
      </c>
      <c r="T681" s="6" t="n">
        <v>-0.3548741066227555</v>
      </c>
      <c r="U681" s="6" t="n">
        <v>-0.5005803201536388</v>
      </c>
      <c r="V681" s="6" t="n">
        <v>2.794163549089857</v>
      </c>
      <c r="W681" s="6" t="n">
        <v>1.36194166970598</v>
      </c>
      <c r="X681" s="6" t="n">
        <v>4.639079062644766</v>
      </c>
      <c r="Y681" s="6" t="n">
        <v>-2.406221161022064</v>
      </c>
      <c r="Z681" s="6" t="n">
        <v>1.259570548580218</v>
      </c>
      <c r="AA681" s="6" t="n">
        <v>0.5481337517849667</v>
      </c>
      <c r="AB681" s="6" t="n">
        <v>0.6599492413013992</v>
      </c>
      <c r="AC681" s="6" t="n">
        <v>2.813699917198906</v>
      </c>
      <c r="AD681" s="6" t="n">
        <v>-0.7077077386073555</v>
      </c>
      <c r="AE681" s="6" t="n">
        <v>0.2077406389007082</v>
      </c>
      <c r="AF681" s="6" t="n">
        <v>1.940663501592719</v>
      </c>
      <c r="AG681" s="6" t="n">
        <v>-1.110218941660615</v>
      </c>
      <c r="AH681" s="6" t="n">
        <v>-1.94369307305128</v>
      </c>
      <c r="AI681" s="6" t="n">
        <v>0.05074212968755822</v>
      </c>
      <c r="AJ681" s="6" t="n">
        <v>66.82781659825153</v>
      </c>
      <c r="AK681" s="6" t="n">
        <v>0.1074906816830697</v>
      </c>
      <c r="AL681" s="6" t="n">
        <v>1.089896678089882</v>
      </c>
      <c r="AN681" s="6" t="n">
        <v>1.331924547303442</v>
      </c>
      <c r="AO681" s="6" t="n">
        <v>1.332299734965039</v>
      </c>
      <c r="AP681" s="6" t="n">
        <v>0.1297439445673463</v>
      </c>
      <c r="AQ681" s="6" t="n">
        <v>0</v>
      </c>
      <c r="AR681" s="6" t="n">
        <v>0</v>
      </c>
    </row>
    <row r="682">
      <c r="D682" t="inlineStr">
        <is>
          <t>Run 370</t>
        </is>
      </c>
      <c r="J682" s="6" t="n">
        <v>1.332122498828209</v>
      </c>
      <c r="K682" s="6" t="n">
        <v>0.9038093311957291</v>
      </c>
      <c r="L682" s="6" t="n">
        <v>1.230716056525959</v>
      </c>
      <c r="M682" s="6" t="n">
        <v>0.8731054391566931</v>
      </c>
      <c r="N682" s="6" t="n">
        <v>3.088154055226946</v>
      </c>
      <c r="O682" s="6" t="n">
        <v>-3.025694124747288</v>
      </c>
      <c r="P682" s="6" t="n">
        <v>-4.040507320560948</v>
      </c>
      <c r="Q682" s="6" t="n">
        <v>1.060075299853849</v>
      </c>
      <c r="R682" s="6" t="n">
        <v>5</v>
      </c>
      <c r="S682" s="6" t="n">
        <v>1.326963980897335</v>
      </c>
      <c r="T682" s="6" t="n">
        <v>-4.122397836732636</v>
      </c>
      <c r="U682" s="6" t="n">
        <v>0.3096601440626346</v>
      </c>
      <c r="V682" s="6" t="n">
        <v>2.448440274176912</v>
      </c>
      <c r="W682" s="6" t="n">
        <v>0.801355921106068</v>
      </c>
      <c r="X682" s="6" t="n">
        <v>1.316719732271355</v>
      </c>
      <c r="Y682" s="6" t="n">
        <v>1.306117460044258</v>
      </c>
      <c r="Z682" s="6" t="n">
        <v>-0.3525744998400762</v>
      </c>
      <c r="AA682" s="6" t="n">
        <v>1.831540414211884</v>
      </c>
      <c r="AB682" s="6" t="n">
        <v>4.069087258910711</v>
      </c>
      <c r="AC682" s="6" t="n">
        <v>0.05644193407558025</v>
      </c>
      <c r="AD682" s="6" t="n">
        <v>2.318687843748079</v>
      </c>
      <c r="AE682" s="6" t="n">
        <v>-1.184349078469305</v>
      </c>
      <c r="AF682" s="6" t="n">
        <v>0.3260434816158946</v>
      </c>
      <c r="AG682" s="6" t="n">
        <v>0.7481007761407251</v>
      </c>
      <c r="AH682" s="6" t="n">
        <v>0.8021919682603128</v>
      </c>
      <c r="AI682" s="6" t="n">
        <v>-0.1463160629841793</v>
      </c>
      <c r="AJ682" s="6" t="n">
        <v>76.17170190795905</v>
      </c>
      <c r="AK682" s="6" t="n">
        <v>0.0760544059018953</v>
      </c>
      <c r="AL682" s="6" t="n">
        <v>1.027383209857999</v>
      </c>
      <c r="AN682" s="6" t="n">
        <v>1.352657484158499</v>
      </c>
      <c r="AO682" s="6" t="n">
        <v>1.352657484158499</v>
      </c>
      <c r="AP682" s="6" t="n">
        <v>0.1362701384738141</v>
      </c>
      <c r="AQ682" s="6" t="n">
        <v>0</v>
      </c>
      <c r="AR682" s="6" t="n">
        <v>0</v>
      </c>
    </row>
    <row r="683">
      <c r="D683" t="inlineStr">
        <is>
          <t>Run 371</t>
        </is>
      </c>
      <c r="J683" s="6" t="n">
        <v>4.248127636172957</v>
      </c>
      <c r="K683" s="6" t="n">
        <v>-1.380768636337034</v>
      </c>
      <c r="L683" s="6" t="n">
        <v>3.446002219531749</v>
      </c>
      <c r="M683" s="6" t="n">
        <v>-1.21072619526133</v>
      </c>
      <c r="N683" s="6" t="n">
        <v>-1.046102482842065</v>
      </c>
      <c r="O683" s="6" t="n">
        <v>1.68720611506548</v>
      </c>
      <c r="P683" s="6" t="n">
        <v>0.02251627355986867</v>
      </c>
      <c r="Q683" s="6" t="n">
        <v>-4.401887408593172</v>
      </c>
      <c r="R683" s="6" t="n">
        <v>1.9350311977335</v>
      </c>
      <c r="S683" s="6" t="n">
        <v>-1.104493999599722</v>
      </c>
      <c r="T683" s="6" t="n">
        <v>-2.258846102314666</v>
      </c>
      <c r="U683" s="6" t="n">
        <v>3.225911081269581</v>
      </c>
      <c r="V683" s="6" t="n">
        <v>0.3759072477744819</v>
      </c>
      <c r="W683" s="6" t="n">
        <v>2.056908566421252</v>
      </c>
      <c r="X683" s="6" t="n">
        <v>-5.374423808605133</v>
      </c>
      <c r="Y683" s="6" t="n">
        <v>-1.585512911959273</v>
      </c>
      <c r="Z683" s="6" t="n">
        <v>1.345980713500804</v>
      </c>
      <c r="AA683" s="6" t="n">
        <v>0.6540038570095608</v>
      </c>
      <c r="AB683" s="6" t="n">
        <v>-3.26094565862368</v>
      </c>
      <c r="AC683" s="6" t="n">
        <v>-2.775317509242796</v>
      </c>
      <c r="AD683" s="6" t="n">
        <v>0.6781618352885764</v>
      </c>
      <c r="AE683" s="6" t="n">
        <v>1.950107819347672</v>
      </c>
      <c r="AF683" s="6" t="n">
        <v>1.008980571035665</v>
      </c>
      <c r="AG683" s="6" t="n">
        <v>0.3455754452562287</v>
      </c>
      <c r="AH683" s="6" t="n">
        <v>1.41545672778762</v>
      </c>
      <c r="AI683" s="6" t="n">
        <v>-0.4189356885074602</v>
      </c>
      <c r="AJ683" s="6" t="n">
        <v>78.80627340921524</v>
      </c>
      <c r="AK683" s="6" t="n">
        <v>0.09757350243172036</v>
      </c>
      <c r="AL683" s="6" t="n">
        <v>1.032309152180089</v>
      </c>
      <c r="AN683" s="6" t="n">
        <v>1.352766827299013</v>
      </c>
      <c r="AO683" s="6" t="n">
        <v>1.355167793998408</v>
      </c>
      <c r="AP683" s="6" t="n">
        <v>0.1347604963418258</v>
      </c>
      <c r="AQ683" s="6" t="n">
        <v>0</v>
      </c>
      <c r="AR683" s="6" t="n">
        <v>0</v>
      </c>
    </row>
    <row r="684">
      <c r="D684" t="inlineStr">
        <is>
          <t>Run 372</t>
        </is>
      </c>
      <c r="J684" s="6" t="n">
        <v>0.8527879502827747</v>
      </c>
      <c r="K684" s="6" t="n">
        <v>2.166309141806348</v>
      </c>
      <c r="L684" s="6" t="n">
        <v>2.488097749637577</v>
      </c>
      <c r="M684" s="6" t="n">
        <v>-1.325451506993104</v>
      </c>
      <c r="N684" s="6" t="n">
        <v>2.773228212379836</v>
      </c>
      <c r="O684" s="6" t="n">
        <v>-0.1616403627556877</v>
      </c>
      <c r="P684" s="6" t="n">
        <v>-0.5202017090184129</v>
      </c>
      <c r="Q684" s="6" t="n">
        <v>-6.069794984373732</v>
      </c>
      <c r="R684" s="6" t="n">
        <v>-4.509734845191368</v>
      </c>
      <c r="S684" s="6" t="n">
        <v>-0.8195940756436041</v>
      </c>
      <c r="T684" s="6" t="n">
        <v>0.5229112519028863</v>
      </c>
      <c r="U684" s="6" t="n">
        <v>0.4719730394702989</v>
      </c>
      <c r="V684" s="6" t="n">
        <v>4.040044986256847</v>
      </c>
      <c r="W684" s="6" t="n">
        <v>-0.324068002442842</v>
      </c>
      <c r="X684" s="6" t="n">
        <v>-1.853896995900324</v>
      </c>
      <c r="Y684" s="6" t="n">
        <v>0.3068730432469438</v>
      </c>
      <c r="Z684" s="6" t="n">
        <v>-0.01184841045726873</v>
      </c>
      <c r="AA684" s="6" t="n">
        <v>0.08598015527756722</v>
      </c>
      <c r="AB684" s="6" t="n">
        <v>-0.7699238967973856</v>
      </c>
      <c r="AC684" s="6" t="n">
        <v>-1.66930425858977</v>
      </c>
      <c r="AD684" s="6" t="n">
        <v>0.5713421343235443</v>
      </c>
      <c r="AE684" s="6" t="n">
        <v>-2.676355783042856</v>
      </c>
      <c r="AF684" s="6" t="n">
        <v>-1.837564763375383</v>
      </c>
      <c r="AG684" s="6" t="n">
        <v>-1.132374209967886</v>
      </c>
      <c r="AH684" s="6" t="n">
        <v>-0.8872238150391987</v>
      </c>
      <c r="AI684" s="6" t="n">
        <v>-1.142945877877432</v>
      </c>
      <c r="AJ684" s="6" t="n">
        <v>77.88141646174951</v>
      </c>
      <c r="AK684" s="6" t="n">
        <v>0.1023540803499347</v>
      </c>
      <c r="AL684" s="6" t="n">
        <v>1.014086405087138</v>
      </c>
      <c r="AN684" s="6" t="n">
        <v>1.355916341192964</v>
      </c>
      <c r="AO684" s="6" t="n">
        <v>1.355916341192964</v>
      </c>
      <c r="AP684" s="6" t="n">
        <v>0.1366210366948981</v>
      </c>
      <c r="AQ684" s="6" t="n">
        <v>0</v>
      </c>
      <c r="AR684" s="6" t="n">
        <v>0</v>
      </c>
    </row>
    <row r="685">
      <c r="D685" t="inlineStr">
        <is>
          <t>Run 373</t>
        </is>
      </c>
      <c r="J685" s="6" t="n">
        <v>-1.135714654729653</v>
      </c>
      <c r="K685" s="6" t="n">
        <v>-2.545321111465439</v>
      </c>
      <c r="L685" s="6" t="n">
        <v>-0.9875975830473895</v>
      </c>
      <c r="M685" s="6" t="n">
        <v>-0.8004547419384572</v>
      </c>
      <c r="N685" s="6" t="n">
        <v>3.607257701530275</v>
      </c>
      <c r="O685" s="6" t="n">
        <v>0.02647800252604577</v>
      </c>
      <c r="P685" s="6" t="n">
        <v>-2.579830530212976</v>
      </c>
      <c r="Q685" s="6" t="n">
        <v>-0.7188601444299394</v>
      </c>
      <c r="R685" s="6" t="n">
        <v>2.007611045635566</v>
      </c>
      <c r="S685" s="6" t="n">
        <v>-2.384607907935237</v>
      </c>
      <c r="T685" s="6" t="n">
        <v>-0.8967939741163208</v>
      </c>
      <c r="U685" s="6" t="n">
        <v>0.1707976949680828</v>
      </c>
      <c r="V685" s="6" t="n">
        <v>1.287233744849468</v>
      </c>
      <c r="W685" s="6" t="n">
        <v>-4.135304590991073</v>
      </c>
      <c r="X685" s="6" t="n">
        <v>0.8573974010019771</v>
      </c>
      <c r="Y685" s="6" t="n">
        <v>0.43506346464408</v>
      </c>
      <c r="Z685" s="6" t="n">
        <v>0.8513137224022846</v>
      </c>
      <c r="AA685" s="6" t="n">
        <v>-1.397850702109952</v>
      </c>
      <c r="AB685" s="6" t="n">
        <v>0.5285482101467653</v>
      </c>
      <c r="AC685" s="6" t="n">
        <v>-2.696783670327286</v>
      </c>
      <c r="AD685" s="6" t="n">
        <v>0.07292491977718428</v>
      </c>
      <c r="AE685" s="6" t="n">
        <v>-0.332448360084549</v>
      </c>
      <c r="AF685" s="6" t="n">
        <v>0.1424584380725876</v>
      </c>
      <c r="AG685" s="6" t="n">
        <v>3.577053139797609</v>
      </c>
      <c r="AH685" s="6" t="n">
        <v>-1.49653651658305</v>
      </c>
      <c r="AI685" s="6" t="n">
        <v>-0.6946027793248334</v>
      </c>
      <c r="AJ685" s="6" t="n">
        <v>66.94617648518164</v>
      </c>
      <c r="AK685" s="6" t="n">
        <v>0.1621868239642224</v>
      </c>
      <c r="AL685" s="6" t="n">
        <v>0.9713268552135058</v>
      </c>
      <c r="AN685" s="6" t="n">
        <v>1.359207853877979</v>
      </c>
      <c r="AO685" s="6" t="n">
        <v>1.359207853877979</v>
      </c>
      <c r="AP685" s="6" t="n">
        <v>0.1433459382090393</v>
      </c>
      <c r="AQ685" s="6" t="n">
        <v>0</v>
      </c>
      <c r="AR685" s="6" t="n">
        <v>0</v>
      </c>
    </row>
    <row r="686">
      <c r="D686" t="inlineStr">
        <is>
          <t>Run 374</t>
        </is>
      </c>
      <c r="J686" s="6" t="n">
        <v>-0.5214698334443254</v>
      </c>
      <c r="K686" s="6" t="n">
        <v>-1.236720938442798</v>
      </c>
      <c r="L686" s="6" t="n">
        <v>2.333591287402535</v>
      </c>
      <c r="M686" s="6" t="n">
        <v>-1.539850684894478</v>
      </c>
      <c r="N686" s="6" t="n">
        <v>0.8373729165639756</v>
      </c>
      <c r="O686" s="6" t="n">
        <v>1.241990113008849</v>
      </c>
      <c r="P686" s="6" t="n">
        <v>3.516647198010387</v>
      </c>
      <c r="Q686" s="6" t="n">
        <v>-1.955587554941065</v>
      </c>
      <c r="R686" s="6" t="n">
        <v>2.146483102013617</v>
      </c>
      <c r="S686" s="6" t="n">
        <v>-0.1754267069505455</v>
      </c>
      <c r="T686" s="6" t="n">
        <v>-2.003696853606695</v>
      </c>
      <c r="U686" s="6" t="n">
        <v>1.447460218691907</v>
      </c>
      <c r="V686" s="6" t="n">
        <v>0.1110224590074123</v>
      </c>
      <c r="W686" s="6" t="n">
        <v>-2.451318555871716</v>
      </c>
      <c r="X686" s="6" t="n">
        <v>-1.526375558264772</v>
      </c>
      <c r="Y686" s="6" t="n">
        <v>-3.060830167606557</v>
      </c>
      <c r="Z686" s="6" t="n">
        <v>-2.174853198505834</v>
      </c>
      <c r="AA686" s="6" t="n">
        <v>-2.352981236847501</v>
      </c>
      <c r="AB686" s="6" t="n">
        <v>0.1243723480176168</v>
      </c>
      <c r="AC686" s="6" t="n">
        <v>-0.485170022717276</v>
      </c>
      <c r="AD686" s="6" t="n">
        <v>-0.3990265006425284</v>
      </c>
      <c r="AE686" s="6" t="n">
        <v>1.865858687677449</v>
      </c>
      <c r="AF686" s="6" t="n">
        <v>1.001471937056947</v>
      </c>
      <c r="AG686" s="6" t="n">
        <v>0.5372470687776809</v>
      </c>
      <c r="AH686" s="6" t="n">
        <v>2.725745591948721</v>
      </c>
      <c r="AI686" s="6" t="n">
        <v>-0.6348007907693872</v>
      </c>
      <c r="AJ686" s="6" t="n">
        <v>77.61217536221686</v>
      </c>
      <c r="AK686" s="6" t="n">
        <v>0.1371217372463126</v>
      </c>
      <c r="AL686" s="6" t="n">
        <v>1.069094024895834</v>
      </c>
      <c r="AN686" s="6" t="n">
        <v>1.333647149652958</v>
      </c>
      <c r="AO686" s="6" t="n">
        <v>1.336968069993312</v>
      </c>
      <c r="AP686" s="6" t="n">
        <v>0.1305288721904427</v>
      </c>
      <c r="AQ686" s="6" t="n">
        <v>0</v>
      </c>
      <c r="AR686" s="6" t="n">
        <v>0</v>
      </c>
    </row>
    <row r="687">
      <c r="D687" t="inlineStr">
        <is>
          <t>Run 375</t>
        </is>
      </c>
      <c r="J687" s="6" t="n">
        <v>2.744581797790364</v>
      </c>
      <c r="K687" s="6" t="n">
        <v>2.023106767526876</v>
      </c>
      <c r="L687" s="6" t="n">
        <v>0.5221336970372061</v>
      </c>
      <c r="M687" s="6" t="n">
        <v>0.01036550312507651</v>
      </c>
      <c r="N687" s="6" t="n">
        <v>0.09137315662969635</v>
      </c>
      <c r="O687" s="6" t="n">
        <v>-0.3752864650253238</v>
      </c>
      <c r="P687" s="6" t="n">
        <v>-1.11376714359835</v>
      </c>
      <c r="Q687" s="6" t="n">
        <v>-1.325308370800455</v>
      </c>
      <c r="R687" s="6" t="n">
        <v>-0.5930679457365814</v>
      </c>
      <c r="S687" s="6" t="n">
        <v>-1.132782512602979</v>
      </c>
      <c r="T687" s="6" t="n">
        <v>-4.392022823538526</v>
      </c>
      <c r="U687" s="6" t="n">
        <v>-1.684706723947214</v>
      </c>
      <c r="V687" s="6" t="n">
        <v>1.613105981371212</v>
      </c>
      <c r="W687" s="6" t="n">
        <v>1.521220243212717</v>
      </c>
      <c r="X687" s="6" t="n">
        <v>2.312647875226108</v>
      </c>
      <c r="Y687" s="6" t="n">
        <v>-1.439958634699807</v>
      </c>
      <c r="Z687" s="6" t="n">
        <v>4.186775863733678</v>
      </c>
      <c r="AA687" s="6" t="n">
        <v>-2.271657935319887</v>
      </c>
      <c r="AB687" s="6" t="n">
        <v>-1.577398629240012</v>
      </c>
      <c r="AC687" s="6" t="n">
        <v>-1.864402097316751</v>
      </c>
      <c r="AD687" s="6" t="n">
        <v>0.6700369438627261</v>
      </c>
      <c r="AE687" s="6" t="n">
        <v>2.960123596922388</v>
      </c>
      <c r="AF687" s="6" t="n">
        <v>-1.381827728432568</v>
      </c>
      <c r="AG687" s="6" t="n">
        <v>1.766363939438575</v>
      </c>
      <c r="AH687" s="6" t="n">
        <v>1.223817607131878</v>
      </c>
      <c r="AI687" s="6" t="n">
        <v>2.747149272708992</v>
      </c>
      <c r="AJ687" s="6" t="n">
        <v>77.6201823601567</v>
      </c>
      <c r="AK687" s="6" t="n">
        <v>0.1869634269145563</v>
      </c>
      <c r="AL687" s="6" t="n">
        <v>1.116808010168606</v>
      </c>
      <c r="AN687" s="6" t="n">
        <v>1.317925526932297</v>
      </c>
      <c r="AO687" s="6" t="n">
        <v>1.318799493568676</v>
      </c>
      <c r="AP687" s="6" t="n">
        <v>0.1267234383482337</v>
      </c>
      <c r="AQ687" s="6" t="n">
        <v>0</v>
      </c>
      <c r="AR687" s="6" t="n">
        <v>0</v>
      </c>
    </row>
    <row r="688">
      <c r="D688" t="inlineStr">
        <is>
          <t>Run 376</t>
        </is>
      </c>
      <c r="J688" s="6" t="n">
        <v>-0.1910743599771174</v>
      </c>
      <c r="K688" s="6" t="n">
        <v>2.653281524141483</v>
      </c>
      <c r="L688" s="6" t="n">
        <v>1.675602394472195</v>
      </c>
      <c r="M688" s="6" t="n">
        <v>0.2952082564204971</v>
      </c>
      <c r="N688" s="6" t="n">
        <v>-0.851277162601765</v>
      </c>
      <c r="O688" s="6" t="n">
        <v>-0.1672377615171756</v>
      </c>
      <c r="P688" s="6" t="n">
        <v>4.49716811184224</v>
      </c>
      <c r="Q688" s="6" t="n">
        <v>-1.314745379351334</v>
      </c>
      <c r="R688" s="6" t="n">
        <v>-0.1803215593010406</v>
      </c>
      <c r="S688" s="6" t="n">
        <v>-3.146967071622905</v>
      </c>
      <c r="T688" s="6" t="n">
        <v>-0.4334424081660732</v>
      </c>
      <c r="U688" s="6" t="n">
        <v>-2.335116817180374</v>
      </c>
      <c r="V688" s="6" t="n">
        <v>-0.3978102891006267</v>
      </c>
      <c r="W688" s="6" t="n">
        <v>-2.251170742081587</v>
      </c>
      <c r="X688" s="6" t="n">
        <v>-0.7211610353421978</v>
      </c>
      <c r="Y688" s="6" t="n">
        <v>-0.7349564486018682</v>
      </c>
      <c r="Z688" s="6" t="n">
        <v>-4.377714152939403</v>
      </c>
      <c r="AA688" s="6" t="n">
        <v>-2.470105033678719</v>
      </c>
      <c r="AB688" s="6" t="n">
        <v>0.2774547094026569</v>
      </c>
      <c r="AC688" s="6" t="n">
        <v>-0.8818568355395889</v>
      </c>
      <c r="AD688" s="6" t="n">
        <v>-2.312979500156005</v>
      </c>
      <c r="AE688" s="6" t="n">
        <v>2.219845491716727</v>
      </c>
      <c r="AF688" s="6" t="n">
        <v>2.678779292887942</v>
      </c>
      <c r="AG688" s="6" t="n">
        <v>0.1026974301991707</v>
      </c>
      <c r="AH688" s="6" t="n">
        <v>-1.989268223973262</v>
      </c>
      <c r="AI688" s="6" t="n">
        <v>-3.48814340965605</v>
      </c>
      <c r="AJ688" s="6" t="n">
        <v>72.09817973030496</v>
      </c>
      <c r="AK688" s="6" t="n">
        <v>0.09599154579619323</v>
      </c>
      <c r="AL688" s="6" t="n">
        <v>1.056632935365931</v>
      </c>
      <c r="AN688" s="6" t="n">
        <v>1.345209492868852</v>
      </c>
      <c r="AO688" s="6" t="n">
        <v>1.345593271661102</v>
      </c>
      <c r="AP688" s="6" t="n">
        <v>0.1322449369906005</v>
      </c>
      <c r="AQ688" s="6" t="n">
        <v>0</v>
      </c>
      <c r="AR688" s="6" t="n">
        <v>0</v>
      </c>
    </row>
    <row r="689">
      <c r="D689" t="inlineStr">
        <is>
          <t>Run 377</t>
        </is>
      </c>
      <c r="J689" s="6" t="n">
        <v>-4.071662410420212</v>
      </c>
      <c r="K689" s="6" t="n">
        <v>1.467839925268756</v>
      </c>
      <c r="L689" s="6" t="n">
        <v>0.135889355070068</v>
      </c>
      <c r="M689" s="6" t="n">
        <v>-1.265741386603322</v>
      </c>
      <c r="N689" s="6" t="n">
        <v>-0.665084911588284</v>
      </c>
      <c r="O689" s="6" t="n">
        <v>2.498146177699195</v>
      </c>
      <c r="P689" s="6" t="n">
        <v>-0.7913163445219726</v>
      </c>
      <c r="Q689" s="6" t="n">
        <v>-1.047914101985133</v>
      </c>
      <c r="R689" s="6" t="n">
        <v>-2.518384662137201</v>
      </c>
      <c r="S689" s="6" t="n">
        <v>2.228680305883468</v>
      </c>
      <c r="T689" s="6" t="n">
        <v>0.9869956367417371</v>
      </c>
      <c r="U689" s="6" t="n">
        <v>1.968856607368074</v>
      </c>
      <c r="V689" s="6" t="n">
        <v>-1.668809088151833</v>
      </c>
      <c r="W689" s="6" t="n">
        <v>-3.151248916863452</v>
      </c>
      <c r="X689" s="6" t="n">
        <v>1.384372454156082</v>
      </c>
      <c r="Y689" s="6" t="n">
        <v>0.1993940618661897</v>
      </c>
      <c r="Z689" s="6" t="n">
        <v>1.821008034320744</v>
      </c>
      <c r="AA689" s="6" t="n">
        <v>-0.4937895872446717</v>
      </c>
      <c r="AB689" s="6" t="n">
        <v>-3.169208746019732</v>
      </c>
      <c r="AC689" s="6" t="n">
        <v>-0.992275742676632</v>
      </c>
      <c r="AD689" s="6" t="n">
        <v>-1.346842189928781</v>
      </c>
      <c r="AE689" s="6" t="n">
        <v>-1.836827173517534</v>
      </c>
      <c r="AF689" s="6" t="n">
        <v>-4.370623865081571</v>
      </c>
      <c r="AG689" s="6" t="n">
        <v>0.4679498907578244</v>
      </c>
      <c r="AH689" s="6" t="n">
        <v>0.04065183503039718</v>
      </c>
      <c r="AI689" s="6" t="n">
        <v>-0.1055142600724322</v>
      </c>
      <c r="AJ689" s="6" t="n">
        <v>76.95255189558674</v>
      </c>
      <c r="AK689" s="6" t="n">
        <v>0.1364181398810766</v>
      </c>
      <c r="AL689" s="6" t="n">
        <v>1.032161708964826</v>
      </c>
      <c r="AN689" s="6" t="n">
        <v>1.348448992114891</v>
      </c>
      <c r="AO689" s="6" t="n">
        <v>1.351569224912903</v>
      </c>
      <c r="AP689" s="6" t="n">
        <v>0.1340824929224264</v>
      </c>
      <c r="AQ689" s="6" t="n">
        <v>0</v>
      </c>
      <c r="AR689" s="6" t="n">
        <v>0</v>
      </c>
    </row>
    <row r="690">
      <c r="D690" t="inlineStr">
        <is>
          <t>Run 378</t>
        </is>
      </c>
      <c r="J690" s="6" t="n">
        <v>1.354661888297135</v>
      </c>
      <c r="K690" s="6" t="n">
        <v>-4.104843128612754</v>
      </c>
      <c r="L690" s="6" t="n">
        <v>0.9785190662773078</v>
      </c>
      <c r="M690" s="6" t="n">
        <v>-2.017192237977315</v>
      </c>
      <c r="N690" s="6" t="n">
        <v>0.968851563401031</v>
      </c>
      <c r="O690" s="6" t="n">
        <v>4.55119914203324</v>
      </c>
      <c r="P690" s="6" t="n">
        <v>-1.966554339988916</v>
      </c>
      <c r="Q690" s="6" t="n">
        <v>2.643585481866743</v>
      </c>
      <c r="R690" s="6" t="n">
        <v>-3.978844513900743</v>
      </c>
      <c r="S690" s="6" t="n">
        <v>0.04356008216865595</v>
      </c>
      <c r="T690" s="6" t="n">
        <v>2.620917199562781</v>
      </c>
      <c r="U690" s="6" t="n">
        <v>3.065541806736636</v>
      </c>
      <c r="V690" s="6" t="n">
        <v>-0.2046525350556675</v>
      </c>
      <c r="W690" s="6" t="n">
        <v>5</v>
      </c>
      <c r="X690" s="6" t="n">
        <v>-4.115969969992772</v>
      </c>
      <c r="Y690" s="6" t="n">
        <v>-3.962356615548126</v>
      </c>
      <c r="Z690" s="6" t="n">
        <v>1.748155834965624</v>
      </c>
      <c r="AA690" s="6" t="n">
        <v>4.371233129910054</v>
      </c>
      <c r="AB690" s="6" t="n">
        <v>0.7566366051240824</v>
      </c>
      <c r="AC690" s="6" t="n">
        <v>0.180302580892658</v>
      </c>
      <c r="AD690" s="6" t="n">
        <v>1.474020559159923</v>
      </c>
      <c r="AE690" s="6" t="n">
        <v>0.3409482590203996</v>
      </c>
      <c r="AF690" s="6" t="n">
        <v>-4.489865080987746</v>
      </c>
      <c r="AG690" s="6" t="n">
        <v>2.662535137029979</v>
      </c>
      <c r="AH690" s="6" t="n">
        <v>-2.038577334295005</v>
      </c>
      <c r="AI690" s="6" t="n">
        <v>0.5006368043312311</v>
      </c>
      <c r="AJ690" s="6" t="n">
        <v>74.25859370500343</v>
      </c>
      <c r="AK690" s="6" t="n">
        <v>0.08837747936538833</v>
      </c>
      <c r="AL690" s="6" t="n">
        <v>1.038055001589888</v>
      </c>
      <c r="AN690" s="6" t="n">
        <v>1.338147586232654</v>
      </c>
      <c r="AO690" s="6" t="n">
        <v>1.344713457015398</v>
      </c>
      <c r="AP690" s="6" t="n">
        <v>0.1341065967946361</v>
      </c>
      <c r="AQ690" s="6" t="n">
        <v>0</v>
      </c>
      <c r="AR690" s="6" t="n">
        <v>0</v>
      </c>
    </row>
    <row r="691">
      <c r="D691" t="inlineStr">
        <is>
          <t>Run 379</t>
        </is>
      </c>
      <c r="J691" s="6" t="n">
        <v>-1.048650216849278</v>
      </c>
      <c r="K691" s="6" t="n">
        <v>-0.2820177111166189</v>
      </c>
      <c r="L691" s="6" t="n">
        <v>-2.314241378110945</v>
      </c>
      <c r="M691" s="6" t="n">
        <v>-2.193915290139648</v>
      </c>
      <c r="N691" s="6" t="n">
        <v>-1.672866564886343</v>
      </c>
      <c r="O691" s="6" t="n">
        <v>0.1737254332660101</v>
      </c>
      <c r="P691" s="6" t="n">
        <v>-0.7589035019218401</v>
      </c>
      <c r="Q691" s="6" t="n">
        <v>2.729163185511807</v>
      </c>
      <c r="R691" s="6" t="n">
        <v>4.693885427488373</v>
      </c>
      <c r="S691" s="6" t="n">
        <v>0.4700539744925675</v>
      </c>
      <c r="T691" s="6" t="n">
        <v>1.212389190895683</v>
      </c>
      <c r="U691" s="6" t="n">
        <v>1.163574861029954</v>
      </c>
      <c r="V691" s="6" t="n">
        <v>-0.9336952374677185</v>
      </c>
      <c r="W691" s="6" t="n">
        <v>-1.00339298865191</v>
      </c>
      <c r="X691" s="6" t="n">
        <v>3.904105573460698</v>
      </c>
      <c r="Y691" s="6" t="n">
        <v>-0.2012436260024982</v>
      </c>
      <c r="Z691" s="6" t="n">
        <v>0.8876003944584731</v>
      </c>
      <c r="AA691" s="6" t="n">
        <v>0.9303762476414883</v>
      </c>
      <c r="AB691" s="6" t="n">
        <v>-2.141914628691372</v>
      </c>
      <c r="AC691" s="6" t="n">
        <v>-0.4946875887063036</v>
      </c>
      <c r="AD691" s="6" t="n">
        <v>-0.7213505732567478</v>
      </c>
      <c r="AE691" s="6" t="n">
        <v>0.6692309954972909</v>
      </c>
      <c r="AF691" s="6" t="n">
        <v>-0.1216546115250973</v>
      </c>
      <c r="AG691" s="6" t="n">
        <v>3.527813575798544</v>
      </c>
      <c r="AH691" s="6" t="n">
        <v>-0.5209428180509218</v>
      </c>
      <c r="AI691" s="6" t="n">
        <v>-1.950235261114677</v>
      </c>
      <c r="AJ691" s="6" t="n">
        <v>73.31361813031782</v>
      </c>
      <c r="AK691" s="6" t="n">
        <v>0.1421945143248201</v>
      </c>
      <c r="AL691" s="6" t="n">
        <v>1.044878943806788</v>
      </c>
      <c r="AN691" s="6" t="n">
        <v>1.329465275600928</v>
      </c>
      <c r="AO691" s="6" t="n">
        <v>1.334782281976471</v>
      </c>
      <c r="AP691" s="6" t="n">
        <v>0.1324964305202479</v>
      </c>
      <c r="AQ691" s="6" t="n">
        <v>0</v>
      </c>
      <c r="AR691" s="6" t="n">
        <v>0</v>
      </c>
    </row>
    <row r="692">
      <c r="D692" t="inlineStr">
        <is>
          <t>Run 380</t>
        </is>
      </c>
      <c r="J692" s="6" t="n">
        <v>1.026357937827847</v>
      </c>
      <c r="K692" s="6" t="n">
        <v>-1.12095973722897</v>
      </c>
      <c r="L692" s="6" t="n">
        <v>-1.323432056763812</v>
      </c>
      <c r="M692" s="6" t="n">
        <v>-1.069151322768141</v>
      </c>
      <c r="N692" s="6" t="n">
        <v>-1.467688994980145</v>
      </c>
      <c r="O692" s="6" t="n">
        <v>-1.228441047001241</v>
      </c>
      <c r="P692" s="6" t="n">
        <v>3.444793235160829</v>
      </c>
      <c r="Q692" s="6" t="n">
        <v>-4.745750296078153</v>
      </c>
      <c r="R692" s="6" t="n">
        <v>0.6088615869314592</v>
      </c>
      <c r="S692" s="6" t="n">
        <v>0.1476108028676007</v>
      </c>
      <c r="T692" s="6" t="n">
        <v>1.684446819872036</v>
      </c>
      <c r="U692" s="6" t="n">
        <v>-2.741975958424657</v>
      </c>
      <c r="V692" s="6" t="n">
        <v>-1.765709145248057</v>
      </c>
      <c r="W692" s="6" t="n">
        <v>1.94798262002924</v>
      </c>
      <c r="X692" s="6" t="n">
        <v>0.8108578287154715</v>
      </c>
      <c r="Y692" s="6" t="n">
        <v>-3.010657381849496</v>
      </c>
      <c r="Z692" s="6" t="n">
        <v>-0.3816548760194871</v>
      </c>
      <c r="AA692" s="6" t="n">
        <v>0.7522947091571879</v>
      </c>
      <c r="AB692" s="6" t="n">
        <v>-0.3484951031674518</v>
      </c>
      <c r="AC692" s="6" t="n">
        <v>-0.6634923953145623</v>
      </c>
      <c r="AD692" s="6" t="n">
        <v>-1.365912767553642</v>
      </c>
      <c r="AE692" s="6" t="n">
        <v>-4.347571239796113</v>
      </c>
      <c r="AF692" s="6" t="n">
        <v>2.976209807400312</v>
      </c>
      <c r="AG692" s="6" t="n">
        <v>4.311364859584868</v>
      </c>
      <c r="AH692" s="6" t="n">
        <v>-1.231203876030236</v>
      </c>
      <c r="AI692" s="6" t="n">
        <v>-1.136473387842738</v>
      </c>
      <c r="AJ692" s="6" t="n">
        <v>63.12571847561895</v>
      </c>
      <c r="AK692" s="6" t="n">
        <v>0.155528218135607</v>
      </c>
      <c r="AL692" s="6" t="n">
        <v>1.058953240750728</v>
      </c>
      <c r="AN692" s="6" t="n">
        <v>1.335793965529549</v>
      </c>
      <c r="AO692" s="6" t="n">
        <v>1.337809271043372</v>
      </c>
      <c r="AP692" s="6" t="n">
        <v>0.1297303053223255</v>
      </c>
      <c r="AQ692" s="6" t="n">
        <v>0</v>
      </c>
      <c r="AR692" s="6" t="n">
        <v>0</v>
      </c>
    </row>
    <row r="693">
      <c r="D693" t="inlineStr">
        <is>
          <t>Run 381</t>
        </is>
      </c>
      <c r="J693" s="6" t="n">
        <v>1.386374195392697</v>
      </c>
      <c r="K693" s="6" t="n">
        <v>4.077611460543801</v>
      </c>
      <c r="L693" s="6" t="n">
        <v>0.01659568050579253</v>
      </c>
      <c r="M693" s="6" t="n">
        <v>0.6952884972823684</v>
      </c>
      <c r="N693" s="6" t="n">
        <v>0.9265789472764734</v>
      </c>
      <c r="O693" s="6" t="n">
        <v>-2.459027688613072</v>
      </c>
      <c r="P693" s="6" t="n">
        <v>-1.709633173312525</v>
      </c>
      <c r="Q693" s="6" t="n">
        <v>-0.8316654242444781</v>
      </c>
      <c r="R693" s="6" t="n">
        <v>2.801571956748389</v>
      </c>
      <c r="S693" s="6" t="n">
        <v>0.1739260096655494</v>
      </c>
      <c r="T693" s="6" t="n">
        <v>-0.7819214240481324</v>
      </c>
      <c r="U693" s="6" t="n">
        <v>-0.7354531659228354</v>
      </c>
      <c r="V693" s="6" t="n">
        <v>-0.1763286009659309</v>
      </c>
      <c r="W693" s="6" t="n">
        <v>0.6174182144422109</v>
      </c>
      <c r="X693" s="6" t="n">
        <v>-2.065193570211487</v>
      </c>
      <c r="Y693" s="6" t="n">
        <v>0.1828679277968466</v>
      </c>
      <c r="Z693" s="6" t="n">
        <v>0.05229814069099987</v>
      </c>
      <c r="AA693" s="6" t="n">
        <v>0.04978033520322107</v>
      </c>
      <c r="AB693" s="6" t="n">
        <v>-1.800993806682998</v>
      </c>
      <c r="AC693" s="6" t="n">
        <v>1.975389553293569</v>
      </c>
      <c r="AD693" s="6" t="n">
        <v>0.9741580667379027</v>
      </c>
      <c r="AE693" s="6" t="n">
        <v>-0.6731126425438397</v>
      </c>
      <c r="AF693" s="6" t="n">
        <v>2.082606345502135</v>
      </c>
      <c r="AG693" s="6" t="n">
        <v>0.3351935537447051</v>
      </c>
      <c r="AH693" s="6" t="n">
        <v>3.188563261997692</v>
      </c>
      <c r="AI693" s="6" t="n">
        <v>-1.179968478300985</v>
      </c>
      <c r="AJ693" s="6" t="n">
        <v>77.00548485365475</v>
      </c>
      <c r="AK693" s="6" t="n">
        <v>0.1672026736419596</v>
      </c>
      <c r="AL693" s="6" t="n">
        <v>1.043891957338827</v>
      </c>
      <c r="AN693" s="6" t="n">
        <v>1.34763732165083</v>
      </c>
      <c r="AO693" s="6" t="n">
        <v>1.34792486761647</v>
      </c>
      <c r="AP693" s="6" t="n">
        <v>0.1321876966506276</v>
      </c>
      <c r="AQ693" s="6" t="n">
        <v>0</v>
      </c>
      <c r="AR693" s="6" t="n">
        <v>0</v>
      </c>
    </row>
    <row r="694">
      <c r="D694" t="inlineStr">
        <is>
          <t>Run 382</t>
        </is>
      </c>
      <c r="J694" s="6" t="n">
        <v>2.5552165940287</v>
      </c>
      <c r="K694" s="6" t="n">
        <v>0.1141762306683131</v>
      </c>
      <c r="L694" s="6" t="n">
        <v>0.187341775125069</v>
      </c>
      <c r="M694" s="6" t="n">
        <v>0.3729129961203255</v>
      </c>
      <c r="N694" s="6" t="n">
        <v>1.859054817094602</v>
      </c>
      <c r="O694" s="6" t="n">
        <v>2.561517799688324</v>
      </c>
      <c r="P694" s="6" t="n">
        <v>-0.108438982397621</v>
      </c>
      <c r="Q694" s="6" t="n">
        <v>0.483899188124588</v>
      </c>
      <c r="R694" s="6" t="n">
        <v>-1.193163573334938</v>
      </c>
      <c r="S694" s="6" t="n">
        <v>-1.259690788442561</v>
      </c>
      <c r="T694" s="6" t="n">
        <v>-0.8009553517367816</v>
      </c>
      <c r="U694" s="6" t="n">
        <v>-3.017592632537983</v>
      </c>
      <c r="V694" s="6" t="n">
        <v>-0.5774884316015323</v>
      </c>
      <c r="W694" s="6" t="n">
        <v>4.514492710899339</v>
      </c>
      <c r="X694" s="6" t="n">
        <v>-0.6744084787590386</v>
      </c>
      <c r="Y694" s="6" t="n">
        <v>-0.5286463726065572</v>
      </c>
      <c r="Z694" s="6" t="n">
        <v>-1.197117829653525</v>
      </c>
      <c r="AA694" s="6" t="n">
        <v>-1.167142738920999</v>
      </c>
      <c r="AB694" s="6" t="n">
        <v>0.965844180413446</v>
      </c>
      <c r="AC694" s="6" t="n">
        <v>1.76022690455339</v>
      </c>
      <c r="AD694" s="6" t="n">
        <v>2.310027292187602</v>
      </c>
      <c r="AE694" s="6" t="n">
        <v>-1.430109739470534</v>
      </c>
      <c r="AF694" s="6" t="n">
        <v>-0.4896659779475084</v>
      </c>
      <c r="AG694" s="6" t="n">
        <v>5</v>
      </c>
      <c r="AH694" s="6" t="n">
        <v>1.722802410586</v>
      </c>
      <c r="AI694" s="6" t="n">
        <v>0.7005233529603028</v>
      </c>
      <c r="AJ694" s="6" t="n">
        <v>84.08845947201492</v>
      </c>
      <c r="AK694" s="6" t="n">
        <v>0.1228974209466481</v>
      </c>
      <c r="AL694" s="6" t="n">
        <v>1.100167831601109</v>
      </c>
      <c r="AN694" s="6" t="n">
        <v>1.330055462702555</v>
      </c>
      <c r="AO694" s="6" t="n">
        <v>1.330706631689837</v>
      </c>
      <c r="AP694" s="6" t="n">
        <v>0.1295493096285158</v>
      </c>
      <c r="AQ694" s="6" t="n">
        <v>0</v>
      </c>
      <c r="AR694" s="6" t="n">
        <v>0</v>
      </c>
    </row>
    <row r="695">
      <c r="D695" t="inlineStr">
        <is>
          <t>Run 383</t>
        </is>
      </c>
      <c r="J695" s="6" t="n">
        <v>2.910050021696779</v>
      </c>
      <c r="K695" s="6" t="n">
        <v>0.8712299735058705</v>
      </c>
      <c r="L695" s="6" t="n">
        <v>-1.51231700487412</v>
      </c>
      <c r="M695" s="6" t="n">
        <v>2.609351933180081</v>
      </c>
      <c r="N695" s="6" t="n">
        <v>0.7937859827300447</v>
      </c>
      <c r="O695" s="6" t="n">
        <v>1.660575936662534</v>
      </c>
      <c r="P695" s="6" t="n">
        <v>0.7928902777719328</v>
      </c>
      <c r="Q695" s="6" t="n">
        <v>1.452296910455292</v>
      </c>
      <c r="R695" s="6" t="n">
        <v>2.715234164576886</v>
      </c>
      <c r="S695" s="6" t="n">
        <v>-1.27642754375982</v>
      </c>
      <c r="T695" s="6" t="n">
        <v>-3.828537567086117</v>
      </c>
      <c r="U695" s="6" t="n">
        <v>0.6004892838562271</v>
      </c>
      <c r="V695" s="6" t="n">
        <v>-0.02774334260714374</v>
      </c>
      <c r="W695" s="6" t="n">
        <v>0.8570335962837429</v>
      </c>
      <c r="X695" s="6" t="n">
        <v>-0.5763734116123608</v>
      </c>
      <c r="Y695" s="6" t="n">
        <v>-0.2118183495337169</v>
      </c>
      <c r="Z695" s="6" t="n">
        <v>3.699153185667568</v>
      </c>
      <c r="AA695" s="6" t="n">
        <v>-3.022696182601408</v>
      </c>
      <c r="AB695" s="6" t="n">
        <v>-1.332051071046935</v>
      </c>
      <c r="AC695" s="6" t="n">
        <v>-0.3655339727694433</v>
      </c>
      <c r="AD695" s="6" t="n">
        <v>1.837437607692687</v>
      </c>
      <c r="AE695" s="6" t="n">
        <v>-2.283899551139082</v>
      </c>
      <c r="AF695" s="6" t="n">
        <v>-0.1546628836711076</v>
      </c>
      <c r="AG695" s="6" t="n">
        <v>1.631035225061511</v>
      </c>
      <c r="AH695" s="6" t="n">
        <v>2.443983721424863</v>
      </c>
      <c r="AI695" s="6" t="n">
        <v>-0.4684852712316026</v>
      </c>
      <c r="AJ695" s="6" t="n">
        <v>76.52678381514288</v>
      </c>
      <c r="AK695" s="6" t="n">
        <v>0.07313399906907989</v>
      </c>
      <c r="AL695" s="6" t="n">
        <v>1.072134099815918</v>
      </c>
      <c r="AN695" s="6" t="n">
        <v>1.3435725978716</v>
      </c>
      <c r="AO695" s="6" t="n">
        <v>1.344003242024748</v>
      </c>
      <c r="AP695" s="6" t="n">
        <v>0.1322824394982494</v>
      </c>
      <c r="AQ695" s="6" t="n">
        <v>0</v>
      </c>
      <c r="AR695" s="6" t="n">
        <v>0</v>
      </c>
    </row>
    <row r="696">
      <c r="D696" t="inlineStr">
        <is>
          <t>Run 384</t>
        </is>
      </c>
      <c r="J696" s="6" t="n">
        <v>1.44013660481368</v>
      </c>
      <c r="K696" s="6" t="n">
        <v>-0.6786136293495275</v>
      </c>
      <c r="L696" s="6" t="n">
        <v>0.5897683970459232</v>
      </c>
      <c r="M696" s="6" t="n">
        <v>-2.62975083985808</v>
      </c>
      <c r="N696" s="6" t="n">
        <v>-3.378140627426026</v>
      </c>
      <c r="O696" s="6" t="n">
        <v>-3.559148010551636</v>
      </c>
      <c r="P696" s="6" t="n">
        <v>-2.131498881021769</v>
      </c>
      <c r="Q696" s="6" t="n">
        <v>1.6756762685664</v>
      </c>
      <c r="R696" s="6" t="n">
        <v>0.3637563684314554</v>
      </c>
      <c r="S696" s="6" t="n">
        <v>-2.706092249396197</v>
      </c>
      <c r="T696" s="6" t="n">
        <v>-1.78826375677455</v>
      </c>
      <c r="U696" s="6" t="n">
        <v>-1.569800314860979</v>
      </c>
      <c r="V696" s="6" t="n">
        <v>2.396125206103973</v>
      </c>
      <c r="W696" s="6" t="n">
        <v>-0.859848661596104</v>
      </c>
      <c r="X696" s="6" t="n">
        <v>-2.526765071141921</v>
      </c>
      <c r="Y696" s="6" t="n">
        <v>-2.218903068233601</v>
      </c>
      <c r="Z696" s="6" t="n">
        <v>-1.689450627838683</v>
      </c>
      <c r="AA696" s="6" t="n">
        <v>0.1755170025558234</v>
      </c>
      <c r="AB696" s="6" t="n">
        <v>-0.3533141148235806</v>
      </c>
      <c r="AC696" s="6" t="n">
        <v>-0.4862324895271785</v>
      </c>
      <c r="AD696" s="6" t="n">
        <v>-1.07697104256797</v>
      </c>
      <c r="AE696" s="6" t="n">
        <v>0.5033508042613299</v>
      </c>
      <c r="AF696" s="6" t="n">
        <v>2.173298516914014</v>
      </c>
      <c r="AG696" s="6" t="n">
        <v>-1.15463253509963</v>
      </c>
      <c r="AH696" s="6" t="n">
        <v>0.3231407733895974</v>
      </c>
      <c r="AI696" s="6" t="n">
        <v>-0.889651925410296</v>
      </c>
      <c r="AJ696" s="6" t="n">
        <v>72.779614772066</v>
      </c>
      <c r="AK696" s="6" t="n">
        <v>0.1758857136904133</v>
      </c>
      <c r="AL696" s="6" t="n">
        <v>1.040185530753033</v>
      </c>
      <c r="AN696" s="6" t="n">
        <v>1.322234655779738</v>
      </c>
      <c r="AO696" s="6" t="n">
        <v>1.324088270655559</v>
      </c>
      <c r="AP696" s="6" t="n">
        <v>0.1317749138657674</v>
      </c>
      <c r="AQ696" s="6" t="n">
        <v>0</v>
      </c>
      <c r="AR696" s="6" t="n">
        <v>0</v>
      </c>
    </row>
    <row r="697">
      <c r="D697" t="inlineStr">
        <is>
          <t>Run 385</t>
        </is>
      </c>
      <c r="J697" s="6" t="n">
        <v>-2.054761769124022</v>
      </c>
      <c r="K697" s="6" t="n">
        <v>-1.689534860850453</v>
      </c>
      <c r="L697" s="6" t="n">
        <v>0.9147056079334075</v>
      </c>
      <c r="M697" s="6" t="n">
        <v>-1.705149113424551</v>
      </c>
      <c r="N697" s="6" t="n">
        <v>2.435739739486402</v>
      </c>
      <c r="O697" s="6" t="n">
        <v>-4.924062378535953</v>
      </c>
      <c r="P697" s="6" t="n">
        <v>1.998948163439719</v>
      </c>
      <c r="Q697" s="6" t="n">
        <v>3.081477412340324</v>
      </c>
      <c r="R697" s="6" t="n">
        <v>-1.51867741108164</v>
      </c>
      <c r="S697" s="6" t="n">
        <v>1.497229928446161</v>
      </c>
      <c r="T697" s="6" t="n">
        <v>-0.5987563608200636</v>
      </c>
      <c r="U697" s="6" t="n">
        <v>3.648719733177833</v>
      </c>
      <c r="V697" s="6" t="n">
        <v>-0.4205223533636767</v>
      </c>
      <c r="W697" s="6" t="n">
        <v>-0.7777518380756863</v>
      </c>
      <c r="X697" s="6" t="n">
        <v>-2.645244016568422</v>
      </c>
      <c r="Y697" s="6" t="n">
        <v>1.082858502692289</v>
      </c>
      <c r="Z697" s="6" t="n">
        <v>-0.159833577673758</v>
      </c>
      <c r="AA697" s="6" t="n">
        <v>1.58999919845461</v>
      </c>
      <c r="AB697" s="6" t="n">
        <v>-3.129895522483893</v>
      </c>
      <c r="AC697" s="6" t="n">
        <v>0.6639074255463606</v>
      </c>
      <c r="AD697" s="6" t="n">
        <v>-0.4577466347022586</v>
      </c>
      <c r="AE697" s="6" t="n">
        <v>-0.6882832085317014</v>
      </c>
      <c r="AF697" s="6" t="n">
        <v>1.819070038972372</v>
      </c>
      <c r="AG697" s="6" t="n">
        <v>-1.7748350810679</v>
      </c>
      <c r="AH697" s="6" t="n">
        <v>-1.385413132568153</v>
      </c>
      <c r="AI697" s="6" t="n">
        <v>-0.02909923169488792</v>
      </c>
      <c r="AJ697" s="6" t="n">
        <v>77.96507441965474</v>
      </c>
      <c r="AK697" s="6" t="n">
        <v>0.1199891117009986</v>
      </c>
      <c r="AL697" s="6" t="n">
        <v>1.031181392476927</v>
      </c>
      <c r="AN697" s="6" t="n">
        <v>1.336709872605531</v>
      </c>
      <c r="AO697" s="6" t="n">
        <v>1.346096726898868</v>
      </c>
      <c r="AP697" s="6" t="n">
        <v>0.1347513960874359</v>
      </c>
      <c r="AQ697" s="6" t="n">
        <v>0</v>
      </c>
      <c r="AR697" s="6" t="n">
        <v>0</v>
      </c>
    </row>
    <row r="698">
      <c r="D698" t="inlineStr">
        <is>
          <t>Run 386</t>
        </is>
      </c>
      <c r="J698" s="6" t="n">
        <v>1.504331935526324</v>
      </c>
      <c r="K698" s="6" t="n">
        <v>-2.232411485749777</v>
      </c>
      <c r="L698" s="6" t="n">
        <v>0.2544278711374971</v>
      </c>
      <c r="M698" s="6" t="n">
        <v>1.699720479004623</v>
      </c>
      <c r="N698" s="6" t="n">
        <v>-1.317210726917258</v>
      </c>
      <c r="O698" s="6" t="n">
        <v>-0.8312474573988471</v>
      </c>
      <c r="P698" s="6" t="n">
        <v>0.713114959587396</v>
      </c>
      <c r="Q698" s="6" t="n">
        <v>-1.711662627200307</v>
      </c>
      <c r="R698" s="6" t="n">
        <v>1.375662668507381</v>
      </c>
      <c r="S698" s="6" t="n">
        <v>3.374792379794602</v>
      </c>
      <c r="T698" s="6" t="n">
        <v>-0.2842168453281814</v>
      </c>
      <c r="U698" s="6" t="n">
        <v>-0.5886917507836957</v>
      </c>
      <c r="V698" s="6" t="n">
        <v>0.6466236667497619</v>
      </c>
      <c r="W698" s="6" t="n">
        <v>-1.524328337179473</v>
      </c>
      <c r="X698" s="6" t="n">
        <v>-0.9280733165580497</v>
      </c>
      <c r="Y698" s="6" t="n">
        <v>1.806085300648178</v>
      </c>
      <c r="Z698" s="6" t="n">
        <v>-1.476019953919048</v>
      </c>
      <c r="AA698" s="6" t="n">
        <v>-2.385808293312952</v>
      </c>
      <c r="AB698" s="6" t="n">
        <v>-2.973269554279852</v>
      </c>
      <c r="AC698" s="6" t="n">
        <v>-1.298010370180079</v>
      </c>
      <c r="AD698" s="6" t="n">
        <v>3.684615270842357</v>
      </c>
      <c r="AE698" s="6" t="n">
        <v>0.4021017256446062</v>
      </c>
      <c r="AF698" s="6" t="n">
        <v>0.853160139305549</v>
      </c>
      <c r="AG698" s="6" t="n">
        <v>0.03679211103481904</v>
      </c>
      <c r="AH698" s="6" t="n">
        <v>1.355258892805395</v>
      </c>
      <c r="AI698" s="6" t="n">
        <v>-0.3976459456733965</v>
      </c>
      <c r="AJ698" s="6" t="n">
        <v>62.76809755142804</v>
      </c>
      <c r="AK698" s="6" t="n">
        <v>0.1242896782939608</v>
      </c>
      <c r="AL698" s="6" t="n">
        <v>1.108062398279923</v>
      </c>
      <c r="AN698" s="6" t="n">
        <v>1.324987176978598</v>
      </c>
      <c r="AO698" s="6" t="n">
        <v>1.325928721831959</v>
      </c>
      <c r="AP698" s="6" t="n">
        <v>0.128426100970719</v>
      </c>
      <c r="AQ698" s="6" t="n">
        <v>0</v>
      </c>
      <c r="AR698" s="6" t="n">
        <v>0</v>
      </c>
    </row>
    <row r="699">
      <c r="D699" t="inlineStr">
        <is>
          <t>Run 387</t>
        </is>
      </c>
      <c r="J699" s="6" t="n">
        <v>-3.528263710644479</v>
      </c>
      <c r="K699" s="6" t="n">
        <v>2.174262854129047</v>
      </c>
      <c r="L699" s="6" t="n">
        <v>0.9362306699251917</v>
      </c>
      <c r="M699" s="6" t="n">
        <v>-2.797566738836436</v>
      </c>
      <c r="N699" s="6" t="n">
        <v>0.5838914901284709</v>
      </c>
      <c r="O699" s="6" t="n">
        <v>-1.889096738794473</v>
      </c>
      <c r="P699" s="6" t="n">
        <v>3.653137942248589</v>
      </c>
      <c r="Q699" s="6" t="n">
        <v>-3.604528740249445</v>
      </c>
      <c r="R699" s="6" t="n">
        <v>-1.140945086662535</v>
      </c>
      <c r="S699" s="6" t="n">
        <v>0.9876258317954266</v>
      </c>
      <c r="T699" s="6" t="n">
        <v>-1.619591709191791</v>
      </c>
      <c r="U699" s="6" t="n">
        <v>0.5613404609237885</v>
      </c>
      <c r="V699" s="6" t="n">
        <v>0.7348740898760012</v>
      </c>
      <c r="W699" s="6" t="n">
        <v>-2.220791175856789</v>
      </c>
      <c r="X699" s="6" t="n">
        <v>-0.1741102502876898</v>
      </c>
      <c r="Y699" s="6" t="n">
        <v>1.732739880105216</v>
      </c>
      <c r="Z699" s="6" t="n">
        <v>1.878192038290363</v>
      </c>
      <c r="AA699" s="6" t="n">
        <v>0.3894776811215947</v>
      </c>
      <c r="AB699" s="6" t="n">
        <v>-1.088676950104629</v>
      </c>
      <c r="AC699" s="6" t="n">
        <v>-1.482129028963921</v>
      </c>
      <c r="AD699" s="6" t="n">
        <v>0.9348333205675974</v>
      </c>
      <c r="AE699" s="6" t="n">
        <v>-0.0686241318408371</v>
      </c>
      <c r="AF699" s="6" t="n">
        <v>3.97720407633987</v>
      </c>
      <c r="AG699" s="6" t="n">
        <v>-0.6754402967029336</v>
      </c>
      <c r="AH699" s="6" t="n">
        <v>-0.07552563928968783</v>
      </c>
      <c r="AI699" s="6" t="n">
        <v>-0.02887261304346839</v>
      </c>
      <c r="AJ699" s="6" t="n">
        <v>79.79126330683285</v>
      </c>
      <c r="AK699" s="6" t="n">
        <v>0.09924469992881167</v>
      </c>
      <c r="AL699" s="6" t="n">
        <v>1.034260756853022</v>
      </c>
      <c r="AN699" s="6" t="n">
        <v>1.329812754974888</v>
      </c>
      <c r="AO699" s="6" t="n">
        <v>1.340613741391399</v>
      </c>
      <c r="AP699" s="6" t="n">
        <v>0.1345857303558294</v>
      </c>
      <c r="AQ699" s="6" t="n">
        <v>0</v>
      </c>
      <c r="AR699" s="6" t="n">
        <v>0</v>
      </c>
    </row>
    <row r="700">
      <c r="D700" t="inlineStr">
        <is>
          <t>Run 388</t>
        </is>
      </c>
      <c r="J700" s="6" t="n">
        <v>1.306148806279629</v>
      </c>
      <c r="K700" s="6" t="n">
        <v>0.5725360241036593</v>
      </c>
      <c r="L700" s="6" t="n">
        <v>-1.19663215524661</v>
      </c>
      <c r="M700" s="6" t="n">
        <v>0.02541267617637157</v>
      </c>
      <c r="N700" s="6" t="n">
        <v>-2.924416951717564</v>
      </c>
      <c r="O700" s="6" t="n">
        <v>-0.9522041672110076</v>
      </c>
      <c r="P700" s="6" t="n">
        <v>-2.449983037599518</v>
      </c>
      <c r="Q700" s="6" t="n">
        <v>1.916571198515901</v>
      </c>
      <c r="R700" s="6" t="n">
        <v>0.7855502398551986</v>
      </c>
      <c r="S700" s="6" t="n">
        <v>-0.5243340955638991</v>
      </c>
      <c r="T700" s="6" t="n">
        <v>-3.432656302566305</v>
      </c>
      <c r="U700" s="6" t="n">
        <v>-2.532336997591264</v>
      </c>
      <c r="V700" s="6" t="n">
        <v>0.6937988352492591</v>
      </c>
      <c r="W700" s="6" t="n">
        <v>2.220406665032447</v>
      </c>
      <c r="X700" s="6" t="n">
        <v>1.384066983383854</v>
      </c>
      <c r="Y700" s="6" t="n">
        <v>0.7887538692340993</v>
      </c>
      <c r="Z700" s="6" t="n">
        <v>-0.02512013822428454</v>
      </c>
      <c r="AA700" s="6" t="n">
        <v>1.210468270866023</v>
      </c>
      <c r="AB700" s="6" t="n">
        <v>3.009237133821395</v>
      </c>
      <c r="AC700" s="6" t="n">
        <v>-1.301663759502765</v>
      </c>
      <c r="AD700" s="6" t="n">
        <v>-2.5081764912969</v>
      </c>
      <c r="AE700" s="6" t="n">
        <v>0.02238050118898469</v>
      </c>
      <c r="AF700" s="6" t="n">
        <v>0.4816474633040767</v>
      </c>
      <c r="AG700" s="6" t="n">
        <v>-1.509900462364255</v>
      </c>
      <c r="AH700" s="6" t="n">
        <v>1.213878337206151</v>
      </c>
      <c r="AI700" s="6" t="n">
        <v>0.09547778541253588</v>
      </c>
      <c r="AJ700" s="6" t="n">
        <v>69.32808796239533</v>
      </c>
      <c r="AK700" s="6" t="n">
        <v>0.191867647781944</v>
      </c>
      <c r="AL700" s="6" t="n">
        <v>1.006498431499796</v>
      </c>
      <c r="AN700" s="6" t="n">
        <v>1.351316693235238</v>
      </c>
      <c r="AO700" s="6" t="n">
        <v>1.351316693235238</v>
      </c>
      <c r="AP700" s="6" t="n">
        <v>0.1358374061757021</v>
      </c>
      <c r="AQ700" s="6" t="n">
        <v>0</v>
      </c>
      <c r="AR700" s="6" t="n">
        <v>0</v>
      </c>
    </row>
    <row r="701">
      <c r="D701" t="inlineStr">
        <is>
          <t>Run 389</t>
        </is>
      </c>
      <c r="J701" s="6" t="n">
        <v>0.8888003280638036</v>
      </c>
      <c r="K701" s="6" t="n">
        <v>0.9704556850222398</v>
      </c>
      <c r="L701" s="6" t="n">
        <v>0.04513173927460764</v>
      </c>
      <c r="M701" s="6" t="n">
        <v>-2.461118735250444</v>
      </c>
      <c r="N701" s="6" t="n">
        <v>1.203516961406309</v>
      </c>
      <c r="O701" s="6" t="n">
        <v>-0.5894804314786273</v>
      </c>
      <c r="P701" s="6" t="n">
        <v>-1.32130526938676</v>
      </c>
      <c r="Q701" s="6" t="n">
        <v>1.45819413637545</v>
      </c>
      <c r="R701" s="6" t="n">
        <v>-0.3144315099830969</v>
      </c>
      <c r="S701" s="6" t="n">
        <v>-0.0575617513297517</v>
      </c>
      <c r="T701" s="6" t="n">
        <v>3.717926088368648</v>
      </c>
      <c r="U701" s="6" t="n">
        <v>-0.6012590737053576</v>
      </c>
      <c r="V701" s="6" t="n">
        <v>0.6933887600924712</v>
      </c>
      <c r="W701" s="6" t="n">
        <v>-1.273094285396539</v>
      </c>
      <c r="X701" s="6" t="n">
        <v>2.993518758582376</v>
      </c>
      <c r="Y701" s="6" t="n">
        <v>3.459192422116447</v>
      </c>
      <c r="Z701" s="6" t="n">
        <v>-2.547029693386135</v>
      </c>
      <c r="AA701" s="6" t="n">
        <v>-2.940141817069787</v>
      </c>
      <c r="AB701" s="6" t="n">
        <v>1.507343252321687</v>
      </c>
      <c r="AC701" s="6" t="n">
        <v>0.815086655565839</v>
      </c>
      <c r="AD701" s="6" t="n">
        <v>-0.8847740439253574</v>
      </c>
      <c r="AE701" s="6" t="n">
        <v>0.7727831708339622</v>
      </c>
      <c r="AF701" s="6" t="n">
        <v>-2.208566205168429</v>
      </c>
      <c r="AG701" s="6" t="n">
        <v>0.370859317870088</v>
      </c>
      <c r="AH701" s="6" t="n">
        <v>0.3321158337060736</v>
      </c>
      <c r="AI701" s="6" t="n">
        <v>2.758813419664712</v>
      </c>
      <c r="AJ701" s="6" t="n">
        <v>70.72128423284126</v>
      </c>
      <c r="AK701" s="6" t="n">
        <v>0.139898053424267</v>
      </c>
      <c r="AL701" s="6" t="n">
        <v>1.081821319788479</v>
      </c>
      <c r="AN701" s="6" t="n">
        <v>1.314874675157127</v>
      </c>
      <c r="AO701" s="6" t="n">
        <v>1.322760084429406</v>
      </c>
      <c r="AP701" s="6" t="n">
        <v>0.1295532480834817</v>
      </c>
      <c r="AQ701" s="6" t="n">
        <v>0</v>
      </c>
      <c r="AR701" s="6" t="n">
        <v>0</v>
      </c>
    </row>
    <row r="702">
      <c r="D702" t="inlineStr">
        <is>
          <t>Run 390</t>
        </is>
      </c>
      <c r="J702" s="6" t="n">
        <v>0.2184221507348134</v>
      </c>
      <c r="K702" s="6" t="n">
        <v>2.007872993305902</v>
      </c>
      <c r="L702" s="6" t="n">
        <v>-2.652554358080609</v>
      </c>
      <c r="M702" s="6" t="n">
        <v>3.382268334316608</v>
      </c>
      <c r="N702" s="6" t="n">
        <v>-0.5825262447380763</v>
      </c>
      <c r="O702" s="6" t="n">
        <v>1.402745855578356</v>
      </c>
      <c r="P702" s="6" t="n">
        <v>-0.6941008658738638</v>
      </c>
      <c r="Q702" s="6" t="n">
        <v>-0.834104193485534</v>
      </c>
      <c r="R702" s="6" t="n">
        <v>-5.131253537392032</v>
      </c>
      <c r="S702" s="6" t="n">
        <v>0.7010025143004348</v>
      </c>
      <c r="T702" s="6" t="n">
        <v>1.898925116580773</v>
      </c>
      <c r="U702" s="6" t="n">
        <v>1.794127719671069</v>
      </c>
      <c r="V702" s="6" t="n">
        <v>3.991094652978168</v>
      </c>
      <c r="W702" s="6" t="n">
        <v>0.8067189778159466</v>
      </c>
      <c r="X702" s="6" t="n">
        <v>1.127891123083051</v>
      </c>
      <c r="Y702" s="6" t="n">
        <v>2.024263809222653</v>
      </c>
      <c r="Z702" s="6" t="n">
        <v>-0.18302381485674</v>
      </c>
      <c r="AA702" s="6" t="n">
        <v>2.892941518518517</v>
      </c>
      <c r="AB702" s="6" t="n">
        <v>-0.6783626559085916</v>
      </c>
      <c r="AC702" s="6" t="n">
        <v>-4.135668166873096</v>
      </c>
      <c r="AD702" s="6" t="n">
        <v>4.173167998510635</v>
      </c>
      <c r="AE702" s="6" t="n">
        <v>0.226574628076308</v>
      </c>
      <c r="AF702" s="6" t="n">
        <v>-1.343663030166374</v>
      </c>
      <c r="AG702" s="6" t="n">
        <v>-2.599110215515147</v>
      </c>
      <c r="AH702" s="6" t="n">
        <v>-1.241580807150013</v>
      </c>
      <c r="AI702" s="6" t="n">
        <v>1.035102960645605</v>
      </c>
      <c r="AJ702" s="6" t="n">
        <v>75.6446205074717</v>
      </c>
      <c r="AK702" s="6" t="n">
        <v>0.1444386728027725</v>
      </c>
      <c r="AL702" s="6" t="n">
        <v>1.021209252056544</v>
      </c>
      <c r="AN702" s="6" t="n">
        <v>1.353249643625514</v>
      </c>
      <c r="AO702" s="6" t="n">
        <v>1.353640946713112</v>
      </c>
      <c r="AP702" s="6" t="n">
        <v>0.1349505519669411</v>
      </c>
      <c r="AQ702" s="6" t="n">
        <v>0</v>
      </c>
      <c r="AR702" s="6" t="n">
        <v>0</v>
      </c>
    </row>
    <row r="703">
      <c r="D703" t="inlineStr">
        <is>
          <t>Run 391</t>
        </is>
      </c>
      <c r="J703" s="6" t="n">
        <v>0.6207133209436747</v>
      </c>
      <c r="K703" s="6" t="n">
        <v>1.531537734604275</v>
      </c>
      <c r="L703" s="6" t="n">
        <v>-0.7295469055737306</v>
      </c>
      <c r="M703" s="6" t="n">
        <v>2.213529239792209</v>
      </c>
      <c r="N703" s="6" t="n">
        <v>-1.521809566394239</v>
      </c>
      <c r="O703" s="6" t="n">
        <v>-3.778487793019757</v>
      </c>
      <c r="P703" s="6" t="n">
        <v>-1.226156974697305</v>
      </c>
      <c r="Q703" s="6" t="n">
        <v>-0.1624125787690967</v>
      </c>
      <c r="R703" s="6" t="n">
        <v>2.228305615518333</v>
      </c>
      <c r="S703" s="6" t="n">
        <v>-1.589589100084096</v>
      </c>
      <c r="T703" s="6" t="n">
        <v>-0.9463059642773809</v>
      </c>
      <c r="U703" s="6" t="n">
        <v>1.849497000320332</v>
      </c>
      <c r="V703" s="6" t="n">
        <v>-3.543636699151613</v>
      </c>
      <c r="W703" s="6" t="n">
        <v>-0.254239012605755</v>
      </c>
      <c r="X703" s="6" t="n">
        <v>0.106918394588062</v>
      </c>
      <c r="Y703" s="6" t="n">
        <v>-3.58813023589297</v>
      </c>
      <c r="Z703" s="6" t="n">
        <v>0.4395046991516561</v>
      </c>
      <c r="AA703" s="6" t="n">
        <v>-0.6649772387065733</v>
      </c>
      <c r="AB703" s="6" t="n">
        <v>-1.681736141666682</v>
      </c>
      <c r="AC703" s="6" t="n">
        <v>0.3581796558928605</v>
      </c>
      <c r="AD703" s="6" t="n">
        <v>-3.104422744059904</v>
      </c>
      <c r="AE703" s="6" t="n">
        <v>0.9144328691632708</v>
      </c>
      <c r="AF703" s="6" t="n">
        <v>-1.122778318964875</v>
      </c>
      <c r="AG703" s="6" t="n">
        <v>0.3638153898511493</v>
      </c>
      <c r="AH703" s="6" t="n">
        <v>1.435127392989326</v>
      </c>
      <c r="AI703" s="6" t="n">
        <v>-3.159682136865855</v>
      </c>
      <c r="AJ703" s="6" t="n">
        <v>66.01021686281172</v>
      </c>
      <c r="AK703" s="6" t="n">
        <v>0.1158491356612073</v>
      </c>
      <c r="AL703" s="6" t="n">
        <v>1.059078059999071</v>
      </c>
      <c r="AN703" s="6" t="n">
        <v>1.336661091765522</v>
      </c>
      <c r="AO703" s="6" t="n">
        <v>1.340143754779297</v>
      </c>
      <c r="AP703" s="6" t="n">
        <v>0.1312710057188891</v>
      </c>
      <c r="AQ703" s="6" t="n">
        <v>0</v>
      </c>
      <c r="AR703" s="6" t="n">
        <v>0</v>
      </c>
    </row>
    <row r="704">
      <c r="D704" t="inlineStr">
        <is>
          <t>Run 392</t>
        </is>
      </c>
      <c r="J704" s="6" t="n">
        <v>0.07267292156232752</v>
      </c>
      <c r="K704" s="6" t="n">
        <v>-2.065545583214391</v>
      </c>
      <c r="L704" s="6" t="n">
        <v>-2.786352833873097</v>
      </c>
      <c r="M704" s="6" t="n">
        <v>-3.037737928734628</v>
      </c>
      <c r="N704" s="6" t="n">
        <v>-1.102145391952891</v>
      </c>
      <c r="O704" s="6" t="n">
        <v>1.47625700788811</v>
      </c>
      <c r="P704" s="6" t="n">
        <v>-0.8065832785127838</v>
      </c>
      <c r="Q704" s="6" t="n">
        <v>-0.8218498134601199</v>
      </c>
      <c r="R704" s="6" t="n">
        <v>5</v>
      </c>
      <c r="S704" s="6" t="n">
        <v>-2.89909015185181</v>
      </c>
      <c r="T704" s="6" t="n">
        <v>0.3626743539054427</v>
      </c>
      <c r="U704" s="6" t="n">
        <v>3.86558628430865</v>
      </c>
      <c r="V704" s="6" t="n">
        <v>1.942165100451315</v>
      </c>
      <c r="W704" s="6" t="n">
        <v>0.5064700317959577</v>
      </c>
      <c r="X704" s="6" t="n">
        <v>-2.22928123847052</v>
      </c>
      <c r="Y704" s="6" t="n">
        <v>1.298511600800715</v>
      </c>
      <c r="Z704" s="6" t="n">
        <v>-3.917522993820521</v>
      </c>
      <c r="AA704" s="6" t="n">
        <v>-1.110039827399933</v>
      </c>
      <c r="AB704" s="6" t="n">
        <v>-1.670869196579102</v>
      </c>
      <c r="AC704" s="6" t="n">
        <v>0.1233479333088642</v>
      </c>
      <c r="AD704" s="6" t="n">
        <v>-1.189287960551604</v>
      </c>
      <c r="AE704" s="6" t="n">
        <v>0.3703056146567184</v>
      </c>
      <c r="AF704" s="6" t="n">
        <v>-0.5019255302063135</v>
      </c>
      <c r="AG704" s="6" t="n">
        <v>-1.989330991448406</v>
      </c>
      <c r="AH704" s="6" t="n">
        <v>-0.05081508464293012</v>
      </c>
      <c r="AI704" s="6" t="n">
        <v>-1.701062116258943</v>
      </c>
      <c r="AJ704" s="6" t="n">
        <v>79.31345351664289</v>
      </c>
      <c r="AK704" s="6" t="n">
        <v>0.07661633608401813</v>
      </c>
      <c r="AL704" s="6" t="n">
        <v>1.065740674205616</v>
      </c>
      <c r="AN704" s="6" t="n">
        <v>1.316992650019825</v>
      </c>
      <c r="AO704" s="6" t="n">
        <v>1.324487823499071</v>
      </c>
      <c r="AP704" s="6" t="n">
        <v>0.1324992523811462</v>
      </c>
      <c r="AQ704" s="6" t="n">
        <v>0</v>
      </c>
      <c r="AR704" s="6" t="n">
        <v>0</v>
      </c>
    </row>
    <row r="705">
      <c r="D705" t="inlineStr">
        <is>
          <t>Run 393</t>
        </is>
      </c>
      <c r="J705" s="6" t="n">
        <v>-2.404425037652727</v>
      </c>
      <c r="K705" s="6" t="n">
        <v>-0.3966200506725284</v>
      </c>
      <c r="L705" s="6" t="n">
        <v>1.404628025837618</v>
      </c>
      <c r="M705" s="6" t="n">
        <v>-0.02715143765477394</v>
      </c>
      <c r="N705" s="6" t="n">
        <v>-1.142425368737857</v>
      </c>
      <c r="O705" s="6" t="n">
        <v>-2.784438521199749</v>
      </c>
      <c r="P705" s="6" t="n">
        <v>1.195244498000698</v>
      </c>
      <c r="Q705" s="6" t="n">
        <v>0.8847253437128628</v>
      </c>
      <c r="R705" s="6" t="n">
        <v>-1.989404545669417</v>
      </c>
      <c r="S705" s="6" t="n">
        <v>-0.3891108046996729</v>
      </c>
      <c r="T705" s="6" t="n">
        <v>-0.1384727201810879</v>
      </c>
      <c r="U705" s="6" t="n">
        <v>0.2044152030252132</v>
      </c>
      <c r="V705" s="6" t="n">
        <v>3.847695877553558</v>
      </c>
      <c r="W705" s="6" t="n">
        <v>-3.199219895786161</v>
      </c>
      <c r="X705" s="6" t="n">
        <v>0.07079547866502413</v>
      </c>
      <c r="Y705" s="6" t="n">
        <v>-1.407211501412063</v>
      </c>
      <c r="Z705" s="6" t="n">
        <v>-2.202203065169619</v>
      </c>
      <c r="AA705" s="6" t="n">
        <v>3.195934634533812</v>
      </c>
      <c r="AB705" s="6" t="n">
        <v>1.090416882175617</v>
      </c>
      <c r="AC705" s="6" t="n">
        <v>3.317019181363322</v>
      </c>
      <c r="AD705" s="6" t="n">
        <v>-0.1658615893347211</v>
      </c>
      <c r="AE705" s="6" t="n">
        <v>-0.2467762070302226</v>
      </c>
      <c r="AF705" s="6" t="n">
        <v>2.44753537516032</v>
      </c>
      <c r="AG705" s="6" t="n">
        <v>-0.4739531624937992</v>
      </c>
      <c r="AH705" s="6" t="n">
        <v>-0.2565116802996842</v>
      </c>
      <c r="AI705" s="6" t="n">
        <v>2.533936539828287</v>
      </c>
      <c r="AJ705" s="6" t="n">
        <v>78.73725881995175</v>
      </c>
      <c r="AK705" s="6" t="n">
        <v>0.05145511525103121</v>
      </c>
      <c r="AL705" s="6" t="n">
        <v>1.050746480137031</v>
      </c>
      <c r="AN705" s="6" t="n">
        <v>1.353548923711087</v>
      </c>
      <c r="AO705" s="6" t="n">
        <v>1.35363307270903</v>
      </c>
      <c r="AP705" s="6" t="n">
        <v>0.1347325271393376</v>
      </c>
      <c r="AQ705" s="6" t="n">
        <v>0</v>
      </c>
      <c r="AR705" s="6" t="n">
        <v>0</v>
      </c>
    </row>
    <row r="706">
      <c r="D706" t="inlineStr">
        <is>
          <t>Run 394</t>
        </is>
      </c>
      <c r="J706" s="6" t="n">
        <v>-2.07942116024626</v>
      </c>
      <c r="K706" s="6" t="n">
        <v>-2.102521577187001</v>
      </c>
      <c r="L706" s="6" t="n">
        <v>1.427690420742252</v>
      </c>
      <c r="M706" s="6" t="n">
        <v>-0.6322490580030667</v>
      </c>
      <c r="N706" s="6" t="n">
        <v>2.133384437245323</v>
      </c>
      <c r="O706" s="6" t="n">
        <v>-0.06862304097106904</v>
      </c>
      <c r="P706" s="6" t="n">
        <v>-2.580870572228702</v>
      </c>
      <c r="Q706" s="6" t="n">
        <v>-0.8782684430476617</v>
      </c>
      <c r="R706" s="6" t="n">
        <v>4.487796241154979</v>
      </c>
      <c r="S706" s="6" t="n">
        <v>-0.8360097550009455</v>
      </c>
      <c r="T706" s="6" t="n">
        <v>0.362826905501899</v>
      </c>
      <c r="U706" s="6" t="n">
        <v>-3.007961141912685</v>
      </c>
      <c r="V706" s="6" t="n">
        <v>0.561979347809401</v>
      </c>
      <c r="W706" s="6" t="n">
        <v>1.126045582232278</v>
      </c>
      <c r="X706" s="6" t="n">
        <v>-2.260792859693081</v>
      </c>
      <c r="Y706" s="6" t="n">
        <v>1.98497269356327</v>
      </c>
      <c r="Z706" s="6" t="n">
        <v>1.074841426181445</v>
      </c>
      <c r="AA706" s="6" t="n">
        <v>-1.502140195956197</v>
      </c>
      <c r="AB706" s="6" t="n">
        <v>-0.1735114121597884</v>
      </c>
      <c r="AC706" s="6" t="n">
        <v>3.600626100735242</v>
      </c>
      <c r="AD706" s="6" t="n">
        <v>2.328793435197507</v>
      </c>
      <c r="AE706" s="6" t="n">
        <v>1.079812696930449</v>
      </c>
      <c r="AF706" s="6" t="n">
        <v>-0.2088801735734118</v>
      </c>
      <c r="AG706" s="6" t="n">
        <v>-1.331240202909141</v>
      </c>
      <c r="AH706" s="6" t="n">
        <v>2.340700281058021</v>
      </c>
      <c r="AI706" s="6" t="n">
        <v>-0.7763902861094422</v>
      </c>
      <c r="AJ706" s="6" t="n">
        <v>67.28387682045393</v>
      </c>
      <c r="AK706" s="6" t="n">
        <v>0.1803712932007279</v>
      </c>
      <c r="AL706" s="6" t="n">
        <v>1.078084976361566</v>
      </c>
      <c r="AN706" s="6" t="n">
        <v>1.328269488439247</v>
      </c>
      <c r="AO706" s="6" t="n">
        <v>1.328798501022521</v>
      </c>
      <c r="AP706" s="6" t="n">
        <v>0.1288216000715476</v>
      </c>
      <c r="AQ706" s="6" t="n">
        <v>0</v>
      </c>
      <c r="AR706" s="6" t="n">
        <v>0</v>
      </c>
    </row>
    <row r="707">
      <c r="D707" t="inlineStr">
        <is>
          <t>Run 395</t>
        </is>
      </c>
      <c r="J707" s="6" t="n">
        <v>-3.333822643316121</v>
      </c>
      <c r="K707" s="6" t="n">
        <v>-0.6782121288760793</v>
      </c>
      <c r="L707" s="6" t="n">
        <v>0.8675147163585274</v>
      </c>
      <c r="M707" s="6" t="n">
        <v>0.2643839573369927</v>
      </c>
      <c r="N707" s="6" t="n">
        <v>-2.016290138858587</v>
      </c>
      <c r="O707" s="6" t="n">
        <v>0.2262634873121831</v>
      </c>
      <c r="P707" s="6" t="n">
        <v>1.423070471271113</v>
      </c>
      <c r="Q707" s="6" t="n">
        <v>-0.7519702126640422</v>
      </c>
      <c r="R707" s="6" t="n">
        <v>0.9288724627056589</v>
      </c>
      <c r="S707" s="6" t="n">
        <v>-0.2649917195967714</v>
      </c>
      <c r="T707" s="6" t="n">
        <v>-2.578938413239431</v>
      </c>
      <c r="U707" s="6" t="n">
        <v>1.717995003072107</v>
      </c>
      <c r="V707" s="6" t="n">
        <v>-0.3051330547776277</v>
      </c>
      <c r="W707" s="6" t="n">
        <v>-4.218799446326706</v>
      </c>
      <c r="X707" s="6" t="n">
        <v>-4.222091421434567</v>
      </c>
      <c r="Y707" s="6" t="n">
        <v>1.682207154027077</v>
      </c>
      <c r="Z707" s="6" t="n">
        <v>-2.508966793474837</v>
      </c>
      <c r="AA707" s="6" t="n">
        <v>2.230717761262655</v>
      </c>
      <c r="AB707" s="6" t="n">
        <v>-3.41859070495266</v>
      </c>
      <c r="AC707" s="6" t="n">
        <v>-2.738517475588022</v>
      </c>
      <c r="AD707" s="6" t="n">
        <v>2.99786030620994</v>
      </c>
      <c r="AE707" s="6" t="n">
        <v>-2.534945141370585</v>
      </c>
      <c r="AF707" s="6" t="n">
        <v>1.307095622711017</v>
      </c>
      <c r="AG707" s="6" t="n">
        <v>1.541927897699097</v>
      </c>
      <c r="AH707" s="6" t="n">
        <v>2.735887135371943</v>
      </c>
      <c r="AI707" s="6" t="n">
        <v>-1.163521996737767</v>
      </c>
      <c r="AJ707" s="6" t="n">
        <v>74.46891800584253</v>
      </c>
      <c r="AK707" s="6" t="n">
        <v>0.1450820287673237</v>
      </c>
      <c r="AL707" s="6" t="n">
        <v>1.050540057902724</v>
      </c>
      <c r="AN707" s="6" t="n">
        <v>1.345402274157879</v>
      </c>
      <c r="AO707" s="6" t="n">
        <v>1.345859055542092</v>
      </c>
      <c r="AP707" s="6" t="n">
        <v>0.1320296087158606</v>
      </c>
      <c r="AQ707" s="6" t="n">
        <v>0</v>
      </c>
      <c r="AR707" s="6" t="n">
        <v>0</v>
      </c>
    </row>
    <row r="708">
      <c r="D708" t="inlineStr">
        <is>
          <t>Run 396</t>
        </is>
      </c>
      <c r="J708" s="6" t="n">
        <v>-1.225500999146668</v>
      </c>
      <c r="K708" s="6" t="n">
        <v>-0.6793631381626293</v>
      </c>
      <c r="L708" s="6" t="n">
        <v>0.6955606793540631</v>
      </c>
      <c r="M708" s="6" t="n">
        <v>0.5763771461819356</v>
      </c>
      <c r="N708" s="6" t="n">
        <v>-2.631362451818412</v>
      </c>
      <c r="O708" s="6" t="n">
        <v>-0.1612187020925428</v>
      </c>
      <c r="P708" s="6" t="n">
        <v>-0.7450940600628334</v>
      </c>
      <c r="Q708" s="6" t="n">
        <v>-1.726225046086598</v>
      </c>
      <c r="R708" s="6" t="n">
        <v>-0.5126640518579104</v>
      </c>
      <c r="S708" s="6" t="n">
        <v>-0.5666295971041476</v>
      </c>
      <c r="T708" s="6" t="n">
        <v>1.992481320163597</v>
      </c>
      <c r="U708" s="6" t="n">
        <v>5</v>
      </c>
      <c r="V708" s="6" t="n">
        <v>-2.684536323979592</v>
      </c>
      <c r="W708" s="6" t="n">
        <v>-1.063893650865432</v>
      </c>
      <c r="X708" s="6" t="n">
        <v>3.726263907054027</v>
      </c>
      <c r="Y708" s="6" t="n">
        <v>-2.835800889854211</v>
      </c>
      <c r="Z708" s="6" t="n">
        <v>-4.08794467168372</v>
      </c>
      <c r="AA708" s="6" t="n">
        <v>1.518562664737002</v>
      </c>
      <c r="AB708" s="6" t="n">
        <v>1.16928171855453</v>
      </c>
      <c r="AC708" s="6" t="n">
        <v>5</v>
      </c>
      <c r="AD708" s="6" t="n">
        <v>-0.3937454654363075</v>
      </c>
      <c r="AE708" s="6" t="n">
        <v>-2.704314294717621</v>
      </c>
      <c r="AF708" s="6" t="n">
        <v>-0.08337670034385991</v>
      </c>
      <c r="AG708" s="6" t="n">
        <v>-1.180178775293363</v>
      </c>
      <c r="AH708" s="6" t="n">
        <v>0.7802942134493913</v>
      </c>
      <c r="AI708" s="6" t="n">
        <v>-1.054098749900005</v>
      </c>
      <c r="AJ708" s="6" t="n">
        <v>60.23739644578138</v>
      </c>
      <c r="AK708" s="6" t="n">
        <v>0.09789465631613423</v>
      </c>
      <c r="AL708" s="6" t="n">
        <v>1.053934909885386</v>
      </c>
      <c r="AN708" s="6" t="n">
        <v>1.341317123359077</v>
      </c>
      <c r="AO708" s="6" t="n">
        <v>1.341536752165699</v>
      </c>
      <c r="AP708" s="6" t="n">
        <v>0.1315174407976218</v>
      </c>
      <c r="AQ708" s="6" t="n">
        <v>0</v>
      </c>
      <c r="AR708" s="6" t="n">
        <v>0</v>
      </c>
    </row>
    <row r="709">
      <c r="D709" t="inlineStr">
        <is>
          <t>Run 397</t>
        </is>
      </c>
      <c r="J709" s="6" t="n">
        <v>-4.78330660171891</v>
      </c>
      <c r="K709" s="6" t="n">
        <v>1.21818281961101</v>
      </c>
      <c r="L709" s="6" t="n">
        <v>5</v>
      </c>
      <c r="M709" s="6" t="n">
        <v>-0.8708083247594254</v>
      </c>
      <c r="N709" s="6" t="n">
        <v>-0.4691882053134618</v>
      </c>
      <c r="O709" s="6" t="n">
        <v>4.447062840136147</v>
      </c>
      <c r="P709" s="6" t="n">
        <v>0.0206865973162681</v>
      </c>
      <c r="Q709" s="6" t="n">
        <v>-1.696845053350952</v>
      </c>
      <c r="R709" s="6" t="n">
        <v>0.7747123023469584</v>
      </c>
      <c r="S709" s="6" t="n">
        <v>3.761683315271346</v>
      </c>
      <c r="T709" s="6" t="n">
        <v>-1.407084739487946</v>
      </c>
      <c r="U709" s="6" t="n">
        <v>1.42089501108349</v>
      </c>
      <c r="V709" s="6" t="n">
        <v>1.138950667178458</v>
      </c>
      <c r="W709" s="6" t="n">
        <v>4.52572545675828</v>
      </c>
      <c r="X709" s="6" t="n">
        <v>-0.07113401072179575</v>
      </c>
      <c r="Y709" s="6" t="n">
        <v>-0.7640537568874081</v>
      </c>
      <c r="Z709" s="6" t="n">
        <v>0.3111622506859727</v>
      </c>
      <c r="AA709" s="6" t="n">
        <v>-2.987650228808163</v>
      </c>
      <c r="AB709" s="6" t="n">
        <v>-3.274524531461999</v>
      </c>
      <c r="AC709" s="6" t="n">
        <v>-0.5130823166085577</v>
      </c>
      <c r="AD709" s="6" t="n">
        <v>-1.626130894107455</v>
      </c>
      <c r="AE709" s="6" t="n">
        <v>0.7187819958545977</v>
      </c>
      <c r="AF709" s="6" t="n">
        <v>1.952895957201478</v>
      </c>
      <c r="AG709" s="6" t="n">
        <v>3.326094644283311</v>
      </c>
      <c r="AH709" s="6" t="n">
        <v>1.952116314758604</v>
      </c>
      <c r="AI709" s="6" t="n">
        <v>-0.9431234308832094</v>
      </c>
      <c r="AJ709" s="6" t="n">
        <v>64.49164276555297</v>
      </c>
      <c r="AK709" s="6" t="n">
        <v>0.07477612019393326</v>
      </c>
      <c r="AL709" s="6" t="n">
        <v>1.05204399421697</v>
      </c>
      <c r="AN709" s="6" t="n">
        <v>1.333978935848148</v>
      </c>
      <c r="AO709" s="6" t="n">
        <v>1.333978935848148</v>
      </c>
      <c r="AP709" s="6" t="n">
        <v>0.1323955572912797</v>
      </c>
      <c r="AQ709" s="6" t="n">
        <v>0</v>
      </c>
      <c r="AR709" s="6" t="n">
        <v>0</v>
      </c>
    </row>
    <row r="710">
      <c r="D710" t="inlineStr">
        <is>
          <t>Run 398</t>
        </is>
      </c>
      <c r="J710" s="6" t="n">
        <v>-3.735224016103363</v>
      </c>
      <c r="K710" s="6" t="n">
        <v>-1.118777147795661</v>
      </c>
      <c r="L710" s="6" t="n">
        <v>-3.089426997857086</v>
      </c>
      <c r="M710" s="6" t="n">
        <v>-0.58882937909623</v>
      </c>
      <c r="N710" s="6" t="n">
        <v>1.842494471975107</v>
      </c>
      <c r="O710" s="6" t="n">
        <v>3.540739369520185</v>
      </c>
      <c r="P710" s="6" t="n">
        <v>1.261150890433099</v>
      </c>
      <c r="Q710" s="6" t="n">
        <v>1.230040187576698</v>
      </c>
      <c r="R710" s="6" t="n">
        <v>-2.577898986596097</v>
      </c>
      <c r="S710" s="6" t="n">
        <v>1.721047995391939</v>
      </c>
      <c r="T710" s="6" t="n">
        <v>-0.3995797331582489</v>
      </c>
      <c r="U710" s="6" t="n">
        <v>-0.4318182061229542</v>
      </c>
      <c r="V710" s="6" t="n">
        <v>-0.5857136710038454</v>
      </c>
      <c r="W710" s="6" t="n">
        <v>-2.695448978825768</v>
      </c>
      <c r="X710" s="6" t="n">
        <v>5</v>
      </c>
      <c r="Y710" s="6" t="n">
        <v>-2.029686246099121</v>
      </c>
      <c r="Z710" s="6" t="n">
        <v>3.955856028519193</v>
      </c>
      <c r="AA710" s="6" t="n">
        <v>4.036088862525776</v>
      </c>
      <c r="AB710" s="6" t="n">
        <v>-4.60802007698873</v>
      </c>
      <c r="AC710" s="6" t="n">
        <v>2.032101007094492</v>
      </c>
      <c r="AD710" s="6" t="n">
        <v>-0.1989094496524193</v>
      </c>
      <c r="AE710" s="6" t="n">
        <v>-4.04799495888079</v>
      </c>
      <c r="AF710" s="6" t="n">
        <v>-2.563793849913913</v>
      </c>
      <c r="AG710" s="6" t="n">
        <v>-1.014988065220287</v>
      </c>
      <c r="AH710" s="6" t="n">
        <v>-1.62773870094361</v>
      </c>
      <c r="AI710" s="6" t="n">
        <v>-1.225526675380562</v>
      </c>
      <c r="AJ710" s="6" t="n">
        <v>69.45477334214222</v>
      </c>
      <c r="AK710" s="6" t="n">
        <v>0.1362035276612137</v>
      </c>
      <c r="AL710" s="6" t="n">
        <v>1.071774536508953</v>
      </c>
      <c r="AN710" s="6" t="n">
        <v>1.334854299214536</v>
      </c>
      <c r="AO710" s="6" t="n">
        <v>1.335080486005181</v>
      </c>
      <c r="AP710" s="6" t="n">
        <v>0.130550482090149</v>
      </c>
      <c r="AQ710" s="6" t="n">
        <v>0</v>
      </c>
      <c r="AR710" s="6" t="n">
        <v>0</v>
      </c>
    </row>
    <row r="711">
      <c r="D711" t="inlineStr">
        <is>
          <t>Run 399</t>
        </is>
      </c>
      <c r="J711" s="6" t="n">
        <v>1.701117896484103</v>
      </c>
      <c r="K711" s="6" t="n">
        <v>0.8809430941491886</v>
      </c>
      <c r="L711" s="6" t="n">
        <v>-1.415425211345988</v>
      </c>
      <c r="M711" s="6" t="n">
        <v>1.911843135894076</v>
      </c>
      <c r="N711" s="6" t="n">
        <v>-4.614279787459768</v>
      </c>
      <c r="O711" s="6" t="n">
        <v>1.256127081786396</v>
      </c>
      <c r="P711" s="6" t="n">
        <v>1.240895319732764</v>
      </c>
      <c r="Q711" s="6" t="n">
        <v>4.450305867189377</v>
      </c>
      <c r="R711" s="6" t="n">
        <v>-0.5404936199167319</v>
      </c>
      <c r="S711" s="6" t="n">
        <v>0.0202393789096663</v>
      </c>
      <c r="T711" s="6" t="n">
        <v>1.405634435442794</v>
      </c>
      <c r="U711" s="6" t="n">
        <v>-2.015185724190464</v>
      </c>
      <c r="V711" s="6" t="n">
        <v>-2.063623389122689</v>
      </c>
      <c r="W711" s="6" t="n">
        <v>-2.633833462385139</v>
      </c>
      <c r="X711" s="6" t="n">
        <v>-2.753085071911183</v>
      </c>
      <c r="Y711" s="6" t="n">
        <v>-0.3122535419346936</v>
      </c>
      <c r="Z711" s="6" t="n">
        <v>-0.4980541119433171</v>
      </c>
      <c r="AA711" s="6" t="n">
        <v>-0.4640624779227858</v>
      </c>
      <c r="AB711" s="6" t="n">
        <v>3.09858899215191</v>
      </c>
      <c r="AC711" s="6" t="n">
        <v>0.0006826685440196113</v>
      </c>
      <c r="AD711" s="6" t="n">
        <v>2.288481980862557</v>
      </c>
      <c r="AE711" s="6" t="n">
        <v>0.9857622841860025</v>
      </c>
      <c r="AF711" s="6" t="n">
        <v>-1.56195052117923</v>
      </c>
      <c r="AG711" s="6" t="n">
        <v>0.3601806457066103</v>
      </c>
      <c r="AH711" s="6" t="n">
        <v>1.69047755086717</v>
      </c>
      <c r="AI711" s="6" t="n">
        <v>0.3502526221863428</v>
      </c>
      <c r="AJ711" s="6" t="n">
        <v>61.35316516445012</v>
      </c>
      <c r="AK711" s="6" t="n">
        <v>0.1055335716944967</v>
      </c>
      <c r="AL711" s="6" t="n">
        <v>1.069875844479508</v>
      </c>
      <c r="AN711" s="6" t="n">
        <v>1.334483923694686</v>
      </c>
      <c r="AO711" s="6" t="n">
        <v>1.335347980962333</v>
      </c>
      <c r="AP711" s="6" t="n">
        <v>0.1305687780856247</v>
      </c>
      <c r="AQ711" s="6" t="n">
        <v>0</v>
      </c>
      <c r="AR711" s="6" t="n">
        <v>0</v>
      </c>
    </row>
    <row r="712">
      <c r="D712" t="inlineStr">
        <is>
          <t>Run 400</t>
        </is>
      </c>
      <c r="J712" s="6" t="n">
        <v>0.7878800680342157</v>
      </c>
      <c r="K712" s="6" t="n">
        <v>1.878912052222303</v>
      </c>
      <c r="L712" s="6" t="n">
        <v>-0.9062229729667332</v>
      </c>
      <c r="M712" s="6" t="n">
        <v>0.07552586179513977</v>
      </c>
      <c r="N712" s="6" t="n">
        <v>0.6129392467469262</v>
      </c>
      <c r="O712" s="6" t="n">
        <v>1.886689732085365</v>
      </c>
      <c r="P712" s="6" t="n">
        <v>-1.589155713869183</v>
      </c>
      <c r="Q712" s="6" t="n">
        <v>-3.980931988592755</v>
      </c>
      <c r="R712" s="6" t="n">
        <v>-3.865337732534974</v>
      </c>
      <c r="S712" s="6" t="n">
        <v>-1.506452657928387</v>
      </c>
      <c r="T712" s="6" t="n">
        <v>-0.1188950400334959</v>
      </c>
      <c r="U712" s="6" t="n">
        <v>-0.9910889937019037</v>
      </c>
      <c r="V712" s="6" t="n">
        <v>1.233236853390173</v>
      </c>
      <c r="W712" s="6" t="n">
        <v>0.6257876267316177</v>
      </c>
      <c r="X712" s="6" t="n">
        <v>-0.9513133449273724</v>
      </c>
      <c r="Y712" s="6" t="n">
        <v>0.42917734326354</v>
      </c>
      <c r="Z712" s="6" t="n">
        <v>1.494588762501373</v>
      </c>
      <c r="AA712" s="6" t="n">
        <v>-1.174009148959244</v>
      </c>
      <c r="AB712" s="6" t="n">
        <v>0.5654982717204117</v>
      </c>
      <c r="AC712" s="6" t="n">
        <v>-0.8473290435101507</v>
      </c>
      <c r="AD712" s="6" t="n">
        <v>2.617915798656588</v>
      </c>
      <c r="AE712" s="6" t="n">
        <v>-0.3193844995240529</v>
      </c>
      <c r="AF712" s="6" t="n">
        <v>-2.406109446780448</v>
      </c>
      <c r="AG712" s="6" t="n">
        <v>1.629731287468563</v>
      </c>
      <c r="AH712" s="6" t="n">
        <v>0.1579173709785053</v>
      </c>
      <c r="AI712" s="6" t="n">
        <v>0.2815860903215452</v>
      </c>
      <c r="AJ712" s="6" t="n">
        <v>77.86733216562261</v>
      </c>
      <c r="AK712" s="6" t="n">
        <v>0.1872989266187194</v>
      </c>
      <c r="AL712" s="6" t="n">
        <v>1.061569908605743</v>
      </c>
      <c r="AN712" s="6" t="n">
        <v>1.335031870063265</v>
      </c>
      <c r="AO712" s="6" t="n">
        <v>1.335315228544554</v>
      </c>
      <c r="AP712" s="6" t="n">
        <v>0.1296342068152593</v>
      </c>
      <c r="AQ712" s="6" t="n">
        <v>0</v>
      </c>
      <c r="AR712" s="6" t="n">
        <v>0</v>
      </c>
    </row>
    <row r="713">
      <c r="D713" t="inlineStr">
        <is>
          <t>Run 401</t>
        </is>
      </c>
      <c r="J713" s="6" t="n">
        <v>2.926696167357493</v>
      </c>
      <c r="K713" s="6" t="n">
        <v>0.3279126047042017</v>
      </c>
      <c r="L713" s="6" t="n">
        <v>5</v>
      </c>
      <c r="M713" s="6" t="n">
        <v>-0.438089550913164</v>
      </c>
      <c r="N713" s="6" t="n">
        <v>0.04149621033585796</v>
      </c>
      <c r="O713" s="6" t="n">
        <v>-2.549915336020413</v>
      </c>
      <c r="P713" s="6" t="n">
        <v>2.672645757788206</v>
      </c>
      <c r="Q713" s="6" t="n">
        <v>0.6600083814791751</v>
      </c>
      <c r="R713" s="6" t="n">
        <v>2.243128689578984</v>
      </c>
      <c r="S713" s="6" t="n">
        <v>-1.325866814626415</v>
      </c>
      <c r="T713" s="6" t="n">
        <v>1.667293803922169</v>
      </c>
      <c r="U713" s="6" t="n">
        <v>3.650280547709775</v>
      </c>
      <c r="V713" s="6" t="n">
        <v>-0.6217523371959219</v>
      </c>
      <c r="W713" s="6" t="n">
        <v>-2.036710599743485</v>
      </c>
      <c r="X713" s="6" t="n">
        <v>-2.582253996435286</v>
      </c>
      <c r="Y713" s="6" t="n">
        <v>4.161337038165797</v>
      </c>
      <c r="Z713" s="6" t="n">
        <v>2.560791426003372</v>
      </c>
      <c r="AA713" s="6" t="n">
        <v>-0.652128701782774</v>
      </c>
      <c r="AB713" s="6" t="n">
        <v>2.317253230495037</v>
      </c>
      <c r="AC713" s="6" t="n">
        <v>0.1006711054680989</v>
      </c>
      <c r="AD713" s="6" t="n">
        <v>-0.1286706697515114</v>
      </c>
      <c r="AE713" s="6" t="n">
        <v>-0.2987855835382511</v>
      </c>
      <c r="AF713" s="6" t="n">
        <v>0.1850142607146106</v>
      </c>
      <c r="AG713" s="6" t="n">
        <v>0.8071905055192702</v>
      </c>
      <c r="AH713" s="6" t="n">
        <v>-0.2567045666642297</v>
      </c>
      <c r="AI713" s="6" t="n">
        <v>-0.4019242566975579</v>
      </c>
      <c r="AJ713" s="6" t="n">
        <v>64.81511272450231</v>
      </c>
      <c r="AK713" s="6" t="n">
        <v>0.1146094852069627</v>
      </c>
      <c r="AL713" s="6" t="n">
        <v>1.067558477009689</v>
      </c>
      <c r="AN713" s="6" t="n">
        <v>1.338789975898494</v>
      </c>
      <c r="AO713" s="6" t="n">
        <v>1.339956352052891</v>
      </c>
      <c r="AP713" s="6" t="n">
        <v>0.1308613745331854</v>
      </c>
      <c r="AQ713" s="6" t="n">
        <v>0</v>
      </c>
      <c r="AR713" s="6" t="n">
        <v>0</v>
      </c>
    </row>
    <row r="714">
      <c r="D714" t="inlineStr">
        <is>
          <t>Run 402</t>
        </is>
      </c>
      <c r="J714" s="6" t="n">
        <v>-0.3841612708487926</v>
      </c>
      <c r="K714" s="6" t="n">
        <v>-1.430351577493956</v>
      </c>
      <c r="L714" s="6" t="n">
        <v>-1.122770246492426</v>
      </c>
      <c r="M714" s="6" t="n">
        <v>-0.4773855711993138</v>
      </c>
      <c r="N714" s="6" t="n">
        <v>-2.084563700789271</v>
      </c>
      <c r="O714" s="6" t="n">
        <v>-0.618273273646853</v>
      </c>
      <c r="P714" s="6" t="n">
        <v>-1.830778682572263</v>
      </c>
      <c r="Q714" s="6" t="n">
        <v>3.208887732409997</v>
      </c>
      <c r="R714" s="6" t="n">
        <v>1.318058037903801</v>
      </c>
      <c r="S714" s="6" t="n">
        <v>0.9092338019615297</v>
      </c>
      <c r="T714" s="6" t="n">
        <v>0.9217569223183113</v>
      </c>
      <c r="U714" s="6" t="n">
        <v>0.201574754830655</v>
      </c>
      <c r="V714" s="6" t="n">
        <v>-1.068004820904804</v>
      </c>
      <c r="W714" s="6" t="n">
        <v>0.7237578782843422</v>
      </c>
      <c r="X714" s="6" t="n">
        <v>0.4147079325859992</v>
      </c>
      <c r="Y714" s="6" t="n">
        <v>-0.2422015707708041</v>
      </c>
      <c r="Z714" s="6" t="n">
        <v>-2.266032946669855</v>
      </c>
      <c r="AA714" s="6" t="n">
        <v>-4.732785637162067</v>
      </c>
      <c r="AB714" s="6" t="n">
        <v>0.4937954659834214</v>
      </c>
      <c r="AC714" s="6" t="n">
        <v>1.01499686813758</v>
      </c>
      <c r="AD714" s="6" t="n">
        <v>1.760726582824965</v>
      </c>
      <c r="AE714" s="6" t="n">
        <v>1.269447774664537</v>
      </c>
      <c r="AF714" s="6" t="n">
        <v>1.660068837901848</v>
      </c>
      <c r="AG714" s="6" t="n">
        <v>4.741830870759946</v>
      </c>
      <c r="AH714" s="6" t="n">
        <v>-3.202460381002068</v>
      </c>
      <c r="AI714" s="6" t="n">
        <v>-2.944638294780898</v>
      </c>
      <c r="AJ714" s="6" t="n">
        <v>73.34632943664863</v>
      </c>
      <c r="AK714" s="6" t="n">
        <v>0.1046439166869791</v>
      </c>
      <c r="AL714" s="6" t="n">
        <v>1.06852020168459</v>
      </c>
      <c r="AN714" s="6" t="n">
        <v>1.344322560161506</v>
      </c>
      <c r="AO714" s="6" t="n">
        <v>1.344544562559259</v>
      </c>
      <c r="AP714" s="6" t="n">
        <v>0.1316488791846029</v>
      </c>
      <c r="AQ714" s="6" t="n">
        <v>0</v>
      </c>
      <c r="AR714" s="6" t="n">
        <v>0</v>
      </c>
    </row>
    <row r="715">
      <c r="D715" t="inlineStr">
        <is>
          <t>Run 403</t>
        </is>
      </c>
      <c r="J715" s="6" t="n">
        <v>-0.2088847460865119</v>
      </c>
      <c r="K715" s="6" t="n">
        <v>1.0083634628339</v>
      </c>
      <c r="L715" s="6" t="n">
        <v>-0.1502543805624503</v>
      </c>
      <c r="M715" s="6" t="n">
        <v>1.581163166303666</v>
      </c>
      <c r="N715" s="6" t="n">
        <v>0.1112488275282514</v>
      </c>
      <c r="O715" s="6" t="n">
        <v>-0.1911375260008087</v>
      </c>
      <c r="P715" s="6" t="n">
        <v>2.806421790918265</v>
      </c>
      <c r="Q715" s="6" t="n">
        <v>0.2583054388828274</v>
      </c>
      <c r="R715" s="6" t="n">
        <v>-1.133466553668674</v>
      </c>
      <c r="S715" s="6" t="n">
        <v>1.739304572031841</v>
      </c>
      <c r="T715" s="6" t="n">
        <v>-2.53342315415874</v>
      </c>
      <c r="U715" s="6" t="n">
        <v>1.398730257592625</v>
      </c>
      <c r="V715" s="6" t="n">
        <v>-2.373494980339319</v>
      </c>
      <c r="W715" s="6" t="n">
        <v>-3.033104703319196</v>
      </c>
      <c r="X715" s="6" t="n">
        <v>1.172628696003088</v>
      </c>
      <c r="Y715" s="6" t="n">
        <v>-1.04310218918591</v>
      </c>
      <c r="Z715" s="6" t="n">
        <v>-1.051071115485281</v>
      </c>
      <c r="AA715" s="6" t="n">
        <v>0.9567529444727874</v>
      </c>
      <c r="AB715" s="6" t="n">
        <v>-0.5732792988673511</v>
      </c>
      <c r="AC715" s="6" t="n">
        <v>1.861096218705433</v>
      </c>
      <c r="AD715" s="6" t="n">
        <v>-1.195660215165458</v>
      </c>
      <c r="AE715" s="6" t="n">
        <v>0.3553428108629842</v>
      </c>
      <c r="AF715" s="6" t="n">
        <v>-1.952369892497369</v>
      </c>
      <c r="AG715" s="6" t="n">
        <v>4.395020510439645</v>
      </c>
      <c r="AH715" s="6" t="n">
        <v>-0.06477200479045785</v>
      </c>
      <c r="AI715" s="6" t="n">
        <v>0.5103749880027809</v>
      </c>
      <c r="AJ715" s="6" t="n">
        <v>74.52685165876704</v>
      </c>
      <c r="AK715" s="6" t="n">
        <v>0.1439079488781473</v>
      </c>
      <c r="AL715" s="6" t="n">
        <v>1.036634949465876</v>
      </c>
      <c r="AN715" s="6" t="n">
        <v>1.350336148432165</v>
      </c>
      <c r="AO715" s="6" t="n">
        <v>1.35069686888231</v>
      </c>
      <c r="AP715" s="6" t="n">
        <v>0.1333615269275712</v>
      </c>
      <c r="AQ715" s="6" t="n">
        <v>0</v>
      </c>
      <c r="AR715" s="6" t="n">
        <v>0</v>
      </c>
    </row>
    <row r="716">
      <c r="D716" t="inlineStr">
        <is>
          <t>Run 404</t>
        </is>
      </c>
      <c r="J716" s="6" t="n">
        <v>-0.6022909616078292</v>
      </c>
      <c r="K716" s="6" t="n">
        <v>-0.521599344780084</v>
      </c>
      <c r="L716" s="6" t="n">
        <v>-0.4867308754980629</v>
      </c>
      <c r="M716" s="6" t="n">
        <v>0.9292476581916389</v>
      </c>
      <c r="N716" s="6" t="n">
        <v>-3.54230153762646</v>
      </c>
      <c r="O716" s="6" t="n">
        <v>1.504948382019174</v>
      </c>
      <c r="P716" s="6" t="n">
        <v>3.463518811689683</v>
      </c>
      <c r="Q716" s="6" t="n">
        <v>0.2240618172547112</v>
      </c>
      <c r="R716" s="6" t="n">
        <v>1.21472002685661</v>
      </c>
      <c r="S716" s="6" t="n">
        <v>-3.587617069121836</v>
      </c>
      <c r="T716" s="6" t="n">
        <v>-0.1240631262799398</v>
      </c>
      <c r="U716" s="6" t="n">
        <v>-0.784169791355441</v>
      </c>
      <c r="V716" s="6" t="n">
        <v>-0.3296502080991087</v>
      </c>
      <c r="W716" s="6" t="n">
        <v>0.2896535164517839</v>
      </c>
      <c r="X716" s="6" t="n">
        <v>-0.5290084345721261</v>
      </c>
      <c r="Y716" s="6" t="n">
        <v>-2.822208374897649</v>
      </c>
      <c r="Z716" s="6" t="n">
        <v>3.064508256123238</v>
      </c>
      <c r="AA716" s="6" t="n">
        <v>2.251062930670175</v>
      </c>
      <c r="AB716" s="6" t="n">
        <v>-3.20116959131835</v>
      </c>
      <c r="AC716" s="6" t="n">
        <v>-0.60197423270881</v>
      </c>
      <c r="AD716" s="6" t="n">
        <v>-1.20393928636459</v>
      </c>
      <c r="AE716" s="6" t="n">
        <v>2.185829988985452</v>
      </c>
      <c r="AF716" s="6" t="n">
        <v>0.6483655481297325</v>
      </c>
      <c r="AG716" s="6" t="n">
        <v>2.815132072806569</v>
      </c>
      <c r="AH716" s="6" t="n">
        <v>-0.7086665984723203</v>
      </c>
      <c r="AI716" s="6" t="n">
        <v>0.1997618660120657</v>
      </c>
      <c r="AJ716" s="6" t="n">
        <v>68.12418665731518</v>
      </c>
      <c r="AK716" s="6" t="n">
        <v>0.1434475737637168</v>
      </c>
      <c r="AL716" s="6" t="n">
        <v>1.116279055150937</v>
      </c>
      <c r="AN716" s="6" t="n">
        <v>1.318034900181592</v>
      </c>
      <c r="AO716" s="6" t="n">
        <v>1.319000360000746</v>
      </c>
      <c r="AP716" s="6" t="n">
        <v>0.1279236255197378</v>
      </c>
      <c r="AQ716" s="6" t="n">
        <v>0</v>
      </c>
      <c r="AR716" s="6" t="n">
        <v>0</v>
      </c>
    </row>
    <row r="717">
      <c r="D717" t="inlineStr">
        <is>
          <t>Run 405</t>
        </is>
      </c>
      <c r="J717" s="6" t="n">
        <v>2.821246307542468</v>
      </c>
      <c r="K717" s="6" t="n">
        <v>-0.6060380320694418</v>
      </c>
      <c r="L717" s="6" t="n">
        <v>1.679461109255279</v>
      </c>
      <c r="M717" s="6" t="n">
        <v>3.783049148829483</v>
      </c>
      <c r="N717" s="6" t="n">
        <v>0.3806979578066934</v>
      </c>
      <c r="O717" s="6" t="n">
        <v>-0.4601007939473415</v>
      </c>
      <c r="P717" s="6" t="n">
        <v>1.468206310490927</v>
      </c>
      <c r="Q717" s="6" t="n">
        <v>-1.652556375251901</v>
      </c>
      <c r="R717" s="6" t="n">
        <v>2.221559516676034</v>
      </c>
      <c r="S717" s="6" t="n">
        <v>-3.472368049346491</v>
      </c>
      <c r="T717" s="6" t="n">
        <v>-0.4640644350885438</v>
      </c>
      <c r="U717" s="6" t="n">
        <v>-0.9961661061718837</v>
      </c>
      <c r="V717" s="6" t="n">
        <v>0.04830012822214325</v>
      </c>
      <c r="W717" s="6" t="n">
        <v>3.015521050240595</v>
      </c>
      <c r="X717" s="6" t="n">
        <v>0.4307045772333652</v>
      </c>
      <c r="Y717" s="6" t="n">
        <v>1.010523246015423</v>
      </c>
      <c r="Z717" s="6" t="n">
        <v>3.972546880086619</v>
      </c>
      <c r="AA717" s="6" t="n">
        <v>-2.095731309487412</v>
      </c>
      <c r="AB717" s="6" t="n">
        <v>1.430181944386899</v>
      </c>
      <c r="AC717" s="6" t="n">
        <v>-0.7320964805126262</v>
      </c>
      <c r="AD717" s="6" t="n">
        <v>-0.5741281841316349</v>
      </c>
      <c r="AE717" s="6" t="n">
        <v>0.9798596589425107</v>
      </c>
      <c r="AF717" s="6" t="n">
        <v>3.241960097779933</v>
      </c>
      <c r="AG717" s="6" t="n">
        <v>0.05868889371142542</v>
      </c>
      <c r="AH717" s="6" t="n">
        <v>-5.035243150108948</v>
      </c>
      <c r="AI717" s="6" t="n">
        <v>2.60237170671283</v>
      </c>
      <c r="AJ717" s="6" t="n">
        <v>81.430735239463</v>
      </c>
      <c r="AK717" s="6" t="n">
        <v>0.1313564744373201</v>
      </c>
      <c r="AL717" s="6" t="n">
        <v>1.077158843091776</v>
      </c>
      <c r="AN717" s="6" t="n">
        <v>1.338565998128923</v>
      </c>
      <c r="AO717" s="6" t="n">
        <v>1.338860549293333</v>
      </c>
      <c r="AP717" s="6" t="n">
        <v>0.1304388314621773</v>
      </c>
      <c r="AQ717" s="6" t="n">
        <v>0</v>
      </c>
      <c r="AR717" s="6" t="n">
        <v>0</v>
      </c>
    </row>
    <row r="718">
      <c r="D718" t="inlineStr">
        <is>
          <t>Run 406</t>
        </is>
      </c>
      <c r="J718" s="6" t="n">
        <v>3.216557712593009</v>
      </c>
      <c r="K718" s="6" t="n">
        <v>1.480547109550082</v>
      </c>
      <c r="L718" s="6" t="n">
        <v>-1.635564075138193</v>
      </c>
      <c r="M718" s="6" t="n">
        <v>0.3419507473769798</v>
      </c>
      <c r="N718" s="6" t="n">
        <v>0.1870332907568444</v>
      </c>
      <c r="O718" s="6" t="n">
        <v>2.341692776931399</v>
      </c>
      <c r="P718" s="6" t="n">
        <v>-0.03307886453586382</v>
      </c>
      <c r="Q718" s="6" t="n">
        <v>2.276990114743889</v>
      </c>
      <c r="R718" s="6" t="n">
        <v>0.9456738281368153</v>
      </c>
      <c r="S718" s="6" t="n">
        <v>5</v>
      </c>
      <c r="T718" s="6" t="n">
        <v>-1.26962431222526</v>
      </c>
      <c r="U718" s="6" t="n">
        <v>1.529698986254517</v>
      </c>
      <c r="V718" s="6" t="n">
        <v>-1.373773118302378</v>
      </c>
      <c r="W718" s="6" t="n">
        <v>0.2153748539332507</v>
      </c>
      <c r="X718" s="6" t="n">
        <v>0.9969624880830347</v>
      </c>
      <c r="Y718" s="6" t="n">
        <v>3.143549764591067</v>
      </c>
      <c r="Z718" s="6" t="n">
        <v>-0.2663072886464751</v>
      </c>
      <c r="AA718" s="6" t="n">
        <v>-1.297166671548455</v>
      </c>
      <c r="AB718" s="6" t="n">
        <v>0.4641426869428985</v>
      </c>
      <c r="AC718" s="6" t="n">
        <v>0.1679426095857219</v>
      </c>
      <c r="AD718" s="6" t="n">
        <v>1.549570194241627</v>
      </c>
      <c r="AE718" s="6" t="n">
        <v>-1.969818273638155</v>
      </c>
      <c r="AF718" s="6" t="n">
        <v>0.1211559731471777</v>
      </c>
      <c r="AG718" s="6" t="n">
        <v>-3.339763616330767</v>
      </c>
      <c r="AH718" s="6" t="n">
        <v>2.301524173942855</v>
      </c>
      <c r="AI718" s="6" t="n">
        <v>1.236117538659021</v>
      </c>
      <c r="AJ718" s="6" t="n">
        <v>66.74855847896107</v>
      </c>
      <c r="AK718" s="6" t="n">
        <v>0.1498104084150202</v>
      </c>
      <c r="AL718" s="6" t="n">
        <v>1.080785709032432</v>
      </c>
      <c r="AN718" s="6" t="n">
        <v>1.327740021549372</v>
      </c>
      <c r="AO718" s="6" t="n">
        <v>1.327862129761057</v>
      </c>
      <c r="AP718" s="6" t="n">
        <v>0.1293529513708521</v>
      </c>
      <c r="AQ718" s="6" t="n">
        <v>0</v>
      </c>
      <c r="AR718" s="6" t="n">
        <v>0</v>
      </c>
    </row>
    <row r="719">
      <c r="D719" t="inlineStr">
        <is>
          <t>Run 407</t>
        </is>
      </c>
      <c r="J719" s="6" t="n">
        <v>-0.6784840953893101</v>
      </c>
      <c r="K719" s="6" t="n">
        <v>0.1066331294482763</v>
      </c>
      <c r="L719" s="6" t="n">
        <v>0.1108212590708172</v>
      </c>
      <c r="M719" s="6" t="n">
        <v>-2.524295946466085</v>
      </c>
      <c r="N719" s="6" t="n">
        <v>-3.44744031904443</v>
      </c>
      <c r="O719" s="6" t="n">
        <v>-1.040174294233954</v>
      </c>
      <c r="P719" s="6" t="n">
        <v>-1.101486455720713</v>
      </c>
      <c r="Q719" s="6" t="n">
        <v>-1.600800532907954</v>
      </c>
      <c r="R719" s="6" t="n">
        <v>3.749860348472085</v>
      </c>
      <c r="S719" s="6" t="n">
        <v>-1.322095349626452</v>
      </c>
      <c r="T719" s="6" t="n">
        <v>3.243541605371394</v>
      </c>
      <c r="U719" s="6" t="n">
        <v>-0.3645505987084033</v>
      </c>
      <c r="V719" s="6" t="n">
        <v>0.01230105923425525</v>
      </c>
      <c r="W719" s="6" t="n">
        <v>0.7574235062408636</v>
      </c>
      <c r="X719" s="6" t="n">
        <v>0.95692936121662</v>
      </c>
      <c r="Y719" s="6" t="n">
        <v>2.127547265125223</v>
      </c>
      <c r="Z719" s="6" t="n">
        <v>-3.530577725873903</v>
      </c>
      <c r="AA719" s="6" t="n">
        <v>3.003310875238844</v>
      </c>
      <c r="AB719" s="6" t="n">
        <v>2.081775962981202</v>
      </c>
      <c r="AC719" s="6" t="n">
        <v>2.436679133749586</v>
      </c>
      <c r="AD719" s="6" t="n">
        <v>-3.936947777881835</v>
      </c>
      <c r="AE719" s="6" t="n">
        <v>-1.957571887067757</v>
      </c>
      <c r="AF719" s="6" t="n">
        <v>2.716778683040201</v>
      </c>
      <c r="AG719" s="6" t="n">
        <v>0.9406434731685634</v>
      </c>
      <c r="AH719" s="6" t="n">
        <v>-0.2802291429012028</v>
      </c>
      <c r="AI719" s="6" t="n">
        <v>-2.06711363009957</v>
      </c>
      <c r="AJ719" s="6" t="n">
        <v>79.7971787952843</v>
      </c>
      <c r="AK719" s="6" t="n">
        <v>0.074535838652145</v>
      </c>
      <c r="AL719" s="6" t="n">
        <v>1.055417756145489</v>
      </c>
      <c r="AN719" s="6" t="n">
        <v>1.328562313605081</v>
      </c>
      <c r="AO719" s="6" t="n">
        <v>1.330514893690689</v>
      </c>
      <c r="AP719" s="6" t="n">
        <v>0.1333970926490939</v>
      </c>
      <c r="AQ719" s="6" t="n">
        <v>0</v>
      </c>
      <c r="AR719" s="6" t="n">
        <v>0</v>
      </c>
    </row>
    <row r="720">
      <c r="D720" t="inlineStr">
        <is>
          <t>Run 408</t>
        </is>
      </c>
      <c r="J720" s="6" t="n">
        <v>-0.916744786418983</v>
      </c>
      <c r="K720" s="6" t="n">
        <v>2.511428361750326</v>
      </c>
      <c r="L720" s="6" t="n">
        <v>1.244213778034357</v>
      </c>
      <c r="M720" s="6" t="n">
        <v>-1.42903164109516</v>
      </c>
      <c r="N720" s="6" t="n">
        <v>2.269359692858899</v>
      </c>
      <c r="O720" s="6" t="n">
        <v>-1.466813912401731</v>
      </c>
      <c r="P720" s="6" t="n">
        <v>0.01181857341284661</v>
      </c>
      <c r="Q720" s="6" t="n">
        <v>-1.025338803478131</v>
      </c>
      <c r="R720" s="6" t="n">
        <v>-1.624151855387417</v>
      </c>
      <c r="S720" s="6" t="n">
        <v>4.609134207862827</v>
      </c>
      <c r="T720" s="6" t="n">
        <v>1.714094143081351</v>
      </c>
      <c r="U720" s="6" t="n">
        <v>1.640003654832614</v>
      </c>
      <c r="V720" s="6" t="n">
        <v>-1.412927435973488</v>
      </c>
      <c r="W720" s="6" t="n">
        <v>0.4060447931918066</v>
      </c>
      <c r="X720" s="6" t="n">
        <v>-1.959459376283477</v>
      </c>
      <c r="Y720" s="6" t="n">
        <v>2.958510448411877</v>
      </c>
      <c r="Z720" s="6" t="n">
        <v>0.08873530883973817</v>
      </c>
      <c r="AA720" s="6" t="n">
        <v>-0.2442829533170375</v>
      </c>
      <c r="AB720" s="6" t="n">
        <v>-0.4165079898363408</v>
      </c>
      <c r="AC720" s="6" t="n">
        <v>0.2594292748127897</v>
      </c>
      <c r="AD720" s="6" t="n">
        <v>-0.7697427700491658</v>
      </c>
      <c r="AE720" s="6" t="n">
        <v>-3.572918795354579</v>
      </c>
      <c r="AF720" s="6" t="n">
        <v>1.751381056844099</v>
      </c>
      <c r="AG720" s="6" t="n">
        <v>-0.583930227875159</v>
      </c>
      <c r="AH720" s="6" t="n">
        <v>1.113100106298459</v>
      </c>
      <c r="AI720" s="6" t="n">
        <v>1.246499469614172</v>
      </c>
      <c r="AJ720" s="6" t="n">
        <v>64.91535294388569</v>
      </c>
      <c r="AK720" s="6" t="n">
        <v>0.1809316018510441</v>
      </c>
      <c r="AL720" s="6" t="n">
        <v>1.0688912268388</v>
      </c>
      <c r="AN720" s="6" t="n">
        <v>1.328087783009051</v>
      </c>
      <c r="AO720" s="6" t="n">
        <v>1.330425603036322</v>
      </c>
      <c r="AP720" s="6" t="n">
        <v>0.129086129571663</v>
      </c>
      <c r="AQ720" s="6" t="n">
        <v>0</v>
      </c>
      <c r="AR720" s="6" t="n">
        <v>0</v>
      </c>
    </row>
    <row r="721">
      <c r="D721" t="inlineStr">
        <is>
          <t>Run 409</t>
        </is>
      </c>
      <c r="J721" s="6" t="n">
        <v>-6.834057817499974</v>
      </c>
      <c r="K721" s="6" t="n">
        <v>1.212221382430057</v>
      </c>
      <c r="L721" s="6" t="n">
        <v>-0.8010066906011366</v>
      </c>
      <c r="M721" s="6" t="n">
        <v>-1.588617667307338</v>
      </c>
      <c r="N721" s="6" t="n">
        <v>-0.6864524427916852</v>
      </c>
      <c r="O721" s="6" t="n">
        <v>2.79568524928672</v>
      </c>
      <c r="P721" s="6" t="n">
        <v>2.815309279855687</v>
      </c>
      <c r="Q721" s="6" t="n">
        <v>1.476831710635935</v>
      </c>
      <c r="R721" s="6" t="n">
        <v>-0.004201392151635236</v>
      </c>
      <c r="S721" s="6" t="n">
        <v>0.8637122988735075</v>
      </c>
      <c r="T721" s="6" t="n">
        <v>-0.9718015830271813</v>
      </c>
      <c r="U721" s="6" t="n">
        <v>0.8209230586547398</v>
      </c>
      <c r="V721" s="6" t="n">
        <v>2.245739883017972</v>
      </c>
      <c r="W721" s="6" t="n">
        <v>3.571817788229626</v>
      </c>
      <c r="X721" s="6" t="n">
        <v>-2.157680444888014</v>
      </c>
      <c r="Y721" s="6" t="n">
        <v>0.6894576822024961</v>
      </c>
      <c r="Z721" s="6" t="n">
        <v>-1.843708812900782</v>
      </c>
      <c r="AA721" s="6" t="n">
        <v>-2.637067793065819</v>
      </c>
      <c r="AB721" s="6" t="n">
        <v>1.820180666856106</v>
      </c>
      <c r="AC721" s="6" t="n">
        <v>-0.397469616471792</v>
      </c>
      <c r="AD721" s="6" t="n">
        <v>1.553099613121364</v>
      </c>
      <c r="AE721" s="6" t="n">
        <v>2.289658416574157</v>
      </c>
      <c r="AF721" s="6" t="n">
        <v>-4.140080746399257</v>
      </c>
      <c r="AG721" s="6" t="n">
        <v>0.3856038918216142</v>
      </c>
      <c r="AH721" s="6" t="n">
        <v>-2.697021189318296</v>
      </c>
      <c r="AI721" s="6" t="n">
        <v>-0.1801903076359591</v>
      </c>
      <c r="AJ721" s="6" t="n">
        <v>78.01980503763122</v>
      </c>
      <c r="AK721" s="6" t="n">
        <v>0.09766649882645916</v>
      </c>
      <c r="AL721" s="6" t="n">
        <v>1.059765927060704</v>
      </c>
      <c r="AN721" s="6" t="n">
        <v>1.29806049235414</v>
      </c>
      <c r="AO721" s="6" t="n">
        <v>1.29806049235414</v>
      </c>
      <c r="AP721" s="6" t="n">
        <v>0.1318153688212695</v>
      </c>
      <c r="AQ721" s="6" t="n">
        <v>0</v>
      </c>
      <c r="AR721" s="6" t="n">
        <v>0</v>
      </c>
    </row>
    <row r="722">
      <c r="D722" t="inlineStr">
        <is>
          <t>Run 410</t>
        </is>
      </c>
      <c r="J722" s="6" t="n">
        <v>0.1750666801345353</v>
      </c>
      <c r="K722" s="6" t="n">
        <v>2.430770626708908</v>
      </c>
      <c r="L722" s="6" t="n">
        <v>-1.208971664906793</v>
      </c>
      <c r="M722" s="6" t="n">
        <v>3.465650073475358</v>
      </c>
      <c r="N722" s="6" t="n">
        <v>-1.659085824497083</v>
      </c>
      <c r="O722" s="6" t="n">
        <v>2.812120129075023</v>
      </c>
      <c r="P722" s="6" t="n">
        <v>1.172275217019783</v>
      </c>
      <c r="Q722" s="6" t="n">
        <v>0.3295790258893743</v>
      </c>
      <c r="R722" s="6" t="n">
        <v>0.7102132561435432</v>
      </c>
      <c r="S722" s="6" t="n">
        <v>-0.5535905309453223</v>
      </c>
      <c r="T722" s="6" t="n">
        <v>-0.6887396350061988</v>
      </c>
      <c r="U722" s="6" t="n">
        <v>1.463837985481816</v>
      </c>
      <c r="V722" s="6" t="n">
        <v>2.161332131468546</v>
      </c>
      <c r="W722" s="6" t="n">
        <v>-0.8903495046936123</v>
      </c>
      <c r="X722" s="6" t="n">
        <v>1.43332217615328</v>
      </c>
      <c r="Y722" s="6" t="n">
        <v>3.583123690561974</v>
      </c>
      <c r="Z722" s="6" t="n">
        <v>-1.184278011630615</v>
      </c>
      <c r="AA722" s="6" t="n">
        <v>1.090722726734357</v>
      </c>
      <c r="AB722" s="6" t="n">
        <v>-0.1447429733687142</v>
      </c>
      <c r="AC722" s="6" t="n">
        <v>0.8503918413704949</v>
      </c>
      <c r="AD722" s="6" t="n">
        <v>1.670398594964421</v>
      </c>
      <c r="AE722" s="6" t="n">
        <v>0.3710934266951624</v>
      </c>
      <c r="AF722" s="6" t="n">
        <v>-3.604952078585522</v>
      </c>
      <c r="AG722" s="6" t="n">
        <v>3.866370957979424</v>
      </c>
      <c r="AH722" s="6" t="n">
        <v>0.9412862813866155</v>
      </c>
      <c r="AI722" s="6" t="n">
        <v>-0.8834436518938911</v>
      </c>
      <c r="AJ722" s="6" t="n">
        <v>81.59651838722863</v>
      </c>
      <c r="AK722" s="6" t="n">
        <v>0.1054588839043416</v>
      </c>
      <c r="AL722" s="6" t="n">
        <v>1.020062862019846</v>
      </c>
      <c r="AN722" s="6" t="n">
        <v>1.357718757346612</v>
      </c>
      <c r="AO722" s="6" t="n">
        <v>1.357718757346612</v>
      </c>
      <c r="AP722" s="6" t="n">
        <v>0.1370468189891534</v>
      </c>
      <c r="AQ722" s="6" t="n">
        <v>0</v>
      </c>
      <c r="AR722" s="6" t="n">
        <v>0</v>
      </c>
    </row>
    <row r="723">
      <c r="D723" t="inlineStr">
        <is>
          <t>Run 411</t>
        </is>
      </c>
      <c r="J723" s="6" t="n">
        <v>3.540254317271956</v>
      </c>
      <c r="K723" s="6" t="n">
        <v>-2.710793568816252</v>
      </c>
      <c r="L723" s="6" t="n">
        <v>-1.182196572792817</v>
      </c>
      <c r="M723" s="6" t="n">
        <v>0.7824343967480692</v>
      </c>
      <c r="N723" s="6" t="n">
        <v>-1.706178071146103</v>
      </c>
      <c r="O723" s="6" t="n">
        <v>0.7560727753932366</v>
      </c>
      <c r="P723" s="6" t="n">
        <v>1.225516090442886</v>
      </c>
      <c r="Q723" s="6" t="n">
        <v>-4.243380682465919</v>
      </c>
      <c r="R723" s="6" t="n">
        <v>-1.159827091278041</v>
      </c>
      <c r="S723" s="6" t="n">
        <v>-3.183517609235145</v>
      </c>
      <c r="T723" s="6" t="n">
        <v>1.529402754289451</v>
      </c>
      <c r="U723" s="6" t="n">
        <v>1.692447539031649</v>
      </c>
      <c r="V723" s="6" t="n">
        <v>0.8307257054582002</v>
      </c>
      <c r="W723" s="6" t="n">
        <v>-0.8391113206773083</v>
      </c>
      <c r="X723" s="6" t="n">
        <v>-1.39961518762169</v>
      </c>
      <c r="Y723" s="6" t="n">
        <v>-3.33065786047191</v>
      </c>
      <c r="Z723" s="6" t="n">
        <v>0.6279694129301985</v>
      </c>
      <c r="AA723" s="6" t="n">
        <v>2.425003751846127</v>
      </c>
      <c r="AB723" s="6" t="n">
        <v>4.007150712319883</v>
      </c>
      <c r="AC723" s="6" t="n">
        <v>0.6922178835334444</v>
      </c>
      <c r="AD723" s="6" t="n">
        <v>-0.8070916357657659</v>
      </c>
      <c r="AE723" s="6" t="n">
        <v>-2.776107730905808</v>
      </c>
      <c r="AF723" s="6" t="n">
        <v>0.9704911289003696</v>
      </c>
      <c r="AG723" s="6" t="n">
        <v>0.5833567815657942</v>
      </c>
      <c r="AH723" s="6" t="n">
        <v>2.419774003479376</v>
      </c>
      <c r="AI723" s="6" t="n">
        <v>-3.190312659047379</v>
      </c>
      <c r="AJ723" s="6" t="n">
        <v>66.81122505912279</v>
      </c>
      <c r="AK723" s="6" t="n">
        <v>0.1300871845739264</v>
      </c>
      <c r="AL723" s="6" t="n">
        <v>1.072189148349327</v>
      </c>
      <c r="AN723" s="6" t="n">
        <v>1.334326877881288</v>
      </c>
      <c r="AO723" s="6" t="n">
        <v>1.334797262874231</v>
      </c>
      <c r="AP723" s="6" t="n">
        <v>0.1297945287909932</v>
      </c>
      <c r="AQ723" s="6" t="n">
        <v>0</v>
      </c>
      <c r="AR723" s="6" t="n">
        <v>0</v>
      </c>
    </row>
    <row r="724">
      <c r="D724" t="inlineStr">
        <is>
          <t>Run 412</t>
        </is>
      </c>
      <c r="J724" s="6" t="n">
        <v>3.727502055766019</v>
      </c>
      <c r="K724" s="6" t="n">
        <v>-0.8310408852158332</v>
      </c>
      <c r="L724" s="6" t="n">
        <v>-1.57332250843413</v>
      </c>
      <c r="M724" s="6" t="n">
        <v>1.765675851936104</v>
      </c>
      <c r="N724" s="6" t="n">
        <v>-0.8748330830441252</v>
      </c>
      <c r="O724" s="6" t="n">
        <v>-0.06560214633190969</v>
      </c>
      <c r="P724" s="6" t="n">
        <v>1.286508553449555</v>
      </c>
      <c r="Q724" s="6" t="n">
        <v>-4.840335805617093</v>
      </c>
      <c r="R724" s="6" t="n">
        <v>-1.392445278486448</v>
      </c>
      <c r="S724" s="6" t="n">
        <v>0.9722918492528224</v>
      </c>
      <c r="T724" s="6" t="n">
        <v>-1.952367758932667</v>
      </c>
      <c r="U724" s="6" t="n">
        <v>-3.84558462947595</v>
      </c>
      <c r="V724" s="6" t="n">
        <v>-2.337887809942486</v>
      </c>
      <c r="W724" s="6" t="n">
        <v>0.5128098397918764</v>
      </c>
      <c r="X724" s="6" t="n">
        <v>-0.4831001450376282</v>
      </c>
      <c r="Y724" s="6" t="n">
        <v>-3.080177866600748</v>
      </c>
      <c r="Z724" s="6" t="n">
        <v>2.726177837173489</v>
      </c>
      <c r="AA724" s="6" t="n">
        <v>0.03568665686026094</v>
      </c>
      <c r="AB724" s="6" t="n">
        <v>-1.664212164517272</v>
      </c>
      <c r="AC724" s="6" t="n">
        <v>-0.26079870664469</v>
      </c>
      <c r="AD724" s="6" t="n">
        <v>-1.930071280002002</v>
      </c>
      <c r="AE724" s="6" t="n">
        <v>2.143203338274901</v>
      </c>
      <c r="AF724" s="6" t="n">
        <v>-0.234197328111639</v>
      </c>
      <c r="AG724" s="6" t="n">
        <v>-0.3294437813289664</v>
      </c>
      <c r="AH724" s="6" t="n">
        <v>0.01634588880319148</v>
      </c>
      <c r="AI724" s="6" t="n">
        <v>3.434026953865295</v>
      </c>
      <c r="AJ724" s="6" t="n">
        <v>73.02483909388724</v>
      </c>
      <c r="AK724" s="6" t="n">
        <v>0.1912624593771625</v>
      </c>
      <c r="AL724" s="6" t="n">
        <v>1.038078359341386</v>
      </c>
      <c r="AN724" s="6" t="n">
        <v>1.345583636567982</v>
      </c>
      <c r="AO724" s="6" t="n">
        <v>1.346160212886451</v>
      </c>
      <c r="AP724" s="6" t="n">
        <v>0.1312066106532782</v>
      </c>
      <c r="AQ724" s="6" t="n">
        <v>0</v>
      </c>
      <c r="AR724" s="6" t="n">
        <v>0</v>
      </c>
    </row>
    <row r="725">
      <c r="D725" t="inlineStr">
        <is>
          <t>Run 413</t>
        </is>
      </c>
      <c r="J725" s="6" t="n">
        <v>1.003827973386779</v>
      </c>
      <c r="K725" s="6" t="n">
        <v>0.3162574722824716</v>
      </c>
      <c r="L725" s="6" t="n">
        <v>-1.961098733677687</v>
      </c>
      <c r="M725" s="6" t="n">
        <v>-0.3551604242570569</v>
      </c>
      <c r="N725" s="6" t="n">
        <v>-2.341075707874668</v>
      </c>
      <c r="O725" s="6" t="n">
        <v>-5.627067660719683</v>
      </c>
      <c r="P725" s="6" t="n">
        <v>2.773806037025774</v>
      </c>
      <c r="Q725" s="6" t="n">
        <v>0.6710863847449695</v>
      </c>
      <c r="R725" s="6" t="n">
        <v>0.01343368833598466</v>
      </c>
      <c r="S725" s="6" t="n">
        <v>-0.3496668759157323</v>
      </c>
      <c r="T725" s="6" t="n">
        <v>-4.333282303876024</v>
      </c>
      <c r="U725" s="6" t="n">
        <v>1.803814578253819</v>
      </c>
      <c r="V725" s="6" t="n">
        <v>2.143024129977476</v>
      </c>
      <c r="W725" s="6" t="n">
        <v>0.6249547838929435</v>
      </c>
      <c r="X725" s="6" t="n">
        <v>2.585095232163453</v>
      </c>
      <c r="Y725" s="6" t="n">
        <v>0.05040402210938718</v>
      </c>
      <c r="Z725" s="6" t="n">
        <v>-2.010978924709134</v>
      </c>
      <c r="AA725" s="6" t="n">
        <v>2.094041719088587</v>
      </c>
      <c r="AB725" s="6" t="n">
        <v>-0.9273914282623654</v>
      </c>
      <c r="AC725" s="6" t="n">
        <v>1.059520033450126</v>
      </c>
      <c r="AD725" s="6" t="n">
        <v>-2.119929766916628</v>
      </c>
      <c r="AE725" s="6" t="n">
        <v>3.59376247002775</v>
      </c>
      <c r="AF725" s="6" t="n">
        <v>1.179912664456696</v>
      </c>
      <c r="AG725" s="6" t="n">
        <v>0.9640996034782232</v>
      </c>
      <c r="AH725" s="6" t="n">
        <v>-5.317873076721252</v>
      </c>
      <c r="AI725" s="6" t="n">
        <v>-3.082718750289288</v>
      </c>
      <c r="AJ725" s="6" t="n">
        <v>82.56075841811666</v>
      </c>
      <c r="AK725" s="6" t="n">
        <v>0.1346159550410601</v>
      </c>
      <c r="AL725" s="6" t="n">
        <v>1.032295044915341</v>
      </c>
      <c r="AN725" s="6" t="n">
        <v>1.325331002714004</v>
      </c>
      <c r="AO725" s="6" t="n">
        <v>1.338466432765005</v>
      </c>
      <c r="AP725" s="6" t="n">
        <v>0.1346407448505251</v>
      </c>
      <c r="AQ725" s="6" t="n">
        <v>0</v>
      </c>
      <c r="AR725" s="6" t="n">
        <v>0</v>
      </c>
    </row>
    <row r="726">
      <c r="D726" t="inlineStr">
        <is>
          <t>Run 414</t>
        </is>
      </c>
      <c r="J726" s="6" t="n">
        <v>-0.6209111524219527</v>
      </c>
      <c r="K726" s="6" t="n">
        <v>0.4864655789862146</v>
      </c>
      <c r="L726" s="6" t="n">
        <v>0.9070780605972043</v>
      </c>
      <c r="M726" s="6" t="n">
        <v>-1.291343253052291</v>
      </c>
      <c r="N726" s="6" t="n">
        <v>0.3473135672140634</v>
      </c>
      <c r="O726" s="6" t="n">
        <v>-0.3831300223054282</v>
      </c>
      <c r="P726" s="6" t="n">
        <v>-0.2556339844993414</v>
      </c>
      <c r="Q726" s="6" t="n">
        <v>-4.738247518262613</v>
      </c>
      <c r="R726" s="6" t="n">
        <v>-3.754101256546829</v>
      </c>
      <c r="S726" s="6" t="n">
        <v>1.164063042635106</v>
      </c>
      <c r="T726" s="6" t="n">
        <v>-0.1510174785682724</v>
      </c>
      <c r="U726" s="6" t="n">
        <v>0.4923214672134489</v>
      </c>
      <c r="V726" s="6" t="n">
        <v>-1.430636593033915</v>
      </c>
      <c r="W726" s="6" t="n">
        <v>0.2256395337299125</v>
      </c>
      <c r="X726" s="6" t="n">
        <v>0.4328314904923565</v>
      </c>
      <c r="Y726" s="6" t="n">
        <v>-1.365993758016183</v>
      </c>
      <c r="Z726" s="6" t="n">
        <v>2.341415975154869</v>
      </c>
      <c r="AA726" s="6" t="n">
        <v>1.224533800351846</v>
      </c>
      <c r="AB726" s="6" t="n">
        <v>0.949430114533848</v>
      </c>
      <c r="AC726" s="6" t="n">
        <v>0.7890984667812875</v>
      </c>
      <c r="AD726" s="6" t="n">
        <v>3.378017146941833</v>
      </c>
      <c r="AE726" s="6" t="n">
        <v>-2.385476791030131</v>
      </c>
      <c r="AF726" s="6" t="n">
        <v>1.552879388747657</v>
      </c>
      <c r="AG726" s="6" t="n">
        <v>0.920542162766296</v>
      </c>
      <c r="AH726" s="6" t="n">
        <v>0.4551233760034585</v>
      </c>
      <c r="AI726" s="6" t="n">
        <v>-1.148305582439741</v>
      </c>
      <c r="AJ726" s="6" t="n">
        <v>71.50999633142339</v>
      </c>
      <c r="AK726" s="6" t="n">
        <v>0.18481721224844</v>
      </c>
      <c r="AL726" s="6" t="n">
        <v>1.101045876685912</v>
      </c>
      <c r="AN726" s="6" t="n">
        <v>1.321518127618858</v>
      </c>
      <c r="AO726" s="6" t="n">
        <v>1.322427907896608</v>
      </c>
      <c r="AP726" s="6" t="n">
        <v>0.1269500640431913</v>
      </c>
      <c r="AQ726" s="6" t="n">
        <v>0</v>
      </c>
      <c r="AR726" s="6" t="n">
        <v>0</v>
      </c>
    </row>
    <row r="727">
      <c r="D727" t="inlineStr">
        <is>
          <t>Run 415</t>
        </is>
      </c>
      <c r="J727" s="6" t="n">
        <v>1.809721372987157</v>
      </c>
      <c r="K727" s="6" t="n">
        <v>0.2107497560739683</v>
      </c>
      <c r="L727" s="6" t="n">
        <v>-4.202740900843394</v>
      </c>
      <c r="M727" s="6" t="n">
        <v>1.612968794538777</v>
      </c>
      <c r="N727" s="6" t="n">
        <v>-0.7557396897747198</v>
      </c>
      <c r="O727" s="6" t="n">
        <v>2.900607466291425</v>
      </c>
      <c r="P727" s="6" t="n">
        <v>-0.5265725102994809</v>
      </c>
      <c r="Q727" s="6" t="n">
        <v>1.574991503893867</v>
      </c>
      <c r="R727" s="6" t="n">
        <v>-0.2007204087754003</v>
      </c>
      <c r="S727" s="6" t="n">
        <v>-1.698575039262921</v>
      </c>
      <c r="T727" s="6" t="n">
        <v>-1.78840181719969</v>
      </c>
      <c r="U727" s="6" t="n">
        <v>1.515269180339324</v>
      </c>
      <c r="V727" s="6" t="n">
        <v>-1.358389246922362</v>
      </c>
      <c r="W727" s="6" t="n">
        <v>-1.41310045382853</v>
      </c>
      <c r="X727" s="6" t="n">
        <v>-0.7408755990596113</v>
      </c>
      <c r="Y727" s="6" t="n">
        <v>0.6574453125634957</v>
      </c>
      <c r="Z727" s="6" t="n">
        <v>-0.2011951605983608</v>
      </c>
      <c r="AA727" s="6" t="n">
        <v>2.705610936104024</v>
      </c>
      <c r="AB727" s="6" t="n">
        <v>-0.9198946053069758</v>
      </c>
      <c r="AC727" s="6" t="n">
        <v>2.572747212757932</v>
      </c>
      <c r="AD727" s="6" t="n">
        <v>-0.3200204010324608</v>
      </c>
      <c r="AE727" s="6" t="n">
        <v>-0.7669098399094137</v>
      </c>
      <c r="AF727" s="6" t="n">
        <v>-0.9215028753709023</v>
      </c>
      <c r="AG727" s="6" t="n">
        <v>-1.604320654259232</v>
      </c>
      <c r="AH727" s="6" t="n">
        <v>-3.319995240788407</v>
      </c>
      <c r="AI727" s="6" t="n">
        <v>-2.887484894993964</v>
      </c>
      <c r="AJ727" s="6" t="n">
        <v>74.64965875846943</v>
      </c>
      <c r="AK727" s="6" t="n">
        <v>0.1068383985677626</v>
      </c>
      <c r="AL727" s="6" t="n">
        <v>1.019091763681385</v>
      </c>
      <c r="AN727" s="6" t="n">
        <v>1.353716552694285</v>
      </c>
      <c r="AO727" s="6" t="n">
        <v>1.353716552694285</v>
      </c>
      <c r="AP727" s="6" t="n">
        <v>0.1364647274354363</v>
      </c>
      <c r="AQ727" s="6" t="n">
        <v>0</v>
      </c>
      <c r="AR727" s="6" t="n">
        <v>0</v>
      </c>
    </row>
    <row r="728">
      <c r="D728" t="inlineStr">
        <is>
          <t>Run 416</t>
        </is>
      </c>
      <c r="J728" s="6" t="n">
        <v>0.6057046524129978</v>
      </c>
      <c r="K728" s="6" t="n">
        <v>-1.958390355553262</v>
      </c>
      <c r="L728" s="6" t="n">
        <v>-1.055985826433139</v>
      </c>
      <c r="M728" s="6" t="n">
        <v>5</v>
      </c>
      <c r="N728" s="6" t="n">
        <v>-1.158845929141242</v>
      </c>
      <c r="O728" s="6" t="n">
        <v>1.141573858836843</v>
      </c>
      <c r="P728" s="6" t="n">
        <v>-1.722038157257603</v>
      </c>
      <c r="Q728" s="6" t="n">
        <v>-0.7956915927839993</v>
      </c>
      <c r="R728" s="6" t="n">
        <v>1.515366956738312</v>
      </c>
      <c r="S728" s="6" t="n">
        <v>-0.03078297199821368</v>
      </c>
      <c r="T728" s="6" t="n">
        <v>2.245688123887448</v>
      </c>
      <c r="U728" s="6" t="n">
        <v>-0.153861875974682</v>
      </c>
      <c r="V728" s="6" t="n">
        <v>-1.445010803692629</v>
      </c>
      <c r="W728" s="6" t="n">
        <v>2.691502197415983</v>
      </c>
      <c r="X728" s="6" t="n">
        <v>-2.447897177145386</v>
      </c>
      <c r="Y728" s="6" t="n">
        <v>-0.9819555827949059</v>
      </c>
      <c r="Z728" s="6" t="n">
        <v>-1.444243281532278</v>
      </c>
      <c r="AA728" s="6" t="n">
        <v>1.266976296186899</v>
      </c>
      <c r="AB728" s="6" t="n">
        <v>0.2550055969230446</v>
      </c>
      <c r="AC728" s="6" t="n">
        <v>2.494610154546666</v>
      </c>
      <c r="AD728" s="6" t="n">
        <v>0.0419507798441663</v>
      </c>
      <c r="AE728" s="6" t="n">
        <v>2.135133007697108</v>
      </c>
      <c r="AF728" s="6" t="n">
        <v>3.115220339136366</v>
      </c>
      <c r="AG728" s="6" t="n">
        <v>-1.569403987225165</v>
      </c>
      <c r="AH728" s="6" t="n">
        <v>-0.3368645272056706</v>
      </c>
      <c r="AI728" s="6" t="n">
        <v>1.567496692982386</v>
      </c>
      <c r="AJ728" s="6" t="n">
        <v>69.30355637654269</v>
      </c>
      <c r="AK728" s="6" t="n">
        <v>0.1134686583430501</v>
      </c>
      <c r="AL728" s="6" t="n">
        <v>1.014400174042438</v>
      </c>
      <c r="AN728" s="6" t="n">
        <v>1.351175831466053</v>
      </c>
      <c r="AO728" s="6" t="n">
        <v>1.351175831466053</v>
      </c>
      <c r="AP728" s="6" t="n">
        <v>0.1361659613503237</v>
      </c>
      <c r="AQ728" s="6" t="n">
        <v>0</v>
      </c>
      <c r="AR728" s="6" t="n">
        <v>0</v>
      </c>
    </row>
    <row r="729">
      <c r="D729" t="inlineStr">
        <is>
          <t>Run 417</t>
        </is>
      </c>
      <c r="J729" s="6" t="n">
        <v>3.51361305086747</v>
      </c>
      <c r="K729" s="6" t="n">
        <v>2.382056139333899</v>
      </c>
      <c r="L729" s="6" t="n">
        <v>0.8522964725902951</v>
      </c>
      <c r="M729" s="6" t="n">
        <v>1.178970494039102</v>
      </c>
      <c r="N729" s="6" t="n">
        <v>2.730892893031122</v>
      </c>
      <c r="O729" s="6" t="n">
        <v>1.89058474649072</v>
      </c>
      <c r="P729" s="6" t="n">
        <v>0.5854196604805815</v>
      </c>
      <c r="Q729" s="6" t="n">
        <v>-1.247948032353051</v>
      </c>
      <c r="R729" s="6" t="n">
        <v>-0.8008875217203368</v>
      </c>
      <c r="S729" s="6" t="n">
        <v>1.482366948497385</v>
      </c>
      <c r="T729" s="6" t="n">
        <v>0.6052331881604123</v>
      </c>
      <c r="U729" s="6" t="n">
        <v>-1.490842751406255</v>
      </c>
      <c r="V729" s="6" t="n">
        <v>-0.3813055257981547</v>
      </c>
      <c r="W729" s="6" t="n">
        <v>2.437558894613607</v>
      </c>
      <c r="X729" s="6" t="n">
        <v>2.154361096539395</v>
      </c>
      <c r="Y729" s="6" t="n">
        <v>-0.3738275682132393</v>
      </c>
      <c r="Z729" s="6" t="n">
        <v>0.2950358985919053</v>
      </c>
      <c r="AA729" s="6" t="n">
        <v>-2.01028461978534</v>
      </c>
      <c r="AB729" s="6" t="n">
        <v>-0.5294335067447274</v>
      </c>
      <c r="AC729" s="6" t="n">
        <v>-1.153461865462219</v>
      </c>
      <c r="AD729" s="6" t="n">
        <v>-0.3484541402765988</v>
      </c>
      <c r="AE729" s="6" t="n">
        <v>4.206104132730666</v>
      </c>
      <c r="AF729" s="6" t="n">
        <v>-2.471261867702893</v>
      </c>
      <c r="AG729" s="6" t="n">
        <v>-2.527779900154913</v>
      </c>
      <c r="AH729" s="6" t="n">
        <v>-0.09261849700585396</v>
      </c>
      <c r="AI729" s="6" t="n">
        <v>-2.43857148056054</v>
      </c>
      <c r="AJ729" s="6" t="n">
        <v>70.70034720514153</v>
      </c>
      <c r="AK729" s="6" t="n">
        <v>0.1790725316322401</v>
      </c>
      <c r="AL729" s="6" t="n">
        <v>1.038448795376597</v>
      </c>
      <c r="AN729" s="6" t="n">
        <v>1.344101460374004</v>
      </c>
      <c r="AO729" s="6" t="n">
        <v>1.344142002186524</v>
      </c>
      <c r="AP729" s="6" t="n">
        <v>0.1317585619791447</v>
      </c>
      <c r="AQ729" s="6" t="n">
        <v>0</v>
      </c>
      <c r="AR729" s="6" t="n">
        <v>0</v>
      </c>
    </row>
    <row r="730">
      <c r="D730" t="inlineStr">
        <is>
          <t>Run 418</t>
        </is>
      </c>
      <c r="J730" s="6" t="n">
        <v>-0.1107482222863819</v>
      </c>
      <c r="K730" s="6" t="n">
        <v>0.05018168313927616</v>
      </c>
      <c r="L730" s="6" t="n">
        <v>-1.127566557391068</v>
      </c>
      <c r="M730" s="6" t="n">
        <v>2.849947897693295</v>
      </c>
      <c r="N730" s="6" t="n">
        <v>-1.802932390042687</v>
      </c>
      <c r="O730" s="6" t="n">
        <v>2.155283059157836</v>
      </c>
      <c r="P730" s="6" t="n">
        <v>0.4096537612670613</v>
      </c>
      <c r="Q730" s="6" t="n">
        <v>0.4950030355810936</v>
      </c>
      <c r="R730" s="6" t="n">
        <v>0.3445627907391696</v>
      </c>
      <c r="S730" s="6" t="n">
        <v>-3.659988156426597</v>
      </c>
      <c r="T730" s="6" t="n">
        <v>-1.844470251512523</v>
      </c>
      <c r="U730" s="6" t="n">
        <v>0.7589783270374053</v>
      </c>
      <c r="V730" s="6" t="n">
        <v>1.953570766360299</v>
      </c>
      <c r="W730" s="6" t="n">
        <v>-0.6590382272485037</v>
      </c>
      <c r="X730" s="6" t="n">
        <v>0.5058583473667634</v>
      </c>
      <c r="Y730" s="6" t="n">
        <v>-0.09935201930770461</v>
      </c>
      <c r="Z730" s="6" t="n">
        <v>0.3308834677740833</v>
      </c>
      <c r="AA730" s="6" t="n">
        <v>-0.9268490974272929</v>
      </c>
      <c r="AB730" s="6" t="n">
        <v>2.608910743690202</v>
      </c>
      <c r="AC730" s="6" t="n">
        <v>-3.216998079894604</v>
      </c>
      <c r="AD730" s="6" t="n">
        <v>2.143365656904718</v>
      </c>
      <c r="AE730" s="6" t="n">
        <v>-4.359447764154845</v>
      </c>
      <c r="AF730" s="6" t="n">
        <v>-3.466381704334479</v>
      </c>
      <c r="AG730" s="6" t="n">
        <v>-4.282978878216053</v>
      </c>
      <c r="AH730" s="6" t="n">
        <v>3.367903233047825</v>
      </c>
      <c r="AI730" s="6" t="n">
        <v>2.928817861917879</v>
      </c>
      <c r="AJ730" s="6" t="n">
        <v>64.63518122779337</v>
      </c>
      <c r="AK730" s="6" t="n">
        <v>0.1575948238385153</v>
      </c>
      <c r="AL730" s="6" t="n">
        <v>1.036150615738711</v>
      </c>
      <c r="AN730" s="6" t="n">
        <v>1.342942288315471</v>
      </c>
      <c r="AO730" s="6" t="n">
        <v>1.34411815435535</v>
      </c>
      <c r="AP730" s="6" t="n">
        <v>0.1322399615127159</v>
      </c>
      <c r="AQ730" s="6" t="n">
        <v>0</v>
      </c>
      <c r="AR730" s="6" t="n">
        <v>0</v>
      </c>
    </row>
    <row r="731">
      <c r="D731" t="inlineStr">
        <is>
          <t>Run 419</t>
        </is>
      </c>
      <c r="J731" s="6" t="n">
        <v>-0.3985343941960477</v>
      </c>
      <c r="K731" s="6" t="n">
        <v>2.160603369154498</v>
      </c>
      <c r="L731" s="6" t="n">
        <v>-0.6868805515645869</v>
      </c>
      <c r="M731" s="6" t="n">
        <v>-2.504619041499645</v>
      </c>
      <c r="N731" s="6" t="n">
        <v>0.663470095266852</v>
      </c>
      <c r="O731" s="6" t="n">
        <v>-1.620701692607979</v>
      </c>
      <c r="P731" s="6" t="n">
        <v>-2.76294023894614</v>
      </c>
      <c r="Q731" s="6" t="n">
        <v>1.135291039344966</v>
      </c>
      <c r="R731" s="6" t="n">
        <v>1.210968795921318</v>
      </c>
      <c r="S731" s="6" t="n">
        <v>-1.234676663935771</v>
      </c>
      <c r="T731" s="6" t="n">
        <v>-1.896654644679096</v>
      </c>
      <c r="U731" s="6" t="n">
        <v>-2.281971736705573</v>
      </c>
      <c r="V731" s="6" t="n">
        <v>-1.806894512571204</v>
      </c>
      <c r="W731" s="6" t="n">
        <v>-0.6653541374695585</v>
      </c>
      <c r="X731" s="6" t="n">
        <v>0.582033290193647</v>
      </c>
      <c r="Y731" s="6" t="n">
        <v>1.704704169260198</v>
      </c>
      <c r="Z731" s="6" t="n">
        <v>2.371247718751353</v>
      </c>
      <c r="AA731" s="6" t="n">
        <v>0.2193642189093194</v>
      </c>
      <c r="AB731" s="6" t="n">
        <v>-1.285207919148056</v>
      </c>
      <c r="AC731" s="6" t="n">
        <v>0.1777638374353348</v>
      </c>
      <c r="AD731" s="6" t="n">
        <v>0.7518563123124783</v>
      </c>
      <c r="AE731" s="6" t="n">
        <v>3.544896247636998</v>
      </c>
      <c r="AF731" s="6" t="n">
        <v>0.3832320529293597</v>
      </c>
      <c r="AG731" s="6" t="n">
        <v>-2.780208682535476</v>
      </c>
      <c r="AH731" s="6" t="n">
        <v>-0.8726270684734088</v>
      </c>
      <c r="AI731" s="6" t="n">
        <v>-3.135021078739318</v>
      </c>
      <c r="AJ731" s="6" t="n">
        <v>64.35637759204495</v>
      </c>
      <c r="AK731" s="6" t="n">
        <v>0.0718645799539103</v>
      </c>
      <c r="AL731" s="6" t="n">
        <v>1.032600422433498</v>
      </c>
      <c r="AN731" s="6" t="n">
        <v>1.328955376690877</v>
      </c>
      <c r="AO731" s="6" t="n">
        <v>1.338331571177782</v>
      </c>
      <c r="AP731" s="6" t="n">
        <v>0.1343008956160973</v>
      </c>
      <c r="AQ731" s="6" t="n">
        <v>0</v>
      </c>
      <c r="AR731" s="6" t="n">
        <v>0</v>
      </c>
    </row>
    <row r="732">
      <c r="D732" t="inlineStr">
        <is>
          <t>Run 420</t>
        </is>
      </c>
      <c r="J732" s="6" t="n">
        <v>-2.584517154426903</v>
      </c>
      <c r="K732" s="6" t="n">
        <v>-0.2076102489763231</v>
      </c>
      <c r="L732" s="6" t="n">
        <v>-0.306820733611018</v>
      </c>
      <c r="M732" s="6" t="n">
        <v>1.445474846696505</v>
      </c>
      <c r="N732" s="6" t="n">
        <v>-3.521501132150858</v>
      </c>
      <c r="O732" s="6" t="n">
        <v>2.257632867423593</v>
      </c>
      <c r="P732" s="6" t="n">
        <v>-0.4176748181070275</v>
      </c>
      <c r="Q732" s="6" t="n">
        <v>-3.768471835636979</v>
      </c>
      <c r="R732" s="6" t="n">
        <v>-2.209411966236876</v>
      </c>
      <c r="S732" s="6" t="n">
        <v>0.8086704634041452</v>
      </c>
      <c r="T732" s="6" t="n">
        <v>-0.04992925747544529</v>
      </c>
      <c r="U732" s="6" t="n">
        <v>0.03189749207775545</v>
      </c>
      <c r="V732" s="6" t="n">
        <v>4.921188957080979</v>
      </c>
      <c r="W732" s="6" t="n">
        <v>-0.9768868685225101</v>
      </c>
      <c r="X732" s="6" t="n">
        <v>1.12239922903963</v>
      </c>
      <c r="Y732" s="6" t="n">
        <v>1.579674510332608</v>
      </c>
      <c r="Z732" s="6" t="n">
        <v>1.198983265952327</v>
      </c>
      <c r="AA732" s="6" t="n">
        <v>-0.3419336842157395</v>
      </c>
      <c r="AB732" s="6" t="n">
        <v>2.040445743211169</v>
      </c>
      <c r="AC732" s="6" t="n">
        <v>-0.1361106904158367</v>
      </c>
      <c r="AD732" s="6" t="n">
        <v>-0.1757816148471413</v>
      </c>
      <c r="AE732" s="6" t="n">
        <v>-2.42861142423551</v>
      </c>
      <c r="AF732" s="6" t="n">
        <v>-3.040903934560013</v>
      </c>
      <c r="AG732" s="6" t="n">
        <v>0.3907585835193862</v>
      </c>
      <c r="AH732" s="6" t="n">
        <v>0.2863025810304752</v>
      </c>
      <c r="AI732" s="6" t="n">
        <v>1.808757808101378</v>
      </c>
      <c r="AJ732" s="6" t="n">
        <v>65.12404002574321</v>
      </c>
      <c r="AK732" s="6" t="n">
        <v>0.1009410726622285</v>
      </c>
      <c r="AL732" s="6" t="n">
        <v>1.037103759220071</v>
      </c>
      <c r="AN732" s="6" t="n">
        <v>1.348204894569961</v>
      </c>
      <c r="AO732" s="6" t="n">
        <v>1.348531738503177</v>
      </c>
      <c r="AP732" s="6" t="n">
        <v>0.1332426863483905</v>
      </c>
      <c r="AQ732" s="6" t="n">
        <v>0</v>
      </c>
      <c r="AR732" s="6" t="n">
        <v>0</v>
      </c>
    </row>
    <row r="733">
      <c r="D733" t="inlineStr">
        <is>
          <t>Run 421</t>
        </is>
      </c>
      <c r="J733" s="6" t="n">
        <v>-0.9737353401269382</v>
      </c>
      <c r="K733" s="6" t="n">
        <v>1.85191896092327</v>
      </c>
      <c r="L733" s="6" t="n">
        <v>-1.875158380048077</v>
      </c>
      <c r="M733" s="6" t="n">
        <v>-1.045387336432271</v>
      </c>
      <c r="N733" s="6" t="n">
        <v>2.173025807738549</v>
      </c>
      <c r="O733" s="6" t="n">
        <v>-0.02228159120892007</v>
      </c>
      <c r="P733" s="6" t="n">
        <v>1.416561862352181</v>
      </c>
      <c r="Q733" s="6" t="n">
        <v>-0.9513241055629966</v>
      </c>
      <c r="R733" s="6" t="n">
        <v>-4.709861464663684</v>
      </c>
      <c r="S733" s="6" t="n">
        <v>1.31823181769376</v>
      </c>
      <c r="T733" s="6" t="n">
        <v>3.30816005834533</v>
      </c>
      <c r="U733" s="6" t="n">
        <v>-3.119388637920413</v>
      </c>
      <c r="V733" s="6" t="n">
        <v>0.1212703449646219</v>
      </c>
      <c r="W733" s="6" t="n">
        <v>0.2501611084662726</v>
      </c>
      <c r="X733" s="6" t="n">
        <v>-1.43076514400204</v>
      </c>
      <c r="Y733" s="6" t="n">
        <v>-4.857001784827932</v>
      </c>
      <c r="Z733" s="6" t="n">
        <v>0.6867511002974075</v>
      </c>
      <c r="AA733" s="6" t="n">
        <v>-3.542979898599429</v>
      </c>
      <c r="AB733" s="6" t="n">
        <v>0.4500720256363998</v>
      </c>
      <c r="AC733" s="6" t="n">
        <v>-0.176878857904349</v>
      </c>
      <c r="AD733" s="6" t="n">
        <v>0.4690937037621423</v>
      </c>
      <c r="AE733" s="6" t="n">
        <v>-2.813828388394964</v>
      </c>
      <c r="AF733" s="6" t="n">
        <v>-3.399383235712361</v>
      </c>
      <c r="AG733" s="6" t="n">
        <v>-2.388317535593084</v>
      </c>
      <c r="AH733" s="6" t="n">
        <v>-0.7248730396621358</v>
      </c>
      <c r="AI733" s="6" t="n">
        <v>-0.6159907619857417</v>
      </c>
      <c r="AJ733" s="6" t="n">
        <v>82.03072547686831</v>
      </c>
      <c r="AK733" s="6" t="n">
        <v>0.123344193686008</v>
      </c>
      <c r="AL733" s="6" t="n">
        <v>1.049793601493574</v>
      </c>
      <c r="AN733" s="6" t="n">
        <v>1.348089998761441</v>
      </c>
      <c r="AO733" s="6" t="n">
        <v>1.349427519539799</v>
      </c>
      <c r="AP733" s="6" t="n">
        <v>0.1325090461874645</v>
      </c>
      <c r="AQ733" s="6" t="n">
        <v>0</v>
      </c>
      <c r="AR733" s="6" t="n">
        <v>0</v>
      </c>
    </row>
    <row r="734">
      <c r="D734" t="inlineStr">
        <is>
          <t>Run 422</t>
        </is>
      </c>
      <c r="J734" s="6" t="n">
        <v>2.118241181267646</v>
      </c>
      <c r="K734" s="6" t="n">
        <v>-2.792743586372461</v>
      </c>
      <c r="L734" s="6" t="n">
        <v>2.085338894050657</v>
      </c>
      <c r="M734" s="6" t="n">
        <v>-1.164750498656946</v>
      </c>
      <c r="N734" s="6" t="n">
        <v>-0.2273880854874954</v>
      </c>
      <c r="O734" s="6" t="n">
        <v>3.429009531890741</v>
      </c>
      <c r="P734" s="6" t="n">
        <v>-0.507777432463974</v>
      </c>
      <c r="Q734" s="6" t="n">
        <v>-0.3912831013733478</v>
      </c>
      <c r="R734" s="6" t="n">
        <v>2.004850227162042</v>
      </c>
      <c r="S734" s="6" t="n">
        <v>0.05002832822018973</v>
      </c>
      <c r="T734" s="6" t="n">
        <v>2.47461313415092</v>
      </c>
      <c r="U734" s="6" t="n">
        <v>-1.081507333252778</v>
      </c>
      <c r="V734" s="6" t="n">
        <v>-4.557163469561838</v>
      </c>
      <c r="W734" s="6" t="n">
        <v>0.5948134832125225</v>
      </c>
      <c r="X734" s="6" t="n">
        <v>-1.941679295844484</v>
      </c>
      <c r="Y734" s="6" t="n">
        <v>1.464132303395832</v>
      </c>
      <c r="Z734" s="6" t="n">
        <v>0.5214898286545141</v>
      </c>
      <c r="AA734" s="6" t="n">
        <v>1.625366636995808</v>
      </c>
      <c r="AB734" s="6" t="n">
        <v>-2.86818111093574</v>
      </c>
      <c r="AC734" s="6" t="n">
        <v>-3.270100035397234</v>
      </c>
      <c r="AD734" s="6" t="n">
        <v>-4.742045842293386</v>
      </c>
      <c r="AE734" s="6" t="n">
        <v>-0.2600840744934463</v>
      </c>
      <c r="AF734" s="6" t="n">
        <v>1.897572400572691</v>
      </c>
      <c r="AG734" s="6" t="n">
        <v>0.7816629830103659</v>
      </c>
      <c r="AH734" s="6" t="n">
        <v>-1.508098259858075</v>
      </c>
      <c r="AI734" s="6" t="n">
        <v>1.51160888758184</v>
      </c>
      <c r="AJ734" s="6" t="n">
        <v>74.00821717177381</v>
      </c>
      <c r="AK734" s="6" t="n">
        <v>0.0803136991302334</v>
      </c>
      <c r="AL734" s="6" t="n">
        <v>1.031696624089445</v>
      </c>
      <c r="AN734" s="6" t="n">
        <v>1.35195890513669</v>
      </c>
      <c r="AO734" s="6" t="n">
        <v>1.35195890513669</v>
      </c>
      <c r="AP734" s="6" t="n">
        <v>0.1352463058988896</v>
      </c>
      <c r="AQ734" s="6" t="n">
        <v>0</v>
      </c>
      <c r="AR734" s="6" t="n">
        <v>0</v>
      </c>
    </row>
    <row r="735">
      <c r="D735" t="inlineStr">
        <is>
          <t>Run 423</t>
        </is>
      </c>
      <c r="J735" s="6" t="n">
        <v>1.748586732952058</v>
      </c>
      <c r="K735" s="6" t="n">
        <v>-1.07124509994526</v>
      </c>
      <c r="L735" s="6" t="n">
        <v>1.067247045932376</v>
      </c>
      <c r="M735" s="6" t="n">
        <v>3.090024556869268</v>
      </c>
      <c r="N735" s="6" t="n">
        <v>-2.370290734724673</v>
      </c>
      <c r="O735" s="6" t="n">
        <v>4.4571563876995</v>
      </c>
      <c r="P735" s="6" t="n">
        <v>1.947872136969603</v>
      </c>
      <c r="Q735" s="6" t="n">
        <v>1.002575002838076</v>
      </c>
      <c r="R735" s="6" t="n">
        <v>2.78218522706526</v>
      </c>
      <c r="S735" s="6" t="n">
        <v>0.888767187922243</v>
      </c>
      <c r="T735" s="6" t="n">
        <v>1.090118145192743</v>
      </c>
      <c r="U735" s="6" t="n">
        <v>0.4429119190447953</v>
      </c>
      <c r="V735" s="6" t="n">
        <v>0.1464115979611658</v>
      </c>
      <c r="W735" s="6" t="n">
        <v>-0.9295581854968733</v>
      </c>
      <c r="X735" s="6" t="n">
        <v>1.137425626894617</v>
      </c>
      <c r="Y735" s="6" t="n">
        <v>1.166229128613736</v>
      </c>
      <c r="Z735" s="6" t="n">
        <v>1.179234389271635</v>
      </c>
      <c r="AA735" s="6" t="n">
        <v>1.829673173999686</v>
      </c>
      <c r="AB735" s="6" t="n">
        <v>-2.837596217649768</v>
      </c>
      <c r="AC735" s="6" t="n">
        <v>0.4037699186553405</v>
      </c>
      <c r="AD735" s="6" t="n">
        <v>-0.7011702111920485</v>
      </c>
      <c r="AE735" s="6" t="n">
        <v>0.04156077756082215</v>
      </c>
      <c r="AF735" s="6" t="n">
        <v>-0.8636281356020967</v>
      </c>
      <c r="AG735" s="6" t="n">
        <v>-5.251369252793703</v>
      </c>
      <c r="AH735" s="6" t="n">
        <v>-2.744036682629007</v>
      </c>
      <c r="AI735" s="6" t="n">
        <v>4.220774097545501</v>
      </c>
      <c r="AJ735" s="6" t="n">
        <v>77.01338276249039</v>
      </c>
      <c r="AK735" s="6" t="n">
        <v>0.07441100545252922</v>
      </c>
      <c r="AL735" s="6" t="n">
        <v>1.044866796201022</v>
      </c>
      <c r="AN735" s="6" t="n">
        <v>1.351018934510497</v>
      </c>
      <c r="AO735" s="6" t="n">
        <v>1.351018934510497</v>
      </c>
      <c r="AP735" s="6" t="n">
        <v>0.1343842477724566</v>
      </c>
      <c r="AQ735" s="6" t="n">
        <v>0</v>
      </c>
      <c r="AR735" s="6" t="n">
        <v>0</v>
      </c>
    </row>
    <row r="736">
      <c r="D736" t="inlineStr">
        <is>
          <t>Run 424</t>
        </is>
      </c>
      <c r="J736" s="6" t="n">
        <v>0.9527096574505983</v>
      </c>
      <c r="K736" s="6" t="n">
        <v>0.2609487234393639</v>
      </c>
      <c r="L736" s="6" t="n">
        <v>-0.9938159424211426</v>
      </c>
      <c r="M736" s="6" t="n">
        <v>4.042642448837237</v>
      </c>
      <c r="N736" s="6" t="n">
        <v>-0.7260720671967242</v>
      </c>
      <c r="O736" s="6" t="n">
        <v>-0.3917872371926961</v>
      </c>
      <c r="P736" s="6" t="n">
        <v>1.335781911961857</v>
      </c>
      <c r="Q736" s="6" t="n">
        <v>1.58906566412169</v>
      </c>
      <c r="R736" s="6" t="n">
        <v>1.360677156843842</v>
      </c>
      <c r="S736" s="6" t="n">
        <v>-1.598581476549296</v>
      </c>
      <c r="T736" s="6" t="n">
        <v>3.086585279683078</v>
      </c>
      <c r="U736" s="6" t="n">
        <v>-3.559312712335476</v>
      </c>
      <c r="V736" s="6" t="n">
        <v>-1.036564866270312</v>
      </c>
      <c r="W736" s="6" t="n">
        <v>4.204492262296974</v>
      </c>
      <c r="X736" s="6" t="n">
        <v>-1.960458686211452</v>
      </c>
      <c r="Y736" s="6" t="n">
        <v>1.491063930213435</v>
      </c>
      <c r="Z736" s="6" t="n">
        <v>-1.988892204788306</v>
      </c>
      <c r="AA736" s="6" t="n">
        <v>-1.510041484203645</v>
      </c>
      <c r="AB736" s="6" t="n">
        <v>0.397439575648892</v>
      </c>
      <c r="AC736" s="6" t="n">
        <v>-1.812217584226324</v>
      </c>
      <c r="AD736" s="6" t="n">
        <v>0.3278544442048396</v>
      </c>
      <c r="AE736" s="6" t="n">
        <v>0.4151069693864869</v>
      </c>
      <c r="AF736" s="6" t="n">
        <v>0.5244891183252898</v>
      </c>
      <c r="AG736" s="6" t="n">
        <v>0.7390763679198832</v>
      </c>
      <c r="AH736" s="6" t="n">
        <v>-1.158522568031657</v>
      </c>
      <c r="AI736" s="6" t="n">
        <v>-3.308026715781224</v>
      </c>
      <c r="AJ736" s="6" t="n">
        <v>80.0803406874693</v>
      </c>
      <c r="AK736" s="6" t="n">
        <v>0.06535273815644921</v>
      </c>
      <c r="AL736" s="6" t="n">
        <v>1.015391421878619</v>
      </c>
      <c r="AN736" s="6" t="n">
        <v>1.357111224174873</v>
      </c>
      <c r="AO736" s="6" t="n">
        <v>1.357111224174873</v>
      </c>
      <c r="AP736" s="6" t="n">
        <v>0.1384822453231644</v>
      </c>
      <c r="AQ736" s="6" t="n">
        <v>0</v>
      </c>
      <c r="AR736" s="6" t="n">
        <v>0</v>
      </c>
    </row>
    <row r="737">
      <c r="D737" t="inlineStr">
        <is>
          <t>Run 425</t>
        </is>
      </c>
      <c r="J737" s="6" t="n">
        <v>2.926277730879765</v>
      </c>
      <c r="K737" s="6" t="n">
        <v>-2.518464527163729</v>
      </c>
      <c r="L737" s="6" t="n">
        <v>-2.475143558235882</v>
      </c>
      <c r="M737" s="6" t="n">
        <v>-2.493992772780909</v>
      </c>
      <c r="N737" s="6" t="n">
        <v>-0.5998104039013366</v>
      </c>
      <c r="O737" s="6" t="n">
        <v>1.495025930470056</v>
      </c>
      <c r="P737" s="6" t="n">
        <v>-2.851870778607365</v>
      </c>
      <c r="Q737" s="6" t="n">
        <v>0.4006992261355833</v>
      </c>
      <c r="R737" s="6" t="n">
        <v>-0.4828324881856388</v>
      </c>
      <c r="S737" s="6" t="n">
        <v>2.69566794062265</v>
      </c>
      <c r="T737" s="6" t="n">
        <v>0.9816969367658919</v>
      </c>
      <c r="U737" s="6" t="n">
        <v>0.2013689204770134</v>
      </c>
      <c r="V737" s="6" t="n">
        <v>-0.4111668185040244</v>
      </c>
      <c r="W737" s="6" t="n">
        <v>2.338605006298083</v>
      </c>
      <c r="X737" s="6" t="n">
        <v>1.131298133497489</v>
      </c>
      <c r="Y737" s="6" t="n">
        <v>0.0002901720177028812</v>
      </c>
      <c r="Z737" s="6" t="n">
        <v>-2.016259297653533</v>
      </c>
      <c r="AA737" s="6" t="n">
        <v>-0.782855515203123</v>
      </c>
      <c r="AB737" s="6" t="n">
        <v>-3.959550510324378</v>
      </c>
      <c r="AC737" s="6" t="n">
        <v>2.091554873319361</v>
      </c>
      <c r="AD737" s="6" t="n">
        <v>-2.633093186563733</v>
      </c>
      <c r="AE737" s="6" t="n">
        <v>-0.2718639601931064</v>
      </c>
      <c r="AF737" s="6" t="n">
        <v>1.64234241755685</v>
      </c>
      <c r="AG737" s="6" t="n">
        <v>0.7507493623256882</v>
      </c>
      <c r="AH737" s="6" t="n">
        <v>-0.9647699017039315</v>
      </c>
      <c r="AI737" s="6" t="n">
        <v>-1.277360252086779</v>
      </c>
      <c r="AJ737" s="6" t="n">
        <v>76.64611931578864</v>
      </c>
      <c r="AK737" s="6" t="n">
        <v>0.1117608636176521</v>
      </c>
      <c r="AL737" s="6" t="n">
        <v>1.046762803292668</v>
      </c>
      <c r="AN737" s="6" t="n">
        <v>1.32779185643907</v>
      </c>
      <c r="AO737" s="6" t="n">
        <v>1.335658400236071</v>
      </c>
      <c r="AP737" s="6" t="n">
        <v>0.1332407757364354</v>
      </c>
      <c r="AQ737" s="6" t="n">
        <v>0</v>
      </c>
      <c r="AR737" s="6" t="n">
        <v>0</v>
      </c>
    </row>
    <row r="738">
      <c r="D738" t="inlineStr">
        <is>
          <t>Run 426</t>
        </is>
      </c>
      <c r="J738" s="6" t="n">
        <v>1.703662548947061</v>
      </c>
      <c r="K738" s="6" t="n">
        <v>-2.866157345435153</v>
      </c>
      <c r="L738" s="6" t="n">
        <v>0.9795789043974933</v>
      </c>
      <c r="M738" s="6" t="n">
        <v>3.84319781845451</v>
      </c>
      <c r="N738" s="6" t="n">
        <v>-1.105847755632466</v>
      </c>
      <c r="O738" s="6" t="n">
        <v>1.927029800271215</v>
      </c>
      <c r="P738" s="6" t="n">
        <v>-1.615433204336206</v>
      </c>
      <c r="Q738" s="6" t="n">
        <v>-0.9925336682368814</v>
      </c>
      <c r="R738" s="6" t="n">
        <v>-1.355012844201551</v>
      </c>
      <c r="S738" s="6" t="n">
        <v>1.452733770075624</v>
      </c>
      <c r="T738" s="6" t="n">
        <v>0.9880722552483461</v>
      </c>
      <c r="U738" s="6" t="n">
        <v>-0.4047578134248231</v>
      </c>
      <c r="V738" s="6" t="n">
        <v>2.465646916428044</v>
      </c>
      <c r="W738" s="6" t="n">
        <v>-2.121718847134904</v>
      </c>
      <c r="X738" s="6" t="n">
        <v>-1.597006453524397</v>
      </c>
      <c r="Y738" s="6" t="n">
        <v>2.353402162125747</v>
      </c>
      <c r="Z738" s="6" t="n">
        <v>1.911071309137177</v>
      </c>
      <c r="AA738" s="6" t="n">
        <v>-0.9252059367851871</v>
      </c>
      <c r="AB738" s="6" t="n">
        <v>2.262973107217684</v>
      </c>
      <c r="AC738" s="6" t="n">
        <v>0.7940275994387965</v>
      </c>
      <c r="AD738" s="6" t="n">
        <v>-1.484441779170791</v>
      </c>
      <c r="AE738" s="6" t="n">
        <v>-0.04470656643127627</v>
      </c>
      <c r="AF738" s="6" t="n">
        <v>-3.756390805976109</v>
      </c>
      <c r="AG738" s="6" t="n">
        <v>0.7353421214859713</v>
      </c>
      <c r="AH738" s="6" t="n">
        <v>-4.247004974450131</v>
      </c>
      <c r="AI738" s="6" t="n">
        <v>-0.5047855562934831</v>
      </c>
      <c r="AJ738" s="6" t="n">
        <v>75.18928476712269</v>
      </c>
      <c r="AK738" s="6" t="n">
        <v>0.1270460580038629</v>
      </c>
      <c r="AL738" s="6" t="n">
        <v>0.9915879759370807</v>
      </c>
      <c r="AN738" s="6" t="n">
        <v>1.358634082795868</v>
      </c>
      <c r="AO738" s="6" t="n">
        <v>1.358634082795868</v>
      </c>
      <c r="AP738" s="6" t="n">
        <v>0.1405539139042565</v>
      </c>
      <c r="AQ738" s="6" t="n">
        <v>0</v>
      </c>
      <c r="AR738" s="6" t="n">
        <v>0</v>
      </c>
    </row>
    <row r="739">
      <c r="D739" t="inlineStr">
        <is>
          <t>Run 427</t>
        </is>
      </c>
      <c r="J739" s="6" t="n">
        <v>-2.775733998758528</v>
      </c>
      <c r="K739" s="6" t="n">
        <v>1.468232190691297</v>
      </c>
      <c r="L739" s="6" t="n">
        <v>-3.31304093913954</v>
      </c>
      <c r="M739" s="6" t="n">
        <v>1.804144895394684</v>
      </c>
      <c r="N739" s="6" t="n">
        <v>-0.04816110542820907</v>
      </c>
      <c r="O739" s="6" t="n">
        <v>-1.585026409526675</v>
      </c>
      <c r="P739" s="6" t="n">
        <v>2.754414584190589</v>
      </c>
      <c r="Q739" s="6" t="n">
        <v>1.228104245261857</v>
      </c>
      <c r="R739" s="6" t="n">
        <v>1.618608859820669</v>
      </c>
      <c r="S739" s="6" t="n">
        <v>-1.968861227828159</v>
      </c>
      <c r="T739" s="6" t="n">
        <v>-0.5756175557597479</v>
      </c>
      <c r="U739" s="6" t="n">
        <v>-4.332010032232847</v>
      </c>
      <c r="V739" s="6" t="n">
        <v>0.2642218489974997</v>
      </c>
      <c r="W739" s="6" t="n">
        <v>-1.763214379447587</v>
      </c>
      <c r="X739" s="6" t="n">
        <v>4.10863691633274</v>
      </c>
      <c r="Y739" s="6" t="n">
        <v>3.546407179785266</v>
      </c>
      <c r="Z739" s="6" t="n">
        <v>1.617195708355366</v>
      </c>
      <c r="AA739" s="6" t="n">
        <v>2.044038794382291</v>
      </c>
      <c r="AB739" s="6" t="n">
        <v>1.120716993451002</v>
      </c>
      <c r="AC739" s="6" t="n">
        <v>1.276118687028555</v>
      </c>
      <c r="AD739" s="6" t="n">
        <v>-0.1711937512283944</v>
      </c>
      <c r="AE739" s="6" t="n">
        <v>-2.106151977976131</v>
      </c>
      <c r="AF739" s="6" t="n">
        <v>-0.5327378032862926</v>
      </c>
      <c r="AG739" s="6" t="n">
        <v>1.654232550156151</v>
      </c>
      <c r="AH739" s="6" t="n">
        <v>1.754314134054648</v>
      </c>
      <c r="AI739" s="6" t="n">
        <v>-0.3838026450375648</v>
      </c>
      <c r="AJ739" s="6" t="n">
        <v>72.48250076746753</v>
      </c>
      <c r="AK739" s="6" t="n">
        <v>0.1468624282752994</v>
      </c>
      <c r="AL739" s="6" t="n">
        <v>1.015989490722168</v>
      </c>
      <c r="AN739" s="6" t="n">
        <v>1.353302236391559</v>
      </c>
      <c r="AO739" s="6" t="n">
        <v>1.354737659910416</v>
      </c>
      <c r="AP739" s="6" t="n">
        <v>0.1357079808095025</v>
      </c>
      <c r="AQ739" s="6" t="n">
        <v>0</v>
      </c>
      <c r="AR739" s="6" t="n">
        <v>0</v>
      </c>
    </row>
    <row r="740">
      <c r="D740" t="inlineStr">
        <is>
          <t>Run 428</t>
        </is>
      </c>
      <c r="J740" s="6" t="n">
        <v>-3.23730313955093</v>
      </c>
      <c r="K740" s="6" t="n">
        <v>-2.567885739397691</v>
      </c>
      <c r="L740" s="6" t="n">
        <v>1.477603832916943</v>
      </c>
      <c r="M740" s="6" t="n">
        <v>0.4902439182150413</v>
      </c>
      <c r="N740" s="6" t="n">
        <v>1.624392013270739</v>
      </c>
      <c r="O740" s="6" t="n">
        <v>-0.105873575700808</v>
      </c>
      <c r="P740" s="6" t="n">
        <v>0.1274459549906971</v>
      </c>
      <c r="Q740" s="6" t="n">
        <v>-1.317114523801396</v>
      </c>
      <c r="R740" s="6" t="n">
        <v>5</v>
      </c>
      <c r="S740" s="6" t="n">
        <v>-0.5605935161566933</v>
      </c>
      <c r="T740" s="6" t="n">
        <v>-2.958895320142113</v>
      </c>
      <c r="U740" s="6" t="n">
        <v>-1.407999674749829</v>
      </c>
      <c r="V740" s="6" t="n">
        <v>1.036751688900108</v>
      </c>
      <c r="W740" s="6" t="n">
        <v>0.9642207844900325</v>
      </c>
      <c r="X740" s="6" t="n">
        <v>-0.6631863109241053</v>
      </c>
      <c r="Y740" s="6" t="n">
        <v>-0.2994711986266156</v>
      </c>
      <c r="Z740" s="6" t="n">
        <v>0.3108685314857972</v>
      </c>
      <c r="AA740" s="6" t="n">
        <v>0.331115154775025</v>
      </c>
      <c r="AB740" s="6" t="n">
        <v>-3.538957631534474</v>
      </c>
      <c r="AC740" s="6" t="n">
        <v>4.116559756629667</v>
      </c>
      <c r="AD740" s="6" t="n">
        <v>1.981666588713388</v>
      </c>
      <c r="AE740" s="6" t="n">
        <v>3.634507153056115</v>
      </c>
      <c r="AF740" s="6" t="n">
        <v>-0.1473676641750848</v>
      </c>
      <c r="AG740" s="6" t="n">
        <v>-1.883859695933001</v>
      </c>
      <c r="AH740" s="6" t="n">
        <v>2.352190150176631</v>
      </c>
      <c r="AI740" s="6" t="n">
        <v>-1.158166696584902</v>
      </c>
      <c r="AJ740" s="6" t="n">
        <v>78.50684910093067</v>
      </c>
      <c r="AK740" s="6" t="n">
        <v>0.1406802060084885</v>
      </c>
      <c r="AL740" s="6" t="n">
        <v>1.071974550838467</v>
      </c>
      <c r="AN740" s="6" t="n">
        <v>1.338877569462677</v>
      </c>
      <c r="AO740" s="6" t="n">
        <v>1.339380310496189</v>
      </c>
      <c r="AP740" s="6" t="n">
        <v>0.1306149792063806</v>
      </c>
      <c r="AQ740" s="6" t="n">
        <v>0</v>
      </c>
      <c r="AR740" s="6" t="n">
        <v>0</v>
      </c>
    </row>
    <row r="741">
      <c r="D741" t="inlineStr">
        <is>
          <t>Run 429</t>
        </is>
      </c>
      <c r="J741" s="6" t="n">
        <v>-1.776774127689909</v>
      </c>
      <c r="K741" s="6" t="n">
        <v>-0.2372615438739248</v>
      </c>
      <c r="L741" s="6" t="n">
        <v>0.7693733896419174</v>
      </c>
      <c r="M741" s="6" t="n">
        <v>1.713208406434017</v>
      </c>
      <c r="N741" s="6" t="n">
        <v>-2.175024715460551</v>
      </c>
      <c r="O741" s="6" t="n">
        <v>-0.4672709802821771</v>
      </c>
      <c r="P741" s="6" t="n">
        <v>-1.251773038174027</v>
      </c>
      <c r="Q741" s="6" t="n">
        <v>-4.410146306948154</v>
      </c>
      <c r="R741" s="6" t="n">
        <v>-0.9353351031937762</v>
      </c>
      <c r="S741" s="6" t="n">
        <v>-0.8821742448477106</v>
      </c>
      <c r="T741" s="6" t="n">
        <v>1.963035821007449</v>
      </c>
      <c r="U741" s="6" t="n">
        <v>-5.12715896087528</v>
      </c>
      <c r="V741" s="6" t="n">
        <v>2.187173512673544</v>
      </c>
      <c r="W741" s="6" t="n">
        <v>1.501717075428697</v>
      </c>
      <c r="X741" s="6" t="n">
        <v>2.338016936600989</v>
      </c>
      <c r="Y741" s="6" t="n">
        <v>0.01449811384191094</v>
      </c>
      <c r="Z741" s="6" t="n">
        <v>-0.6292446536505171</v>
      </c>
      <c r="AA741" s="6" t="n">
        <v>-1.750305570603891</v>
      </c>
      <c r="AB741" s="6" t="n">
        <v>1.23757074383194</v>
      </c>
      <c r="AC741" s="6" t="n">
        <v>2.509542643172511</v>
      </c>
      <c r="AD741" s="6" t="n">
        <v>0.9949397235308201</v>
      </c>
      <c r="AE741" s="6" t="n">
        <v>3.300836376412807</v>
      </c>
      <c r="AF741" s="6" t="n">
        <v>-0.1107568407097884</v>
      </c>
      <c r="AG741" s="6" t="n">
        <v>-1.302543580459704</v>
      </c>
      <c r="AH741" s="6" t="n">
        <v>0.4068451466167824</v>
      </c>
      <c r="AI741" s="6" t="n">
        <v>-4.625576441382181</v>
      </c>
      <c r="AJ741" s="6" t="n">
        <v>69.07556351137671</v>
      </c>
      <c r="AK741" s="6" t="n">
        <v>0.1446816879738651</v>
      </c>
      <c r="AL741" s="6" t="n">
        <v>1.058107304795837</v>
      </c>
      <c r="AN741" s="6" t="n">
        <v>1.34084826824807</v>
      </c>
      <c r="AO741" s="6" t="n">
        <v>1.341335718833557</v>
      </c>
      <c r="AP741" s="6" t="n">
        <v>0.1303620102383548</v>
      </c>
      <c r="AQ741" s="6" t="n">
        <v>0</v>
      </c>
      <c r="AR741" s="6" t="n">
        <v>0</v>
      </c>
    </row>
    <row r="742">
      <c r="D742" t="inlineStr">
        <is>
          <t>Run 430</t>
        </is>
      </c>
      <c r="J742" s="6" t="n">
        <v>0.1355427606716665</v>
      </c>
      <c r="K742" s="6" t="n">
        <v>-1.785638744342889</v>
      </c>
      <c r="L742" s="6" t="n">
        <v>0.8455208464954083</v>
      </c>
      <c r="M742" s="6" t="n">
        <v>1.151910870873503</v>
      </c>
      <c r="N742" s="6" t="n">
        <v>-1.097881295782311</v>
      </c>
      <c r="O742" s="6" t="n">
        <v>-0.7545169459824705</v>
      </c>
      <c r="P742" s="6" t="n">
        <v>-0.05949020522294125</v>
      </c>
      <c r="Q742" s="6" t="n">
        <v>0.4717633191484311</v>
      </c>
      <c r="R742" s="6" t="n">
        <v>-1.341863267291117</v>
      </c>
      <c r="S742" s="6" t="n">
        <v>-3.195759231796769</v>
      </c>
      <c r="T742" s="6" t="n">
        <v>0.7331204144841327</v>
      </c>
      <c r="U742" s="6" t="n">
        <v>3.778646858743122</v>
      </c>
      <c r="V742" s="6" t="n">
        <v>-2.00591514629892</v>
      </c>
      <c r="W742" s="6" t="n">
        <v>0.5850530227665252</v>
      </c>
      <c r="X742" s="6" t="n">
        <v>1.021821073171421</v>
      </c>
      <c r="Y742" s="6" t="n">
        <v>-3.857629388100698</v>
      </c>
      <c r="Z742" s="6" t="n">
        <v>-0.2752005555383853</v>
      </c>
      <c r="AA742" s="6" t="n">
        <v>1.254026147496415</v>
      </c>
      <c r="AB742" s="6" t="n">
        <v>-2.384845912296525</v>
      </c>
      <c r="AC742" s="6" t="n">
        <v>3.343060831855923</v>
      </c>
      <c r="AD742" s="6" t="n">
        <v>-1.157994842018609</v>
      </c>
      <c r="AE742" s="6" t="n">
        <v>2.500219528503879</v>
      </c>
      <c r="AF742" s="6" t="n">
        <v>4.321941052705039</v>
      </c>
      <c r="AG742" s="6" t="n">
        <v>-3.787915469978679</v>
      </c>
      <c r="AH742" s="6" t="n">
        <v>1.796551070916798</v>
      </c>
      <c r="AI742" s="6" t="n">
        <v>1.473841457320039</v>
      </c>
      <c r="AJ742" s="6" t="n">
        <v>65.24056903875763</v>
      </c>
      <c r="AK742" s="6" t="n">
        <v>0.1101367608410908</v>
      </c>
      <c r="AL742" s="6" t="n">
        <v>1.068172411219977</v>
      </c>
      <c r="AN742" s="6" t="n">
        <v>1.339487395826373</v>
      </c>
      <c r="AO742" s="6" t="n">
        <v>1.339542320996288</v>
      </c>
      <c r="AP742" s="6" t="n">
        <v>0.1307397668347042</v>
      </c>
      <c r="AQ742" s="6" t="n">
        <v>0</v>
      </c>
      <c r="AR742" s="6" t="n">
        <v>0</v>
      </c>
    </row>
    <row r="743">
      <c r="D743" t="inlineStr">
        <is>
          <t>Run 431</t>
        </is>
      </c>
      <c r="J743" s="6" t="n">
        <v>-3.199969375885424</v>
      </c>
      <c r="K743" s="6" t="n">
        <v>0.6481486922838887</v>
      </c>
      <c r="L743" s="6" t="n">
        <v>-1.35892006840532</v>
      </c>
      <c r="M743" s="6" t="n">
        <v>0.8427422697124552</v>
      </c>
      <c r="N743" s="6" t="n">
        <v>-0.3095364640367131</v>
      </c>
      <c r="O743" s="6" t="n">
        <v>1.763437033150159</v>
      </c>
      <c r="P743" s="6" t="n">
        <v>0.4858903961101144</v>
      </c>
      <c r="Q743" s="6" t="n">
        <v>-1.48521552987873</v>
      </c>
      <c r="R743" s="6" t="n">
        <v>0.1779623311624788</v>
      </c>
      <c r="S743" s="6" t="n">
        <v>-0.1574410475878117</v>
      </c>
      <c r="T743" s="6" t="n">
        <v>0.2861419410791202</v>
      </c>
      <c r="U743" s="6" t="n">
        <v>4.165190913911982</v>
      </c>
      <c r="V743" s="6" t="n">
        <v>-3.183257416562791</v>
      </c>
      <c r="W743" s="6" t="n">
        <v>-0.9525632908636501</v>
      </c>
      <c r="X743" s="6" t="n">
        <v>-0.6176966259826558</v>
      </c>
      <c r="Y743" s="6" t="n">
        <v>-3.740644924201809</v>
      </c>
      <c r="Z743" s="6" t="n">
        <v>0.42436359654103</v>
      </c>
      <c r="AA743" s="6" t="n">
        <v>1.731593329789566</v>
      </c>
      <c r="AB743" s="6" t="n">
        <v>-4.201756893984937</v>
      </c>
      <c r="AC743" s="6" t="n">
        <v>2.97455290887006</v>
      </c>
      <c r="AD743" s="6" t="n">
        <v>1.38727386151595</v>
      </c>
      <c r="AE743" s="6" t="n">
        <v>-0.5118356162207607</v>
      </c>
      <c r="AF743" s="6" t="n">
        <v>-0.09836850010232823</v>
      </c>
      <c r="AG743" s="6" t="n">
        <v>-2.649434601293515</v>
      </c>
      <c r="AH743" s="6" t="n">
        <v>-0.8184478391868329</v>
      </c>
      <c r="AI743" s="6" t="n">
        <v>0.2690745764279711</v>
      </c>
      <c r="AJ743" s="6" t="n">
        <v>78.6181241565006</v>
      </c>
      <c r="AK743" s="6" t="n">
        <v>0.09030962653875524</v>
      </c>
      <c r="AL743" s="6" t="n">
        <v>1.044930774978121</v>
      </c>
      <c r="AN743" s="6" t="n">
        <v>1.352424837109776</v>
      </c>
      <c r="AO743" s="6" t="n">
        <v>1.353175413570325</v>
      </c>
      <c r="AP743" s="6" t="n">
        <v>0.133917140101082</v>
      </c>
      <c r="AQ743" s="6" t="n">
        <v>0</v>
      </c>
      <c r="AR743" s="6" t="n">
        <v>0</v>
      </c>
    </row>
    <row r="744">
      <c r="D744" t="inlineStr">
        <is>
          <t>Run 432</t>
        </is>
      </c>
      <c r="J744" s="6" t="n">
        <v>-0.06237560940804641</v>
      </c>
      <c r="K744" s="6" t="n">
        <v>-0.5258329882017387</v>
      </c>
      <c r="L744" s="6" t="n">
        <v>-0.2880141007329077</v>
      </c>
      <c r="M744" s="6" t="n">
        <v>0.9824910045484024</v>
      </c>
      <c r="N744" s="6" t="n">
        <v>0.8393773782108196</v>
      </c>
      <c r="O744" s="6" t="n">
        <v>-0.05578966487613734</v>
      </c>
      <c r="P744" s="6" t="n">
        <v>-0.3249219332940556</v>
      </c>
      <c r="Q744" s="6" t="n">
        <v>-2.251553271006134</v>
      </c>
      <c r="R744" s="6" t="n">
        <v>-0.5432499149298067</v>
      </c>
      <c r="S744" s="6" t="n">
        <v>-3.565506985688873</v>
      </c>
      <c r="T744" s="6" t="n">
        <v>-0.5433523994045445</v>
      </c>
      <c r="U744" s="6" t="n">
        <v>-3.0133353719395</v>
      </c>
      <c r="V744" s="6" t="n">
        <v>1.033959560977625</v>
      </c>
      <c r="W744" s="6" t="n">
        <v>-1.656708761131931</v>
      </c>
      <c r="X744" s="6" t="n">
        <v>1.452038266313705</v>
      </c>
      <c r="Y744" s="6" t="n">
        <v>-3.448735837500164</v>
      </c>
      <c r="Z744" s="6" t="n">
        <v>-3.557310557446563</v>
      </c>
      <c r="AA744" s="6" t="n">
        <v>0.2174061776211629</v>
      </c>
      <c r="AB744" s="6" t="n">
        <v>-1.035184924716377</v>
      </c>
      <c r="AC744" s="6" t="n">
        <v>-0.8698498951080421</v>
      </c>
      <c r="AD744" s="6" t="n">
        <v>-2.398210329868585</v>
      </c>
      <c r="AE744" s="6" t="n">
        <v>-3.036726820747876</v>
      </c>
      <c r="AF744" s="6" t="n">
        <v>-0.9998408306363378</v>
      </c>
      <c r="AG744" s="6" t="n">
        <v>2.196330468965122</v>
      </c>
      <c r="AH744" s="6" t="n">
        <v>-0.6922731584164088</v>
      </c>
      <c r="AI744" s="6" t="n">
        <v>-0.2510964434100765</v>
      </c>
      <c r="AJ744" s="6" t="n">
        <v>66.64119620688852</v>
      </c>
      <c r="AK744" s="6" t="n">
        <v>0.08009444337675595</v>
      </c>
      <c r="AL744" s="6" t="n">
        <v>1.062680521088789</v>
      </c>
      <c r="AN744" s="6" t="n">
        <v>1.343335295905028</v>
      </c>
      <c r="AO744" s="6" t="n">
        <v>1.343587390517508</v>
      </c>
      <c r="AP744" s="6" t="n">
        <v>0.1315575137817979</v>
      </c>
      <c r="AQ744" s="6" t="n">
        <v>0</v>
      </c>
      <c r="AR744" s="6" t="n">
        <v>0</v>
      </c>
    </row>
    <row r="745">
      <c r="D745" t="inlineStr">
        <is>
          <t>Run 433</t>
        </is>
      </c>
      <c r="J745" s="6" t="n">
        <v>0.2230504506246785</v>
      </c>
      <c r="K745" s="6" t="n">
        <v>-0.8154827029240659</v>
      </c>
      <c r="L745" s="6" t="n">
        <v>-1.833357064984444</v>
      </c>
      <c r="M745" s="6" t="n">
        <v>-1.482908095189822</v>
      </c>
      <c r="N745" s="6" t="n">
        <v>-1.500031739191406</v>
      </c>
      <c r="O745" s="6" t="n">
        <v>0.2068903123756304</v>
      </c>
      <c r="P745" s="6" t="n">
        <v>1.154380686438699</v>
      </c>
      <c r="Q745" s="6" t="n">
        <v>1.728113274409998</v>
      </c>
      <c r="R745" s="6" t="n">
        <v>-0.8793431253773998</v>
      </c>
      <c r="S745" s="6" t="n">
        <v>1.288342709113868</v>
      </c>
      <c r="T745" s="6" t="n">
        <v>-2.667411230721333</v>
      </c>
      <c r="U745" s="6" t="n">
        <v>1.174399003082855</v>
      </c>
      <c r="V745" s="6" t="n">
        <v>-0.2444161450374586</v>
      </c>
      <c r="W745" s="6" t="n">
        <v>-1.432102725074197</v>
      </c>
      <c r="X745" s="6" t="n">
        <v>-0.355101353516909</v>
      </c>
      <c r="Y745" s="6" t="n">
        <v>2.34189713262961</v>
      </c>
      <c r="Z745" s="6" t="n">
        <v>1.859394116469304</v>
      </c>
      <c r="AA745" s="6" t="n">
        <v>3.420712224833594</v>
      </c>
      <c r="AB745" s="6" t="n">
        <v>-2.227567037953269</v>
      </c>
      <c r="AC745" s="6" t="n">
        <v>-1.68599680520362</v>
      </c>
      <c r="AD745" s="6" t="n">
        <v>1.751365573412972</v>
      </c>
      <c r="AE745" s="6" t="n">
        <v>-1.636697047866822</v>
      </c>
      <c r="AF745" s="6" t="n">
        <v>-0.4844086034224216</v>
      </c>
      <c r="AG745" s="6" t="n">
        <v>-2.785918360188747</v>
      </c>
      <c r="AH745" s="6" t="n">
        <v>-2.263921702116721</v>
      </c>
      <c r="AI745" s="6" t="n">
        <v>-0.9098370661995279</v>
      </c>
      <c r="AJ745" s="6" t="n">
        <v>72.14264343234508</v>
      </c>
      <c r="AK745" s="6" t="n">
        <v>0.1128274146547932</v>
      </c>
      <c r="AL745" s="6" t="n">
        <v>1.060257578482158</v>
      </c>
      <c r="AN745" s="6" t="n">
        <v>1.336393304330185</v>
      </c>
      <c r="AO745" s="6" t="n">
        <v>1.340337059089061</v>
      </c>
      <c r="AP745" s="6" t="n">
        <v>0.1318697743315746</v>
      </c>
      <c r="AQ745" s="6" t="n">
        <v>0</v>
      </c>
      <c r="AR745" s="6" t="n">
        <v>0</v>
      </c>
    </row>
    <row r="746">
      <c r="D746" t="inlineStr">
        <is>
          <t>Run 434</t>
        </is>
      </c>
      <c r="J746" s="6" t="n">
        <v>-2.029232814761008</v>
      </c>
      <c r="K746" s="6" t="n">
        <v>4.080083707536937</v>
      </c>
      <c r="L746" s="6" t="n">
        <v>0.5386899045149344</v>
      </c>
      <c r="M746" s="6" t="n">
        <v>-0.3556796076723853</v>
      </c>
      <c r="N746" s="6" t="n">
        <v>2.232090039520974</v>
      </c>
      <c r="O746" s="6" t="n">
        <v>-1.320497050048784</v>
      </c>
      <c r="P746" s="6" t="n">
        <v>2.471748613108865</v>
      </c>
      <c r="Q746" s="6" t="n">
        <v>0.296625059719822</v>
      </c>
      <c r="R746" s="6" t="n">
        <v>-1.613196942908415</v>
      </c>
      <c r="S746" s="6" t="n">
        <v>-0.8779977934381529</v>
      </c>
      <c r="T746" s="6" t="n">
        <v>-2.907052686809423</v>
      </c>
      <c r="U746" s="6" t="n">
        <v>0.2539027125441364</v>
      </c>
      <c r="V746" s="6" t="n">
        <v>-1.625113493386527</v>
      </c>
      <c r="W746" s="6" t="n">
        <v>-3.874260533680016</v>
      </c>
      <c r="X746" s="6" t="n">
        <v>3.737283844311437</v>
      </c>
      <c r="Y746" s="6" t="n">
        <v>-0.2029746122751795</v>
      </c>
      <c r="Z746" s="6" t="n">
        <v>-2.561929168206349</v>
      </c>
      <c r="AA746" s="6" t="n">
        <v>-0.5291605179248557</v>
      </c>
      <c r="AB746" s="6" t="n">
        <v>0.7676137464783397</v>
      </c>
      <c r="AC746" s="6" t="n">
        <v>0.2761801827878333</v>
      </c>
      <c r="AD746" s="6" t="n">
        <v>1.04724942966201</v>
      </c>
      <c r="AE746" s="6" t="n">
        <v>1.092092259779758</v>
      </c>
      <c r="AF746" s="6" t="n">
        <v>0.6377512406604063</v>
      </c>
      <c r="AG746" s="6" t="n">
        <v>0.2539615709297315</v>
      </c>
      <c r="AH746" s="6" t="n">
        <v>2.673852532108372</v>
      </c>
      <c r="AI746" s="6" t="n">
        <v>-1.564679088013201</v>
      </c>
      <c r="AJ746" s="6" t="n">
        <v>71.04020961527735</v>
      </c>
      <c r="AK746" s="6" t="n">
        <v>0.1359013827799942</v>
      </c>
      <c r="AL746" s="6" t="n">
        <v>1.08856041090536</v>
      </c>
      <c r="AN746" s="6" t="n">
        <v>1.331041981725337</v>
      </c>
      <c r="AO746" s="6" t="n">
        <v>1.332123648389766</v>
      </c>
      <c r="AP746" s="6" t="n">
        <v>0.1295057966773968</v>
      </c>
      <c r="AQ746" s="6" t="n">
        <v>0</v>
      </c>
      <c r="AR746" s="6" t="n">
        <v>0</v>
      </c>
    </row>
    <row r="747">
      <c r="D747" t="inlineStr">
        <is>
          <t>Run 435</t>
        </is>
      </c>
      <c r="J747" s="6" t="n">
        <v>1.17909013569812</v>
      </c>
      <c r="K747" s="6" t="n">
        <v>-0.6352997617665139</v>
      </c>
      <c r="L747" s="6" t="n">
        <v>-0.9484869118875375</v>
      </c>
      <c r="M747" s="6" t="n">
        <v>0.7492453572692618</v>
      </c>
      <c r="N747" s="6" t="n">
        <v>0.09597795707226492</v>
      </c>
      <c r="O747" s="6" t="n">
        <v>0.538785009734996</v>
      </c>
      <c r="P747" s="6" t="n">
        <v>-1.483628865149181</v>
      </c>
      <c r="Q747" s="6" t="n">
        <v>0.5752319564618356</v>
      </c>
      <c r="R747" s="6" t="n">
        <v>2.478530070390834</v>
      </c>
      <c r="S747" s="6" t="n">
        <v>0.8452430399420856</v>
      </c>
      <c r="T747" s="6" t="n">
        <v>2.703943728410235</v>
      </c>
      <c r="U747" s="6" t="n">
        <v>1.458140267875922</v>
      </c>
      <c r="V747" s="6" t="n">
        <v>1.147268170285149</v>
      </c>
      <c r="W747" s="6" t="n">
        <v>1.32838594194158</v>
      </c>
      <c r="X747" s="6" t="n">
        <v>1.002914367984557</v>
      </c>
      <c r="Y747" s="6" t="n">
        <v>-3.70622928583233</v>
      </c>
      <c r="Z747" s="6" t="n">
        <v>-0.9796535674488467</v>
      </c>
      <c r="AA747" s="6" t="n">
        <v>1.112102315016992</v>
      </c>
      <c r="AB747" s="6" t="n">
        <v>0.04729822497769254</v>
      </c>
      <c r="AC747" s="6" t="n">
        <v>-2.35575865912978</v>
      </c>
      <c r="AD747" s="6" t="n">
        <v>-1.053612812727377</v>
      </c>
      <c r="AE747" s="6" t="n">
        <v>2.387712914331074</v>
      </c>
      <c r="AF747" s="6" t="n">
        <v>-3.447376993753418</v>
      </c>
      <c r="AG747" s="6" t="n">
        <v>-1.628644752905542</v>
      </c>
      <c r="AH747" s="6" t="n">
        <v>-0.3409885112721852</v>
      </c>
      <c r="AI747" s="6" t="n">
        <v>2.504004616266487</v>
      </c>
      <c r="AJ747" s="6" t="n">
        <v>65.60632158624863</v>
      </c>
      <c r="AK747" s="6" t="n">
        <v>0.1631444913438266</v>
      </c>
      <c r="AL747" s="6" t="n">
        <v>1.04296892284798</v>
      </c>
      <c r="AN747" s="6" t="n">
        <v>1.343153367860802</v>
      </c>
      <c r="AO747" s="6" t="n">
        <v>1.343433111913727</v>
      </c>
      <c r="AP747" s="6" t="n">
        <v>0.1314379879629523</v>
      </c>
      <c r="AQ747" s="6" t="n">
        <v>0</v>
      </c>
      <c r="AR747" s="6" t="n">
        <v>0</v>
      </c>
    </row>
    <row r="748">
      <c r="D748" t="inlineStr">
        <is>
          <t>Run 436</t>
        </is>
      </c>
      <c r="J748" s="6" t="n">
        <v>1.941245957352343</v>
      </c>
      <c r="K748" s="6" t="n">
        <v>-1.909935213950159</v>
      </c>
      <c r="L748" s="6" t="n">
        <v>0.05302360737236019</v>
      </c>
      <c r="M748" s="6" t="n">
        <v>1.481916779278815</v>
      </c>
      <c r="N748" s="6" t="n">
        <v>-4.459383945328374</v>
      </c>
      <c r="O748" s="6" t="n">
        <v>2.6620646427425</v>
      </c>
      <c r="P748" s="6" t="n">
        <v>-2.248286852287802</v>
      </c>
      <c r="Q748" s="6" t="n">
        <v>1.319010749961862</v>
      </c>
      <c r="R748" s="6" t="n">
        <v>0.5545209798344242</v>
      </c>
      <c r="S748" s="6" t="n">
        <v>-0.8560637002190871</v>
      </c>
      <c r="T748" s="6" t="n">
        <v>-0.5693327981207416</v>
      </c>
      <c r="U748" s="6" t="n">
        <v>1.310826478974423</v>
      </c>
      <c r="V748" s="6" t="n">
        <v>-2.765777654624957</v>
      </c>
      <c r="W748" s="6" t="n">
        <v>-0.3292552728713503</v>
      </c>
      <c r="X748" s="6" t="n">
        <v>-0.401605135335423</v>
      </c>
      <c r="Y748" s="6" t="n">
        <v>-0.6168098214098161</v>
      </c>
      <c r="Z748" s="6" t="n">
        <v>-0.3839378722070417</v>
      </c>
      <c r="AA748" s="6" t="n">
        <v>2.424989423022536</v>
      </c>
      <c r="AB748" s="6" t="n">
        <v>-2.506297714404211</v>
      </c>
      <c r="AC748" s="6" t="n">
        <v>1.807660104401769</v>
      </c>
      <c r="AD748" s="6" t="n">
        <v>0.5680687504607429</v>
      </c>
      <c r="AE748" s="6" t="n">
        <v>-0.01986744839657679</v>
      </c>
      <c r="AF748" s="6" t="n">
        <v>1.719738000823717</v>
      </c>
      <c r="AG748" s="6" t="n">
        <v>-3.537535221699667</v>
      </c>
      <c r="AH748" s="6" t="n">
        <v>1.673674086495209</v>
      </c>
      <c r="AI748" s="6" t="n">
        <v>1.2541426874836</v>
      </c>
      <c r="AJ748" s="6" t="n">
        <v>73.54177965521235</v>
      </c>
      <c r="AK748" s="6" t="n">
        <v>0.1043509947011297</v>
      </c>
      <c r="AL748" s="6" t="n">
        <v>1.067783472151036</v>
      </c>
      <c r="AN748" s="6" t="n">
        <v>1.341062061970368</v>
      </c>
      <c r="AO748" s="6" t="n">
        <v>1.341601597539348</v>
      </c>
      <c r="AP748" s="6" t="n">
        <v>0.1315859405119935</v>
      </c>
      <c r="AQ748" s="6" t="n">
        <v>0</v>
      </c>
      <c r="AR748" s="6" t="n">
        <v>0</v>
      </c>
    </row>
    <row r="749">
      <c r="D749" t="inlineStr">
        <is>
          <t>Run 437</t>
        </is>
      </c>
      <c r="J749" s="6" t="n">
        <v>-0.5761650139756064</v>
      </c>
      <c r="K749" s="6" t="n">
        <v>-2.275893280561</v>
      </c>
      <c r="L749" s="6" t="n">
        <v>-0.9081947328573323</v>
      </c>
      <c r="M749" s="6" t="n">
        <v>3.496636854067575</v>
      </c>
      <c r="N749" s="6" t="n">
        <v>-1.528843271939916</v>
      </c>
      <c r="O749" s="6" t="n">
        <v>1.167270519737579</v>
      </c>
      <c r="P749" s="6" t="n">
        <v>-1.710348646818036</v>
      </c>
      <c r="Q749" s="6" t="n">
        <v>1.433204603675268</v>
      </c>
      <c r="R749" s="6" t="n">
        <v>-1.638141378924229</v>
      </c>
      <c r="S749" s="6" t="n">
        <v>2.707536676948494</v>
      </c>
      <c r="T749" s="6" t="n">
        <v>-1.627361422123405</v>
      </c>
      <c r="U749" s="6" t="n">
        <v>-1.05207361799202</v>
      </c>
      <c r="V749" s="6" t="n">
        <v>-0.2549891500115456</v>
      </c>
      <c r="W749" s="6" t="n">
        <v>-2.067244291174728</v>
      </c>
      <c r="X749" s="6" t="n">
        <v>1.267706436169972</v>
      </c>
      <c r="Y749" s="6" t="n">
        <v>-2.050294143641591</v>
      </c>
      <c r="Z749" s="6" t="n">
        <v>-2.430142296061805</v>
      </c>
      <c r="AA749" s="6" t="n">
        <v>-2.007449088402678</v>
      </c>
      <c r="AB749" s="6" t="n">
        <v>-2.443001055499598</v>
      </c>
      <c r="AC749" s="6" t="n">
        <v>0.3368597103146137</v>
      </c>
      <c r="AD749" s="6" t="n">
        <v>-0.6864571294077312</v>
      </c>
      <c r="AE749" s="6" t="n">
        <v>-0.4564746698059841</v>
      </c>
      <c r="AF749" s="6" t="n">
        <v>-3.239147657247015</v>
      </c>
      <c r="AG749" s="6" t="n">
        <v>-1.00899421953996</v>
      </c>
      <c r="AH749" s="6" t="n">
        <v>1.247413168796781</v>
      </c>
      <c r="AI749" s="6" t="n">
        <v>2.003592022622728</v>
      </c>
      <c r="AJ749" s="6" t="n">
        <v>74.32901107022431</v>
      </c>
      <c r="AK749" s="6" t="n">
        <v>0.1149219079722383</v>
      </c>
      <c r="AL749" s="6" t="n">
        <v>1.056914730175395</v>
      </c>
      <c r="AN749" s="6" t="n">
        <v>1.342922213629344</v>
      </c>
      <c r="AO749" s="6" t="n">
        <v>1.344049998466604</v>
      </c>
      <c r="AP749" s="6" t="n">
        <v>0.1322663256954287</v>
      </c>
      <c r="AQ749" s="6" t="n">
        <v>0</v>
      </c>
      <c r="AR749" s="6" t="n">
        <v>0</v>
      </c>
    </row>
    <row r="750">
      <c r="D750" t="inlineStr">
        <is>
          <t>Run 438</t>
        </is>
      </c>
      <c r="J750" s="6" t="n">
        <v>-3.618785436045487</v>
      </c>
      <c r="K750" s="6" t="n">
        <v>2.905925395006819</v>
      </c>
      <c r="L750" s="6" t="n">
        <v>2.010039946226103</v>
      </c>
      <c r="M750" s="6" t="n">
        <v>1.037625794240042</v>
      </c>
      <c r="N750" s="6" t="n">
        <v>2.474259643589535</v>
      </c>
      <c r="O750" s="6" t="n">
        <v>0.2825726880607209</v>
      </c>
      <c r="P750" s="6" t="n">
        <v>-2.549818117106422</v>
      </c>
      <c r="Q750" s="6" t="n">
        <v>0.4203493548887</v>
      </c>
      <c r="R750" s="6" t="n">
        <v>-4.155527934745188</v>
      </c>
      <c r="S750" s="6" t="n">
        <v>-0.7395122313155575</v>
      </c>
      <c r="T750" s="6" t="n">
        <v>-2.486209724420917</v>
      </c>
      <c r="U750" s="6" t="n">
        <v>2.519249001019214</v>
      </c>
      <c r="V750" s="6" t="n">
        <v>-3.60662396351424</v>
      </c>
      <c r="W750" s="6" t="n">
        <v>-0.8654151494484701</v>
      </c>
      <c r="X750" s="6" t="n">
        <v>-5.859050811829853</v>
      </c>
      <c r="Y750" s="6" t="n">
        <v>3.434555271159877</v>
      </c>
      <c r="Z750" s="6" t="n">
        <v>-1.994780641588945</v>
      </c>
      <c r="AA750" s="6" t="n">
        <v>2.227246381073975</v>
      </c>
      <c r="AB750" s="6" t="n">
        <v>0.04118441853989589</v>
      </c>
      <c r="AC750" s="6" t="n">
        <v>-0.7467307572768656</v>
      </c>
      <c r="AD750" s="6" t="n">
        <v>-0.03129711619501355</v>
      </c>
      <c r="AE750" s="6" t="n">
        <v>0.6787634285230796</v>
      </c>
      <c r="AF750" s="6" t="n">
        <v>-0.5488303182301508</v>
      </c>
      <c r="AG750" s="6" t="n">
        <v>-2.623750651724404</v>
      </c>
      <c r="AH750" s="6" t="n">
        <v>1.714947483640445</v>
      </c>
      <c r="AI750" s="6" t="n">
        <v>1.327205089416199</v>
      </c>
      <c r="AJ750" s="6" t="n">
        <v>76.166402438362</v>
      </c>
      <c r="AK750" s="6" t="n">
        <v>0.1362220079573719</v>
      </c>
      <c r="AL750" s="6" t="n">
        <v>1.049660362161637</v>
      </c>
      <c r="AN750" s="6" t="n">
        <v>1.347213360507386</v>
      </c>
      <c r="AO750" s="6" t="n">
        <v>1.347638325671892</v>
      </c>
      <c r="AP750" s="6" t="n">
        <v>0.1324433949028626</v>
      </c>
      <c r="AQ750" s="6" t="n">
        <v>0</v>
      </c>
      <c r="AR750" s="6" t="n">
        <v>0</v>
      </c>
    </row>
    <row r="751">
      <c r="D751" t="inlineStr">
        <is>
          <t>Run 439</t>
        </is>
      </c>
      <c r="J751" s="6" t="n">
        <v>1.935792956535533</v>
      </c>
      <c r="K751" s="6" t="n">
        <v>1.50937873086179</v>
      </c>
      <c r="L751" s="6" t="n">
        <v>2.149353774935149</v>
      </c>
      <c r="M751" s="6" t="n">
        <v>-0.7659347624140298</v>
      </c>
      <c r="N751" s="6" t="n">
        <v>-0.869403727257067</v>
      </c>
      <c r="O751" s="6" t="n">
        <v>0.3062252858751969</v>
      </c>
      <c r="P751" s="6" t="n">
        <v>-3.267857684971925</v>
      </c>
      <c r="Q751" s="6" t="n">
        <v>0.5629954891143011</v>
      </c>
      <c r="R751" s="6" t="n">
        <v>0.9855018435492416</v>
      </c>
      <c r="S751" s="6" t="n">
        <v>2.148363274063018</v>
      </c>
      <c r="T751" s="6" t="n">
        <v>0.7737265641913121</v>
      </c>
      <c r="U751" s="6" t="n">
        <v>1.71329530124024</v>
      </c>
      <c r="V751" s="6" t="n">
        <v>-1.498032650962442</v>
      </c>
      <c r="W751" s="6" t="n">
        <v>-2.396379221754598</v>
      </c>
      <c r="X751" s="6" t="n">
        <v>0.4619781141467826</v>
      </c>
      <c r="Y751" s="6" t="n">
        <v>1.004795876661828</v>
      </c>
      <c r="Z751" s="6" t="n">
        <v>-1.586868765143875</v>
      </c>
      <c r="AA751" s="6" t="n">
        <v>-1.550758622106915</v>
      </c>
      <c r="AB751" s="6" t="n">
        <v>0.7622108914882016</v>
      </c>
      <c r="AC751" s="6" t="n">
        <v>-1.051616473528769</v>
      </c>
      <c r="AD751" s="6" t="n">
        <v>2.289027567987926</v>
      </c>
      <c r="AE751" s="6" t="n">
        <v>-2.935122386857203</v>
      </c>
      <c r="AF751" s="6" t="n">
        <v>0.04323192928679125</v>
      </c>
      <c r="AG751" s="6" t="n">
        <v>1.037178982683246</v>
      </c>
      <c r="AH751" s="6" t="n">
        <v>-2.470902950743481</v>
      </c>
      <c r="AI751" s="6" t="n">
        <v>2.290795484405028</v>
      </c>
      <c r="AJ751" s="6" t="n">
        <v>64.85219728981656</v>
      </c>
      <c r="AK751" s="6" t="n">
        <v>0.1128130941781533</v>
      </c>
      <c r="AL751" s="6" t="n">
        <v>1.009931594704995</v>
      </c>
      <c r="AN751" s="6" t="n">
        <v>1.349482831539184</v>
      </c>
      <c r="AO751" s="6" t="n">
        <v>1.349482831539184</v>
      </c>
      <c r="AP751" s="6" t="n">
        <v>0.136440839930477</v>
      </c>
      <c r="AQ751" s="6" t="n">
        <v>0</v>
      </c>
      <c r="AR751" s="6" t="n">
        <v>0</v>
      </c>
    </row>
    <row r="752">
      <c r="D752" t="inlineStr">
        <is>
          <t>Run 440</t>
        </is>
      </c>
      <c r="J752" s="6" t="n">
        <v>0.480857251541588</v>
      </c>
      <c r="K752" s="6" t="n">
        <v>0.9156289822693777</v>
      </c>
      <c r="L752" s="6" t="n">
        <v>1.365886329963734</v>
      </c>
      <c r="M752" s="6" t="n">
        <v>-0.336820440515881</v>
      </c>
      <c r="N752" s="6" t="n">
        <v>-0.8587392322597851</v>
      </c>
      <c r="O752" s="6" t="n">
        <v>-0.2101524380038905</v>
      </c>
      <c r="P752" s="6" t="n">
        <v>1.35733537061948</v>
      </c>
      <c r="Q752" s="6" t="n">
        <v>-5.034463018252698</v>
      </c>
      <c r="R752" s="6" t="n">
        <v>2.033154142311081</v>
      </c>
      <c r="S752" s="6" t="n">
        <v>-1.730670584187713</v>
      </c>
      <c r="T752" s="6" t="n">
        <v>-4.072482091435548</v>
      </c>
      <c r="U752" s="6" t="n">
        <v>-1.345314459344489</v>
      </c>
      <c r="V752" s="6" t="n">
        <v>-1.014117525356007</v>
      </c>
      <c r="W752" s="6" t="n">
        <v>-0.04465953607815407</v>
      </c>
      <c r="X752" s="6" t="n">
        <v>0.1697790403931059</v>
      </c>
      <c r="Y752" s="6" t="n">
        <v>2.172934305170085</v>
      </c>
      <c r="Z752" s="6" t="n">
        <v>0.1324509948809511</v>
      </c>
      <c r="AA752" s="6" t="n">
        <v>0.5941550741797444</v>
      </c>
      <c r="AB752" s="6" t="n">
        <v>-1.695996896914387</v>
      </c>
      <c r="AC752" s="6" t="n">
        <v>-1.969973436750384</v>
      </c>
      <c r="AD752" s="6" t="n">
        <v>0.9281804698561674</v>
      </c>
      <c r="AE752" s="6" t="n">
        <v>-5.641271172521383</v>
      </c>
      <c r="AF752" s="6" t="n">
        <v>-3.782115588088127</v>
      </c>
      <c r="AG752" s="6" t="n">
        <v>-1.523709049854382</v>
      </c>
      <c r="AH752" s="6" t="n">
        <v>1.255376310161989</v>
      </c>
      <c r="AI752" s="6" t="n">
        <v>-1.479591218008294</v>
      </c>
      <c r="AJ752" s="6" t="n">
        <v>75.40332522260744</v>
      </c>
      <c r="AK752" s="6" t="n">
        <v>0.1543348956053417</v>
      </c>
      <c r="AL752" s="6" t="n">
        <v>1.061854016025157</v>
      </c>
      <c r="AN752" s="6" t="n">
        <v>1.339763052775955</v>
      </c>
      <c r="AO752" s="6" t="n">
        <v>1.340557273614423</v>
      </c>
      <c r="AP752" s="6" t="n">
        <v>0.1302703642821461</v>
      </c>
      <c r="AQ752" s="6" t="n">
        <v>0</v>
      </c>
      <c r="AR752" s="6" t="n">
        <v>0</v>
      </c>
    </row>
    <row r="753">
      <c r="D753" t="inlineStr">
        <is>
          <t>Run 441</t>
        </is>
      </c>
      <c r="J753" s="6" t="n">
        <v>0.6841339013760543</v>
      </c>
      <c r="K753" s="6" t="n">
        <v>-0.4736106008279675</v>
      </c>
      <c r="L753" s="6" t="n">
        <v>-1.657199820303399</v>
      </c>
      <c r="M753" s="6" t="n">
        <v>0.7795416318071893</v>
      </c>
      <c r="N753" s="6" t="n">
        <v>-0.6519566151897989</v>
      </c>
      <c r="O753" s="6" t="n">
        <v>1.557358099104812</v>
      </c>
      <c r="P753" s="6" t="n">
        <v>-3.394905824081892</v>
      </c>
      <c r="Q753" s="6" t="n">
        <v>-1.12555462309172</v>
      </c>
      <c r="R753" s="6" t="n">
        <v>-2.215536802346173</v>
      </c>
      <c r="S753" s="6" t="n">
        <v>-3.050679489469698</v>
      </c>
      <c r="T753" s="6" t="n">
        <v>-1.932424821741761</v>
      </c>
      <c r="U753" s="6" t="n">
        <v>2.060735881929613</v>
      </c>
      <c r="V753" s="6" t="n">
        <v>1.352890248713599</v>
      </c>
      <c r="W753" s="6" t="n">
        <v>1.14658690158976</v>
      </c>
      <c r="X753" s="6" t="n">
        <v>-0.4938516654444879</v>
      </c>
      <c r="Y753" s="6" t="n">
        <v>-1.519100019327529</v>
      </c>
      <c r="Z753" s="6" t="n">
        <v>1.157031762462723</v>
      </c>
      <c r="AA753" s="6" t="n">
        <v>0.2995009164733171</v>
      </c>
      <c r="AB753" s="6" t="n">
        <v>1.114733669704514</v>
      </c>
      <c r="AC753" s="6" t="n">
        <v>1.470273592323668</v>
      </c>
      <c r="AD753" s="6" t="n">
        <v>-1.190192197715388</v>
      </c>
      <c r="AE753" s="6" t="n">
        <v>-0.7457610484775825</v>
      </c>
      <c r="AF753" s="6" t="n">
        <v>-0.8787486792819434</v>
      </c>
      <c r="AG753" s="6" t="n">
        <v>-0.6074704507702949</v>
      </c>
      <c r="AH753" s="6" t="n">
        <v>-5.688346315876641</v>
      </c>
      <c r="AI753" s="6" t="n">
        <v>2.037039061593758</v>
      </c>
      <c r="AJ753" s="6" t="n">
        <v>80.09054099398051</v>
      </c>
      <c r="AK753" s="6" t="n">
        <v>0.1687223412087434</v>
      </c>
      <c r="AL753" s="6" t="n">
        <v>1.034218435786133</v>
      </c>
      <c r="AN753" s="6" t="n">
        <v>1.352426311786464</v>
      </c>
      <c r="AO753" s="6" t="n">
        <v>1.35341831774012</v>
      </c>
      <c r="AP753" s="6" t="n">
        <v>0.1332583570914982</v>
      </c>
      <c r="AQ753" s="6" t="n">
        <v>0</v>
      </c>
      <c r="AR753" s="6" t="n">
        <v>0</v>
      </c>
    </row>
    <row r="754">
      <c r="D754" t="inlineStr">
        <is>
          <t>Run 442</t>
        </is>
      </c>
      <c r="J754" s="6" t="n">
        <v>0.2280299082213013</v>
      </c>
      <c r="K754" s="6" t="n">
        <v>1.138312389935824</v>
      </c>
      <c r="L754" s="6" t="n">
        <v>-3.062653408168304</v>
      </c>
      <c r="M754" s="6" t="n">
        <v>2.19032958566943</v>
      </c>
      <c r="N754" s="6" t="n">
        <v>2.479999296496979</v>
      </c>
      <c r="O754" s="6" t="n">
        <v>-2.365112105918672</v>
      </c>
      <c r="P754" s="6" t="n">
        <v>0.2611838580510815</v>
      </c>
      <c r="Q754" s="6" t="n">
        <v>0.5640150083608345</v>
      </c>
      <c r="R754" s="6" t="n">
        <v>0.1155932361175763</v>
      </c>
      <c r="S754" s="6" t="n">
        <v>0.8111128003936312</v>
      </c>
      <c r="T754" s="6" t="n">
        <v>1.673282468013107</v>
      </c>
      <c r="U754" s="6" t="n">
        <v>-0.7034670551783185</v>
      </c>
      <c r="V754" s="6" t="n">
        <v>-1.120173997298814</v>
      </c>
      <c r="W754" s="6" t="n">
        <v>0.6260653920480185</v>
      </c>
      <c r="X754" s="6" t="n">
        <v>-4.506174965026547</v>
      </c>
      <c r="Y754" s="6" t="n">
        <v>0.2864560181143974</v>
      </c>
      <c r="Z754" s="6" t="n">
        <v>-1.158916021916806</v>
      </c>
      <c r="AA754" s="6" t="n">
        <v>-1.376237395535308</v>
      </c>
      <c r="AB754" s="6" t="n">
        <v>-0.6153547254112728</v>
      </c>
      <c r="AC754" s="6" t="n">
        <v>0.5152550594792372</v>
      </c>
      <c r="AD754" s="6" t="n">
        <v>-0.8744655917003823</v>
      </c>
      <c r="AE754" s="6" t="n">
        <v>-1.564858676664479</v>
      </c>
      <c r="AF754" s="6" t="n">
        <v>-1.104184399486452</v>
      </c>
      <c r="AG754" s="6" t="n">
        <v>-0.05361027985283364</v>
      </c>
      <c r="AH754" s="6" t="n">
        <v>0.6692464927027117</v>
      </c>
      <c r="AI754" s="6" t="n">
        <v>2.370339602883588</v>
      </c>
      <c r="AJ754" s="6" t="n">
        <v>81.72865281636153</v>
      </c>
      <c r="AK754" s="6" t="n">
        <v>0.1722813155052189</v>
      </c>
      <c r="AL754" s="6" t="n">
        <v>1.098268447435165</v>
      </c>
      <c r="AN754" s="6" t="n">
        <v>1.327700730353938</v>
      </c>
      <c r="AO754" s="6" t="n">
        <v>1.329258314258654</v>
      </c>
      <c r="AP754" s="6" t="n">
        <v>0.128347136158046</v>
      </c>
      <c r="AQ754" s="6" t="n">
        <v>0</v>
      </c>
      <c r="AR754" s="6" t="n">
        <v>0</v>
      </c>
    </row>
    <row r="755">
      <c r="D755" t="inlineStr">
        <is>
          <t>Run 443</t>
        </is>
      </c>
      <c r="J755" s="6" t="n">
        <v>0.7632186342595768</v>
      </c>
      <c r="K755" s="6" t="n">
        <v>3.005282103386464</v>
      </c>
      <c r="L755" s="6" t="n">
        <v>3.543153192114331</v>
      </c>
      <c r="M755" s="6" t="n">
        <v>1.514923935702568</v>
      </c>
      <c r="N755" s="6" t="n">
        <v>2.467261064977783</v>
      </c>
      <c r="O755" s="6" t="n">
        <v>-0.3188362649450057</v>
      </c>
      <c r="P755" s="6" t="n">
        <v>0.7877315368169695</v>
      </c>
      <c r="Q755" s="6" t="n">
        <v>-0.2852812971387771</v>
      </c>
      <c r="R755" s="6" t="n">
        <v>2.047594351363683</v>
      </c>
      <c r="S755" s="6" t="n">
        <v>2.336819859834683</v>
      </c>
      <c r="T755" s="6" t="n">
        <v>2.712804895639877</v>
      </c>
      <c r="U755" s="6" t="n">
        <v>4.238414244236688</v>
      </c>
      <c r="V755" s="6" t="n">
        <v>1.445288226141357</v>
      </c>
      <c r="W755" s="6" t="n">
        <v>-1.936423280559315</v>
      </c>
      <c r="X755" s="6" t="n">
        <v>0.212102815571563</v>
      </c>
      <c r="Y755" s="6" t="n">
        <v>1.803241513501436</v>
      </c>
      <c r="Z755" s="6" t="n">
        <v>-2.209414917557711</v>
      </c>
      <c r="AA755" s="6" t="n">
        <v>0.6965877346813543</v>
      </c>
      <c r="AB755" s="6" t="n">
        <v>-3.096076571885816</v>
      </c>
      <c r="AC755" s="6" t="n">
        <v>-0.6233346895772588</v>
      </c>
      <c r="AD755" s="6" t="n">
        <v>2.129929364808563</v>
      </c>
      <c r="AE755" s="6" t="n">
        <v>1.874629282299282</v>
      </c>
      <c r="AF755" s="6" t="n">
        <v>2.140341833667298</v>
      </c>
      <c r="AG755" s="6" t="n">
        <v>-0.02004912364870851</v>
      </c>
      <c r="AH755" s="6" t="n">
        <v>0.4631331699229739</v>
      </c>
      <c r="AI755" s="6" t="n">
        <v>-0.4291749348508092</v>
      </c>
      <c r="AJ755" s="6" t="n">
        <v>71.02790566960549</v>
      </c>
      <c r="AK755" s="6" t="n">
        <v>0.1414873752485237</v>
      </c>
      <c r="AL755" s="6" t="n">
        <v>0.9763560501005516</v>
      </c>
      <c r="AN755" s="6" t="n">
        <v>1.358467996260134</v>
      </c>
      <c r="AO755" s="6" t="n">
        <v>1.358467996260134</v>
      </c>
      <c r="AP755" s="6" t="n">
        <v>0.1430845955510065</v>
      </c>
      <c r="AQ755" s="6" t="n">
        <v>0</v>
      </c>
      <c r="AR755" s="6" t="n">
        <v>0</v>
      </c>
    </row>
    <row r="756">
      <c r="D756" t="inlineStr">
        <is>
          <t>Run 444</t>
        </is>
      </c>
      <c r="J756" s="6" t="n">
        <v>1.698578939346506</v>
      </c>
      <c r="K756" s="6" t="n">
        <v>-1.891556203438883</v>
      </c>
      <c r="L756" s="6" t="n">
        <v>0.07407542943798247</v>
      </c>
      <c r="M756" s="6" t="n">
        <v>0.04505416746556468</v>
      </c>
      <c r="N756" s="6" t="n">
        <v>-2.157848742109037</v>
      </c>
      <c r="O756" s="6" t="n">
        <v>0.1471119985939443</v>
      </c>
      <c r="P756" s="6" t="n">
        <v>0.8538171994054294</v>
      </c>
      <c r="Q756" s="6" t="n">
        <v>1.748621252869016</v>
      </c>
      <c r="R756" s="6" t="n">
        <v>0.2362585060882337</v>
      </c>
      <c r="S756" s="6" t="n">
        <v>1.356805977556036</v>
      </c>
      <c r="T756" s="6" t="n">
        <v>0.102984799575206</v>
      </c>
      <c r="U756" s="6" t="n">
        <v>-1.510638104993307</v>
      </c>
      <c r="V756" s="6" t="n">
        <v>-0.6130481763351258</v>
      </c>
      <c r="W756" s="6" t="n">
        <v>2.425193046918301</v>
      </c>
      <c r="X756" s="6" t="n">
        <v>2.104033733346647</v>
      </c>
      <c r="Y756" s="6" t="n">
        <v>2.25009211716648</v>
      </c>
      <c r="Z756" s="6" t="n">
        <v>0.7596098899447077</v>
      </c>
      <c r="AA756" s="6" t="n">
        <v>3.086117646437265</v>
      </c>
      <c r="AB756" s="6" t="n">
        <v>1.677341384636809</v>
      </c>
      <c r="AC756" s="6" t="n">
        <v>-0.4146014662634403</v>
      </c>
      <c r="AD756" s="6" t="n">
        <v>1.953033048831068</v>
      </c>
      <c r="AE756" s="6" t="n">
        <v>-0.4007538013981563</v>
      </c>
      <c r="AF756" s="6" t="n">
        <v>-1.647070129869846</v>
      </c>
      <c r="AG756" s="6" t="n">
        <v>-1.6614394103183</v>
      </c>
      <c r="AH756" s="6" t="n">
        <v>3.716978299912941</v>
      </c>
      <c r="AI756" s="6" t="n">
        <v>4.449534366027719</v>
      </c>
      <c r="AJ756" s="6" t="n">
        <v>71.16192615989351</v>
      </c>
      <c r="AK756" s="6" t="n">
        <v>0.06549752168076843</v>
      </c>
      <c r="AL756" s="6" t="n">
        <v>1.015989392290185</v>
      </c>
      <c r="AN756" s="6" t="n">
        <v>1.352267337322357</v>
      </c>
      <c r="AO756" s="6" t="n">
        <v>1.352267337322357</v>
      </c>
      <c r="AP756" s="6" t="n">
        <v>0.1374731941890192</v>
      </c>
      <c r="AQ756" s="6" t="n">
        <v>0</v>
      </c>
      <c r="AR756" s="6" t="n">
        <v>0</v>
      </c>
    </row>
    <row r="757">
      <c r="D757" t="inlineStr">
        <is>
          <t>Run 445</t>
        </is>
      </c>
      <c r="J757" s="6" t="n">
        <v>1.032862759118564</v>
      </c>
      <c r="K757" s="6" t="n">
        <v>-1.166528023234578</v>
      </c>
      <c r="L757" s="6" t="n">
        <v>0.7686500928382852</v>
      </c>
      <c r="M757" s="6" t="n">
        <v>-2.696458259532618</v>
      </c>
      <c r="N757" s="6" t="n">
        <v>-1.857733888595038</v>
      </c>
      <c r="O757" s="6" t="n">
        <v>-0.05730832037922026</v>
      </c>
      <c r="P757" s="6" t="n">
        <v>-1.151548109395417</v>
      </c>
      <c r="Q757" s="6" t="n">
        <v>0.462571902692504</v>
      </c>
      <c r="R757" s="6" t="n">
        <v>2.926919299018633</v>
      </c>
      <c r="S757" s="6" t="n">
        <v>1.148247523041094</v>
      </c>
      <c r="T757" s="6" t="n">
        <v>0.7479339153746164</v>
      </c>
      <c r="U757" s="6" t="n">
        <v>0.9583552681437569</v>
      </c>
      <c r="V757" s="6" t="n">
        <v>-1.33105627638165</v>
      </c>
      <c r="W757" s="6" t="n">
        <v>3.274248778460047</v>
      </c>
      <c r="X757" s="6" t="n">
        <v>0.7647498530711875</v>
      </c>
      <c r="Y757" s="6" t="n">
        <v>2.445063333725818</v>
      </c>
      <c r="Z757" s="6" t="n">
        <v>-2.232197076169446</v>
      </c>
      <c r="AA757" s="6" t="n">
        <v>-1.301124479912088</v>
      </c>
      <c r="AB757" s="6" t="n">
        <v>3.565556888214857</v>
      </c>
      <c r="AC757" s="6" t="n">
        <v>0.9549277170584184</v>
      </c>
      <c r="AD757" s="6" t="n">
        <v>1.369216887394618</v>
      </c>
      <c r="AE757" s="6" t="n">
        <v>-2.970111213604564</v>
      </c>
      <c r="AF757" s="6" t="n">
        <v>0.5585644838250061</v>
      </c>
      <c r="AG757" s="6" t="n">
        <v>0.596737670090725</v>
      </c>
      <c r="AH757" s="6" t="n">
        <v>-0.945044833963957</v>
      </c>
      <c r="AI757" s="6" t="n">
        <v>-0.7519623316244848</v>
      </c>
      <c r="AJ757" s="6" t="n">
        <v>80.30191817427675</v>
      </c>
      <c r="AK757" s="6" t="n">
        <v>0.188569289683908</v>
      </c>
      <c r="AL757" s="6" t="n">
        <v>1.081162657257236</v>
      </c>
      <c r="AN757" s="6" t="n">
        <v>1.311018877582546</v>
      </c>
      <c r="AO757" s="6" t="n">
        <v>1.315511609150732</v>
      </c>
      <c r="AP757" s="6" t="n">
        <v>0.1285702031163494</v>
      </c>
      <c r="AQ757" s="6" t="n">
        <v>0</v>
      </c>
      <c r="AR757" s="6" t="n">
        <v>0</v>
      </c>
    </row>
    <row r="758">
      <c r="D758" t="inlineStr">
        <is>
          <t>Run 446</t>
        </is>
      </c>
      <c r="J758" s="6" t="n">
        <v>1.30158793218504</v>
      </c>
      <c r="K758" s="6" t="n">
        <v>-3.177052260578308</v>
      </c>
      <c r="L758" s="6" t="n">
        <v>-0.8594543885594591</v>
      </c>
      <c r="M758" s="6" t="n">
        <v>-1.602498093766855</v>
      </c>
      <c r="N758" s="6" t="n">
        <v>3.200093064253307</v>
      </c>
      <c r="O758" s="6" t="n">
        <v>-0.3036977797873331</v>
      </c>
      <c r="P758" s="6" t="n">
        <v>-0.1668153222134683</v>
      </c>
      <c r="Q758" s="6" t="n">
        <v>2.303913897792542</v>
      </c>
      <c r="R758" s="6" t="n">
        <v>-1.746976440048692</v>
      </c>
      <c r="S758" s="6" t="n">
        <v>-0.2561502451248922</v>
      </c>
      <c r="T758" s="6" t="n">
        <v>-2.984088307182946</v>
      </c>
      <c r="U758" s="6" t="n">
        <v>-0.1847157661634594</v>
      </c>
      <c r="V758" s="6" t="n">
        <v>-0.09957445493845878</v>
      </c>
      <c r="W758" s="6" t="n">
        <v>-0.8708276821330279</v>
      </c>
      <c r="X758" s="6" t="n">
        <v>2.37100762143636</v>
      </c>
      <c r="Y758" s="6" t="n">
        <v>0.4919582124503131</v>
      </c>
      <c r="Z758" s="6" t="n">
        <v>3.107102918811721</v>
      </c>
      <c r="AA758" s="6" t="n">
        <v>3.159264745168917</v>
      </c>
      <c r="AB758" s="6" t="n">
        <v>0.2572640686041948</v>
      </c>
      <c r="AC758" s="6" t="n">
        <v>2.07302695567086</v>
      </c>
      <c r="AD758" s="6" t="n">
        <v>1.383116676577557</v>
      </c>
      <c r="AE758" s="6" t="n">
        <v>-0.996375638533714</v>
      </c>
      <c r="AF758" s="6" t="n">
        <v>0.03457952963046505</v>
      </c>
      <c r="AG758" s="6" t="n">
        <v>-0.408665010839913</v>
      </c>
      <c r="AH758" s="6" t="n">
        <v>1.382766413703785</v>
      </c>
      <c r="AI758" s="6" t="n">
        <v>0.5775680788743145</v>
      </c>
      <c r="AJ758" s="6" t="n">
        <v>76.55834024201299</v>
      </c>
      <c r="AK758" s="6" t="n">
        <v>0.1510089682524141</v>
      </c>
      <c r="AL758" s="6" t="n">
        <v>1.002247581074472</v>
      </c>
      <c r="AN758" s="6" t="n">
        <v>1.354918372689085</v>
      </c>
      <c r="AO758" s="6" t="n">
        <v>1.356666526201833</v>
      </c>
      <c r="AP758" s="6" t="n">
        <v>0.1382861549944921</v>
      </c>
      <c r="AQ758" s="6" t="n">
        <v>0</v>
      </c>
      <c r="AR758" s="6" t="n">
        <v>0</v>
      </c>
    </row>
    <row r="759">
      <c r="D759" t="inlineStr">
        <is>
          <t>Run 447</t>
        </is>
      </c>
      <c r="J759" s="6" t="n">
        <v>4.245286378327316</v>
      </c>
      <c r="K759" s="6" t="n">
        <v>1.644707908626365</v>
      </c>
      <c r="L759" s="6" t="n">
        <v>2.849151303474488</v>
      </c>
      <c r="M759" s="6" t="n">
        <v>2.726279314026095</v>
      </c>
      <c r="N759" s="6" t="n">
        <v>0.2361407379873172</v>
      </c>
      <c r="O759" s="6" t="n">
        <v>0.5732951098215571</v>
      </c>
      <c r="P759" s="6" t="n">
        <v>-2.267391756745403</v>
      </c>
      <c r="Q759" s="6" t="n">
        <v>0.7442380778968584</v>
      </c>
      <c r="R759" s="6" t="n">
        <v>-0.3152087070920576</v>
      </c>
      <c r="S759" s="6" t="n">
        <v>-0.5324680921061987</v>
      </c>
      <c r="T759" s="6" t="n">
        <v>-1.450668575252856</v>
      </c>
      <c r="U759" s="6" t="n">
        <v>-0.9539345318608222</v>
      </c>
      <c r="V759" s="6" t="n">
        <v>-1.633459728599622</v>
      </c>
      <c r="W759" s="6" t="n">
        <v>-0.5117788232662053</v>
      </c>
      <c r="X759" s="6" t="n">
        <v>-0.1255057919221958</v>
      </c>
      <c r="Y759" s="6" t="n">
        <v>0.9233080501086857</v>
      </c>
      <c r="Z759" s="6" t="n">
        <v>-0.8941141555161954</v>
      </c>
      <c r="AA759" s="6" t="n">
        <v>-2.487899047990656</v>
      </c>
      <c r="AB759" s="6" t="n">
        <v>0.2921006648250057</v>
      </c>
      <c r="AC759" s="6" t="n">
        <v>-1.6142973381837</v>
      </c>
      <c r="AD759" s="6" t="n">
        <v>1.595952488939916</v>
      </c>
      <c r="AE759" s="6" t="n">
        <v>1.1319648327974</v>
      </c>
      <c r="AF759" s="6" t="n">
        <v>2.514390532475594</v>
      </c>
      <c r="AG759" s="6" t="n">
        <v>-2.216185179481599</v>
      </c>
      <c r="AH759" s="6" t="n">
        <v>2.024235415406647</v>
      </c>
      <c r="AI759" s="6" t="n">
        <v>-0.7716993633409814</v>
      </c>
      <c r="AJ759" s="6" t="n">
        <v>76.1688977206579</v>
      </c>
      <c r="AK759" s="6" t="n">
        <v>0.08370893704977356</v>
      </c>
      <c r="AL759" s="6" t="n">
        <v>1.061293271952217</v>
      </c>
      <c r="AN759" s="6" t="n">
        <v>1.346011846298693</v>
      </c>
      <c r="AO759" s="6" t="n">
        <v>1.346505558039499</v>
      </c>
      <c r="AP759" s="6" t="n">
        <v>0.1327933944265212</v>
      </c>
      <c r="AQ759" s="6" t="n">
        <v>0</v>
      </c>
      <c r="AR759" s="6" t="n">
        <v>0</v>
      </c>
    </row>
    <row r="760">
      <c r="D760" t="inlineStr">
        <is>
          <t>Run 448</t>
        </is>
      </c>
      <c r="J760" s="6" t="n">
        <v>-0.7610589960234595</v>
      </c>
      <c r="K760" s="6" t="n">
        <v>-0.3162016437506162</v>
      </c>
      <c r="L760" s="6" t="n">
        <v>3.132648366044462</v>
      </c>
      <c r="M760" s="6" t="n">
        <v>0.03934228793898067</v>
      </c>
      <c r="N760" s="6" t="n">
        <v>-0.8942767743199755</v>
      </c>
      <c r="O760" s="6" t="n">
        <v>-1.836771990564469</v>
      </c>
      <c r="P760" s="6" t="n">
        <v>-1.75442628942611</v>
      </c>
      <c r="Q760" s="6" t="n">
        <v>2.03879069016768</v>
      </c>
      <c r="R760" s="6" t="n">
        <v>5</v>
      </c>
      <c r="S760" s="6" t="n">
        <v>0.1537645521996913</v>
      </c>
      <c r="T760" s="6" t="n">
        <v>1.67971096275483</v>
      </c>
      <c r="U760" s="6" t="n">
        <v>1.191581814337759</v>
      </c>
      <c r="V760" s="6" t="n">
        <v>-0.3868586408694768</v>
      </c>
      <c r="W760" s="6" t="n">
        <v>1.380355990457577</v>
      </c>
      <c r="X760" s="6" t="n">
        <v>-1.766870410287386</v>
      </c>
      <c r="Y760" s="6" t="n">
        <v>2.083662569927436</v>
      </c>
      <c r="Z760" s="6" t="n">
        <v>-0.2302951977798384</v>
      </c>
      <c r="AA760" s="6" t="n">
        <v>2.327670878553576</v>
      </c>
      <c r="AB760" s="6" t="n">
        <v>1.002817653418805</v>
      </c>
      <c r="AC760" s="6" t="n">
        <v>-4.248577500675875</v>
      </c>
      <c r="AD760" s="6" t="n">
        <v>-0.2760898410978926</v>
      </c>
      <c r="AE760" s="6" t="n">
        <v>4.383220392666596</v>
      </c>
      <c r="AF760" s="6" t="n">
        <v>2.779864116446142</v>
      </c>
      <c r="AG760" s="6" t="n">
        <v>-0.04130420755356462</v>
      </c>
      <c r="AH760" s="6" t="n">
        <v>-1.07952250923365</v>
      </c>
      <c r="AI760" s="6" t="n">
        <v>-3.735434357989314</v>
      </c>
      <c r="AJ760" s="6" t="n">
        <v>64.23536588829853</v>
      </c>
      <c r="AK760" s="6" t="n">
        <v>0.127719080388901</v>
      </c>
      <c r="AL760" s="6" t="n">
        <v>1.040045081252856</v>
      </c>
      <c r="AN760" s="6" t="n">
        <v>1.344551775644703</v>
      </c>
      <c r="AO760" s="6" t="n">
        <v>1.345548104136082</v>
      </c>
      <c r="AP760" s="6" t="n">
        <v>0.1326933167653729</v>
      </c>
      <c r="AQ760" s="6" t="n">
        <v>0</v>
      </c>
      <c r="AR760" s="6" t="n">
        <v>0</v>
      </c>
    </row>
    <row r="761">
      <c r="D761" t="inlineStr">
        <is>
          <t>Run 449</t>
        </is>
      </c>
      <c r="J761" s="6" t="n">
        <v>3.435784522103893</v>
      </c>
      <c r="K761" s="6" t="n">
        <v>1.590753979695295</v>
      </c>
      <c r="L761" s="6" t="n">
        <v>-1.363626152633445</v>
      </c>
      <c r="M761" s="6" t="n">
        <v>-1.643964233976433</v>
      </c>
      <c r="N761" s="6" t="n">
        <v>-1.0603178617012</v>
      </c>
      <c r="O761" s="6" t="n">
        <v>2.68183364109605</v>
      </c>
      <c r="P761" s="6" t="n">
        <v>3.199116666267447</v>
      </c>
      <c r="Q761" s="6" t="n">
        <v>0.1684825111034485</v>
      </c>
      <c r="R761" s="6" t="n">
        <v>4.554749867400389</v>
      </c>
      <c r="S761" s="6" t="n">
        <v>0.7474265005499924</v>
      </c>
      <c r="T761" s="6" t="n">
        <v>-2.013731410503805</v>
      </c>
      <c r="U761" s="6" t="n">
        <v>0.7991153189769956</v>
      </c>
      <c r="V761" s="6" t="n">
        <v>-0.2966431440329615</v>
      </c>
      <c r="W761" s="6" t="n">
        <v>-0.01436444328381</v>
      </c>
      <c r="X761" s="6" t="n">
        <v>-2.069114051037197</v>
      </c>
      <c r="Y761" s="6" t="n">
        <v>0.6948069072051373</v>
      </c>
      <c r="Z761" s="6" t="n">
        <v>0.7396865120715709</v>
      </c>
      <c r="AA761" s="6" t="n">
        <v>0.7723820980880028</v>
      </c>
      <c r="AB761" s="6" t="n">
        <v>-0.1885450604525833</v>
      </c>
      <c r="AC761" s="6" t="n">
        <v>2.00360438769128</v>
      </c>
      <c r="AD761" s="6" t="n">
        <v>1.371952367030525</v>
      </c>
      <c r="AE761" s="6" t="n">
        <v>-0.5926802987106171</v>
      </c>
      <c r="AF761" s="6" t="n">
        <v>0.005184850953702095</v>
      </c>
      <c r="AG761" s="6" t="n">
        <v>2.18670214172321</v>
      </c>
      <c r="AH761" s="6" t="n">
        <v>3.134586965658171</v>
      </c>
      <c r="AI761" s="6" t="n">
        <v>-1.213438151266808</v>
      </c>
      <c r="AJ761" s="6" t="n">
        <v>70.67248774143196</v>
      </c>
      <c r="AK761" s="6" t="n">
        <v>0.1130776890653342</v>
      </c>
      <c r="AL761" s="6" t="n">
        <v>1.032196509489982</v>
      </c>
      <c r="AN761" s="6" t="n">
        <v>1.342272298878895</v>
      </c>
      <c r="AO761" s="6" t="n">
        <v>1.347308312514075</v>
      </c>
      <c r="AP761" s="6" t="n">
        <v>0.134236000138599</v>
      </c>
      <c r="AQ761" s="6" t="n">
        <v>0</v>
      </c>
      <c r="AR761" s="6" t="n">
        <v>0</v>
      </c>
    </row>
    <row r="762">
      <c r="D762" t="inlineStr">
        <is>
          <t>Run 450</t>
        </is>
      </c>
      <c r="J762" s="6" t="n">
        <v>-1.036490967069394</v>
      </c>
      <c r="K762" s="6" t="n">
        <v>0.5128637127278417</v>
      </c>
      <c r="L762" s="6" t="n">
        <v>0.7104478105797116</v>
      </c>
      <c r="M762" s="6" t="n">
        <v>-1.70568041503578</v>
      </c>
      <c r="N762" s="6" t="n">
        <v>3.306125090279674</v>
      </c>
      <c r="O762" s="6" t="n">
        <v>1.982745372301836</v>
      </c>
      <c r="P762" s="6" t="n">
        <v>0.2871590674962522</v>
      </c>
      <c r="Q762" s="6" t="n">
        <v>2.150713672437749</v>
      </c>
      <c r="R762" s="6" t="n">
        <v>0.6436493679451448</v>
      </c>
      <c r="S762" s="6" t="n">
        <v>1.818344603480226</v>
      </c>
      <c r="T762" s="6" t="n">
        <v>-0.3807815178540984</v>
      </c>
      <c r="U762" s="6" t="n">
        <v>0.7698977524095952</v>
      </c>
      <c r="V762" s="6" t="n">
        <v>-0.1230162112928077</v>
      </c>
      <c r="W762" s="6" t="n">
        <v>0.1641935692682413</v>
      </c>
      <c r="X762" s="6" t="n">
        <v>-0.01588678263747449</v>
      </c>
      <c r="Y762" s="6" t="n">
        <v>-4.447925596367403</v>
      </c>
      <c r="Z762" s="6" t="n">
        <v>-1.21867264533972</v>
      </c>
      <c r="AA762" s="6" t="n">
        <v>-2.459843318021502</v>
      </c>
      <c r="AB762" s="6" t="n">
        <v>-0.2315176707461603</v>
      </c>
      <c r="AC762" s="6" t="n">
        <v>0.241940357256026</v>
      </c>
      <c r="AD762" s="6" t="n">
        <v>-0.8313597247729665</v>
      </c>
      <c r="AE762" s="6" t="n">
        <v>-0.9857261914740607</v>
      </c>
      <c r="AF762" s="6" t="n">
        <v>2.438526745530001</v>
      </c>
      <c r="AG762" s="6" t="n">
        <v>1.653930651785219</v>
      </c>
      <c r="AH762" s="6" t="n">
        <v>-0.9736839653443116</v>
      </c>
      <c r="AI762" s="6" t="n">
        <v>-0.05076171557841545</v>
      </c>
      <c r="AJ762" s="6" t="n">
        <v>62.29893328290786</v>
      </c>
      <c r="AK762" s="6" t="n">
        <v>0.1204365092357702</v>
      </c>
      <c r="AL762" s="6" t="n">
        <v>1.050960948278529</v>
      </c>
      <c r="AN762" s="6" t="n">
        <v>1.331618009673034</v>
      </c>
      <c r="AO762" s="6" t="n">
        <v>1.335512124239832</v>
      </c>
      <c r="AP762" s="6" t="n">
        <v>0.1314110357501346</v>
      </c>
      <c r="AQ762" s="6" t="n">
        <v>0</v>
      </c>
      <c r="AR762" s="6" t="n">
        <v>0</v>
      </c>
    </row>
    <row r="763">
      <c r="D763" t="inlineStr">
        <is>
          <t>Run 451</t>
        </is>
      </c>
      <c r="J763" s="6" t="n">
        <v>-1.185720156896809</v>
      </c>
      <c r="K763" s="6" t="n">
        <v>-2.286300297282995</v>
      </c>
      <c r="L763" s="6" t="n">
        <v>2.22117742828071</v>
      </c>
      <c r="M763" s="6" t="n">
        <v>-3.341016045719026</v>
      </c>
      <c r="N763" s="6" t="n">
        <v>0.1635563734696006</v>
      </c>
      <c r="O763" s="6" t="n">
        <v>-0.6363163899327999</v>
      </c>
      <c r="P763" s="6" t="n">
        <v>1.991862397030031</v>
      </c>
      <c r="Q763" s="6" t="n">
        <v>2.914976716475931</v>
      </c>
      <c r="R763" s="6" t="n">
        <v>-0.8317692611647778</v>
      </c>
      <c r="S763" s="6" t="n">
        <v>1.717327008006698</v>
      </c>
      <c r="T763" s="6" t="n">
        <v>-2.606786698367404</v>
      </c>
      <c r="U763" s="6" t="n">
        <v>-0.01738545738022265</v>
      </c>
      <c r="V763" s="6" t="n">
        <v>-2.149886578123938</v>
      </c>
      <c r="W763" s="6" t="n">
        <v>3.647375568515631</v>
      </c>
      <c r="X763" s="6" t="n">
        <v>-4.648113895253712</v>
      </c>
      <c r="Y763" s="6" t="n">
        <v>1.870153164250363</v>
      </c>
      <c r="Z763" s="6" t="n">
        <v>-0.004003539750347562</v>
      </c>
      <c r="AA763" s="6" t="n">
        <v>2.58417771753203</v>
      </c>
      <c r="AB763" s="6" t="n">
        <v>1.789649459089907</v>
      </c>
      <c r="AC763" s="6" t="n">
        <v>0.3894411911916939</v>
      </c>
      <c r="AD763" s="6" t="n">
        <v>0.2898499545882884</v>
      </c>
      <c r="AE763" s="6" t="n">
        <v>-3.183779291930511</v>
      </c>
      <c r="AF763" s="6" t="n">
        <v>-2.860218082363406</v>
      </c>
      <c r="AG763" s="6" t="n">
        <v>-0.2579617715733596</v>
      </c>
      <c r="AH763" s="6" t="n">
        <v>-0.7980525078056613</v>
      </c>
      <c r="AI763" s="6" t="n">
        <v>0.303518948119541</v>
      </c>
      <c r="AJ763" s="6" t="n">
        <v>72.10868016229529</v>
      </c>
      <c r="AK763" s="6" t="n">
        <v>0.09967085614374049</v>
      </c>
      <c r="AL763" s="6" t="n">
        <v>1.031575901375722</v>
      </c>
      <c r="AN763" s="6" t="n">
        <v>1.319120928826919</v>
      </c>
      <c r="AO763" s="6" t="n">
        <v>1.329536837275342</v>
      </c>
      <c r="AP763" s="6" t="n">
        <v>0.1345326558773977</v>
      </c>
      <c r="AQ763" s="6" t="n">
        <v>0</v>
      </c>
      <c r="AR763" s="6" t="n">
        <v>0</v>
      </c>
    </row>
    <row r="764">
      <c r="D764" t="inlineStr">
        <is>
          <t>Run 452</t>
        </is>
      </c>
      <c r="J764" s="6" t="n">
        <v>-0.2802261299842183</v>
      </c>
      <c r="K764" s="6" t="n">
        <v>0.4329475418541118</v>
      </c>
      <c r="L764" s="6" t="n">
        <v>1.409234271304187</v>
      </c>
      <c r="M764" s="6" t="n">
        <v>-3.016248655688022</v>
      </c>
      <c r="N764" s="6" t="n">
        <v>-2.758998727008385</v>
      </c>
      <c r="O764" s="6" t="n">
        <v>-0.3346045371684268</v>
      </c>
      <c r="P764" s="6" t="n">
        <v>0.5117771859242074</v>
      </c>
      <c r="Q764" s="6" t="n">
        <v>0.08043292406088891</v>
      </c>
      <c r="R764" s="6" t="n">
        <v>-1.754572951421522</v>
      </c>
      <c r="S764" s="6" t="n">
        <v>-0.9887824862602458</v>
      </c>
      <c r="T764" s="6" t="n">
        <v>-0.2919770552885758</v>
      </c>
      <c r="U764" s="6" t="n">
        <v>-0.9436604400097928</v>
      </c>
      <c r="V764" s="6" t="n">
        <v>-0.577745302681906</v>
      </c>
      <c r="W764" s="6" t="n">
        <v>1.637337087745749</v>
      </c>
      <c r="X764" s="6" t="n">
        <v>-3.757220620739904</v>
      </c>
      <c r="Y764" s="6" t="n">
        <v>-2.067447931552437</v>
      </c>
      <c r="Z764" s="6" t="n">
        <v>-3.249792373409345</v>
      </c>
      <c r="AA764" s="6" t="n">
        <v>1.564170463736557</v>
      </c>
      <c r="AB764" s="6" t="n">
        <v>3.303314264369148</v>
      </c>
      <c r="AC764" s="6" t="n">
        <v>0.4960577150246861</v>
      </c>
      <c r="AD764" s="6" t="n">
        <v>-2.513652595332238</v>
      </c>
      <c r="AE764" s="6" t="n">
        <v>0.6346927262395906</v>
      </c>
      <c r="AF764" s="6" t="n">
        <v>-2.152973092651026</v>
      </c>
      <c r="AG764" s="6" t="n">
        <v>0.2358643774552099</v>
      </c>
      <c r="AH764" s="6" t="n">
        <v>-1.001834830538925</v>
      </c>
      <c r="AI764" s="6" t="n">
        <v>1.846967980355016</v>
      </c>
      <c r="AJ764" s="6" t="n">
        <v>59.17642313433577</v>
      </c>
      <c r="AK764" s="6" t="n">
        <v>0.08186793118014057</v>
      </c>
      <c r="AL764" s="6" t="n">
        <v>1.11450843315772</v>
      </c>
      <c r="AN764" s="6" t="n">
        <v>1.300608832164716</v>
      </c>
      <c r="AO764" s="6" t="n">
        <v>1.303906133868906</v>
      </c>
      <c r="AP764" s="6" t="n">
        <v>0.1285482996826346</v>
      </c>
      <c r="AQ764" s="6" t="n">
        <v>0</v>
      </c>
      <c r="AR764" s="6" t="n">
        <v>0</v>
      </c>
    </row>
    <row r="765">
      <c r="D765" t="inlineStr">
        <is>
          <t>Run 453</t>
        </is>
      </c>
      <c r="J765" s="6" t="n">
        <v>-3.929110338132683</v>
      </c>
      <c r="K765" s="6" t="n">
        <v>-3.26420468890535</v>
      </c>
      <c r="L765" s="6" t="n">
        <v>1.279242063037881</v>
      </c>
      <c r="M765" s="6" t="n">
        <v>-2.513001664402802</v>
      </c>
      <c r="N765" s="6" t="n">
        <v>-0.2694845952209787</v>
      </c>
      <c r="O765" s="6" t="n">
        <v>2.684166377626919</v>
      </c>
      <c r="P765" s="6" t="n">
        <v>0.5051170278117529</v>
      </c>
      <c r="Q765" s="6" t="n">
        <v>-2.456004232059362</v>
      </c>
      <c r="R765" s="6" t="n">
        <v>-0.968875273631119</v>
      </c>
      <c r="S765" s="6" t="n">
        <v>-0.07739013128847431</v>
      </c>
      <c r="T765" s="6" t="n">
        <v>-2.649199227285426</v>
      </c>
      <c r="U765" s="6" t="n">
        <v>2.257041210496681</v>
      </c>
      <c r="V765" s="6" t="n">
        <v>-1.959681025308476</v>
      </c>
      <c r="W765" s="6" t="n">
        <v>0.2955071015327327</v>
      </c>
      <c r="X765" s="6" t="n">
        <v>1.622066499571234</v>
      </c>
      <c r="Y765" s="6" t="n">
        <v>-0.3545375275716449</v>
      </c>
      <c r="Z765" s="6" t="n">
        <v>3.084561101364418</v>
      </c>
      <c r="AA765" s="6" t="n">
        <v>-1.372837321453497</v>
      </c>
      <c r="AB765" s="6" t="n">
        <v>-1.522733391908903</v>
      </c>
      <c r="AC765" s="6" t="n">
        <v>-1.836928644790647</v>
      </c>
      <c r="AD765" s="6" t="n">
        <v>1.397162106958787</v>
      </c>
      <c r="AE765" s="6" t="n">
        <v>2.405028021119453</v>
      </c>
      <c r="AF765" s="6" t="n">
        <v>-2.447384124271164</v>
      </c>
      <c r="AG765" s="6" t="n">
        <v>-3.225645745818309</v>
      </c>
      <c r="AH765" s="6" t="n">
        <v>2.089580793175597</v>
      </c>
      <c r="AI765" s="6" t="n">
        <v>4.747939493628225</v>
      </c>
      <c r="AJ765" s="6" t="n">
        <v>79.7507289547016</v>
      </c>
      <c r="AK765" s="6" t="n">
        <v>0.1450225355293612</v>
      </c>
      <c r="AL765" s="6" t="n">
        <v>1.084831955889704</v>
      </c>
      <c r="AN765" s="6" t="n">
        <v>1.315630431762473</v>
      </c>
      <c r="AO765" s="6" t="n">
        <v>1.323354702897712</v>
      </c>
      <c r="AP765" s="6" t="n">
        <v>0.1292022239831196</v>
      </c>
      <c r="AQ765" s="6" t="n">
        <v>0</v>
      </c>
      <c r="AR765" s="6" t="n">
        <v>0</v>
      </c>
    </row>
    <row r="766">
      <c r="D766" t="inlineStr">
        <is>
          <t>Run 454</t>
        </is>
      </c>
      <c r="J766" s="6" t="n">
        <v>-0.7182320551037326</v>
      </c>
      <c r="K766" s="6" t="n">
        <v>-1.356337286088839</v>
      </c>
      <c r="L766" s="6" t="n">
        <v>-0.9701868899679869</v>
      </c>
      <c r="M766" s="6" t="n">
        <v>2.597597734652176</v>
      </c>
      <c r="N766" s="6" t="n">
        <v>2.753971899245456</v>
      </c>
      <c r="O766" s="6" t="n">
        <v>0.9483974886446327</v>
      </c>
      <c r="P766" s="6" t="n">
        <v>-3.117352597188527</v>
      </c>
      <c r="Q766" s="6" t="n">
        <v>-2.36065045132683</v>
      </c>
      <c r="R766" s="6" t="n">
        <v>-1.116057529967287</v>
      </c>
      <c r="S766" s="6" t="n">
        <v>0.01373072683185567</v>
      </c>
      <c r="T766" s="6" t="n">
        <v>0.1266720853767677</v>
      </c>
      <c r="U766" s="6" t="n">
        <v>-1.060910522490887</v>
      </c>
      <c r="V766" s="6" t="n">
        <v>-1.275284142158158</v>
      </c>
      <c r="W766" s="6" t="n">
        <v>-0.1266539127055214</v>
      </c>
      <c r="X766" s="6" t="n">
        <v>1.1246918032026</v>
      </c>
      <c r="Y766" s="6" t="n">
        <v>-0.9669755823188622</v>
      </c>
      <c r="Z766" s="6" t="n">
        <v>-0.7349368235884702</v>
      </c>
      <c r="AA766" s="6" t="n">
        <v>-2.231583461040344</v>
      </c>
      <c r="AB766" s="6" t="n">
        <v>-1.593388797687505</v>
      </c>
      <c r="AC766" s="6" t="n">
        <v>0.7055726980294832</v>
      </c>
      <c r="AD766" s="6" t="n">
        <v>0.05260365960816506</v>
      </c>
      <c r="AE766" s="6" t="n">
        <v>0.6021761239308533</v>
      </c>
      <c r="AF766" s="6" t="n">
        <v>3.040841251743465</v>
      </c>
      <c r="AG766" s="6" t="n">
        <v>-0.9788240670461377</v>
      </c>
      <c r="AH766" s="6" t="n">
        <v>2.582527068865337</v>
      </c>
      <c r="AI766" s="6" t="n">
        <v>0.7842483640251563</v>
      </c>
      <c r="AJ766" s="6" t="n">
        <v>82.38570244312803</v>
      </c>
      <c r="AK766" s="6" t="n">
        <v>0.08465246688368144</v>
      </c>
      <c r="AL766" s="6" t="n">
        <v>1.083543548508511</v>
      </c>
      <c r="AN766" s="6" t="n">
        <v>1.341669553083799</v>
      </c>
      <c r="AO766" s="6" t="n">
        <v>1.341886750394263</v>
      </c>
      <c r="AP766" s="6" t="n">
        <v>0.1312607336995757</v>
      </c>
      <c r="AQ766" s="6" t="n">
        <v>0</v>
      </c>
      <c r="AR766" s="6" t="n">
        <v>0</v>
      </c>
    </row>
    <row r="767">
      <c r="D767" t="inlineStr">
        <is>
          <t>Run 455</t>
        </is>
      </c>
      <c r="J767" s="6" t="n">
        <v>-0.6237963839845202</v>
      </c>
      <c r="K767" s="6" t="n">
        <v>-0.1303036420389618</v>
      </c>
      <c r="L767" s="6" t="n">
        <v>1.808298355151309</v>
      </c>
      <c r="M767" s="6" t="n">
        <v>0.9910064107425777</v>
      </c>
      <c r="N767" s="6" t="n">
        <v>2.256406200052647</v>
      </c>
      <c r="O767" s="6" t="n">
        <v>0.07425211382726803</v>
      </c>
      <c r="P767" s="6" t="n">
        <v>2.856418091699648</v>
      </c>
      <c r="Q767" s="6" t="n">
        <v>-1.89447955347804</v>
      </c>
      <c r="R767" s="6" t="n">
        <v>2.708565832063905</v>
      </c>
      <c r="S767" s="6" t="n">
        <v>1.987810902067375</v>
      </c>
      <c r="T767" s="6" t="n">
        <v>-1.233071223116571</v>
      </c>
      <c r="U767" s="6" t="n">
        <v>0.2557705171342636</v>
      </c>
      <c r="V767" s="6" t="n">
        <v>2.208973471666002</v>
      </c>
      <c r="W767" s="6" t="n">
        <v>-1.004478257352035</v>
      </c>
      <c r="X767" s="6" t="n">
        <v>-0.6972554257194858</v>
      </c>
      <c r="Y767" s="6" t="n">
        <v>0.1724601990523495</v>
      </c>
      <c r="Z767" s="6" t="n">
        <v>-0.5116969374622209</v>
      </c>
      <c r="AA767" s="6" t="n">
        <v>0.64058946731792</v>
      </c>
      <c r="AB767" s="6" t="n">
        <v>1.03308085109727</v>
      </c>
      <c r="AC767" s="6" t="n">
        <v>2.63744997851687</v>
      </c>
      <c r="AD767" s="6" t="n">
        <v>-1.978119477098034</v>
      </c>
      <c r="AE767" s="6" t="n">
        <v>-0.657490589830928</v>
      </c>
      <c r="AF767" s="6" t="n">
        <v>-3.372763203478403</v>
      </c>
      <c r="AG767" s="6" t="n">
        <v>1.620584220780166</v>
      </c>
      <c r="AH767" s="6" t="n">
        <v>-1.238150712717787</v>
      </c>
      <c r="AI767" s="6" t="n">
        <v>1.189019731835293</v>
      </c>
      <c r="AJ767" s="6" t="n">
        <v>64.07530277114847</v>
      </c>
      <c r="AK767" s="6" t="n">
        <v>0.1390478618566861</v>
      </c>
      <c r="AL767" s="6" t="n">
        <v>1.014298349013045</v>
      </c>
      <c r="AN767" s="6" t="n">
        <v>1.349888764195121</v>
      </c>
      <c r="AO767" s="6" t="n">
        <v>1.349888764195121</v>
      </c>
      <c r="AP767" s="6" t="n">
        <v>0.1350310359986858</v>
      </c>
      <c r="AQ767" s="6" t="n">
        <v>0</v>
      </c>
      <c r="AR767" s="6" t="n">
        <v>0</v>
      </c>
    </row>
    <row r="768">
      <c r="D768" t="inlineStr">
        <is>
          <t>Run 456</t>
        </is>
      </c>
      <c r="J768" s="6" t="n">
        <v>-2.883687642149051</v>
      </c>
      <c r="K768" s="6" t="n">
        <v>1.402571272332258</v>
      </c>
      <c r="L768" s="6" t="n">
        <v>-0.6825045768730447</v>
      </c>
      <c r="M768" s="6" t="n">
        <v>1.72675845542532</v>
      </c>
      <c r="N768" s="6" t="n">
        <v>1.008203533047706</v>
      </c>
      <c r="O768" s="6" t="n">
        <v>-0.4239058307538599</v>
      </c>
      <c r="P768" s="6" t="n">
        <v>-0.9616228576238626</v>
      </c>
      <c r="Q768" s="6" t="n">
        <v>0.4725747822305829</v>
      </c>
      <c r="R768" s="6" t="n">
        <v>2.681786021146272</v>
      </c>
      <c r="S768" s="6" t="n">
        <v>0.2492853034280063</v>
      </c>
      <c r="T768" s="6" t="n">
        <v>-1.799600253603194</v>
      </c>
      <c r="U768" s="6" t="n">
        <v>-1.368143160302448</v>
      </c>
      <c r="V768" s="6" t="n">
        <v>0.2469291861057559</v>
      </c>
      <c r="W768" s="6" t="n">
        <v>0.07744920894758443</v>
      </c>
      <c r="X768" s="6" t="n">
        <v>-0.6554352365868805</v>
      </c>
      <c r="Y768" s="6" t="n">
        <v>-2.359209199099171</v>
      </c>
      <c r="Z768" s="6" t="n">
        <v>1.533596020486829</v>
      </c>
      <c r="AA768" s="6" t="n">
        <v>-1.080933980457608</v>
      </c>
      <c r="AB768" s="6" t="n">
        <v>0.7098702084498292</v>
      </c>
      <c r="AC768" s="6" t="n">
        <v>1.354486789633892</v>
      </c>
      <c r="AD768" s="6" t="n">
        <v>0.2855937960029302</v>
      </c>
      <c r="AE768" s="6" t="n">
        <v>1.183982468893026</v>
      </c>
      <c r="AF768" s="6" t="n">
        <v>-0.8526031553898424</v>
      </c>
      <c r="AG768" s="6" t="n">
        <v>-0.466003463441494</v>
      </c>
      <c r="AH768" s="6" t="n">
        <v>-0.7163895308206485</v>
      </c>
      <c r="AI768" s="6" t="n">
        <v>0.07030444738506839</v>
      </c>
      <c r="AJ768" s="6" t="n">
        <v>76.8685034047113</v>
      </c>
      <c r="AK768" s="6" t="n">
        <v>0.140477927561033</v>
      </c>
      <c r="AL768" s="6" t="n">
        <v>1.060690790174588</v>
      </c>
      <c r="AN768" s="6" t="n">
        <v>1.343283371705009</v>
      </c>
      <c r="AO768" s="6" t="n">
        <v>1.343354957089864</v>
      </c>
      <c r="AP768" s="6" t="n">
        <v>0.1313495264744716</v>
      </c>
      <c r="AQ768" s="6" t="n">
        <v>0</v>
      </c>
      <c r="AR768" s="6" t="n">
        <v>0</v>
      </c>
    </row>
    <row r="769">
      <c r="D769" t="inlineStr">
        <is>
          <t>Run 457</t>
        </is>
      </c>
      <c r="J769" s="6" t="n">
        <v>2.380240688321776</v>
      </c>
      <c r="K769" s="6" t="n">
        <v>2.492360701060483</v>
      </c>
      <c r="L769" s="6" t="n">
        <v>4.081691986155134</v>
      </c>
      <c r="M769" s="6" t="n">
        <v>-1.899676482649623</v>
      </c>
      <c r="N769" s="6" t="n">
        <v>-1.945631425979062</v>
      </c>
      <c r="O769" s="6" t="n">
        <v>-1.97965862763296</v>
      </c>
      <c r="P769" s="6" t="n">
        <v>-1.601923800661435</v>
      </c>
      <c r="Q769" s="6" t="n">
        <v>1.562253222439387</v>
      </c>
      <c r="R769" s="6" t="n">
        <v>-0.2598925669985782</v>
      </c>
      <c r="S769" s="6" t="n">
        <v>-1.034274130256635</v>
      </c>
      <c r="T769" s="6" t="n">
        <v>-0.7540157799884027</v>
      </c>
      <c r="U769" s="6" t="n">
        <v>-0.8569553680629372</v>
      </c>
      <c r="V769" s="6" t="n">
        <v>4.076593092851178</v>
      </c>
      <c r="W769" s="6" t="n">
        <v>-1.786155183729756</v>
      </c>
      <c r="X769" s="6" t="n">
        <v>2.829096026669136</v>
      </c>
      <c r="Y769" s="6" t="n">
        <v>1.007833253245092</v>
      </c>
      <c r="Z769" s="6" t="n">
        <v>3.560213858949922</v>
      </c>
      <c r="AA769" s="6" t="n">
        <v>-2.839549772458597</v>
      </c>
      <c r="AB769" s="6" t="n">
        <v>0.1481941663495037</v>
      </c>
      <c r="AC769" s="6" t="n">
        <v>0.5273008372935635</v>
      </c>
      <c r="AD769" s="6" t="n">
        <v>0.1894932889490436</v>
      </c>
      <c r="AE769" s="6" t="n">
        <v>-2.743245752532579</v>
      </c>
      <c r="AF769" s="6" t="n">
        <v>0.6619119162424214</v>
      </c>
      <c r="AG769" s="6" t="n">
        <v>-1.076510761886555</v>
      </c>
      <c r="AH769" s="6" t="n">
        <v>-0.01143374639652254</v>
      </c>
      <c r="AI769" s="6" t="n">
        <v>0.1503219987296971</v>
      </c>
      <c r="AJ769" s="6" t="n">
        <v>76.27670057264272</v>
      </c>
      <c r="AK769" s="6" t="n">
        <v>0.1744714350545629</v>
      </c>
      <c r="AL769" s="6" t="n">
        <v>1.04891224989689</v>
      </c>
      <c r="AN769" s="6" t="n">
        <v>1.331573380797362</v>
      </c>
      <c r="AO769" s="6" t="n">
        <v>1.335803751649282</v>
      </c>
      <c r="AP769" s="6" t="n">
        <v>0.131519474505381</v>
      </c>
      <c r="AQ769" s="6" t="n">
        <v>0</v>
      </c>
      <c r="AR769" s="6" t="n">
        <v>0</v>
      </c>
    </row>
    <row r="770">
      <c r="D770" t="inlineStr">
        <is>
          <t>Run 458</t>
        </is>
      </c>
      <c r="J770" s="6" t="n">
        <v>1.646841489978186</v>
      </c>
      <c r="K770" s="6" t="n">
        <v>2.157445077775152</v>
      </c>
      <c r="L770" s="6" t="n">
        <v>3.561897124272793</v>
      </c>
      <c r="M770" s="6" t="n">
        <v>-0.7074674473596754</v>
      </c>
      <c r="N770" s="6" t="n">
        <v>1.169876207671271</v>
      </c>
      <c r="O770" s="6" t="n">
        <v>0.01496622950419235</v>
      </c>
      <c r="P770" s="6" t="n">
        <v>-2.574309594682512</v>
      </c>
      <c r="Q770" s="6" t="n">
        <v>-0.02749990195165082</v>
      </c>
      <c r="R770" s="6" t="n">
        <v>0.1756742531500325</v>
      </c>
      <c r="S770" s="6" t="n">
        <v>-2.838423358608906</v>
      </c>
      <c r="T770" s="6" t="n">
        <v>0.00518531086952344</v>
      </c>
      <c r="U770" s="6" t="n">
        <v>-2.121493921197839</v>
      </c>
      <c r="V770" s="6" t="n">
        <v>-4.588008793861955</v>
      </c>
      <c r="W770" s="6" t="n">
        <v>3.301362838494039</v>
      </c>
      <c r="X770" s="6" t="n">
        <v>-0.6617081389821211</v>
      </c>
      <c r="Y770" s="6" t="n">
        <v>0.2867750820712472</v>
      </c>
      <c r="Z770" s="6" t="n">
        <v>3.873347604104371</v>
      </c>
      <c r="AA770" s="6" t="n">
        <v>-3.506188374634014</v>
      </c>
      <c r="AB770" s="6" t="n">
        <v>-1.544756324936871</v>
      </c>
      <c r="AC770" s="6" t="n">
        <v>-0.4118317904700691</v>
      </c>
      <c r="AD770" s="6" t="n">
        <v>-2.045695285511429</v>
      </c>
      <c r="AE770" s="6" t="n">
        <v>-0.3128042965641871</v>
      </c>
      <c r="AF770" s="6" t="n">
        <v>-1.401195427041579</v>
      </c>
      <c r="AG770" s="6" t="n">
        <v>-0.7236983176508459</v>
      </c>
      <c r="AH770" s="6" t="n">
        <v>1.775616220025096</v>
      </c>
      <c r="AI770" s="6" t="n">
        <v>0.2389952319682439</v>
      </c>
      <c r="AJ770" s="6" t="n">
        <v>75.18069924383752</v>
      </c>
      <c r="AK770" s="6" t="n">
        <v>0.1194603772279609</v>
      </c>
      <c r="AL770" s="6" t="n">
        <v>1.04009308915156</v>
      </c>
      <c r="AN770" s="6" t="n">
        <v>1.349364568844389</v>
      </c>
      <c r="AO770" s="6" t="n">
        <v>1.349750409849579</v>
      </c>
      <c r="AP770" s="6" t="n">
        <v>0.133553502510675</v>
      </c>
      <c r="AQ770" s="6" t="n">
        <v>0</v>
      </c>
      <c r="AR770" s="6" t="n">
        <v>0</v>
      </c>
    </row>
    <row r="771">
      <c r="D771" t="inlineStr">
        <is>
          <t>Run 459</t>
        </is>
      </c>
      <c r="J771" s="6" t="n">
        <v>3.337531679237226</v>
      </c>
      <c r="K771" s="6" t="n">
        <v>0.4234863727346941</v>
      </c>
      <c r="L771" s="6" t="n">
        <v>1.400371676592419</v>
      </c>
      <c r="M771" s="6" t="n">
        <v>-0.9874676065298283</v>
      </c>
      <c r="N771" s="6" t="n">
        <v>1.87163858298365</v>
      </c>
      <c r="O771" s="6" t="n">
        <v>2.949270293549124</v>
      </c>
      <c r="P771" s="6" t="n">
        <v>-0.2079433360387097</v>
      </c>
      <c r="Q771" s="6" t="n">
        <v>2.301997288394017</v>
      </c>
      <c r="R771" s="6" t="n">
        <v>-5.086501252136543</v>
      </c>
      <c r="S771" s="6" t="n">
        <v>-2.338440836534126</v>
      </c>
      <c r="T771" s="6" t="n">
        <v>-1.360275294140664</v>
      </c>
      <c r="U771" s="6" t="n">
        <v>0.7699266371742268</v>
      </c>
      <c r="V771" s="6" t="n">
        <v>-2.953284432088514</v>
      </c>
      <c r="W771" s="6" t="n">
        <v>0.06067617054500697</v>
      </c>
      <c r="X771" s="6" t="n">
        <v>-3.363143386072135</v>
      </c>
      <c r="Y771" s="6" t="n">
        <v>0.03544867808470717</v>
      </c>
      <c r="Z771" s="6" t="n">
        <v>-5.463793171172924</v>
      </c>
      <c r="AA771" s="6" t="n">
        <v>-0.9115243133116789</v>
      </c>
      <c r="AB771" s="6" t="n">
        <v>4.037156979691339</v>
      </c>
      <c r="AC771" s="6" t="n">
        <v>-0.9466176088521536</v>
      </c>
      <c r="AD771" s="6" t="n">
        <v>-3.785599595830417</v>
      </c>
      <c r="AE771" s="6" t="n">
        <v>0.4647286368257759</v>
      </c>
      <c r="AF771" s="6" t="n">
        <v>-6.071453733023649</v>
      </c>
      <c r="AG771" s="6" t="n">
        <v>-4.224396378127762</v>
      </c>
      <c r="AH771" s="6" t="n">
        <v>-0.098588324406345</v>
      </c>
      <c r="AI771" s="6" t="n">
        <v>-1.340374676481661</v>
      </c>
      <c r="AJ771" s="6" t="n">
        <v>79.05923292878161</v>
      </c>
      <c r="AK771" s="6" t="n">
        <v>0.135089426513002</v>
      </c>
      <c r="AL771" s="6" t="n">
        <v>1.057385085495826</v>
      </c>
      <c r="AN771" s="6" t="n">
        <v>1.344276247929732</v>
      </c>
      <c r="AO771" s="6" t="n">
        <v>1.344705259253038</v>
      </c>
      <c r="AP771" s="6" t="n">
        <v>0.1317452568580904</v>
      </c>
      <c r="AQ771" s="6" t="n">
        <v>0</v>
      </c>
      <c r="AR771" s="6" t="n">
        <v>0</v>
      </c>
    </row>
    <row r="772">
      <c r="D772" t="inlineStr">
        <is>
          <t>Run 460</t>
        </is>
      </c>
      <c r="J772" s="6" t="n">
        <v>-0.6465025134732896</v>
      </c>
      <c r="K772" s="6" t="n">
        <v>-1.159647229296521</v>
      </c>
      <c r="L772" s="6" t="n">
        <v>-0.4801847430259855</v>
      </c>
      <c r="M772" s="6" t="n">
        <v>2.354393262589324</v>
      </c>
      <c r="N772" s="6" t="n">
        <v>3.03859757039671</v>
      </c>
      <c r="O772" s="6" t="n">
        <v>1.511473139853528</v>
      </c>
      <c r="P772" s="6" t="n">
        <v>1.318259193326918</v>
      </c>
      <c r="Q772" s="6" t="n">
        <v>-0.9216136213916658</v>
      </c>
      <c r="R772" s="6" t="n">
        <v>0.1607196080788499</v>
      </c>
      <c r="S772" s="6" t="n">
        <v>-0.747474369787853</v>
      </c>
      <c r="T772" s="6" t="n">
        <v>-0.5355334531150078</v>
      </c>
      <c r="U772" s="6" t="n">
        <v>-2.208102763689252</v>
      </c>
      <c r="V772" s="6" t="n">
        <v>1.027858427032971</v>
      </c>
      <c r="W772" s="6" t="n">
        <v>-0.71001526181519</v>
      </c>
      <c r="X772" s="6" t="n">
        <v>-1.71107445128086</v>
      </c>
      <c r="Y772" s="6" t="n">
        <v>3.40858990000387</v>
      </c>
      <c r="Z772" s="6" t="n">
        <v>3.167791314140829</v>
      </c>
      <c r="AA772" s="6" t="n">
        <v>-1.052477760975585</v>
      </c>
      <c r="AB772" s="6" t="n">
        <v>4.184188144320673</v>
      </c>
      <c r="AC772" s="6" t="n">
        <v>-1.285414625897052</v>
      </c>
      <c r="AD772" s="6" t="n">
        <v>1.05311462638742</v>
      </c>
      <c r="AE772" s="6" t="n">
        <v>1.395588226691267</v>
      </c>
      <c r="AF772" s="6" t="n">
        <v>-1.622894218658981</v>
      </c>
      <c r="AG772" s="6" t="n">
        <v>1.586098453839006</v>
      </c>
      <c r="AH772" s="6" t="n">
        <v>-0.1822980387810233</v>
      </c>
      <c r="AI772" s="6" t="n">
        <v>1.987220631125408</v>
      </c>
      <c r="AJ772" s="6" t="n">
        <v>74.10079086002638</v>
      </c>
      <c r="AK772" s="6" t="n">
        <v>0.1704095095496323</v>
      </c>
      <c r="AL772" s="6" t="n">
        <v>1.041681847534824</v>
      </c>
      <c r="AN772" s="6" t="n">
        <v>1.344926155148868</v>
      </c>
      <c r="AO772" s="6" t="n">
        <v>1.345248236442575</v>
      </c>
      <c r="AP772" s="6" t="n">
        <v>0.1320656757472319</v>
      </c>
      <c r="AQ772" s="6" t="n">
        <v>0</v>
      </c>
      <c r="AR772" s="6" t="n">
        <v>0</v>
      </c>
    </row>
    <row r="773">
      <c r="D773" t="inlineStr">
        <is>
          <t>Run 461</t>
        </is>
      </c>
      <c r="J773" s="6" t="n">
        <v>1.266465714055217</v>
      </c>
      <c r="K773" s="6" t="n">
        <v>0.8562085550717957</v>
      </c>
      <c r="L773" s="6" t="n">
        <v>1.401318479252147</v>
      </c>
      <c r="M773" s="6" t="n">
        <v>0.564842564698896</v>
      </c>
      <c r="N773" s="6" t="n">
        <v>-0.7042731785452676</v>
      </c>
      <c r="O773" s="6" t="n">
        <v>-0.5010212226054225</v>
      </c>
      <c r="P773" s="6" t="n">
        <v>-0.2797017610165344</v>
      </c>
      <c r="Q773" s="6" t="n">
        <v>4.819034531715288</v>
      </c>
      <c r="R773" s="6" t="n">
        <v>2.368594687664519</v>
      </c>
      <c r="S773" s="6" t="n">
        <v>1.615956077331468</v>
      </c>
      <c r="T773" s="6" t="n">
        <v>5</v>
      </c>
      <c r="U773" s="6" t="n">
        <v>-1.524756719540897</v>
      </c>
      <c r="V773" s="6" t="n">
        <v>-0.6293724520578946</v>
      </c>
      <c r="W773" s="6" t="n">
        <v>-3.010985804585565</v>
      </c>
      <c r="X773" s="6" t="n">
        <v>1.378908486327081</v>
      </c>
      <c r="Y773" s="6" t="n">
        <v>0.8247462008474957</v>
      </c>
      <c r="Z773" s="6" t="n">
        <v>-2.490285431698847</v>
      </c>
      <c r="AA773" s="6" t="n">
        <v>1.379296765922518</v>
      </c>
      <c r="AB773" s="6" t="n">
        <v>2.038875544870611</v>
      </c>
      <c r="AC773" s="6" t="n">
        <v>1.007608624631596</v>
      </c>
      <c r="AD773" s="6" t="n">
        <v>-1.942942726598654</v>
      </c>
      <c r="AE773" s="6" t="n">
        <v>-2.620752995744186</v>
      </c>
      <c r="AF773" s="6" t="n">
        <v>-1.290403006043395</v>
      </c>
      <c r="AG773" s="6" t="n">
        <v>0.5224118712427782</v>
      </c>
      <c r="AH773" s="6" t="n">
        <v>1.015027076311355</v>
      </c>
      <c r="AI773" s="6" t="n">
        <v>0.23836772570388</v>
      </c>
      <c r="AJ773" s="6" t="n">
        <v>77.26653975350594</v>
      </c>
      <c r="AK773" s="6" t="n">
        <v>0.2124448953644108</v>
      </c>
      <c r="AL773" s="6" t="n">
        <v>1.037666681162869</v>
      </c>
      <c r="AN773" s="6" t="n">
        <v>1.34601989852264</v>
      </c>
      <c r="AO773" s="6" t="n">
        <v>1.346446830642984</v>
      </c>
      <c r="AP773" s="6" t="n">
        <v>0.13173542159702</v>
      </c>
      <c r="AQ773" s="6" t="n">
        <v>0</v>
      </c>
      <c r="AR773" s="6" t="n">
        <v>0</v>
      </c>
    </row>
    <row r="774">
      <c r="D774" t="inlineStr">
        <is>
          <t>Run 462</t>
        </is>
      </c>
      <c r="J774" s="6" t="n">
        <v>-2.173239986454937</v>
      </c>
      <c r="K774" s="6" t="n">
        <v>3.148297361184454</v>
      </c>
      <c r="L774" s="6" t="n">
        <v>2.676096595240193</v>
      </c>
      <c r="M774" s="6" t="n">
        <v>2.210907827506674</v>
      </c>
      <c r="N774" s="6" t="n">
        <v>-1.666700927637699</v>
      </c>
      <c r="O774" s="6" t="n">
        <v>-0.7972650845359621</v>
      </c>
      <c r="P774" s="6" t="n">
        <v>-2.267915538049594</v>
      </c>
      <c r="Q774" s="6" t="n">
        <v>-2.816353224577449</v>
      </c>
      <c r="R774" s="6" t="n">
        <v>-1.78996033969572</v>
      </c>
      <c r="S774" s="6" t="n">
        <v>-1.305992607459645</v>
      </c>
      <c r="T774" s="6" t="n">
        <v>-2.535616659469969</v>
      </c>
      <c r="U774" s="6" t="n">
        <v>-3.21051700244807</v>
      </c>
      <c r="V774" s="6" t="n">
        <v>1.038338822022406</v>
      </c>
      <c r="W774" s="6" t="n">
        <v>2.100097985537119</v>
      </c>
      <c r="X774" s="6" t="n">
        <v>-2.955222108114014</v>
      </c>
      <c r="Y774" s="6" t="n">
        <v>-2.507908246416043</v>
      </c>
      <c r="Z774" s="6" t="n">
        <v>-0.08419985759786462</v>
      </c>
      <c r="AA774" s="6" t="n">
        <v>-2.948561557361011</v>
      </c>
      <c r="AB774" s="6" t="n">
        <v>2.921767331670345</v>
      </c>
      <c r="AC774" s="6" t="n">
        <v>1.410991577084703</v>
      </c>
      <c r="AD774" s="6" t="n">
        <v>0.3848070683230175</v>
      </c>
      <c r="AE774" s="6" t="n">
        <v>-0.6124920300656717</v>
      </c>
      <c r="AF774" s="6" t="n">
        <v>1.058960045393749</v>
      </c>
      <c r="AG774" s="6" t="n">
        <v>-0.8083964520346638</v>
      </c>
      <c r="AH774" s="6" t="n">
        <v>1.984954364927827</v>
      </c>
      <c r="AI774" s="6" t="n">
        <v>-3.794682946579344</v>
      </c>
      <c r="AJ774" s="6" t="n">
        <v>76.96736222144685</v>
      </c>
      <c r="AK774" s="6" t="n">
        <v>0.1749306458969663</v>
      </c>
      <c r="AL774" s="6" t="n">
        <v>1.01106880658037</v>
      </c>
      <c r="AN774" s="6" t="n">
        <v>1.356807548010001</v>
      </c>
      <c r="AO774" s="6" t="n">
        <v>1.357333367139212</v>
      </c>
      <c r="AP774" s="6" t="n">
        <v>0.1357031134276582</v>
      </c>
      <c r="AQ774" s="6" t="n">
        <v>0</v>
      </c>
      <c r="AR774" s="6" t="n">
        <v>0</v>
      </c>
    </row>
    <row r="775">
      <c r="D775" t="inlineStr">
        <is>
          <t>Run 463</t>
        </is>
      </c>
      <c r="J775" s="6" t="n">
        <v>0.0784496677044496</v>
      </c>
      <c r="K775" s="6" t="n">
        <v>0.7192864214472444</v>
      </c>
      <c r="L775" s="6" t="n">
        <v>1.089199452120493</v>
      </c>
      <c r="M775" s="6" t="n">
        <v>-0.9751486208494472</v>
      </c>
      <c r="N775" s="6" t="n">
        <v>-1.025771451993355</v>
      </c>
      <c r="O775" s="6" t="n">
        <v>0.773730298952971</v>
      </c>
      <c r="P775" s="6" t="n">
        <v>-3.117072321553001</v>
      </c>
      <c r="Q775" s="6" t="n">
        <v>-0.2717736354025546</v>
      </c>
      <c r="R775" s="6" t="n">
        <v>-1.170595158909967</v>
      </c>
      <c r="S775" s="6" t="n">
        <v>-0.3418162243991281</v>
      </c>
      <c r="T775" s="6" t="n">
        <v>-3.514334338517679</v>
      </c>
      <c r="U775" s="6" t="n">
        <v>-1.194134162806889</v>
      </c>
      <c r="V775" s="6" t="n">
        <v>0.3468775709113385</v>
      </c>
      <c r="W775" s="6" t="n">
        <v>-0.001570218432090488</v>
      </c>
      <c r="X775" s="6" t="n">
        <v>1.254822976446747</v>
      </c>
      <c r="Y775" s="6" t="n">
        <v>-1.055660289104007</v>
      </c>
      <c r="Z775" s="6" t="n">
        <v>1.587044862999</v>
      </c>
      <c r="AA775" s="6" t="n">
        <v>-0.2083266390465496</v>
      </c>
      <c r="AB775" s="6" t="n">
        <v>-1.54345021776752</v>
      </c>
      <c r="AC775" s="6" t="n">
        <v>0.8371975038990005</v>
      </c>
      <c r="AD775" s="6" t="n">
        <v>2.152154299067872</v>
      </c>
      <c r="AE775" s="6" t="n">
        <v>1.930101917164246</v>
      </c>
      <c r="AF775" s="6" t="n">
        <v>2.582796883182604</v>
      </c>
      <c r="AG775" s="6" t="n">
        <v>-1.036088295732064</v>
      </c>
      <c r="AH775" s="6" t="n">
        <v>-1.163906708599925</v>
      </c>
      <c r="AI775" s="6" t="n">
        <v>-2.145930280040341</v>
      </c>
      <c r="AJ775" s="6" t="n">
        <v>62.12184051639115</v>
      </c>
      <c r="AK775" s="6" t="n">
        <v>0.09624815995275006</v>
      </c>
      <c r="AL775" s="6" t="n">
        <v>1.069159455686304</v>
      </c>
      <c r="AN775" s="6" t="n">
        <v>1.337149219806426</v>
      </c>
      <c r="AO775" s="6" t="n">
        <v>1.338316508835014</v>
      </c>
      <c r="AP775" s="6" t="n">
        <v>0.1308580876170441</v>
      </c>
      <c r="AQ775" s="6" t="n">
        <v>0</v>
      </c>
      <c r="AR775" s="6" t="n">
        <v>0</v>
      </c>
    </row>
    <row r="776">
      <c r="D776" t="inlineStr">
        <is>
          <t>Run 464</t>
        </is>
      </c>
      <c r="J776" s="6" t="n">
        <v>-1.924864770877327</v>
      </c>
      <c r="K776" s="6" t="n">
        <v>2.295730463108752</v>
      </c>
      <c r="L776" s="6" t="n">
        <v>-0.4679512286541699</v>
      </c>
      <c r="M776" s="6" t="n">
        <v>-0.8288853324753578</v>
      </c>
      <c r="N776" s="6" t="n">
        <v>2.24844307417658</v>
      </c>
      <c r="O776" s="6" t="n">
        <v>-3.051306376458672</v>
      </c>
      <c r="P776" s="6" t="n">
        <v>1.789244522297154</v>
      </c>
      <c r="Q776" s="6" t="n">
        <v>3.024886725072292</v>
      </c>
      <c r="R776" s="6" t="n">
        <v>-0.5461260723118175</v>
      </c>
      <c r="S776" s="6" t="n">
        <v>-1.211366270068989</v>
      </c>
      <c r="T776" s="6" t="n">
        <v>1.214673064566496</v>
      </c>
      <c r="U776" s="6" t="n">
        <v>-4.367648070603707</v>
      </c>
      <c r="V776" s="6" t="n">
        <v>-2.957212948404897</v>
      </c>
      <c r="W776" s="6" t="n">
        <v>0.5183734046985966</v>
      </c>
      <c r="X776" s="6" t="n">
        <v>0.8834603554331375</v>
      </c>
      <c r="Y776" s="6" t="n">
        <v>-3.036392786857425</v>
      </c>
      <c r="Z776" s="6" t="n">
        <v>-1.593909706517464</v>
      </c>
      <c r="AA776" s="6" t="n">
        <v>-0.3292370188710312</v>
      </c>
      <c r="AB776" s="6" t="n">
        <v>0.1935720575761921</v>
      </c>
      <c r="AC776" s="6" t="n">
        <v>0.6384834396605636</v>
      </c>
      <c r="AD776" s="6" t="n">
        <v>-0.815128834574388</v>
      </c>
      <c r="AE776" s="6" t="n">
        <v>1.967421929497506</v>
      </c>
      <c r="AF776" s="6" t="n">
        <v>-0.4605865334734448</v>
      </c>
      <c r="AG776" s="6" t="n">
        <v>-0.2035201766815721</v>
      </c>
      <c r="AH776" s="6" t="n">
        <v>5</v>
      </c>
      <c r="AI776" s="6" t="n">
        <v>1.261497892759984</v>
      </c>
      <c r="AJ776" s="6" t="n">
        <v>84.459994374686</v>
      </c>
      <c r="AK776" s="6" t="n">
        <v>0.08515334308185851</v>
      </c>
      <c r="AL776" s="6" t="n">
        <v>1.03559550581728</v>
      </c>
      <c r="AN776" s="6" t="n">
        <v>1.356421361365562</v>
      </c>
      <c r="AO776" s="6" t="n">
        <v>1.357318741133761</v>
      </c>
      <c r="AP776" s="6" t="n">
        <v>0.1355641425201612</v>
      </c>
      <c r="AQ776" s="6" t="n">
        <v>0</v>
      </c>
      <c r="AR776" s="6" t="n">
        <v>0</v>
      </c>
    </row>
    <row r="777">
      <c r="D777" t="inlineStr">
        <is>
          <t>Run 465</t>
        </is>
      </c>
      <c r="J777" s="6" t="n">
        <v>3.913676914288178</v>
      </c>
      <c r="K777" s="6" t="n">
        <v>-0.4944604832038126</v>
      </c>
      <c r="L777" s="6" t="n">
        <v>1.06892914075174</v>
      </c>
      <c r="M777" s="6" t="n">
        <v>-1.110542739485504</v>
      </c>
      <c r="N777" s="6" t="n">
        <v>0.3242163500462545</v>
      </c>
      <c r="O777" s="6" t="n">
        <v>-0.9232145850810445</v>
      </c>
      <c r="P777" s="6" t="n">
        <v>1.411201782137832</v>
      </c>
      <c r="Q777" s="6" t="n">
        <v>0.678989871304447</v>
      </c>
      <c r="R777" s="6" t="n">
        <v>-0.01577638741863454</v>
      </c>
      <c r="S777" s="6" t="n">
        <v>0.8148609516066253</v>
      </c>
      <c r="T777" s="6" t="n">
        <v>-2.941075125967998</v>
      </c>
      <c r="U777" s="6" t="n">
        <v>0.7200282393789449</v>
      </c>
      <c r="V777" s="6" t="n">
        <v>-0.4686759925842143</v>
      </c>
      <c r="W777" s="6" t="n">
        <v>2.391041590113625</v>
      </c>
      <c r="X777" s="6" t="n">
        <v>0.4365802948602831</v>
      </c>
      <c r="Y777" s="6" t="n">
        <v>-2.137156394071452</v>
      </c>
      <c r="Z777" s="6" t="n">
        <v>2.706689271762975</v>
      </c>
      <c r="AA777" s="6" t="n">
        <v>-1.187173462099566</v>
      </c>
      <c r="AB777" s="6" t="n">
        <v>0.9929355514192683</v>
      </c>
      <c r="AC777" s="6" t="n">
        <v>-2.296993540459376</v>
      </c>
      <c r="AD777" s="6" t="n">
        <v>-1.311240092633635</v>
      </c>
      <c r="AE777" s="6" t="n">
        <v>1.000953777565388</v>
      </c>
      <c r="AF777" s="6" t="n">
        <v>-0.7385536043900262</v>
      </c>
      <c r="AG777" s="6" t="n">
        <v>1.89315335912979</v>
      </c>
      <c r="AH777" s="6" t="n">
        <v>0.186270920951225</v>
      </c>
      <c r="AI777" s="6" t="n">
        <v>-1.723297567572984</v>
      </c>
      <c r="AJ777" s="6" t="n">
        <v>76.15683007981849</v>
      </c>
      <c r="AK777" s="6" t="n">
        <v>0.148557709525289</v>
      </c>
      <c r="AL777" s="6" t="n">
        <v>1.056411287691333</v>
      </c>
      <c r="AN777" s="6" t="n">
        <v>1.341188263281762</v>
      </c>
      <c r="AO777" s="6" t="n">
        <v>1.342923145061887</v>
      </c>
      <c r="AP777" s="6" t="n">
        <v>0.1314390001236163</v>
      </c>
      <c r="AQ777" s="6" t="n">
        <v>0</v>
      </c>
      <c r="AR777" s="6" t="n">
        <v>0</v>
      </c>
    </row>
    <row r="778">
      <c r="D778" t="inlineStr">
        <is>
          <t>Run 466</t>
        </is>
      </c>
      <c r="J778" s="6" t="n">
        <v>1.176186644392257</v>
      </c>
      <c r="K778" s="6" t="n">
        <v>-0.6577779892378648</v>
      </c>
      <c r="L778" s="6" t="n">
        <v>-2.761299099786248</v>
      </c>
      <c r="M778" s="6" t="n">
        <v>1.937186739380892</v>
      </c>
      <c r="N778" s="6" t="n">
        <v>1.813050127036763</v>
      </c>
      <c r="O778" s="6" t="n">
        <v>-0.1421784058448682</v>
      </c>
      <c r="P778" s="6" t="n">
        <v>-0.6905383229319448</v>
      </c>
      <c r="Q778" s="6" t="n">
        <v>-0.6479292425055818</v>
      </c>
      <c r="R778" s="6" t="n">
        <v>0.0870259698660833</v>
      </c>
      <c r="S778" s="6" t="n">
        <v>-1.320087486773335</v>
      </c>
      <c r="T778" s="6" t="n">
        <v>-3.452554432652333</v>
      </c>
      <c r="U778" s="6" t="n">
        <v>0.1661486870125952</v>
      </c>
      <c r="V778" s="6" t="n">
        <v>0.1848618013558843</v>
      </c>
      <c r="W778" s="6" t="n">
        <v>-0.04784369619281318</v>
      </c>
      <c r="X778" s="6" t="n">
        <v>-4.186903604685475</v>
      </c>
      <c r="Y778" s="6" t="n">
        <v>0.5780029804876687</v>
      </c>
      <c r="Z778" s="6" t="n">
        <v>-0.3586770583416191</v>
      </c>
      <c r="AA778" s="6" t="n">
        <v>-2.782750619870795</v>
      </c>
      <c r="AB778" s="6" t="n">
        <v>-0.1361415937197454</v>
      </c>
      <c r="AC778" s="6" t="n">
        <v>1.998134202897679</v>
      </c>
      <c r="AD778" s="6" t="n">
        <v>0.9180142849233631</v>
      </c>
      <c r="AE778" s="6" t="n">
        <v>-1.493011168735992</v>
      </c>
      <c r="AF778" s="6" t="n">
        <v>0.9549862210970288</v>
      </c>
      <c r="AG778" s="6" t="n">
        <v>0.08882888079428201</v>
      </c>
      <c r="AH778" s="6" t="n">
        <v>-6.519695911257622</v>
      </c>
      <c r="AI778" s="6" t="n">
        <v>1.849851838852877</v>
      </c>
      <c r="AJ778" s="6" t="n">
        <v>61.90793324891127</v>
      </c>
      <c r="AK778" s="6" t="n">
        <v>0.1146630225675554</v>
      </c>
      <c r="AL778" s="6" t="n">
        <v>1.080893505306944</v>
      </c>
      <c r="AN778" s="6" t="n">
        <v>1.331845894870054</v>
      </c>
      <c r="AO778" s="6" t="n">
        <v>1.332220330357379</v>
      </c>
      <c r="AP778" s="6" t="n">
        <v>0.1298813085309814</v>
      </c>
      <c r="AQ778" s="6" t="n">
        <v>0</v>
      </c>
      <c r="AR778" s="6" t="n">
        <v>0</v>
      </c>
    </row>
    <row r="779">
      <c r="D779" t="inlineStr">
        <is>
          <t>Run 467</t>
        </is>
      </c>
      <c r="J779" s="6" t="n">
        <v>0.125458576943436</v>
      </c>
      <c r="K779" s="6" t="n">
        <v>1.440231900275113</v>
      </c>
      <c r="L779" s="6" t="n">
        <v>1.79530251767239</v>
      </c>
      <c r="M779" s="6" t="n">
        <v>2.324624553221007</v>
      </c>
      <c r="N779" s="6" t="n">
        <v>3.278464182799405</v>
      </c>
      <c r="O779" s="6" t="n">
        <v>1.350143544032582</v>
      </c>
      <c r="P779" s="6" t="n">
        <v>-0.2603748071373418</v>
      </c>
      <c r="Q779" s="6" t="n">
        <v>-4.056374376331299</v>
      </c>
      <c r="R779" s="6" t="n">
        <v>-1.089460851690578</v>
      </c>
      <c r="S779" s="6" t="n">
        <v>-1.704389473004754</v>
      </c>
      <c r="T779" s="6" t="n">
        <v>1.723808086920023</v>
      </c>
      <c r="U779" s="6" t="n">
        <v>-0.07271721866510221</v>
      </c>
      <c r="V779" s="6" t="n">
        <v>1.655092889880326</v>
      </c>
      <c r="W779" s="6" t="n">
        <v>0.3259925486417801</v>
      </c>
      <c r="X779" s="6" t="n">
        <v>2.425709655958557</v>
      </c>
      <c r="Y779" s="6" t="n">
        <v>-4.713615691084413</v>
      </c>
      <c r="Z779" s="6" t="n">
        <v>-0.2843697044097215</v>
      </c>
      <c r="AA779" s="6" t="n">
        <v>-0.7531549797949418</v>
      </c>
      <c r="AB779" s="6" t="n">
        <v>-1.248923047529258</v>
      </c>
      <c r="AC779" s="6" t="n">
        <v>1.714498602816392</v>
      </c>
      <c r="AD779" s="6" t="n">
        <v>1.969094806508043</v>
      </c>
      <c r="AE779" s="6" t="n">
        <v>-0.5629675618138729</v>
      </c>
      <c r="AF779" s="6" t="n">
        <v>-3.103239722181378</v>
      </c>
      <c r="AG779" s="6" t="n">
        <v>1.446976871596878</v>
      </c>
      <c r="AH779" s="6" t="n">
        <v>1.327174341420419</v>
      </c>
      <c r="AI779" s="6" t="n">
        <v>0.4179806027014751</v>
      </c>
      <c r="AJ779" s="6" t="n">
        <v>69.81330036229735</v>
      </c>
      <c r="AK779" s="6" t="n">
        <v>0.08210832851758537</v>
      </c>
      <c r="AL779" s="6" t="n">
        <v>1.023546800418229</v>
      </c>
      <c r="AN779" s="6" t="n">
        <v>1.350889806253722</v>
      </c>
      <c r="AO779" s="6" t="n">
        <v>1.350889806253722</v>
      </c>
      <c r="AP779" s="6" t="n">
        <v>0.135087863054085</v>
      </c>
      <c r="AQ779" s="6" t="n">
        <v>0</v>
      </c>
      <c r="AR779" s="6" t="n">
        <v>0</v>
      </c>
    </row>
    <row r="780">
      <c r="D780" t="inlineStr">
        <is>
          <t>Run 468</t>
        </is>
      </c>
      <c r="J780" s="6" t="n">
        <v>0.503581125422795</v>
      </c>
      <c r="K780" s="6" t="n">
        <v>-2.772094665081939</v>
      </c>
      <c r="L780" s="6" t="n">
        <v>-1.389382216541698</v>
      </c>
      <c r="M780" s="6" t="n">
        <v>1.552733409806243</v>
      </c>
      <c r="N780" s="6" t="n">
        <v>-1.421129001338027</v>
      </c>
      <c r="O780" s="6" t="n">
        <v>2.750324988434905</v>
      </c>
      <c r="P780" s="6" t="n">
        <v>0.3043009310998622</v>
      </c>
      <c r="Q780" s="6" t="n">
        <v>-1.212277632932538</v>
      </c>
      <c r="R780" s="6" t="n">
        <v>0.2347229139260792</v>
      </c>
      <c r="S780" s="6" t="n">
        <v>-1.169372501877675</v>
      </c>
      <c r="T780" s="6" t="n">
        <v>2.36388807154904</v>
      </c>
      <c r="U780" s="6" t="n">
        <v>0.06248258244026567</v>
      </c>
      <c r="V780" s="6" t="n">
        <v>0.6233641227183103</v>
      </c>
      <c r="W780" s="6" t="n">
        <v>2.628592355938919</v>
      </c>
      <c r="X780" s="6" t="n">
        <v>1.130695402247279</v>
      </c>
      <c r="Y780" s="6" t="n">
        <v>1.205131751881432</v>
      </c>
      <c r="Z780" s="6" t="n">
        <v>3.31402443990096</v>
      </c>
      <c r="AA780" s="6" t="n">
        <v>-0.6681472685983195</v>
      </c>
      <c r="AB780" s="6" t="n">
        <v>3.457910251887141</v>
      </c>
      <c r="AC780" s="6" t="n">
        <v>1.345644753016703</v>
      </c>
      <c r="AD780" s="6" t="n">
        <v>-1.745676003142907</v>
      </c>
      <c r="AE780" s="6" t="n">
        <v>4.309454308027026</v>
      </c>
      <c r="AF780" s="6" t="n">
        <v>1.82645554056561</v>
      </c>
      <c r="AG780" s="6" t="n">
        <v>1.434228417714971</v>
      </c>
      <c r="AH780" s="6" t="n">
        <v>0.9224603349950514</v>
      </c>
      <c r="AI780" s="6" t="n">
        <v>1.837087678910115</v>
      </c>
      <c r="AJ780" s="6" t="n">
        <v>58.31962419510042</v>
      </c>
      <c r="AK780" s="6" t="n">
        <v>0.0976059981450329</v>
      </c>
      <c r="AL780" s="6" t="n">
        <v>1.067078493025851</v>
      </c>
      <c r="AN780" s="6" t="n">
        <v>1.334729807108163</v>
      </c>
      <c r="AO780" s="6" t="n">
        <v>1.334777180549628</v>
      </c>
      <c r="AP780" s="6" t="n">
        <v>0.1307365478728911</v>
      </c>
      <c r="AQ780" s="6" t="n">
        <v>0</v>
      </c>
      <c r="AR780" s="6" t="n">
        <v>0</v>
      </c>
    </row>
    <row r="781">
      <c r="D781" t="inlineStr">
        <is>
          <t>Run 469</t>
        </is>
      </c>
      <c r="J781" s="6" t="n">
        <v>-1.930524893401469</v>
      </c>
      <c r="K781" s="6" t="n">
        <v>0.9963121154607351</v>
      </c>
      <c r="L781" s="6" t="n">
        <v>4.017882563288508</v>
      </c>
      <c r="M781" s="6" t="n">
        <v>-3.074569390130678</v>
      </c>
      <c r="N781" s="6" t="n">
        <v>-0.9867353828345504</v>
      </c>
      <c r="O781" s="6" t="n">
        <v>-1.674960258427954</v>
      </c>
      <c r="P781" s="6" t="n">
        <v>-0.07866532340552737</v>
      </c>
      <c r="Q781" s="6" t="n">
        <v>-0.01283316087327846</v>
      </c>
      <c r="R781" s="6" t="n">
        <v>-1.700221820112953</v>
      </c>
      <c r="S781" s="6" t="n">
        <v>1.846737367040858</v>
      </c>
      <c r="T781" s="6" t="n">
        <v>0.9666115039620542</v>
      </c>
      <c r="U781" s="6" t="n">
        <v>0.7488868734268973</v>
      </c>
      <c r="V781" s="6" t="n">
        <v>-1.384839273652284</v>
      </c>
      <c r="W781" s="6" t="n">
        <v>2.516765985708648</v>
      </c>
      <c r="X781" s="6" t="n">
        <v>0.1823591089910074</v>
      </c>
      <c r="Y781" s="6" t="n">
        <v>0.6980965652685159</v>
      </c>
      <c r="Z781" s="6" t="n">
        <v>2.610778626410739</v>
      </c>
      <c r="AA781" s="6" t="n">
        <v>1.04763176717838</v>
      </c>
      <c r="AB781" s="6" t="n">
        <v>-0.2646904041799125</v>
      </c>
      <c r="AC781" s="6" t="n">
        <v>3.139535373127563</v>
      </c>
      <c r="AD781" s="6" t="n">
        <v>-0.6514497055185869</v>
      </c>
      <c r="AE781" s="6" t="n">
        <v>-0.8884169912149835</v>
      </c>
      <c r="AF781" s="6" t="n">
        <v>0.7508771284726373</v>
      </c>
      <c r="AG781" s="6" t="n">
        <v>2.546173423035826</v>
      </c>
      <c r="AH781" s="6" t="n">
        <v>0.547302208137738</v>
      </c>
      <c r="AI781" s="6" t="n">
        <v>-1.582583534317653</v>
      </c>
      <c r="AJ781" s="6" t="n">
        <v>68.86183986335584</v>
      </c>
      <c r="AK781" s="6" t="n">
        <v>0.1417491848051227</v>
      </c>
      <c r="AL781" s="6" t="n">
        <v>1.135630370715229</v>
      </c>
      <c r="AN781" s="6" t="n">
        <v>1.294979054724623</v>
      </c>
      <c r="AO781" s="6" t="n">
        <v>1.301576593956655</v>
      </c>
      <c r="AP781" s="6" t="n">
        <v>0.1269813041745165</v>
      </c>
      <c r="AQ781" s="6" t="n">
        <v>0</v>
      </c>
      <c r="AR781" s="6" t="n">
        <v>0</v>
      </c>
    </row>
    <row r="782">
      <c r="D782" t="inlineStr">
        <is>
          <t>Run 470</t>
        </is>
      </c>
      <c r="J782" s="6" t="n">
        <v>1.15046248304498</v>
      </c>
      <c r="K782" s="6" t="n">
        <v>0.1275218747156744</v>
      </c>
      <c r="L782" s="6" t="n">
        <v>-3.043654937722084</v>
      </c>
      <c r="M782" s="6" t="n">
        <v>-2.973840708787657</v>
      </c>
      <c r="N782" s="6" t="n">
        <v>3.623303684260101</v>
      </c>
      <c r="O782" s="6" t="n">
        <v>0.5977028121988346</v>
      </c>
      <c r="P782" s="6" t="n">
        <v>0.6301951304158762</v>
      </c>
      <c r="Q782" s="6" t="n">
        <v>-3.218608840810586</v>
      </c>
      <c r="R782" s="6" t="n">
        <v>0.6682461236901335</v>
      </c>
      <c r="S782" s="6" t="n">
        <v>2.053878849256617</v>
      </c>
      <c r="T782" s="6" t="n">
        <v>-3.552558337266653</v>
      </c>
      <c r="U782" s="6" t="n">
        <v>-0.8431123287293442</v>
      </c>
      <c r="V782" s="6" t="n">
        <v>2.015244772216317</v>
      </c>
      <c r="W782" s="6" t="n">
        <v>-0.5008695862313276</v>
      </c>
      <c r="X782" s="6" t="n">
        <v>0.8157941961795817</v>
      </c>
      <c r="Y782" s="6" t="n">
        <v>0.8027319753197188</v>
      </c>
      <c r="Z782" s="6" t="n">
        <v>4.014942821370735</v>
      </c>
      <c r="AA782" s="6" t="n">
        <v>-1.932779148119233</v>
      </c>
      <c r="AB782" s="6" t="n">
        <v>0.7940199977607111</v>
      </c>
      <c r="AC782" s="6" t="n">
        <v>-0.3216504669489842</v>
      </c>
      <c r="AD782" s="6" t="n">
        <v>4.345397846770122</v>
      </c>
      <c r="AE782" s="6" t="n">
        <v>-2.465270168079139</v>
      </c>
      <c r="AF782" s="6" t="n">
        <v>-3.411599453645259</v>
      </c>
      <c r="AG782" s="6" t="n">
        <v>-0.4008883851059682</v>
      </c>
      <c r="AH782" s="6" t="n">
        <v>1.980410753849756</v>
      </c>
      <c r="AI782" s="6" t="n">
        <v>2.483961780651312</v>
      </c>
      <c r="AJ782" s="6" t="n">
        <v>68.00341400109593</v>
      </c>
      <c r="AK782" s="6" t="n">
        <v>0.1495183675735324</v>
      </c>
      <c r="AL782" s="6" t="n">
        <v>1.053922260703653</v>
      </c>
      <c r="AN782" s="6" t="n">
        <v>1.311907870601724</v>
      </c>
      <c r="AO782" s="6" t="n">
        <v>1.322824914051234</v>
      </c>
      <c r="AP782" s="6" t="n">
        <v>0.1306090035562746</v>
      </c>
      <c r="AQ782" s="6" t="n">
        <v>0</v>
      </c>
      <c r="AR782" s="6" t="n">
        <v>0</v>
      </c>
    </row>
    <row r="783">
      <c r="D783" t="inlineStr">
        <is>
          <t>Run 471</t>
        </is>
      </c>
      <c r="J783" s="6" t="n">
        <v>0.4169364862775342</v>
      </c>
      <c r="K783" s="6" t="n">
        <v>-1.290884768357552</v>
      </c>
      <c r="L783" s="6" t="n">
        <v>0.8839492360012191</v>
      </c>
      <c r="M783" s="6" t="n">
        <v>1.784270025139075</v>
      </c>
      <c r="N783" s="6" t="n">
        <v>-2.192724311160591</v>
      </c>
      <c r="O783" s="6" t="n">
        <v>3.774945611820315</v>
      </c>
      <c r="P783" s="6" t="n">
        <v>0.6485661405334885</v>
      </c>
      <c r="Q783" s="6" t="n">
        <v>-0.9171280696662085</v>
      </c>
      <c r="R783" s="6" t="n">
        <v>-1.164170445925852</v>
      </c>
      <c r="S783" s="6" t="n">
        <v>-2.172826557894092</v>
      </c>
      <c r="T783" s="6" t="n">
        <v>3.170964178576676</v>
      </c>
      <c r="U783" s="6" t="n">
        <v>-2.450390782445358</v>
      </c>
      <c r="V783" s="6" t="n">
        <v>3.576146752381168</v>
      </c>
      <c r="W783" s="6" t="n">
        <v>-2.302901752644162</v>
      </c>
      <c r="X783" s="6" t="n">
        <v>1.386627462097006</v>
      </c>
      <c r="Y783" s="6" t="n">
        <v>2.222254241946629</v>
      </c>
      <c r="Z783" s="6" t="n">
        <v>1.030749610801299</v>
      </c>
      <c r="AA783" s="6" t="n">
        <v>1.60639904647756</v>
      </c>
      <c r="AB783" s="6" t="n">
        <v>1.662091735634219</v>
      </c>
      <c r="AC783" s="6" t="n">
        <v>1.356039846326418</v>
      </c>
      <c r="AD783" s="6" t="n">
        <v>-1.577366779304166</v>
      </c>
      <c r="AE783" s="6" t="n">
        <v>-0.8060306319321152</v>
      </c>
      <c r="AF783" s="6" t="n">
        <v>-2.248349386963972</v>
      </c>
      <c r="AG783" s="6" t="n">
        <v>-3.237900553853681</v>
      </c>
      <c r="AH783" s="6" t="n">
        <v>-2.287648819447243</v>
      </c>
      <c r="AI783" s="6" t="n">
        <v>2.266605135601773</v>
      </c>
      <c r="AJ783" s="6" t="n">
        <v>66.27044874794403</v>
      </c>
      <c r="AK783" s="6" t="n">
        <v>0.1061464465748275</v>
      </c>
      <c r="AL783" s="6" t="n">
        <v>1.071684007873108</v>
      </c>
      <c r="AN783" s="6" t="n">
        <v>1.337113707127726</v>
      </c>
      <c r="AO783" s="6" t="n">
        <v>1.337170843224478</v>
      </c>
      <c r="AP783" s="6" t="n">
        <v>0.1306207812732342</v>
      </c>
      <c r="AQ783" s="6" t="n">
        <v>0</v>
      </c>
      <c r="AR783" s="6" t="n">
        <v>0</v>
      </c>
    </row>
    <row r="784">
      <c r="D784" t="inlineStr">
        <is>
          <t>Run 472</t>
        </is>
      </c>
      <c r="J784" s="6" t="n">
        <v>2.982512819606639</v>
      </c>
      <c r="K784" s="6" t="n">
        <v>0.4980297565049593</v>
      </c>
      <c r="L784" s="6" t="n">
        <v>0.7086416635230111</v>
      </c>
      <c r="M784" s="6" t="n">
        <v>-3.684861059513817</v>
      </c>
      <c r="N784" s="6" t="n">
        <v>-2.548262306091837</v>
      </c>
      <c r="O784" s="6" t="n">
        <v>0.6289317503876013</v>
      </c>
      <c r="P784" s="6" t="n">
        <v>-3.410904865673733</v>
      </c>
      <c r="Q784" s="6" t="n">
        <v>2.68528063129144</v>
      </c>
      <c r="R784" s="6" t="n">
        <v>-1.778491629848667</v>
      </c>
      <c r="S784" s="6" t="n">
        <v>0.5847075765434531</v>
      </c>
      <c r="T784" s="6" t="n">
        <v>3.56423612699743</v>
      </c>
      <c r="U784" s="6" t="n">
        <v>-4.516313766277229</v>
      </c>
      <c r="V784" s="6" t="n">
        <v>-2.677174903426286</v>
      </c>
      <c r="W784" s="6" t="n">
        <v>-0.7703139092364075</v>
      </c>
      <c r="X784" s="6" t="n">
        <v>0.05225376977765111</v>
      </c>
      <c r="Y784" s="6" t="n">
        <v>0.7958647345057127</v>
      </c>
      <c r="Z784" s="6" t="n">
        <v>-3.929681968422301</v>
      </c>
      <c r="AA784" s="6" t="n">
        <v>2.113649755630694</v>
      </c>
      <c r="AB784" s="6" t="n">
        <v>0.6092792507376699</v>
      </c>
      <c r="AC784" s="6" t="n">
        <v>0.4123562975470335</v>
      </c>
      <c r="AD784" s="6" t="n">
        <v>0.8165138261266977</v>
      </c>
      <c r="AE784" s="6" t="n">
        <v>0.3056588252446518</v>
      </c>
      <c r="AF784" s="6" t="n">
        <v>0.8678718145433348</v>
      </c>
      <c r="AG784" s="6" t="n">
        <v>1.312111110402485</v>
      </c>
      <c r="AH784" s="6" t="n">
        <v>-0.2864518540292022</v>
      </c>
      <c r="AI784" s="6" t="n">
        <v>-1.858545284952172</v>
      </c>
      <c r="AJ784" s="6" t="n">
        <v>75.60097831392687</v>
      </c>
      <c r="AK784" s="6" t="n">
        <v>0.151266255712295</v>
      </c>
      <c r="AL784" s="6" t="n">
        <v>1.053979171935434</v>
      </c>
      <c r="AN784" s="6" t="n">
        <v>1.305285055493412</v>
      </c>
      <c r="AO784" s="6" t="n">
        <v>1.309000397408069</v>
      </c>
      <c r="AP784" s="6" t="n">
        <v>0.1309383627889755</v>
      </c>
      <c r="AQ784" s="6" t="n">
        <v>0</v>
      </c>
      <c r="AR784" s="6" t="n">
        <v>0</v>
      </c>
    </row>
    <row r="785">
      <c r="D785" t="inlineStr">
        <is>
          <t>Run 473</t>
        </is>
      </c>
      <c r="J785" s="6" t="n">
        <v>2.504187136138257</v>
      </c>
      <c r="K785" s="6" t="n">
        <v>-1.952854948898282</v>
      </c>
      <c r="L785" s="6" t="n">
        <v>1.832443117249548</v>
      </c>
      <c r="M785" s="6" t="n">
        <v>-1.454272522744867</v>
      </c>
      <c r="N785" s="6" t="n">
        <v>1.101340765515811</v>
      </c>
      <c r="O785" s="6" t="n">
        <v>1.094018525048434</v>
      </c>
      <c r="P785" s="6" t="n">
        <v>-1.249065847816558</v>
      </c>
      <c r="Q785" s="6" t="n">
        <v>0.04650840632722174</v>
      </c>
      <c r="R785" s="6" t="n">
        <v>-0.3406572134226658</v>
      </c>
      <c r="S785" s="6" t="n">
        <v>1.669539877533323</v>
      </c>
      <c r="T785" s="6" t="n">
        <v>-1.875948698915648</v>
      </c>
      <c r="U785" s="6" t="n">
        <v>-0.7377652077892856</v>
      </c>
      <c r="V785" s="6" t="n">
        <v>-0.9720636327007337</v>
      </c>
      <c r="W785" s="6" t="n">
        <v>-0.1932586766805788</v>
      </c>
      <c r="X785" s="6" t="n">
        <v>-0.7063227069728073</v>
      </c>
      <c r="Y785" s="6" t="n">
        <v>-4.879725214074658</v>
      </c>
      <c r="Z785" s="6" t="n">
        <v>1.399773985867157</v>
      </c>
      <c r="AA785" s="6" t="n">
        <v>1.115600826110941</v>
      </c>
      <c r="AB785" s="6" t="n">
        <v>0.6725804444644171</v>
      </c>
      <c r="AC785" s="6" t="n">
        <v>-0.2718484049381423</v>
      </c>
      <c r="AD785" s="6" t="n">
        <v>-2.792702330219217</v>
      </c>
      <c r="AE785" s="6" t="n">
        <v>1.106800519555626</v>
      </c>
      <c r="AF785" s="6" t="n">
        <v>0.1371329399078326</v>
      </c>
      <c r="AG785" s="6" t="n">
        <v>3.91995547654115</v>
      </c>
      <c r="AH785" s="6" t="n">
        <v>0.02518565434506456</v>
      </c>
      <c r="AI785" s="6" t="n">
        <v>-0.9794571751298972</v>
      </c>
      <c r="AJ785" s="6" t="n">
        <v>66.7644845875954</v>
      </c>
      <c r="AK785" s="6" t="n">
        <v>0.1279197919249665</v>
      </c>
      <c r="AL785" s="6" t="n">
        <v>1.063556066963756</v>
      </c>
      <c r="AN785" s="6" t="n">
        <v>1.332827620659884</v>
      </c>
      <c r="AO785" s="6" t="n">
        <v>1.335924056561469</v>
      </c>
      <c r="AP785" s="6" t="n">
        <v>0.1306364637458252</v>
      </c>
      <c r="AQ785" s="6" t="n">
        <v>0</v>
      </c>
      <c r="AR785" s="6" t="n">
        <v>0</v>
      </c>
    </row>
    <row r="786">
      <c r="D786" t="inlineStr">
        <is>
          <t>Run 474</t>
        </is>
      </c>
      <c r="J786" s="6" t="n">
        <v>-0.1348296098842021</v>
      </c>
      <c r="K786" s="6" t="n">
        <v>2.235093242334498</v>
      </c>
      <c r="L786" s="6" t="n">
        <v>0.1848952676957305</v>
      </c>
      <c r="M786" s="6" t="n">
        <v>2.703179943710593</v>
      </c>
      <c r="N786" s="6" t="n">
        <v>0.9100611898951241</v>
      </c>
      <c r="O786" s="6" t="n">
        <v>-1.168960150203058</v>
      </c>
      <c r="P786" s="6" t="n">
        <v>-2.269126733041544</v>
      </c>
      <c r="Q786" s="6" t="n">
        <v>1.725187657497181</v>
      </c>
      <c r="R786" s="6" t="n">
        <v>4.257931594227851</v>
      </c>
      <c r="S786" s="6" t="n">
        <v>2.588804489072495</v>
      </c>
      <c r="T786" s="6" t="n">
        <v>4.161194087412003</v>
      </c>
      <c r="U786" s="6" t="n">
        <v>1.906308248753907</v>
      </c>
      <c r="V786" s="6" t="n">
        <v>0.7561125094956812</v>
      </c>
      <c r="W786" s="6" t="n">
        <v>-0.9105456837046365</v>
      </c>
      <c r="X786" s="6" t="n">
        <v>-0.9828497908361237</v>
      </c>
      <c r="Y786" s="6" t="n">
        <v>0.4877592025119886</v>
      </c>
      <c r="Z786" s="6" t="n">
        <v>0.1583162346110382</v>
      </c>
      <c r="AA786" s="6" t="n">
        <v>-1.616610412998854</v>
      </c>
      <c r="AB786" s="6" t="n">
        <v>-1.193827775550742</v>
      </c>
      <c r="AC786" s="6" t="n">
        <v>-1.257290720460089</v>
      </c>
      <c r="AD786" s="6" t="n">
        <v>0.1853246804818088</v>
      </c>
      <c r="AE786" s="6" t="n">
        <v>0.09682415850983501</v>
      </c>
      <c r="AF786" s="6" t="n">
        <v>-4.336111844328991</v>
      </c>
      <c r="AG786" s="6" t="n">
        <v>-3.521548588640282</v>
      </c>
      <c r="AH786" s="6" t="n">
        <v>1.077186555303246</v>
      </c>
      <c r="AI786" s="6" t="n">
        <v>-1.480009230594649</v>
      </c>
      <c r="AJ786" s="6" t="n">
        <v>66.3700965295299</v>
      </c>
      <c r="AK786" s="6" t="n">
        <v>0.07022287615869319</v>
      </c>
      <c r="AL786" s="6" t="n">
        <v>1.120397468021273</v>
      </c>
      <c r="AN786" s="6" t="n">
        <v>1.32818832526572</v>
      </c>
      <c r="AO786" s="6" t="n">
        <v>1.32838443739092</v>
      </c>
      <c r="AP786" s="6" t="n">
        <v>0.1292820362494618</v>
      </c>
      <c r="AQ786" s="6" t="n">
        <v>0</v>
      </c>
      <c r="AR786" s="6" t="n">
        <v>0</v>
      </c>
    </row>
    <row r="787">
      <c r="D787" t="inlineStr">
        <is>
          <t>Run 475</t>
        </is>
      </c>
      <c r="J787" s="6" t="n">
        <v>-0.2560151117201235</v>
      </c>
      <c r="K787" s="6" t="n">
        <v>1.735548614703794</v>
      </c>
      <c r="L787" s="6" t="n">
        <v>0.5799887614543161</v>
      </c>
      <c r="M787" s="6" t="n">
        <v>3.240194293131161</v>
      </c>
      <c r="N787" s="6" t="n">
        <v>-0.0454322478705305</v>
      </c>
      <c r="O787" s="6" t="n">
        <v>0.6251294946591278</v>
      </c>
      <c r="P787" s="6" t="n">
        <v>-4.436520977654109</v>
      </c>
      <c r="Q787" s="6" t="n">
        <v>0.007418198589097076</v>
      </c>
      <c r="R787" s="6" t="n">
        <v>-2.201013052800695</v>
      </c>
      <c r="S787" s="6" t="n">
        <v>-1.086064329739117</v>
      </c>
      <c r="T787" s="6" t="n">
        <v>0.109314234524988</v>
      </c>
      <c r="U787" s="6" t="n">
        <v>-0.2029869989719164</v>
      </c>
      <c r="V787" s="6" t="n">
        <v>2.120317396730778</v>
      </c>
      <c r="W787" s="6" t="n">
        <v>-1.602060675773314</v>
      </c>
      <c r="X787" s="6" t="n">
        <v>1.481644207503561</v>
      </c>
      <c r="Y787" s="6" t="n">
        <v>1.433597514716877</v>
      </c>
      <c r="Z787" s="6" t="n">
        <v>-1.039801602433348</v>
      </c>
      <c r="AA787" s="6" t="n">
        <v>0.7882543637570968</v>
      </c>
      <c r="AB787" s="6" t="n">
        <v>-2.451871482230315</v>
      </c>
      <c r="AC787" s="6" t="n">
        <v>-2.137740250639951</v>
      </c>
      <c r="AD787" s="6" t="n">
        <v>1.386344780089443</v>
      </c>
      <c r="AE787" s="6" t="n">
        <v>2.65642850497589</v>
      </c>
      <c r="AF787" s="6" t="n">
        <v>1.972288050023973</v>
      </c>
      <c r="AG787" s="6" t="n">
        <v>3.440296261074425</v>
      </c>
      <c r="AH787" s="6" t="n">
        <v>1.345612385269551</v>
      </c>
      <c r="AI787" s="6" t="n">
        <v>-0.4877653915195998</v>
      </c>
      <c r="AJ787" s="6" t="n">
        <v>75.55759005407114</v>
      </c>
      <c r="AK787" s="6" t="n">
        <v>0.1701914601760462</v>
      </c>
      <c r="AL787" s="6" t="n">
        <v>1.102557626725711</v>
      </c>
      <c r="AN787" s="6" t="n">
        <v>1.323672447871362</v>
      </c>
      <c r="AO787" s="6" t="n">
        <v>1.324235898321664</v>
      </c>
      <c r="AP787" s="6" t="n">
        <v>0.1278543947236749</v>
      </c>
      <c r="AQ787" s="6" t="n">
        <v>0</v>
      </c>
      <c r="AR787" s="6" t="n">
        <v>0</v>
      </c>
    </row>
    <row r="788">
      <c r="D788" t="inlineStr">
        <is>
          <t>Run 476</t>
        </is>
      </c>
      <c r="J788" s="6" t="n">
        <v>1.638962498334932</v>
      </c>
      <c r="K788" s="6" t="n">
        <v>-1.957872919016441</v>
      </c>
      <c r="L788" s="6" t="n">
        <v>0.6157094507979503</v>
      </c>
      <c r="M788" s="6" t="n">
        <v>-1.536297867977938</v>
      </c>
      <c r="N788" s="6" t="n">
        <v>1.499756628370605</v>
      </c>
      <c r="O788" s="6" t="n">
        <v>1.1107895966462</v>
      </c>
      <c r="P788" s="6" t="n">
        <v>2.127989344960456</v>
      </c>
      <c r="Q788" s="6" t="n">
        <v>-2.205335055276307</v>
      </c>
      <c r="R788" s="6" t="n">
        <v>0.08886615864239129</v>
      </c>
      <c r="S788" s="6" t="n">
        <v>-1.44140169813212</v>
      </c>
      <c r="T788" s="6" t="n">
        <v>4.032429150861223</v>
      </c>
      <c r="U788" s="6" t="n">
        <v>1.642388029688491</v>
      </c>
      <c r="V788" s="6" t="n">
        <v>1.916327344077536</v>
      </c>
      <c r="W788" s="6" t="n">
        <v>0.1941049228637887</v>
      </c>
      <c r="X788" s="6" t="n">
        <v>0.3092376843192083</v>
      </c>
      <c r="Y788" s="6" t="n">
        <v>-0.2535294803740204</v>
      </c>
      <c r="Z788" s="6" t="n">
        <v>-0.4554052916734276</v>
      </c>
      <c r="AA788" s="6" t="n">
        <v>-1.933659337520796</v>
      </c>
      <c r="AB788" s="6" t="n">
        <v>-1.572844339416399</v>
      </c>
      <c r="AC788" s="6" t="n">
        <v>-4.063197458597082</v>
      </c>
      <c r="AD788" s="6" t="n">
        <v>-0.4921233724750379</v>
      </c>
      <c r="AE788" s="6" t="n">
        <v>3.126728230233563</v>
      </c>
      <c r="AF788" s="6" t="n">
        <v>-0.5783061799479353</v>
      </c>
      <c r="AG788" s="6" t="n">
        <v>4.206516311029254</v>
      </c>
      <c r="AH788" s="6" t="n">
        <v>1.20432077635773</v>
      </c>
      <c r="AI788" s="6" t="n">
        <v>-1.323148357284954</v>
      </c>
      <c r="AJ788" s="6" t="n">
        <v>77.07820451688052</v>
      </c>
      <c r="AK788" s="6" t="n">
        <v>0.07352581453279412</v>
      </c>
      <c r="AL788" s="6" t="n">
        <v>1.013655602810151</v>
      </c>
      <c r="AN788" s="6" t="n">
        <v>1.356047646327074</v>
      </c>
      <c r="AO788" s="6" t="n">
        <v>1.356047646327074</v>
      </c>
      <c r="AP788" s="6" t="n">
        <v>0.1378722610057563</v>
      </c>
      <c r="AQ788" s="6" t="n">
        <v>0</v>
      </c>
      <c r="AR788" s="6" t="n">
        <v>0</v>
      </c>
    </row>
    <row r="789">
      <c r="D789" t="inlineStr">
        <is>
          <t>Run 477</t>
        </is>
      </c>
      <c r="J789" s="6" t="n">
        <v>-0.4411742093216325</v>
      </c>
      <c r="K789" s="6" t="n">
        <v>-1.318056279739448</v>
      </c>
      <c r="L789" s="6" t="n">
        <v>0.1367124714023111</v>
      </c>
      <c r="M789" s="6" t="n">
        <v>1.75008970457685</v>
      </c>
      <c r="N789" s="6" t="n">
        <v>-0.8079459841766581</v>
      </c>
      <c r="O789" s="6" t="n">
        <v>-1.332884893353095</v>
      </c>
      <c r="P789" s="6" t="n">
        <v>1.410984662361733</v>
      </c>
      <c r="Q789" s="6" t="n">
        <v>-0.5706535260864183</v>
      </c>
      <c r="R789" s="6" t="n">
        <v>-0.7269965527791599</v>
      </c>
      <c r="S789" s="6" t="n">
        <v>0.6098559718819317</v>
      </c>
      <c r="T789" s="6" t="n">
        <v>2.353991570193916</v>
      </c>
      <c r="U789" s="6" t="n">
        <v>0.3609075991217539</v>
      </c>
      <c r="V789" s="6" t="n">
        <v>-2.882256070946576</v>
      </c>
      <c r="W789" s="6" t="n">
        <v>0.8746358973431898</v>
      </c>
      <c r="X789" s="6" t="n">
        <v>-1.274807649290072</v>
      </c>
      <c r="Y789" s="6" t="n">
        <v>-0.8797373441135982</v>
      </c>
      <c r="Z789" s="6" t="n">
        <v>1.662533320549477</v>
      </c>
      <c r="AA789" s="6" t="n">
        <v>-0.5899842816368441</v>
      </c>
      <c r="AB789" s="6" t="n">
        <v>-2.020268953598009</v>
      </c>
      <c r="AC789" s="6" t="n">
        <v>-0.1994605602454721</v>
      </c>
      <c r="AD789" s="6" t="n">
        <v>1.569054366839403</v>
      </c>
      <c r="AE789" s="6" t="n">
        <v>0.304596892632122</v>
      </c>
      <c r="AF789" s="6" t="n">
        <v>0.1028824766426569</v>
      </c>
      <c r="AG789" s="6" t="n">
        <v>0.3142048723959817</v>
      </c>
      <c r="AH789" s="6" t="n">
        <v>3.24871208117081</v>
      </c>
      <c r="AI789" s="6" t="n">
        <v>1.872362610900728</v>
      </c>
      <c r="AJ789" s="6" t="n">
        <v>57.97608112724774</v>
      </c>
      <c r="AK789" s="6" t="n">
        <v>0.1365453006685309</v>
      </c>
      <c r="AL789" s="6" t="n">
        <v>1.028561939653392</v>
      </c>
      <c r="AN789" s="6" t="n">
        <v>1.344401065001425</v>
      </c>
      <c r="AO789" s="6" t="n">
        <v>1.344401065001425</v>
      </c>
      <c r="AP789" s="6" t="n">
        <v>0.1330089153272846</v>
      </c>
      <c r="AQ789" s="6" t="n">
        <v>0</v>
      </c>
      <c r="AR789" s="6" t="n">
        <v>0</v>
      </c>
    </row>
    <row r="790">
      <c r="D790" t="inlineStr">
        <is>
          <t>Run 478</t>
        </is>
      </c>
      <c r="J790" s="6" t="n">
        <v>2.343434235302602</v>
      </c>
      <c r="K790" s="6" t="n">
        <v>-0.002889432295337194</v>
      </c>
      <c r="L790" s="6" t="n">
        <v>3.057386574737232</v>
      </c>
      <c r="M790" s="6" t="n">
        <v>-3.174878095585995</v>
      </c>
      <c r="N790" s="6" t="n">
        <v>1.474106391730134</v>
      </c>
      <c r="O790" s="6" t="n">
        <v>-1.865730519821283</v>
      </c>
      <c r="P790" s="6" t="n">
        <v>2.802889845644127</v>
      </c>
      <c r="Q790" s="6" t="n">
        <v>0.7918859775267629</v>
      </c>
      <c r="R790" s="6" t="n">
        <v>-2.653262595725747</v>
      </c>
      <c r="S790" s="6" t="n">
        <v>-1.237578595946073</v>
      </c>
      <c r="T790" s="6" t="n">
        <v>1.285333159777036</v>
      </c>
      <c r="U790" s="6" t="n">
        <v>-1.395169682098461</v>
      </c>
      <c r="V790" s="6" t="n">
        <v>-2.228555512774791</v>
      </c>
      <c r="W790" s="6" t="n">
        <v>-0.9501359799931915</v>
      </c>
      <c r="X790" s="6" t="n">
        <v>1.829533999198865</v>
      </c>
      <c r="Y790" s="6" t="n">
        <v>0.2184228560391632</v>
      </c>
      <c r="Z790" s="6" t="n">
        <v>-1.606898659605686</v>
      </c>
      <c r="AA790" s="6" t="n">
        <v>1.806240523640656</v>
      </c>
      <c r="AB790" s="6" t="n">
        <v>-2.36504775678064</v>
      </c>
      <c r="AC790" s="6" t="n">
        <v>0.9796472959627425</v>
      </c>
      <c r="AD790" s="6" t="n">
        <v>-1.047818068726308</v>
      </c>
      <c r="AE790" s="6" t="n">
        <v>1.445817523703391</v>
      </c>
      <c r="AF790" s="6" t="n">
        <v>1.559379341212809</v>
      </c>
      <c r="AG790" s="6" t="n">
        <v>0.3483922382347877</v>
      </c>
      <c r="AH790" s="6" t="n">
        <v>-0.3230898981271846</v>
      </c>
      <c r="AI790" s="6" t="n">
        <v>2.458498387472968</v>
      </c>
      <c r="AJ790" s="6" t="n">
        <v>70.49643963512975</v>
      </c>
      <c r="AK790" s="6" t="n">
        <v>0.1787833772251412</v>
      </c>
      <c r="AL790" s="6" t="n">
        <v>1.058964345181133</v>
      </c>
      <c r="AN790" s="6" t="n">
        <v>1.307845784879113</v>
      </c>
      <c r="AO790" s="6" t="n">
        <v>1.319558432843902</v>
      </c>
      <c r="AP790" s="6" t="n">
        <v>0.1300090824054114</v>
      </c>
      <c r="AQ790" s="6" t="n">
        <v>0</v>
      </c>
      <c r="AR790" s="6" t="n">
        <v>0</v>
      </c>
    </row>
    <row r="791">
      <c r="D791" t="inlineStr">
        <is>
          <t>Run 479</t>
        </is>
      </c>
      <c r="J791" s="6" t="n">
        <v>-2.058128425374428</v>
      </c>
      <c r="K791" s="6" t="n">
        <v>-0.6502403783773144</v>
      </c>
      <c r="L791" s="6" t="n">
        <v>-2.943419627469084</v>
      </c>
      <c r="M791" s="6" t="n">
        <v>-0.177134831982228</v>
      </c>
      <c r="N791" s="6" t="n">
        <v>-0.001060986688873583</v>
      </c>
      <c r="O791" s="6" t="n">
        <v>-3.602943150031264</v>
      </c>
      <c r="P791" s="6" t="n">
        <v>1.77122399853978</v>
      </c>
      <c r="Q791" s="6" t="n">
        <v>1.698965333920343</v>
      </c>
      <c r="R791" s="6" t="n">
        <v>2.822879492903381</v>
      </c>
      <c r="S791" s="6" t="n">
        <v>0.686613880735426</v>
      </c>
      <c r="T791" s="6" t="n">
        <v>1.612370773279731</v>
      </c>
      <c r="U791" s="6" t="n">
        <v>-6.115269667015049</v>
      </c>
      <c r="V791" s="6" t="n">
        <v>0.8281012482758017</v>
      </c>
      <c r="W791" s="6" t="n">
        <v>1.326032466863987</v>
      </c>
      <c r="X791" s="6" t="n">
        <v>-0.6969447932406617</v>
      </c>
      <c r="Y791" s="6" t="n">
        <v>-0.5201132362774965</v>
      </c>
      <c r="Z791" s="6" t="n">
        <v>2.490090394998136</v>
      </c>
      <c r="AA791" s="6" t="n">
        <v>3.858054183324612</v>
      </c>
      <c r="AB791" s="6" t="n">
        <v>-0.1052528794451656</v>
      </c>
      <c r="AC791" s="6" t="n">
        <v>-0.5705195083344382</v>
      </c>
      <c r="AD791" s="6" t="n">
        <v>-1.465463643431227</v>
      </c>
      <c r="AE791" s="6" t="n">
        <v>1.018447398540745</v>
      </c>
      <c r="AF791" s="6" t="n">
        <v>-3.073723908772239</v>
      </c>
      <c r="AG791" s="6" t="n">
        <v>2.164667269074618</v>
      </c>
      <c r="AH791" s="6" t="n">
        <v>1.925388069794255</v>
      </c>
      <c r="AI791" s="6" t="n">
        <v>2.140622098433642</v>
      </c>
      <c r="AJ791" s="6" t="n">
        <v>75.14385197336171</v>
      </c>
      <c r="AK791" s="6" t="n">
        <v>0.1348684947339856</v>
      </c>
      <c r="AL791" s="6" t="n">
        <v>1.085636174616203</v>
      </c>
      <c r="AN791" s="6" t="n">
        <v>1.33033316640138</v>
      </c>
      <c r="AO791" s="6" t="n">
        <v>1.331715577927669</v>
      </c>
      <c r="AP791" s="6" t="n">
        <v>0.1296472923276299</v>
      </c>
      <c r="AQ791" s="6" t="n">
        <v>0</v>
      </c>
      <c r="AR791" s="6" t="n">
        <v>0</v>
      </c>
    </row>
    <row r="792">
      <c r="D792" t="inlineStr">
        <is>
          <t>Run 480</t>
        </is>
      </c>
      <c r="J792" s="6" t="n">
        <v>0.09093052573232502</v>
      </c>
      <c r="K792" s="6" t="n">
        <v>-1.45398316787715</v>
      </c>
      <c r="L792" s="6" t="n">
        <v>0.02581166967075929</v>
      </c>
      <c r="M792" s="6" t="n">
        <v>0.2677505104847192</v>
      </c>
      <c r="N792" s="6" t="n">
        <v>0.1885960140839439</v>
      </c>
      <c r="O792" s="6" t="n">
        <v>-0.2942266357306688</v>
      </c>
      <c r="P792" s="6" t="n">
        <v>-4.538511501196392</v>
      </c>
      <c r="Q792" s="6" t="n">
        <v>-0.9681579783896144</v>
      </c>
      <c r="R792" s="6" t="n">
        <v>-1.192749564590784</v>
      </c>
      <c r="S792" s="6" t="n">
        <v>3.12789623553763</v>
      </c>
      <c r="T792" s="6" t="n">
        <v>-1.233490491082748</v>
      </c>
      <c r="U792" s="6" t="n">
        <v>-1.462153711825164</v>
      </c>
      <c r="V792" s="6" t="n">
        <v>1.329751120897664</v>
      </c>
      <c r="W792" s="6" t="n">
        <v>4.735088446256629</v>
      </c>
      <c r="X792" s="6" t="n">
        <v>-1.913944360204828</v>
      </c>
      <c r="Y792" s="6" t="n">
        <v>-0.367547347835712</v>
      </c>
      <c r="Z792" s="6" t="n">
        <v>0.9537495788357242</v>
      </c>
      <c r="AA792" s="6" t="n">
        <v>1.972900298432831</v>
      </c>
      <c r="AB792" s="6" t="n">
        <v>0.08833588937306873</v>
      </c>
      <c r="AC792" s="6" t="n">
        <v>-1.467055976846111</v>
      </c>
      <c r="AD792" s="6" t="n">
        <v>-3.011740088949403</v>
      </c>
      <c r="AE792" s="6" t="n">
        <v>0.07420414851723243</v>
      </c>
      <c r="AF792" s="6" t="n">
        <v>-1.110240390880495</v>
      </c>
      <c r="AG792" s="6" t="n">
        <v>-1.967977877941034</v>
      </c>
      <c r="AH792" s="6" t="n">
        <v>-0.7625965698982675</v>
      </c>
      <c r="AI792" s="6" t="n">
        <v>-1.972141545915274</v>
      </c>
      <c r="AJ792" s="6" t="n">
        <v>71.59558936733467</v>
      </c>
      <c r="AK792" s="6" t="n">
        <v>0.1251000297292458</v>
      </c>
      <c r="AL792" s="6" t="n">
        <v>1.051307396435811</v>
      </c>
      <c r="AN792" s="6" t="n">
        <v>1.347032421588899</v>
      </c>
      <c r="AO792" s="6" t="n">
        <v>1.347138921361678</v>
      </c>
      <c r="AP792" s="6" t="n">
        <v>0.1319757303812782</v>
      </c>
      <c r="AQ792" s="6" t="n">
        <v>0</v>
      </c>
      <c r="AR792" s="6" t="n">
        <v>0</v>
      </c>
    </row>
    <row r="793">
      <c r="D793" t="inlineStr">
        <is>
          <t>Run 481</t>
        </is>
      </c>
      <c r="J793" s="6" t="n">
        <v>-0.255542099146428</v>
      </c>
      <c r="K793" s="6" t="n">
        <v>-2.607202628388193</v>
      </c>
      <c r="L793" s="6" t="n">
        <v>-0.6475340949834894</v>
      </c>
      <c r="M793" s="6" t="n">
        <v>-1.178058012279468</v>
      </c>
      <c r="N793" s="6" t="n">
        <v>-2.813239032317738</v>
      </c>
      <c r="O793" s="6" t="n">
        <v>-2.869307262276561</v>
      </c>
      <c r="P793" s="6" t="n">
        <v>0.6092314465634484</v>
      </c>
      <c r="Q793" s="6" t="n">
        <v>-1.096590351631945</v>
      </c>
      <c r="R793" s="6" t="n">
        <v>1.755335039531159</v>
      </c>
      <c r="S793" s="6" t="n">
        <v>0.3414979482941076</v>
      </c>
      <c r="T793" s="6" t="n">
        <v>0.75552409812619</v>
      </c>
      <c r="U793" s="6" t="n">
        <v>-2.208852346592926</v>
      </c>
      <c r="V793" s="6" t="n">
        <v>-2.37137384259342</v>
      </c>
      <c r="W793" s="6" t="n">
        <v>0.6089157826085497</v>
      </c>
      <c r="X793" s="6" t="n">
        <v>-1.26465411982907</v>
      </c>
      <c r="Y793" s="6" t="n">
        <v>2.178643602831691</v>
      </c>
      <c r="Z793" s="6" t="n">
        <v>-1.476994621225167</v>
      </c>
      <c r="AA793" s="6" t="n">
        <v>0.2518441349593634</v>
      </c>
      <c r="AB793" s="6" t="n">
        <v>-2.716583421621816</v>
      </c>
      <c r="AC793" s="6" t="n">
        <v>0.5538782296001357</v>
      </c>
      <c r="AD793" s="6" t="n">
        <v>-3.369813003922018</v>
      </c>
      <c r="AE793" s="6" t="n">
        <v>-1.988956921753431</v>
      </c>
      <c r="AF793" s="6" t="n">
        <v>0.2520479870983791</v>
      </c>
      <c r="AG793" s="6" t="n">
        <v>0.8159487814390156</v>
      </c>
      <c r="AH793" s="6" t="n">
        <v>-0.01364564769437016</v>
      </c>
      <c r="AI793" s="6" t="n">
        <v>2.756117261205363</v>
      </c>
      <c r="AJ793" s="6" t="n">
        <v>73.25423568683031</v>
      </c>
      <c r="AK793" s="6" t="n">
        <v>0.1222908701530025</v>
      </c>
      <c r="AL793" s="6" t="n">
        <v>1.072166521681798</v>
      </c>
      <c r="AN793" s="6" t="n">
        <v>1.336590534764283</v>
      </c>
      <c r="AO793" s="6" t="n">
        <v>1.338973468144091</v>
      </c>
      <c r="AP793" s="6" t="n">
        <v>0.1308691559396837</v>
      </c>
      <c r="AQ793" s="6" t="n">
        <v>0</v>
      </c>
      <c r="AR793" s="6" t="n">
        <v>0</v>
      </c>
    </row>
    <row r="794">
      <c r="D794" t="inlineStr">
        <is>
          <t>Run 482</t>
        </is>
      </c>
      <c r="J794" s="6" t="n">
        <v>-1.413093014299902</v>
      </c>
      <c r="K794" s="6" t="n">
        <v>3.226471658506938</v>
      </c>
      <c r="L794" s="6" t="n">
        <v>1.294132570942411</v>
      </c>
      <c r="M794" s="6" t="n">
        <v>-1.487955989364128</v>
      </c>
      <c r="N794" s="6" t="n">
        <v>1.821188439953831</v>
      </c>
      <c r="O794" s="6" t="n">
        <v>2.284152276792574</v>
      </c>
      <c r="P794" s="6" t="n">
        <v>-1.777941915735703</v>
      </c>
      <c r="Q794" s="6" t="n">
        <v>-1.602769798232531</v>
      </c>
      <c r="R794" s="6" t="n">
        <v>2.243749892098622</v>
      </c>
      <c r="S794" s="6" t="n">
        <v>-2.875134922178291</v>
      </c>
      <c r="T794" s="6" t="n">
        <v>-3.381746360002565</v>
      </c>
      <c r="U794" s="6" t="n">
        <v>0.88678217311032</v>
      </c>
      <c r="V794" s="6" t="n">
        <v>-0.2038455375465243</v>
      </c>
      <c r="W794" s="6" t="n">
        <v>1.352744798337109</v>
      </c>
      <c r="X794" s="6" t="n">
        <v>1.02124819956799</v>
      </c>
      <c r="Y794" s="6" t="n">
        <v>-4.018897236807196</v>
      </c>
      <c r="Z794" s="6" t="n">
        <v>1.281682703801913</v>
      </c>
      <c r="AA794" s="6" t="n">
        <v>-2.809028684059629</v>
      </c>
      <c r="AB794" s="6" t="n">
        <v>1.638430605262856</v>
      </c>
      <c r="AC794" s="6" t="n">
        <v>-1.960830871127894</v>
      </c>
      <c r="AD794" s="6" t="n">
        <v>-1.600745809160426</v>
      </c>
      <c r="AE794" s="6" t="n">
        <v>-0.6015746271203488</v>
      </c>
      <c r="AF794" s="6" t="n">
        <v>1.781209452347256</v>
      </c>
      <c r="AG794" s="6" t="n">
        <v>-3.502464097201487</v>
      </c>
      <c r="AH794" s="6" t="n">
        <v>5</v>
      </c>
      <c r="AI794" s="6" t="n">
        <v>-0.9184177978911299</v>
      </c>
      <c r="AJ794" s="6" t="n">
        <v>79.24921015965069</v>
      </c>
      <c r="AK794" s="6" t="n">
        <v>0.1062199893517758</v>
      </c>
      <c r="AL794" s="6" t="n">
        <v>1.067431197761653</v>
      </c>
      <c r="AN794" s="6" t="n">
        <v>1.337460940360125</v>
      </c>
      <c r="AO794" s="6" t="n">
        <v>1.340542552121336</v>
      </c>
      <c r="AP794" s="6" t="n">
        <v>0.1314920319870204</v>
      </c>
      <c r="AQ794" s="6" t="n">
        <v>0</v>
      </c>
      <c r="AR794" s="6" t="n">
        <v>0</v>
      </c>
    </row>
    <row r="795">
      <c r="D795" t="inlineStr">
        <is>
          <t>Run 483</t>
        </is>
      </c>
      <c r="J795" s="6" t="n">
        <v>-0.02564466127382721</v>
      </c>
      <c r="K795" s="6" t="n">
        <v>1.626852741949784</v>
      </c>
      <c r="L795" s="6" t="n">
        <v>2.841031185222656</v>
      </c>
      <c r="M795" s="6" t="n">
        <v>-0.7454776263068802</v>
      </c>
      <c r="N795" s="6" t="n">
        <v>-0.2445666413786726</v>
      </c>
      <c r="O795" s="6" t="n">
        <v>2.013841096637209</v>
      </c>
      <c r="P795" s="6" t="n">
        <v>-1.557080794499966</v>
      </c>
      <c r="Q795" s="6" t="n">
        <v>-0.3451236075508171</v>
      </c>
      <c r="R795" s="6" t="n">
        <v>-0.9806093041189841</v>
      </c>
      <c r="S795" s="6" t="n">
        <v>2.629426011164115</v>
      </c>
      <c r="T795" s="6" t="n">
        <v>-0.4196153784147624</v>
      </c>
      <c r="U795" s="6" t="n">
        <v>-0.5430099800107033</v>
      </c>
      <c r="V795" s="6" t="n">
        <v>-2.134245520223817</v>
      </c>
      <c r="W795" s="6" t="n">
        <v>1.461310442789306</v>
      </c>
      <c r="X795" s="6" t="n">
        <v>1.917782865966428</v>
      </c>
      <c r="Y795" s="6" t="n">
        <v>-1.63585417033387</v>
      </c>
      <c r="Z795" s="6" t="n">
        <v>0.7978937405746848</v>
      </c>
      <c r="AA795" s="6" t="n">
        <v>2.081476447479843</v>
      </c>
      <c r="AB795" s="6" t="n">
        <v>3.398424747930592</v>
      </c>
      <c r="AC795" s="6" t="n">
        <v>-2.710652215953262</v>
      </c>
      <c r="AD795" s="6" t="n">
        <v>-3.256269843436148</v>
      </c>
      <c r="AE795" s="6" t="n">
        <v>0.1491062403359247</v>
      </c>
      <c r="AF795" s="6" t="n">
        <v>2.596665614020274</v>
      </c>
      <c r="AG795" s="6" t="n">
        <v>-0.2818190475634301</v>
      </c>
      <c r="AH795" s="6" t="n">
        <v>-0.1035999767159431</v>
      </c>
      <c r="AI795" s="6" t="n">
        <v>1.263523864078747</v>
      </c>
      <c r="AJ795" s="6" t="n">
        <v>76.39999831253897</v>
      </c>
      <c r="AK795" s="6" t="n">
        <v>0.09702642518168092</v>
      </c>
      <c r="AL795" s="6" t="n">
        <v>1.070006232237902</v>
      </c>
      <c r="AN795" s="6" t="n">
        <v>1.341891518565794</v>
      </c>
      <c r="AO795" s="6" t="n">
        <v>1.342701124972288</v>
      </c>
      <c r="AP795" s="6" t="n">
        <v>0.1315607548587813</v>
      </c>
      <c r="AQ795" s="6" t="n">
        <v>0</v>
      </c>
      <c r="AR795" s="6" t="n">
        <v>0</v>
      </c>
    </row>
    <row r="796">
      <c r="D796" t="inlineStr">
        <is>
          <t>Run 484</t>
        </is>
      </c>
      <c r="J796" s="6" t="n">
        <v>0.1035148300022184</v>
      </c>
      <c r="K796" s="6" t="n">
        <v>-2.879392021032837</v>
      </c>
      <c r="L796" s="6" t="n">
        <v>-4.110618210369677</v>
      </c>
      <c r="M796" s="6" t="n">
        <v>2.296953850415562</v>
      </c>
      <c r="N796" s="6" t="n">
        <v>-1.390766306770861</v>
      </c>
      <c r="O796" s="6" t="n">
        <v>-0.1081953158181749</v>
      </c>
      <c r="P796" s="6" t="n">
        <v>-0.4347204344770902</v>
      </c>
      <c r="Q796" s="6" t="n">
        <v>2.267001857530651</v>
      </c>
      <c r="R796" s="6" t="n">
        <v>-1.849971332598541</v>
      </c>
      <c r="S796" s="6" t="n">
        <v>0.2312615196575354</v>
      </c>
      <c r="T796" s="6" t="n">
        <v>-1.515920680858462</v>
      </c>
      <c r="U796" s="6" t="n">
        <v>-1.612687291582197</v>
      </c>
      <c r="V796" s="6" t="n">
        <v>1.288338222524559</v>
      </c>
      <c r="W796" s="6" t="n">
        <v>0.6622253030160126</v>
      </c>
      <c r="X796" s="6" t="n">
        <v>-3.071700112136216</v>
      </c>
      <c r="Y796" s="6" t="n">
        <v>-1.20967570571777</v>
      </c>
      <c r="Z796" s="6" t="n">
        <v>0.5147856628158285</v>
      </c>
      <c r="AA796" s="6" t="n">
        <v>-1.893309518927821</v>
      </c>
      <c r="AB796" s="6" t="n">
        <v>-0.144547433805911</v>
      </c>
      <c r="AC796" s="6" t="n">
        <v>-0.08575850536033189</v>
      </c>
      <c r="AD796" s="6" t="n">
        <v>-0.6540057132676097</v>
      </c>
      <c r="AE796" s="6" t="n">
        <v>-3.569996911063505</v>
      </c>
      <c r="AF796" s="6" t="n">
        <v>2.322119045792885</v>
      </c>
      <c r="AG796" s="6" t="n">
        <v>1.287645412266914</v>
      </c>
      <c r="AH796" s="6" t="n">
        <v>-1.303935423777213</v>
      </c>
      <c r="AI796" s="6" t="n">
        <v>-0.8546790324859114</v>
      </c>
      <c r="AJ796" s="6" t="n">
        <v>56.40107580828164</v>
      </c>
      <c r="AK796" s="6" t="n">
        <v>0.1446173336383624</v>
      </c>
      <c r="AL796" s="6" t="n">
        <v>1.01505656524277</v>
      </c>
      <c r="AN796" s="6" t="n">
        <v>1.344389062388343</v>
      </c>
      <c r="AO796" s="6" t="n">
        <v>1.344389062388343</v>
      </c>
      <c r="AP796" s="6" t="n">
        <v>0.134386805459988</v>
      </c>
      <c r="AQ796" s="6" t="n">
        <v>0</v>
      </c>
      <c r="AR796" s="6" t="n">
        <v>0</v>
      </c>
    </row>
    <row r="797">
      <c r="D797" t="inlineStr">
        <is>
          <t>Run 485</t>
        </is>
      </c>
      <c r="J797" s="6" t="n">
        <v>0.5939779208177492</v>
      </c>
      <c r="K797" s="6" t="n">
        <v>0.9452884256642616</v>
      </c>
      <c r="L797" s="6" t="n">
        <v>1.016572865682506</v>
      </c>
      <c r="M797" s="6" t="n">
        <v>-0.4063391972597032</v>
      </c>
      <c r="N797" s="6" t="n">
        <v>-4.679482894402732</v>
      </c>
      <c r="O797" s="6" t="n">
        <v>0.8593947009555361</v>
      </c>
      <c r="P797" s="6" t="n">
        <v>0.8953577302074331</v>
      </c>
      <c r="Q797" s="6" t="n">
        <v>-1.929626255528623</v>
      </c>
      <c r="R797" s="6" t="n">
        <v>1.704654119543693</v>
      </c>
      <c r="S797" s="6" t="n">
        <v>-1.79721585797447</v>
      </c>
      <c r="T797" s="6" t="n">
        <v>1.52752585541813</v>
      </c>
      <c r="U797" s="6" t="n">
        <v>-1.24433958900992</v>
      </c>
      <c r="V797" s="6" t="n">
        <v>0.339221036437191</v>
      </c>
      <c r="W797" s="6" t="n">
        <v>-0.4525652252512603</v>
      </c>
      <c r="X797" s="6" t="n">
        <v>1.054560517536937</v>
      </c>
      <c r="Y797" s="6" t="n">
        <v>-1.480449181828461</v>
      </c>
      <c r="Z797" s="6" t="n">
        <v>-1.590279884559158</v>
      </c>
      <c r="AA797" s="6" t="n">
        <v>-0.9290657597232824</v>
      </c>
      <c r="AB797" s="6" t="n">
        <v>2.574842111250268</v>
      </c>
      <c r="AC797" s="6" t="n">
        <v>-1.272201792885973</v>
      </c>
      <c r="AD797" s="6" t="n">
        <v>-0.5354980138027011</v>
      </c>
      <c r="AE797" s="6" t="n">
        <v>-2.206150487712448</v>
      </c>
      <c r="AF797" s="6" t="n">
        <v>-1.813507498804727</v>
      </c>
      <c r="AG797" s="6" t="n">
        <v>-2.662728272562717</v>
      </c>
      <c r="AH797" s="6" t="n">
        <v>0.6027484042346566</v>
      </c>
      <c r="AI797" s="6" t="n">
        <v>-2.333268198366004</v>
      </c>
      <c r="AJ797" s="6" t="n">
        <v>72.06355270574429</v>
      </c>
      <c r="AK797" s="6" t="n">
        <v>0.154538005655018</v>
      </c>
      <c r="AL797" s="6" t="n">
        <v>1.007614016134045</v>
      </c>
      <c r="AN797" s="6" t="n">
        <v>1.353628575505963</v>
      </c>
      <c r="AO797" s="6" t="n">
        <v>1.353628575505963</v>
      </c>
      <c r="AP797" s="6" t="n">
        <v>0.1363103037902798</v>
      </c>
      <c r="AQ797" s="6" t="n">
        <v>0</v>
      </c>
      <c r="AR797" s="6" t="n">
        <v>0</v>
      </c>
    </row>
    <row r="798">
      <c r="D798" t="inlineStr">
        <is>
          <t>Run 486</t>
        </is>
      </c>
      <c r="J798" s="6" t="n">
        <v>1.434688439163415</v>
      </c>
      <c r="K798" s="6" t="n">
        <v>-2.077586197305571</v>
      </c>
      <c r="L798" s="6" t="n">
        <v>0.4821910511084993</v>
      </c>
      <c r="M798" s="6" t="n">
        <v>-2.168083141342208</v>
      </c>
      <c r="N798" s="6" t="n">
        <v>-2.689574047373866</v>
      </c>
      <c r="O798" s="6" t="n">
        <v>-3.471725178941643</v>
      </c>
      <c r="P798" s="6" t="n">
        <v>1.887762037776058</v>
      </c>
      <c r="Q798" s="6" t="n">
        <v>1.903972084839624</v>
      </c>
      <c r="R798" s="6" t="n">
        <v>1.574313479547154</v>
      </c>
      <c r="S798" s="6" t="n">
        <v>-2.66393955153087</v>
      </c>
      <c r="T798" s="6" t="n">
        <v>4.893721859555173</v>
      </c>
      <c r="U798" s="6" t="n">
        <v>0.1857967135729878</v>
      </c>
      <c r="V798" s="6" t="n">
        <v>2.449511221939082</v>
      </c>
      <c r="W798" s="6" t="n">
        <v>-2.106858273747857</v>
      </c>
      <c r="X798" s="6" t="n">
        <v>-1.157507197831783</v>
      </c>
      <c r="Y798" s="6" t="n">
        <v>-2.807770448906839</v>
      </c>
      <c r="Z798" s="6" t="n">
        <v>-2.332702241701861</v>
      </c>
      <c r="AA798" s="6" t="n">
        <v>-1.881975668998476</v>
      </c>
      <c r="AB798" s="6" t="n">
        <v>1.847980592293776</v>
      </c>
      <c r="AC798" s="6" t="n">
        <v>0.06374891534787301</v>
      </c>
      <c r="AD798" s="6" t="n">
        <v>1.352911776281684</v>
      </c>
      <c r="AE798" s="6" t="n">
        <v>0.6518055527151726</v>
      </c>
      <c r="AF798" s="6" t="n">
        <v>-0.7967753390703428</v>
      </c>
      <c r="AG798" s="6" t="n">
        <v>-2.675155638002718</v>
      </c>
      <c r="AH798" s="6" t="n">
        <v>-3.172832738732664</v>
      </c>
      <c r="AI798" s="6" t="n">
        <v>-0.7524426035002388</v>
      </c>
      <c r="AJ798" s="6" t="n">
        <v>83.82286959997022</v>
      </c>
      <c r="AK798" s="6" t="n">
        <v>0.08910420354427365</v>
      </c>
      <c r="AL798" s="6" t="n">
        <v>1.089131198753907</v>
      </c>
      <c r="AN798" s="6" t="n">
        <v>1.324735857523199</v>
      </c>
      <c r="AO798" s="6" t="n">
        <v>1.327618541864428</v>
      </c>
      <c r="AP798" s="6" t="n">
        <v>0.1309016442833354</v>
      </c>
      <c r="AQ798" s="6" t="n">
        <v>0</v>
      </c>
      <c r="AR798" s="6" t="n">
        <v>0</v>
      </c>
    </row>
    <row r="799">
      <c r="D799" t="inlineStr">
        <is>
          <t>Run 487</t>
        </is>
      </c>
      <c r="J799" s="6" t="n">
        <v>1.552258148656178</v>
      </c>
      <c r="K799" s="6" t="n">
        <v>0.002420251115938054</v>
      </c>
      <c r="L799" s="6" t="n">
        <v>2.209026917947807</v>
      </c>
      <c r="M799" s="6" t="n">
        <v>0.2522389976243936</v>
      </c>
      <c r="N799" s="6" t="n">
        <v>-0.5282393744056995</v>
      </c>
      <c r="O799" s="6" t="n">
        <v>-3.37462715635752</v>
      </c>
      <c r="P799" s="6" t="n">
        <v>-3.150064832964227</v>
      </c>
      <c r="Q799" s="6" t="n">
        <v>0.8162168748226282</v>
      </c>
      <c r="R799" s="6" t="n">
        <v>-0.2996508781831755</v>
      </c>
      <c r="S799" s="6" t="n">
        <v>-2.474809950362943</v>
      </c>
      <c r="T799" s="6" t="n">
        <v>4.064094425152142</v>
      </c>
      <c r="U799" s="6" t="n">
        <v>0.1111127338112177</v>
      </c>
      <c r="V799" s="6" t="n">
        <v>2.598466588635762</v>
      </c>
      <c r="W799" s="6" t="n">
        <v>-3.494240973659142</v>
      </c>
      <c r="X799" s="6" t="n">
        <v>-0.2674099153127126</v>
      </c>
      <c r="Y799" s="6" t="n">
        <v>-1.413417661889478</v>
      </c>
      <c r="Z799" s="6" t="n">
        <v>0.4462372079374468</v>
      </c>
      <c r="AA799" s="6" t="n">
        <v>0.6757799837765955</v>
      </c>
      <c r="AB799" s="6" t="n">
        <v>-1.192314038737247</v>
      </c>
      <c r="AC799" s="6" t="n">
        <v>-2.033373757036462</v>
      </c>
      <c r="AD799" s="6" t="n">
        <v>-4.112945953059638</v>
      </c>
      <c r="AE799" s="6" t="n">
        <v>1.838368847725084</v>
      </c>
      <c r="AF799" s="6" t="n">
        <v>-0.646566696436578</v>
      </c>
      <c r="AG799" s="6" t="n">
        <v>1.563334468465599</v>
      </c>
      <c r="AH799" s="6" t="n">
        <v>-1.142346751985548</v>
      </c>
      <c r="AI799" s="6" t="n">
        <v>-2.112273746031134</v>
      </c>
      <c r="AJ799" s="6" t="n">
        <v>60.09498452375723</v>
      </c>
      <c r="AK799" s="6" t="n">
        <v>0.02213577038958998</v>
      </c>
      <c r="AL799" s="6" t="n">
        <v>1.092124587780019</v>
      </c>
      <c r="AN799" s="6" t="n">
        <v>1.335812275795182</v>
      </c>
      <c r="AO799" s="6" t="n">
        <v>1.336160886106936</v>
      </c>
      <c r="AP799" s="6" t="n">
        <v>0.1310947598481603</v>
      </c>
      <c r="AQ799" s="6" t="n">
        <v>0</v>
      </c>
      <c r="AR799" s="6" t="n">
        <v>0</v>
      </c>
    </row>
    <row r="800">
      <c r="D800" t="inlineStr">
        <is>
          <t>Run 488</t>
        </is>
      </c>
      <c r="J800" s="6" t="n">
        <v>-0.9427860939847151</v>
      </c>
      <c r="K800" s="6" t="n">
        <v>0.9758721949864951</v>
      </c>
      <c r="L800" s="6" t="n">
        <v>0.4559304434025272</v>
      </c>
      <c r="M800" s="6" t="n">
        <v>-1.41129358239952</v>
      </c>
      <c r="N800" s="6" t="n">
        <v>1.263161163456572</v>
      </c>
      <c r="O800" s="6" t="n">
        <v>3.695346606626795</v>
      </c>
      <c r="P800" s="6" t="n">
        <v>-3.463146627903286</v>
      </c>
      <c r="Q800" s="6" t="n">
        <v>1.27626043307569</v>
      </c>
      <c r="R800" s="6" t="n">
        <v>0.258400729487771</v>
      </c>
      <c r="S800" s="6" t="n">
        <v>-2.790091045941018</v>
      </c>
      <c r="T800" s="6" t="n">
        <v>1.729246581112015</v>
      </c>
      <c r="U800" s="6" t="n">
        <v>0.9272595791265045</v>
      </c>
      <c r="V800" s="6" t="n">
        <v>-1.012708079703196</v>
      </c>
      <c r="W800" s="6" t="n">
        <v>0.1106710932579124</v>
      </c>
      <c r="X800" s="6" t="n">
        <v>-1.349801692337168</v>
      </c>
      <c r="Y800" s="6" t="n">
        <v>0.7042828805929695</v>
      </c>
      <c r="Z800" s="6" t="n">
        <v>-2.273630952537883</v>
      </c>
      <c r="AA800" s="6" t="n">
        <v>-1.691565892876623</v>
      </c>
      <c r="AB800" s="6" t="n">
        <v>1.315050937788538</v>
      </c>
      <c r="AC800" s="6" t="n">
        <v>2.453264261262843</v>
      </c>
      <c r="AD800" s="6" t="n">
        <v>-1.323040396957146</v>
      </c>
      <c r="AE800" s="6" t="n">
        <v>-0.9359274652115257</v>
      </c>
      <c r="AF800" s="6" t="n">
        <v>0.3153213117834746</v>
      </c>
      <c r="AG800" s="6" t="n">
        <v>0.1707633242918179</v>
      </c>
      <c r="AH800" s="6" t="n">
        <v>-0.9753733858610657</v>
      </c>
      <c r="AI800" s="6" t="n">
        <v>0.1155877870772297</v>
      </c>
      <c r="AJ800" s="6" t="n">
        <v>70.05605921742922</v>
      </c>
      <c r="AK800" s="6" t="n">
        <v>0.1603697095788172</v>
      </c>
      <c r="AL800" s="6" t="n">
        <v>1.014780585288097</v>
      </c>
      <c r="AN800" s="6" t="n">
        <v>1.348155847413473</v>
      </c>
      <c r="AO800" s="6" t="n">
        <v>1.351694240646136</v>
      </c>
      <c r="AP800" s="6" t="n">
        <v>0.1353553372196742</v>
      </c>
      <c r="AQ800" s="6" t="n">
        <v>0</v>
      </c>
      <c r="AR800" s="6" t="n">
        <v>0</v>
      </c>
    </row>
    <row r="801">
      <c r="D801" t="inlineStr">
        <is>
          <t>Run 489</t>
        </is>
      </c>
      <c r="J801" s="6" t="n">
        <v>-0.6893281388757342</v>
      </c>
      <c r="K801" s="6" t="n">
        <v>-1.177031364316366</v>
      </c>
      <c r="L801" s="6" t="n">
        <v>0.2569391830283374</v>
      </c>
      <c r="M801" s="6" t="n">
        <v>0.04839646096595061</v>
      </c>
      <c r="N801" s="6" t="n">
        <v>-3.111241455360207</v>
      </c>
      <c r="O801" s="6" t="n">
        <v>0.848596916269271</v>
      </c>
      <c r="P801" s="6" t="n">
        <v>0.8119778672000005</v>
      </c>
      <c r="Q801" s="6" t="n">
        <v>-2.645723222805173</v>
      </c>
      <c r="R801" s="6" t="n">
        <v>-4.08308624828815</v>
      </c>
      <c r="S801" s="6" t="n">
        <v>1.643106010408591</v>
      </c>
      <c r="T801" s="6" t="n">
        <v>1.921143124835784</v>
      </c>
      <c r="U801" s="6" t="n">
        <v>3.143055425659415</v>
      </c>
      <c r="V801" s="6" t="n">
        <v>-0.537143586020692</v>
      </c>
      <c r="W801" s="6" t="n">
        <v>-1.516541087910509</v>
      </c>
      <c r="X801" s="6" t="n">
        <v>2.937263185997087</v>
      </c>
      <c r="Y801" s="6" t="n">
        <v>1.822189423265442</v>
      </c>
      <c r="Z801" s="6" t="n">
        <v>-0.002726686382348564</v>
      </c>
      <c r="AA801" s="6" t="n">
        <v>-2.015138613397259</v>
      </c>
      <c r="AB801" s="6" t="n">
        <v>-0.7906346835877106</v>
      </c>
      <c r="AC801" s="6" t="n">
        <v>-2.424412762591805</v>
      </c>
      <c r="AD801" s="6" t="n">
        <v>-1.973186634665046</v>
      </c>
      <c r="AE801" s="6" t="n">
        <v>-2.487084941218093</v>
      </c>
      <c r="AF801" s="6" t="n">
        <v>1.982133307615044</v>
      </c>
      <c r="AG801" s="6" t="n">
        <v>-0.3408467920219608</v>
      </c>
      <c r="AH801" s="6" t="n">
        <v>1.057995752304346</v>
      </c>
      <c r="AI801" s="6" t="n">
        <v>-1.249496524996246</v>
      </c>
      <c r="AJ801" s="6" t="n">
        <v>73.87965779507408</v>
      </c>
      <c r="AK801" s="6" t="n">
        <v>0.1430201749568839</v>
      </c>
      <c r="AL801" s="6" t="n">
        <v>1.06691625020875</v>
      </c>
      <c r="AN801" s="6" t="n">
        <v>1.337617471559992</v>
      </c>
      <c r="AO801" s="6" t="n">
        <v>1.337992401910723</v>
      </c>
      <c r="AP801" s="6" t="n">
        <v>0.130416771716252</v>
      </c>
      <c r="AQ801" s="6" t="n">
        <v>0</v>
      </c>
      <c r="AR801" s="6" t="n">
        <v>0</v>
      </c>
    </row>
    <row r="802">
      <c r="D802" t="inlineStr">
        <is>
          <t>Run 490</t>
        </is>
      </c>
      <c r="J802" s="6" t="n">
        <v>-2.211457729698727</v>
      </c>
      <c r="K802" s="6" t="n">
        <v>3.283485034529049</v>
      </c>
      <c r="L802" s="6" t="n">
        <v>0.9421544354063149</v>
      </c>
      <c r="M802" s="6" t="n">
        <v>-1.43571451555347</v>
      </c>
      <c r="N802" s="6" t="n">
        <v>0.8147056286612444</v>
      </c>
      <c r="O802" s="6" t="n">
        <v>5</v>
      </c>
      <c r="P802" s="6" t="n">
        <v>-2.614615519268549</v>
      </c>
      <c r="Q802" s="6" t="n">
        <v>0.6923953701149822</v>
      </c>
      <c r="R802" s="6" t="n">
        <v>0.08415630412378496</v>
      </c>
      <c r="S802" s="6" t="n">
        <v>-1.18588971511258</v>
      </c>
      <c r="T802" s="6" t="n">
        <v>0.4630694016347542</v>
      </c>
      <c r="U802" s="6" t="n">
        <v>4.175839936065611</v>
      </c>
      <c r="V802" s="6" t="n">
        <v>-4.37297243521977</v>
      </c>
      <c r="W802" s="6" t="n">
        <v>3.12136112785688</v>
      </c>
      <c r="X802" s="6" t="n">
        <v>0.02643805672572245</v>
      </c>
      <c r="Y802" s="6" t="n">
        <v>-0.5427364210039441</v>
      </c>
      <c r="Z802" s="6" t="n">
        <v>0.632147082753597</v>
      </c>
      <c r="AA802" s="6" t="n">
        <v>0.880255301565166</v>
      </c>
      <c r="AB802" s="6" t="n">
        <v>4.318964610756414</v>
      </c>
      <c r="AC802" s="6" t="n">
        <v>-1.917293989920519</v>
      </c>
      <c r="AD802" s="6" t="n">
        <v>1.536053467290425</v>
      </c>
      <c r="AE802" s="6" t="n">
        <v>-2.265575643656065</v>
      </c>
      <c r="AF802" s="6" t="n">
        <v>1.745085810214309</v>
      </c>
      <c r="AG802" s="6" t="n">
        <v>-1.141678455564649</v>
      </c>
      <c r="AH802" s="6" t="n">
        <v>2.260648734764295</v>
      </c>
      <c r="AI802" s="6" t="n">
        <v>0.7168854817070692</v>
      </c>
      <c r="AJ802" s="6" t="n">
        <v>64.98701121643037</v>
      </c>
      <c r="AK802" s="6" t="n">
        <v>0.07964493946978501</v>
      </c>
      <c r="AL802" s="6" t="n">
        <v>1.0492065930722</v>
      </c>
      <c r="AN802" s="6" t="n">
        <v>1.339017557787221</v>
      </c>
      <c r="AO802" s="6" t="n">
        <v>1.342544429526639</v>
      </c>
      <c r="AP802" s="6" t="n">
        <v>0.132803272116754</v>
      </c>
      <c r="AQ802" s="6" t="n">
        <v>0</v>
      </c>
      <c r="AR802" s="6" t="n">
        <v>0</v>
      </c>
    </row>
    <row r="803">
      <c r="D803" t="inlineStr">
        <is>
          <t>Run 491</t>
        </is>
      </c>
      <c r="J803" s="6" t="n">
        <v>4.43899717120751</v>
      </c>
      <c r="K803" s="6" t="n">
        <v>-0.06542856925992108</v>
      </c>
      <c r="L803" s="6" t="n">
        <v>-1.000861624968261</v>
      </c>
      <c r="M803" s="6" t="n">
        <v>-2.344747189894861</v>
      </c>
      <c r="N803" s="6" t="n">
        <v>0.4661782454508932</v>
      </c>
      <c r="O803" s="6" t="n">
        <v>2.432747366823703</v>
      </c>
      <c r="P803" s="6" t="n">
        <v>0.8195317996903519</v>
      </c>
      <c r="Q803" s="6" t="n">
        <v>-0.8925185757918863</v>
      </c>
      <c r="R803" s="6" t="n">
        <v>-1.47637535262272</v>
      </c>
      <c r="S803" s="6" t="n">
        <v>-3.902389454167071</v>
      </c>
      <c r="T803" s="6" t="n">
        <v>1.089665852811267</v>
      </c>
      <c r="U803" s="6" t="n">
        <v>-1.337017875209843</v>
      </c>
      <c r="V803" s="6" t="n">
        <v>-3.173718960209728</v>
      </c>
      <c r="W803" s="6" t="n">
        <v>2.198655574458231</v>
      </c>
      <c r="X803" s="6" t="n">
        <v>-0.3120079825171327</v>
      </c>
      <c r="Y803" s="6" t="n">
        <v>1.833152814428537</v>
      </c>
      <c r="Z803" s="6" t="n">
        <v>1.327514219545879</v>
      </c>
      <c r="AA803" s="6" t="n">
        <v>2.643597419781193</v>
      </c>
      <c r="AB803" s="6" t="n">
        <v>-0.2715298315411501</v>
      </c>
      <c r="AC803" s="6" t="n">
        <v>-0.4168690938264031</v>
      </c>
      <c r="AD803" s="6" t="n">
        <v>-2.284226399213564</v>
      </c>
      <c r="AE803" s="6" t="n">
        <v>-0.5200780097965044</v>
      </c>
      <c r="AF803" s="6" t="n">
        <v>2.274360713740383</v>
      </c>
      <c r="AG803" s="6" t="n">
        <v>3.144060866748903</v>
      </c>
      <c r="AH803" s="6" t="n">
        <v>0.1673825223381901</v>
      </c>
      <c r="AI803" s="6" t="n">
        <v>-4.069251359167756</v>
      </c>
      <c r="AJ803" s="6" t="n">
        <v>70.42438102314038</v>
      </c>
      <c r="AK803" s="6" t="n">
        <v>0.01802089923924868</v>
      </c>
      <c r="AL803" s="6" t="n">
        <v>1.024924423085</v>
      </c>
      <c r="AN803" s="6" t="n">
        <v>1.340163824837904</v>
      </c>
      <c r="AO803" s="6" t="n">
        <v>1.349249647576318</v>
      </c>
      <c r="AP803" s="6" t="n">
        <v>0.1368958921524429</v>
      </c>
      <c r="AQ803" s="6" t="n">
        <v>0</v>
      </c>
      <c r="AR803" s="6" t="n">
        <v>0</v>
      </c>
    </row>
    <row r="804">
      <c r="D804" t="inlineStr">
        <is>
          <t>Run 492</t>
        </is>
      </c>
      <c r="J804" s="6" t="n">
        <v>-1.260830178270991</v>
      </c>
      <c r="K804" s="6" t="n">
        <v>3.233003340642429</v>
      </c>
      <c r="L804" s="6" t="n">
        <v>0.371682886808247</v>
      </c>
      <c r="M804" s="6" t="n">
        <v>-2.364250251031281</v>
      </c>
      <c r="N804" s="6" t="n">
        <v>-1.273391577319001</v>
      </c>
      <c r="O804" s="6" t="n">
        <v>-0.1074410752686436</v>
      </c>
      <c r="P804" s="6" t="n">
        <v>-1.394375099388785</v>
      </c>
      <c r="Q804" s="6" t="n">
        <v>2.863994458258954</v>
      </c>
      <c r="R804" s="6" t="n">
        <v>-2.764004404927499</v>
      </c>
      <c r="S804" s="6" t="n">
        <v>1.195262991525822</v>
      </c>
      <c r="T804" s="6" t="n">
        <v>-2.610460425061718</v>
      </c>
      <c r="U804" s="6" t="n">
        <v>3.081342734128552</v>
      </c>
      <c r="V804" s="6" t="n">
        <v>-1.841378005044009</v>
      </c>
      <c r="W804" s="6" t="n">
        <v>2.454902827306114</v>
      </c>
      <c r="X804" s="6" t="n">
        <v>-1.176451573796934</v>
      </c>
      <c r="Y804" s="6" t="n">
        <v>1.076346526851951</v>
      </c>
      <c r="Z804" s="6" t="n">
        <v>4.755535745668799</v>
      </c>
      <c r="AA804" s="6" t="n">
        <v>-0.7108514328990558</v>
      </c>
      <c r="AB804" s="6" t="n">
        <v>1.519543937960796</v>
      </c>
      <c r="AC804" s="6" t="n">
        <v>4.043342465608479</v>
      </c>
      <c r="AD804" s="6" t="n">
        <v>-2.01636121932451</v>
      </c>
      <c r="AE804" s="6" t="n">
        <v>-0.4233127556974861</v>
      </c>
      <c r="AF804" s="6" t="n">
        <v>0.005512229379369999</v>
      </c>
      <c r="AG804" s="6" t="n">
        <v>2.296869940101117</v>
      </c>
      <c r="AH804" s="6" t="n">
        <v>0.4876681481366463</v>
      </c>
      <c r="AI804" s="6" t="n">
        <v>1.920357842097413</v>
      </c>
      <c r="AJ804" s="6" t="n">
        <v>73.21192923017524</v>
      </c>
      <c r="AK804" s="6" t="n">
        <v>0.1035792856610678</v>
      </c>
      <c r="AL804" s="6" t="n">
        <v>1.039636373027782</v>
      </c>
      <c r="AN804" s="6" t="n">
        <v>1.331071030811042</v>
      </c>
      <c r="AO804" s="6" t="n">
        <v>1.337626564483051</v>
      </c>
      <c r="AP804" s="6" t="n">
        <v>0.1338428845293047</v>
      </c>
      <c r="AQ804" s="6" t="n">
        <v>0</v>
      </c>
      <c r="AR804" s="6" t="n">
        <v>0</v>
      </c>
    </row>
    <row r="805">
      <c r="D805" t="inlineStr">
        <is>
          <t>Run 493</t>
        </is>
      </c>
      <c r="J805" s="6" t="n">
        <v>0.9719231974774121</v>
      </c>
      <c r="K805" s="6" t="n">
        <v>-0.6876393896427268</v>
      </c>
      <c r="L805" s="6" t="n">
        <v>2.470562700348195</v>
      </c>
      <c r="M805" s="6" t="n">
        <v>-0.8053038203313359</v>
      </c>
      <c r="N805" s="6" t="n">
        <v>-0.5743662261125961</v>
      </c>
      <c r="O805" s="6" t="n">
        <v>-0.4991614215587984</v>
      </c>
      <c r="P805" s="6" t="n">
        <v>1.749328368717339</v>
      </c>
      <c r="Q805" s="6" t="n">
        <v>-0.9589221662249764</v>
      </c>
      <c r="R805" s="6" t="n">
        <v>-0.8148358802805029</v>
      </c>
      <c r="S805" s="6" t="n">
        <v>0.6224727524339295</v>
      </c>
      <c r="T805" s="6" t="n">
        <v>-1.016148314264862</v>
      </c>
      <c r="U805" s="6" t="n">
        <v>-3.209704568203166</v>
      </c>
      <c r="V805" s="6" t="n">
        <v>-0.9738987975509577</v>
      </c>
      <c r="W805" s="6" t="n">
        <v>0.125426488781051</v>
      </c>
      <c r="X805" s="6" t="n">
        <v>4.766724000171704</v>
      </c>
      <c r="Y805" s="6" t="n">
        <v>0.5996166917243966</v>
      </c>
      <c r="Z805" s="6" t="n">
        <v>-2.313519805553778</v>
      </c>
      <c r="AA805" s="6" t="n">
        <v>3.589191982394292</v>
      </c>
      <c r="AB805" s="6" t="n">
        <v>1.592611621018597</v>
      </c>
      <c r="AC805" s="6" t="n">
        <v>-1.144147896586176</v>
      </c>
      <c r="AD805" s="6" t="n">
        <v>4.150491547234018</v>
      </c>
      <c r="AE805" s="6" t="n">
        <v>3.115982317774983</v>
      </c>
      <c r="AF805" s="6" t="n">
        <v>1.624925900850451</v>
      </c>
      <c r="AG805" s="6" t="n">
        <v>-2.105211748305646</v>
      </c>
      <c r="AH805" s="6" t="n">
        <v>0.9887424339072519</v>
      </c>
      <c r="AI805" s="6" t="n">
        <v>0.5183580046368337</v>
      </c>
      <c r="AJ805" s="6" t="n">
        <v>75.95572449446871</v>
      </c>
      <c r="AK805" s="6" t="n">
        <v>0.1751984703208416</v>
      </c>
      <c r="AL805" s="6" t="n">
        <v>1.066983509628929</v>
      </c>
      <c r="AN805" s="6" t="n">
        <v>1.335031720522035</v>
      </c>
      <c r="AO805" s="6" t="n">
        <v>1.336227273981819</v>
      </c>
      <c r="AP805" s="6" t="n">
        <v>0.1297240548995089</v>
      </c>
      <c r="AQ805" s="6" t="n">
        <v>0</v>
      </c>
      <c r="AR805" s="6" t="n">
        <v>0</v>
      </c>
    </row>
    <row r="806">
      <c r="D806" t="inlineStr">
        <is>
          <t>Run 494</t>
        </is>
      </c>
      <c r="J806" s="6" t="n">
        <v>-0.786502061783768</v>
      </c>
      <c r="K806" s="6" t="n">
        <v>0.8544890677488032</v>
      </c>
      <c r="L806" s="6" t="n">
        <v>-0.5864410525383704</v>
      </c>
      <c r="M806" s="6" t="n">
        <v>-0.4549167511099575</v>
      </c>
      <c r="N806" s="6" t="n">
        <v>0.06095637931872036</v>
      </c>
      <c r="O806" s="6" t="n">
        <v>0.1589420783071375</v>
      </c>
      <c r="P806" s="6" t="n">
        <v>-0.1969471471411958</v>
      </c>
      <c r="Q806" s="6" t="n">
        <v>-1.391832613820351</v>
      </c>
      <c r="R806" s="6" t="n">
        <v>0.4377373589212867</v>
      </c>
      <c r="S806" s="6" t="n">
        <v>1.602065801684225</v>
      </c>
      <c r="T806" s="6" t="n">
        <v>-1.802832391794276</v>
      </c>
      <c r="U806" s="6" t="n">
        <v>-1.975015633489839</v>
      </c>
      <c r="V806" s="6" t="n">
        <v>0.2000275662276986</v>
      </c>
      <c r="W806" s="6" t="n">
        <v>0.1397017465365995</v>
      </c>
      <c r="X806" s="6" t="n">
        <v>-0.7053108345708724</v>
      </c>
      <c r="Y806" s="6" t="n">
        <v>-1.981406439010935</v>
      </c>
      <c r="Z806" s="6" t="n">
        <v>0.6205320073781141</v>
      </c>
      <c r="AA806" s="6" t="n">
        <v>0.6795567751317074</v>
      </c>
      <c r="AB806" s="6" t="n">
        <v>2.607773286790709</v>
      </c>
      <c r="AC806" s="6" t="n">
        <v>0.5573990815850025</v>
      </c>
      <c r="AD806" s="6" t="n">
        <v>1.278168947068559</v>
      </c>
      <c r="AE806" s="6" t="n">
        <v>1.133072401180486</v>
      </c>
      <c r="AF806" s="6" t="n">
        <v>-0.1349985701961597</v>
      </c>
      <c r="AG806" s="6" t="n">
        <v>0.04646898834270382</v>
      </c>
      <c r="AH806" s="6" t="n">
        <v>0.953576470793429</v>
      </c>
      <c r="AI806" s="6" t="n">
        <v>-2.377006518334788</v>
      </c>
      <c r="AJ806" s="6" t="n">
        <v>75.96355288464875</v>
      </c>
      <c r="AK806" s="6" t="n">
        <v>0.191753473346557</v>
      </c>
      <c r="AL806" s="6" t="n">
        <v>1.047287109664062</v>
      </c>
      <c r="AN806" s="6" t="n">
        <v>1.342395475059374</v>
      </c>
      <c r="AO806" s="6" t="n">
        <v>1.342708061664355</v>
      </c>
      <c r="AP806" s="6" t="n">
        <v>0.1309880629950363</v>
      </c>
      <c r="AQ806" s="6" t="n">
        <v>0</v>
      </c>
      <c r="AR806" s="6" t="n">
        <v>0</v>
      </c>
    </row>
    <row r="807">
      <c r="D807" t="inlineStr">
        <is>
          <t>Run 495</t>
        </is>
      </c>
      <c r="J807" s="6" t="n">
        <v>1.045199083363044</v>
      </c>
      <c r="K807" s="6" t="n">
        <v>2.683675357484488</v>
      </c>
      <c r="L807" s="6" t="n">
        <v>-0.2616354141318797</v>
      </c>
      <c r="M807" s="6" t="n">
        <v>0.389600649094048</v>
      </c>
      <c r="N807" s="6" t="n">
        <v>-6.189618687588409</v>
      </c>
      <c r="O807" s="6" t="n">
        <v>-0.09140228904476878</v>
      </c>
      <c r="P807" s="6" t="n">
        <v>0.3210612375137573</v>
      </c>
      <c r="Q807" s="6" t="n">
        <v>1.574891529588461</v>
      </c>
      <c r="R807" s="6" t="n">
        <v>3.107245191877126</v>
      </c>
      <c r="S807" s="6" t="n">
        <v>0.9149165633641199</v>
      </c>
      <c r="T807" s="6" t="n">
        <v>-3.864493515832526</v>
      </c>
      <c r="U807" s="6" t="n">
        <v>-2.805161217453037</v>
      </c>
      <c r="V807" s="6" t="n">
        <v>0.8917191425208295</v>
      </c>
      <c r="W807" s="6" t="n">
        <v>-0.8167803466578996</v>
      </c>
      <c r="X807" s="6" t="n">
        <v>1.078196484953039</v>
      </c>
      <c r="Y807" s="6" t="n">
        <v>0.5283139148416892</v>
      </c>
      <c r="Z807" s="6" t="n">
        <v>1.618796395875339</v>
      </c>
      <c r="AA807" s="6" t="n">
        <v>0.9664554204571476</v>
      </c>
      <c r="AB807" s="6" t="n">
        <v>0.2513720596300917</v>
      </c>
      <c r="AC807" s="6" t="n">
        <v>-0.5375323049117547</v>
      </c>
      <c r="AD807" s="6" t="n">
        <v>-3.267772126995239</v>
      </c>
      <c r="AE807" s="6" t="n">
        <v>0.7637127288350675</v>
      </c>
      <c r="AF807" s="6" t="n">
        <v>-1.522875565282612</v>
      </c>
      <c r="AG807" s="6" t="n">
        <v>-3.224576539598012</v>
      </c>
      <c r="AH807" s="6" t="n">
        <v>-0.4653223842681686</v>
      </c>
      <c r="AI807" s="6" t="n">
        <v>-1.105376295925198</v>
      </c>
      <c r="AJ807" s="6" t="n">
        <v>75.04111558385384</v>
      </c>
      <c r="AK807" s="6" t="n">
        <v>0</v>
      </c>
      <c r="AL807" s="6" t="n">
        <v>1.048794719729913</v>
      </c>
      <c r="AN807" s="6" t="n">
        <v>1.332339087907283</v>
      </c>
      <c r="AO807" s="6" t="n">
        <v>1.340133751135014</v>
      </c>
      <c r="AP807" s="6" t="n">
        <v>0.1352602650827642</v>
      </c>
      <c r="AQ807" s="6" t="n">
        <v>0</v>
      </c>
      <c r="AR807" s="6" t="n">
        <v>0</v>
      </c>
    </row>
    <row r="808">
      <c r="D808" t="inlineStr">
        <is>
          <t>Run 496</t>
        </is>
      </c>
      <c r="J808" s="6" t="n">
        <v>1.015303188482269</v>
      </c>
      <c r="K808" s="6" t="n">
        <v>-2.476221736268193</v>
      </c>
      <c r="L808" s="6" t="n">
        <v>-0.9933890818613823</v>
      </c>
      <c r="M808" s="6" t="n">
        <v>3.431014604179791</v>
      </c>
      <c r="N808" s="6" t="n">
        <v>-0.7330374340628809</v>
      </c>
      <c r="O808" s="6" t="n">
        <v>-0.07075912078100814</v>
      </c>
      <c r="P808" s="6" t="n">
        <v>-1.829073180421432</v>
      </c>
      <c r="Q808" s="6" t="n">
        <v>-2.393399422399102</v>
      </c>
      <c r="R808" s="6" t="n">
        <v>-2.845625310971511</v>
      </c>
      <c r="S808" s="6" t="n">
        <v>-1.947816084304252</v>
      </c>
      <c r="T808" s="6" t="n">
        <v>0.4676101336095637</v>
      </c>
      <c r="U808" s="6" t="n">
        <v>0.2308828492682107</v>
      </c>
      <c r="V808" s="6" t="n">
        <v>0.8128400289948001</v>
      </c>
      <c r="W808" s="6" t="n">
        <v>1.850497367464763</v>
      </c>
      <c r="X808" s="6" t="n">
        <v>-1.288095766119214</v>
      </c>
      <c r="Y808" s="6" t="n">
        <v>-1.358347433670769</v>
      </c>
      <c r="Z808" s="6" t="n">
        <v>-1.903428355781561</v>
      </c>
      <c r="AA808" s="6" t="n">
        <v>-1.607405693056731</v>
      </c>
      <c r="AB808" s="6" t="n">
        <v>3.282045563323669</v>
      </c>
      <c r="AC808" s="6" t="n">
        <v>4.87722503295762</v>
      </c>
      <c r="AD808" s="6" t="n">
        <v>1.30444517360118</v>
      </c>
      <c r="AE808" s="6" t="n">
        <v>-3.718285015527681</v>
      </c>
      <c r="AF808" s="6" t="n">
        <v>-1.270095462288206</v>
      </c>
      <c r="AG808" s="6" t="n">
        <v>-1.639428607406109</v>
      </c>
      <c r="AH808" s="6" t="n">
        <v>-0.563253377588844</v>
      </c>
      <c r="AI808" s="6" t="n">
        <v>0.4272398120945738</v>
      </c>
      <c r="AJ808" s="6" t="n">
        <v>74.19650356314285</v>
      </c>
      <c r="AK808" s="6" t="n">
        <v>0.05974461622385956</v>
      </c>
      <c r="AL808" s="6" t="n">
        <v>1.048108009047762</v>
      </c>
      <c r="AN808" s="6" t="n">
        <v>1.348483986819447</v>
      </c>
      <c r="AO808" s="6" t="n">
        <v>1.348483986819447</v>
      </c>
      <c r="AP808" s="6" t="n">
        <v>0.1339187257247616</v>
      </c>
      <c r="AQ808" s="6" t="n">
        <v>0</v>
      </c>
      <c r="AR808" s="6" t="n">
        <v>0</v>
      </c>
    </row>
    <row r="809">
      <c r="D809" t="inlineStr">
        <is>
          <t>Run 497</t>
        </is>
      </c>
      <c r="J809" s="6" t="n">
        <v>3.494442024512589</v>
      </c>
      <c r="K809" s="6" t="n">
        <v>-0.02182425572664425</v>
      </c>
      <c r="L809" s="6" t="n">
        <v>-4.883001987399244</v>
      </c>
      <c r="M809" s="6" t="n">
        <v>0.7415049898587385</v>
      </c>
      <c r="N809" s="6" t="n">
        <v>-0.04399924926659888</v>
      </c>
      <c r="O809" s="6" t="n">
        <v>3.876672535813137</v>
      </c>
      <c r="P809" s="6" t="n">
        <v>-0.04673325369545468</v>
      </c>
      <c r="Q809" s="6" t="n">
        <v>-4.238585167775349</v>
      </c>
      <c r="R809" s="6" t="n">
        <v>2.259994225880253</v>
      </c>
      <c r="S809" s="6" t="n">
        <v>0.9770632548788386</v>
      </c>
      <c r="T809" s="6" t="n">
        <v>-2.343628904967635</v>
      </c>
      <c r="U809" s="6" t="n">
        <v>-0.0435005672328099</v>
      </c>
      <c r="V809" s="6" t="n">
        <v>-2.711510851321639</v>
      </c>
      <c r="W809" s="6" t="n">
        <v>2.257313331635996</v>
      </c>
      <c r="X809" s="6" t="n">
        <v>-2.160313489951425</v>
      </c>
      <c r="Y809" s="6" t="n">
        <v>0.3616727297740862</v>
      </c>
      <c r="Z809" s="6" t="n">
        <v>0.2375411694711348</v>
      </c>
      <c r="AA809" s="6" t="n">
        <v>1.490659660656585</v>
      </c>
      <c r="AB809" s="6" t="n">
        <v>3.110914983165133</v>
      </c>
      <c r="AC809" s="6" t="n">
        <v>0.416769416656649</v>
      </c>
      <c r="AD809" s="6" t="n">
        <v>2.046049741940619</v>
      </c>
      <c r="AE809" s="6" t="n">
        <v>-1.495590133589354</v>
      </c>
      <c r="AF809" s="6" t="n">
        <v>-3.231289259701666</v>
      </c>
      <c r="AG809" s="6" t="n">
        <v>1.652476658403728</v>
      </c>
      <c r="AH809" s="6" t="n">
        <v>-1.500919735022475</v>
      </c>
      <c r="AI809" s="6" t="n">
        <v>-1.171918317069303</v>
      </c>
      <c r="AJ809" s="6" t="n">
        <v>81.42303441766367</v>
      </c>
      <c r="AK809" s="6" t="n">
        <v>0.1238587197760937</v>
      </c>
      <c r="AL809" s="6" t="n">
        <v>1.038898694507814</v>
      </c>
      <c r="AN809" s="6" t="n">
        <v>1.347126617913713</v>
      </c>
      <c r="AO809" s="6" t="n">
        <v>1.34915377812541</v>
      </c>
      <c r="AP809" s="6" t="n">
        <v>0.1337454954734662</v>
      </c>
      <c r="AQ809" s="6" t="n">
        <v>0</v>
      </c>
      <c r="AR809" s="6" t="n">
        <v>0</v>
      </c>
    </row>
    <row r="810">
      <c r="D810" t="inlineStr">
        <is>
          <t>Run 498</t>
        </is>
      </c>
      <c r="J810" s="6" t="n">
        <v>-3.325753689793671</v>
      </c>
      <c r="K810" s="6" t="n">
        <v>-1.19123347644685</v>
      </c>
      <c r="L810" s="6" t="n">
        <v>4.303039070750641</v>
      </c>
      <c r="M810" s="6" t="n">
        <v>1.933190255766634</v>
      </c>
      <c r="N810" s="6" t="n">
        <v>0.1089780594152656</v>
      </c>
      <c r="O810" s="6" t="n">
        <v>-2.601137385964513</v>
      </c>
      <c r="P810" s="6" t="n">
        <v>0.2469582814665783</v>
      </c>
      <c r="Q810" s="6" t="n">
        <v>-2.329684395993318</v>
      </c>
      <c r="R810" s="6" t="n">
        <v>0.08711602038419074</v>
      </c>
      <c r="S810" s="6" t="n">
        <v>0.1314045088084801</v>
      </c>
      <c r="T810" s="6" t="n">
        <v>0.5856941049855268</v>
      </c>
      <c r="U810" s="6" t="n">
        <v>-1.382526113003665</v>
      </c>
      <c r="V810" s="6" t="n">
        <v>0.3742046377239145</v>
      </c>
      <c r="W810" s="6" t="n">
        <v>-2.752587057763029</v>
      </c>
      <c r="X810" s="6" t="n">
        <v>-1.688749380853622</v>
      </c>
      <c r="Y810" s="6" t="n">
        <v>-0.3056363132588895</v>
      </c>
      <c r="Z810" s="6" t="n">
        <v>-4.918108388571187</v>
      </c>
      <c r="AA810" s="6" t="n">
        <v>0.03970980416145448</v>
      </c>
      <c r="AB810" s="6" t="n">
        <v>-2.582620512474635</v>
      </c>
      <c r="AC810" s="6" t="n">
        <v>-4.334383998045473</v>
      </c>
      <c r="AD810" s="6" t="n">
        <v>-1.621968832421063</v>
      </c>
      <c r="AE810" s="6" t="n">
        <v>-1.054729271679976</v>
      </c>
      <c r="AF810" s="6" t="n">
        <v>-3.738631977270116</v>
      </c>
      <c r="AG810" s="6" t="n">
        <v>-0.3697377087754368</v>
      </c>
      <c r="AH810" s="6" t="n">
        <v>0.5991184813869588</v>
      </c>
      <c r="AI810" s="6" t="n">
        <v>-0.002253529597885386</v>
      </c>
      <c r="AJ810" s="6" t="n">
        <v>73.67776110435602</v>
      </c>
      <c r="AK810" s="6" t="n">
        <v>0.163997172847734</v>
      </c>
      <c r="AL810" s="6" t="n">
        <v>1.079942334417307</v>
      </c>
      <c r="AN810" s="6" t="n">
        <v>1.334000261930863</v>
      </c>
      <c r="AO810" s="6" t="n">
        <v>1.334591812771126</v>
      </c>
      <c r="AP810" s="6" t="n">
        <v>0.1291347462354925</v>
      </c>
      <c r="AQ810" s="6" t="n">
        <v>0</v>
      </c>
      <c r="AR810" s="6" t="n">
        <v>0</v>
      </c>
    </row>
    <row r="811">
      <c r="D811" t="inlineStr">
        <is>
          <t>Run 499</t>
        </is>
      </c>
      <c r="J811" s="6" t="n">
        <v>-0.5903798153430241</v>
      </c>
      <c r="K811" s="6" t="n">
        <v>-3.285055540461891</v>
      </c>
      <c r="L811" s="6" t="n">
        <v>-0.7936412507107311</v>
      </c>
      <c r="M811" s="6" t="n">
        <v>-2.412808498728479</v>
      </c>
      <c r="N811" s="6" t="n">
        <v>0.6574099495769548</v>
      </c>
      <c r="O811" s="6" t="n">
        <v>2.626247021012499</v>
      </c>
      <c r="P811" s="6" t="n">
        <v>0.426251134628927</v>
      </c>
      <c r="Q811" s="6" t="n">
        <v>0.06390100621947652</v>
      </c>
      <c r="R811" s="6" t="n">
        <v>3.593362034028174</v>
      </c>
      <c r="S811" s="6" t="n">
        <v>-1.133896491240986</v>
      </c>
      <c r="T811" s="6" t="n">
        <v>0.4090287210961058</v>
      </c>
      <c r="U811" s="6" t="n">
        <v>2.030185712322329</v>
      </c>
      <c r="V811" s="6" t="n">
        <v>0.7777087505705095</v>
      </c>
      <c r="W811" s="6" t="n">
        <v>1.168971428833647</v>
      </c>
      <c r="X811" s="6" t="n">
        <v>-0.4694557405154401</v>
      </c>
      <c r="Y811" s="6" t="n">
        <v>0.5284111927423907</v>
      </c>
      <c r="Z811" s="6" t="n">
        <v>-0.7177486680736749</v>
      </c>
      <c r="AA811" s="6" t="n">
        <v>1.568678732050651</v>
      </c>
      <c r="AB811" s="6" t="n">
        <v>0.118675216797157</v>
      </c>
      <c r="AC811" s="6" t="n">
        <v>-3.614292851286052</v>
      </c>
      <c r="AD811" s="6" t="n">
        <v>-0.5590816097288301</v>
      </c>
      <c r="AE811" s="6" t="n">
        <v>0.3676251685992512</v>
      </c>
      <c r="AF811" s="6" t="n">
        <v>-1.518794762438981</v>
      </c>
      <c r="AG811" s="6" t="n">
        <v>-2.321231000136275</v>
      </c>
      <c r="AH811" s="6" t="n">
        <v>-2.131944725354412</v>
      </c>
      <c r="AI811" s="6" t="n">
        <v>-1.803126025398549</v>
      </c>
      <c r="AJ811" s="6" t="n">
        <v>72.52766998191569</v>
      </c>
      <c r="AK811" s="6" t="n">
        <v>0.0924430761724378</v>
      </c>
      <c r="AL811" s="6" t="n">
        <v>1.012514514187931</v>
      </c>
      <c r="AN811" s="6" t="n">
        <v>1.340207823342341</v>
      </c>
      <c r="AO811" s="6" t="n">
        <v>1.349526301580214</v>
      </c>
      <c r="AP811" s="6" t="n">
        <v>0.1371316389892114</v>
      </c>
      <c r="AQ811" s="6" t="n">
        <v>0</v>
      </c>
      <c r="AR811" s="6" t="n">
        <v>0</v>
      </c>
    </row>
    <row r="812">
      <c r="D812" t="inlineStr">
        <is>
          <t>Run 500</t>
        </is>
      </c>
      <c r="J812" s="6" t="n">
        <v>4.591810361923894</v>
      </c>
      <c r="K812" s="6" t="n">
        <v>-0.5362974491991012</v>
      </c>
      <c r="L812" s="6" t="n">
        <v>-2.465067608643358</v>
      </c>
      <c r="M812" s="6" t="n">
        <v>1.524530372625699</v>
      </c>
      <c r="N812" s="6" t="n">
        <v>-0.5005839588219593</v>
      </c>
      <c r="O812" s="6" t="n">
        <v>0.7127905998690631</v>
      </c>
      <c r="P812" s="6" t="n">
        <v>-0.1760978353135292</v>
      </c>
      <c r="Q812" s="6" t="n">
        <v>0.9472115645032875</v>
      </c>
      <c r="R812" s="6" t="n">
        <v>0.3475477941271046</v>
      </c>
      <c r="S812" s="6" t="n">
        <v>-1.613890854127244</v>
      </c>
      <c r="T812" s="6" t="n">
        <v>-2.369050274488402</v>
      </c>
      <c r="U812" s="6" t="n">
        <v>-1.205336809257214</v>
      </c>
      <c r="V812" s="6" t="n">
        <v>0.613353768546829</v>
      </c>
      <c r="W812" s="6" t="n">
        <v>0.8743875438979056</v>
      </c>
      <c r="X812" s="6" t="n">
        <v>3.099191637292556</v>
      </c>
      <c r="Y812" s="6" t="n">
        <v>-1.165536878852036</v>
      </c>
      <c r="Z812" s="6" t="n">
        <v>2.65855802589743</v>
      </c>
      <c r="AA812" s="6" t="n">
        <v>-0.8145500691082265</v>
      </c>
      <c r="AB812" s="6" t="n">
        <v>-3.222502613682949</v>
      </c>
      <c r="AC812" s="6" t="n">
        <v>-2.575051270871642</v>
      </c>
      <c r="AD812" s="6" t="n">
        <v>1.960514488405854</v>
      </c>
      <c r="AE812" s="6" t="n">
        <v>2.205712950922268</v>
      </c>
      <c r="AF812" s="6" t="n">
        <v>-1.99184624292929</v>
      </c>
      <c r="AG812" s="6" t="n">
        <v>-1.30577671283509</v>
      </c>
      <c r="AH812" s="6" t="n">
        <v>1.830598843568624</v>
      </c>
      <c r="AI812" s="6" t="n">
        <v>0.1527760191781075</v>
      </c>
      <c r="AJ812" s="6" t="n">
        <v>66.70772157461235</v>
      </c>
      <c r="AK812" s="6" t="n">
        <v>0.1060056083789094</v>
      </c>
      <c r="AL812" s="6" t="n">
        <v>1.105037518347265</v>
      </c>
      <c r="AN812" s="6" t="n">
        <v>1.327417586792394</v>
      </c>
      <c r="AO812" s="6" t="n">
        <v>1.327575732044553</v>
      </c>
      <c r="AP812" s="6" t="n">
        <v>0.1292577485390904</v>
      </c>
      <c r="AQ812" s="6" t="n">
        <v>0</v>
      </c>
      <c r="AR812" s="6" t="n">
        <v>0</v>
      </c>
    </row>
    <row r="813">
      <c r="D813" t="inlineStr">
        <is>
          <t>Run 501</t>
        </is>
      </c>
      <c r="J813" s="6" t="n">
        <v>0.2639781675456956</v>
      </c>
      <c r="K813" s="6" t="n">
        <v>-2.931714212828877</v>
      </c>
      <c r="L813" s="6" t="n">
        <v>-2.586834260397061</v>
      </c>
      <c r="M813" s="6" t="n">
        <v>-2.987590261313248</v>
      </c>
      <c r="N813" s="6" t="n">
        <v>1.533680283032649</v>
      </c>
      <c r="O813" s="6" t="n">
        <v>-2.951643182814236</v>
      </c>
      <c r="P813" s="6" t="n">
        <v>-1.547036479588679</v>
      </c>
      <c r="Q813" s="6" t="n">
        <v>-5.293586999196457</v>
      </c>
      <c r="R813" s="6" t="n">
        <v>0.311197523601845</v>
      </c>
      <c r="S813" s="6" t="n">
        <v>-1.998823187459133</v>
      </c>
      <c r="T813" s="6" t="n">
        <v>-0.5609033100469326</v>
      </c>
      <c r="U813" s="6" t="n">
        <v>-1.298587134009988</v>
      </c>
      <c r="V813" s="6" t="n">
        <v>2.673693905058633</v>
      </c>
      <c r="W813" s="6" t="n">
        <v>-0.7051994236805598</v>
      </c>
      <c r="X813" s="6" t="n">
        <v>2.387047910553274</v>
      </c>
      <c r="Y813" s="6" t="n">
        <v>-2.829167792795609</v>
      </c>
      <c r="Z813" s="6" t="n">
        <v>-0.05524194317642851</v>
      </c>
      <c r="AA813" s="6" t="n">
        <v>4.082778228662924</v>
      </c>
      <c r="AB813" s="6" t="n">
        <v>1.451899923973891</v>
      </c>
      <c r="AC813" s="6" t="n">
        <v>0.4034719703740035</v>
      </c>
      <c r="AD813" s="6" t="n">
        <v>-1.184610177879656</v>
      </c>
      <c r="AE813" s="6" t="n">
        <v>-1.593081381320032</v>
      </c>
      <c r="AF813" s="6" t="n">
        <v>-0.2877300821598878</v>
      </c>
      <c r="AG813" s="6" t="n">
        <v>-0.5080516636364537</v>
      </c>
      <c r="AH813" s="6" t="n">
        <v>-1.306494365578738</v>
      </c>
      <c r="AI813" s="6" t="n">
        <v>-1.60274552823923</v>
      </c>
      <c r="AJ813" s="6" t="n">
        <v>77.27692873377411</v>
      </c>
      <c r="AK813" s="6" t="n">
        <v>0.133359005653959</v>
      </c>
      <c r="AL813" s="6" t="n">
        <v>1.097618706203045</v>
      </c>
      <c r="AN813" s="6" t="n">
        <v>1.305881376364662</v>
      </c>
      <c r="AO813" s="6" t="n">
        <v>1.316263995507519</v>
      </c>
      <c r="AP813" s="6" t="n">
        <v>0.1283828728405746</v>
      </c>
      <c r="AQ813" s="6" t="n">
        <v>0</v>
      </c>
      <c r="AR813" s="6" t="n">
        <v>0</v>
      </c>
    </row>
    <row r="814">
      <c r="D814" t="inlineStr">
        <is>
          <t>Run 502</t>
        </is>
      </c>
      <c r="J814" s="6" t="n">
        <v>-1.376587857417956</v>
      </c>
      <c r="K814" s="6" t="n">
        <v>-1.45567000844928</v>
      </c>
      <c r="L814" s="6" t="n">
        <v>-2.257659395593598</v>
      </c>
      <c r="M814" s="6" t="n">
        <v>-2.922928667730689</v>
      </c>
      <c r="N814" s="6" t="n">
        <v>-0.1128559808187616</v>
      </c>
      <c r="O814" s="6" t="n">
        <v>-2.489695717364432</v>
      </c>
      <c r="P814" s="6" t="n">
        <v>-0.5036030734332161</v>
      </c>
      <c r="Q814" s="6" t="n">
        <v>0.02682416946244682</v>
      </c>
      <c r="R814" s="6" t="n">
        <v>-3.938318617656364</v>
      </c>
      <c r="S814" s="6" t="n">
        <v>0.09850124389310488</v>
      </c>
      <c r="T814" s="6" t="n">
        <v>-0.9951512987361473</v>
      </c>
      <c r="U814" s="6" t="n">
        <v>-3.026162681591099</v>
      </c>
      <c r="V814" s="6" t="n">
        <v>-0.83761284684936</v>
      </c>
      <c r="W814" s="6" t="n">
        <v>0.4572508656964367</v>
      </c>
      <c r="X814" s="6" t="n">
        <v>-1.324847428148285</v>
      </c>
      <c r="Y814" s="6" t="n">
        <v>-2.204343509188923</v>
      </c>
      <c r="Z814" s="6" t="n">
        <v>0.5825450039973673</v>
      </c>
      <c r="AA814" s="6" t="n">
        <v>-1.243699145779288</v>
      </c>
      <c r="AB814" s="6" t="n">
        <v>-1.931220210638732</v>
      </c>
      <c r="AC814" s="6" t="n">
        <v>0.2508443921377096</v>
      </c>
      <c r="AD814" s="6" t="n">
        <v>0.04045535139172863</v>
      </c>
      <c r="AE814" s="6" t="n">
        <v>-3.590155397926786</v>
      </c>
      <c r="AF814" s="6" t="n">
        <v>-1.057339549014708</v>
      </c>
      <c r="AG814" s="6" t="n">
        <v>1.171152736746337</v>
      </c>
      <c r="AH814" s="6" t="n">
        <v>0.8279122200080852</v>
      </c>
      <c r="AI814" s="6" t="n">
        <v>-0.7945533662127242</v>
      </c>
      <c r="AJ814" s="6" t="n">
        <v>81.87674481029343</v>
      </c>
      <c r="AK814" s="6" t="n">
        <v>0.1421403732186797</v>
      </c>
      <c r="AL814" s="6" t="n">
        <v>1.086310969890806</v>
      </c>
      <c r="AN814" s="6" t="n">
        <v>1.310037288026052</v>
      </c>
      <c r="AO814" s="6" t="n">
        <v>1.318418503995916</v>
      </c>
      <c r="AP814" s="6" t="n">
        <v>0.1295132833253692</v>
      </c>
      <c r="AQ814" s="6" t="n">
        <v>0</v>
      </c>
      <c r="AR814" s="6" t="n">
        <v>0</v>
      </c>
    </row>
    <row r="815">
      <c r="D815" t="inlineStr">
        <is>
          <t>Run 503</t>
        </is>
      </c>
      <c r="J815" s="6" t="n">
        <v>-2.440724916910625</v>
      </c>
      <c r="K815" s="6" t="n">
        <v>0.8234202843556615</v>
      </c>
      <c r="L815" s="6" t="n">
        <v>1.25928841555679</v>
      </c>
      <c r="M815" s="6" t="n">
        <v>0.3384480410428831</v>
      </c>
      <c r="N815" s="6" t="n">
        <v>-2.674203009728489</v>
      </c>
      <c r="O815" s="6" t="n">
        <v>-0.3287279150239708</v>
      </c>
      <c r="P815" s="6" t="n">
        <v>-0.5638061087947951</v>
      </c>
      <c r="Q815" s="6" t="n">
        <v>-1.903121126991531</v>
      </c>
      <c r="R815" s="6" t="n">
        <v>3.211699527450032</v>
      </c>
      <c r="S815" s="6" t="n">
        <v>-0.1209665520253642</v>
      </c>
      <c r="T815" s="6" t="n">
        <v>-1.952168191245716</v>
      </c>
      <c r="U815" s="6" t="n">
        <v>1.701960981031901</v>
      </c>
      <c r="V815" s="6" t="n">
        <v>2.222833975883747</v>
      </c>
      <c r="W815" s="6" t="n">
        <v>2.445226301505296</v>
      </c>
      <c r="X815" s="6" t="n">
        <v>-1.757360383355466</v>
      </c>
      <c r="Y815" s="6" t="n">
        <v>4.117480213809297</v>
      </c>
      <c r="Z815" s="6" t="n">
        <v>-1.232861381285184</v>
      </c>
      <c r="AA815" s="6" t="n">
        <v>-0.1833390521171245</v>
      </c>
      <c r="AB815" s="6" t="n">
        <v>-0.6350173632079333</v>
      </c>
      <c r="AC815" s="6" t="n">
        <v>1.647951351254417</v>
      </c>
      <c r="AD815" s="6" t="n">
        <v>0.1734832289670342</v>
      </c>
      <c r="AE815" s="6" t="n">
        <v>-3.098573585856459</v>
      </c>
      <c r="AF815" s="6" t="n">
        <v>-0.799810417008683</v>
      </c>
      <c r="AG815" s="6" t="n">
        <v>-3.387600315979648</v>
      </c>
      <c r="AH815" s="6" t="n">
        <v>-1.043280214734169</v>
      </c>
      <c r="AI815" s="6" t="n">
        <v>0.5406045562796467</v>
      </c>
      <c r="AJ815" s="6" t="n">
        <v>61.72163209577339</v>
      </c>
      <c r="AK815" s="6" t="n">
        <v>0.08724617130782775</v>
      </c>
      <c r="AL815" s="6" t="n">
        <v>1.080490106933429</v>
      </c>
      <c r="AN815" s="6" t="n">
        <v>1.336051898158622</v>
      </c>
      <c r="AO815" s="6" t="n">
        <v>1.336222246544811</v>
      </c>
      <c r="AP815" s="6" t="n">
        <v>0.1303869878547745</v>
      </c>
      <c r="AQ815" s="6" t="n">
        <v>0</v>
      </c>
      <c r="AR815" s="6" t="n">
        <v>0</v>
      </c>
    </row>
    <row r="816">
      <c r="D816" t="inlineStr">
        <is>
          <t>Run 504</t>
        </is>
      </c>
      <c r="J816" s="6" t="n">
        <v>1.05881218468484</v>
      </c>
      <c r="K816" s="6" t="n">
        <v>1.633562613851467</v>
      </c>
      <c r="L816" s="6" t="n">
        <v>3.859453418070613</v>
      </c>
      <c r="M816" s="6" t="n">
        <v>1.101299844535697</v>
      </c>
      <c r="N816" s="6" t="n">
        <v>1.806675131022129</v>
      </c>
      <c r="O816" s="6" t="n">
        <v>-0.05276125057685325</v>
      </c>
      <c r="P816" s="6" t="n">
        <v>1.389447701830431</v>
      </c>
      <c r="Q816" s="6" t="n">
        <v>-0.3233902837267387</v>
      </c>
      <c r="R816" s="6" t="n">
        <v>0.920358235556215</v>
      </c>
      <c r="S816" s="6" t="n">
        <v>0.862144866913453</v>
      </c>
      <c r="T816" s="6" t="n">
        <v>0.1757044987161412</v>
      </c>
      <c r="U816" s="6" t="n">
        <v>0.588429130705409</v>
      </c>
      <c r="V816" s="6" t="n">
        <v>-0.4007563956919254</v>
      </c>
      <c r="W816" s="6" t="n">
        <v>-0.1332197421043244</v>
      </c>
      <c r="X816" s="6" t="n">
        <v>1.216173881560958</v>
      </c>
      <c r="Y816" s="6" t="n">
        <v>-1.385550266145215</v>
      </c>
      <c r="Z816" s="6" t="n">
        <v>-1.470067258238965</v>
      </c>
      <c r="AA816" s="6" t="n">
        <v>-0.6324632176583612</v>
      </c>
      <c r="AB816" s="6" t="n">
        <v>-1.481672560637468</v>
      </c>
      <c r="AC816" s="6" t="n">
        <v>-1.328083065553294</v>
      </c>
      <c r="AD816" s="6" t="n">
        <v>0.4775562134086732</v>
      </c>
      <c r="AE816" s="6" t="n">
        <v>-2.992124097239132</v>
      </c>
      <c r="AF816" s="6" t="n">
        <v>4.097121849622041</v>
      </c>
      <c r="AG816" s="6" t="n">
        <v>-1.289072399570669</v>
      </c>
      <c r="AH816" s="6" t="n">
        <v>0.3643526335178156</v>
      </c>
      <c r="AI816" s="6" t="n">
        <v>-0.3878033549946509</v>
      </c>
      <c r="AJ816" s="6" t="n">
        <v>77.10985894595687</v>
      </c>
      <c r="AK816" s="6" t="n">
        <v>0.1966638240774664</v>
      </c>
      <c r="AL816" s="6" t="n">
        <v>1.04163302577947</v>
      </c>
      <c r="AN816" s="6" t="n">
        <v>1.344542792936473</v>
      </c>
      <c r="AO816" s="6" t="n">
        <v>1.345283544801416</v>
      </c>
      <c r="AP816" s="6" t="n">
        <v>0.1314908344192989</v>
      </c>
      <c r="AQ816" s="6" t="n">
        <v>0</v>
      </c>
      <c r="AR816" s="6" t="n">
        <v>0</v>
      </c>
    </row>
    <row r="817">
      <c r="D817" t="inlineStr">
        <is>
          <t>Run 505</t>
        </is>
      </c>
      <c r="J817" s="6" t="n">
        <v>-0.2443241716286841</v>
      </c>
      <c r="K817" s="6" t="n">
        <v>-0.7454035156290207</v>
      </c>
      <c r="L817" s="6" t="n">
        <v>-1.28285395214935</v>
      </c>
      <c r="M817" s="6" t="n">
        <v>-0.1068927200970181</v>
      </c>
      <c r="N817" s="6" t="n">
        <v>0.7838356846399087</v>
      </c>
      <c r="O817" s="6" t="n">
        <v>-1.834830679790181</v>
      </c>
      <c r="P817" s="6" t="n">
        <v>1.678457814570583</v>
      </c>
      <c r="Q817" s="6" t="n">
        <v>4.757805281731527</v>
      </c>
      <c r="R817" s="6" t="n">
        <v>-0.8980831795988964</v>
      </c>
      <c r="S817" s="6" t="n">
        <v>0.8267109087920945</v>
      </c>
      <c r="T817" s="6" t="n">
        <v>0.8169056998859917</v>
      </c>
      <c r="U817" s="6" t="n">
        <v>-0.5615493008805902</v>
      </c>
      <c r="V817" s="6" t="n">
        <v>1.398202980279708</v>
      </c>
      <c r="W817" s="6" t="n">
        <v>-0.841928332835692</v>
      </c>
      <c r="X817" s="6" t="n">
        <v>-0.1083246827139712</v>
      </c>
      <c r="Y817" s="6" t="n">
        <v>-4.212655718686777</v>
      </c>
      <c r="Z817" s="6" t="n">
        <v>0.6966917120562558</v>
      </c>
      <c r="AA817" s="6" t="n">
        <v>-0.1090848248609593</v>
      </c>
      <c r="AB817" s="6" t="n">
        <v>-0.8127312957155103</v>
      </c>
      <c r="AC817" s="6" t="n">
        <v>-1.201897866992213</v>
      </c>
      <c r="AD817" s="6" t="n">
        <v>1.170396393101928</v>
      </c>
      <c r="AE817" s="6" t="n">
        <v>-0.7532006299112537</v>
      </c>
      <c r="AF817" s="6" t="n">
        <v>-0.6805454579987769</v>
      </c>
      <c r="AG817" s="6" t="n">
        <v>4.036079049655428</v>
      </c>
      <c r="AH817" s="6" t="n">
        <v>-1.602021610443164</v>
      </c>
      <c r="AI817" s="6" t="n">
        <v>-1.393891551462185</v>
      </c>
      <c r="AJ817" s="6" t="n">
        <v>74.46693516951683</v>
      </c>
      <c r="AK817" s="6" t="n">
        <v>0.1590168487033485</v>
      </c>
      <c r="AL817" s="6" t="n">
        <v>1.036727908116421</v>
      </c>
      <c r="AN817" s="6" t="n">
        <v>1.350475769107092</v>
      </c>
      <c r="AO817" s="6" t="n">
        <v>1.350874690161383</v>
      </c>
      <c r="AP817" s="6" t="n">
        <v>0.1329530547624607</v>
      </c>
      <c r="AQ817" s="6" t="n">
        <v>0</v>
      </c>
      <c r="AR817" s="6" t="n">
        <v>0</v>
      </c>
    </row>
    <row r="818">
      <c r="D818" t="inlineStr">
        <is>
          <t>Run 506</t>
        </is>
      </c>
      <c r="J818" s="6" t="n">
        <v>-0.005704098862513577</v>
      </c>
      <c r="K818" s="6" t="n">
        <v>-3.380510240166216</v>
      </c>
      <c r="L818" s="6" t="n">
        <v>2.119075988452987</v>
      </c>
      <c r="M818" s="6" t="n">
        <v>-2.336686453552449</v>
      </c>
      <c r="N818" s="6" t="n">
        <v>-0.1851171570963926</v>
      </c>
      <c r="O818" s="6" t="n">
        <v>-1.704551873807518</v>
      </c>
      <c r="P818" s="6" t="n">
        <v>-1.647905782664918</v>
      </c>
      <c r="Q818" s="6" t="n">
        <v>-1.075969442496209</v>
      </c>
      <c r="R818" s="6" t="n">
        <v>0.6132921182425538</v>
      </c>
      <c r="S818" s="6" t="n">
        <v>-1.001768049312791</v>
      </c>
      <c r="T818" s="6" t="n">
        <v>1.640608878217171</v>
      </c>
      <c r="U818" s="6" t="n">
        <v>-1.550613167210058</v>
      </c>
      <c r="V818" s="6" t="n">
        <v>-0.131717746776291</v>
      </c>
      <c r="W818" s="6" t="n">
        <v>-0.8333871473921959</v>
      </c>
      <c r="X818" s="6" t="n">
        <v>4.433512149016059</v>
      </c>
      <c r="Y818" s="6" t="n">
        <v>-1.132585402547315</v>
      </c>
      <c r="Z818" s="6" t="n">
        <v>-2.222535412564249</v>
      </c>
      <c r="AA818" s="6" t="n">
        <v>-1.832369062811214</v>
      </c>
      <c r="AB818" s="6" t="n">
        <v>-0.641728705755804</v>
      </c>
      <c r="AC818" s="6" t="n">
        <v>1.541054507996416</v>
      </c>
      <c r="AD818" s="6" t="n">
        <v>-2.734408526946098</v>
      </c>
      <c r="AE818" s="6" t="n">
        <v>-0.8157006429555511</v>
      </c>
      <c r="AF818" s="6" t="n">
        <v>-3.18255194347452</v>
      </c>
      <c r="AG818" s="6" t="n">
        <v>-0.04211014904582339</v>
      </c>
      <c r="AH818" s="6" t="n">
        <v>1.520543805353074</v>
      </c>
      <c r="AI818" s="6" t="n">
        <v>3.774857312256648</v>
      </c>
      <c r="AJ818" s="6" t="n">
        <v>72.97375331196626</v>
      </c>
      <c r="AK818" s="6" t="n">
        <v>0.07952504644532152</v>
      </c>
      <c r="AL818" s="6" t="n">
        <v>1.032927982092491</v>
      </c>
      <c r="AN818" s="6" t="n">
        <v>1.335122478758341</v>
      </c>
      <c r="AO818" s="6" t="n">
        <v>1.343794652043134</v>
      </c>
      <c r="AP818" s="6" t="n">
        <v>0.1348612495875437</v>
      </c>
      <c r="AQ818" s="6" t="n">
        <v>0</v>
      </c>
      <c r="AR818" s="6" t="n">
        <v>0</v>
      </c>
    </row>
    <row r="819">
      <c r="D819" t="inlineStr">
        <is>
          <t>Run 507</t>
        </is>
      </c>
      <c r="J819" s="6" t="n">
        <v>-0.4902236717744421</v>
      </c>
      <c r="K819" s="6" t="n">
        <v>-0.8436878108283505</v>
      </c>
      <c r="L819" s="6" t="n">
        <v>2.469313899100989</v>
      </c>
      <c r="M819" s="6" t="n">
        <v>-2.418480908437269</v>
      </c>
      <c r="N819" s="6" t="n">
        <v>3.444524805886263</v>
      </c>
      <c r="O819" s="6" t="n">
        <v>-1.733732052829115</v>
      </c>
      <c r="P819" s="6" t="n">
        <v>1.542891802917433</v>
      </c>
      <c r="Q819" s="6" t="n">
        <v>-3.240748479838465</v>
      </c>
      <c r="R819" s="6" t="n">
        <v>1.545653892770983</v>
      </c>
      <c r="S819" s="6" t="n">
        <v>-2.241067172131643</v>
      </c>
      <c r="T819" s="6" t="n">
        <v>-0.4051370017407287</v>
      </c>
      <c r="U819" s="6" t="n">
        <v>-1.404155940932083</v>
      </c>
      <c r="V819" s="6" t="n">
        <v>-3.147561826598889</v>
      </c>
      <c r="W819" s="6" t="n">
        <v>3.303625452347475</v>
      </c>
      <c r="X819" s="6" t="n">
        <v>0.07094196415521618</v>
      </c>
      <c r="Y819" s="6" t="n">
        <v>-0.4963878956181087</v>
      </c>
      <c r="Z819" s="6" t="n">
        <v>1.356845694103701</v>
      </c>
      <c r="AA819" s="6" t="n">
        <v>0.5838533768240307</v>
      </c>
      <c r="AB819" s="6" t="n">
        <v>-2.611615651743256</v>
      </c>
      <c r="AC819" s="6" t="n">
        <v>-0.5749900354815515</v>
      </c>
      <c r="AD819" s="6" t="n">
        <v>-2.001167032177685</v>
      </c>
      <c r="AE819" s="6" t="n">
        <v>1.474975589821375</v>
      </c>
      <c r="AF819" s="6" t="n">
        <v>-2.254265078111767</v>
      </c>
      <c r="AG819" s="6" t="n">
        <v>-2.512469110456091</v>
      </c>
      <c r="AH819" s="6" t="n">
        <v>-0.7443188842635704</v>
      </c>
      <c r="AI819" s="6" t="n">
        <v>-1.323218886561777</v>
      </c>
      <c r="AJ819" s="6" t="n">
        <v>69.08980010960165</v>
      </c>
      <c r="AK819" s="6" t="n">
        <v>0.06451768619575872</v>
      </c>
      <c r="AL819" s="6" t="n">
        <v>1.038863290641939</v>
      </c>
      <c r="AN819" s="6" t="n">
        <v>1.331014945482038</v>
      </c>
      <c r="AO819" s="6" t="n">
        <v>1.339221354248249</v>
      </c>
      <c r="AP819" s="6" t="n">
        <v>0.1339592458675594</v>
      </c>
      <c r="AQ819" s="6" t="n">
        <v>0</v>
      </c>
      <c r="AR819" s="6" t="n">
        <v>0</v>
      </c>
    </row>
    <row r="820">
      <c r="D820" t="inlineStr">
        <is>
          <t>Run 508</t>
        </is>
      </c>
      <c r="J820" s="6" t="n">
        <v>2.483647935298159</v>
      </c>
      <c r="K820" s="6" t="n">
        <v>-0.1818885074138015</v>
      </c>
      <c r="L820" s="6" t="n">
        <v>-2.79662942182106</v>
      </c>
      <c r="M820" s="6" t="n">
        <v>-0.8559065101424876</v>
      </c>
      <c r="N820" s="6" t="n">
        <v>2.036903616013821</v>
      </c>
      <c r="O820" s="6" t="n">
        <v>1.625017092500388</v>
      </c>
      <c r="P820" s="6" t="n">
        <v>1.073521843364759</v>
      </c>
      <c r="Q820" s="6" t="n">
        <v>-1.135910718590205</v>
      </c>
      <c r="R820" s="6" t="n">
        <v>0.3388273783559521</v>
      </c>
      <c r="S820" s="6" t="n">
        <v>-2.281688643777135</v>
      </c>
      <c r="T820" s="6" t="n">
        <v>-1.975091932072968</v>
      </c>
      <c r="U820" s="6" t="n">
        <v>0.6809991683235445</v>
      </c>
      <c r="V820" s="6" t="n">
        <v>1.972508531873668</v>
      </c>
      <c r="W820" s="6" t="n">
        <v>-0.7175614782208241</v>
      </c>
      <c r="X820" s="6" t="n">
        <v>-3.537026496723386</v>
      </c>
      <c r="Y820" s="6" t="n">
        <v>0.06218117278818809</v>
      </c>
      <c r="Z820" s="6" t="n">
        <v>4.368657575698853</v>
      </c>
      <c r="AA820" s="6" t="n">
        <v>0.104901560157772</v>
      </c>
      <c r="AB820" s="6" t="n">
        <v>2.301223184738225</v>
      </c>
      <c r="AC820" s="6" t="n">
        <v>1.154428986322707</v>
      </c>
      <c r="AD820" s="6" t="n">
        <v>-3.113996107695445</v>
      </c>
      <c r="AE820" s="6" t="n">
        <v>-0.5613326957420615</v>
      </c>
      <c r="AF820" s="6" t="n">
        <v>4.504631271741143</v>
      </c>
      <c r="AG820" s="6" t="n">
        <v>0.5720110746247906</v>
      </c>
      <c r="AH820" s="6" t="n">
        <v>0.05726189098179416</v>
      </c>
      <c r="AI820" s="6" t="n">
        <v>-1.529265515787864</v>
      </c>
      <c r="AJ820" s="6" t="n">
        <v>71.68638865990027</v>
      </c>
      <c r="AK820" s="6" t="n">
        <v>0.1874131650707083</v>
      </c>
      <c r="AL820" s="6" t="n">
        <v>1.007633593609002</v>
      </c>
      <c r="AN820" s="6" t="n">
        <v>1.353775496102761</v>
      </c>
      <c r="AO820" s="6" t="n">
        <v>1.354082853836245</v>
      </c>
      <c r="AP820" s="6" t="n">
        <v>0.1358878729982688</v>
      </c>
      <c r="AQ820" s="6" t="n">
        <v>0</v>
      </c>
      <c r="AR820" s="6" t="n">
        <v>0</v>
      </c>
    </row>
    <row r="821">
      <c r="D821" t="inlineStr">
        <is>
          <t>Run 509</t>
        </is>
      </c>
      <c r="J821" s="6" t="n">
        <v>-0.4511138043744156</v>
      </c>
      <c r="K821" s="6" t="n">
        <v>2.952915468804435</v>
      </c>
      <c r="L821" s="6" t="n">
        <v>2.006840992976435</v>
      </c>
      <c r="M821" s="6" t="n">
        <v>-1.018328463409174</v>
      </c>
      <c r="N821" s="6" t="n">
        <v>0.360916857642223</v>
      </c>
      <c r="O821" s="6" t="n">
        <v>3.237082350043992</v>
      </c>
      <c r="P821" s="6" t="n">
        <v>4.273033671982275</v>
      </c>
      <c r="Q821" s="6" t="n">
        <v>3.154450085818218</v>
      </c>
      <c r="R821" s="6" t="n">
        <v>2.279146825650193</v>
      </c>
      <c r="S821" s="6" t="n">
        <v>-0.6633110134233697</v>
      </c>
      <c r="T821" s="6" t="n">
        <v>0.8498947254063745</v>
      </c>
      <c r="U821" s="6" t="n">
        <v>1.40255382664971</v>
      </c>
      <c r="V821" s="6" t="n">
        <v>-0.2086138180168609</v>
      </c>
      <c r="W821" s="6" t="n">
        <v>4.191221975665077</v>
      </c>
      <c r="X821" s="6" t="n">
        <v>1.281977694039375</v>
      </c>
      <c r="Y821" s="6" t="n">
        <v>5</v>
      </c>
      <c r="Z821" s="6" t="n">
        <v>0.4621401108816839</v>
      </c>
      <c r="AA821" s="6" t="n">
        <v>-2.212075895780256</v>
      </c>
      <c r="AB821" s="6" t="n">
        <v>-2.93841743340589</v>
      </c>
      <c r="AC821" s="6" t="n">
        <v>1.46733829425502</v>
      </c>
      <c r="AD821" s="6" t="n">
        <v>4.386217367504003</v>
      </c>
      <c r="AE821" s="6" t="n">
        <v>-0.6670228447526261</v>
      </c>
      <c r="AF821" s="6" t="n">
        <v>-3.302241784536894</v>
      </c>
      <c r="AG821" s="6" t="n">
        <v>-2.612121831116693</v>
      </c>
      <c r="AH821" s="6" t="n">
        <v>-0.08073022949317875</v>
      </c>
      <c r="AI821" s="6" t="n">
        <v>1.483073038702571</v>
      </c>
      <c r="AJ821" s="6" t="n">
        <v>57.78417749692618</v>
      </c>
      <c r="AK821" s="6" t="n">
        <v>0.1479641079366561</v>
      </c>
      <c r="AL821" s="6" t="n">
        <v>1.099202513912273</v>
      </c>
      <c r="AN821" s="6" t="n">
        <v>1.320570504913622</v>
      </c>
      <c r="AO821" s="6" t="n">
        <v>1.320759942862545</v>
      </c>
      <c r="AP821" s="6" t="n">
        <v>0.128025415379374</v>
      </c>
      <c r="AQ821" s="6" t="n">
        <v>0</v>
      </c>
      <c r="AR821" s="6" t="n">
        <v>0</v>
      </c>
    </row>
    <row r="822">
      <c r="D822" t="inlineStr">
        <is>
          <t>Run 510</t>
        </is>
      </c>
      <c r="J822" s="6" t="n">
        <v>-2.020625890925988</v>
      </c>
      <c r="K822" s="6" t="n">
        <v>1.987995068836913</v>
      </c>
      <c r="L822" s="6" t="n">
        <v>2.277732464460346</v>
      </c>
      <c r="M822" s="6" t="n">
        <v>0.3025440781503524</v>
      </c>
      <c r="N822" s="6" t="n">
        <v>-4.660817730990958</v>
      </c>
      <c r="O822" s="6" t="n">
        <v>-0.4459121861778088</v>
      </c>
      <c r="P822" s="6" t="n">
        <v>-0.8999152355695746</v>
      </c>
      <c r="Q822" s="6" t="n">
        <v>0.4303172817680939</v>
      </c>
      <c r="R822" s="6" t="n">
        <v>2.560376762599179</v>
      </c>
      <c r="S822" s="6" t="n">
        <v>1.603968377393135</v>
      </c>
      <c r="T822" s="6" t="n">
        <v>1.735350664658639</v>
      </c>
      <c r="U822" s="6" t="n">
        <v>0.1982251420193799</v>
      </c>
      <c r="V822" s="6" t="n">
        <v>0.4872564551593159</v>
      </c>
      <c r="W822" s="6" t="n">
        <v>-0.3927598874352267</v>
      </c>
      <c r="X822" s="6" t="n">
        <v>0.02923798430711934</v>
      </c>
      <c r="Y822" s="6" t="n">
        <v>3.510623534040181</v>
      </c>
      <c r="Z822" s="6" t="n">
        <v>2.349581600946899</v>
      </c>
      <c r="AA822" s="6" t="n">
        <v>-2.488719057976507</v>
      </c>
      <c r="AB822" s="6" t="n">
        <v>-1.759790198804346</v>
      </c>
      <c r="AC822" s="6" t="n">
        <v>-0.7928859426760895</v>
      </c>
      <c r="AD822" s="6" t="n">
        <v>-0.2715072270462047</v>
      </c>
      <c r="AE822" s="6" t="n">
        <v>0.9680737743564256</v>
      </c>
      <c r="AF822" s="6" t="n">
        <v>-2.085648165986285</v>
      </c>
      <c r="AG822" s="6" t="n">
        <v>-3.491097955735822</v>
      </c>
      <c r="AH822" s="6" t="n">
        <v>-2.849137079108785</v>
      </c>
      <c r="AI822" s="6" t="n">
        <v>2.500251605155203</v>
      </c>
      <c r="AJ822" s="6" t="n">
        <v>71.73871274454837</v>
      </c>
      <c r="AK822" s="6" t="n">
        <v>0.21654118207564</v>
      </c>
      <c r="AL822" s="6" t="n">
        <v>1.014353846150603</v>
      </c>
      <c r="AN822" s="6" t="n">
        <v>1.350243316543497</v>
      </c>
      <c r="AO822" s="6" t="n">
        <v>1.351176536583619</v>
      </c>
      <c r="AP822" s="6" t="n">
        <v>0.1342066464735277</v>
      </c>
      <c r="AQ822" s="6" t="n">
        <v>0</v>
      </c>
      <c r="AR822" s="6" t="n">
        <v>0</v>
      </c>
    </row>
    <row r="823">
      <c r="D823" t="inlineStr">
        <is>
          <t>Run 511</t>
        </is>
      </c>
      <c r="J823" s="6" t="n">
        <v>2.306492311539959</v>
      </c>
      <c r="K823" s="6" t="n">
        <v>3.805503434599302</v>
      </c>
      <c r="L823" s="6" t="n">
        <v>4.044545204067686</v>
      </c>
      <c r="M823" s="6" t="n">
        <v>-2.340205121091703</v>
      </c>
      <c r="N823" s="6" t="n">
        <v>-2.602132583790004</v>
      </c>
      <c r="O823" s="6" t="n">
        <v>0.03311812480547693</v>
      </c>
      <c r="P823" s="6" t="n">
        <v>3.326503982316137</v>
      </c>
      <c r="Q823" s="6" t="n">
        <v>-1.184146541452637</v>
      </c>
      <c r="R823" s="6" t="n">
        <v>2.723471431878849</v>
      </c>
      <c r="S823" s="6" t="n">
        <v>0.252517943297442</v>
      </c>
      <c r="T823" s="6" t="n">
        <v>-3.500504240203659</v>
      </c>
      <c r="U823" s="6" t="n">
        <v>0.9775569187623743</v>
      </c>
      <c r="V823" s="6" t="n">
        <v>-0.08768488923816808</v>
      </c>
      <c r="W823" s="6" t="n">
        <v>0.04577897972102767</v>
      </c>
      <c r="X823" s="6" t="n">
        <v>3.168382824699767</v>
      </c>
      <c r="Y823" s="6" t="n">
        <v>-1.004763373136357</v>
      </c>
      <c r="Z823" s="6" t="n">
        <v>-0.02140058118292685</v>
      </c>
      <c r="AA823" s="6" t="n">
        <v>-0.332331202729745</v>
      </c>
      <c r="AB823" s="6" t="n">
        <v>-0.8608682019301352</v>
      </c>
      <c r="AC823" s="6" t="n">
        <v>-1.40007266673457</v>
      </c>
      <c r="AD823" s="6" t="n">
        <v>-2.996124630128947</v>
      </c>
      <c r="AE823" s="6" t="n">
        <v>-0.2626570436243249</v>
      </c>
      <c r="AF823" s="6" t="n">
        <v>-0.9461889264642372</v>
      </c>
      <c r="AG823" s="6" t="n">
        <v>0.5616073169945708</v>
      </c>
      <c r="AH823" s="6" t="n">
        <v>0.181330418290334</v>
      </c>
      <c r="AI823" s="6" t="n">
        <v>0.799181424881879</v>
      </c>
      <c r="AJ823" s="6" t="n">
        <v>77.04032165790828</v>
      </c>
      <c r="AK823" s="6" t="n">
        <v>0.08864646653488874</v>
      </c>
      <c r="AL823" s="6" t="n">
        <v>1.005485730909367</v>
      </c>
      <c r="AN823" s="6" t="n">
        <v>1.347176738778609</v>
      </c>
      <c r="AO823" s="6" t="n">
        <v>1.351706052571869</v>
      </c>
      <c r="AP823" s="6" t="n">
        <v>0.1388699210239115</v>
      </c>
      <c r="AQ823" s="6" t="n">
        <v>0</v>
      </c>
      <c r="AR823" s="6" t="n">
        <v>0</v>
      </c>
    </row>
    <row r="824">
      <c r="D824" t="inlineStr">
        <is>
          <t>Run 512</t>
        </is>
      </c>
      <c r="J824" s="6" t="n">
        <v>-0.648851673957454</v>
      </c>
      <c r="K824" s="6" t="n">
        <v>-3.496579098546834</v>
      </c>
      <c r="L824" s="6" t="n">
        <v>-0.8380262758454304</v>
      </c>
      <c r="M824" s="6" t="n">
        <v>2.513099587003787</v>
      </c>
      <c r="N824" s="6" t="n">
        <v>-3.326338537046122</v>
      </c>
      <c r="O824" s="6" t="n">
        <v>-0.5371877066884114</v>
      </c>
      <c r="P824" s="6" t="n">
        <v>-0.5296857603459048</v>
      </c>
      <c r="Q824" s="6" t="n">
        <v>-4.243702328083907</v>
      </c>
      <c r="R824" s="6" t="n">
        <v>-0.7457287578551619</v>
      </c>
      <c r="S824" s="6" t="n">
        <v>3.509831839216441</v>
      </c>
      <c r="T824" s="6" t="n">
        <v>1.658938725902659</v>
      </c>
      <c r="U824" s="6" t="n">
        <v>1.427906620446617</v>
      </c>
      <c r="V824" s="6" t="n">
        <v>1.223193139981852</v>
      </c>
      <c r="W824" s="6" t="n">
        <v>4.378902595100545</v>
      </c>
      <c r="X824" s="6" t="n">
        <v>-3.552510920586716</v>
      </c>
      <c r="Y824" s="6" t="n">
        <v>1.504542757482942</v>
      </c>
      <c r="Z824" s="6" t="n">
        <v>1.494245114329543</v>
      </c>
      <c r="AA824" s="6" t="n">
        <v>-3.069090086919831</v>
      </c>
      <c r="AB824" s="6" t="n">
        <v>2.528116157372316</v>
      </c>
      <c r="AC824" s="6" t="n">
        <v>2.397359657701057</v>
      </c>
      <c r="AD824" s="6" t="n">
        <v>0.05609975657415481</v>
      </c>
      <c r="AE824" s="6" t="n">
        <v>2.921274232098526</v>
      </c>
      <c r="AF824" s="6" t="n">
        <v>0.2423327067699407</v>
      </c>
      <c r="AG824" s="6" t="n">
        <v>4.089825886386143</v>
      </c>
      <c r="AH824" s="6" t="n">
        <v>-2.269649950786876</v>
      </c>
      <c r="AI824" s="6" t="n">
        <v>-3.464550233347103</v>
      </c>
      <c r="AJ824" s="6" t="n">
        <v>69.59802596937287</v>
      </c>
      <c r="AK824" s="6" t="n">
        <v>0.1148259748273734</v>
      </c>
      <c r="AL824" s="6" t="n">
        <v>1.095897160104931</v>
      </c>
      <c r="AN824" s="6" t="n">
        <v>1.331657813602704</v>
      </c>
      <c r="AO824" s="6" t="n">
        <v>1.332103878414698</v>
      </c>
      <c r="AP824" s="6" t="n">
        <v>0.1290743100222675</v>
      </c>
      <c r="AQ824" s="6" t="n">
        <v>0</v>
      </c>
      <c r="AR824" s="6" t="n">
        <v>0</v>
      </c>
    </row>
    <row r="825">
      <c r="D825" t="inlineStr">
        <is>
          <t>Run 513</t>
        </is>
      </c>
      <c r="J825" s="6" t="n">
        <v>-0.005490421812871199</v>
      </c>
      <c r="K825" s="6" t="n">
        <v>-0.5166861586949303</v>
      </c>
      <c r="L825" s="6" t="n">
        <v>1.700704270550123</v>
      </c>
      <c r="M825" s="6" t="n">
        <v>1.043495984298773</v>
      </c>
      <c r="N825" s="6" t="n">
        <v>-0.5957505531497668</v>
      </c>
      <c r="O825" s="6" t="n">
        <v>-5.214612378946325</v>
      </c>
      <c r="P825" s="6" t="n">
        <v>1.926478347036982</v>
      </c>
      <c r="Q825" s="6" t="n">
        <v>0.9555763714585056</v>
      </c>
      <c r="R825" s="6" t="n">
        <v>0.4101999014825985</v>
      </c>
      <c r="S825" s="6" t="n">
        <v>1.099865911756505</v>
      </c>
      <c r="T825" s="6" t="n">
        <v>-2.988786378987028</v>
      </c>
      <c r="U825" s="6" t="n">
        <v>1.630781393668009</v>
      </c>
      <c r="V825" s="6" t="n">
        <v>-2.364786581486424</v>
      </c>
      <c r="W825" s="6" t="n">
        <v>4.970945375798576</v>
      </c>
      <c r="X825" s="6" t="n">
        <v>-0.4255678347285059</v>
      </c>
      <c r="Y825" s="6" t="n">
        <v>0.7523612015531245</v>
      </c>
      <c r="Z825" s="6" t="n">
        <v>-5.120198334453004</v>
      </c>
      <c r="AA825" s="6" t="n">
        <v>-0.6948492996046352</v>
      </c>
      <c r="AB825" s="6" t="n">
        <v>-0.768262825630038</v>
      </c>
      <c r="AC825" s="6" t="n">
        <v>-1.379930248899827</v>
      </c>
      <c r="AD825" s="6" t="n">
        <v>3.485577357760942</v>
      </c>
      <c r="AE825" s="6" t="n">
        <v>0.8425813462675985</v>
      </c>
      <c r="AF825" s="6" t="n">
        <v>0.325930340031535</v>
      </c>
      <c r="AG825" s="6" t="n">
        <v>-0.2383717989535662</v>
      </c>
      <c r="AH825" s="6" t="n">
        <v>0.01860719220399967</v>
      </c>
      <c r="AI825" s="6" t="n">
        <v>0.3992841009858331</v>
      </c>
      <c r="AJ825" s="6" t="n">
        <v>75.19589945467135</v>
      </c>
      <c r="AK825" s="6" t="n">
        <v>0.07263593264898284</v>
      </c>
      <c r="AL825" s="6" t="n">
        <v>1.095193692518183</v>
      </c>
      <c r="AN825" s="6" t="n">
        <v>1.311099793740104</v>
      </c>
      <c r="AO825" s="6" t="n">
        <v>1.321276135752134</v>
      </c>
      <c r="AP825" s="6" t="n">
        <v>0.1306898167847508</v>
      </c>
      <c r="AQ825" s="6" t="n">
        <v>0</v>
      </c>
      <c r="AR825" s="6" t="n">
        <v>0</v>
      </c>
    </row>
    <row r="826">
      <c r="D826" t="inlineStr">
        <is>
          <t>Run 514</t>
        </is>
      </c>
      <c r="J826" s="6" t="n">
        <v>0.6034258522032174</v>
      </c>
      <c r="K826" s="6" t="n">
        <v>0.7292647744718376</v>
      </c>
      <c r="L826" s="6" t="n">
        <v>-3.025845920359276</v>
      </c>
      <c r="M826" s="6" t="n">
        <v>-2.70633056026106</v>
      </c>
      <c r="N826" s="6" t="n">
        <v>-0.5033532546331625</v>
      </c>
      <c r="O826" s="6" t="n">
        <v>0.6974062655578691</v>
      </c>
      <c r="P826" s="6" t="n">
        <v>-0.9736867883096011</v>
      </c>
      <c r="Q826" s="6" t="n">
        <v>-1.563833647756564</v>
      </c>
      <c r="R826" s="6" t="n">
        <v>-0.8807026977470075</v>
      </c>
      <c r="S826" s="6" t="n">
        <v>0.5331122867573428</v>
      </c>
      <c r="T826" s="6" t="n">
        <v>0.3277897377380413</v>
      </c>
      <c r="U826" s="6" t="n">
        <v>0.5589126302326484</v>
      </c>
      <c r="V826" s="6" t="n">
        <v>-0.8123946206607424</v>
      </c>
      <c r="W826" s="6" t="n">
        <v>-1.40519966039065</v>
      </c>
      <c r="X826" s="6" t="n">
        <v>-0.9204537938745135</v>
      </c>
      <c r="Y826" s="6" t="n">
        <v>0.2805076430719464</v>
      </c>
      <c r="Z826" s="6" t="n">
        <v>2.833367188221651</v>
      </c>
      <c r="AA826" s="6" t="n">
        <v>1.396007792581877</v>
      </c>
      <c r="AB826" s="6" t="n">
        <v>1.191000008226416</v>
      </c>
      <c r="AC826" s="6" t="n">
        <v>-2.064832473664201</v>
      </c>
      <c r="AD826" s="6" t="n">
        <v>1.894081855595017</v>
      </c>
      <c r="AE826" s="6" t="n">
        <v>1.406131251693746</v>
      </c>
      <c r="AF826" s="6" t="n">
        <v>1.706852339867714</v>
      </c>
      <c r="AG826" s="6" t="n">
        <v>-1.287385482843488</v>
      </c>
      <c r="AH826" s="6" t="n">
        <v>-0.3315615161908746</v>
      </c>
      <c r="AI826" s="6" t="n">
        <v>-2.589035455040522</v>
      </c>
      <c r="AJ826" s="6" t="n">
        <v>79.78935327998798</v>
      </c>
      <c r="AK826" s="6" t="n">
        <v>0.1680454184142855</v>
      </c>
      <c r="AL826" s="6" t="n">
        <v>1.008551249532315</v>
      </c>
      <c r="AN826" s="6" t="n">
        <v>1.335288726481682</v>
      </c>
      <c r="AO826" s="6" t="n">
        <v>1.34452093001481</v>
      </c>
      <c r="AP826" s="6" t="n">
        <v>0.1365972111767629</v>
      </c>
      <c r="AQ826" s="6" t="n">
        <v>0</v>
      </c>
      <c r="AR826" s="6" t="n">
        <v>0</v>
      </c>
    </row>
    <row r="827">
      <c r="D827" t="inlineStr">
        <is>
          <t>Run 515</t>
        </is>
      </c>
      <c r="J827" s="6" t="n">
        <v>0.6208176738513312</v>
      </c>
      <c r="K827" s="6" t="n">
        <v>2.536488315196263</v>
      </c>
      <c r="L827" s="6" t="n">
        <v>-1.137063886796804</v>
      </c>
      <c r="M827" s="6" t="n">
        <v>-1.601979429377229</v>
      </c>
      <c r="N827" s="6" t="n">
        <v>-0.4910956819072638</v>
      </c>
      <c r="O827" s="6" t="n">
        <v>0.7118383363044902</v>
      </c>
      <c r="P827" s="6" t="n">
        <v>2.154663849435325</v>
      </c>
      <c r="Q827" s="6" t="n">
        <v>-0.05830343890681301</v>
      </c>
      <c r="R827" s="6" t="n">
        <v>-0.116864376485882</v>
      </c>
      <c r="S827" s="6" t="n">
        <v>1.34370153222741</v>
      </c>
      <c r="T827" s="6" t="n">
        <v>-3.79742277266989</v>
      </c>
      <c r="U827" s="6" t="n">
        <v>-0.2257265585014587</v>
      </c>
      <c r="V827" s="6" t="n">
        <v>-1.584552815225218</v>
      </c>
      <c r="W827" s="6" t="n">
        <v>1.79854000771571</v>
      </c>
      <c r="X827" s="6" t="n">
        <v>0.6060589340910473</v>
      </c>
      <c r="Y827" s="6" t="n">
        <v>-0.06568280446763412</v>
      </c>
      <c r="Z827" s="6" t="n">
        <v>-2.489961002465858</v>
      </c>
      <c r="AA827" s="6" t="n">
        <v>1.877225467490672</v>
      </c>
      <c r="AB827" s="6" t="n">
        <v>-0.7336850486374676</v>
      </c>
      <c r="AC827" s="6" t="n">
        <v>5</v>
      </c>
      <c r="AD827" s="6" t="n">
        <v>-3.472600976466235</v>
      </c>
      <c r="AE827" s="6" t="n">
        <v>-2.387693524254337</v>
      </c>
      <c r="AF827" s="6" t="n">
        <v>-1.651526604161287</v>
      </c>
      <c r="AG827" s="6" t="n">
        <v>-2.341858050307731</v>
      </c>
      <c r="AH827" s="6" t="n">
        <v>-0.08663891890494888</v>
      </c>
      <c r="AI827" s="6" t="n">
        <v>-1.205914386168917</v>
      </c>
      <c r="AJ827" s="6" t="n">
        <v>72.08264620006143</v>
      </c>
      <c r="AK827" s="6" t="n">
        <v>0.1193095167344352</v>
      </c>
      <c r="AL827" s="6" t="n">
        <v>1.07123285558438</v>
      </c>
      <c r="AN827" s="6" t="n">
        <v>1.331568058541042</v>
      </c>
      <c r="AO827" s="6" t="n">
        <v>1.335595144714125</v>
      </c>
      <c r="AP827" s="6" t="n">
        <v>0.130717523754255</v>
      </c>
      <c r="AQ827" s="6" t="n">
        <v>0</v>
      </c>
      <c r="AR827" s="6" t="n">
        <v>0</v>
      </c>
    </row>
    <row r="828">
      <c r="D828" t="inlineStr">
        <is>
          <t>Run 516</t>
        </is>
      </c>
      <c r="J828" s="6" t="n">
        <v>-0.1145238927010156</v>
      </c>
      <c r="K828" s="6" t="n">
        <v>-0.8593824446666396</v>
      </c>
      <c r="L828" s="6" t="n">
        <v>-0.02200814562096095</v>
      </c>
      <c r="M828" s="6" t="n">
        <v>-0.5222317999512737</v>
      </c>
      <c r="N828" s="6" t="n">
        <v>3.353393879293057</v>
      </c>
      <c r="O828" s="6" t="n">
        <v>1.093380083205031</v>
      </c>
      <c r="P828" s="6" t="n">
        <v>-3.221581058662188</v>
      </c>
      <c r="Q828" s="6" t="n">
        <v>3.285628709287925</v>
      </c>
      <c r="R828" s="6" t="n">
        <v>0.3207790792792556</v>
      </c>
      <c r="S828" s="6" t="n">
        <v>-5.765083658543544</v>
      </c>
      <c r="T828" s="6" t="n">
        <v>0.3928515698666843</v>
      </c>
      <c r="U828" s="6" t="n">
        <v>-1.723824994219772</v>
      </c>
      <c r="V828" s="6" t="n">
        <v>1.205131680838626</v>
      </c>
      <c r="W828" s="6" t="n">
        <v>0.7371447517939156</v>
      </c>
      <c r="X828" s="6" t="n">
        <v>3.49042659097682</v>
      </c>
      <c r="Y828" s="6" t="n">
        <v>4.532429694427789</v>
      </c>
      <c r="Z828" s="6" t="n">
        <v>-1.516981875363061</v>
      </c>
      <c r="AA828" s="6" t="n">
        <v>-0.7592235514643033</v>
      </c>
      <c r="AB828" s="6" t="n">
        <v>1.098541601539597</v>
      </c>
      <c r="AC828" s="6" t="n">
        <v>3.623268141485796</v>
      </c>
      <c r="AD828" s="6" t="n">
        <v>-0.1835397823050496</v>
      </c>
      <c r="AE828" s="6" t="n">
        <v>1.038929844369508</v>
      </c>
      <c r="AF828" s="6" t="n">
        <v>-3.672685601234841</v>
      </c>
      <c r="AG828" s="6" t="n">
        <v>5</v>
      </c>
      <c r="AH828" s="6" t="n">
        <v>0.9505919374345733</v>
      </c>
      <c r="AI828" s="6" t="n">
        <v>-1.406062917141812</v>
      </c>
      <c r="AJ828" s="6" t="n">
        <v>77.23694866496631</v>
      </c>
      <c r="AK828" s="6" t="n">
        <v>0.1242433929506438</v>
      </c>
      <c r="AL828" s="6" t="n">
        <v>1.006254565515048</v>
      </c>
      <c r="AN828" s="6" t="n">
        <v>1.357934379292636</v>
      </c>
      <c r="AO828" s="6" t="n">
        <v>1.357934379292636</v>
      </c>
      <c r="AP828" s="6" t="n">
        <v>0.1382336794070538</v>
      </c>
      <c r="AQ828" s="6" t="n">
        <v>0</v>
      </c>
      <c r="AR828" s="6" t="n">
        <v>0</v>
      </c>
    </row>
    <row r="829">
      <c r="D829" t="inlineStr">
        <is>
          <t>Run 517</t>
        </is>
      </c>
      <c r="J829" s="6" t="n">
        <v>-0.4808172144736003</v>
      </c>
      <c r="K829" s="6" t="n">
        <v>-1.292062070814898</v>
      </c>
      <c r="L829" s="6" t="n">
        <v>2.672584729076719</v>
      </c>
      <c r="M829" s="6" t="n">
        <v>1.082556088109159</v>
      </c>
      <c r="N829" s="6" t="n">
        <v>-1.185720959444813</v>
      </c>
      <c r="O829" s="6" t="n">
        <v>0.9873308403980544</v>
      </c>
      <c r="P829" s="6" t="n">
        <v>-1.401994835310093</v>
      </c>
      <c r="Q829" s="6" t="n">
        <v>-3.298806077635722</v>
      </c>
      <c r="R829" s="6" t="n">
        <v>-0.4710638176313219</v>
      </c>
      <c r="S829" s="6" t="n">
        <v>-1.347295659022896</v>
      </c>
      <c r="T829" s="6" t="n">
        <v>3.239853064987475</v>
      </c>
      <c r="U829" s="6" t="n">
        <v>-2.289574157167355</v>
      </c>
      <c r="V829" s="6" t="n">
        <v>-2.462192466092828</v>
      </c>
      <c r="W829" s="6" t="n">
        <v>3.021261417708474</v>
      </c>
      <c r="X829" s="6" t="n">
        <v>0.2334459060813369</v>
      </c>
      <c r="Y829" s="6" t="n">
        <v>3.925178457556835</v>
      </c>
      <c r="Z829" s="6" t="n">
        <v>-1.497174667517092</v>
      </c>
      <c r="AA829" s="6" t="n">
        <v>-1.182498784419993</v>
      </c>
      <c r="AB829" s="6" t="n">
        <v>0.6336286964846123</v>
      </c>
      <c r="AC829" s="6" t="n">
        <v>-0.5054603462686672</v>
      </c>
      <c r="AD829" s="6" t="n">
        <v>-2.003166195077072</v>
      </c>
      <c r="AE829" s="6" t="n">
        <v>3.992936641829324</v>
      </c>
      <c r="AF829" s="6" t="n">
        <v>-3.124186052033421</v>
      </c>
      <c r="AG829" s="6" t="n">
        <v>-3.193423256830371</v>
      </c>
      <c r="AH829" s="6" t="n">
        <v>4.073692809816462</v>
      </c>
      <c r="AI829" s="6" t="n">
        <v>-1.687204760899458</v>
      </c>
      <c r="AJ829" s="6" t="n">
        <v>76.77072505646333</v>
      </c>
      <c r="AK829" s="6" t="n">
        <v>0.1360979591204317</v>
      </c>
      <c r="AL829" s="6" t="n">
        <v>1.038884060616997</v>
      </c>
      <c r="AN829" s="6" t="n">
        <v>1.351073160359836</v>
      </c>
      <c r="AO829" s="6" t="n">
        <v>1.351517358547215</v>
      </c>
      <c r="AP829" s="6" t="n">
        <v>0.1331128663651326</v>
      </c>
      <c r="AQ829" s="6" t="n">
        <v>0</v>
      </c>
      <c r="AR829" s="6" t="n">
        <v>0</v>
      </c>
    </row>
    <row r="830">
      <c r="D830" t="inlineStr">
        <is>
          <t>Run 518</t>
        </is>
      </c>
      <c r="J830" s="6" t="n">
        <v>-2.158702765399918</v>
      </c>
      <c r="K830" s="6" t="n">
        <v>1.246424366731195</v>
      </c>
      <c r="L830" s="6" t="n">
        <v>0.3952640707921714</v>
      </c>
      <c r="M830" s="6" t="n">
        <v>-2.386491595450162</v>
      </c>
      <c r="N830" s="6" t="n">
        <v>0.005285602844225403</v>
      </c>
      <c r="O830" s="6" t="n">
        <v>-0.09731788075180334</v>
      </c>
      <c r="P830" s="6" t="n">
        <v>0.940603185943851</v>
      </c>
      <c r="Q830" s="6" t="n">
        <v>-0.9096569185322729</v>
      </c>
      <c r="R830" s="6" t="n">
        <v>2.538637235303421</v>
      </c>
      <c r="S830" s="6" t="n">
        <v>1.594663688916009</v>
      </c>
      <c r="T830" s="6" t="n">
        <v>-0.3549862180190015</v>
      </c>
      <c r="U830" s="6" t="n">
        <v>1.608512824575638</v>
      </c>
      <c r="V830" s="6" t="n">
        <v>0.4703685961326291</v>
      </c>
      <c r="W830" s="6" t="n">
        <v>1.046394164867251</v>
      </c>
      <c r="X830" s="6" t="n">
        <v>-2.143625302875675</v>
      </c>
      <c r="Y830" s="6" t="n">
        <v>-0.07940082705852181</v>
      </c>
      <c r="Z830" s="6" t="n">
        <v>1.910870985622018</v>
      </c>
      <c r="AA830" s="6" t="n">
        <v>2.665733586706229</v>
      </c>
      <c r="AB830" s="6" t="n">
        <v>0.7816724589216122</v>
      </c>
      <c r="AC830" s="6" t="n">
        <v>0.8933709828089816</v>
      </c>
      <c r="AD830" s="6" t="n">
        <v>2.161465952885005</v>
      </c>
      <c r="AE830" s="6" t="n">
        <v>-1.609182118630196</v>
      </c>
      <c r="AF830" s="6" t="n">
        <v>0.8123448468941992</v>
      </c>
      <c r="AG830" s="6" t="n">
        <v>-0.3187337013308091</v>
      </c>
      <c r="AH830" s="6" t="n">
        <v>-0.6951229413210002</v>
      </c>
      <c r="AI830" s="6" t="n">
        <v>-1.067742666211381</v>
      </c>
      <c r="AJ830" s="6" t="n">
        <v>70.97065440207219</v>
      </c>
      <c r="AK830" s="6" t="n">
        <v>0.1503262983847543</v>
      </c>
      <c r="AL830" s="6" t="n">
        <v>1.084501708756535</v>
      </c>
      <c r="AN830" s="6" t="n">
        <v>1.314735887128072</v>
      </c>
      <c r="AO830" s="6" t="n">
        <v>1.322452228607273</v>
      </c>
      <c r="AP830" s="6" t="n">
        <v>0.1290052987633378</v>
      </c>
      <c r="AQ830" s="6" t="n">
        <v>0</v>
      </c>
      <c r="AR830" s="6" t="n">
        <v>0</v>
      </c>
    </row>
    <row r="831">
      <c r="D831" t="inlineStr">
        <is>
          <t>Run 519</t>
        </is>
      </c>
      <c r="J831" s="6" t="n">
        <v>-0.8804872290935929</v>
      </c>
      <c r="K831" s="6" t="n">
        <v>0.2350855958207908</v>
      </c>
      <c r="L831" s="6" t="n">
        <v>1.305155964250428</v>
      </c>
      <c r="M831" s="6" t="n">
        <v>-0.5840708712399312</v>
      </c>
      <c r="N831" s="6" t="n">
        <v>2.032691600649622</v>
      </c>
      <c r="O831" s="6" t="n">
        <v>-2.765361660517077</v>
      </c>
      <c r="P831" s="6" t="n">
        <v>-0.5884753520827691</v>
      </c>
      <c r="Q831" s="6" t="n">
        <v>-1.56392991970643</v>
      </c>
      <c r="R831" s="6" t="n">
        <v>-2.074074819800984</v>
      </c>
      <c r="S831" s="6" t="n">
        <v>-1.609670639459614</v>
      </c>
      <c r="T831" s="6" t="n">
        <v>-0.6330648026421293</v>
      </c>
      <c r="U831" s="6" t="n">
        <v>-0.4894074646426976</v>
      </c>
      <c r="V831" s="6" t="n">
        <v>-3.110478819853317</v>
      </c>
      <c r="W831" s="6" t="n">
        <v>0.6750240087324958</v>
      </c>
      <c r="X831" s="6" t="n">
        <v>1.502729388085166</v>
      </c>
      <c r="Y831" s="6" t="n">
        <v>1.489723443243767</v>
      </c>
      <c r="Z831" s="6" t="n">
        <v>1.000602029912821</v>
      </c>
      <c r="AA831" s="6" t="n">
        <v>1.777430685846054</v>
      </c>
      <c r="AB831" s="6" t="n">
        <v>2.363313631568535</v>
      </c>
      <c r="AC831" s="6" t="n">
        <v>-1.787453556092401</v>
      </c>
      <c r="AD831" s="6" t="n">
        <v>-2.081844343337046</v>
      </c>
      <c r="AE831" s="6" t="n">
        <v>-1.353738009778596</v>
      </c>
      <c r="AF831" s="6" t="n">
        <v>0.03267566519889409</v>
      </c>
      <c r="AG831" s="6" t="n">
        <v>-3.452503261836609</v>
      </c>
      <c r="AH831" s="6" t="n">
        <v>0.352859636170276</v>
      </c>
      <c r="AI831" s="6" t="n">
        <v>1.368312345865883</v>
      </c>
      <c r="AJ831" s="6" t="n">
        <v>64.68798507430004</v>
      </c>
      <c r="AK831" s="6" t="n">
        <v>0.1773080367415568</v>
      </c>
      <c r="AL831" s="6" t="n">
        <v>1.024571099767008</v>
      </c>
      <c r="AN831" s="6" t="n">
        <v>1.347117804749781</v>
      </c>
      <c r="AO831" s="6" t="n">
        <v>1.347485137759648</v>
      </c>
      <c r="AP831" s="6" t="n">
        <v>0.1330747024480675</v>
      </c>
      <c r="AQ831" s="6" t="n">
        <v>0</v>
      </c>
      <c r="AR831" s="6" t="n">
        <v>0</v>
      </c>
    </row>
    <row r="832">
      <c r="D832" t="inlineStr">
        <is>
          <t>Run 520</t>
        </is>
      </c>
      <c r="J832" s="6" t="n">
        <v>-0.228652050021884</v>
      </c>
      <c r="K832" s="6" t="n">
        <v>-1.251669670961765</v>
      </c>
      <c r="L832" s="6" t="n">
        <v>-1.353248784735708</v>
      </c>
      <c r="M832" s="6" t="n">
        <v>5</v>
      </c>
      <c r="N832" s="6" t="n">
        <v>2.025166139712003</v>
      </c>
      <c r="O832" s="6" t="n">
        <v>0.4612367972904999</v>
      </c>
      <c r="P832" s="6" t="n">
        <v>1.417190776490821</v>
      </c>
      <c r="Q832" s="6" t="n">
        <v>-2.788067833138336</v>
      </c>
      <c r="R832" s="6" t="n">
        <v>-1.367476946766569</v>
      </c>
      <c r="S832" s="6" t="n">
        <v>0.2341433512321163</v>
      </c>
      <c r="T832" s="6" t="n">
        <v>2.49137589160458</v>
      </c>
      <c r="U832" s="6" t="n">
        <v>-0.1392170986034583</v>
      </c>
      <c r="V832" s="6" t="n">
        <v>2.481168255266075</v>
      </c>
      <c r="W832" s="6" t="n">
        <v>0.04419950800082903</v>
      </c>
      <c r="X832" s="6" t="n">
        <v>1.550399872741849</v>
      </c>
      <c r="Y832" s="6" t="n">
        <v>-0.7963065179275972</v>
      </c>
      <c r="Z832" s="6" t="n">
        <v>3.280772423460668</v>
      </c>
      <c r="AA832" s="6" t="n">
        <v>1.14576013720881</v>
      </c>
      <c r="AB832" s="6" t="n">
        <v>-1.561805930173742</v>
      </c>
      <c r="AC832" s="6" t="n">
        <v>0.2481885283037894</v>
      </c>
      <c r="AD832" s="6" t="n">
        <v>3.133796416826689</v>
      </c>
      <c r="AE832" s="6" t="n">
        <v>3.261670777905779</v>
      </c>
      <c r="AF832" s="6" t="n">
        <v>-2.634150025235749</v>
      </c>
      <c r="AG832" s="6" t="n">
        <v>2.82629808221566</v>
      </c>
      <c r="AH832" s="6" t="n">
        <v>-0.2451140963148492</v>
      </c>
      <c r="AI832" s="6" t="n">
        <v>1.245062071458359</v>
      </c>
      <c r="AJ832" s="6" t="n">
        <v>76.84964956664145</v>
      </c>
      <c r="AK832" s="6" t="n">
        <v>0.1308771387599598</v>
      </c>
      <c r="AL832" s="6" t="n">
        <v>1.037568208080278</v>
      </c>
      <c r="AN832" s="6" t="n">
        <v>1.349009629169029</v>
      </c>
      <c r="AO832" s="6" t="n">
        <v>1.350118388484895</v>
      </c>
      <c r="AP832" s="6" t="n">
        <v>0.1334260377525461</v>
      </c>
      <c r="AQ832" s="6" t="n">
        <v>0</v>
      </c>
      <c r="AR832" s="6" t="n">
        <v>0</v>
      </c>
    </row>
    <row r="833">
      <c r="D833" t="inlineStr">
        <is>
          <t>Run 521</t>
        </is>
      </c>
      <c r="J833" s="6" t="n">
        <v>0.06238927722790797</v>
      </c>
      <c r="K833" s="6" t="n">
        <v>4.255695821207659</v>
      </c>
      <c r="L833" s="6" t="n">
        <v>0.8642801967671521</v>
      </c>
      <c r="M833" s="6" t="n">
        <v>-0.9469937435075683</v>
      </c>
      <c r="N833" s="6" t="n">
        <v>-2.285228409926278</v>
      </c>
      <c r="O833" s="6" t="n">
        <v>0.8395347539355268</v>
      </c>
      <c r="P833" s="6" t="n">
        <v>3.223240552706985</v>
      </c>
      <c r="Q833" s="6" t="n">
        <v>-2.763256936718105</v>
      </c>
      <c r="R833" s="6" t="n">
        <v>-0.2184486234897144</v>
      </c>
      <c r="S833" s="6" t="n">
        <v>2.233748334867071</v>
      </c>
      <c r="T833" s="6" t="n">
        <v>-0.5268385897705058</v>
      </c>
      <c r="U833" s="6" t="n">
        <v>-0.06224852680251852</v>
      </c>
      <c r="V833" s="6" t="n">
        <v>-0.3569510859275865</v>
      </c>
      <c r="W833" s="6" t="n">
        <v>-2.869554779982127</v>
      </c>
      <c r="X833" s="6" t="n">
        <v>-3.071741531180559</v>
      </c>
      <c r="Y833" s="6" t="n">
        <v>0.805212725511121</v>
      </c>
      <c r="Z833" s="6" t="n">
        <v>3.715464880321936</v>
      </c>
      <c r="AA833" s="6" t="n">
        <v>-1.648064022514147</v>
      </c>
      <c r="AB833" s="6" t="n">
        <v>1.128533453903397</v>
      </c>
      <c r="AC833" s="6" t="n">
        <v>-0.6182231940309304</v>
      </c>
      <c r="AD833" s="6" t="n">
        <v>1.043272835649684</v>
      </c>
      <c r="AE833" s="6" t="n">
        <v>0.9021450537452479</v>
      </c>
      <c r="AF833" s="6" t="n">
        <v>1.654687580586413</v>
      </c>
      <c r="AG833" s="6" t="n">
        <v>-2.503685467440667</v>
      </c>
      <c r="AH833" s="6" t="n">
        <v>0.4313873721882057</v>
      </c>
      <c r="AI833" s="6" t="n">
        <v>2.868440120508361</v>
      </c>
      <c r="AJ833" s="6" t="n">
        <v>73.25243271700266</v>
      </c>
      <c r="AK833" s="6" t="n">
        <v>0.1334600025857991</v>
      </c>
      <c r="AL833" s="6" t="n">
        <v>1.038550109119887</v>
      </c>
      <c r="AN833" s="6" t="n">
        <v>1.348634962473571</v>
      </c>
      <c r="AO833" s="6" t="n">
        <v>1.349411170298702</v>
      </c>
      <c r="AP833" s="6" t="n">
        <v>0.1330195935921079</v>
      </c>
      <c r="AQ833" s="6" t="n">
        <v>0</v>
      </c>
      <c r="AR833" s="6" t="n">
        <v>0</v>
      </c>
    </row>
    <row r="834">
      <c r="D834" t="inlineStr">
        <is>
          <t>Run 522</t>
        </is>
      </c>
      <c r="J834" s="6" t="n">
        <v>-1.524172030574376</v>
      </c>
      <c r="K834" s="6" t="n">
        <v>1.382096133001254</v>
      </c>
      <c r="L834" s="6" t="n">
        <v>-0.6874732684584474</v>
      </c>
      <c r="M834" s="6" t="n">
        <v>0.3453578397900468</v>
      </c>
      <c r="N834" s="6" t="n">
        <v>0.1756782055788436</v>
      </c>
      <c r="O834" s="6" t="n">
        <v>2.636522879201527</v>
      </c>
      <c r="P834" s="6" t="n">
        <v>-0.3032920037743194</v>
      </c>
      <c r="Q834" s="6" t="n">
        <v>-2.836955898940774</v>
      </c>
      <c r="R834" s="6" t="n">
        <v>0.4740785370878557</v>
      </c>
      <c r="S834" s="6" t="n">
        <v>-1.635378343663314</v>
      </c>
      <c r="T834" s="6" t="n">
        <v>0.2153186760812454</v>
      </c>
      <c r="U834" s="6" t="n">
        <v>0.1297398306655169</v>
      </c>
      <c r="V834" s="6" t="n">
        <v>0.1891625238944351</v>
      </c>
      <c r="W834" s="6" t="n">
        <v>-0.7530529084759353</v>
      </c>
      <c r="X834" s="6" t="n">
        <v>-0.1429099932748401</v>
      </c>
      <c r="Y834" s="6" t="n">
        <v>-0.5204441644671106</v>
      </c>
      <c r="Z834" s="6" t="n">
        <v>1.288082315157064</v>
      </c>
      <c r="AA834" s="6" t="n">
        <v>-2.532143977507951</v>
      </c>
      <c r="AB834" s="6" t="n">
        <v>1.882760840771696</v>
      </c>
      <c r="AC834" s="6" t="n">
        <v>-1.305938107883501</v>
      </c>
      <c r="AD834" s="6" t="n">
        <v>5</v>
      </c>
      <c r="AE834" s="6" t="n">
        <v>0.586320704655955</v>
      </c>
      <c r="AF834" s="6" t="n">
        <v>0.09888628323035752</v>
      </c>
      <c r="AG834" s="6" t="n">
        <v>-0.04040003601345186</v>
      </c>
      <c r="AH834" s="6" t="n">
        <v>3.484011678554517</v>
      </c>
      <c r="AI834" s="6" t="n">
        <v>-3.516521180821603</v>
      </c>
      <c r="AJ834" s="6" t="n">
        <v>74.4710423934651</v>
      </c>
      <c r="AK834" s="6" t="n">
        <v>0.09624924937092334</v>
      </c>
      <c r="AL834" s="6" t="n">
        <v>1.083485814663388</v>
      </c>
      <c r="AN834" s="6" t="n">
        <v>1.33640362115409</v>
      </c>
      <c r="AO834" s="6" t="n">
        <v>1.336469971546967</v>
      </c>
      <c r="AP834" s="6" t="n">
        <v>0.1305303396023218</v>
      </c>
      <c r="AQ834" s="6" t="n">
        <v>0</v>
      </c>
      <c r="AR834" s="6" t="n">
        <v>0</v>
      </c>
    </row>
    <row r="835">
      <c r="D835" t="inlineStr">
        <is>
          <t>Run 523</t>
        </is>
      </c>
      <c r="J835" s="6" t="n">
        <v>-1.191494629517794</v>
      </c>
      <c r="K835" s="6" t="n">
        <v>0.7542658986557266</v>
      </c>
      <c r="L835" s="6" t="n">
        <v>-0.07913555081877728</v>
      </c>
      <c r="M835" s="6" t="n">
        <v>0.24342108271179</v>
      </c>
      <c r="N835" s="6" t="n">
        <v>-4.211370042539533</v>
      </c>
      <c r="O835" s="6" t="n">
        <v>1.319762102442807</v>
      </c>
      <c r="P835" s="6" t="n">
        <v>-0.8135520040929193</v>
      </c>
      <c r="Q835" s="6" t="n">
        <v>-1.619666704895368</v>
      </c>
      <c r="R835" s="6" t="n">
        <v>0.4546273811527703</v>
      </c>
      <c r="S835" s="6" t="n">
        <v>-0.6793479216638387</v>
      </c>
      <c r="T835" s="6" t="n">
        <v>-3.602757446898424</v>
      </c>
      <c r="U835" s="6" t="n">
        <v>-3.522748810813139</v>
      </c>
      <c r="V835" s="6" t="n">
        <v>-1.688141373066163</v>
      </c>
      <c r="W835" s="6" t="n">
        <v>-1.217167689742169</v>
      </c>
      <c r="X835" s="6" t="n">
        <v>-2.30721535648469</v>
      </c>
      <c r="Y835" s="6" t="n">
        <v>-1.33770417369164</v>
      </c>
      <c r="Z835" s="6" t="n">
        <v>-2.276310369391252</v>
      </c>
      <c r="AA835" s="6" t="n">
        <v>-0.2220089714747585</v>
      </c>
      <c r="AB835" s="6" t="n">
        <v>-0.1424766601236819</v>
      </c>
      <c r="AC835" s="6" t="n">
        <v>0.3012110309608492</v>
      </c>
      <c r="AD835" s="6" t="n">
        <v>0.6883001583494369</v>
      </c>
      <c r="AE835" s="6" t="n">
        <v>1.302065384677759</v>
      </c>
      <c r="AF835" s="6" t="n">
        <v>-3.40123632654225</v>
      </c>
      <c r="AG835" s="6" t="n">
        <v>-0.6787098273238585</v>
      </c>
      <c r="AH835" s="6" t="n">
        <v>-1.835703169688722</v>
      </c>
      <c r="AI835" s="6" t="n">
        <v>1.997235647090121</v>
      </c>
      <c r="AJ835" s="6" t="n">
        <v>70.46810909497152</v>
      </c>
      <c r="AK835" s="6" t="n">
        <v>0.1793494808131885</v>
      </c>
      <c r="AL835" s="6" t="n">
        <v>1.040300476742975</v>
      </c>
      <c r="AN835" s="6" t="n">
        <v>1.343665488781337</v>
      </c>
      <c r="AO835" s="6" t="n">
        <v>1.344035092909089</v>
      </c>
      <c r="AP835" s="6" t="n">
        <v>0.1315919407936119</v>
      </c>
      <c r="AQ835" s="6" t="n">
        <v>0</v>
      </c>
      <c r="AR835" s="6" t="n">
        <v>0</v>
      </c>
    </row>
    <row r="836">
      <c r="D836" t="inlineStr">
        <is>
          <t>Run 524</t>
        </is>
      </c>
      <c r="J836" s="6" t="n">
        <v>-1.493509004575829</v>
      </c>
      <c r="K836" s="6" t="n">
        <v>-1.920471376626053</v>
      </c>
      <c r="L836" s="6" t="n">
        <v>-1.786707543702939</v>
      </c>
      <c r="M836" s="6" t="n">
        <v>-0.6168049258188943</v>
      </c>
      <c r="N836" s="6" t="n">
        <v>-1.518595656428059</v>
      </c>
      <c r="O836" s="6" t="n">
        <v>-0.3521767099474403</v>
      </c>
      <c r="P836" s="6" t="n">
        <v>-2.019410250545707</v>
      </c>
      <c r="Q836" s="6" t="n">
        <v>0.6187324023836394</v>
      </c>
      <c r="R836" s="6" t="n">
        <v>-4.463559101556169</v>
      </c>
      <c r="S836" s="6" t="n">
        <v>-2.96341709008441</v>
      </c>
      <c r="T836" s="6" t="n">
        <v>1.739874082895826</v>
      </c>
      <c r="U836" s="6" t="n">
        <v>-1.025683617536122</v>
      </c>
      <c r="V836" s="6" t="n">
        <v>-1.109670138954743</v>
      </c>
      <c r="W836" s="6" t="n">
        <v>-1.652789729780978</v>
      </c>
      <c r="X836" s="6" t="n">
        <v>-3.480374742214016</v>
      </c>
      <c r="Y836" s="6" t="n">
        <v>-1.803004135054514</v>
      </c>
      <c r="Z836" s="6" t="n">
        <v>1.238852983812055</v>
      </c>
      <c r="AA836" s="6" t="n">
        <v>0.2969333425514316</v>
      </c>
      <c r="AB836" s="6" t="n">
        <v>0.06065093138508518</v>
      </c>
      <c r="AC836" s="6" t="n">
        <v>0.04985531460567796</v>
      </c>
      <c r="AD836" s="6" t="n">
        <v>1.149907651719507</v>
      </c>
      <c r="AE836" s="6" t="n">
        <v>3.623437606919787</v>
      </c>
      <c r="AF836" s="6" t="n">
        <v>0.1936635286069616</v>
      </c>
      <c r="AG836" s="6" t="n">
        <v>1.76820867535449</v>
      </c>
      <c r="AH836" s="6" t="n">
        <v>-1.070042515194349</v>
      </c>
      <c r="AI836" s="6" t="n">
        <v>3.659224162114398</v>
      </c>
      <c r="AJ836" s="6" t="n">
        <v>72.88976653536797</v>
      </c>
      <c r="AK836" s="6" t="n">
        <v>0.149344467359914</v>
      </c>
      <c r="AL836" s="6" t="n">
        <v>1.051926118905619</v>
      </c>
      <c r="AN836" s="6" t="n">
        <v>1.345426532984168</v>
      </c>
      <c r="AO836" s="6" t="n">
        <v>1.345708712864862</v>
      </c>
      <c r="AP836" s="6" t="n">
        <v>0.1318305782481608</v>
      </c>
      <c r="AQ836" s="6" t="n">
        <v>0</v>
      </c>
      <c r="AR836" s="6" t="n">
        <v>0</v>
      </c>
    </row>
    <row r="837">
      <c r="D837" t="inlineStr">
        <is>
          <t>Run 525</t>
        </is>
      </c>
      <c r="J837" s="6" t="n">
        <v>0.7824722846037216</v>
      </c>
      <c r="K837" s="6" t="n">
        <v>0.5316200012266512</v>
      </c>
      <c r="L837" s="6" t="n">
        <v>-0.7574897497534359</v>
      </c>
      <c r="M837" s="6" t="n">
        <v>3.348166511650941</v>
      </c>
      <c r="N837" s="6" t="n">
        <v>0.7841818389067964</v>
      </c>
      <c r="O837" s="6" t="n">
        <v>0.2327696392453967</v>
      </c>
      <c r="P837" s="6" t="n">
        <v>-0.08110525646492828</v>
      </c>
      <c r="Q837" s="6" t="n">
        <v>-0.7560010690224775</v>
      </c>
      <c r="R837" s="6" t="n">
        <v>0.2293517060868355</v>
      </c>
      <c r="S837" s="6" t="n">
        <v>2.530920826805402</v>
      </c>
      <c r="T837" s="6" t="n">
        <v>1.047596525240522</v>
      </c>
      <c r="U837" s="6" t="n">
        <v>1.855739263053875</v>
      </c>
      <c r="V837" s="6" t="n">
        <v>-0.8596375062411944</v>
      </c>
      <c r="W837" s="6" t="n">
        <v>-1.47138330814346</v>
      </c>
      <c r="X837" s="6" t="n">
        <v>-1.341902633272222</v>
      </c>
      <c r="Y837" s="6" t="n">
        <v>-1.543127281218328</v>
      </c>
      <c r="Z837" s="6" t="n">
        <v>-1.454731274216737</v>
      </c>
      <c r="AA837" s="6" t="n">
        <v>0.7402271221763476</v>
      </c>
      <c r="AB837" s="6" t="n">
        <v>0.4246607676837076</v>
      </c>
      <c r="AC837" s="6" t="n">
        <v>3.106390904774639</v>
      </c>
      <c r="AD837" s="6" t="n">
        <v>1.615140374943036</v>
      </c>
      <c r="AE837" s="6" t="n">
        <v>-1.90692080477711</v>
      </c>
      <c r="AF837" s="6" t="n">
        <v>-3.42826946157116</v>
      </c>
      <c r="AG837" s="6" t="n">
        <v>-2.873676496952792</v>
      </c>
      <c r="AH837" s="6" t="n">
        <v>0.9458564426177586</v>
      </c>
      <c r="AI837" s="6" t="n">
        <v>-1.699422820489369</v>
      </c>
      <c r="AJ837" s="6" t="n">
        <v>66.41677062307443</v>
      </c>
      <c r="AK837" s="6" t="n">
        <v>0.1335866406583754</v>
      </c>
      <c r="AL837" s="6" t="n">
        <v>1.083555880333484</v>
      </c>
      <c r="AN837" s="6" t="n">
        <v>1.331195799308757</v>
      </c>
      <c r="AO837" s="6" t="n">
        <v>1.331479003373432</v>
      </c>
      <c r="AP837" s="6" t="n">
        <v>0.1292507279504424</v>
      </c>
      <c r="AQ837" s="6" t="n">
        <v>0</v>
      </c>
      <c r="AR837" s="6" t="n">
        <v>0</v>
      </c>
    </row>
    <row r="838">
      <c r="D838" t="inlineStr">
        <is>
          <t>Run 526</t>
        </is>
      </c>
      <c r="J838" s="6" t="n">
        <v>-0.3919937377023588</v>
      </c>
      <c r="K838" s="6" t="n">
        <v>-1.676014145588001</v>
      </c>
      <c r="L838" s="6" t="n">
        <v>0.1526751146278423</v>
      </c>
      <c r="M838" s="6" t="n">
        <v>0.03706622337818324</v>
      </c>
      <c r="N838" s="6" t="n">
        <v>3.367175846327676</v>
      </c>
      <c r="O838" s="6" t="n">
        <v>-1.387240751517539</v>
      </c>
      <c r="P838" s="6" t="n">
        <v>-0.9088971184994151</v>
      </c>
      <c r="Q838" s="6" t="n">
        <v>2.089467683625951</v>
      </c>
      <c r="R838" s="6" t="n">
        <v>-0.6945846055194268</v>
      </c>
      <c r="S838" s="6" t="n">
        <v>-2.87541689659309</v>
      </c>
      <c r="T838" s="6" t="n">
        <v>-0.7751582502408361</v>
      </c>
      <c r="U838" s="6" t="n">
        <v>3.404778456670924</v>
      </c>
      <c r="V838" s="6" t="n">
        <v>0.1027054775807636</v>
      </c>
      <c r="W838" s="6" t="n">
        <v>-1.114692544635049</v>
      </c>
      <c r="X838" s="6" t="n">
        <v>-2.432401695246003</v>
      </c>
      <c r="Y838" s="6" t="n">
        <v>-0.5449064561457122</v>
      </c>
      <c r="Z838" s="6" t="n">
        <v>1.432026653376145</v>
      </c>
      <c r="AA838" s="6" t="n">
        <v>-0.3761503573856251</v>
      </c>
      <c r="AB838" s="6" t="n">
        <v>0.04921872114562285</v>
      </c>
      <c r="AC838" s="6" t="n">
        <v>-0.4154501378657425</v>
      </c>
      <c r="AD838" s="6" t="n">
        <v>1.420196226427939</v>
      </c>
      <c r="AE838" s="6" t="n">
        <v>3.620994169687787</v>
      </c>
      <c r="AF838" s="6" t="n">
        <v>0.4565980144665643</v>
      </c>
      <c r="AG838" s="6" t="n">
        <v>-0.900389620536641</v>
      </c>
      <c r="AH838" s="6" t="n">
        <v>-4.627404504815404</v>
      </c>
      <c r="AI838" s="6" t="n">
        <v>-3.43592306208058</v>
      </c>
      <c r="AJ838" s="6" t="n">
        <v>69.97067377642335</v>
      </c>
      <c r="AK838" s="6" t="n">
        <v>0.1414287853889169</v>
      </c>
      <c r="AL838" s="6" t="n">
        <v>1.060910665346736</v>
      </c>
      <c r="AN838" s="6" t="n">
        <v>1.339973762216147</v>
      </c>
      <c r="AO838" s="6" t="n">
        <v>1.34096429732073</v>
      </c>
      <c r="AP838" s="6" t="n">
        <v>0.1310969383289979</v>
      </c>
      <c r="AQ838" s="6" t="n">
        <v>0</v>
      </c>
      <c r="AR838" s="6" t="n">
        <v>0</v>
      </c>
    </row>
    <row r="839">
      <c r="D839" t="inlineStr">
        <is>
          <t>Run 527</t>
        </is>
      </c>
      <c r="J839" s="6" t="n">
        <v>1.296930640506563</v>
      </c>
      <c r="K839" s="6" t="n">
        <v>2.546249770561474</v>
      </c>
      <c r="L839" s="6" t="n">
        <v>0.4304315120997379</v>
      </c>
      <c r="M839" s="6" t="n">
        <v>1.05535390872731</v>
      </c>
      <c r="N839" s="6" t="n">
        <v>-1.37869852816301</v>
      </c>
      <c r="O839" s="6" t="n">
        <v>0.999615072034152</v>
      </c>
      <c r="P839" s="6" t="n">
        <v>-0.7668453054172776</v>
      </c>
      <c r="Q839" s="6" t="n">
        <v>0.1135387673670219</v>
      </c>
      <c r="R839" s="6" t="n">
        <v>-0.8915857183884494</v>
      </c>
      <c r="S839" s="6" t="n">
        <v>-0.1385440277908127</v>
      </c>
      <c r="T839" s="6" t="n">
        <v>-3.320681745484296</v>
      </c>
      <c r="U839" s="6" t="n">
        <v>-0.9383999513191901</v>
      </c>
      <c r="V839" s="6" t="n">
        <v>0.8822752592726243</v>
      </c>
      <c r="W839" s="6" t="n">
        <v>0.9753066587771627</v>
      </c>
      <c r="X839" s="6" t="n">
        <v>0.9613041072022435</v>
      </c>
      <c r="Y839" s="6" t="n">
        <v>2.637933612954502</v>
      </c>
      <c r="Z839" s="6" t="n">
        <v>-1.319325120921686</v>
      </c>
      <c r="AA839" s="6" t="n">
        <v>-2.344433940191088</v>
      </c>
      <c r="AB839" s="6" t="n">
        <v>-4.40477973076787</v>
      </c>
      <c r="AC839" s="6" t="n">
        <v>-2.112570012271573</v>
      </c>
      <c r="AD839" s="6" t="n">
        <v>2.168160602205902</v>
      </c>
      <c r="AE839" s="6" t="n">
        <v>-0.3658799715056466</v>
      </c>
      <c r="AF839" s="6" t="n">
        <v>0.6650339740537762</v>
      </c>
      <c r="AG839" s="6" t="n">
        <v>1.381029135366471</v>
      </c>
      <c r="AH839" s="6" t="n">
        <v>2.699702660647186</v>
      </c>
      <c r="AI839" s="6" t="n">
        <v>0.9493955692037729</v>
      </c>
      <c r="AJ839" s="6" t="n">
        <v>74.38668403668994</v>
      </c>
      <c r="AK839" s="6" t="n">
        <v>0.1154571028794973</v>
      </c>
      <c r="AL839" s="6" t="n">
        <v>1.018803983794266</v>
      </c>
      <c r="AN839" s="6" t="n">
        <v>1.352727453636188</v>
      </c>
      <c r="AO839" s="6" t="n">
        <v>1.352727453636188</v>
      </c>
      <c r="AP839" s="6" t="n">
        <v>0.1361680657351367</v>
      </c>
      <c r="AQ839" s="6" t="n">
        <v>0</v>
      </c>
      <c r="AR839" s="6" t="n">
        <v>0</v>
      </c>
    </row>
    <row r="840">
      <c r="D840" t="inlineStr">
        <is>
          <t>Run 528</t>
        </is>
      </c>
      <c r="J840" s="6" t="n">
        <v>-1.989649655676303</v>
      </c>
      <c r="K840" s="6" t="n">
        <v>0.4124676082274973</v>
      </c>
      <c r="L840" s="6" t="n">
        <v>-1.605639666559027</v>
      </c>
      <c r="M840" s="6" t="n">
        <v>0.4701788132918832</v>
      </c>
      <c r="N840" s="6" t="n">
        <v>-0.7557035905638143</v>
      </c>
      <c r="O840" s="6" t="n">
        <v>2.250364169752761</v>
      </c>
      <c r="P840" s="6" t="n">
        <v>-0.9569904547528354</v>
      </c>
      <c r="Q840" s="6" t="n">
        <v>-0.9169265333919696</v>
      </c>
      <c r="R840" s="6" t="n">
        <v>1.213057771660441</v>
      </c>
      <c r="S840" s="6" t="n">
        <v>1.862460755468872</v>
      </c>
      <c r="T840" s="6" t="n">
        <v>1.815298080794524</v>
      </c>
      <c r="U840" s="6" t="n">
        <v>-0.8146979753286464</v>
      </c>
      <c r="V840" s="6" t="n">
        <v>1.277615253418349</v>
      </c>
      <c r="W840" s="6" t="n">
        <v>-0.2171209894071348</v>
      </c>
      <c r="X840" s="6" t="n">
        <v>0.5895296182726972</v>
      </c>
      <c r="Y840" s="6" t="n">
        <v>0.1917551981961991</v>
      </c>
      <c r="Z840" s="6" t="n">
        <v>-1.505072331076345</v>
      </c>
      <c r="AA840" s="6" t="n">
        <v>1.618231152902272</v>
      </c>
      <c r="AB840" s="6" t="n">
        <v>3.962870972361423</v>
      </c>
      <c r="AC840" s="6" t="n">
        <v>1.40717806387523</v>
      </c>
      <c r="AD840" s="6" t="n">
        <v>-0.164180741441228</v>
      </c>
      <c r="AE840" s="6" t="n">
        <v>-2.881230595122792</v>
      </c>
      <c r="AF840" s="6" t="n">
        <v>2.604051033516217</v>
      </c>
      <c r="AG840" s="6" t="n">
        <v>-0.7752149702631286</v>
      </c>
      <c r="AH840" s="6" t="n">
        <v>-3.081330855814026</v>
      </c>
      <c r="AI840" s="6" t="n">
        <v>-3.183829266860199</v>
      </c>
      <c r="AJ840" s="6" t="n">
        <v>77.50344044256316</v>
      </c>
      <c r="AK840" s="6" t="n">
        <v>0.1239577871974529</v>
      </c>
      <c r="AL840" s="6" t="n">
        <v>1.021139755892944</v>
      </c>
      <c r="AN840" s="6" t="n">
        <v>1.356829368719086</v>
      </c>
      <c r="AO840" s="6" t="n">
        <v>1.357346704765282</v>
      </c>
      <c r="AP840" s="6" t="n">
        <v>0.1359786934877437</v>
      </c>
      <c r="AQ840" s="6" t="n">
        <v>0</v>
      </c>
      <c r="AR840" s="6" t="n">
        <v>0</v>
      </c>
    </row>
    <row r="841">
      <c r="D841" t="inlineStr">
        <is>
          <t>Run 529</t>
        </is>
      </c>
      <c r="J841" s="6" t="n">
        <v>-3.783697572457577</v>
      </c>
      <c r="K841" s="6" t="n">
        <v>2.067670176402574</v>
      </c>
      <c r="L841" s="6" t="n">
        <v>0.7383399357262687</v>
      </c>
      <c r="M841" s="6" t="n">
        <v>-1.765295915936234</v>
      </c>
      <c r="N841" s="6" t="n">
        <v>0.7193248547771273</v>
      </c>
      <c r="O841" s="6" t="n">
        <v>2.772464956855635</v>
      </c>
      <c r="P841" s="6" t="n">
        <v>-1.201965912944369</v>
      </c>
      <c r="Q841" s="6" t="n">
        <v>-0.9773115011063098</v>
      </c>
      <c r="R841" s="6" t="n">
        <v>2.591159365491974</v>
      </c>
      <c r="S841" s="6" t="n">
        <v>0.04008183016306789</v>
      </c>
      <c r="T841" s="6" t="n">
        <v>0.08124212224670478</v>
      </c>
      <c r="U841" s="6" t="n">
        <v>0.4344482762065285</v>
      </c>
      <c r="V841" s="6" t="n">
        <v>-3.694295309801873</v>
      </c>
      <c r="W841" s="6" t="n">
        <v>0.6254489954688152</v>
      </c>
      <c r="X841" s="6" t="n">
        <v>1.917110105573371</v>
      </c>
      <c r="Y841" s="6" t="n">
        <v>1.300220151483357</v>
      </c>
      <c r="Z841" s="6" t="n">
        <v>0.1421040926266891</v>
      </c>
      <c r="AA841" s="6" t="n">
        <v>-1.555227353318846</v>
      </c>
      <c r="AB841" s="6" t="n">
        <v>1.761087067711431</v>
      </c>
      <c r="AC841" s="6" t="n">
        <v>-1.895675883484398</v>
      </c>
      <c r="AD841" s="6" t="n">
        <v>-1.009895881726133</v>
      </c>
      <c r="AE841" s="6" t="n">
        <v>-0.01916888976749196</v>
      </c>
      <c r="AF841" s="6" t="n">
        <v>1.147178911583487</v>
      </c>
      <c r="AG841" s="6" t="n">
        <v>-1.748897381579173</v>
      </c>
      <c r="AH841" s="6" t="n">
        <v>-2.186847886528482</v>
      </c>
      <c r="AI841" s="6" t="n">
        <v>3.547752827097142</v>
      </c>
      <c r="AJ841" s="6" t="n">
        <v>78.09183686068408</v>
      </c>
      <c r="AK841" s="6" t="n">
        <v>0.08072952164420355</v>
      </c>
      <c r="AL841" s="6" t="n">
        <v>1.053172487121373</v>
      </c>
      <c r="AN841" s="6" t="n">
        <v>1.339245833976605</v>
      </c>
      <c r="AO841" s="6" t="n">
        <v>1.344313399797497</v>
      </c>
      <c r="AP841" s="6" t="n">
        <v>0.1334488670759114</v>
      </c>
      <c r="AQ841" s="6" t="n">
        <v>0</v>
      </c>
      <c r="AR841" s="6" t="n">
        <v>0</v>
      </c>
    </row>
    <row r="842">
      <c r="D842" t="inlineStr">
        <is>
          <t>Run 530</t>
        </is>
      </c>
      <c r="J842" s="6" t="n">
        <v>-1.415830550555512</v>
      </c>
      <c r="K842" s="6" t="n">
        <v>4.2012717727491</v>
      </c>
      <c r="L842" s="6" t="n">
        <v>-0.009021060638942717</v>
      </c>
      <c r="M842" s="6" t="n">
        <v>-1.055275594069369</v>
      </c>
      <c r="N842" s="6" t="n">
        <v>-2.191580955801611</v>
      </c>
      <c r="O842" s="6" t="n">
        <v>-0.5675300503333135</v>
      </c>
      <c r="P842" s="6" t="n">
        <v>0.3942520361918724</v>
      </c>
      <c r="Q842" s="6" t="n">
        <v>-0.6362865678781603</v>
      </c>
      <c r="R842" s="6" t="n">
        <v>-0.2229277803012106</v>
      </c>
      <c r="S842" s="6" t="n">
        <v>1.565355490061685</v>
      </c>
      <c r="T842" s="6" t="n">
        <v>1.752993095263772</v>
      </c>
      <c r="U842" s="6" t="n">
        <v>-3.014853946511788</v>
      </c>
      <c r="V842" s="6" t="n">
        <v>1.010088054722861</v>
      </c>
      <c r="W842" s="6" t="n">
        <v>3.762466374331686</v>
      </c>
      <c r="X842" s="6" t="n">
        <v>1.77985154720008</v>
      </c>
      <c r="Y842" s="6" t="n">
        <v>0.03214861775434978</v>
      </c>
      <c r="Z842" s="6" t="n">
        <v>-5.17860861371722</v>
      </c>
      <c r="AA842" s="6" t="n">
        <v>-3.995927602885283</v>
      </c>
      <c r="AB842" s="6" t="n">
        <v>3.29605896110255</v>
      </c>
      <c r="AC842" s="6" t="n">
        <v>0.6298245435865519</v>
      </c>
      <c r="AD842" s="6" t="n">
        <v>3.887067087846001</v>
      </c>
      <c r="AE842" s="6" t="n">
        <v>1.348236949669567</v>
      </c>
      <c r="AF842" s="6" t="n">
        <v>-2.801845162738492</v>
      </c>
      <c r="AG842" s="6" t="n">
        <v>1.114242738258883</v>
      </c>
      <c r="AH842" s="6" t="n">
        <v>1.132764447567599</v>
      </c>
      <c r="AI842" s="6" t="n">
        <v>-2.051051959258437</v>
      </c>
      <c r="AJ842" s="6" t="n">
        <v>76.83852709214256</v>
      </c>
      <c r="AK842" s="6" t="n">
        <v>0.05878717047727319</v>
      </c>
      <c r="AL842" s="6" t="n">
        <v>1.066577498665248</v>
      </c>
      <c r="AN842" s="6" t="n">
        <v>1.345192591774276</v>
      </c>
      <c r="AO842" s="6" t="n">
        <v>1.347644267317532</v>
      </c>
      <c r="AP842" s="6" t="n">
        <v>0.1328100276996815</v>
      </c>
      <c r="AQ842" s="6" t="n">
        <v>0</v>
      </c>
      <c r="AR842" s="6" t="n">
        <v>0</v>
      </c>
    </row>
    <row r="843">
      <c r="D843" t="inlineStr">
        <is>
          <t>Run 531</t>
        </is>
      </c>
      <c r="J843" s="6" t="n">
        <v>1.183603649889959</v>
      </c>
      <c r="K843" s="6" t="n">
        <v>-1.840319108386293</v>
      </c>
      <c r="L843" s="6" t="n">
        <v>0.6838643794325763</v>
      </c>
      <c r="M843" s="6" t="n">
        <v>-1.659039366367314</v>
      </c>
      <c r="N843" s="6" t="n">
        <v>-1.011727793499852</v>
      </c>
      <c r="O843" s="6" t="n">
        <v>1.744679480385021</v>
      </c>
      <c r="P843" s="6" t="n">
        <v>-0.8678045044448479</v>
      </c>
      <c r="Q843" s="6" t="n">
        <v>3.33342577429005</v>
      </c>
      <c r="R843" s="6" t="n">
        <v>-1.099959578779885</v>
      </c>
      <c r="S843" s="6" t="n">
        <v>0.9186882893341207</v>
      </c>
      <c r="T843" s="6" t="n">
        <v>-0.887807142714475</v>
      </c>
      <c r="U843" s="6" t="n">
        <v>-0.1594298981546235</v>
      </c>
      <c r="V843" s="6" t="n">
        <v>-2.120692050617366</v>
      </c>
      <c r="W843" s="6" t="n">
        <v>0.733050413963787</v>
      </c>
      <c r="X843" s="6" t="n">
        <v>1.562032125948219</v>
      </c>
      <c r="Y843" s="6" t="n">
        <v>-3.108643866405266</v>
      </c>
      <c r="Z843" s="6" t="n">
        <v>0.6769756039477162</v>
      </c>
      <c r="AA843" s="6" t="n">
        <v>-2.10649025886857</v>
      </c>
      <c r="AB843" s="6" t="n">
        <v>1.327048520929973</v>
      </c>
      <c r="AC843" s="6" t="n">
        <v>1.386878063647275</v>
      </c>
      <c r="AD843" s="6" t="n">
        <v>1.25433453870916</v>
      </c>
      <c r="AE843" s="6" t="n">
        <v>0.8539972654773977</v>
      </c>
      <c r="AF843" s="6" t="n">
        <v>2.335694271443187</v>
      </c>
      <c r="AG843" s="6" t="n">
        <v>-1.643930872511406</v>
      </c>
      <c r="AH843" s="6" t="n">
        <v>-0.9756477993638361</v>
      </c>
      <c r="AI843" s="6" t="n">
        <v>-2.988115377684115</v>
      </c>
      <c r="AJ843" s="6" t="n">
        <v>75.45798194453258</v>
      </c>
      <c r="AK843" s="6" t="n">
        <v>0.1093563150571735</v>
      </c>
      <c r="AL843" s="6" t="n">
        <v>1.136335286023304</v>
      </c>
      <c r="AN843" s="6" t="n">
        <v>1.318276742988804</v>
      </c>
      <c r="AO843" s="6" t="n">
        <v>1.320311720253548</v>
      </c>
      <c r="AP843" s="6" t="n">
        <v>0.1280517159936115</v>
      </c>
      <c r="AQ843" s="6" t="n">
        <v>0</v>
      </c>
      <c r="AR843" s="6" t="n">
        <v>0</v>
      </c>
    </row>
    <row r="844">
      <c r="D844" t="inlineStr">
        <is>
          <t>Run 532</t>
        </is>
      </c>
      <c r="J844" s="6" t="n">
        <v>-0.3066096046044601</v>
      </c>
      <c r="K844" s="6" t="n">
        <v>-0.4091112278481817</v>
      </c>
      <c r="L844" s="6" t="n">
        <v>3.31507320086332</v>
      </c>
      <c r="M844" s="6" t="n">
        <v>-0.02775562667405632</v>
      </c>
      <c r="N844" s="6" t="n">
        <v>-0.4058863246087259</v>
      </c>
      <c r="O844" s="6" t="n">
        <v>2.133903697374763</v>
      </c>
      <c r="P844" s="6" t="n">
        <v>-1.846640234545897</v>
      </c>
      <c r="Q844" s="6" t="n">
        <v>-0.5210774052613992</v>
      </c>
      <c r="R844" s="6" t="n">
        <v>1.88841413565667</v>
      </c>
      <c r="S844" s="6" t="n">
        <v>-1.24029992305884</v>
      </c>
      <c r="T844" s="6" t="n">
        <v>2.260716597622526</v>
      </c>
      <c r="U844" s="6" t="n">
        <v>-3.373075385906368</v>
      </c>
      <c r="V844" s="6" t="n">
        <v>-1.382331068107445</v>
      </c>
      <c r="W844" s="6" t="n">
        <v>-1.253675822451501</v>
      </c>
      <c r="X844" s="6" t="n">
        <v>-0.9250064677412777</v>
      </c>
      <c r="Y844" s="6" t="n">
        <v>1.267383058540808</v>
      </c>
      <c r="Z844" s="6" t="n">
        <v>-0.6168894489624454</v>
      </c>
      <c r="AA844" s="6" t="n">
        <v>-1.510516849147459</v>
      </c>
      <c r="AB844" s="6" t="n">
        <v>-3.662055261367654</v>
      </c>
      <c r="AC844" s="6" t="n">
        <v>-0.1572846000586225</v>
      </c>
      <c r="AD844" s="6" t="n">
        <v>-0.40382847305298</v>
      </c>
      <c r="AE844" s="6" t="n">
        <v>-0.7223409361864059</v>
      </c>
      <c r="AF844" s="6" t="n">
        <v>-0.8942427740262786</v>
      </c>
      <c r="AG844" s="6" t="n">
        <v>1.936330963229854</v>
      </c>
      <c r="AH844" s="6" t="n">
        <v>4.811815749183192</v>
      </c>
      <c r="AI844" s="6" t="n">
        <v>-0.4509824499601061</v>
      </c>
      <c r="AJ844" s="6" t="n">
        <v>80.17718249479056</v>
      </c>
      <c r="AK844" s="6" t="n">
        <v>0.1325869352751056</v>
      </c>
      <c r="AL844" s="6" t="n">
        <v>1.049558249158146</v>
      </c>
      <c r="AN844" s="6" t="n">
        <v>1.348286961224723</v>
      </c>
      <c r="AO844" s="6" t="n">
        <v>1.349173234218734</v>
      </c>
      <c r="AP844" s="6" t="n">
        <v>0.1326919303007776</v>
      </c>
      <c r="AQ844" s="6" t="n">
        <v>0</v>
      </c>
      <c r="AR844" s="6" t="n">
        <v>0</v>
      </c>
    </row>
    <row r="845">
      <c r="D845" t="inlineStr">
        <is>
          <t>Run 533</t>
        </is>
      </c>
      <c r="J845" s="6" t="n">
        <v>-1.25248028634088</v>
      </c>
      <c r="K845" s="6" t="n">
        <v>-0.3157491531708487</v>
      </c>
      <c r="L845" s="6" t="n">
        <v>-0.8911667139052507</v>
      </c>
      <c r="M845" s="6" t="n">
        <v>-1.595947273448807</v>
      </c>
      <c r="N845" s="6" t="n">
        <v>1.084666721256596</v>
      </c>
      <c r="O845" s="6" t="n">
        <v>3.522600778629142</v>
      </c>
      <c r="P845" s="6" t="n">
        <v>0.04316230521794259</v>
      </c>
      <c r="Q845" s="6" t="n">
        <v>-2.359838033079133</v>
      </c>
      <c r="R845" s="6" t="n">
        <v>-1.076879398444583</v>
      </c>
      <c r="S845" s="6" t="n">
        <v>-1.651104959268592</v>
      </c>
      <c r="T845" s="6" t="n">
        <v>-1.091368167985889</v>
      </c>
      <c r="U845" s="6" t="n">
        <v>0.01141224345540168</v>
      </c>
      <c r="V845" s="6" t="n">
        <v>4.244900104912664</v>
      </c>
      <c r="W845" s="6" t="n">
        <v>-1.331444239710541</v>
      </c>
      <c r="X845" s="6" t="n">
        <v>-2.13688451369679</v>
      </c>
      <c r="Y845" s="6" t="n">
        <v>1.064506768967964</v>
      </c>
      <c r="Z845" s="6" t="n">
        <v>1.590140732002751</v>
      </c>
      <c r="AA845" s="6" t="n">
        <v>0.3855797612097239</v>
      </c>
      <c r="AB845" s="6" t="n">
        <v>4.629585029209282</v>
      </c>
      <c r="AC845" s="6" t="n">
        <v>1.751351652646958</v>
      </c>
      <c r="AD845" s="6" t="n">
        <v>0.5999108493850013</v>
      </c>
      <c r="AE845" s="6" t="n">
        <v>-5.566144002549373</v>
      </c>
      <c r="AF845" s="6" t="n">
        <v>4.072106881471033</v>
      </c>
      <c r="AG845" s="6" t="n">
        <v>0.3140270412473542</v>
      </c>
      <c r="AH845" s="6" t="n">
        <v>-2.603800269698767</v>
      </c>
      <c r="AI845" s="6" t="n">
        <v>-2.063727038871793</v>
      </c>
      <c r="AJ845" s="6" t="n">
        <v>60.18485087576371</v>
      </c>
      <c r="AK845" s="6" t="n">
        <v>0.1185591145300367</v>
      </c>
      <c r="AL845" s="6" t="n">
        <v>1.002393355776069</v>
      </c>
      <c r="AN845" s="6" t="n">
        <v>1.347490027495822</v>
      </c>
      <c r="AO845" s="6" t="n">
        <v>1.350585955224009</v>
      </c>
      <c r="AP845" s="6" t="n">
        <v>0.1365518350917605</v>
      </c>
      <c r="AQ845" s="6" t="n">
        <v>0</v>
      </c>
      <c r="AR845" s="6" t="n">
        <v>0</v>
      </c>
    </row>
    <row r="846">
      <c r="D846" t="inlineStr">
        <is>
          <t>Run 534</t>
        </is>
      </c>
      <c r="J846" s="6" t="n">
        <v>-1.360054621497905</v>
      </c>
      <c r="K846" s="6" t="n">
        <v>5</v>
      </c>
      <c r="L846" s="6" t="n">
        <v>-3.90303905706814</v>
      </c>
      <c r="M846" s="6" t="n">
        <v>1.33770617832477</v>
      </c>
      <c r="N846" s="6" t="n">
        <v>1.889807536292872</v>
      </c>
      <c r="O846" s="6" t="n">
        <v>-2.297382602486132</v>
      </c>
      <c r="P846" s="6" t="n">
        <v>-2.282839521426419</v>
      </c>
      <c r="Q846" s="6" t="n">
        <v>0.1273507058741582</v>
      </c>
      <c r="R846" s="6" t="n">
        <v>4.498468018075761</v>
      </c>
      <c r="S846" s="6" t="n">
        <v>-1.336871259556903</v>
      </c>
      <c r="T846" s="6" t="n">
        <v>-0.7958800383079885</v>
      </c>
      <c r="U846" s="6" t="n">
        <v>2.665689722694928</v>
      </c>
      <c r="V846" s="6" t="n">
        <v>2.905102277282235</v>
      </c>
      <c r="W846" s="6" t="n">
        <v>1.769468660088707</v>
      </c>
      <c r="X846" s="6" t="n">
        <v>2.189106384954383</v>
      </c>
      <c r="Y846" s="6" t="n">
        <v>3.475326676102513</v>
      </c>
      <c r="Z846" s="6" t="n">
        <v>0.05372807394697192</v>
      </c>
      <c r="AA846" s="6" t="n">
        <v>-3.531714786013477</v>
      </c>
      <c r="AB846" s="6" t="n">
        <v>0.4964347583523424</v>
      </c>
      <c r="AC846" s="6" t="n">
        <v>4.27891852636783</v>
      </c>
      <c r="AD846" s="6" t="n">
        <v>-0.4092868195982456</v>
      </c>
      <c r="AE846" s="6" t="n">
        <v>2.697139702447988</v>
      </c>
      <c r="AF846" s="6" t="n">
        <v>-1.689578283764972</v>
      </c>
      <c r="AG846" s="6" t="n">
        <v>-1.11600080929135</v>
      </c>
      <c r="AH846" s="6" t="n">
        <v>-3.717328191266636</v>
      </c>
      <c r="AI846" s="6" t="n">
        <v>0.7661300331508368</v>
      </c>
      <c r="AJ846" s="6" t="n">
        <v>66.87460898060789</v>
      </c>
      <c r="AK846" s="6" t="n">
        <v>0.1686659376307124</v>
      </c>
      <c r="AL846" s="6" t="n">
        <v>1.092025434096361</v>
      </c>
      <c r="AN846" s="6" t="n">
        <v>1.326548104056211</v>
      </c>
      <c r="AO846" s="6" t="n">
        <v>1.326810774163371</v>
      </c>
      <c r="AP846" s="6" t="n">
        <v>0.1283829573188149</v>
      </c>
      <c r="AQ846" s="6" t="n">
        <v>0</v>
      </c>
      <c r="AR846" s="6" t="n">
        <v>0</v>
      </c>
    </row>
    <row r="847">
      <c r="D847" t="inlineStr">
        <is>
          <t>Run 535</t>
        </is>
      </c>
      <c r="J847" s="6" t="n">
        <v>0.163931987149447</v>
      </c>
      <c r="K847" s="6" t="n">
        <v>1.659567513190372</v>
      </c>
      <c r="L847" s="6" t="n">
        <v>3.08385449190862</v>
      </c>
      <c r="M847" s="6" t="n">
        <v>1.846864544125264</v>
      </c>
      <c r="N847" s="6" t="n">
        <v>-1.694312480186094</v>
      </c>
      <c r="O847" s="6" t="n">
        <v>0.5358786648105387</v>
      </c>
      <c r="P847" s="6" t="n">
        <v>0.665414183930549</v>
      </c>
      <c r="Q847" s="6" t="n">
        <v>-2.52322037400687</v>
      </c>
      <c r="R847" s="6" t="n">
        <v>-0.9333953702963781</v>
      </c>
      <c r="S847" s="6" t="n">
        <v>0.5266720589691949</v>
      </c>
      <c r="T847" s="6" t="n">
        <v>-0.620334748243125</v>
      </c>
      <c r="U847" s="6" t="n">
        <v>0.3476193471844123</v>
      </c>
      <c r="V847" s="6" t="n">
        <v>-1.561091001694997</v>
      </c>
      <c r="W847" s="6" t="n">
        <v>0.5343838286509005</v>
      </c>
      <c r="X847" s="6" t="n">
        <v>-5.521923056975783</v>
      </c>
      <c r="Y847" s="6" t="n">
        <v>2.153640887816226</v>
      </c>
      <c r="Z847" s="6" t="n">
        <v>1.389993683978368</v>
      </c>
      <c r="AA847" s="6" t="n">
        <v>1.266462897462963</v>
      </c>
      <c r="AB847" s="6" t="n">
        <v>0.5504856692276215</v>
      </c>
      <c r="AC847" s="6" t="n">
        <v>-0.24532515969149</v>
      </c>
      <c r="AD847" s="6" t="n">
        <v>0.7693680250208376</v>
      </c>
      <c r="AE847" s="6" t="n">
        <v>-0.8475972588153977</v>
      </c>
      <c r="AF847" s="6" t="n">
        <v>-2.635778567295235</v>
      </c>
      <c r="AG847" s="6" t="n">
        <v>-0.05402211838656193</v>
      </c>
      <c r="AH847" s="6" t="n">
        <v>1.306315551057827</v>
      </c>
      <c r="AI847" s="6" t="n">
        <v>-0.52514845443022</v>
      </c>
      <c r="AJ847" s="6" t="n">
        <v>70.31250492793048</v>
      </c>
      <c r="AK847" s="6" t="n">
        <v>0.1003700180367644</v>
      </c>
      <c r="AL847" s="6" t="n">
        <v>1.089154987243626</v>
      </c>
      <c r="AN847" s="6" t="n">
        <v>1.333841611242232</v>
      </c>
      <c r="AO847" s="6" t="n">
        <v>1.334189183177849</v>
      </c>
      <c r="AP847" s="6" t="n">
        <v>0.1298330934755409</v>
      </c>
      <c r="AQ847" s="6" t="n">
        <v>0</v>
      </c>
      <c r="AR847" s="6" t="n">
        <v>0</v>
      </c>
    </row>
    <row r="848">
      <c r="D848" t="inlineStr">
        <is>
          <t>Run 536</t>
        </is>
      </c>
      <c r="J848" s="6" t="n">
        <v>-0.1926016235973201</v>
      </c>
      <c r="K848" s="6" t="n">
        <v>-1.603921634683345</v>
      </c>
      <c r="L848" s="6" t="n">
        <v>-0.4332438499963658</v>
      </c>
      <c r="M848" s="6" t="n">
        <v>-1.154687507983988</v>
      </c>
      <c r="N848" s="6" t="n">
        <v>-2.867050305425973</v>
      </c>
      <c r="O848" s="6" t="n">
        <v>-1.896654970085389</v>
      </c>
      <c r="P848" s="6" t="n">
        <v>0.3001363605545064</v>
      </c>
      <c r="Q848" s="6" t="n">
        <v>-4.971560150402127</v>
      </c>
      <c r="R848" s="6" t="n">
        <v>1.105886512909844</v>
      </c>
      <c r="S848" s="6" t="n">
        <v>0.002589160182673925</v>
      </c>
      <c r="T848" s="6" t="n">
        <v>0.1449942092297696</v>
      </c>
      <c r="U848" s="6" t="n">
        <v>1.625152362008508</v>
      </c>
      <c r="V848" s="6" t="n">
        <v>-1.159268505670315</v>
      </c>
      <c r="W848" s="6" t="n">
        <v>-1.992760680333424</v>
      </c>
      <c r="X848" s="6" t="n">
        <v>-6.311116397939553</v>
      </c>
      <c r="Y848" s="6" t="n">
        <v>1.008226009530785</v>
      </c>
      <c r="Z848" s="6" t="n">
        <v>2.964883450141842</v>
      </c>
      <c r="AA848" s="6" t="n">
        <v>1.731165404166018</v>
      </c>
      <c r="AB848" s="6" t="n">
        <v>-1.227428434109443</v>
      </c>
      <c r="AC848" s="6" t="n">
        <v>1.042685057865086</v>
      </c>
      <c r="AD848" s="6" t="n">
        <v>-0.1724835588735831</v>
      </c>
      <c r="AE848" s="6" t="n">
        <v>-2.319413262212861</v>
      </c>
      <c r="AF848" s="6" t="n">
        <v>-1.291955920597937</v>
      </c>
      <c r="AG848" s="6" t="n">
        <v>-2.487461859746527</v>
      </c>
      <c r="AH848" s="6" t="n">
        <v>-2.16676716670189</v>
      </c>
      <c r="AI848" s="6" t="n">
        <v>3.327847910769857</v>
      </c>
      <c r="AJ848" s="6" t="n">
        <v>79.68315377856969</v>
      </c>
      <c r="AK848" s="6" t="n">
        <v>0.1910243856849126</v>
      </c>
      <c r="AL848" s="6" t="n">
        <v>1.042232773598254</v>
      </c>
      <c r="AN848" s="6" t="n">
        <v>1.343626116582533</v>
      </c>
      <c r="AO848" s="6" t="n">
        <v>1.345852167518034</v>
      </c>
      <c r="AP848" s="6" t="n">
        <v>0.1313600038857354</v>
      </c>
      <c r="AQ848" s="6" t="n">
        <v>0</v>
      </c>
      <c r="AR848" s="6" t="n">
        <v>0</v>
      </c>
    </row>
    <row r="849">
      <c r="D849" t="inlineStr">
        <is>
          <t>Run 537</t>
        </is>
      </c>
      <c r="J849" s="6" t="n">
        <v>2.087101571048243</v>
      </c>
      <c r="K849" s="6" t="n">
        <v>0.7697535678393297</v>
      </c>
      <c r="L849" s="6" t="n">
        <v>4.224038361543357</v>
      </c>
      <c r="M849" s="6" t="n">
        <v>0.8029212701500027</v>
      </c>
      <c r="N849" s="6" t="n">
        <v>-0.1318772507388282</v>
      </c>
      <c r="O849" s="6" t="n">
        <v>2.302990926030188</v>
      </c>
      <c r="P849" s="6" t="n">
        <v>-4.321833902261033</v>
      </c>
      <c r="Q849" s="6" t="n">
        <v>1.060817635409983</v>
      </c>
      <c r="R849" s="6" t="n">
        <v>-4.028939915033067</v>
      </c>
      <c r="S849" s="6" t="n">
        <v>-0.02882058534163574</v>
      </c>
      <c r="T849" s="6" t="n">
        <v>-0.8484840919805463</v>
      </c>
      <c r="U849" s="6" t="n">
        <v>-0.4630284411142473</v>
      </c>
      <c r="V849" s="6" t="n">
        <v>-0.788257380495891</v>
      </c>
      <c r="W849" s="6" t="n">
        <v>0.3988093308477544</v>
      </c>
      <c r="X849" s="6" t="n">
        <v>1.726965836739911</v>
      </c>
      <c r="Y849" s="6" t="n">
        <v>0.06762966080441335</v>
      </c>
      <c r="Z849" s="6" t="n">
        <v>0.5574030755465373</v>
      </c>
      <c r="AA849" s="6" t="n">
        <v>0.8880959059361502</v>
      </c>
      <c r="AB849" s="6" t="n">
        <v>2.486610320175672</v>
      </c>
      <c r="AC849" s="6" t="n">
        <v>-0.822771163146124</v>
      </c>
      <c r="AD849" s="6" t="n">
        <v>-0.1124275262297323</v>
      </c>
      <c r="AE849" s="6" t="n">
        <v>-1.329138497859195</v>
      </c>
      <c r="AF849" s="6" t="n">
        <v>-0.1347909481086846</v>
      </c>
      <c r="AG849" s="6" t="n">
        <v>-0.9979138035323865</v>
      </c>
      <c r="AH849" s="6" t="n">
        <v>2.599834106113137</v>
      </c>
      <c r="AI849" s="6" t="n">
        <v>-1.05513312922518</v>
      </c>
      <c r="AJ849" s="6" t="n">
        <v>60.88705300674062</v>
      </c>
      <c r="AK849" s="6" t="n">
        <v>0.08968117843283871</v>
      </c>
      <c r="AL849" s="6" t="n">
        <v>1.000133789788515</v>
      </c>
      <c r="AN849" s="6" t="n">
        <v>1.348878281983385</v>
      </c>
      <c r="AO849" s="6" t="n">
        <v>1.348878281983385</v>
      </c>
      <c r="AP849" s="6" t="n">
        <v>0.1377859707605754</v>
      </c>
      <c r="AQ849" s="6" t="n">
        <v>0</v>
      </c>
      <c r="AR849" s="6" t="n">
        <v>0</v>
      </c>
    </row>
    <row r="850">
      <c r="D850" t="inlineStr">
        <is>
          <t>Run 538</t>
        </is>
      </c>
      <c r="J850" s="6" t="n">
        <v>3.095360827897444</v>
      </c>
      <c r="K850" s="6" t="n">
        <v>-2.623973156626025</v>
      </c>
      <c r="L850" s="6" t="n">
        <v>1.166382314404756</v>
      </c>
      <c r="M850" s="6" t="n">
        <v>3.302704388402268</v>
      </c>
      <c r="N850" s="6" t="n">
        <v>0.5221115792012798</v>
      </c>
      <c r="O850" s="6" t="n">
        <v>-1.341045815355037</v>
      </c>
      <c r="P850" s="6" t="n">
        <v>-2.136360018184411</v>
      </c>
      <c r="Q850" s="6" t="n">
        <v>3.745431016745036</v>
      </c>
      <c r="R850" s="6" t="n">
        <v>1.198457064081924</v>
      </c>
      <c r="S850" s="6" t="n">
        <v>-1.147783799094587</v>
      </c>
      <c r="T850" s="6" t="n">
        <v>-2.280321720773112</v>
      </c>
      <c r="U850" s="6" t="n">
        <v>0.8189285141501804</v>
      </c>
      <c r="V850" s="6" t="n">
        <v>-2.423783120458188</v>
      </c>
      <c r="W850" s="6" t="n">
        <v>-0.4230682218858519</v>
      </c>
      <c r="X850" s="6" t="n">
        <v>0.2363546132058165</v>
      </c>
      <c r="Y850" s="6" t="n">
        <v>2.070407179863995</v>
      </c>
      <c r="Z850" s="6" t="n">
        <v>-1.352405638648489</v>
      </c>
      <c r="AA850" s="6" t="n">
        <v>-2.192476306439483</v>
      </c>
      <c r="AB850" s="6" t="n">
        <v>3.789161391624081</v>
      </c>
      <c r="AC850" s="6" t="n">
        <v>-0.6339356027858308</v>
      </c>
      <c r="AD850" s="6" t="n">
        <v>-0.4748112495372473</v>
      </c>
      <c r="AE850" s="6" t="n">
        <v>1.69487391140938</v>
      </c>
      <c r="AF850" s="6" t="n">
        <v>2.508053298280774</v>
      </c>
      <c r="AG850" s="6" t="n">
        <v>2.472411751368321</v>
      </c>
      <c r="AH850" s="6" t="n">
        <v>2.047427234971988</v>
      </c>
      <c r="AI850" s="6" t="n">
        <v>1.884808035574119</v>
      </c>
      <c r="AJ850" s="6" t="n">
        <v>74.04393115023399</v>
      </c>
      <c r="AK850" s="6" t="n">
        <v>0.1170736353204919</v>
      </c>
      <c r="AL850" s="6" t="n">
        <v>1.033195962715292</v>
      </c>
      <c r="AN850" s="6" t="n">
        <v>1.350827442599959</v>
      </c>
      <c r="AO850" s="6" t="n">
        <v>1.351489785460307</v>
      </c>
      <c r="AP850" s="6" t="n">
        <v>0.1345033728549817</v>
      </c>
      <c r="AQ850" s="6" t="n">
        <v>0</v>
      </c>
      <c r="AR850" s="6" t="n">
        <v>0</v>
      </c>
    </row>
    <row r="851">
      <c r="D851" t="inlineStr">
        <is>
          <t>Run 539</t>
        </is>
      </c>
      <c r="J851" s="6" t="n">
        <v>0.4046795985430657</v>
      </c>
      <c r="K851" s="6" t="n">
        <v>0.4267166179851479</v>
      </c>
      <c r="L851" s="6" t="n">
        <v>-2.749711663989024</v>
      </c>
      <c r="M851" s="6" t="n">
        <v>0.8549172594848847</v>
      </c>
      <c r="N851" s="6" t="n">
        <v>2.39988581784616</v>
      </c>
      <c r="O851" s="6" t="n">
        <v>3.731469196060377</v>
      </c>
      <c r="P851" s="6" t="n">
        <v>1.501158088893724</v>
      </c>
      <c r="Q851" s="6" t="n">
        <v>0.683494419449852</v>
      </c>
      <c r="R851" s="6" t="n">
        <v>-1.098955830828367</v>
      </c>
      <c r="S851" s="6" t="n">
        <v>1.005976458317416</v>
      </c>
      <c r="T851" s="6" t="n">
        <v>0.07472491973587309</v>
      </c>
      <c r="U851" s="6" t="n">
        <v>1.116282382445179</v>
      </c>
      <c r="V851" s="6" t="n">
        <v>2.068388419603718</v>
      </c>
      <c r="W851" s="6" t="n">
        <v>-2.863607466134668</v>
      </c>
      <c r="X851" s="6" t="n">
        <v>0.6130857566137807</v>
      </c>
      <c r="Y851" s="6" t="n">
        <v>2.224086578774202</v>
      </c>
      <c r="Z851" s="6" t="n">
        <v>2.684204754704437</v>
      </c>
      <c r="AA851" s="6" t="n">
        <v>-2.099513105603556</v>
      </c>
      <c r="AB851" s="6" t="n">
        <v>3.097370992833313</v>
      </c>
      <c r="AC851" s="6" t="n">
        <v>-0.7949637051063726</v>
      </c>
      <c r="AD851" s="6" t="n">
        <v>3.037745226837992</v>
      </c>
      <c r="AE851" s="6" t="n">
        <v>-0.04099048997455389</v>
      </c>
      <c r="AF851" s="6" t="n">
        <v>2.970243640022692</v>
      </c>
      <c r="AG851" s="6" t="n">
        <v>4.919132454801561</v>
      </c>
      <c r="AH851" s="6" t="n">
        <v>-3.896453243636147</v>
      </c>
      <c r="AI851" s="6" t="n">
        <v>1.050892829124234</v>
      </c>
      <c r="AJ851" s="6" t="n">
        <v>78.20437471917126</v>
      </c>
      <c r="AK851" s="6" t="n">
        <v>0.1101324999732047</v>
      </c>
      <c r="AL851" s="6" t="n">
        <v>1.084032689682714</v>
      </c>
      <c r="AN851" s="6" t="n">
        <v>1.337567434386701</v>
      </c>
      <c r="AO851" s="6" t="n">
        <v>1.337892433444968</v>
      </c>
      <c r="AP851" s="6" t="n">
        <v>0.1307108294707136</v>
      </c>
      <c r="AQ851" s="6" t="n">
        <v>0</v>
      </c>
      <c r="AR851" s="6" t="n">
        <v>0</v>
      </c>
    </row>
    <row r="852">
      <c r="D852" t="inlineStr">
        <is>
          <t>Run 540</t>
        </is>
      </c>
      <c r="J852" s="6" t="n">
        <v>1.718181253007686</v>
      </c>
      <c r="K852" s="6" t="n">
        <v>-0.7538021337829499</v>
      </c>
      <c r="L852" s="6" t="n">
        <v>-0.5495949389312065</v>
      </c>
      <c r="M852" s="6" t="n">
        <v>1.450375589407723</v>
      </c>
      <c r="N852" s="6" t="n">
        <v>-2.524033449547956</v>
      </c>
      <c r="O852" s="6" t="n">
        <v>-0.01042485645840045</v>
      </c>
      <c r="P852" s="6" t="n">
        <v>-0.9865317887207635</v>
      </c>
      <c r="Q852" s="6" t="n">
        <v>1.615229956913196</v>
      </c>
      <c r="R852" s="6" t="n">
        <v>3.352454251973366</v>
      </c>
      <c r="S852" s="6" t="n">
        <v>1.401183267814228</v>
      </c>
      <c r="T852" s="6" t="n">
        <v>1.44877040405984</v>
      </c>
      <c r="U852" s="6" t="n">
        <v>-2.062469397333378</v>
      </c>
      <c r="V852" s="6" t="n">
        <v>-1.333829199132527</v>
      </c>
      <c r="W852" s="6" t="n">
        <v>2.170856472825281</v>
      </c>
      <c r="X852" s="6" t="n">
        <v>-1.986986915609055</v>
      </c>
      <c r="Y852" s="6" t="n">
        <v>-1.6439419999104</v>
      </c>
      <c r="Z852" s="6" t="n">
        <v>-3.840528710972722</v>
      </c>
      <c r="AA852" s="6" t="n">
        <v>-0.7409262029970706</v>
      </c>
      <c r="AB852" s="6" t="n">
        <v>0.2534684788902309</v>
      </c>
      <c r="AC852" s="6" t="n">
        <v>0.9306257980833839</v>
      </c>
      <c r="AD852" s="6" t="n">
        <v>-2.780610810677366</v>
      </c>
      <c r="AE852" s="6" t="n">
        <v>2.593115310503365</v>
      </c>
      <c r="AF852" s="6" t="n">
        <v>1.12377319564047</v>
      </c>
      <c r="AG852" s="6" t="n">
        <v>-1.16989196078275</v>
      </c>
      <c r="AH852" s="6" t="n">
        <v>0.4567400776089222</v>
      </c>
      <c r="AI852" s="6" t="n">
        <v>-0.3064327848586038</v>
      </c>
      <c r="AJ852" s="6" t="n">
        <v>78.0217821247544</v>
      </c>
      <c r="AK852" s="6" t="n">
        <v>0.03163386339434124</v>
      </c>
      <c r="AL852" s="6" t="n">
        <v>1.056667236989742</v>
      </c>
      <c r="AN852" s="6" t="n">
        <v>1.350013884773625</v>
      </c>
      <c r="AO852" s="6" t="n">
        <v>1.350013884773625</v>
      </c>
      <c r="AP852" s="6" t="n">
        <v>0.1345085661220073</v>
      </c>
      <c r="AQ852" s="6" t="n">
        <v>0</v>
      </c>
      <c r="AR852" s="6" t="n">
        <v>0</v>
      </c>
    </row>
    <row r="853">
      <c r="D853" t="inlineStr">
        <is>
          <t>Run 541</t>
        </is>
      </c>
      <c r="J853" s="6" t="n">
        <v>1.360850160964131</v>
      </c>
      <c r="K853" s="6" t="n">
        <v>-1.714598053144051</v>
      </c>
      <c r="L853" s="6" t="n">
        <v>2.549715745884467</v>
      </c>
      <c r="M853" s="6" t="n">
        <v>2.00812872704119</v>
      </c>
      <c r="N853" s="6" t="n">
        <v>-2.532329199147873</v>
      </c>
      <c r="O853" s="6" t="n">
        <v>-0.9815541827840711</v>
      </c>
      <c r="P853" s="6" t="n">
        <v>-3.111865418675376</v>
      </c>
      <c r="Q853" s="6" t="n">
        <v>0.8635430336932921</v>
      </c>
      <c r="R853" s="6" t="n">
        <v>0.7642612912907473</v>
      </c>
      <c r="S853" s="6" t="n">
        <v>-1.77538786487631</v>
      </c>
      <c r="T853" s="6" t="n">
        <v>-0.6006366878379387</v>
      </c>
      <c r="U853" s="6" t="n">
        <v>3.102750586623615</v>
      </c>
      <c r="V853" s="6" t="n">
        <v>1.981247454819395</v>
      </c>
      <c r="W853" s="6" t="n">
        <v>1.165636342476845</v>
      </c>
      <c r="X853" s="6" t="n">
        <v>-0.3460536180554482</v>
      </c>
      <c r="Y853" s="6" t="n">
        <v>-2.777803309482402</v>
      </c>
      <c r="Z853" s="6" t="n">
        <v>-2.068214339113689</v>
      </c>
      <c r="AA853" s="6" t="n">
        <v>-1.093680146585092</v>
      </c>
      <c r="AB853" s="6" t="n">
        <v>-1.710331910023836</v>
      </c>
      <c r="AC853" s="6" t="n">
        <v>-0.2436224583205505</v>
      </c>
      <c r="AD853" s="6" t="n">
        <v>-0.8605714625275021</v>
      </c>
      <c r="AE853" s="6" t="n">
        <v>-2.418923668884277</v>
      </c>
      <c r="AF853" s="6" t="n">
        <v>-1.81351045818481</v>
      </c>
      <c r="AG853" s="6" t="n">
        <v>1.031308557853629</v>
      </c>
      <c r="AH853" s="6" t="n">
        <v>-1.110365930297441</v>
      </c>
      <c r="AI853" s="6" t="n">
        <v>-2.181121358889001</v>
      </c>
      <c r="AJ853" s="6" t="n">
        <v>76.05924578069192</v>
      </c>
      <c r="AK853" s="6" t="n">
        <v>0.05907642414251295</v>
      </c>
      <c r="AL853" s="6" t="n">
        <v>1.072691367165265</v>
      </c>
      <c r="AN853" s="6" t="n">
        <v>1.345111060805536</v>
      </c>
      <c r="AO853" s="6" t="n">
        <v>1.345213213773026</v>
      </c>
      <c r="AP853" s="6" t="n">
        <v>0.1325359689442582</v>
      </c>
      <c r="AQ853" s="6" t="n">
        <v>0</v>
      </c>
      <c r="AR853" s="6" t="n">
        <v>0</v>
      </c>
    </row>
    <row r="854">
      <c r="D854" t="inlineStr">
        <is>
          <t>Run 542</t>
        </is>
      </c>
      <c r="J854" s="6" t="n">
        <v>-2.368665699571461</v>
      </c>
      <c r="K854" s="6" t="n">
        <v>3.133239049123179</v>
      </c>
      <c r="L854" s="6" t="n">
        <v>-2.776718532445852</v>
      </c>
      <c r="M854" s="6" t="n">
        <v>-1.794932499793251</v>
      </c>
      <c r="N854" s="6" t="n">
        <v>3.379682930198096</v>
      </c>
      <c r="O854" s="6" t="n">
        <v>-1.813643299693938</v>
      </c>
      <c r="P854" s="6" t="n">
        <v>-3.613856506065978</v>
      </c>
      <c r="Q854" s="6" t="n">
        <v>-1.370373988622511</v>
      </c>
      <c r="R854" s="6" t="n">
        <v>-0.2807778150515201</v>
      </c>
      <c r="S854" s="6" t="n">
        <v>1.175703364106786</v>
      </c>
      <c r="T854" s="6" t="n">
        <v>-0.5757736436014307</v>
      </c>
      <c r="U854" s="6" t="n">
        <v>-0.550710483735019</v>
      </c>
      <c r="V854" s="6" t="n">
        <v>-0.0832953015562282</v>
      </c>
      <c r="W854" s="6" t="n">
        <v>-2.039290684092061</v>
      </c>
      <c r="X854" s="6" t="n">
        <v>-1.726462765065411</v>
      </c>
      <c r="Y854" s="6" t="n">
        <v>-0.2218716361655472</v>
      </c>
      <c r="Z854" s="6" t="n">
        <v>1.782501346945742</v>
      </c>
      <c r="AA854" s="6" t="n">
        <v>-0.5662132334219377</v>
      </c>
      <c r="AB854" s="6" t="n">
        <v>-2.305083756587885</v>
      </c>
      <c r="AC854" s="6" t="n">
        <v>2.213335629270653</v>
      </c>
      <c r="AD854" s="6" t="n">
        <v>-1.482067102928049</v>
      </c>
      <c r="AE854" s="6" t="n">
        <v>2.63320909367796</v>
      </c>
      <c r="AF854" s="6" t="n">
        <v>-2.818559152118842</v>
      </c>
      <c r="AG854" s="6" t="n">
        <v>0.623667765893557</v>
      </c>
      <c r="AH854" s="6" t="n">
        <v>1.414112183428739</v>
      </c>
      <c r="AI854" s="6" t="n">
        <v>-0.3184134610249807</v>
      </c>
      <c r="AJ854" s="6" t="n">
        <v>60.35061207211279</v>
      </c>
      <c r="AK854" s="6" t="n">
        <v>0.02554505831155247</v>
      </c>
      <c r="AL854" s="6" t="n">
        <v>1.062989249460281</v>
      </c>
      <c r="AN854" s="6" t="n">
        <v>1.331743347054632</v>
      </c>
      <c r="AO854" s="6" t="n">
        <v>1.336293786433486</v>
      </c>
      <c r="AP854" s="6" t="n">
        <v>0.1324643042531558</v>
      </c>
      <c r="AQ854" s="6" t="n">
        <v>0</v>
      </c>
      <c r="AR854" s="6" t="n">
        <v>0</v>
      </c>
    </row>
    <row r="855">
      <c r="D855" t="inlineStr">
        <is>
          <t>Run 543</t>
        </is>
      </c>
      <c r="J855" s="6" t="n">
        <v>-4.711617313063541</v>
      </c>
      <c r="K855" s="6" t="n">
        <v>0.06520387471688353</v>
      </c>
      <c r="L855" s="6" t="n">
        <v>1.660547559935049</v>
      </c>
      <c r="M855" s="6" t="n">
        <v>-3.393193735727473</v>
      </c>
      <c r="N855" s="6" t="n">
        <v>0.665821131744962</v>
      </c>
      <c r="O855" s="6" t="n">
        <v>1.531613371800438</v>
      </c>
      <c r="P855" s="6" t="n">
        <v>0.8668903245836629</v>
      </c>
      <c r="Q855" s="6" t="n">
        <v>-0.1360586134125083</v>
      </c>
      <c r="R855" s="6" t="n">
        <v>-2.62342935902763</v>
      </c>
      <c r="S855" s="6" t="n">
        <v>5</v>
      </c>
      <c r="T855" s="6" t="n">
        <v>-2.039651983048717</v>
      </c>
      <c r="U855" s="6" t="n">
        <v>-0.334801854435824</v>
      </c>
      <c r="V855" s="6" t="n">
        <v>-0.3677276693871734</v>
      </c>
      <c r="W855" s="6" t="n">
        <v>4.890680191461524</v>
      </c>
      <c r="X855" s="6" t="n">
        <v>3.043885868778253</v>
      </c>
      <c r="Y855" s="6" t="n">
        <v>-0.4181877317886578</v>
      </c>
      <c r="Z855" s="6" t="n">
        <v>0.473966543739698</v>
      </c>
      <c r="AA855" s="6" t="n">
        <v>-0.320598323920038</v>
      </c>
      <c r="AB855" s="6" t="n">
        <v>1.181502267016777</v>
      </c>
      <c r="AC855" s="6" t="n">
        <v>2.800592691106163</v>
      </c>
      <c r="AD855" s="6" t="n">
        <v>-1.855313601599757</v>
      </c>
      <c r="AE855" s="6" t="n">
        <v>1.424289290911433</v>
      </c>
      <c r="AF855" s="6" t="n">
        <v>1.991778904691698</v>
      </c>
      <c r="AG855" s="6" t="n">
        <v>-0.8706765431239777</v>
      </c>
      <c r="AH855" s="6" t="n">
        <v>-0.3442738326878733</v>
      </c>
      <c r="AI855" s="6" t="n">
        <v>-1.110681293662124</v>
      </c>
      <c r="AJ855" s="6" t="n">
        <v>75.06183983181178</v>
      </c>
      <c r="AK855" s="6" t="n">
        <v>0.1050962086395024</v>
      </c>
      <c r="AL855" s="6" t="n">
        <v>0.9987068213995995</v>
      </c>
      <c r="AN855" s="6" t="n">
        <v>1.331866486300416</v>
      </c>
      <c r="AO855" s="6" t="n">
        <v>1.344197541950536</v>
      </c>
      <c r="AP855" s="6" t="n">
        <v>0.1391600687732999</v>
      </c>
      <c r="AQ855" s="6" t="n">
        <v>0</v>
      </c>
      <c r="AR855" s="6" t="n">
        <v>0</v>
      </c>
    </row>
    <row r="856">
      <c r="D856" t="inlineStr">
        <is>
          <t>Run 544</t>
        </is>
      </c>
      <c r="J856" s="6" t="n">
        <v>2.955285890714062</v>
      </c>
      <c r="K856" s="6" t="n">
        <v>-3.53277786681274</v>
      </c>
      <c r="L856" s="6" t="n">
        <v>-5.853497591144763</v>
      </c>
      <c r="M856" s="6" t="n">
        <v>0.827842041047435</v>
      </c>
      <c r="N856" s="6" t="n">
        <v>0.1750427055156534</v>
      </c>
      <c r="O856" s="6" t="n">
        <v>0.6648018263106726</v>
      </c>
      <c r="P856" s="6" t="n">
        <v>1.268956247259177</v>
      </c>
      <c r="Q856" s="6" t="n">
        <v>-0.3383135880829293</v>
      </c>
      <c r="R856" s="6" t="n">
        <v>1.887559571202577</v>
      </c>
      <c r="S856" s="6" t="n">
        <v>-1.726997387240126</v>
      </c>
      <c r="T856" s="6" t="n">
        <v>-0.8815040812976102</v>
      </c>
      <c r="U856" s="6" t="n">
        <v>2.193023668304383</v>
      </c>
      <c r="V856" s="6" t="n">
        <v>-0.3405798349147664</v>
      </c>
      <c r="W856" s="6" t="n">
        <v>-2.793038506300117</v>
      </c>
      <c r="X856" s="6" t="n">
        <v>3.075513401158181</v>
      </c>
      <c r="Y856" s="6" t="n">
        <v>-2.243114785674842</v>
      </c>
      <c r="Z856" s="6" t="n">
        <v>3.720854591653157</v>
      </c>
      <c r="AA856" s="6" t="n">
        <v>1.418996726082241</v>
      </c>
      <c r="AB856" s="6" t="n">
        <v>-2.212708860600594</v>
      </c>
      <c r="AC856" s="6" t="n">
        <v>1.600054912117638</v>
      </c>
      <c r="AD856" s="6" t="n">
        <v>-0.006745910577110075</v>
      </c>
      <c r="AE856" s="6" t="n">
        <v>0.4471822011833143</v>
      </c>
      <c r="AF856" s="6" t="n">
        <v>-2.739281666668155</v>
      </c>
      <c r="AG856" s="6" t="n">
        <v>-4.65483911746183</v>
      </c>
      <c r="AH856" s="6" t="n">
        <v>-2.405861592123919</v>
      </c>
      <c r="AI856" s="6" t="n">
        <v>-4.152691411272071</v>
      </c>
      <c r="AJ856" s="6" t="n">
        <v>69.21693791274897</v>
      </c>
      <c r="AK856" s="6" t="n">
        <v>0.1172526921323397</v>
      </c>
      <c r="AL856" s="6" t="n">
        <v>1.046224005181569</v>
      </c>
      <c r="AN856" s="6" t="n">
        <v>1.32107906869865</v>
      </c>
      <c r="AO856" s="6" t="n">
        <v>1.326512321963481</v>
      </c>
      <c r="AP856" s="6" t="n">
        <v>0.1319219215538778</v>
      </c>
      <c r="AQ856" s="6" t="n">
        <v>0</v>
      </c>
      <c r="AR856" s="6" t="n">
        <v>0</v>
      </c>
    </row>
    <row r="857">
      <c r="D857" t="inlineStr">
        <is>
          <t>Run 545</t>
        </is>
      </c>
      <c r="J857" s="6" t="n">
        <v>-0.7195392815915622</v>
      </c>
      <c r="K857" s="6" t="n">
        <v>-0.6959404349197607</v>
      </c>
      <c r="L857" s="6" t="n">
        <v>1.302925533338263</v>
      </c>
      <c r="M857" s="6" t="n">
        <v>-4.580522411108723</v>
      </c>
      <c r="N857" s="6" t="n">
        <v>1.290972124750584</v>
      </c>
      <c r="O857" s="6" t="n">
        <v>1.721989576095019</v>
      </c>
      <c r="P857" s="6" t="n">
        <v>-2.668901531608783</v>
      </c>
      <c r="Q857" s="6" t="n">
        <v>-1.973479760532417</v>
      </c>
      <c r="R857" s="6" t="n">
        <v>-1.022501373454245</v>
      </c>
      <c r="S857" s="6" t="n">
        <v>-5.882673617903558</v>
      </c>
      <c r="T857" s="6" t="n">
        <v>3.330471939506476</v>
      </c>
      <c r="U857" s="6" t="n">
        <v>0.2463422909403216</v>
      </c>
      <c r="V857" s="6" t="n">
        <v>0.7598738559141155</v>
      </c>
      <c r="W857" s="6" t="n">
        <v>-0.8495206046169854</v>
      </c>
      <c r="X857" s="6" t="n">
        <v>-0.7456042535875044</v>
      </c>
      <c r="Y857" s="6" t="n">
        <v>3.939227519976966</v>
      </c>
      <c r="Z857" s="6" t="n">
        <v>1.095490043089518</v>
      </c>
      <c r="AA857" s="6" t="n">
        <v>0.4389537921374469</v>
      </c>
      <c r="AB857" s="6" t="n">
        <v>1.538133559803406</v>
      </c>
      <c r="AC857" s="6" t="n">
        <v>1.155719102488492</v>
      </c>
      <c r="AD857" s="6" t="n">
        <v>-1.984007224046287</v>
      </c>
      <c r="AE857" s="6" t="n">
        <v>-1.336627421528416</v>
      </c>
      <c r="AF857" s="6" t="n">
        <v>-0.3197072278646961</v>
      </c>
      <c r="AG857" s="6" t="n">
        <v>1.456096966391359</v>
      </c>
      <c r="AH857" s="6" t="n">
        <v>-0.2327939648761601</v>
      </c>
      <c r="AI857" s="6" t="n">
        <v>-2.508783959784112</v>
      </c>
      <c r="AJ857" s="6" t="n">
        <v>64.50583776727065</v>
      </c>
      <c r="AK857" s="6" t="n">
        <v>0.2099729111999319</v>
      </c>
      <c r="AL857" s="6" t="n">
        <v>1.042786477771175</v>
      </c>
      <c r="AN857" s="6" t="n">
        <v>1.288289467907887</v>
      </c>
      <c r="AO857" s="6" t="n">
        <v>1.301182075911709</v>
      </c>
      <c r="AP857" s="6" t="n">
        <v>0.1297078997198476</v>
      </c>
      <c r="AQ857" s="6" t="n">
        <v>0</v>
      </c>
      <c r="AR857" s="6" t="n">
        <v>0</v>
      </c>
    </row>
    <row r="858">
      <c r="D858" t="inlineStr">
        <is>
          <t>Run 546</t>
        </is>
      </c>
      <c r="J858" s="6" t="n">
        <v>-3.155476426163454</v>
      </c>
      <c r="K858" s="6" t="n">
        <v>-0.5262012437627883</v>
      </c>
      <c r="L858" s="6" t="n">
        <v>1.30796812466557</v>
      </c>
      <c r="M858" s="6" t="n">
        <v>0.4631634368172983</v>
      </c>
      <c r="N858" s="6" t="n">
        <v>-4.183475416892495</v>
      </c>
      <c r="O858" s="6" t="n">
        <v>1.085486342662171</v>
      </c>
      <c r="P858" s="6" t="n">
        <v>0.2766591140778679</v>
      </c>
      <c r="Q858" s="6" t="n">
        <v>0.6017316154483771</v>
      </c>
      <c r="R858" s="6" t="n">
        <v>-0.2143133248165014</v>
      </c>
      <c r="S858" s="6" t="n">
        <v>0.2443367644771841</v>
      </c>
      <c r="T858" s="6" t="n">
        <v>-2.97353435983502</v>
      </c>
      <c r="U858" s="6" t="n">
        <v>-0.1676678958858742</v>
      </c>
      <c r="V858" s="6" t="n">
        <v>4.914725240060919</v>
      </c>
      <c r="W858" s="6" t="n">
        <v>3.361419650821117</v>
      </c>
      <c r="X858" s="6" t="n">
        <v>0.6111008458391616</v>
      </c>
      <c r="Y858" s="6" t="n">
        <v>-1.804043363953573</v>
      </c>
      <c r="Z858" s="6" t="n">
        <v>0.6946333515105212</v>
      </c>
      <c r="AA858" s="6" t="n">
        <v>-1.263177141451765</v>
      </c>
      <c r="AB858" s="6" t="n">
        <v>-2.290180760971109</v>
      </c>
      <c r="AC858" s="6" t="n">
        <v>-0.8258774301431235</v>
      </c>
      <c r="AD858" s="6" t="n">
        <v>0.2538050950755109</v>
      </c>
      <c r="AE858" s="6" t="n">
        <v>2.385971213245372</v>
      </c>
      <c r="AF858" s="6" t="n">
        <v>-3.170146080451411</v>
      </c>
      <c r="AG858" s="6" t="n">
        <v>0.8343869651727304</v>
      </c>
      <c r="AH858" s="6" t="n">
        <v>-1.101044536013887</v>
      </c>
      <c r="AI858" s="6" t="n">
        <v>5</v>
      </c>
      <c r="AJ858" s="6" t="n">
        <v>63.80123282425272</v>
      </c>
      <c r="AK858" s="6" t="n">
        <v>0.1296007191491387</v>
      </c>
      <c r="AL858" s="6" t="n">
        <v>0.9949785608130174</v>
      </c>
      <c r="AN858" s="6" t="n">
        <v>1.356482534344893</v>
      </c>
      <c r="AO858" s="6" t="n">
        <v>1.356482534344893</v>
      </c>
      <c r="AP858" s="6" t="n">
        <v>0.138452059295131</v>
      </c>
      <c r="AQ858" s="6" t="n">
        <v>0</v>
      </c>
      <c r="AR858" s="6" t="n">
        <v>0</v>
      </c>
    </row>
    <row r="859">
      <c r="D859" t="inlineStr">
        <is>
          <t>Run 547</t>
        </is>
      </c>
      <c r="J859" s="6" t="n">
        <v>1.921822959638692</v>
      </c>
      <c r="K859" s="6" t="n">
        <v>-2.517424720046384</v>
      </c>
      <c r="L859" s="6" t="n">
        <v>3.010116232777329</v>
      </c>
      <c r="M859" s="6" t="n">
        <v>0.8527071065618282</v>
      </c>
      <c r="N859" s="6" t="n">
        <v>-1.316426056372332</v>
      </c>
      <c r="O859" s="6" t="n">
        <v>2.157025617342888</v>
      </c>
      <c r="P859" s="6" t="n">
        <v>0.4534972280772268</v>
      </c>
      <c r="Q859" s="6" t="n">
        <v>1.099703667908431</v>
      </c>
      <c r="R859" s="6" t="n">
        <v>-2.009121095706372</v>
      </c>
      <c r="S859" s="6" t="n">
        <v>-2.848528796897824</v>
      </c>
      <c r="T859" s="6" t="n">
        <v>3.414701119156972</v>
      </c>
      <c r="U859" s="6" t="n">
        <v>0.4645409419997575</v>
      </c>
      <c r="V859" s="6" t="n">
        <v>0.07058161820696174</v>
      </c>
      <c r="W859" s="6" t="n">
        <v>0.8358214007672063</v>
      </c>
      <c r="X859" s="6" t="n">
        <v>0.7376923394087324</v>
      </c>
      <c r="Y859" s="6" t="n">
        <v>-3.504937537148083</v>
      </c>
      <c r="Z859" s="6" t="n">
        <v>-1.531828837251395</v>
      </c>
      <c r="AA859" s="6" t="n">
        <v>3.150771945029871</v>
      </c>
      <c r="AB859" s="6" t="n">
        <v>-1.989001632468162</v>
      </c>
      <c r="AC859" s="6" t="n">
        <v>1.916054402989723</v>
      </c>
      <c r="AD859" s="6" t="n">
        <v>1.309145486719794</v>
      </c>
      <c r="AE859" s="6" t="n">
        <v>-1.229033427734986</v>
      </c>
      <c r="AF859" s="6" t="n">
        <v>4.690733035407316</v>
      </c>
      <c r="AG859" s="6" t="n">
        <v>-0.4711944940634151</v>
      </c>
      <c r="AH859" s="6" t="n">
        <v>-0.149024550010732</v>
      </c>
      <c r="AI859" s="6" t="n">
        <v>-1.012515488611964</v>
      </c>
      <c r="AJ859" s="6" t="n">
        <v>79.81991606082282</v>
      </c>
      <c r="AK859" s="6" t="n">
        <v>0.1478080507727189</v>
      </c>
      <c r="AL859" s="6" t="n">
        <v>1.071238072773649</v>
      </c>
      <c r="AN859" s="6" t="n">
        <v>1.33615822564752</v>
      </c>
      <c r="AO859" s="6" t="n">
        <v>1.336282177353126</v>
      </c>
      <c r="AP859" s="6" t="n">
        <v>0.1304834274936175</v>
      </c>
      <c r="AQ859" s="6" t="n">
        <v>0</v>
      </c>
      <c r="AR859" s="6" t="n">
        <v>0</v>
      </c>
    </row>
    <row r="860">
      <c r="D860" t="inlineStr">
        <is>
          <t>Run 548</t>
        </is>
      </c>
      <c r="J860" s="6" t="n">
        <v>-3.742313551321168</v>
      </c>
      <c r="K860" s="6" t="n">
        <v>-0.352333264454895</v>
      </c>
      <c r="L860" s="6" t="n">
        <v>-0.9494012429125757</v>
      </c>
      <c r="M860" s="6" t="n">
        <v>3.523127612692644</v>
      </c>
      <c r="N860" s="6" t="n">
        <v>-0.2323245192368349</v>
      </c>
      <c r="O860" s="6" t="n">
        <v>-1.454059241428746</v>
      </c>
      <c r="P860" s="6" t="n">
        <v>-0.1902848003221781</v>
      </c>
      <c r="Q860" s="6" t="n">
        <v>-2.778559136623937</v>
      </c>
      <c r="R860" s="6" t="n">
        <v>2.853507385537384</v>
      </c>
      <c r="S860" s="6" t="n">
        <v>0.5657117679499714</v>
      </c>
      <c r="T860" s="6" t="n">
        <v>1.644353429505371</v>
      </c>
      <c r="U860" s="6" t="n">
        <v>-1.283432326645053</v>
      </c>
      <c r="V860" s="6" t="n">
        <v>-4.506225681818191</v>
      </c>
      <c r="W860" s="6" t="n">
        <v>-1.663227264981379</v>
      </c>
      <c r="X860" s="6" t="n">
        <v>1.499952783145844</v>
      </c>
      <c r="Y860" s="6" t="n">
        <v>-3.005526083552666</v>
      </c>
      <c r="Z860" s="6" t="n">
        <v>0.2700283865719478</v>
      </c>
      <c r="AA860" s="6" t="n">
        <v>-1.969163393418871</v>
      </c>
      <c r="AB860" s="6" t="n">
        <v>3.50100421837427</v>
      </c>
      <c r="AC860" s="6" t="n">
        <v>3.041314386035536</v>
      </c>
      <c r="AD860" s="6" t="n">
        <v>-2.884256390531181</v>
      </c>
      <c r="AE860" s="6" t="n">
        <v>-1.786884042259624</v>
      </c>
      <c r="AF860" s="6" t="n">
        <v>2.130832979916458</v>
      </c>
      <c r="AG860" s="6" t="n">
        <v>1.170924905177277</v>
      </c>
      <c r="AH860" s="6" t="n">
        <v>-2.180785543848134</v>
      </c>
      <c r="AI860" s="6" t="n">
        <v>-3.911600233519876</v>
      </c>
      <c r="AJ860" s="6" t="n">
        <v>83.45337886312686</v>
      </c>
      <c r="AK860" s="6" t="n">
        <v>0.149256448936915</v>
      </c>
      <c r="AL860" s="6" t="n">
        <v>1.01444506186227</v>
      </c>
      <c r="AN860" s="6" t="n">
        <v>1.361182436390974</v>
      </c>
      <c r="AO860" s="6" t="n">
        <v>1.362573553342218</v>
      </c>
      <c r="AP860" s="6" t="n">
        <v>0.1366630831524147</v>
      </c>
      <c r="AQ860" s="6" t="n">
        <v>0</v>
      </c>
      <c r="AR860" s="6" t="n">
        <v>0</v>
      </c>
    </row>
    <row r="861">
      <c r="D861" t="inlineStr">
        <is>
          <t>Run 549</t>
        </is>
      </c>
      <c r="J861" s="6" t="n">
        <v>-0.165812575460203</v>
      </c>
      <c r="K861" s="6" t="n">
        <v>-0.26223654254278</v>
      </c>
      <c r="L861" s="6" t="n">
        <v>-0.8702425535527923</v>
      </c>
      <c r="M861" s="6" t="n">
        <v>-2.20674949081722</v>
      </c>
      <c r="N861" s="6" t="n">
        <v>4.074112295013172</v>
      </c>
      <c r="O861" s="6" t="n">
        <v>0.2241293071928148</v>
      </c>
      <c r="P861" s="6" t="n">
        <v>-1.042420198316648</v>
      </c>
      <c r="Q861" s="6" t="n">
        <v>-0.1820208131727183</v>
      </c>
      <c r="R861" s="6" t="n">
        <v>-2.791821213234394</v>
      </c>
      <c r="S861" s="6" t="n">
        <v>-2.121855765231903</v>
      </c>
      <c r="T861" s="6" t="n">
        <v>-1.455219041702488</v>
      </c>
      <c r="U861" s="6" t="n">
        <v>0.549487973752565</v>
      </c>
      <c r="V861" s="6" t="n">
        <v>-2.332477214733505</v>
      </c>
      <c r="W861" s="6" t="n">
        <v>-1.105080565655786</v>
      </c>
      <c r="X861" s="6" t="n">
        <v>-2.333076327608932</v>
      </c>
      <c r="Y861" s="6" t="n">
        <v>0.06041510884832853</v>
      </c>
      <c r="Z861" s="6" t="n">
        <v>0.3123823048111192</v>
      </c>
      <c r="AA861" s="6" t="n">
        <v>-2.177658059944303</v>
      </c>
      <c r="AB861" s="6" t="n">
        <v>0.03619884829080074</v>
      </c>
      <c r="AC861" s="6" t="n">
        <v>-1.799347715814943</v>
      </c>
      <c r="AD861" s="6" t="n">
        <v>1.306480575997425</v>
      </c>
      <c r="AE861" s="6" t="n">
        <v>0.2485758276566812</v>
      </c>
      <c r="AF861" s="6" t="n">
        <v>-2.773052702199195</v>
      </c>
      <c r="AG861" s="6" t="n">
        <v>1.463243376335557</v>
      </c>
      <c r="AH861" s="6" t="n">
        <v>0.2357686849503713</v>
      </c>
      <c r="AI861" s="6" t="n">
        <v>-0.648718257856624</v>
      </c>
      <c r="AJ861" s="6" t="n">
        <v>73.4962251652927</v>
      </c>
      <c r="AK861" s="6" t="n">
        <v>0.1297301108048104</v>
      </c>
      <c r="AL861" s="6" t="n">
        <v>1.062936444978808</v>
      </c>
      <c r="AN861" s="6" t="n">
        <v>1.32487503808177</v>
      </c>
      <c r="AO861" s="6" t="n">
        <v>1.331021467964837</v>
      </c>
      <c r="AP861" s="6" t="n">
        <v>0.1312283082229465</v>
      </c>
      <c r="AQ861" s="6" t="n">
        <v>0</v>
      </c>
      <c r="AR861" s="6" t="n">
        <v>0</v>
      </c>
    </row>
    <row r="862">
      <c r="D862" t="inlineStr">
        <is>
          <t>Run 550</t>
        </is>
      </c>
      <c r="J862" s="6" t="n">
        <v>1.184889715129124</v>
      </c>
      <c r="K862" s="6" t="n">
        <v>3.733984617352273</v>
      </c>
      <c r="L862" s="6" t="n">
        <v>0.4086184730637181</v>
      </c>
      <c r="M862" s="6" t="n">
        <v>-0.6378990793022981</v>
      </c>
      <c r="N862" s="6" t="n">
        <v>0.8769962195283928</v>
      </c>
      <c r="O862" s="6" t="n">
        <v>-5.163017124532278</v>
      </c>
      <c r="P862" s="6" t="n">
        <v>0.1595463614603669</v>
      </c>
      <c r="Q862" s="6" t="n">
        <v>0.3832258159294359</v>
      </c>
      <c r="R862" s="6" t="n">
        <v>-0.3504872717659677</v>
      </c>
      <c r="S862" s="6" t="n">
        <v>2.091674820033024</v>
      </c>
      <c r="T862" s="6" t="n">
        <v>2.288585838032545</v>
      </c>
      <c r="U862" s="6" t="n">
        <v>1.460122458447335</v>
      </c>
      <c r="V862" s="6" t="n">
        <v>-0.9787907942717974</v>
      </c>
      <c r="W862" s="6" t="n">
        <v>-0.4354295103294608</v>
      </c>
      <c r="X862" s="6" t="n">
        <v>-0.4820494211067357</v>
      </c>
      <c r="Y862" s="6" t="n">
        <v>0.7333477817078151</v>
      </c>
      <c r="Z862" s="6" t="n">
        <v>-1.026046752286744</v>
      </c>
      <c r="AA862" s="6" t="n">
        <v>-3.731646761254171</v>
      </c>
      <c r="AB862" s="6" t="n">
        <v>-4.479923955346821</v>
      </c>
      <c r="AC862" s="6" t="n">
        <v>1.866011611962714</v>
      </c>
      <c r="AD862" s="6" t="n">
        <v>1.029607767133437</v>
      </c>
      <c r="AE862" s="6" t="n">
        <v>0.4645130037887913</v>
      </c>
      <c r="AF862" s="6" t="n">
        <v>2.675214668382281</v>
      </c>
      <c r="AG862" s="6" t="n">
        <v>-0.4982684116218495</v>
      </c>
      <c r="AH862" s="6" t="n">
        <v>-2.44557947219087</v>
      </c>
      <c r="AI862" s="6" t="n">
        <v>3.118303891352153</v>
      </c>
      <c r="AJ862" s="6" t="n">
        <v>67.68593637924434</v>
      </c>
      <c r="AK862" s="6" t="n">
        <v>0.1425610164505179</v>
      </c>
      <c r="AL862" s="6" t="n">
        <v>1.035682717386878</v>
      </c>
      <c r="AN862" s="6" t="n">
        <v>1.323492213967692</v>
      </c>
      <c r="AO862" s="6" t="n">
        <v>1.333113974054044</v>
      </c>
      <c r="AP862" s="6" t="n">
        <v>0.1327676733419244</v>
      </c>
      <c r="AQ862" s="6" t="n">
        <v>0</v>
      </c>
      <c r="AR862" s="6" t="n">
        <v>0</v>
      </c>
    </row>
    <row r="863">
      <c r="D863" t="inlineStr">
        <is>
          <t>Run 551</t>
        </is>
      </c>
      <c r="J863" s="6" t="n">
        <v>-3.688565486139518</v>
      </c>
      <c r="K863" s="6" t="n">
        <v>1.25294224456744</v>
      </c>
      <c r="L863" s="6" t="n">
        <v>-0.5207170141993972</v>
      </c>
      <c r="M863" s="6" t="n">
        <v>0.7127433906306347</v>
      </c>
      <c r="N863" s="6" t="n">
        <v>0.3855909208860649</v>
      </c>
      <c r="O863" s="6" t="n">
        <v>-1.690763250844296</v>
      </c>
      <c r="P863" s="6" t="n">
        <v>0.3201781068865335</v>
      </c>
      <c r="Q863" s="6" t="n">
        <v>-2.354881517375067</v>
      </c>
      <c r="R863" s="6" t="n">
        <v>3.184767818756463</v>
      </c>
      <c r="S863" s="6" t="n">
        <v>2.059629756558585</v>
      </c>
      <c r="T863" s="6" t="n">
        <v>-1.539977381819219</v>
      </c>
      <c r="U863" s="6" t="n">
        <v>2.28041728646993</v>
      </c>
      <c r="V863" s="6" t="n">
        <v>-1.259342851766153</v>
      </c>
      <c r="W863" s="6" t="n">
        <v>3.910213056771817</v>
      </c>
      <c r="X863" s="6" t="n">
        <v>-0.05089174037967356</v>
      </c>
      <c r="Y863" s="6" t="n">
        <v>0.5659758228684727</v>
      </c>
      <c r="Z863" s="6" t="n">
        <v>2.55527822250719</v>
      </c>
      <c r="AA863" s="6" t="n">
        <v>-1.085857922163612</v>
      </c>
      <c r="AB863" s="6" t="n">
        <v>-3.138229544819469</v>
      </c>
      <c r="AC863" s="6" t="n">
        <v>-0.5974398570663121</v>
      </c>
      <c r="AD863" s="6" t="n">
        <v>1.41798004969017</v>
      </c>
      <c r="AE863" s="6" t="n">
        <v>2.75721552787958</v>
      </c>
      <c r="AF863" s="6" t="n">
        <v>-1.037582024603192</v>
      </c>
      <c r="AG863" s="6" t="n">
        <v>-2.850895819417402</v>
      </c>
      <c r="AH863" s="6" t="n">
        <v>1.184558713086452</v>
      </c>
      <c r="AI863" s="6" t="n">
        <v>4.164449794271261</v>
      </c>
      <c r="AJ863" s="6" t="n">
        <v>81.01458759602122</v>
      </c>
      <c r="AK863" s="6" t="n">
        <v>0.102117301117299</v>
      </c>
      <c r="AL863" s="6" t="n">
        <v>1.067906451294277</v>
      </c>
      <c r="AN863" s="6" t="n">
        <v>1.34715222657065</v>
      </c>
      <c r="AO863" s="6" t="n">
        <v>1.347183463301834</v>
      </c>
      <c r="AP863" s="6" t="n">
        <v>0.1319576986771756</v>
      </c>
      <c r="AQ863" s="6" t="n">
        <v>0</v>
      </c>
      <c r="AR863" s="6" t="n">
        <v>0</v>
      </c>
    </row>
    <row r="864">
      <c r="D864" t="inlineStr">
        <is>
          <t>Run 552</t>
        </is>
      </c>
      <c r="J864" s="6" t="n">
        <v>-1.536045544626194</v>
      </c>
      <c r="K864" s="6" t="n">
        <v>-0.07823907336952503</v>
      </c>
      <c r="L864" s="6" t="n">
        <v>5</v>
      </c>
      <c r="M864" s="6" t="n">
        <v>-4.22055381561583</v>
      </c>
      <c r="N864" s="6" t="n">
        <v>0.8783179808178786</v>
      </c>
      <c r="O864" s="6" t="n">
        <v>-0.5419716344477574</v>
      </c>
      <c r="P864" s="6" t="n">
        <v>2.12793088121622</v>
      </c>
      <c r="Q864" s="6" t="n">
        <v>1.179584334734042</v>
      </c>
      <c r="R864" s="6" t="n">
        <v>-2.232060631559001</v>
      </c>
      <c r="S864" s="6" t="n">
        <v>-0.3664353542731811</v>
      </c>
      <c r="T864" s="6" t="n">
        <v>2.644590085469571</v>
      </c>
      <c r="U864" s="6" t="n">
        <v>0.3304179726100152</v>
      </c>
      <c r="V864" s="6" t="n">
        <v>-1.528437179889611</v>
      </c>
      <c r="W864" s="6" t="n">
        <v>-0.1238133570600029</v>
      </c>
      <c r="X864" s="6" t="n">
        <v>4.097716472591558</v>
      </c>
      <c r="Y864" s="6" t="n">
        <v>2.567679402926205</v>
      </c>
      <c r="Z864" s="6" t="n">
        <v>-1.510529372347337</v>
      </c>
      <c r="AA864" s="6" t="n">
        <v>-0.9374864162921177</v>
      </c>
      <c r="AB864" s="6" t="n">
        <v>1.778879494938523</v>
      </c>
      <c r="AC864" s="6" t="n">
        <v>0.2289755162275569</v>
      </c>
      <c r="AD864" s="6" t="n">
        <v>5</v>
      </c>
      <c r="AE864" s="6" t="n">
        <v>1.054042361953741</v>
      </c>
      <c r="AF864" s="6" t="n">
        <v>3.843750099498855</v>
      </c>
      <c r="AG864" s="6" t="n">
        <v>1.943829713486152</v>
      </c>
      <c r="AH864" s="6" t="n">
        <v>5</v>
      </c>
      <c r="AI864" s="6" t="n">
        <v>3.734454672022391</v>
      </c>
      <c r="AJ864" s="6" t="n">
        <v>71.15623973244107</v>
      </c>
      <c r="AK864" s="6" t="n">
        <v>0.07139068347400787</v>
      </c>
      <c r="AL864" s="6" t="n">
        <v>1.072609738259294</v>
      </c>
      <c r="AN864" s="6" t="n">
        <v>1.296073294229966</v>
      </c>
      <c r="AO864" s="6" t="n">
        <v>1.308102285343775</v>
      </c>
      <c r="AP864" s="6" t="n">
        <v>0.1314462308146067</v>
      </c>
      <c r="AQ864" s="6" t="n">
        <v>0</v>
      </c>
      <c r="AR864" s="6" t="n">
        <v>0</v>
      </c>
    </row>
    <row r="865">
      <c r="D865" t="inlineStr">
        <is>
          <t>Run 553</t>
        </is>
      </c>
      <c r="J865" s="6" t="n">
        <v>0.6472810376770564</v>
      </c>
      <c r="K865" s="6" t="n">
        <v>2.557779717734161</v>
      </c>
      <c r="L865" s="6" t="n">
        <v>0.9489010203856578</v>
      </c>
      <c r="M865" s="6" t="n">
        <v>-3.221023258844895</v>
      </c>
      <c r="N865" s="6" t="n">
        <v>-1.290931943377991</v>
      </c>
      <c r="O865" s="6" t="n">
        <v>-1.14159486584674</v>
      </c>
      <c r="P865" s="6" t="n">
        <v>-3.033087727032274</v>
      </c>
      <c r="Q865" s="6" t="n">
        <v>0.8688757637664695</v>
      </c>
      <c r="R865" s="6" t="n">
        <v>-1.921688860340023</v>
      </c>
      <c r="S865" s="6" t="n">
        <v>1.260747043379609</v>
      </c>
      <c r="T865" s="6" t="n">
        <v>-0.3091456238391728</v>
      </c>
      <c r="U865" s="6" t="n">
        <v>2.982156573152349</v>
      </c>
      <c r="V865" s="6" t="n">
        <v>1.086849647813464</v>
      </c>
      <c r="W865" s="6" t="n">
        <v>-0.05125210378226258</v>
      </c>
      <c r="X865" s="6" t="n">
        <v>-3.544937558714784</v>
      </c>
      <c r="Y865" s="6" t="n">
        <v>1.665743971229446</v>
      </c>
      <c r="Z865" s="6" t="n">
        <v>-1.219809174768794</v>
      </c>
      <c r="AA865" s="6" t="n">
        <v>-0.1483620840964661</v>
      </c>
      <c r="AB865" s="6" t="n">
        <v>1.092763081136039</v>
      </c>
      <c r="AC865" s="6" t="n">
        <v>-1.853398568999778</v>
      </c>
      <c r="AD865" s="6" t="n">
        <v>-0.1965677035996363</v>
      </c>
      <c r="AE865" s="6" t="n">
        <v>2.100289600509477</v>
      </c>
      <c r="AF865" s="6" t="n">
        <v>0.4621775755202012</v>
      </c>
      <c r="AG865" s="6" t="n">
        <v>0.1023976222244815</v>
      </c>
      <c r="AH865" s="6" t="n">
        <v>-0.8003711599075134</v>
      </c>
      <c r="AI865" s="6" t="n">
        <v>0.736900912916004</v>
      </c>
      <c r="AJ865" s="6" t="n">
        <v>81.43587512088958</v>
      </c>
      <c r="AK865" s="6" t="n">
        <v>0.124261253125294</v>
      </c>
      <c r="AL865" s="6" t="n">
        <v>1.071275280735043</v>
      </c>
      <c r="AN865" s="6" t="n">
        <v>1.310905557575939</v>
      </c>
      <c r="AO865" s="6" t="n">
        <v>1.31743652920459</v>
      </c>
      <c r="AP865" s="6" t="n">
        <v>0.1309059087393895</v>
      </c>
      <c r="AQ865" s="6" t="n">
        <v>0</v>
      </c>
      <c r="AR865" s="6" t="n">
        <v>0</v>
      </c>
    </row>
    <row r="866">
      <c r="D866" t="inlineStr">
        <is>
          <t>Run 554</t>
        </is>
      </c>
      <c r="J866" s="6" t="n">
        <v>1.324860040413057</v>
      </c>
      <c r="K866" s="6" t="n">
        <v>-0.6670161178149805</v>
      </c>
      <c r="L866" s="6" t="n">
        <v>2.729523488871018</v>
      </c>
      <c r="M866" s="6" t="n">
        <v>3.044009771238984</v>
      </c>
      <c r="N866" s="6" t="n">
        <v>1.239524897722173</v>
      </c>
      <c r="O866" s="6" t="n">
        <v>-1.634744105284062</v>
      </c>
      <c r="P866" s="6" t="n">
        <v>-0.05483925002846245</v>
      </c>
      <c r="Q866" s="6" t="n">
        <v>0.7112845842373671</v>
      </c>
      <c r="R866" s="6" t="n">
        <v>1.038429205225982</v>
      </c>
      <c r="S866" s="6" t="n">
        <v>0.7414645437208687</v>
      </c>
      <c r="T866" s="6" t="n">
        <v>-2.570913737627938</v>
      </c>
      <c r="U866" s="6" t="n">
        <v>1.549109512177638</v>
      </c>
      <c r="V866" s="6" t="n">
        <v>-1.273425321192572</v>
      </c>
      <c r="W866" s="6" t="n">
        <v>0.5040976232896267</v>
      </c>
      <c r="X866" s="6" t="n">
        <v>-0.04412363515471015</v>
      </c>
      <c r="Y866" s="6" t="n">
        <v>3.451357421718062</v>
      </c>
      <c r="Z866" s="6" t="n">
        <v>0.8253670647037368</v>
      </c>
      <c r="AA866" s="6" t="n">
        <v>2.582779836535074</v>
      </c>
      <c r="AB866" s="6" t="n">
        <v>-3.420229136296189</v>
      </c>
      <c r="AC866" s="6" t="n">
        <v>-1.226970745494426</v>
      </c>
      <c r="AD866" s="6" t="n">
        <v>2.193848396599904</v>
      </c>
      <c r="AE866" s="6" t="n">
        <v>-0.01369143436740339</v>
      </c>
      <c r="AF866" s="6" t="n">
        <v>-2.831592343748622</v>
      </c>
      <c r="AG866" s="6" t="n">
        <v>0.4103871516525346</v>
      </c>
      <c r="AH866" s="6" t="n">
        <v>-2.782986914427943</v>
      </c>
      <c r="AI866" s="6" t="n">
        <v>1.688532374954202</v>
      </c>
      <c r="AJ866" s="6" t="n">
        <v>66.28169263349336</v>
      </c>
      <c r="AK866" s="6" t="n">
        <v>0.1259301808346209</v>
      </c>
      <c r="AL866" s="6" t="n">
        <v>0.9996977720033264</v>
      </c>
      <c r="AN866" s="6" t="n">
        <v>1.351036358392343</v>
      </c>
      <c r="AO866" s="6" t="n">
        <v>1.351036358392343</v>
      </c>
      <c r="AP866" s="6" t="n">
        <v>0.1379191331166036</v>
      </c>
      <c r="AQ866" s="6" t="n">
        <v>0</v>
      </c>
      <c r="AR866" s="6" t="n">
        <v>0</v>
      </c>
    </row>
    <row r="867">
      <c r="D867" t="inlineStr">
        <is>
          <t>Run 555</t>
        </is>
      </c>
      <c r="J867" s="6" t="n">
        <v>3.599421739542548</v>
      </c>
      <c r="K867" s="6" t="n">
        <v>2.70625158354152</v>
      </c>
      <c r="L867" s="6" t="n">
        <v>1.901980740912033</v>
      </c>
      <c r="M867" s="6" t="n">
        <v>1.355578200043615</v>
      </c>
      <c r="N867" s="6" t="n">
        <v>0.6935424158345544</v>
      </c>
      <c r="O867" s="6" t="n">
        <v>0.7689946947056084</v>
      </c>
      <c r="P867" s="6" t="n">
        <v>-0.6243366196012511</v>
      </c>
      <c r="Q867" s="6" t="n">
        <v>3.569250167474246</v>
      </c>
      <c r="R867" s="6" t="n">
        <v>1.445241991344226</v>
      </c>
      <c r="S867" s="6" t="n">
        <v>-1.07084217225826</v>
      </c>
      <c r="T867" s="6" t="n">
        <v>-0.1604591546643553</v>
      </c>
      <c r="U867" s="6" t="n">
        <v>-0.6094092014485922</v>
      </c>
      <c r="V867" s="6" t="n">
        <v>0.3069729440020199</v>
      </c>
      <c r="W867" s="6" t="n">
        <v>1.886800821598796</v>
      </c>
      <c r="X867" s="6" t="n">
        <v>3.619264719921587</v>
      </c>
      <c r="Y867" s="6" t="n">
        <v>0.5269385995192225</v>
      </c>
      <c r="Z867" s="6" t="n">
        <v>-5.790813072470093</v>
      </c>
      <c r="AA867" s="6" t="n">
        <v>-0.5998970155797481</v>
      </c>
      <c r="AB867" s="6" t="n">
        <v>-0.7709653795170633</v>
      </c>
      <c r="AC867" s="6" t="n">
        <v>3.602407902322942</v>
      </c>
      <c r="AD867" s="6" t="n">
        <v>2.391217275671118</v>
      </c>
      <c r="AE867" s="6" t="n">
        <v>-1.486435038919519</v>
      </c>
      <c r="AF867" s="6" t="n">
        <v>-0.2500186455606702</v>
      </c>
      <c r="AG867" s="6" t="n">
        <v>1.622225924159033</v>
      </c>
      <c r="AH867" s="6" t="n">
        <v>0.9753722327881641</v>
      </c>
      <c r="AI867" s="6" t="n">
        <v>-1.714238534978634</v>
      </c>
      <c r="AJ867" s="6" t="n">
        <v>76.9338324463879</v>
      </c>
      <c r="AK867" s="6" t="n">
        <v>0.1481157242227756</v>
      </c>
      <c r="AL867" s="6" t="n">
        <v>1.100509323711008</v>
      </c>
      <c r="AN867" s="6" t="n">
        <v>1.326340225393865</v>
      </c>
      <c r="AO867" s="6" t="n">
        <v>1.326697630386509</v>
      </c>
      <c r="AP867" s="6" t="n">
        <v>0.1286512947965625</v>
      </c>
      <c r="AQ867" s="6" t="n">
        <v>0</v>
      </c>
      <c r="AR867" s="6" t="n">
        <v>0</v>
      </c>
    </row>
    <row r="868">
      <c r="D868" t="inlineStr">
        <is>
          <t>Run 556</t>
        </is>
      </c>
      <c r="J868" s="6" t="n">
        <v>1.669982881882997</v>
      </c>
      <c r="K868" s="6" t="n">
        <v>1.561532903261606</v>
      </c>
      <c r="L868" s="6" t="n">
        <v>-0.5728615088508811</v>
      </c>
      <c r="M868" s="6" t="n">
        <v>-1.581652257505979</v>
      </c>
      <c r="N868" s="6" t="n">
        <v>-2.208996970116658</v>
      </c>
      <c r="O868" s="6" t="n">
        <v>0.8136597632041597</v>
      </c>
      <c r="P868" s="6" t="n">
        <v>-2.111376075672153</v>
      </c>
      <c r="Q868" s="6" t="n">
        <v>-1.02315250602333</v>
      </c>
      <c r="R868" s="6" t="n">
        <v>-0.876170668627496</v>
      </c>
      <c r="S868" s="6" t="n">
        <v>0.9376954868189148</v>
      </c>
      <c r="T868" s="6" t="n">
        <v>-0.9269338199645983</v>
      </c>
      <c r="U868" s="6" t="n">
        <v>3.815231517259512</v>
      </c>
      <c r="V868" s="6" t="n">
        <v>-0.9839100350591696</v>
      </c>
      <c r="W868" s="6" t="n">
        <v>-2.001565838791006</v>
      </c>
      <c r="X868" s="6" t="n">
        <v>-3.175201792471883</v>
      </c>
      <c r="Y868" s="6" t="n">
        <v>-2.543357072587028</v>
      </c>
      <c r="Z868" s="6" t="n">
        <v>2.042189482535052</v>
      </c>
      <c r="AA868" s="6" t="n">
        <v>-0.8832342768217558</v>
      </c>
      <c r="AB868" s="6" t="n">
        <v>1.228054725084381</v>
      </c>
      <c r="AC868" s="6" t="n">
        <v>5</v>
      </c>
      <c r="AD868" s="6" t="n">
        <v>0.3321611501915183</v>
      </c>
      <c r="AE868" s="6" t="n">
        <v>2.339996421646739</v>
      </c>
      <c r="AF868" s="6" t="n">
        <v>1.331216048623421</v>
      </c>
      <c r="AG868" s="6" t="n">
        <v>-1.337440849703682</v>
      </c>
      <c r="AH868" s="6" t="n">
        <v>2.405851382009222</v>
      </c>
      <c r="AI868" s="6" t="n">
        <v>-2.433419990723093</v>
      </c>
      <c r="AJ868" s="6" t="n">
        <v>75.55938568377672</v>
      </c>
      <c r="AK868" s="6" t="n">
        <v>0.1726541578151028</v>
      </c>
      <c r="AL868" s="6" t="n">
        <v>1.092431451783109</v>
      </c>
      <c r="AN868" s="6" t="n">
        <v>1.324139463071626</v>
      </c>
      <c r="AO868" s="6" t="n">
        <v>1.326233362705487</v>
      </c>
      <c r="AP868" s="6" t="n">
        <v>0.128112383646177</v>
      </c>
      <c r="AQ868" s="6" t="n">
        <v>0</v>
      </c>
      <c r="AR868" s="6" t="n">
        <v>0</v>
      </c>
    </row>
    <row r="869">
      <c r="D869" t="inlineStr">
        <is>
          <t>Run 557</t>
        </is>
      </c>
      <c r="J869" s="6" t="n">
        <v>-1.700657632872966</v>
      </c>
      <c r="K869" s="6" t="n">
        <v>-2.100085350487231</v>
      </c>
      <c r="L869" s="6" t="n">
        <v>-4.326988600911144</v>
      </c>
      <c r="M869" s="6" t="n">
        <v>1.048918122349846</v>
      </c>
      <c r="N869" s="6" t="n">
        <v>0.2898630153030278</v>
      </c>
      <c r="O869" s="6" t="n">
        <v>-0.2796991753696604</v>
      </c>
      <c r="P869" s="6" t="n">
        <v>1.328442776017049</v>
      </c>
      <c r="Q869" s="6" t="n">
        <v>1.202906284739622</v>
      </c>
      <c r="R869" s="6" t="n">
        <v>2.632222999240887</v>
      </c>
      <c r="S869" s="6" t="n">
        <v>-1.304151591779803</v>
      </c>
      <c r="T869" s="6" t="n">
        <v>2.559958233737733</v>
      </c>
      <c r="U869" s="6" t="n">
        <v>-0.7228475558547278</v>
      </c>
      <c r="V869" s="6" t="n">
        <v>2.268067463951545</v>
      </c>
      <c r="W869" s="6" t="n">
        <v>-1.731978797874905</v>
      </c>
      <c r="X869" s="6" t="n">
        <v>1.879078621152094</v>
      </c>
      <c r="Y869" s="6" t="n">
        <v>-4.452765658879607</v>
      </c>
      <c r="Z869" s="6" t="n">
        <v>0.300144840629929</v>
      </c>
      <c r="AA869" s="6" t="n">
        <v>0.9649179307452648</v>
      </c>
      <c r="AB869" s="6" t="n">
        <v>0.8478841321893865</v>
      </c>
      <c r="AC869" s="6" t="n">
        <v>0.27210597230369</v>
      </c>
      <c r="AD869" s="6" t="n">
        <v>4.220617265201296</v>
      </c>
      <c r="AE869" s="6" t="n">
        <v>-4.283097419110343</v>
      </c>
      <c r="AF869" s="6" t="n">
        <v>-0.9928926286681432</v>
      </c>
      <c r="AG869" s="6" t="n">
        <v>-1.963764456421118</v>
      </c>
      <c r="AH869" s="6" t="n">
        <v>1.243957368627247</v>
      </c>
      <c r="AI869" s="6" t="n">
        <v>2.488599972671916</v>
      </c>
      <c r="AJ869" s="6" t="n">
        <v>79.23138086233945</v>
      </c>
      <c r="AK869" s="6" t="n">
        <v>0.05474309217401073</v>
      </c>
      <c r="AL869" s="6" t="n">
        <v>1.024924099951978</v>
      </c>
      <c r="AN869" s="6" t="n">
        <v>1.358147250084322</v>
      </c>
      <c r="AO869" s="6" t="n">
        <v>1.358147250084322</v>
      </c>
      <c r="AP869" s="6" t="n">
        <v>0.1373403417144355</v>
      </c>
      <c r="AQ869" s="6" t="n">
        <v>0</v>
      </c>
      <c r="AR869" s="6" t="n">
        <v>0</v>
      </c>
    </row>
    <row r="870">
      <c r="D870" t="inlineStr">
        <is>
          <t>Run 558</t>
        </is>
      </c>
      <c r="J870" s="6" t="n">
        <v>-1.306279834438914</v>
      </c>
      <c r="K870" s="6" t="n">
        <v>-0.5697452114211732</v>
      </c>
      <c r="L870" s="6" t="n">
        <v>-1.865612223164022</v>
      </c>
      <c r="M870" s="6" t="n">
        <v>1.64297758088675</v>
      </c>
      <c r="N870" s="6" t="n">
        <v>2.38704771559793</v>
      </c>
      <c r="O870" s="6" t="n">
        <v>-0.6859906710029765</v>
      </c>
      <c r="P870" s="6" t="n">
        <v>-2.627601251832741</v>
      </c>
      <c r="Q870" s="6" t="n">
        <v>2.543136145153848</v>
      </c>
      <c r="R870" s="6" t="n">
        <v>-0.7936859396841308</v>
      </c>
      <c r="S870" s="6" t="n">
        <v>-2.042785288358361</v>
      </c>
      <c r="T870" s="6" t="n">
        <v>1.851464125586509</v>
      </c>
      <c r="U870" s="6" t="n">
        <v>1.28934770677417</v>
      </c>
      <c r="V870" s="6" t="n">
        <v>1.998076093364491</v>
      </c>
      <c r="W870" s="6" t="n">
        <v>1.714643216735657</v>
      </c>
      <c r="X870" s="6" t="n">
        <v>0.1193018899309186</v>
      </c>
      <c r="Y870" s="6" t="n">
        <v>0.8054347499291757</v>
      </c>
      <c r="Z870" s="6" t="n">
        <v>-1.69248301494552</v>
      </c>
      <c r="AA870" s="6" t="n">
        <v>-2.977493020536597</v>
      </c>
      <c r="AB870" s="6" t="n">
        <v>0.3193454606346828</v>
      </c>
      <c r="AC870" s="6" t="n">
        <v>-2.07344992197672</v>
      </c>
      <c r="AD870" s="6" t="n">
        <v>2.186201862252984</v>
      </c>
      <c r="AE870" s="6" t="n">
        <v>-1.217596370748098</v>
      </c>
      <c r="AF870" s="6" t="n">
        <v>-0.6428921363589409</v>
      </c>
      <c r="AG870" s="6" t="n">
        <v>2.857669219473316</v>
      </c>
      <c r="AH870" s="6" t="n">
        <v>-3.403265872339665</v>
      </c>
      <c r="AI870" s="6" t="n">
        <v>1.10410375139345</v>
      </c>
      <c r="AJ870" s="6" t="n">
        <v>64.50990745272121</v>
      </c>
      <c r="AK870" s="6" t="n">
        <v>0.1543002388710257</v>
      </c>
      <c r="AL870" s="6" t="n">
        <v>1.017139952945857</v>
      </c>
      <c r="AN870" s="6" t="n">
        <v>1.350630545420581</v>
      </c>
      <c r="AO870" s="6" t="n">
        <v>1.350630545420581</v>
      </c>
      <c r="AP870" s="6" t="n">
        <v>0.1347623525630725</v>
      </c>
      <c r="AQ870" s="6" t="n">
        <v>0</v>
      </c>
      <c r="AR870" s="6" t="n">
        <v>0</v>
      </c>
    </row>
    <row r="871">
      <c r="D871" t="inlineStr">
        <is>
          <t>Run 559</t>
        </is>
      </c>
      <c r="J871" s="6" t="n">
        <v>1.491101390583442</v>
      </c>
      <c r="K871" s="6" t="n">
        <v>-1.177815212552169</v>
      </c>
      <c r="L871" s="6" t="n">
        <v>-0.6313171697808662</v>
      </c>
      <c r="M871" s="6" t="n">
        <v>1.942087344714451</v>
      </c>
      <c r="N871" s="6" t="n">
        <v>1.089963604598515</v>
      </c>
      <c r="O871" s="6" t="n">
        <v>2.53451719534254</v>
      </c>
      <c r="P871" s="6" t="n">
        <v>3.085798010594994</v>
      </c>
      <c r="Q871" s="6" t="n">
        <v>3.057083485927873</v>
      </c>
      <c r="R871" s="6" t="n">
        <v>-0.4771065522401692</v>
      </c>
      <c r="S871" s="6" t="n">
        <v>-1.52629968979075</v>
      </c>
      <c r="T871" s="6" t="n">
        <v>-0.05190889263580155</v>
      </c>
      <c r="U871" s="6" t="n">
        <v>2.169766185845481</v>
      </c>
      <c r="V871" s="6" t="n">
        <v>2.619236180508086</v>
      </c>
      <c r="W871" s="6" t="n">
        <v>-0.07384331633948249</v>
      </c>
      <c r="X871" s="6" t="n">
        <v>0.4873160019867998</v>
      </c>
      <c r="Y871" s="6" t="n">
        <v>-0.9611498165058329</v>
      </c>
      <c r="Z871" s="6" t="n">
        <v>-0.10819494113568</v>
      </c>
      <c r="AA871" s="6" t="n">
        <v>-1.044719026893011</v>
      </c>
      <c r="AB871" s="6" t="n">
        <v>-1.275259254131948</v>
      </c>
      <c r="AC871" s="6" t="n">
        <v>0.4847770052025477</v>
      </c>
      <c r="AD871" s="6" t="n">
        <v>3.795375867619744</v>
      </c>
      <c r="AE871" s="6" t="n">
        <v>-1.317162465835577</v>
      </c>
      <c r="AF871" s="6" t="n">
        <v>-3.624616220549718</v>
      </c>
      <c r="AG871" s="6" t="n">
        <v>0.6183361070108495</v>
      </c>
      <c r="AH871" s="6" t="n">
        <v>-0.1282550067197375</v>
      </c>
      <c r="AI871" s="6" t="n">
        <v>0.04537350901824572</v>
      </c>
      <c r="AJ871" s="6" t="n">
        <v>78.2680209368324</v>
      </c>
      <c r="AK871" s="6" t="n">
        <v>0.1516650446966745</v>
      </c>
      <c r="AL871" s="6" t="n">
        <v>1.074750178611386</v>
      </c>
      <c r="AN871" s="6" t="n">
        <v>1.334407010414636</v>
      </c>
      <c r="AO871" s="6" t="n">
        <v>1.334440561911819</v>
      </c>
      <c r="AP871" s="6" t="n">
        <v>0.1301276896785973</v>
      </c>
      <c r="AQ871" s="6" t="n">
        <v>0</v>
      </c>
      <c r="AR871" s="6" t="n">
        <v>0</v>
      </c>
    </row>
    <row r="872">
      <c r="D872" t="inlineStr">
        <is>
          <t>Run 560</t>
        </is>
      </c>
      <c r="J872" s="6" t="n">
        <v>0.7411736041137745</v>
      </c>
      <c r="K872" s="6" t="n">
        <v>-0.6347330975517167</v>
      </c>
      <c r="L872" s="6" t="n">
        <v>1.966779086676173</v>
      </c>
      <c r="M872" s="6" t="n">
        <v>1.021805864250234</v>
      </c>
      <c r="N872" s="6" t="n">
        <v>2.946904624587086</v>
      </c>
      <c r="O872" s="6" t="n">
        <v>0.5999201064205784</v>
      </c>
      <c r="P872" s="6" t="n">
        <v>-1.042912260585375</v>
      </c>
      <c r="Q872" s="6" t="n">
        <v>3.049525742192206</v>
      </c>
      <c r="R872" s="6" t="n">
        <v>0.9867619622899336</v>
      </c>
      <c r="S872" s="6" t="n">
        <v>0.7953568716001415</v>
      </c>
      <c r="T872" s="6" t="n">
        <v>1.541767706423754</v>
      </c>
      <c r="U872" s="6" t="n">
        <v>-0.8899919481395303</v>
      </c>
      <c r="V872" s="6" t="n">
        <v>-2.804833815633774</v>
      </c>
      <c r="W872" s="6" t="n">
        <v>3.104917524281342</v>
      </c>
      <c r="X872" s="6" t="n">
        <v>-0.6477610290596519</v>
      </c>
      <c r="Y872" s="6" t="n">
        <v>3.399494535551351</v>
      </c>
      <c r="Z872" s="6" t="n">
        <v>-1.407368505224378</v>
      </c>
      <c r="AA872" s="6" t="n">
        <v>-0.1543347440669865</v>
      </c>
      <c r="AB872" s="6" t="n">
        <v>0.4964984483908352</v>
      </c>
      <c r="AC872" s="6" t="n">
        <v>3.345121817666289</v>
      </c>
      <c r="AD872" s="6" t="n">
        <v>-2.322417087621179</v>
      </c>
      <c r="AE872" s="6" t="n">
        <v>-1.07973555463646</v>
      </c>
      <c r="AF872" s="6" t="n">
        <v>1.792475708707781</v>
      </c>
      <c r="AG872" s="6" t="n">
        <v>1.130228610871491</v>
      </c>
      <c r="AH872" s="6" t="n">
        <v>-0.9157858096153815</v>
      </c>
      <c r="AI872" s="6" t="n">
        <v>3.340636433470502</v>
      </c>
      <c r="AJ872" s="6" t="n">
        <v>83.41077250452281</v>
      </c>
      <c r="AK872" s="6" t="n">
        <v>0.07087819834031206</v>
      </c>
      <c r="AL872" s="6" t="n">
        <v>1.076631944171439</v>
      </c>
      <c r="AN872" s="6" t="n">
        <v>1.346683857317752</v>
      </c>
      <c r="AO872" s="6" t="n">
        <v>1.347181428275747</v>
      </c>
      <c r="AP872" s="6" t="n">
        <v>0.1325213859107331</v>
      </c>
      <c r="AQ872" s="6" t="n">
        <v>0</v>
      </c>
      <c r="AR872" s="6" t="n">
        <v>0</v>
      </c>
    </row>
    <row r="873">
      <c r="D873" t="inlineStr">
        <is>
          <t>Run 561</t>
        </is>
      </c>
      <c r="J873" s="6" t="n">
        <v>-1.453610415950234</v>
      </c>
      <c r="K873" s="6" t="n">
        <v>-1.018654427074424</v>
      </c>
      <c r="L873" s="6" t="n">
        <v>1.274208550053269</v>
      </c>
      <c r="M873" s="6" t="n">
        <v>-3.096127054585464</v>
      </c>
      <c r="N873" s="6" t="n">
        <v>0.2978280074999614</v>
      </c>
      <c r="O873" s="6" t="n">
        <v>-0.6815030730020069</v>
      </c>
      <c r="P873" s="6" t="n">
        <v>0.9529825944977194</v>
      </c>
      <c r="Q873" s="6" t="n">
        <v>-1.054582931805841</v>
      </c>
      <c r="R873" s="6" t="n">
        <v>-1.293148139390048</v>
      </c>
      <c r="S873" s="6" t="n">
        <v>-0.08167656525258365</v>
      </c>
      <c r="T873" s="6" t="n">
        <v>1.388525539611332</v>
      </c>
      <c r="U873" s="6" t="n">
        <v>1.133215155653771</v>
      </c>
      <c r="V873" s="6" t="n">
        <v>-1.065914840506441</v>
      </c>
      <c r="W873" s="6" t="n">
        <v>-0.9318835174608316</v>
      </c>
      <c r="X873" s="6" t="n">
        <v>2.214381942625181</v>
      </c>
      <c r="Y873" s="6" t="n">
        <v>0.7908196175169424</v>
      </c>
      <c r="Z873" s="6" t="n">
        <v>-1.862669023489329</v>
      </c>
      <c r="AA873" s="6" t="n">
        <v>-1.711676746694345</v>
      </c>
      <c r="AB873" s="6" t="n">
        <v>-1.014820738124161</v>
      </c>
      <c r="AC873" s="6" t="n">
        <v>-1.372746069896147</v>
      </c>
      <c r="AD873" s="6" t="n">
        <v>-3.220286588169496</v>
      </c>
      <c r="AE873" s="6" t="n">
        <v>5</v>
      </c>
      <c r="AF873" s="6" t="n">
        <v>2.327971910696839</v>
      </c>
      <c r="AG873" s="6" t="n">
        <v>0.7144855879141579</v>
      </c>
      <c r="AH873" s="6" t="n">
        <v>2.340895296301094</v>
      </c>
      <c r="AI873" s="6" t="n">
        <v>0.6310688060735937</v>
      </c>
      <c r="AJ873" s="6" t="n">
        <v>76.43611486150157</v>
      </c>
      <c r="AK873" s="6" t="n">
        <v>0.1588678665384968</v>
      </c>
      <c r="AL873" s="6" t="n">
        <v>1.079606387665595</v>
      </c>
      <c r="AN873" s="6" t="n">
        <v>1.306668976755394</v>
      </c>
      <c r="AO873" s="6" t="n">
        <v>1.316004753217626</v>
      </c>
      <c r="AP873" s="6" t="n">
        <v>0.1292162758049231</v>
      </c>
      <c r="AQ873" s="6" t="n">
        <v>0</v>
      </c>
      <c r="AR873" s="6" t="n">
        <v>0</v>
      </c>
    </row>
    <row r="874">
      <c r="D874" t="inlineStr">
        <is>
          <t>Run 562</t>
        </is>
      </c>
      <c r="J874" s="6" t="n">
        <v>1.33240318929263</v>
      </c>
      <c r="K874" s="6" t="n">
        <v>3.75090409033786</v>
      </c>
      <c r="L874" s="6" t="n">
        <v>3.667488550311347</v>
      </c>
      <c r="M874" s="6" t="n">
        <v>-1.139886977218572</v>
      </c>
      <c r="N874" s="6" t="n">
        <v>-0.4781078890710124</v>
      </c>
      <c r="O874" s="6" t="n">
        <v>-2.947692768236332</v>
      </c>
      <c r="P874" s="6" t="n">
        <v>-0.02062892460464177</v>
      </c>
      <c r="Q874" s="6" t="n">
        <v>-2.262833967688091</v>
      </c>
      <c r="R874" s="6" t="n">
        <v>0.7977881669765463</v>
      </c>
      <c r="S874" s="6" t="n">
        <v>2.881884689476307</v>
      </c>
      <c r="T874" s="6" t="n">
        <v>2.322038677103686</v>
      </c>
      <c r="U874" s="6" t="n">
        <v>1.380376382620486</v>
      </c>
      <c r="V874" s="6" t="n">
        <v>1.585041539123264</v>
      </c>
      <c r="W874" s="6" t="n">
        <v>0.2214806989529867</v>
      </c>
      <c r="X874" s="6" t="n">
        <v>1.244941269297483</v>
      </c>
      <c r="Y874" s="6" t="n">
        <v>1.126978272454827</v>
      </c>
      <c r="Z874" s="6" t="n">
        <v>1.231235365342781</v>
      </c>
      <c r="AA874" s="6" t="n">
        <v>-5.889492398892031</v>
      </c>
      <c r="AB874" s="6" t="n">
        <v>-0.8150771585714531</v>
      </c>
      <c r="AC874" s="6" t="n">
        <v>-2.177176248472443</v>
      </c>
      <c r="AD874" s="6" t="n">
        <v>-3.962048170741483</v>
      </c>
      <c r="AE874" s="6" t="n">
        <v>3.331917650846489</v>
      </c>
      <c r="AF874" s="6" t="n">
        <v>-0.9944454665031853</v>
      </c>
      <c r="AG874" s="6" t="n">
        <v>-3.354286762271686</v>
      </c>
      <c r="AH874" s="6" t="n">
        <v>-3.481786758156901</v>
      </c>
      <c r="AI874" s="6" t="n">
        <v>4.908648799131814</v>
      </c>
      <c r="AJ874" s="6" t="n">
        <v>77.75384584665206</v>
      </c>
      <c r="AK874" s="6" t="n">
        <v>0.1088981605466419</v>
      </c>
      <c r="AL874" s="6" t="n">
        <v>1.032755581714788</v>
      </c>
      <c r="AN874" s="6" t="n">
        <v>1.352158884628393</v>
      </c>
      <c r="AO874" s="6" t="n">
        <v>1.352428662341806</v>
      </c>
      <c r="AP874" s="6" t="n">
        <v>0.1345372366294705</v>
      </c>
      <c r="AQ874" s="6" t="n">
        <v>0</v>
      </c>
      <c r="AR874" s="6" t="n">
        <v>0</v>
      </c>
    </row>
    <row r="875">
      <c r="D875" t="inlineStr">
        <is>
          <t>Run 563</t>
        </is>
      </c>
      <c r="J875" s="6" t="n">
        <v>-1.476372831054793</v>
      </c>
      <c r="K875" s="6" t="n">
        <v>0.9130283724687653</v>
      </c>
      <c r="L875" s="6" t="n">
        <v>-2.692018633375194</v>
      </c>
      <c r="M875" s="6" t="n">
        <v>3.029119218804375</v>
      </c>
      <c r="N875" s="6" t="n">
        <v>-2.58064875930917</v>
      </c>
      <c r="O875" s="6" t="n">
        <v>2.256975401230184</v>
      </c>
      <c r="P875" s="6" t="n">
        <v>1.209917665524734</v>
      </c>
      <c r="Q875" s="6" t="n">
        <v>-0.7679884293253041</v>
      </c>
      <c r="R875" s="6" t="n">
        <v>-0.003734473276242495</v>
      </c>
      <c r="S875" s="6" t="n">
        <v>-0.1721854045776207</v>
      </c>
      <c r="T875" s="6" t="n">
        <v>-2.288825616039917</v>
      </c>
      <c r="U875" s="6" t="n">
        <v>1.036418295759512</v>
      </c>
      <c r="V875" s="6" t="n">
        <v>2.243599919929774</v>
      </c>
      <c r="W875" s="6" t="n">
        <v>-0.9468021973277073</v>
      </c>
      <c r="X875" s="6" t="n">
        <v>-0.4312942168337653</v>
      </c>
      <c r="Y875" s="6" t="n">
        <v>1.820404868074354</v>
      </c>
      <c r="Z875" s="6" t="n">
        <v>-1.606419336519302</v>
      </c>
      <c r="AA875" s="6" t="n">
        <v>0.1535405521284854</v>
      </c>
      <c r="AB875" s="6" t="n">
        <v>-1.394323780876304</v>
      </c>
      <c r="AC875" s="6" t="n">
        <v>-2.443210097207318</v>
      </c>
      <c r="AD875" s="6" t="n">
        <v>2.006303089533807</v>
      </c>
      <c r="AE875" s="6" t="n">
        <v>0.3991456197956724</v>
      </c>
      <c r="AF875" s="6" t="n">
        <v>1.188209601981631</v>
      </c>
      <c r="AG875" s="6" t="n">
        <v>-0.3051584319486513</v>
      </c>
      <c r="AH875" s="6" t="n">
        <v>-2.302190361794751</v>
      </c>
      <c r="AI875" s="6" t="n">
        <v>0.4417210764253259</v>
      </c>
      <c r="AJ875" s="6" t="n">
        <v>63.26832564957313</v>
      </c>
      <c r="AK875" s="6" t="n">
        <v>0.03570193919505101</v>
      </c>
      <c r="AL875" s="6" t="n">
        <v>1.013923532777423</v>
      </c>
      <c r="AN875" s="6" t="n">
        <v>1.351378121752466</v>
      </c>
      <c r="AO875" s="6" t="n">
        <v>1.351378121752466</v>
      </c>
      <c r="AP875" s="6" t="n">
        <v>0.1372003217368293</v>
      </c>
      <c r="AQ875" s="6" t="n">
        <v>0</v>
      </c>
      <c r="AR875" s="6" t="n">
        <v>0</v>
      </c>
    </row>
    <row r="876">
      <c r="D876" t="inlineStr">
        <is>
          <t>Run 564</t>
        </is>
      </c>
      <c r="J876" s="6" t="n">
        <v>-1.131061886768954</v>
      </c>
      <c r="K876" s="6" t="n">
        <v>-2.889016259835049</v>
      </c>
      <c r="L876" s="6" t="n">
        <v>1.716023342539513</v>
      </c>
      <c r="M876" s="6" t="n">
        <v>0.009769114682240445</v>
      </c>
      <c r="N876" s="6" t="n">
        <v>-2.827631057834238</v>
      </c>
      <c r="O876" s="6" t="n">
        <v>0.875206259726045</v>
      </c>
      <c r="P876" s="6" t="n">
        <v>4.938699364379326</v>
      </c>
      <c r="Q876" s="6" t="n">
        <v>2.495994209590816</v>
      </c>
      <c r="R876" s="6" t="n">
        <v>5</v>
      </c>
      <c r="S876" s="6" t="n">
        <v>1.265865837763991</v>
      </c>
      <c r="T876" s="6" t="n">
        <v>1.70317911707257</v>
      </c>
      <c r="U876" s="6" t="n">
        <v>2.139272410635875</v>
      </c>
      <c r="V876" s="6" t="n">
        <v>1.775456235769546</v>
      </c>
      <c r="W876" s="6" t="n">
        <v>-1.328108342610097</v>
      </c>
      <c r="X876" s="6" t="n">
        <v>-0.851044159748749</v>
      </c>
      <c r="Y876" s="6" t="n">
        <v>2.336054464430714</v>
      </c>
      <c r="Z876" s="6" t="n">
        <v>0.3447407719025229</v>
      </c>
      <c r="AA876" s="6" t="n">
        <v>-1.341588376853246</v>
      </c>
      <c r="AB876" s="6" t="n">
        <v>-1.587174406069199</v>
      </c>
      <c r="AC876" s="6" t="n">
        <v>0.9313485167982006</v>
      </c>
      <c r="AD876" s="6" t="n">
        <v>1.636292919686765</v>
      </c>
      <c r="AE876" s="6" t="n">
        <v>-0.7648820245882946</v>
      </c>
      <c r="AF876" s="6" t="n">
        <v>-2.585126469328821</v>
      </c>
      <c r="AG876" s="6" t="n">
        <v>-1.146934383163614</v>
      </c>
      <c r="AH876" s="6" t="n">
        <v>3.251423068569506</v>
      </c>
      <c r="AI876" s="6" t="n">
        <v>0.37590643731133</v>
      </c>
      <c r="AJ876" s="6" t="n">
        <v>71.16087775572311</v>
      </c>
      <c r="AK876" s="6" t="n">
        <v>0.1510122305062464</v>
      </c>
      <c r="AL876" s="6" t="n">
        <v>1.070621486849654</v>
      </c>
      <c r="AN876" s="6" t="n">
        <v>1.332887435011752</v>
      </c>
      <c r="AO876" s="6" t="n">
        <v>1.333937331010807</v>
      </c>
      <c r="AP876" s="6" t="n">
        <v>0.130317911339513</v>
      </c>
      <c r="AQ876" s="6" t="n">
        <v>0</v>
      </c>
      <c r="AR876" s="6" t="n">
        <v>0</v>
      </c>
    </row>
    <row r="877">
      <c r="D877" t="inlineStr">
        <is>
          <t>Run 565</t>
        </is>
      </c>
      <c r="J877" s="6" t="n">
        <v>-0.8030202579817818</v>
      </c>
      <c r="K877" s="6" t="n">
        <v>0.1993381559435146</v>
      </c>
      <c r="L877" s="6" t="n">
        <v>0.661249356972567</v>
      </c>
      <c r="M877" s="6" t="n">
        <v>-0.5228331854822613</v>
      </c>
      <c r="N877" s="6" t="n">
        <v>-2.546887118557534</v>
      </c>
      <c r="O877" s="6" t="n">
        <v>1.912262532039725</v>
      </c>
      <c r="P877" s="6" t="n">
        <v>-3.875491098655525</v>
      </c>
      <c r="Q877" s="6" t="n">
        <v>0.03559761201206402</v>
      </c>
      <c r="R877" s="6" t="n">
        <v>3.967273801571452</v>
      </c>
      <c r="S877" s="6" t="n">
        <v>-0.4856231506655576</v>
      </c>
      <c r="T877" s="6" t="n">
        <v>1.776953842580866</v>
      </c>
      <c r="U877" s="6" t="n">
        <v>-0.9329767631697364</v>
      </c>
      <c r="V877" s="6" t="n">
        <v>0.3230992354724432</v>
      </c>
      <c r="W877" s="6" t="n">
        <v>-2.619306445928724</v>
      </c>
      <c r="X877" s="6" t="n">
        <v>0.2884828695741544</v>
      </c>
      <c r="Y877" s="6" t="n">
        <v>2.018808439771226</v>
      </c>
      <c r="Z877" s="6" t="n">
        <v>3.883726197535292</v>
      </c>
      <c r="AA877" s="6" t="n">
        <v>0.4324218133930057</v>
      </c>
      <c r="AB877" s="6" t="n">
        <v>-0.02438913599299367</v>
      </c>
      <c r="AC877" s="6" t="n">
        <v>-0.8256738289221155</v>
      </c>
      <c r="AD877" s="6" t="n">
        <v>-1.98042996301432</v>
      </c>
      <c r="AE877" s="6" t="n">
        <v>4.13099045591064</v>
      </c>
      <c r="AF877" s="6" t="n">
        <v>0.3038717499946857</v>
      </c>
      <c r="AG877" s="6" t="n">
        <v>0.2420590288757309</v>
      </c>
      <c r="AH877" s="6" t="n">
        <v>-4.967318612645696</v>
      </c>
      <c r="AI877" s="6" t="n">
        <v>-1.901996403536935</v>
      </c>
      <c r="AJ877" s="6" t="n">
        <v>74.71968370410957</v>
      </c>
      <c r="AK877" s="6" t="n">
        <v>0.07303106726554191</v>
      </c>
      <c r="AL877" s="6" t="n">
        <v>1.034312976437808</v>
      </c>
      <c r="AN877" s="6" t="n">
        <v>1.353114309387416</v>
      </c>
      <c r="AO877" s="6" t="n">
        <v>1.353114309387416</v>
      </c>
      <c r="AP877" s="6" t="n">
        <v>0.1354143408131201</v>
      </c>
      <c r="AQ877" s="6" t="n">
        <v>0</v>
      </c>
      <c r="AR877" s="6" t="n">
        <v>0</v>
      </c>
    </row>
    <row r="878">
      <c r="D878" t="inlineStr">
        <is>
          <t>Run 566</t>
        </is>
      </c>
      <c r="J878" s="6" t="n">
        <v>0.1101228230188753</v>
      </c>
      <c r="K878" s="6" t="n">
        <v>-4.698800120553767</v>
      </c>
      <c r="L878" s="6" t="n">
        <v>1.010641254297422</v>
      </c>
      <c r="M878" s="6" t="n">
        <v>0.8499890176075796</v>
      </c>
      <c r="N878" s="6" t="n">
        <v>2.19968918828059</v>
      </c>
      <c r="O878" s="6" t="n">
        <v>-1.676026956057695</v>
      </c>
      <c r="P878" s="6" t="n">
        <v>0.06570202723493682</v>
      </c>
      <c r="Q878" s="6" t="n">
        <v>1.781922499882012</v>
      </c>
      <c r="R878" s="6" t="n">
        <v>-4.855452955393856</v>
      </c>
      <c r="S878" s="6" t="n">
        <v>5</v>
      </c>
      <c r="T878" s="6" t="n">
        <v>1.25809841269646</v>
      </c>
      <c r="U878" s="6" t="n">
        <v>-2.082035374526424</v>
      </c>
      <c r="V878" s="6" t="n">
        <v>1.349865455094762</v>
      </c>
      <c r="W878" s="6" t="n">
        <v>3.193984647106406</v>
      </c>
      <c r="X878" s="6" t="n">
        <v>-1.103082162893449</v>
      </c>
      <c r="Y878" s="6" t="n">
        <v>-1.120312905392399</v>
      </c>
      <c r="Z878" s="6" t="n">
        <v>0.01018401251056078</v>
      </c>
      <c r="AA878" s="6" t="n">
        <v>0.5913948695482236</v>
      </c>
      <c r="AB878" s="6" t="n">
        <v>4.641200634004041</v>
      </c>
      <c r="AC878" s="6" t="n">
        <v>-0.4330239508784377</v>
      </c>
      <c r="AD878" s="6" t="n">
        <v>2.210077219818178</v>
      </c>
      <c r="AE878" s="6" t="n">
        <v>-2.332648736009748</v>
      </c>
      <c r="AF878" s="6" t="n">
        <v>0.5375571510987327</v>
      </c>
      <c r="AG878" s="6" t="n">
        <v>0.5880498237750437</v>
      </c>
      <c r="AH878" s="6" t="n">
        <v>-0.6314444177015448</v>
      </c>
      <c r="AI878" s="6" t="n">
        <v>1.338315063700211</v>
      </c>
      <c r="AJ878" s="6" t="n">
        <v>78.69338312854244</v>
      </c>
      <c r="AK878" s="6" t="n">
        <v>0.0791048021270849</v>
      </c>
      <c r="AL878" s="6" t="n">
        <v>1.048936250252727</v>
      </c>
      <c r="AN878" s="6" t="n">
        <v>1.332513015273919</v>
      </c>
      <c r="AO878" s="6" t="n">
        <v>1.340443441546217</v>
      </c>
      <c r="AP878" s="6" t="n">
        <v>0.1338220119595982</v>
      </c>
      <c r="AQ878" s="6" t="n">
        <v>0</v>
      </c>
      <c r="AR878" s="6" t="n">
        <v>0</v>
      </c>
    </row>
    <row r="879">
      <c r="D879" t="inlineStr">
        <is>
          <t>Run 567</t>
        </is>
      </c>
      <c r="J879" s="6" t="n">
        <v>0.3879903714801316</v>
      </c>
      <c r="K879" s="6" t="n">
        <v>-0.9020617124939907</v>
      </c>
      <c r="L879" s="6" t="n">
        <v>0.4399814192557694</v>
      </c>
      <c r="M879" s="6" t="n">
        <v>-0.6498483861417889</v>
      </c>
      <c r="N879" s="6" t="n">
        <v>0.03847041604556761</v>
      </c>
      <c r="O879" s="6" t="n">
        <v>-0.909843263225503</v>
      </c>
      <c r="P879" s="6" t="n">
        <v>5</v>
      </c>
      <c r="Q879" s="6" t="n">
        <v>2.120958657655004</v>
      </c>
      <c r="R879" s="6" t="n">
        <v>2.032069693608281</v>
      </c>
      <c r="S879" s="6" t="n">
        <v>1.760044711317728</v>
      </c>
      <c r="T879" s="6" t="n">
        <v>1.723574660858479</v>
      </c>
      <c r="U879" s="6" t="n">
        <v>0.1860521687622639</v>
      </c>
      <c r="V879" s="6" t="n">
        <v>-1.856292292099563</v>
      </c>
      <c r="W879" s="6" t="n">
        <v>-0.6571127038149105</v>
      </c>
      <c r="X879" s="6" t="n">
        <v>-0.7727733574986935</v>
      </c>
      <c r="Y879" s="6" t="n">
        <v>0.6238688457111081</v>
      </c>
      <c r="Z879" s="6" t="n">
        <v>-3.003526288400834</v>
      </c>
      <c r="AA879" s="6" t="n">
        <v>-3.426774708974514</v>
      </c>
      <c r="AB879" s="6" t="n">
        <v>-1.845855981635735</v>
      </c>
      <c r="AC879" s="6" t="n">
        <v>-1.451662947415073</v>
      </c>
      <c r="AD879" s="6" t="n">
        <v>0.4493530582672555</v>
      </c>
      <c r="AE879" s="6" t="n">
        <v>3.719603351847919</v>
      </c>
      <c r="AF879" s="6" t="n">
        <v>2.349527801406967</v>
      </c>
      <c r="AG879" s="6" t="n">
        <v>0.5946935470498701</v>
      </c>
      <c r="AH879" s="6" t="n">
        <v>0.2701539284062931</v>
      </c>
      <c r="AI879" s="6" t="n">
        <v>1.640920335395427</v>
      </c>
      <c r="AJ879" s="6" t="n">
        <v>66.41134970418554</v>
      </c>
      <c r="AK879" s="6" t="n">
        <v>0.1402371418032218</v>
      </c>
      <c r="AL879" s="6" t="n">
        <v>1.106560465549391</v>
      </c>
      <c r="AN879" s="6" t="n">
        <v>1.321872306891468</v>
      </c>
      <c r="AO879" s="6" t="n">
        <v>1.324221112330413</v>
      </c>
      <c r="AP879" s="6" t="n">
        <v>0.1284180507949558</v>
      </c>
      <c r="AQ879" s="6" t="n">
        <v>0</v>
      </c>
      <c r="AR879" s="6" t="n">
        <v>0</v>
      </c>
    </row>
    <row r="880">
      <c r="D880" t="inlineStr">
        <is>
          <t>Run 568</t>
        </is>
      </c>
      <c r="J880" s="6" t="n">
        <v>-2.304658094493553</v>
      </c>
      <c r="K880" s="6" t="n">
        <v>-1.055485752190456</v>
      </c>
      <c r="L880" s="6" t="n">
        <v>1.611029057440034</v>
      </c>
      <c r="M880" s="6" t="n">
        <v>1.313218041921791</v>
      </c>
      <c r="N880" s="6" t="n">
        <v>1.388513619443231</v>
      </c>
      <c r="O880" s="6" t="n">
        <v>-0.845994652071655</v>
      </c>
      <c r="P880" s="6" t="n">
        <v>0.5293814376816443</v>
      </c>
      <c r="Q880" s="6" t="n">
        <v>-2.730714080341307</v>
      </c>
      <c r="R880" s="6" t="n">
        <v>-4.601118020069364</v>
      </c>
      <c r="S880" s="6" t="n">
        <v>-0.5875549534603901</v>
      </c>
      <c r="T880" s="6" t="n">
        <v>-0.5359720036922043</v>
      </c>
      <c r="U880" s="6" t="n">
        <v>-0.9966661287088108</v>
      </c>
      <c r="V880" s="6" t="n">
        <v>-3.15564083837093</v>
      </c>
      <c r="W880" s="6" t="n">
        <v>-4.118045085570733</v>
      </c>
      <c r="X880" s="6" t="n">
        <v>-3.078674789334929</v>
      </c>
      <c r="Y880" s="6" t="n">
        <v>0.162985126740408</v>
      </c>
      <c r="Z880" s="6" t="n">
        <v>1.104179089231927</v>
      </c>
      <c r="AA880" s="6" t="n">
        <v>3.961237471772558</v>
      </c>
      <c r="AB880" s="6" t="n">
        <v>-2.005342995183898</v>
      </c>
      <c r="AC880" s="6" t="n">
        <v>3.998029675376796</v>
      </c>
      <c r="AD880" s="6" t="n">
        <v>1.756754583432319</v>
      </c>
      <c r="AE880" s="6" t="n">
        <v>-1.699910655061069</v>
      </c>
      <c r="AF880" s="6" t="n">
        <v>1.574546744549076</v>
      </c>
      <c r="AG880" s="6" t="n">
        <v>0.4303195765811891</v>
      </c>
      <c r="AH880" s="6" t="n">
        <v>1.430907674106097</v>
      </c>
      <c r="AI880" s="6" t="n">
        <v>-0.2374248965828553</v>
      </c>
      <c r="AJ880" s="6" t="n">
        <v>75.86751366831147</v>
      </c>
      <c r="AK880" s="6" t="n">
        <v>0.1322440385702525</v>
      </c>
      <c r="AL880" s="6" t="n">
        <v>1.057325896824729</v>
      </c>
      <c r="AN880" s="6" t="n">
        <v>1.344831669124116</v>
      </c>
      <c r="AO880" s="6" t="n">
        <v>1.344922539168024</v>
      </c>
      <c r="AP880" s="6" t="n">
        <v>0.1314361950633087</v>
      </c>
      <c r="AQ880" s="6" t="n">
        <v>0</v>
      </c>
      <c r="AR880" s="6" t="n">
        <v>0</v>
      </c>
    </row>
    <row r="881">
      <c r="D881" t="inlineStr">
        <is>
          <t>Run 569</t>
        </is>
      </c>
      <c r="J881" s="6" t="n">
        <v>0.4334014092054955</v>
      </c>
      <c r="K881" s="6" t="n">
        <v>1.627567611613843</v>
      </c>
      <c r="L881" s="6" t="n">
        <v>2.626048473928063</v>
      </c>
      <c r="M881" s="6" t="n">
        <v>-2.697817012741555</v>
      </c>
      <c r="N881" s="6" t="n">
        <v>-2.591985020951346</v>
      </c>
      <c r="O881" s="6" t="n">
        <v>1.897183126847497</v>
      </c>
      <c r="P881" s="6" t="n">
        <v>0.0839631313588334</v>
      </c>
      <c r="Q881" s="6" t="n">
        <v>-3.895130172797821</v>
      </c>
      <c r="R881" s="6" t="n">
        <v>1.503461895765861</v>
      </c>
      <c r="S881" s="6" t="n">
        <v>-1.90963395919108</v>
      </c>
      <c r="T881" s="6" t="n">
        <v>-0.3364711797700868</v>
      </c>
      <c r="U881" s="6" t="n">
        <v>1.722267951412619</v>
      </c>
      <c r="V881" s="6" t="n">
        <v>2.063056864991831</v>
      </c>
      <c r="W881" s="6" t="n">
        <v>1.01709665225797</v>
      </c>
      <c r="X881" s="6" t="n">
        <v>-0.8647710855941583</v>
      </c>
      <c r="Y881" s="6" t="n">
        <v>0.4829429393849117</v>
      </c>
      <c r="Z881" s="6" t="n">
        <v>2.92748764285623</v>
      </c>
      <c r="AA881" s="6" t="n">
        <v>-1.401596159500976</v>
      </c>
      <c r="AB881" s="6" t="n">
        <v>0.08777747095307771</v>
      </c>
      <c r="AC881" s="6" t="n">
        <v>-0.7474145842628995</v>
      </c>
      <c r="AD881" s="6" t="n">
        <v>-2.205474936389198</v>
      </c>
      <c r="AE881" s="6" t="n">
        <v>2.136151166785489</v>
      </c>
      <c r="AF881" s="6" t="n">
        <v>0.1494781218769093</v>
      </c>
      <c r="AG881" s="6" t="n">
        <v>1.533967195475362</v>
      </c>
      <c r="AH881" s="6" t="n">
        <v>0.9764935096987906</v>
      </c>
      <c r="AI881" s="6" t="n">
        <v>1.267871031941875</v>
      </c>
      <c r="AJ881" s="6" t="n">
        <v>63.39547486525811</v>
      </c>
      <c r="AK881" s="6" t="n">
        <v>0.1732870485580569</v>
      </c>
      <c r="AL881" s="6" t="n">
        <v>1.132715015943511</v>
      </c>
      <c r="AN881" s="6" t="n">
        <v>1.298064966863172</v>
      </c>
      <c r="AO881" s="6" t="n">
        <v>1.301234488296742</v>
      </c>
      <c r="AP881" s="6" t="n">
        <v>0.1258608219837325</v>
      </c>
      <c r="AQ881" s="6" t="n">
        <v>0</v>
      </c>
      <c r="AR881" s="6" t="n">
        <v>0</v>
      </c>
    </row>
    <row r="882">
      <c r="D882" t="inlineStr">
        <is>
          <t>Run 570</t>
        </is>
      </c>
      <c r="J882" s="6" t="n">
        <v>2.202212943670879</v>
      </c>
      <c r="K882" s="6" t="n">
        <v>-4.944230100038342</v>
      </c>
      <c r="L882" s="6" t="n">
        <v>0.4648920322682622</v>
      </c>
      <c r="M882" s="6" t="n">
        <v>-2.26725327548792</v>
      </c>
      <c r="N882" s="6" t="n">
        <v>1.383567067082138</v>
      </c>
      <c r="O882" s="6" t="n">
        <v>0.06749923862750348</v>
      </c>
      <c r="P882" s="6" t="n">
        <v>4.962621029718862</v>
      </c>
      <c r="Q882" s="6" t="n">
        <v>-1.298507434550112</v>
      </c>
      <c r="R882" s="6" t="n">
        <v>0.5014768441062734</v>
      </c>
      <c r="S882" s="6" t="n">
        <v>0.9582217735153739</v>
      </c>
      <c r="T882" s="6" t="n">
        <v>2.793832179800444</v>
      </c>
      <c r="U882" s="6" t="n">
        <v>1.775531219653093</v>
      </c>
      <c r="V882" s="6" t="n">
        <v>1.371816743950443</v>
      </c>
      <c r="W882" s="6" t="n">
        <v>0.3254721726612397</v>
      </c>
      <c r="X882" s="6" t="n">
        <v>3.264606987066875</v>
      </c>
      <c r="Y882" s="6" t="n">
        <v>-1.819321156526681</v>
      </c>
      <c r="Z882" s="6" t="n">
        <v>2.718687006396464</v>
      </c>
      <c r="AA882" s="6" t="n">
        <v>0.644694236214266</v>
      </c>
      <c r="AB882" s="6" t="n">
        <v>1.22304641212505</v>
      </c>
      <c r="AC882" s="6" t="n">
        <v>0.639297061209286</v>
      </c>
      <c r="AD882" s="6" t="n">
        <v>3.412468890346767</v>
      </c>
      <c r="AE882" s="6" t="n">
        <v>3.63998293155868</v>
      </c>
      <c r="AF882" s="6" t="n">
        <v>2.208468719659993</v>
      </c>
      <c r="AG882" s="6" t="n">
        <v>1.002925159560839</v>
      </c>
      <c r="AH882" s="6" t="n">
        <v>-0.3771314512207368</v>
      </c>
      <c r="AI882" s="6" t="n">
        <v>-3.716006710758527</v>
      </c>
      <c r="AJ882" s="6" t="n">
        <v>58.49618088171108</v>
      </c>
      <c r="AK882" s="6" t="n">
        <v>0.0937721863226908</v>
      </c>
      <c r="AL882" s="6" t="n">
        <v>1.0882346525476</v>
      </c>
      <c r="AN882" s="6" t="n">
        <v>1.314248681094049</v>
      </c>
      <c r="AO882" s="6" t="n">
        <v>1.322164997996598</v>
      </c>
      <c r="AP882" s="6" t="n">
        <v>0.1290506055982387</v>
      </c>
      <c r="AQ882" s="6" t="n">
        <v>0</v>
      </c>
      <c r="AR882" s="6" t="n">
        <v>0</v>
      </c>
    </row>
    <row r="883">
      <c r="D883" t="inlineStr">
        <is>
          <t>Run 571</t>
        </is>
      </c>
      <c r="J883" s="6" t="n">
        <v>-0.9458898767724399</v>
      </c>
      <c r="K883" s="6" t="n">
        <v>-5.549844062091775</v>
      </c>
      <c r="L883" s="6" t="n">
        <v>-3.032461981617938</v>
      </c>
      <c r="M883" s="6" t="n">
        <v>1.683884128102302</v>
      </c>
      <c r="N883" s="6" t="n">
        <v>0.445800357831956</v>
      </c>
      <c r="O883" s="6" t="n">
        <v>2.321782358588933</v>
      </c>
      <c r="P883" s="6" t="n">
        <v>-0.3954813878512297</v>
      </c>
      <c r="Q883" s="6" t="n">
        <v>-2.384742396579687</v>
      </c>
      <c r="R883" s="6" t="n">
        <v>1.713679028683095</v>
      </c>
      <c r="S883" s="6" t="n">
        <v>-0.2784346566241288</v>
      </c>
      <c r="T883" s="6" t="n">
        <v>-2.758147446182408</v>
      </c>
      <c r="U883" s="6" t="n">
        <v>-2.206159274486456</v>
      </c>
      <c r="V883" s="6" t="n">
        <v>-1.526396748834814</v>
      </c>
      <c r="W883" s="6" t="n">
        <v>0.02453268003207607</v>
      </c>
      <c r="X883" s="6" t="n">
        <v>0.9003482401269128</v>
      </c>
      <c r="Y883" s="6" t="n">
        <v>-2.240480840745919</v>
      </c>
      <c r="Z883" s="6" t="n">
        <v>-2.192583032175638</v>
      </c>
      <c r="AA883" s="6" t="n">
        <v>-1.381973069155961</v>
      </c>
      <c r="AB883" s="6" t="n">
        <v>-0.4454675279620762</v>
      </c>
      <c r="AC883" s="6" t="n">
        <v>-4.020547309967377</v>
      </c>
      <c r="AD883" s="6" t="n">
        <v>-2.134565613408922</v>
      </c>
      <c r="AE883" s="6" t="n">
        <v>-0.149082106518904</v>
      </c>
      <c r="AF883" s="6" t="n">
        <v>-1.338899554990457</v>
      </c>
      <c r="AG883" s="6" t="n">
        <v>-0.72036216531365</v>
      </c>
      <c r="AH883" s="6" t="n">
        <v>1.221035733601541</v>
      </c>
      <c r="AI883" s="6" t="n">
        <v>1.070492053031909</v>
      </c>
      <c r="AJ883" s="6" t="n">
        <v>70.01804479012692</v>
      </c>
      <c r="AK883" s="6" t="n">
        <v>0.09787426308052163</v>
      </c>
      <c r="AL883" s="6" t="n">
        <v>1.099583456798368</v>
      </c>
      <c r="AN883" s="6" t="n">
        <v>1.307799736646478</v>
      </c>
      <c r="AO883" s="6" t="n">
        <v>1.309697409207047</v>
      </c>
      <c r="AP883" s="6" t="n">
        <v>0.1288106291695978</v>
      </c>
      <c r="AQ883" s="6" t="n">
        <v>0</v>
      </c>
      <c r="AR883" s="6" t="n">
        <v>0</v>
      </c>
    </row>
    <row r="884">
      <c r="D884" t="inlineStr">
        <is>
          <t>Run 572</t>
        </is>
      </c>
      <c r="J884" s="6" t="n">
        <v>-1.656676259010938</v>
      </c>
      <c r="K884" s="6" t="n">
        <v>2.373605700221188</v>
      </c>
      <c r="L884" s="6" t="n">
        <v>-3.742607919921388</v>
      </c>
      <c r="M884" s="6" t="n">
        <v>-0.8892475760265337</v>
      </c>
      <c r="N884" s="6" t="n">
        <v>-0.8575004956427023</v>
      </c>
      <c r="O884" s="6" t="n">
        <v>-3.279771207326315</v>
      </c>
      <c r="P884" s="6" t="n">
        <v>2.492606414832757</v>
      </c>
      <c r="Q884" s="6" t="n">
        <v>0.4158179081007231</v>
      </c>
      <c r="R884" s="6" t="n">
        <v>-1.893130977663077</v>
      </c>
      <c r="S884" s="6" t="n">
        <v>-0.820843884864615</v>
      </c>
      <c r="T884" s="6" t="n">
        <v>-0.3604263191834463</v>
      </c>
      <c r="U884" s="6" t="n">
        <v>-5.415671188493273</v>
      </c>
      <c r="V884" s="6" t="n">
        <v>0.874863648675445</v>
      </c>
      <c r="W884" s="6" t="n">
        <v>-3.88990233058559</v>
      </c>
      <c r="X884" s="6" t="n">
        <v>2.710413241661722</v>
      </c>
      <c r="Y884" s="6" t="n">
        <v>-2.046886111699417</v>
      </c>
      <c r="Z884" s="6" t="n">
        <v>-2.322902610098288</v>
      </c>
      <c r="AA884" s="6" t="n">
        <v>4.112836683754987</v>
      </c>
      <c r="AB884" s="6" t="n">
        <v>0.8872737741459787</v>
      </c>
      <c r="AC884" s="6" t="n">
        <v>0.3380496066310631</v>
      </c>
      <c r="AD884" s="6" t="n">
        <v>-1.78362058290044</v>
      </c>
      <c r="AE884" s="6" t="n">
        <v>-0.4306868830694235</v>
      </c>
      <c r="AF884" s="6" t="n">
        <v>-1.61073942695286</v>
      </c>
      <c r="AG884" s="6" t="n">
        <v>-0.8481562270231076</v>
      </c>
      <c r="AH884" s="6" t="n">
        <v>2.852306312988029</v>
      </c>
      <c r="AI884" s="6" t="n">
        <v>-1.413415696657452</v>
      </c>
      <c r="AJ884" s="6" t="n">
        <v>79.71192436460308</v>
      </c>
      <c r="AK884" s="6" t="n">
        <v>0.1538700274534196</v>
      </c>
      <c r="AL884" s="6" t="n">
        <v>1.017048823914173</v>
      </c>
      <c r="AN884" s="6" t="n">
        <v>1.356543337186819</v>
      </c>
      <c r="AO884" s="6" t="n">
        <v>1.357416396438897</v>
      </c>
      <c r="AP884" s="6" t="n">
        <v>0.1358042050559659</v>
      </c>
      <c r="AQ884" s="6" t="n">
        <v>0</v>
      </c>
      <c r="AR884" s="6" t="n">
        <v>0</v>
      </c>
    </row>
    <row r="885">
      <c r="D885" t="inlineStr">
        <is>
          <t>Run 573</t>
        </is>
      </c>
      <c r="J885" s="6" t="n">
        <v>-1.424953182936472</v>
      </c>
      <c r="K885" s="6" t="n">
        <v>0.2752459932982853</v>
      </c>
      <c r="L885" s="6" t="n">
        <v>0.4209690233743887</v>
      </c>
      <c r="M885" s="6" t="n">
        <v>0.9155199688703685</v>
      </c>
      <c r="N885" s="6" t="n">
        <v>-1.703172225181999</v>
      </c>
      <c r="O885" s="6" t="n">
        <v>0.7884240995568305</v>
      </c>
      <c r="P885" s="6" t="n">
        <v>-2.570550119807098</v>
      </c>
      <c r="Q885" s="6" t="n">
        <v>2.799991823007961</v>
      </c>
      <c r="R885" s="6" t="n">
        <v>0.9851156115810484</v>
      </c>
      <c r="S885" s="6" t="n">
        <v>-3.006811438289797</v>
      </c>
      <c r="T885" s="6" t="n">
        <v>0.9605714143221636</v>
      </c>
      <c r="U885" s="6" t="n">
        <v>-3.406579519247963</v>
      </c>
      <c r="V885" s="6" t="n">
        <v>-1.389234549555557</v>
      </c>
      <c r="W885" s="6" t="n">
        <v>-5.297549237091598</v>
      </c>
      <c r="X885" s="6" t="n">
        <v>-3.145268630696252</v>
      </c>
      <c r="Y885" s="6" t="n">
        <v>3.175352011406679</v>
      </c>
      <c r="Z885" s="6" t="n">
        <v>-0.8282941077298048</v>
      </c>
      <c r="AA885" s="6" t="n">
        <v>1.037311935631438</v>
      </c>
      <c r="AB885" s="6" t="n">
        <v>-0.05798921687605648</v>
      </c>
      <c r="AC885" s="6" t="n">
        <v>-3.736490900960693</v>
      </c>
      <c r="AD885" s="6" t="n">
        <v>2.705789752786358</v>
      </c>
      <c r="AE885" s="6" t="n">
        <v>-1.198362401536016</v>
      </c>
      <c r="AF885" s="6" t="n">
        <v>2.122192128427564</v>
      </c>
      <c r="AG885" s="6" t="n">
        <v>-0.9089592998672603</v>
      </c>
      <c r="AH885" s="6" t="n">
        <v>-1.958367798218596</v>
      </c>
      <c r="AI885" s="6" t="n">
        <v>-0.3891591252487669</v>
      </c>
      <c r="AJ885" s="6" t="n">
        <v>72.74538775177277</v>
      </c>
      <c r="AK885" s="6" t="n">
        <v>0.08824254819571792</v>
      </c>
      <c r="AL885" s="6" t="n">
        <v>1.105921042421227</v>
      </c>
      <c r="AN885" s="6" t="n">
        <v>1.331334953145584</v>
      </c>
      <c r="AO885" s="6" t="n">
        <v>1.331909280983018</v>
      </c>
      <c r="AP885" s="6" t="n">
        <v>0.1296976983061245</v>
      </c>
      <c r="AQ885" s="6" t="n">
        <v>0</v>
      </c>
      <c r="AR885" s="6" t="n">
        <v>0</v>
      </c>
    </row>
    <row r="886">
      <c r="D886" t="inlineStr">
        <is>
          <t>Run 574</t>
        </is>
      </c>
      <c r="J886" s="6" t="n">
        <v>-1.075479409399779</v>
      </c>
      <c r="K886" s="6" t="n">
        <v>1.784561114802932</v>
      </c>
      <c r="L886" s="6" t="n">
        <v>-2.043271007078795</v>
      </c>
      <c r="M886" s="6" t="n">
        <v>1.130708434679032</v>
      </c>
      <c r="N886" s="6" t="n">
        <v>0.203216120287939</v>
      </c>
      <c r="O886" s="6" t="n">
        <v>-3.1424091008573</v>
      </c>
      <c r="P886" s="6" t="n">
        <v>0.6419997395411156</v>
      </c>
      <c r="Q886" s="6" t="n">
        <v>-2.737003545524966</v>
      </c>
      <c r="R886" s="6" t="n">
        <v>-2.746727450139296</v>
      </c>
      <c r="S886" s="6" t="n">
        <v>-0.2616971235402092</v>
      </c>
      <c r="T886" s="6" t="n">
        <v>1.184355551283086</v>
      </c>
      <c r="U886" s="6" t="n">
        <v>0.4135706967000173</v>
      </c>
      <c r="V886" s="6" t="n">
        <v>0.1942968994465479</v>
      </c>
      <c r="W886" s="6" t="n">
        <v>0.8582966044305282</v>
      </c>
      <c r="X886" s="6" t="n">
        <v>-2.598951983101176</v>
      </c>
      <c r="Y886" s="6" t="n">
        <v>0.2095207250974858</v>
      </c>
      <c r="Z886" s="6" t="n">
        <v>3.117916767296772</v>
      </c>
      <c r="AA886" s="6" t="n">
        <v>-1.808302333588825</v>
      </c>
      <c r="AB886" s="6" t="n">
        <v>-1.752767531682871</v>
      </c>
      <c r="AC886" s="6" t="n">
        <v>-3.195358798477652</v>
      </c>
      <c r="AD886" s="6" t="n">
        <v>0.1660010439607221</v>
      </c>
      <c r="AE886" s="6" t="n">
        <v>-1.08527826474906</v>
      </c>
      <c r="AF886" s="6" t="n">
        <v>2.260248863237447</v>
      </c>
      <c r="AG886" s="6" t="n">
        <v>-2.924251295101326</v>
      </c>
      <c r="AH886" s="6" t="n">
        <v>1.883819372486335</v>
      </c>
      <c r="AI886" s="6" t="n">
        <v>-0.1916315101565156</v>
      </c>
      <c r="AJ886" s="6" t="n">
        <v>67.40198370090286</v>
      </c>
      <c r="AK886" s="6" t="n">
        <v>0.0906199638929637</v>
      </c>
      <c r="AL886" s="6" t="n">
        <v>1.031668244255865</v>
      </c>
      <c r="AN886" s="6" t="n">
        <v>1.347838759589665</v>
      </c>
      <c r="AO886" s="6" t="n">
        <v>1.348774340729442</v>
      </c>
      <c r="AP886" s="6" t="n">
        <v>0.1341441318053291</v>
      </c>
      <c r="AQ886" s="6" t="n">
        <v>0</v>
      </c>
      <c r="AR886" s="6" t="n">
        <v>0</v>
      </c>
    </row>
    <row r="887">
      <c r="D887" t="inlineStr">
        <is>
          <t>Run 575</t>
        </is>
      </c>
      <c r="J887" s="6" t="n">
        <v>0.9391429546927766</v>
      </c>
      <c r="K887" s="6" t="n">
        <v>-0.45381416433055</v>
      </c>
      <c r="L887" s="6" t="n">
        <v>1.022986046571481</v>
      </c>
      <c r="M887" s="6" t="n">
        <v>-1.908817589104459</v>
      </c>
      <c r="N887" s="6" t="n">
        <v>2.057273297139285</v>
      </c>
      <c r="O887" s="6" t="n">
        <v>1.10884976630736</v>
      </c>
      <c r="P887" s="6" t="n">
        <v>-0.09496614513921828</v>
      </c>
      <c r="Q887" s="6" t="n">
        <v>-0.0776184510167838</v>
      </c>
      <c r="R887" s="6" t="n">
        <v>-0.6431361137044213</v>
      </c>
      <c r="S887" s="6" t="n">
        <v>1.872183083644964</v>
      </c>
      <c r="T887" s="6" t="n">
        <v>-1.419946789568424</v>
      </c>
      <c r="U887" s="6" t="n">
        <v>0.1442799081439296</v>
      </c>
      <c r="V887" s="6" t="n">
        <v>-1.766908151280688</v>
      </c>
      <c r="W887" s="6" t="n">
        <v>-2.081676361470369</v>
      </c>
      <c r="X887" s="6" t="n">
        <v>2.011783641560223</v>
      </c>
      <c r="Y887" s="6" t="n">
        <v>-4.701264223502173</v>
      </c>
      <c r="Z887" s="6" t="n">
        <v>0.7403183920491266</v>
      </c>
      <c r="AA887" s="6" t="n">
        <v>-0.7150299126646821</v>
      </c>
      <c r="AB887" s="6" t="n">
        <v>-0.6372524494750127</v>
      </c>
      <c r="AC887" s="6" t="n">
        <v>-1.688870040037967</v>
      </c>
      <c r="AD887" s="6" t="n">
        <v>2.117780898278702</v>
      </c>
      <c r="AE887" s="6" t="n">
        <v>0.2528180820613617</v>
      </c>
      <c r="AF887" s="6" t="n">
        <v>2.081005305150982</v>
      </c>
      <c r="AG887" s="6" t="n">
        <v>0.7452410978343856</v>
      </c>
      <c r="AH887" s="6" t="n">
        <v>3.06654397723962</v>
      </c>
      <c r="AI887" s="6" t="n">
        <v>5</v>
      </c>
      <c r="AJ887" s="6" t="n">
        <v>78.41372066793839</v>
      </c>
      <c r="AK887" s="6" t="n">
        <v>0.1396124303657713</v>
      </c>
      <c r="AL887" s="6" t="n">
        <v>1.030298213479549</v>
      </c>
      <c r="AN887" s="6" t="n">
        <v>1.340952633980971</v>
      </c>
      <c r="AO887" s="6" t="n">
        <v>1.346559679551817</v>
      </c>
      <c r="AP887" s="6" t="n">
        <v>0.1341461094232453</v>
      </c>
      <c r="AQ887" s="6" t="n">
        <v>0</v>
      </c>
      <c r="AR887" s="6" t="n">
        <v>0</v>
      </c>
    </row>
    <row r="888">
      <c r="D888" t="inlineStr">
        <is>
          <t>Run 576</t>
        </is>
      </c>
      <c r="J888" s="6" t="n">
        <v>-3.505907781817189</v>
      </c>
      <c r="K888" s="6" t="n">
        <v>-2.343311116224245</v>
      </c>
      <c r="L888" s="6" t="n">
        <v>2.077254767653475</v>
      </c>
      <c r="M888" s="6" t="n">
        <v>-0.4665053226722523</v>
      </c>
      <c r="N888" s="6" t="n">
        <v>1.64355319883695</v>
      </c>
      <c r="O888" s="6" t="n">
        <v>0.4566689284409813</v>
      </c>
      <c r="P888" s="6" t="n">
        <v>-1.237635158300423</v>
      </c>
      <c r="Q888" s="6" t="n">
        <v>-1.040037693354208</v>
      </c>
      <c r="R888" s="6" t="n">
        <v>-0.3164119363150077</v>
      </c>
      <c r="S888" s="6" t="n">
        <v>-1.058901263972096</v>
      </c>
      <c r="T888" s="6" t="n">
        <v>-2.334672681591111</v>
      </c>
      <c r="U888" s="6" t="n">
        <v>-1.746944631945878</v>
      </c>
      <c r="V888" s="6" t="n">
        <v>-1.363696009839042</v>
      </c>
      <c r="W888" s="6" t="n">
        <v>0.9644106968211508</v>
      </c>
      <c r="X888" s="6" t="n">
        <v>1.596247757010714</v>
      </c>
      <c r="Y888" s="6" t="n">
        <v>-0.06196655001230741</v>
      </c>
      <c r="Z888" s="6" t="n">
        <v>0.6954603025512438</v>
      </c>
      <c r="AA888" s="6" t="n">
        <v>2.383898791042785</v>
      </c>
      <c r="AB888" s="6" t="n">
        <v>2.360238319351233</v>
      </c>
      <c r="AC888" s="6" t="n">
        <v>2.320516254077407</v>
      </c>
      <c r="AD888" s="6" t="n">
        <v>-1.337714948436673</v>
      </c>
      <c r="AE888" s="6" t="n">
        <v>-1.895218495036735</v>
      </c>
      <c r="AF888" s="6" t="n">
        <v>-1.230058256654623</v>
      </c>
      <c r="AG888" s="6" t="n">
        <v>-3.228749204093893</v>
      </c>
      <c r="AH888" s="6" t="n">
        <v>-1.997587507585714</v>
      </c>
      <c r="AI888" s="6" t="n">
        <v>0.8957419412173887</v>
      </c>
      <c r="AJ888" s="6" t="n">
        <v>59.5159351238196</v>
      </c>
      <c r="AK888" s="6" t="n">
        <v>0.1188637854076753</v>
      </c>
      <c r="AL888" s="6" t="n">
        <v>1.097898559878738</v>
      </c>
      <c r="AN888" s="6" t="n">
        <v>1.325708710356679</v>
      </c>
      <c r="AO888" s="6" t="n">
        <v>1.326036684535784</v>
      </c>
      <c r="AP888" s="6" t="n">
        <v>0.1289299048092004</v>
      </c>
      <c r="AQ888" s="6" t="n">
        <v>0</v>
      </c>
      <c r="AR888" s="6" t="n">
        <v>0</v>
      </c>
    </row>
    <row r="889">
      <c r="D889" t="inlineStr">
        <is>
          <t>Run 577</t>
        </is>
      </c>
      <c r="J889" s="6" t="n">
        <v>1.807900982482093</v>
      </c>
      <c r="K889" s="6" t="n">
        <v>0.8795571068934255</v>
      </c>
      <c r="L889" s="6" t="n">
        <v>1.372102971365461</v>
      </c>
      <c r="M889" s="6" t="n">
        <v>0.9220254686307854</v>
      </c>
      <c r="N889" s="6" t="n">
        <v>-1.848137824881414</v>
      </c>
      <c r="O889" s="6" t="n">
        <v>-1.040929425760674</v>
      </c>
      <c r="P889" s="6" t="n">
        <v>-2.116646799845572</v>
      </c>
      <c r="Q889" s="6" t="n">
        <v>-2.659713848352824</v>
      </c>
      <c r="R889" s="6" t="n">
        <v>-0.776431785786867</v>
      </c>
      <c r="S889" s="6" t="n">
        <v>-1.368627392801031</v>
      </c>
      <c r="T889" s="6" t="n">
        <v>-4.048217496664512</v>
      </c>
      <c r="U889" s="6" t="n">
        <v>2.328411084203554</v>
      </c>
      <c r="V889" s="6" t="n">
        <v>0.2061194903250312</v>
      </c>
      <c r="W889" s="6" t="n">
        <v>-3.148709541361494</v>
      </c>
      <c r="X889" s="6" t="n">
        <v>0.9221331632656409</v>
      </c>
      <c r="Y889" s="6" t="n">
        <v>-0.0466133856688022</v>
      </c>
      <c r="Z889" s="6" t="n">
        <v>0.6498264900246331</v>
      </c>
      <c r="AA889" s="6" t="n">
        <v>-0.3268003778068191</v>
      </c>
      <c r="AB889" s="6" t="n">
        <v>-0.6415008829561022</v>
      </c>
      <c r="AC889" s="6" t="n">
        <v>0.4434840132155933</v>
      </c>
      <c r="AD889" s="6" t="n">
        <v>3.903806507052866</v>
      </c>
      <c r="AE889" s="6" t="n">
        <v>-0.03983417773835624</v>
      </c>
      <c r="AF889" s="6" t="n">
        <v>-1.063961112329061</v>
      </c>
      <c r="AG889" s="6" t="n">
        <v>1.887595506241789</v>
      </c>
      <c r="AH889" s="6" t="n">
        <v>-3.521522405196137</v>
      </c>
      <c r="AI889" s="6" t="n">
        <v>0.410663607327516</v>
      </c>
      <c r="AJ889" s="6" t="n">
        <v>76.237260105074</v>
      </c>
      <c r="AK889" s="6" t="n">
        <v>0.1455359882686406</v>
      </c>
      <c r="AL889" s="6" t="n">
        <v>1.042546684983876</v>
      </c>
      <c r="AN889" s="6" t="n">
        <v>1.349530291912963</v>
      </c>
      <c r="AO889" s="6" t="n">
        <v>1.34971086472887</v>
      </c>
      <c r="AP889" s="6" t="n">
        <v>0.1325820971239282</v>
      </c>
      <c r="AQ889" s="6" t="n">
        <v>0</v>
      </c>
      <c r="AR889" s="6" t="n">
        <v>0</v>
      </c>
    </row>
    <row r="890">
      <c r="D890" t="inlineStr">
        <is>
          <t>Run 578</t>
        </is>
      </c>
      <c r="J890" s="6" t="n">
        <v>-0.5936757706858362</v>
      </c>
      <c r="K890" s="6" t="n">
        <v>-1.155536421332819</v>
      </c>
      <c r="L890" s="6" t="n">
        <v>-0.2910766025720324</v>
      </c>
      <c r="M890" s="6" t="n">
        <v>0.4725086917711616</v>
      </c>
      <c r="N890" s="6" t="n">
        <v>1.512394577776527</v>
      </c>
      <c r="O890" s="6" t="n">
        <v>-0.5139530253507145</v>
      </c>
      <c r="P890" s="6" t="n">
        <v>-1.831597545703834</v>
      </c>
      <c r="Q890" s="6" t="n">
        <v>-2.651095144482142</v>
      </c>
      <c r="R890" s="6" t="n">
        <v>-4.670766920446052</v>
      </c>
      <c r="S890" s="6" t="n">
        <v>-1.939722232529064</v>
      </c>
      <c r="T890" s="6" t="n">
        <v>-2.182714869547104</v>
      </c>
      <c r="U890" s="6" t="n">
        <v>-1.931497225464075</v>
      </c>
      <c r="V890" s="6" t="n">
        <v>0.226179701065236</v>
      </c>
      <c r="W890" s="6" t="n">
        <v>-0.7717663391000119</v>
      </c>
      <c r="X890" s="6" t="n">
        <v>0.6015175204124252</v>
      </c>
      <c r="Y890" s="6" t="n">
        <v>2.30227671956041</v>
      </c>
      <c r="Z890" s="6" t="n">
        <v>-0.8890459068080829</v>
      </c>
      <c r="AA890" s="6" t="n">
        <v>0.7179319862769111</v>
      </c>
      <c r="AB890" s="6" t="n">
        <v>-1.422743274171445</v>
      </c>
      <c r="AC890" s="6" t="n">
        <v>-0.1599811403356979</v>
      </c>
      <c r="AD890" s="6" t="n">
        <v>-0.4061177391841487</v>
      </c>
      <c r="AE890" s="6" t="n">
        <v>-2.063340147495467</v>
      </c>
      <c r="AF890" s="6" t="n">
        <v>2.540707742227879</v>
      </c>
      <c r="AG890" s="6" t="n">
        <v>3.143906943681668</v>
      </c>
      <c r="AH890" s="6" t="n">
        <v>-0.9988832499069349</v>
      </c>
      <c r="AI890" s="6" t="n">
        <v>0.6231574314391539</v>
      </c>
      <c r="AJ890" s="6" t="n">
        <v>72.56154054213474</v>
      </c>
      <c r="AK890" s="6" t="n">
        <v>0.1010222288455383</v>
      </c>
      <c r="AL890" s="6" t="n">
        <v>1.012554651231629</v>
      </c>
      <c r="AN890" s="6" t="n">
        <v>1.354989226023712</v>
      </c>
      <c r="AO890" s="6" t="n">
        <v>1.354989226023712</v>
      </c>
      <c r="AP890" s="6" t="n">
        <v>0.1368934109181723</v>
      </c>
      <c r="AQ890" s="6" t="n">
        <v>0</v>
      </c>
      <c r="AR890" s="6" t="n">
        <v>0</v>
      </c>
    </row>
    <row r="891">
      <c r="D891" t="inlineStr">
        <is>
          <t>Run 579</t>
        </is>
      </c>
      <c r="J891" s="6" t="n">
        <v>-3.057338679599236</v>
      </c>
      <c r="K891" s="6" t="n">
        <v>0.2172565728289474</v>
      </c>
      <c r="L891" s="6" t="n">
        <v>2.796175077262686</v>
      </c>
      <c r="M891" s="6" t="n">
        <v>-2.064618953721039</v>
      </c>
      <c r="N891" s="6" t="n">
        <v>3.026135205803022</v>
      </c>
      <c r="O891" s="6" t="n">
        <v>-2.571677809149818</v>
      </c>
      <c r="P891" s="6" t="n">
        <v>1.443767475806295</v>
      </c>
      <c r="Q891" s="6" t="n">
        <v>-4.43207268889289</v>
      </c>
      <c r="R891" s="6" t="n">
        <v>4.970096866180612</v>
      </c>
      <c r="S891" s="6" t="n">
        <v>-0.3117242619796894</v>
      </c>
      <c r="T891" s="6" t="n">
        <v>-1.626010615056715</v>
      </c>
      <c r="U891" s="6" t="n">
        <v>-1.195509874047079</v>
      </c>
      <c r="V891" s="6" t="n">
        <v>1.346752995152987</v>
      </c>
      <c r="W891" s="6" t="n">
        <v>-1.268469727636728</v>
      </c>
      <c r="X891" s="6" t="n">
        <v>-4.077347201237752</v>
      </c>
      <c r="Y891" s="6" t="n">
        <v>-0.6589030890347435</v>
      </c>
      <c r="Z891" s="6" t="n">
        <v>-0.8925630247326111</v>
      </c>
      <c r="AA891" s="6" t="n">
        <v>2.142278348978579</v>
      </c>
      <c r="AB891" s="6" t="n">
        <v>1.192508427557871</v>
      </c>
      <c r="AC891" s="6" t="n">
        <v>-0.5381600987434583</v>
      </c>
      <c r="AD891" s="6" t="n">
        <v>2.515457628640346</v>
      </c>
      <c r="AE891" s="6" t="n">
        <v>-4.622101976812271</v>
      </c>
      <c r="AF891" s="6" t="n">
        <v>-1.290186654348008</v>
      </c>
      <c r="AG891" s="6" t="n">
        <v>-2.615407411808691</v>
      </c>
      <c r="AH891" s="6" t="n">
        <v>-0.2921122859461697</v>
      </c>
      <c r="AI891" s="6" t="n">
        <v>1.808974773030099</v>
      </c>
      <c r="AJ891" s="6" t="n">
        <v>66.85270589311173</v>
      </c>
      <c r="AK891" s="6" t="n">
        <v>0.1390110232356668</v>
      </c>
      <c r="AL891" s="6" t="n">
        <v>0.9978027035050535</v>
      </c>
      <c r="AN891" s="6" t="n">
        <v>1.345097020247591</v>
      </c>
      <c r="AO891" s="6" t="n">
        <v>1.352077706326323</v>
      </c>
      <c r="AP891" s="6" t="n">
        <v>0.137473338029935</v>
      </c>
      <c r="AQ891" s="6" t="n">
        <v>0</v>
      </c>
      <c r="AR891" s="6" t="n">
        <v>0</v>
      </c>
    </row>
    <row r="892">
      <c r="D892" t="inlineStr">
        <is>
          <t>Run 580</t>
        </is>
      </c>
      <c r="J892" s="6" t="n">
        <v>-1.835418427150515</v>
      </c>
      <c r="K892" s="6" t="n">
        <v>0.2736807393469418</v>
      </c>
      <c r="L892" s="6" t="n">
        <v>-3.245840659046392</v>
      </c>
      <c r="M892" s="6" t="n">
        <v>-0.9250712865828939</v>
      </c>
      <c r="N892" s="6" t="n">
        <v>3.941206566786819</v>
      </c>
      <c r="O892" s="6" t="n">
        <v>-1.562102677841705</v>
      </c>
      <c r="P892" s="6" t="n">
        <v>-2.128535264066727</v>
      </c>
      <c r="Q892" s="6" t="n">
        <v>4.136512682748674</v>
      </c>
      <c r="R892" s="6" t="n">
        <v>-3.845642143374456</v>
      </c>
      <c r="S892" s="6" t="n">
        <v>0.08739765635227949</v>
      </c>
      <c r="T892" s="6" t="n">
        <v>5</v>
      </c>
      <c r="U892" s="6" t="n">
        <v>2.222943427335052</v>
      </c>
      <c r="V892" s="6" t="n">
        <v>-1.034306681426244</v>
      </c>
      <c r="W892" s="6" t="n">
        <v>2.034783761644816</v>
      </c>
      <c r="X892" s="6" t="n">
        <v>4.24286610743526</v>
      </c>
      <c r="Y892" s="6" t="n">
        <v>2.461047741169242</v>
      </c>
      <c r="Z892" s="6" t="n">
        <v>0.245540977609311</v>
      </c>
      <c r="AA892" s="6" t="n">
        <v>3.090206190455636</v>
      </c>
      <c r="AB892" s="6" t="n">
        <v>-2.061347472827243</v>
      </c>
      <c r="AC892" s="6" t="n">
        <v>-1.247945036064072</v>
      </c>
      <c r="AD892" s="6" t="n">
        <v>1.247231806125498</v>
      </c>
      <c r="AE892" s="6" t="n">
        <v>-3.473091452041244</v>
      </c>
      <c r="AF892" s="6" t="n">
        <v>3.07491521805138</v>
      </c>
      <c r="AG892" s="6" t="n">
        <v>0.04789713076350342</v>
      </c>
      <c r="AH892" s="6" t="n">
        <v>-1.722435868209215</v>
      </c>
      <c r="AI892" s="6" t="n">
        <v>-0.6904983338534579</v>
      </c>
      <c r="AJ892" s="6" t="n">
        <v>69.47500291207676</v>
      </c>
      <c r="AK892" s="6" t="n">
        <v>0.1558614990150571</v>
      </c>
      <c r="AL892" s="6" t="n">
        <v>1.06226628869046</v>
      </c>
      <c r="AN892" s="6" t="n">
        <v>1.338368569176938</v>
      </c>
      <c r="AO892" s="6" t="n">
        <v>1.338778383709189</v>
      </c>
      <c r="AP892" s="6" t="n">
        <v>0.1307371449620454</v>
      </c>
      <c r="AQ892" s="6" t="n">
        <v>0</v>
      </c>
      <c r="AR892" s="6" t="n">
        <v>0</v>
      </c>
    </row>
    <row r="893">
      <c r="D893" t="inlineStr">
        <is>
          <t>Run 581</t>
        </is>
      </c>
      <c r="J893" s="6" t="n">
        <v>-0.4975900915607239</v>
      </c>
      <c r="K893" s="6" t="n">
        <v>-1.027529706179894</v>
      </c>
      <c r="L893" s="6" t="n">
        <v>-2.269582998732615</v>
      </c>
      <c r="M893" s="6" t="n">
        <v>3.053628489276259</v>
      </c>
      <c r="N893" s="6" t="n">
        <v>3.031674754991991</v>
      </c>
      <c r="O893" s="6" t="n">
        <v>-2.630810125607969</v>
      </c>
      <c r="P893" s="6" t="n">
        <v>-1.67842323032335</v>
      </c>
      <c r="Q893" s="6" t="n">
        <v>1.841606379641928</v>
      </c>
      <c r="R893" s="6" t="n">
        <v>-2.261094006986141</v>
      </c>
      <c r="S893" s="6" t="n">
        <v>0.7964780735717929</v>
      </c>
      <c r="T893" s="6" t="n">
        <v>0.2265490070065602</v>
      </c>
      <c r="U893" s="6" t="n">
        <v>0.9555847643964204</v>
      </c>
      <c r="V893" s="6" t="n">
        <v>-2.43274917117496</v>
      </c>
      <c r="W893" s="6" t="n">
        <v>2.146498695547431</v>
      </c>
      <c r="X893" s="6" t="n">
        <v>-0.3182613308549539</v>
      </c>
      <c r="Y893" s="6" t="n">
        <v>-0.3846200438781626</v>
      </c>
      <c r="Z893" s="6" t="n">
        <v>0.4396036942822333</v>
      </c>
      <c r="AA893" s="6" t="n">
        <v>-0.5412030151589492</v>
      </c>
      <c r="AB893" s="6" t="n">
        <v>-1.527480107299056</v>
      </c>
      <c r="AC893" s="6" t="n">
        <v>-4.731725095603472</v>
      </c>
      <c r="AD893" s="6" t="n">
        <v>-0.3123562740088688</v>
      </c>
      <c r="AE893" s="6" t="n">
        <v>2.09772002713121</v>
      </c>
      <c r="AF893" s="6" t="n">
        <v>-1.311706994752796</v>
      </c>
      <c r="AG893" s="6" t="n">
        <v>2.406993822403237</v>
      </c>
      <c r="AH893" s="6" t="n">
        <v>1.618917484795215</v>
      </c>
      <c r="AI893" s="6" t="n">
        <v>-1.713623627410428</v>
      </c>
      <c r="AJ893" s="6" t="n">
        <v>81.44197963538191</v>
      </c>
      <c r="AK893" s="6" t="n">
        <v>0.09108265203101468</v>
      </c>
      <c r="AL893" s="6" t="n">
        <v>1.021610870749904</v>
      </c>
      <c r="AN893" s="6" t="n">
        <v>1.358222681751941</v>
      </c>
      <c r="AO893" s="6" t="n">
        <v>1.358222681751941</v>
      </c>
      <c r="AP893" s="6" t="n">
        <v>0.1372795253816114</v>
      </c>
      <c r="AQ893" s="6" t="n">
        <v>0</v>
      </c>
      <c r="AR893" s="6" t="n">
        <v>0</v>
      </c>
    </row>
    <row r="894">
      <c r="D894" t="inlineStr">
        <is>
          <t>Run 582</t>
        </is>
      </c>
      <c r="J894" s="6" t="n">
        <v>1.73882788299866</v>
      </c>
      <c r="K894" s="6" t="n">
        <v>0.4666909121522987</v>
      </c>
      <c r="L894" s="6" t="n">
        <v>4.536108445942197</v>
      </c>
      <c r="M894" s="6" t="n">
        <v>-3.725271031970328</v>
      </c>
      <c r="N894" s="6" t="n">
        <v>2.26824495119173</v>
      </c>
      <c r="O894" s="6" t="n">
        <v>-2.283370937856899</v>
      </c>
      <c r="P894" s="6" t="n">
        <v>3.373666842328098</v>
      </c>
      <c r="Q894" s="6" t="n">
        <v>0.8330338090423919</v>
      </c>
      <c r="R894" s="6" t="n">
        <v>-0.3810344338527328</v>
      </c>
      <c r="S894" s="6" t="n">
        <v>0.0003727777183984617</v>
      </c>
      <c r="T894" s="6" t="n">
        <v>-1.951668130169445</v>
      </c>
      <c r="U894" s="6" t="n">
        <v>1.854825491454037</v>
      </c>
      <c r="V894" s="6" t="n">
        <v>2.273272133962005</v>
      </c>
      <c r="W894" s="6" t="n">
        <v>-1.76328855735607</v>
      </c>
      <c r="X894" s="6" t="n">
        <v>-2.039929294796016</v>
      </c>
      <c r="Y894" s="6" t="n">
        <v>0.5614795528377943</v>
      </c>
      <c r="Z894" s="6" t="n">
        <v>-1.178620299400481</v>
      </c>
      <c r="AA894" s="6" t="n">
        <v>1.552527297510657</v>
      </c>
      <c r="AB894" s="6" t="n">
        <v>1.607238364118155</v>
      </c>
      <c r="AC894" s="6" t="n">
        <v>0.935225820552551</v>
      </c>
      <c r="AD894" s="6" t="n">
        <v>-1.59810703269685</v>
      </c>
      <c r="AE894" s="6" t="n">
        <v>2.421951595045248</v>
      </c>
      <c r="AF894" s="6" t="n">
        <v>1.669600002296435</v>
      </c>
      <c r="AG894" s="6" t="n">
        <v>2.162097734705204</v>
      </c>
      <c r="AH894" s="6" t="n">
        <v>-2.503548483191374</v>
      </c>
      <c r="AI894" s="6" t="n">
        <v>-3.757025699313042</v>
      </c>
      <c r="AJ894" s="6" t="n">
        <v>63.01367329346954</v>
      </c>
      <c r="AK894" s="6" t="n">
        <v>0.1678770555790574</v>
      </c>
      <c r="AL894" s="6" t="n">
        <v>1.068993294473336</v>
      </c>
      <c r="AN894" s="6" t="n">
        <v>1.295732680988042</v>
      </c>
      <c r="AO894" s="6" t="n">
        <v>1.309750472080829</v>
      </c>
      <c r="AP894" s="6" t="n">
        <v>0.1291312693924708</v>
      </c>
      <c r="AQ894" s="6" t="n">
        <v>0</v>
      </c>
      <c r="AR894" s="6" t="n">
        <v>0</v>
      </c>
    </row>
    <row r="895">
      <c r="D895" t="inlineStr">
        <is>
          <t>Run 583</t>
        </is>
      </c>
      <c r="J895" s="6" t="n">
        <v>-1.192537824283614</v>
      </c>
      <c r="K895" s="6" t="n">
        <v>-1.405380934966754</v>
      </c>
      <c r="L895" s="6" t="n">
        <v>1.97889621391174</v>
      </c>
      <c r="M895" s="6" t="n">
        <v>0.03663202218253386</v>
      </c>
      <c r="N895" s="6" t="n">
        <v>-1.769102827375414</v>
      </c>
      <c r="O895" s="6" t="n">
        <v>0.2456817246177091</v>
      </c>
      <c r="P895" s="6" t="n">
        <v>2.189249116192364</v>
      </c>
      <c r="Q895" s="6" t="n">
        <v>-1.756173353797584</v>
      </c>
      <c r="R895" s="6" t="n">
        <v>0.05582726053532295</v>
      </c>
      <c r="S895" s="6" t="n">
        <v>1.031729957978328</v>
      </c>
      <c r="T895" s="6" t="n">
        <v>-4.175386317196781</v>
      </c>
      <c r="U895" s="6" t="n">
        <v>0.4413595947156674</v>
      </c>
      <c r="V895" s="6" t="n">
        <v>-0.9632318751735081</v>
      </c>
      <c r="W895" s="6" t="n">
        <v>3.07253012293972</v>
      </c>
      <c r="X895" s="6" t="n">
        <v>1.117344537055866</v>
      </c>
      <c r="Y895" s="6" t="n">
        <v>1.446804178913691</v>
      </c>
      <c r="Z895" s="6" t="n">
        <v>0.02532781729419491</v>
      </c>
      <c r="AA895" s="6" t="n">
        <v>-0.1560119685156477</v>
      </c>
      <c r="AB895" s="6" t="n">
        <v>1.099555790266715</v>
      </c>
      <c r="AC895" s="6" t="n">
        <v>1.920609038839949</v>
      </c>
      <c r="AD895" s="6" t="n">
        <v>0.8937257857875373</v>
      </c>
      <c r="AE895" s="6" t="n">
        <v>1.06376546506929</v>
      </c>
      <c r="AF895" s="6" t="n">
        <v>0.1302962481970762</v>
      </c>
      <c r="AG895" s="6" t="n">
        <v>-0.2474730756891801</v>
      </c>
      <c r="AH895" s="6" t="n">
        <v>-1.802858708514486</v>
      </c>
      <c r="AI895" s="6" t="n">
        <v>-2.733389925118301</v>
      </c>
      <c r="AJ895" s="6" t="n">
        <v>73.8935735809491</v>
      </c>
      <c r="AK895" s="6" t="n">
        <v>0.1203801273854372</v>
      </c>
      <c r="AL895" s="6" t="n">
        <v>1.045464547595231</v>
      </c>
      <c r="AN895" s="6" t="n">
        <v>1.349162614361986</v>
      </c>
      <c r="AO895" s="6" t="n">
        <v>1.349382533507369</v>
      </c>
      <c r="AP895" s="6" t="n">
        <v>0.1329386131803062</v>
      </c>
      <c r="AQ895" s="6" t="n">
        <v>0</v>
      </c>
      <c r="AR895" s="6" t="n">
        <v>0</v>
      </c>
    </row>
    <row r="896">
      <c r="D896" t="inlineStr">
        <is>
          <t>Run 584</t>
        </is>
      </c>
      <c r="J896" s="6" t="n">
        <v>-2.725393419957236</v>
      </c>
      <c r="K896" s="6" t="n">
        <v>-2.685286119826503</v>
      </c>
      <c r="L896" s="6" t="n">
        <v>-1.712130675354828</v>
      </c>
      <c r="M896" s="6" t="n">
        <v>2.709273807884891</v>
      </c>
      <c r="N896" s="6" t="n">
        <v>-0.6362569813968614</v>
      </c>
      <c r="O896" s="6" t="n">
        <v>1.916291617079992</v>
      </c>
      <c r="P896" s="6" t="n">
        <v>-1.32419945098036</v>
      </c>
      <c r="Q896" s="6" t="n">
        <v>-0.7164157279659112</v>
      </c>
      <c r="R896" s="6" t="n">
        <v>1.653990003499163</v>
      </c>
      <c r="S896" s="6" t="n">
        <v>2.229293272201659</v>
      </c>
      <c r="T896" s="6" t="n">
        <v>-0.8746241136440951</v>
      </c>
      <c r="U896" s="6" t="n">
        <v>0.535431662530562</v>
      </c>
      <c r="V896" s="6" t="n">
        <v>2.230672984209282</v>
      </c>
      <c r="W896" s="6" t="n">
        <v>1.779269177373565</v>
      </c>
      <c r="X896" s="6" t="n">
        <v>-1.006045283760763</v>
      </c>
      <c r="Y896" s="6" t="n">
        <v>3.752592197697279</v>
      </c>
      <c r="Z896" s="6" t="n">
        <v>-1.378250717117692</v>
      </c>
      <c r="AA896" s="6" t="n">
        <v>0.975408337162144</v>
      </c>
      <c r="AB896" s="6" t="n">
        <v>1.121334187484461</v>
      </c>
      <c r="AC896" s="6" t="n">
        <v>1.722542035941476</v>
      </c>
      <c r="AD896" s="6" t="n">
        <v>-2.129924221559208</v>
      </c>
      <c r="AE896" s="6" t="n">
        <v>-2.197490489592448</v>
      </c>
      <c r="AF896" s="6" t="n">
        <v>-0.3995876894589855</v>
      </c>
      <c r="AG896" s="6" t="n">
        <v>-0.3863076925431025</v>
      </c>
      <c r="AH896" s="6" t="n">
        <v>-0.9440424052876354</v>
      </c>
      <c r="AI896" s="6" t="n">
        <v>-2.624758458534223</v>
      </c>
      <c r="AJ896" s="6" t="n">
        <v>68.28482673662444</v>
      </c>
      <c r="AK896" s="6" t="n">
        <v>0.1028525979076099</v>
      </c>
      <c r="AL896" s="6" t="n">
        <v>1.060799240716852</v>
      </c>
      <c r="AN896" s="6" t="n">
        <v>1.340898295826124</v>
      </c>
      <c r="AO896" s="6" t="n">
        <v>1.341661389033036</v>
      </c>
      <c r="AP896" s="6" t="n">
        <v>0.1318277366264244</v>
      </c>
      <c r="AQ896" s="6" t="n">
        <v>0</v>
      </c>
      <c r="AR896" s="6" t="n">
        <v>0</v>
      </c>
    </row>
    <row r="897">
      <c r="D897" t="inlineStr">
        <is>
          <t>Run 585</t>
        </is>
      </c>
      <c r="J897" s="6" t="n">
        <v>4.487297356802638</v>
      </c>
      <c r="K897" s="6" t="n">
        <v>-0.6419170388846115</v>
      </c>
      <c r="L897" s="6" t="n">
        <v>1.25139556716134</v>
      </c>
      <c r="M897" s="6" t="n">
        <v>-1.984727828107343</v>
      </c>
      <c r="N897" s="6" t="n">
        <v>-0.4578233250272477</v>
      </c>
      <c r="O897" s="6" t="n">
        <v>1.583502491072584</v>
      </c>
      <c r="P897" s="6" t="n">
        <v>-0.4509998700434852</v>
      </c>
      <c r="Q897" s="6" t="n">
        <v>0.3738661940082013</v>
      </c>
      <c r="R897" s="6" t="n">
        <v>1.595492851443733</v>
      </c>
      <c r="S897" s="6" t="n">
        <v>-2.915655925679898</v>
      </c>
      <c r="T897" s="6" t="n">
        <v>1.406949990051933</v>
      </c>
      <c r="U897" s="6" t="n">
        <v>1.578237070763224</v>
      </c>
      <c r="V897" s="6" t="n">
        <v>2.769297852883378</v>
      </c>
      <c r="W897" s="6" t="n">
        <v>-0.5493411037797539</v>
      </c>
      <c r="X897" s="6" t="n">
        <v>-1.891832506001488</v>
      </c>
      <c r="Y897" s="6" t="n">
        <v>1.426545519924598</v>
      </c>
      <c r="Z897" s="6" t="n">
        <v>-0.9412120453486871</v>
      </c>
      <c r="AA897" s="6" t="n">
        <v>2.44178722128605</v>
      </c>
      <c r="AB897" s="6" t="n">
        <v>-2.975960652327229</v>
      </c>
      <c r="AC897" s="6" t="n">
        <v>-0.7190829358365475</v>
      </c>
      <c r="AD897" s="6" t="n">
        <v>2.066188140473197</v>
      </c>
      <c r="AE897" s="6" t="n">
        <v>1.935085275107997</v>
      </c>
      <c r="AF897" s="6" t="n">
        <v>-0.9672668015975416</v>
      </c>
      <c r="AG897" s="6" t="n">
        <v>1.749193856502902</v>
      </c>
      <c r="AH897" s="6" t="n">
        <v>1.850759758296272</v>
      </c>
      <c r="AI897" s="6" t="n">
        <v>-2.826127044605189</v>
      </c>
      <c r="AJ897" s="6" t="n">
        <v>72.37216609657924</v>
      </c>
      <c r="AK897" s="6" t="n">
        <v>0.1180777007681785</v>
      </c>
      <c r="AL897" s="6" t="n">
        <v>1.075721868694901</v>
      </c>
      <c r="AN897" s="6" t="n">
        <v>1.325059908408612</v>
      </c>
      <c r="AO897" s="6" t="n">
        <v>1.331055144401071</v>
      </c>
      <c r="AP897" s="6" t="n">
        <v>0.1305856721886766</v>
      </c>
      <c r="AQ897" s="6" t="n">
        <v>0</v>
      </c>
      <c r="AR897" s="6" t="n">
        <v>0</v>
      </c>
    </row>
    <row r="898">
      <c r="D898" t="inlineStr">
        <is>
          <t>Run 586</t>
        </is>
      </c>
      <c r="J898" s="6" t="n">
        <v>0.2702725147982304</v>
      </c>
      <c r="K898" s="6" t="n">
        <v>-0.0003389656493080035</v>
      </c>
      <c r="L898" s="6" t="n">
        <v>0.544095415680902</v>
      </c>
      <c r="M898" s="6" t="n">
        <v>-0.3542846571148894</v>
      </c>
      <c r="N898" s="6" t="n">
        <v>2.202424972153023</v>
      </c>
      <c r="O898" s="6" t="n">
        <v>0.6134702053250687</v>
      </c>
      <c r="P898" s="6" t="n">
        <v>-0.1540103113378631</v>
      </c>
      <c r="Q898" s="6" t="n">
        <v>-2.113784106161212</v>
      </c>
      <c r="R898" s="6" t="n">
        <v>-0.4187151533986112</v>
      </c>
      <c r="S898" s="6" t="n">
        <v>-2.206570211462044</v>
      </c>
      <c r="T898" s="6" t="n">
        <v>-0.5131554720848154</v>
      </c>
      <c r="U898" s="6" t="n">
        <v>-1.963597218698649</v>
      </c>
      <c r="V898" s="6" t="n">
        <v>-0.5030612478355478</v>
      </c>
      <c r="W898" s="6" t="n">
        <v>0.04358450433704347</v>
      </c>
      <c r="X898" s="6" t="n">
        <v>0.154988999056137</v>
      </c>
      <c r="Y898" s="6" t="n">
        <v>1.480244455482119</v>
      </c>
      <c r="Z898" s="6" t="n">
        <v>-1.459135298061901</v>
      </c>
      <c r="AA898" s="6" t="n">
        <v>1.13570436235929</v>
      </c>
      <c r="AB898" s="6" t="n">
        <v>-1.168408237666719</v>
      </c>
      <c r="AC898" s="6" t="n">
        <v>2.753204333973096</v>
      </c>
      <c r="AD898" s="6" t="n">
        <v>2.06189070585185</v>
      </c>
      <c r="AE898" s="6" t="n">
        <v>-0.759654159685933</v>
      </c>
      <c r="AF898" s="6" t="n">
        <v>-0.47497250970267</v>
      </c>
      <c r="AG898" s="6" t="n">
        <v>1.493477607711903</v>
      </c>
      <c r="AH898" s="6" t="n">
        <v>4.505239297064631</v>
      </c>
      <c r="AI898" s="6" t="n">
        <v>-0.9647783428727204</v>
      </c>
      <c r="AJ898" s="6" t="n">
        <v>83.8490598438689</v>
      </c>
      <c r="AK898" s="6" t="n">
        <v>0.109598152404981</v>
      </c>
      <c r="AL898" s="6" t="n">
        <v>1.021721512561744</v>
      </c>
      <c r="AN898" s="6" t="n">
        <v>1.358528037987651</v>
      </c>
      <c r="AO898" s="6" t="n">
        <v>1.358528037987651</v>
      </c>
      <c r="AP898" s="6" t="n">
        <v>0.1367344449248874</v>
      </c>
      <c r="AQ898" s="6" t="n">
        <v>0</v>
      </c>
      <c r="AR898" s="6" t="n">
        <v>0</v>
      </c>
    </row>
    <row r="899">
      <c r="D899" t="inlineStr">
        <is>
          <t>Run 587</t>
        </is>
      </c>
      <c r="J899" s="6" t="n">
        <v>0.8137719896317744</v>
      </c>
      <c r="K899" s="6" t="n">
        <v>1.09867719200762</v>
      </c>
      <c r="L899" s="6" t="n">
        <v>2.960125780437262</v>
      </c>
      <c r="M899" s="6" t="n">
        <v>3.079933022878131</v>
      </c>
      <c r="N899" s="6" t="n">
        <v>-1.84131070651037</v>
      </c>
      <c r="O899" s="6" t="n">
        <v>1.158508226951316</v>
      </c>
      <c r="P899" s="6" t="n">
        <v>-1.101810067959748</v>
      </c>
      <c r="Q899" s="6" t="n">
        <v>1.885917635472195</v>
      </c>
      <c r="R899" s="6" t="n">
        <v>3.412234020645885</v>
      </c>
      <c r="S899" s="6" t="n">
        <v>1.56448297551053</v>
      </c>
      <c r="T899" s="6" t="n">
        <v>-0.7155993057150233</v>
      </c>
      <c r="U899" s="6" t="n">
        <v>2.100795498369328</v>
      </c>
      <c r="V899" s="6" t="n">
        <v>-0.1874423072428097</v>
      </c>
      <c r="W899" s="6" t="n">
        <v>0.9448082327981194</v>
      </c>
      <c r="X899" s="6" t="n">
        <v>2.267732252507811</v>
      </c>
      <c r="Y899" s="6" t="n">
        <v>-0.1112939959122504</v>
      </c>
      <c r="Z899" s="6" t="n">
        <v>-1.026591649410017</v>
      </c>
      <c r="AA899" s="6" t="n">
        <v>1.518167494527376</v>
      </c>
      <c r="AB899" s="6" t="n">
        <v>-2.035396106674445</v>
      </c>
      <c r="AC899" s="6" t="n">
        <v>4.392833638440225</v>
      </c>
      <c r="AD899" s="6" t="n">
        <v>1.473332007118838</v>
      </c>
      <c r="AE899" s="6" t="n">
        <v>-1.350393076849807</v>
      </c>
      <c r="AF899" s="6" t="n">
        <v>-4.31342300549044</v>
      </c>
      <c r="AG899" s="6" t="n">
        <v>3.071185632842814</v>
      </c>
      <c r="AH899" s="6" t="n">
        <v>-1.229688556641266</v>
      </c>
      <c r="AI899" s="6" t="n">
        <v>1.379137214549438</v>
      </c>
      <c r="AJ899" s="6" t="n">
        <v>62.43298607271014</v>
      </c>
      <c r="AK899" s="6" t="n">
        <v>0.1253811018595096</v>
      </c>
      <c r="AL899" s="6" t="n">
        <v>1.031967960663164</v>
      </c>
      <c r="AN899" s="6" t="n">
        <v>1.344379013261746</v>
      </c>
      <c r="AO899" s="6" t="n">
        <v>1.344379013261746</v>
      </c>
      <c r="AP899" s="6" t="n">
        <v>0.1332174864358076</v>
      </c>
      <c r="AQ899" s="6" t="n">
        <v>0</v>
      </c>
      <c r="AR899" s="6" t="n">
        <v>0</v>
      </c>
    </row>
    <row r="900">
      <c r="D900" t="inlineStr">
        <is>
          <t>Run 588</t>
        </is>
      </c>
      <c r="J900" s="6" t="n">
        <v>-1.805928930672302</v>
      </c>
      <c r="K900" s="6" t="n">
        <v>-1.13119706900398</v>
      </c>
      <c r="L900" s="6" t="n">
        <v>3.02126664501226</v>
      </c>
      <c r="M900" s="6" t="n">
        <v>1.630193161447031</v>
      </c>
      <c r="N900" s="6" t="n">
        <v>-0.03057072829352325</v>
      </c>
      <c r="O900" s="6" t="n">
        <v>1.154382989996102</v>
      </c>
      <c r="P900" s="6" t="n">
        <v>2.465922640389909</v>
      </c>
      <c r="Q900" s="6" t="n">
        <v>-1.399074262775084</v>
      </c>
      <c r="R900" s="6" t="n">
        <v>-2.896300954921679</v>
      </c>
      <c r="S900" s="6" t="n">
        <v>0.3864964057075404</v>
      </c>
      <c r="T900" s="6" t="n">
        <v>0.1148575736569882</v>
      </c>
      <c r="U900" s="6" t="n">
        <v>0.4134074471282632</v>
      </c>
      <c r="V900" s="6" t="n">
        <v>-0.007437497357358928</v>
      </c>
      <c r="W900" s="6" t="n">
        <v>-2.450668336938111</v>
      </c>
      <c r="X900" s="6" t="n">
        <v>-0.05794122157563494</v>
      </c>
      <c r="Y900" s="6" t="n">
        <v>2.10602206293699</v>
      </c>
      <c r="Z900" s="6" t="n">
        <v>2.835339296149529</v>
      </c>
      <c r="AA900" s="6" t="n">
        <v>-0.6825802131038858</v>
      </c>
      <c r="AB900" s="6" t="n">
        <v>1.293613166107824</v>
      </c>
      <c r="AC900" s="6" t="n">
        <v>-0.9616012713563242</v>
      </c>
      <c r="AD900" s="6" t="n">
        <v>-1.308243466727635</v>
      </c>
      <c r="AE900" s="6" t="n">
        <v>1.120208575760689</v>
      </c>
      <c r="AF900" s="6" t="n">
        <v>0.9196330187974926</v>
      </c>
      <c r="AG900" s="6" t="n">
        <v>-2.195646210752067</v>
      </c>
      <c r="AH900" s="6" t="n">
        <v>0.2234669776143461</v>
      </c>
      <c r="AI900" s="6" t="n">
        <v>-0.4343263876755845</v>
      </c>
      <c r="AJ900" s="6" t="n">
        <v>61.73610001659861</v>
      </c>
      <c r="AK900" s="6" t="n">
        <v>0.2127943387767741</v>
      </c>
      <c r="AL900" s="6" t="n">
        <v>1.050659461949261</v>
      </c>
      <c r="AN900" s="6" t="n">
        <v>1.330395220220557</v>
      </c>
      <c r="AO900" s="6" t="n">
        <v>1.331292557250296</v>
      </c>
      <c r="AP900" s="6" t="n">
        <v>0.1296173946764359</v>
      </c>
      <c r="AQ900" s="6" t="n">
        <v>0</v>
      </c>
      <c r="AR900" s="6" t="n">
        <v>0</v>
      </c>
    </row>
    <row r="901">
      <c r="D901" t="inlineStr">
        <is>
          <t>Run 589</t>
        </is>
      </c>
      <c r="J901" s="6" t="n">
        <v>-2.728866711217653</v>
      </c>
      <c r="K901" s="6" t="n">
        <v>1.39821750979918</v>
      </c>
      <c r="L901" s="6" t="n">
        <v>-1.91289931749932</v>
      </c>
      <c r="M901" s="6" t="n">
        <v>0.7128118549999611</v>
      </c>
      <c r="N901" s="6" t="n">
        <v>-3.085169683824589</v>
      </c>
      <c r="O901" s="6" t="n">
        <v>1.914984050757276</v>
      </c>
      <c r="P901" s="6" t="n">
        <v>-2.354372523321203</v>
      </c>
      <c r="Q901" s="6" t="n">
        <v>-1.074969971379128</v>
      </c>
      <c r="R901" s="6" t="n">
        <v>-2.341678169094547</v>
      </c>
      <c r="S901" s="6" t="n">
        <v>0.07460323313214927</v>
      </c>
      <c r="T901" s="6" t="n">
        <v>-0.7396768640058378</v>
      </c>
      <c r="U901" s="6" t="n">
        <v>-2.654078998360951</v>
      </c>
      <c r="V901" s="6" t="n">
        <v>0.3307763985056205</v>
      </c>
      <c r="W901" s="6" t="n">
        <v>-0.8476943131934349</v>
      </c>
      <c r="X901" s="6" t="n">
        <v>-3.01884643014579</v>
      </c>
      <c r="Y901" s="6" t="n">
        <v>0.5738955302874725</v>
      </c>
      <c r="Z901" s="6" t="n">
        <v>0.7194949905499141</v>
      </c>
      <c r="AA901" s="6" t="n">
        <v>0.5916698936865191</v>
      </c>
      <c r="AB901" s="6" t="n">
        <v>1.302411669102618</v>
      </c>
      <c r="AC901" s="6" t="n">
        <v>-1.891104319527569</v>
      </c>
      <c r="AD901" s="6" t="n">
        <v>-1.892090276367676</v>
      </c>
      <c r="AE901" s="6" t="n">
        <v>-0.8739036183843534</v>
      </c>
      <c r="AF901" s="6" t="n">
        <v>-0.3251736692462415</v>
      </c>
      <c r="AG901" s="6" t="n">
        <v>1.694675949766704</v>
      </c>
      <c r="AH901" s="6" t="n">
        <v>1.917711117106793</v>
      </c>
      <c r="AI901" s="6" t="n">
        <v>0.3645624762669845</v>
      </c>
      <c r="AJ901" s="6" t="n">
        <v>73.31421747857456</v>
      </c>
      <c r="AK901" s="6" t="n">
        <v>0.1765487473501098</v>
      </c>
      <c r="AL901" s="6" t="n">
        <v>1.051350009346397</v>
      </c>
      <c r="AN901" s="6" t="n">
        <v>1.339073126927696</v>
      </c>
      <c r="AO901" s="6" t="n">
        <v>1.339838374465937</v>
      </c>
      <c r="AP901" s="6" t="n">
        <v>0.1310723631502517</v>
      </c>
      <c r="AQ901" s="6" t="n">
        <v>0</v>
      </c>
      <c r="AR901" s="6" t="n">
        <v>0</v>
      </c>
    </row>
    <row r="902">
      <c r="D902" t="inlineStr">
        <is>
          <t>Run 590</t>
        </is>
      </c>
      <c r="J902" s="6" t="n">
        <v>-2.131157508428594</v>
      </c>
      <c r="K902" s="6" t="n">
        <v>-3.219935259039294</v>
      </c>
      <c r="L902" s="6" t="n">
        <v>0.6933832751850256</v>
      </c>
      <c r="M902" s="6" t="n">
        <v>0.682625029855881</v>
      </c>
      <c r="N902" s="6" t="n">
        <v>1.477970919902936</v>
      </c>
      <c r="O902" s="6" t="n">
        <v>1.320376685490661</v>
      </c>
      <c r="P902" s="6" t="n">
        <v>3.598257314379746</v>
      </c>
      <c r="Q902" s="6" t="n">
        <v>1.210016215188991</v>
      </c>
      <c r="R902" s="6" t="n">
        <v>-1.430093175897278</v>
      </c>
      <c r="S902" s="6" t="n">
        <v>1.082732518843441</v>
      </c>
      <c r="T902" s="6" t="n">
        <v>-0.720391353141271</v>
      </c>
      <c r="U902" s="6" t="n">
        <v>0.7708978248349098</v>
      </c>
      <c r="V902" s="6" t="n">
        <v>-3.212381318072382</v>
      </c>
      <c r="W902" s="6" t="n">
        <v>1.66517107493182</v>
      </c>
      <c r="X902" s="6" t="n">
        <v>-0.9511478972269359</v>
      </c>
      <c r="Y902" s="6" t="n">
        <v>0.9657363826804456</v>
      </c>
      <c r="Z902" s="6" t="n">
        <v>-1.31263107593349</v>
      </c>
      <c r="AA902" s="6" t="n">
        <v>1.034631069434963</v>
      </c>
      <c r="AB902" s="6" t="n">
        <v>-1.952207822315553</v>
      </c>
      <c r="AC902" s="6" t="n">
        <v>-0.1508717299632675</v>
      </c>
      <c r="AD902" s="6" t="n">
        <v>1.728913611001216</v>
      </c>
      <c r="AE902" s="6" t="n">
        <v>0.7184445659913143</v>
      </c>
      <c r="AF902" s="6" t="n">
        <v>-0.01532179272688534</v>
      </c>
      <c r="AG902" s="6" t="n">
        <v>-0.6796649341505466</v>
      </c>
      <c r="AH902" s="6" t="n">
        <v>1.251964667247969</v>
      </c>
      <c r="AI902" s="6" t="n">
        <v>0.2845091994260094</v>
      </c>
      <c r="AJ902" s="6" t="n">
        <v>62.37798359526484</v>
      </c>
      <c r="AK902" s="6" t="n">
        <v>0.08062591130171318</v>
      </c>
      <c r="AL902" s="6" t="n">
        <v>1.045907348987142</v>
      </c>
      <c r="AN902" s="6" t="n">
        <v>1.345078658982724</v>
      </c>
      <c r="AO902" s="6" t="n">
        <v>1.345382067474148</v>
      </c>
      <c r="AP902" s="6" t="n">
        <v>0.1330608657013197</v>
      </c>
      <c r="AQ902" s="6" t="n">
        <v>0</v>
      </c>
      <c r="AR902" s="6" t="n">
        <v>0</v>
      </c>
    </row>
    <row r="903">
      <c r="D903" t="inlineStr">
        <is>
          <t>Run 591</t>
        </is>
      </c>
      <c r="J903" s="6" t="n">
        <v>0.1805592150209326</v>
      </c>
      <c r="K903" s="6" t="n">
        <v>-1.858409898608993</v>
      </c>
      <c r="L903" s="6" t="n">
        <v>1.722017065266242</v>
      </c>
      <c r="M903" s="6" t="n">
        <v>-0.391265119269797</v>
      </c>
      <c r="N903" s="6" t="n">
        <v>-3.14874815154754</v>
      </c>
      <c r="O903" s="6" t="n">
        <v>-0.1395837146790932</v>
      </c>
      <c r="P903" s="6" t="n">
        <v>1.13200750947137</v>
      </c>
      <c r="Q903" s="6" t="n">
        <v>0.8941748146568957</v>
      </c>
      <c r="R903" s="6" t="n">
        <v>-0.4149285687456168</v>
      </c>
      <c r="S903" s="6" t="n">
        <v>1.807982281078887</v>
      </c>
      <c r="T903" s="6" t="n">
        <v>1.615706342344931</v>
      </c>
      <c r="U903" s="6" t="n">
        <v>3.638866560644779</v>
      </c>
      <c r="V903" s="6" t="n">
        <v>2.97806694305361</v>
      </c>
      <c r="W903" s="6" t="n">
        <v>2.55460608019931</v>
      </c>
      <c r="X903" s="6" t="n">
        <v>1.208409825124102</v>
      </c>
      <c r="Y903" s="6" t="n">
        <v>-2.665887879004405</v>
      </c>
      <c r="Z903" s="6" t="n">
        <v>-0.8245238200301567</v>
      </c>
      <c r="AA903" s="6" t="n">
        <v>0.2013061393414226</v>
      </c>
      <c r="AB903" s="6" t="n">
        <v>-1.574896638659405</v>
      </c>
      <c r="AC903" s="6" t="n">
        <v>0.9778241343168025</v>
      </c>
      <c r="AD903" s="6" t="n">
        <v>-1.491841243678836</v>
      </c>
      <c r="AE903" s="6" t="n">
        <v>-0.03855324903915112</v>
      </c>
      <c r="AF903" s="6" t="n">
        <v>3.164873938324264</v>
      </c>
      <c r="AG903" s="6" t="n">
        <v>-2.036216776342671</v>
      </c>
      <c r="AH903" s="6" t="n">
        <v>-0.9748240252359512</v>
      </c>
      <c r="AI903" s="6" t="n">
        <v>0.5575129175296746</v>
      </c>
      <c r="AJ903" s="6" t="n">
        <v>77.19439033147835</v>
      </c>
      <c r="AK903" s="6" t="n">
        <v>0.1408820299170742</v>
      </c>
      <c r="AL903" s="6" t="n">
        <v>1.053511641185772</v>
      </c>
      <c r="AN903" s="6" t="n">
        <v>1.346233229655514</v>
      </c>
      <c r="AO903" s="6" t="n">
        <v>1.346713946815071</v>
      </c>
      <c r="AP903" s="6" t="n">
        <v>0.1319271429955872</v>
      </c>
      <c r="AQ903" s="6" t="n">
        <v>0</v>
      </c>
      <c r="AR903" s="6" t="n">
        <v>0</v>
      </c>
    </row>
    <row r="904">
      <c r="D904" t="inlineStr">
        <is>
          <t>Run 592</t>
        </is>
      </c>
      <c r="J904" s="6" t="n">
        <v>-0.2942121968898872</v>
      </c>
      <c r="K904" s="6" t="n">
        <v>-1.388458521012407</v>
      </c>
      <c r="L904" s="6" t="n">
        <v>-0.621349396909654</v>
      </c>
      <c r="M904" s="6" t="n">
        <v>-1.224029337642962</v>
      </c>
      <c r="N904" s="6" t="n">
        <v>-2.575472597836434</v>
      </c>
      <c r="O904" s="6" t="n">
        <v>-0.2342844036602934</v>
      </c>
      <c r="P904" s="6" t="n">
        <v>0.04579599325283759</v>
      </c>
      <c r="Q904" s="6" t="n">
        <v>-1.388893274397643</v>
      </c>
      <c r="R904" s="6" t="n">
        <v>0.7849735182445676</v>
      </c>
      <c r="S904" s="6" t="n">
        <v>-2.364805911501262</v>
      </c>
      <c r="T904" s="6" t="n">
        <v>0.9412020098813206</v>
      </c>
      <c r="U904" s="6" t="n">
        <v>-0.07483742762754832</v>
      </c>
      <c r="V904" s="6" t="n">
        <v>-1.043403084240197</v>
      </c>
      <c r="W904" s="6" t="n">
        <v>0.9858028835014676</v>
      </c>
      <c r="X904" s="6" t="n">
        <v>1.496830537587778</v>
      </c>
      <c r="Y904" s="6" t="n">
        <v>-0.740770765084101</v>
      </c>
      <c r="Z904" s="6" t="n">
        <v>-2.492475982880607</v>
      </c>
      <c r="AA904" s="6" t="n">
        <v>-0.02757225216515931</v>
      </c>
      <c r="AB904" s="6" t="n">
        <v>0.6597843306284777</v>
      </c>
      <c r="AC904" s="6" t="n">
        <v>-1.12859033191602</v>
      </c>
      <c r="AD904" s="6" t="n">
        <v>-6.624187397027164</v>
      </c>
      <c r="AE904" s="6" t="n">
        <v>-5.371893849392728</v>
      </c>
      <c r="AF904" s="6" t="n">
        <v>-3.614856879183195</v>
      </c>
      <c r="AG904" s="6" t="n">
        <v>2.908722471063618</v>
      </c>
      <c r="AH904" s="6" t="n">
        <v>-0.7866919933261812</v>
      </c>
      <c r="AI904" s="6" t="n">
        <v>-0.8365913616028492</v>
      </c>
      <c r="AJ904" s="6" t="n">
        <v>71.87113732792736</v>
      </c>
      <c r="AK904" s="6" t="n">
        <v>0.1157825502852515</v>
      </c>
      <c r="AL904" s="6" t="n">
        <v>1.023309875835269</v>
      </c>
      <c r="AN904" s="6" t="n">
        <v>1.351008220605458</v>
      </c>
      <c r="AO904" s="6" t="n">
        <v>1.352392019420779</v>
      </c>
      <c r="AP904" s="6" t="n">
        <v>0.1351360452723391</v>
      </c>
      <c r="AQ904" s="6" t="n">
        <v>0</v>
      </c>
      <c r="AR904" s="6" t="n">
        <v>0</v>
      </c>
    </row>
    <row r="905">
      <c r="D905" t="inlineStr">
        <is>
          <t>Run 593</t>
        </is>
      </c>
      <c r="J905" s="6" t="n">
        <v>2.242573509889247</v>
      </c>
      <c r="K905" s="6" t="n">
        <v>0.5013852885246523</v>
      </c>
      <c r="L905" s="6" t="n">
        <v>-1.150885663717547</v>
      </c>
      <c r="M905" s="6" t="n">
        <v>2.621761633189818</v>
      </c>
      <c r="N905" s="6" t="n">
        <v>-1.103328329795733</v>
      </c>
      <c r="O905" s="6" t="n">
        <v>0.4614643255393976</v>
      </c>
      <c r="P905" s="6" t="n">
        <v>-1.743444669288879</v>
      </c>
      <c r="Q905" s="6" t="n">
        <v>2.530580451661187</v>
      </c>
      <c r="R905" s="6" t="n">
        <v>-4.544186745011874</v>
      </c>
      <c r="S905" s="6" t="n">
        <v>-1.367851351249474</v>
      </c>
      <c r="T905" s="6" t="n">
        <v>-0.5580550953345786</v>
      </c>
      <c r="U905" s="6" t="n">
        <v>0.1143461831725824</v>
      </c>
      <c r="V905" s="6" t="n">
        <v>-2.224248646344488</v>
      </c>
      <c r="W905" s="6" t="n">
        <v>0.3993697031262724</v>
      </c>
      <c r="X905" s="6" t="n">
        <v>0.101081665992108</v>
      </c>
      <c r="Y905" s="6" t="n">
        <v>2.875834136107313</v>
      </c>
      <c r="Z905" s="6" t="n">
        <v>1.233372624850021</v>
      </c>
      <c r="AA905" s="6" t="n">
        <v>1.234345044131619</v>
      </c>
      <c r="AB905" s="6" t="n">
        <v>-1.99675423690875</v>
      </c>
      <c r="AC905" s="6" t="n">
        <v>2.440091625000046</v>
      </c>
      <c r="AD905" s="6" t="n">
        <v>0.6508156726859966</v>
      </c>
      <c r="AE905" s="6" t="n">
        <v>-1.525437801690383</v>
      </c>
      <c r="AF905" s="6" t="n">
        <v>1.085470213012144</v>
      </c>
      <c r="AG905" s="6" t="n">
        <v>0.4124838218677543</v>
      </c>
      <c r="AH905" s="6" t="n">
        <v>1.070762878715421</v>
      </c>
      <c r="AI905" s="6" t="n">
        <v>2.73004947136176</v>
      </c>
      <c r="AJ905" s="6" t="n">
        <v>70.67062699388178</v>
      </c>
      <c r="AK905" s="6" t="n">
        <v>0.1510390990461076</v>
      </c>
      <c r="AL905" s="6" t="n">
        <v>1.038491191212343</v>
      </c>
      <c r="AN905" s="6" t="n">
        <v>1.345906096077269</v>
      </c>
      <c r="AO905" s="6" t="n">
        <v>1.346820485819524</v>
      </c>
      <c r="AP905" s="6" t="n">
        <v>0.1328469845393498</v>
      </c>
      <c r="AQ905" s="6" t="n">
        <v>0</v>
      </c>
      <c r="AR905" s="6" t="n">
        <v>0</v>
      </c>
    </row>
    <row r="906">
      <c r="D906" t="inlineStr">
        <is>
          <t>Run 594</t>
        </is>
      </c>
      <c r="J906" s="6" t="n">
        <v>0.0430192164486418</v>
      </c>
      <c r="K906" s="6" t="n">
        <v>-1.862163210479839</v>
      </c>
      <c r="L906" s="6" t="n">
        <v>-0.5150772620810875</v>
      </c>
      <c r="M906" s="6" t="n">
        <v>-0.2554490741323489</v>
      </c>
      <c r="N906" s="6" t="n">
        <v>2.520680357862823</v>
      </c>
      <c r="O906" s="6" t="n">
        <v>0.5507401080214829</v>
      </c>
      <c r="P906" s="6" t="n">
        <v>-0.9492254041198838</v>
      </c>
      <c r="Q906" s="6" t="n">
        <v>-1.115530012039913</v>
      </c>
      <c r="R906" s="6" t="n">
        <v>4.084038710734039</v>
      </c>
      <c r="S906" s="6" t="n">
        <v>-2.130687943543618</v>
      </c>
      <c r="T906" s="6" t="n">
        <v>1.364872026581205</v>
      </c>
      <c r="U906" s="6" t="n">
        <v>-0.2457168488336221</v>
      </c>
      <c r="V906" s="6" t="n">
        <v>1.936363432856023</v>
      </c>
      <c r="W906" s="6" t="n">
        <v>-0.6990443711238649</v>
      </c>
      <c r="X906" s="6" t="n">
        <v>-4.350874516636654</v>
      </c>
      <c r="Y906" s="6" t="n">
        <v>-1.074880535661817</v>
      </c>
      <c r="Z906" s="6" t="n">
        <v>0.5697974872244727</v>
      </c>
      <c r="AA906" s="6" t="n">
        <v>-1.333739770203163</v>
      </c>
      <c r="AB906" s="6" t="n">
        <v>0.9519664324507846</v>
      </c>
      <c r="AC906" s="6" t="n">
        <v>1.484644802737609</v>
      </c>
      <c r="AD906" s="6" t="n">
        <v>-1.603514524449801</v>
      </c>
      <c r="AE906" s="6" t="n">
        <v>0.1321070211406935</v>
      </c>
      <c r="AF906" s="6" t="n">
        <v>1.342982626317019</v>
      </c>
      <c r="AG906" s="6" t="n">
        <v>-2.308036417423375</v>
      </c>
      <c r="AH906" s="6" t="n">
        <v>-0.4813961467865283</v>
      </c>
      <c r="AI906" s="6" t="n">
        <v>-3.971608590585521</v>
      </c>
      <c r="AJ906" s="6" t="n">
        <v>82.71757445104288</v>
      </c>
      <c r="AK906" s="6" t="n">
        <v>0.1981738342989592</v>
      </c>
      <c r="AL906" s="6" t="n">
        <v>1.083825823760318</v>
      </c>
      <c r="AN906" s="6" t="n">
        <v>1.326926643342392</v>
      </c>
      <c r="AO906" s="6" t="n">
        <v>1.327668126487918</v>
      </c>
      <c r="AP906" s="6" t="n">
        <v>0.1283206879662927</v>
      </c>
      <c r="AQ906" s="6" t="n">
        <v>0</v>
      </c>
      <c r="AR906" s="6" t="n">
        <v>0</v>
      </c>
    </row>
    <row r="907">
      <c r="D907" t="inlineStr">
        <is>
          <t>Run 595</t>
        </is>
      </c>
      <c r="J907" s="6" t="n">
        <v>0.9128064182751481</v>
      </c>
      <c r="K907" s="6" t="n">
        <v>-1.825215068907577</v>
      </c>
      <c r="L907" s="6" t="n">
        <v>-0.03980024656764406</v>
      </c>
      <c r="M907" s="6" t="n">
        <v>1.840075136293414</v>
      </c>
      <c r="N907" s="6" t="n">
        <v>2.747019745698231</v>
      </c>
      <c r="O907" s="6" t="n">
        <v>4.206850994591226</v>
      </c>
      <c r="P907" s="6" t="n">
        <v>-0.1033109135493306</v>
      </c>
      <c r="Q907" s="6" t="n">
        <v>1.147546717526126</v>
      </c>
      <c r="R907" s="6" t="n">
        <v>3.092350226607727</v>
      </c>
      <c r="S907" s="6" t="n">
        <v>-0.6822953787012933</v>
      </c>
      <c r="T907" s="6" t="n">
        <v>-1.866638606631617</v>
      </c>
      <c r="U907" s="6" t="n">
        <v>-0.759615857093959</v>
      </c>
      <c r="V907" s="6" t="n">
        <v>1.274475897963659</v>
      </c>
      <c r="W907" s="6" t="n">
        <v>1.520677582613289</v>
      </c>
      <c r="X907" s="6" t="n">
        <v>2.470536181769817</v>
      </c>
      <c r="Y907" s="6" t="n">
        <v>0.6727058658983812</v>
      </c>
      <c r="Z907" s="6" t="n">
        <v>1.961957712976041</v>
      </c>
      <c r="AA907" s="6" t="n">
        <v>2.042922802750074</v>
      </c>
      <c r="AB907" s="6" t="n">
        <v>2.05533183536339</v>
      </c>
      <c r="AC907" s="6" t="n">
        <v>2.166880844237486</v>
      </c>
      <c r="AD907" s="6" t="n">
        <v>-0.6869746903539883</v>
      </c>
      <c r="AE907" s="6" t="n">
        <v>2.590444495956978</v>
      </c>
      <c r="AF907" s="6" t="n">
        <v>1.153672680147381</v>
      </c>
      <c r="AG907" s="6" t="n">
        <v>2.305168560306829</v>
      </c>
      <c r="AH907" s="6" t="n">
        <v>-1.352690841946163</v>
      </c>
      <c r="AI907" s="6" t="n">
        <v>-2.129726785266149</v>
      </c>
      <c r="AJ907" s="6" t="n">
        <v>73.29589041516856</v>
      </c>
      <c r="AK907" s="6" t="n">
        <v>0.1603480922917239</v>
      </c>
      <c r="AL907" s="6" t="n">
        <v>1.03780968737146</v>
      </c>
      <c r="AN907" s="6" t="n">
        <v>1.347430360721157</v>
      </c>
      <c r="AO907" s="6" t="n">
        <v>1.347672556800283</v>
      </c>
      <c r="AP907" s="6" t="n">
        <v>0.1328380893469553</v>
      </c>
      <c r="AQ907" s="6" t="n">
        <v>0</v>
      </c>
      <c r="AR907" s="6" t="n">
        <v>0</v>
      </c>
    </row>
    <row r="908">
      <c r="D908" t="inlineStr">
        <is>
          <t>Run 596</t>
        </is>
      </c>
      <c r="J908" s="6" t="n">
        <v>-1.550804762160825</v>
      </c>
      <c r="K908" s="6" t="n">
        <v>2.229228454611555</v>
      </c>
      <c r="L908" s="6" t="n">
        <v>-0.05997724043945888</v>
      </c>
      <c r="M908" s="6" t="n">
        <v>0.8207929847773718</v>
      </c>
      <c r="N908" s="6" t="n">
        <v>-0.2664580095978237</v>
      </c>
      <c r="O908" s="6" t="n">
        <v>0.55164942991051</v>
      </c>
      <c r="P908" s="6" t="n">
        <v>2.801504001704234</v>
      </c>
      <c r="Q908" s="6" t="n">
        <v>0.6528424284838749</v>
      </c>
      <c r="R908" s="6" t="n">
        <v>0.01107858804049096</v>
      </c>
      <c r="S908" s="6" t="n">
        <v>2.456337403469838</v>
      </c>
      <c r="T908" s="6" t="n">
        <v>-1.942139557513518</v>
      </c>
      <c r="U908" s="6" t="n">
        <v>-4.400174414485062</v>
      </c>
      <c r="V908" s="6" t="n">
        <v>0.8975384999464217</v>
      </c>
      <c r="W908" s="6" t="n">
        <v>0.9162865330877908</v>
      </c>
      <c r="X908" s="6" t="n">
        <v>2.457337892408801</v>
      </c>
      <c r="Y908" s="6" t="n">
        <v>-0.1810542495736214</v>
      </c>
      <c r="Z908" s="6" t="n">
        <v>-2.189266072761527</v>
      </c>
      <c r="AA908" s="6" t="n">
        <v>0.8934690841313495</v>
      </c>
      <c r="AB908" s="6" t="n">
        <v>-1.951049319839569</v>
      </c>
      <c r="AC908" s="6" t="n">
        <v>-0.9135307179892312</v>
      </c>
      <c r="AD908" s="6" t="n">
        <v>-0.02706916586973124</v>
      </c>
      <c r="AE908" s="6" t="n">
        <v>1.089737216214303</v>
      </c>
      <c r="AF908" s="6" t="n">
        <v>2.945812658317518</v>
      </c>
      <c r="AG908" s="6" t="n">
        <v>0.2612130336434706</v>
      </c>
      <c r="AH908" s="6" t="n">
        <v>0.9178014635149289</v>
      </c>
      <c r="AI908" s="6" t="n">
        <v>-2.515631233814548</v>
      </c>
      <c r="AJ908" s="6" t="n">
        <v>68.04911516131546</v>
      </c>
      <c r="AK908" s="6" t="n">
        <v>0.1816456778810701</v>
      </c>
      <c r="AL908" s="6" t="n">
        <v>1.063015993389672</v>
      </c>
      <c r="AN908" s="6" t="n">
        <v>1.331516739508572</v>
      </c>
      <c r="AO908" s="6" t="n">
        <v>1.332693209783252</v>
      </c>
      <c r="AP908" s="6" t="n">
        <v>0.1295895120507858</v>
      </c>
      <c r="AQ908" s="6" t="n">
        <v>0</v>
      </c>
      <c r="AR908" s="6" t="n">
        <v>0</v>
      </c>
    </row>
    <row r="909">
      <c r="D909" t="inlineStr">
        <is>
          <t>Run 597</t>
        </is>
      </c>
      <c r="J909" s="6" t="n">
        <v>4.523892688617983</v>
      </c>
      <c r="K909" s="6" t="n">
        <v>0.005678058349791546</v>
      </c>
      <c r="L909" s="6" t="n">
        <v>1.383078348360457</v>
      </c>
      <c r="M909" s="6" t="n">
        <v>3.627187394873186</v>
      </c>
      <c r="N909" s="6" t="n">
        <v>-2.789021415926094</v>
      </c>
      <c r="O909" s="6" t="n">
        <v>2.647909742070717</v>
      </c>
      <c r="P909" s="6" t="n">
        <v>0.6793960160032734</v>
      </c>
      <c r="Q909" s="6" t="n">
        <v>-1.540001485294279</v>
      </c>
      <c r="R909" s="6" t="n">
        <v>0.04829702099871231</v>
      </c>
      <c r="S909" s="6" t="n">
        <v>2.511086117494075</v>
      </c>
      <c r="T909" s="6" t="n">
        <v>0.8741504573301976</v>
      </c>
      <c r="U909" s="6" t="n">
        <v>-1.376428965559142</v>
      </c>
      <c r="V909" s="6" t="n">
        <v>-2.916574932094766</v>
      </c>
      <c r="W909" s="6" t="n">
        <v>5</v>
      </c>
      <c r="X909" s="6" t="n">
        <v>-2.249135140059062</v>
      </c>
      <c r="Y909" s="6" t="n">
        <v>-0.4854050946831284</v>
      </c>
      <c r="Z909" s="6" t="n">
        <v>-0.86247539577875</v>
      </c>
      <c r="AA909" s="6" t="n">
        <v>2.653213771852058</v>
      </c>
      <c r="AB909" s="6" t="n">
        <v>1.253790722079913</v>
      </c>
      <c r="AC909" s="6" t="n">
        <v>1.583517600444365</v>
      </c>
      <c r="AD909" s="6" t="n">
        <v>-1.378980295422893</v>
      </c>
      <c r="AE909" s="6" t="n">
        <v>-2.158372219580598</v>
      </c>
      <c r="AF909" s="6" t="n">
        <v>5</v>
      </c>
      <c r="AG909" s="6" t="n">
        <v>0.4004625043156272</v>
      </c>
      <c r="AH909" s="6" t="n">
        <v>-1.067069918040054</v>
      </c>
      <c r="AI909" s="6" t="n">
        <v>-2.950311572673568</v>
      </c>
      <c r="AJ909" s="6" t="n">
        <v>78.98578640966237</v>
      </c>
      <c r="AK909" s="6" t="n">
        <v>0.05272043345604006</v>
      </c>
      <c r="AL909" s="6" t="n">
        <v>1.096736416044854</v>
      </c>
      <c r="AN909" s="6" t="n">
        <v>1.338247658045518</v>
      </c>
      <c r="AO909" s="6" t="n">
        <v>1.339414678526079</v>
      </c>
      <c r="AP909" s="6" t="n">
        <v>0.1312577122028299</v>
      </c>
      <c r="AQ909" s="6" t="n">
        <v>0</v>
      </c>
      <c r="AR909" s="6" t="n">
        <v>0</v>
      </c>
    </row>
    <row r="910">
      <c r="D910" t="inlineStr">
        <is>
          <t>Run 598</t>
        </is>
      </c>
      <c r="J910" s="6" t="n">
        <v>0.5833313038061853</v>
      </c>
      <c r="K910" s="6" t="n">
        <v>1.342898015449303</v>
      </c>
      <c r="L910" s="6" t="n">
        <v>0.4150919540627455</v>
      </c>
      <c r="M910" s="6" t="n">
        <v>0.270043094791049</v>
      </c>
      <c r="N910" s="6" t="n">
        <v>-0.06347053126018391</v>
      </c>
      <c r="O910" s="6" t="n">
        <v>-0.757950023309869</v>
      </c>
      <c r="P910" s="6" t="n">
        <v>-0.7245050603435007</v>
      </c>
      <c r="Q910" s="6" t="n">
        <v>-1.403516173300212</v>
      </c>
      <c r="R910" s="6" t="n">
        <v>1.710493250290199</v>
      </c>
      <c r="S910" s="6" t="n">
        <v>3.972395102695098</v>
      </c>
      <c r="T910" s="6" t="n">
        <v>2.017103788361701</v>
      </c>
      <c r="U910" s="6" t="n">
        <v>0.07749139113553129</v>
      </c>
      <c r="V910" s="6" t="n">
        <v>-1.952465512131024</v>
      </c>
      <c r="W910" s="6" t="n">
        <v>-0.8068797420622276</v>
      </c>
      <c r="X910" s="6" t="n">
        <v>-1.244932057483605</v>
      </c>
      <c r="Y910" s="6" t="n">
        <v>-0.121048305457279</v>
      </c>
      <c r="Z910" s="6" t="n">
        <v>3.533091780486652</v>
      </c>
      <c r="AA910" s="6" t="n">
        <v>-0.2563720483004761</v>
      </c>
      <c r="AB910" s="6" t="n">
        <v>0.3194049042057145</v>
      </c>
      <c r="AC910" s="6" t="n">
        <v>-4.645385987540029</v>
      </c>
      <c r="AD910" s="6" t="n">
        <v>-1.702601072868345</v>
      </c>
      <c r="AE910" s="6" t="n">
        <v>-1.436497814354922</v>
      </c>
      <c r="AF910" s="6" t="n">
        <v>3.219922406161926</v>
      </c>
      <c r="AG910" s="6" t="n">
        <v>-0.2283257949749108</v>
      </c>
      <c r="AH910" s="6" t="n">
        <v>-1.014681762877294</v>
      </c>
      <c r="AI910" s="6" t="n">
        <v>-0.5737279508407352</v>
      </c>
      <c r="AJ910" s="6" t="n">
        <v>77.56588063900074</v>
      </c>
      <c r="AK910" s="6" t="n">
        <v>0.1759632409404207</v>
      </c>
      <c r="AL910" s="6" t="n">
        <v>1.030045695034928</v>
      </c>
      <c r="AN910" s="6" t="n">
        <v>1.352175821447706</v>
      </c>
      <c r="AO910" s="6" t="n">
        <v>1.352393357370415</v>
      </c>
      <c r="AP910" s="6" t="n">
        <v>0.1333792146520283</v>
      </c>
      <c r="AQ910" s="6" t="n">
        <v>0</v>
      </c>
      <c r="AR910" s="6" t="n">
        <v>0</v>
      </c>
    </row>
    <row r="911">
      <c r="D911" t="inlineStr">
        <is>
          <t>Run 599</t>
        </is>
      </c>
      <c r="J911" s="6" t="n">
        <v>0.973366272708563</v>
      </c>
      <c r="K911" s="6" t="n">
        <v>0.1730237558832539</v>
      </c>
      <c r="L911" s="6" t="n">
        <v>0.418744174707905</v>
      </c>
      <c r="M911" s="6" t="n">
        <v>-1.204174945313415</v>
      </c>
      <c r="N911" s="6" t="n">
        <v>0.6851123441640083</v>
      </c>
      <c r="O911" s="6" t="n">
        <v>1.085856065393574</v>
      </c>
      <c r="P911" s="6" t="n">
        <v>0.1594086348492343</v>
      </c>
      <c r="Q911" s="6" t="n">
        <v>3.631088315372087</v>
      </c>
      <c r="R911" s="6" t="n">
        <v>1.893620670570301</v>
      </c>
      <c r="S911" s="6" t="n">
        <v>-1.475058199445102</v>
      </c>
      <c r="T911" s="6" t="n">
        <v>2.36280294874125</v>
      </c>
      <c r="U911" s="6" t="n">
        <v>1.917864137189082</v>
      </c>
      <c r="V911" s="6" t="n">
        <v>4.741080936512215</v>
      </c>
      <c r="W911" s="6" t="n">
        <v>-1.248071363689755</v>
      </c>
      <c r="X911" s="6" t="n">
        <v>0.219222701313042</v>
      </c>
      <c r="Y911" s="6" t="n">
        <v>-0.3579684113230592</v>
      </c>
      <c r="Z911" s="6" t="n">
        <v>2.376266519718246</v>
      </c>
      <c r="AA911" s="6" t="n">
        <v>3.405261059811253</v>
      </c>
      <c r="AB911" s="6" t="n">
        <v>-2.1184258158854</v>
      </c>
      <c r="AC911" s="6" t="n">
        <v>-2.022789566595018</v>
      </c>
      <c r="AD911" s="6" t="n">
        <v>0.7774793256482557</v>
      </c>
      <c r="AE911" s="6" t="n">
        <v>0.2337588283699977</v>
      </c>
      <c r="AF911" s="6" t="n">
        <v>-3.929416852959603</v>
      </c>
      <c r="AG911" s="6" t="n">
        <v>1.139312036638729</v>
      </c>
      <c r="AH911" s="6" t="n">
        <v>1.053367468641438</v>
      </c>
      <c r="AI911" s="6" t="n">
        <v>-0.285971447317052</v>
      </c>
      <c r="AJ911" s="6" t="n">
        <v>79.79533293572408</v>
      </c>
      <c r="AK911" s="6" t="n">
        <v>0.1199097915552586</v>
      </c>
      <c r="AL911" s="6" t="n">
        <v>1.05678368544835</v>
      </c>
      <c r="AN911" s="6" t="n">
        <v>1.343319385385193</v>
      </c>
      <c r="AO911" s="6" t="n">
        <v>1.345527793877095</v>
      </c>
      <c r="AP911" s="6" t="n">
        <v>0.1323547686038767</v>
      </c>
      <c r="AQ911" s="6" t="n">
        <v>0</v>
      </c>
      <c r="AR911" s="6" t="n">
        <v>0</v>
      </c>
    </row>
    <row r="912">
      <c r="D912" t="inlineStr">
        <is>
          <t>Run 600</t>
        </is>
      </c>
      <c r="J912" s="6" t="n">
        <v>-0.2234809127364449</v>
      </c>
      <c r="K912" s="6" t="n">
        <v>4.474722641597424</v>
      </c>
      <c r="L912" s="6" t="n">
        <v>-0.7960444344017799</v>
      </c>
      <c r="M912" s="6" t="n">
        <v>1.592949725565498</v>
      </c>
      <c r="N912" s="6" t="n">
        <v>-1.355766837334624</v>
      </c>
      <c r="O912" s="6" t="n">
        <v>2.050721790520058</v>
      </c>
      <c r="P912" s="6" t="n">
        <v>0.1746448090022276</v>
      </c>
      <c r="Q912" s="6" t="n">
        <v>0.2266006897999315</v>
      </c>
      <c r="R912" s="6" t="n">
        <v>-2.207030805288017</v>
      </c>
      <c r="S912" s="6" t="n">
        <v>-0.9696892336875182</v>
      </c>
      <c r="T912" s="6" t="n">
        <v>0.4826193574890703</v>
      </c>
      <c r="U912" s="6" t="n">
        <v>-2.082731955595643</v>
      </c>
      <c r="V912" s="6" t="n">
        <v>-1.115189793580029</v>
      </c>
      <c r="W912" s="6" t="n">
        <v>-2.456453983798543</v>
      </c>
      <c r="X912" s="6" t="n">
        <v>-0.458558682230078</v>
      </c>
      <c r="Y912" s="6" t="n">
        <v>-0.553547256857979</v>
      </c>
      <c r="Z912" s="6" t="n">
        <v>1.017207346860883</v>
      </c>
      <c r="AA912" s="6" t="n">
        <v>4.297418306008449</v>
      </c>
      <c r="AB912" s="6" t="n">
        <v>0.3146680185015689</v>
      </c>
      <c r="AC912" s="6" t="n">
        <v>-2.027094134605888</v>
      </c>
      <c r="AD912" s="6" t="n">
        <v>3.356940367224903</v>
      </c>
      <c r="AE912" s="6" t="n">
        <v>2.224381767087936</v>
      </c>
      <c r="AF912" s="6" t="n">
        <v>-0.4287706387273231</v>
      </c>
      <c r="AG912" s="6" t="n">
        <v>0.4377616200865093</v>
      </c>
      <c r="AH912" s="6" t="n">
        <v>2.855744711709437</v>
      </c>
      <c r="AI912" s="6" t="n">
        <v>-0.9308715629800992</v>
      </c>
      <c r="AJ912" s="6" t="n">
        <v>78.19177612585194</v>
      </c>
      <c r="AK912" s="6" t="n">
        <v>0.1578057561830101</v>
      </c>
      <c r="AL912" s="6" t="n">
        <v>1.027533056199287</v>
      </c>
      <c r="AN912" s="6" t="n">
        <v>1.353187572610758</v>
      </c>
      <c r="AO912" s="6" t="n">
        <v>1.353937536929841</v>
      </c>
      <c r="AP912" s="6" t="n">
        <v>0.1343513528426126</v>
      </c>
      <c r="AQ912" s="6" t="n">
        <v>0</v>
      </c>
      <c r="AR912" s="6" t="n">
        <v>0</v>
      </c>
    </row>
    <row r="913">
      <c r="D913" t="inlineStr">
        <is>
          <t>Run 601</t>
        </is>
      </c>
      <c r="J913" s="6" t="n">
        <v>-0.3898311645403223</v>
      </c>
      <c r="K913" s="6" t="n">
        <v>1.806688171914559</v>
      </c>
      <c r="L913" s="6" t="n">
        <v>2.996140039286146</v>
      </c>
      <c r="M913" s="6" t="n">
        <v>0.3946322645325913</v>
      </c>
      <c r="N913" s="6" t="n">
        <v>1.825361111074231</v>
      </c>
      <c r="O913" s="6" t="n">
        <v>0.9590178346818159</v>
      </c>
      <c r="P913" s="6" t="n">
        <v>0.5208332896419218</v>
      </c>
      <c r="Q913" s="6" t="n">
        <v>-0.2435924670000087</v>
      </c>
      <c r="R913" s="6" t="n">
        <v>2.758795511060445</v>
      </c>
      <c r="S913" s="6" t="n">
        <v>1.011720537606289</v>
      </c>
      <c r="T913" s="6" t="n">
        <v>2.217975061694492</v>
      </c>
      <c r="U913" s="6" t="n">
        <v>-2.37497802928065</v>
      </c>
      <c r="V913" s="6" t="n">
        <v>0.720215315367727</v>
      </c>
      <c r="W913" s="6" t="n">
        <v>3.202202190524046</v>
      </c>
      <c r="X913" s="6" t="n">
        <v>-1.663974629250905</v>
      </c>
      <c r="Y913" s="6" t="n">
        <v>-1.353830057232327</v>
      </c>
      <c r="Z913" s="6" t="n">
        <v>-0.6348826865664361</v>
      </c>
      <c r="AA913" s="6" t="n">
        <v>2.162679391841905</v>
      </c>
      <c r="AB913" s="6" t="n">
        <v>1.10604962602082</v>
      </c>
      <c r="AC913" s="6" t="n">
        <v>2.065025858855237</v>
      </c>
      <c r="AD913" s="6" t="n">
        <v>-3.487601069848541</v>
      </c>
      <c r="AE913" s="6" t="n">
        <v>-2.426381055807613</v>
      </c>
      <c r="AF913" s="6" t="n">
        <v>-2.22961090610655</v>
      </c>
      <c r="AG913" s="6" t="n">
        <v>-1.006406180436537</v>
      </c>
      <c r="AH913" s="6" t="n">
        <v>-2.295100443412258</v>
      </c>
      <c r="AI913" s="6" t="n">
        <v>-0.7959981662251334</v>
      </c>
      <c r="AJ913" s="6" t="n">
        <v>73.12088131280883</v>
      </c>
      <c r="AK913" s="6" t="n">
        <v>0.1933880182044138</v>
      </c>
      <c r="AL913" s="6" t="n">
        <v>1.083733378243962</v>
      </c>
      <c r="AN913" s="6" t="n">
        <v>1.324297241514285</v>
      </c>
      <c r="AO913" s="6" t="n">
        <v>1.325033517037115</v>
      </c>
      <c r="AP913" s="6" t="n">
        <v>0.1280647651598114</v>
      </c>
      <c r="AQ913" s="6" t="n">
        <v>0</v>
      </c>
      <c r="AR913" s="6" t="n">
        <v>0</v>
      </c>
    </row>
    <row r="914">
      <c r="D914" t="inlineStr">
        <is>
          <t>Run 602</t>
        </is>
      </c>
      <c r="J914" s="6" t="n">
        <v>-1.606259797334673</v>
      </c>
      <c r="K914" s="6" t="n">
        <v>-1.708020062282137</v>
      </c>
      <c r="L914" s="6" t="n">
        <v>-1.5452123913695</v>
      </c>
      <c r="M914" s="6" t="n">
        <v>-0.1500825300876619</v>
      </c>
      <c r="N914" s="6" t="n">
        <v>0.4512444457900099</v>
      </c>
      <c r="O914" s="6" t="n">
        <v>-0.03225335722669018</v>
      </c>
      <c r="P914" s="6" t="n">
        <v>-0.8294266483422873</v>
      </c>
      <c r="Q914" s="6" t="n">
        <v>-0.3814356919436493</v>
      </c>
      <c r="R914" s="6" t="n">
        <v>-2.88277544835501</v>
      </c>
      <c r="S914" s="6" t="n">
        <v>0.09118088503179016</v>
      </c>
      <c r="T914" s="6" t="n">
        <v>1.704299729062486</v>
      </c>
      <c r="U914" s="6" t="n">
        <v>0.0875432181676076</v>
      </c>
      <c r="V914" s="6" t="n">
        <v>2.221272062053073</v>
      </c>
      <c r="W914" s="6" t="n">
        <v>0.5528623381884581</v>
      </c>
      <c r="X914" s="6" t="n">
        <v>-1.915168697768495</v>
      </c>
      <c r="Y914" s="6" t="n">
        <v>-1.653820198470419</v>
      </c>
      <c r="Z914" s="6" t="n">
        <v>-1.645862442083154</v>
      </c>
      <c r="AA914" s="6" t="n">
        <v>5</v>
      </c>
      <c r="AB914" s="6" t="n">
        <v>4.127068181116299</v>
      </c>
      <c r="AC914" s="6" t="n">
        <v>4.119346296740829</v>
      </c>
      <c r="AD914" s="6" t="n">
        <v>-0.9707872708196974</v>
      </c>
      <c r="AE914" s="6" t="n">
        <v>-0.4145970796526676</v>
      </c>
      <c r="AF914" s="6" t="n">
        <v>1.108779527126136</v>
      </c>
      <c r="AG914" s="6" t="n">
        <v>2.297804086797452</v>
      </c>
      <c r="AH914" s="6" t="n">
        <v>0.6035251296240984</v>
      </c>
      <c r="AI914" s="6" t="n">
        <v>-1.906748510813496</v>
      </c>
      <c r="AJ914" s="6" t="n">
        <v>73.66260060954986</v>
      </c>
      <c r="AK914" s="6" t="n">
        <v>0.07032609729364139</v>
      </c>
      <c r="AL914" s="6" t="n">
        <v>1.0363595051828</v>
      </c>
      <c r="AN914" s="6" t="n">
        <v>1.353336121234036</v>
      </c>
      <c r="AO914" s="6" t="n">
        <v>1.353336121234036</v>
      </c>
      <c r="AP914" s="6" t="n">
        <v>0.1351113951828832</v>
      </c>
      <c r="AQ914" s="6" t="n">
        <v>0</v>
      </c>
      <c r="AR914" s="6" t="n">
        <v>0</v>
      </c>
    </row>
    <row r="915">
      <c r="D915" t="inlineStr">
        <is>
          <t>Run 603</t>
        </is>
      </c>
      <c r="J915" s="6" t="n">
        <v>0.83298141275816</v>
      </c>
      <c r="K915" s="6" t="n">
        <v>-0.3850041277019028</v>
      </c>
      <c r="L915" s="6" t="n">
        <v>-0.7162732188109802</v>
      </c>
      <c r="M915" s="6" t="n">
        <v>-0.2066949220561908</v>
      </c>
      <c r="N915" s="6" t="n">
        <v>-0.4348704335606434</v>
      </c>
      <c r="O915" s="6" t="n">
        <v>0.7360782179231313</v>
      </c>
      <c r="P915" s="6" t="n">
        <v>0.8536830117651113</v>
      </c>
      <c r="Q915" s="6" t="n">
        <v>-1.160350477289216</v>
      </c>
      <c r="R915" s="6" t="n">
        <v>-0.7096209707487445</v>
      </c>
      <c r="S915" s="6" t="n">
        <v>-3.450319725669861</v>
      </c>
      <c r="T915" s="6" t="n">
        <v>2.997706538901505</v>
      </c>
      <c r="U915" s="6" t="n">
        <v>-1.237595411736557</v>
      </c>
      <c r="V915" s="6" t="n">
        <v>1.455601155438671</v>
      </c>
      <c r="W915" s="6" t="n">
        <v>-2.734193383549818</v>
      </c>
      <c r="X915" s="6" t="n">
        <v>-0.06392763993906295</v>
      </c>
      <c r="Y915" s="6" t="n">
        <v>0.6399048755523973</v>
      </c>
      <c r="Z915" s="6" t="n">
        <v>-0.4387498950547922</v>
      </c>
      <c r="AA915" s="6" t="n">
        <v>-0.340858085454091</v>
      </c>
      <c r="AB915" s="6" t="n">
        <v>-0.3809375950817843</v>
      </c>
      <c r="AC915" s="6" t="n">
        <v>2.624810184053029</v>
      </c>
      <c r="AD915" s="6" t="n">
        <v>0.4144604250786265</v>
      </c>
      <c r="AE915" s="6" t="n">
        <v>2.812717543276791</v>
      </c>
      <c r="AF915" s="6" t="n">
        <v>0.3114835266504243</v>
      </c>
      <c r="AG915" s="6" t="n">
        <v>1.207015203358308</v>
      </c>
      <c r="AH915" s="6" t="n">
        <v>0.9090606037259701</v>
      </c>
      <c r="AI915" s="6" t="n">
        <v>2.580194216272342</v>
      </c>
      <c r="AJ915" s="6" t="n">
        <v>68.98586112024708</v>
      </c>
      <c r="AK915" s="6" t="n">
        <v>0.1277634318467843</v>
      </c>
      <c r="AL915" s="6" t="n">
        <v>1.065434612397682</v>
      </c>
      <c r="AN915" s="6" t="n">
        <v>1.33833412934838</v>
      </c>
      <c r="AO915" s="6" t="n">
        <v>1.338591205529422</v>
      </c>
      <c r="AP915" s="6" t="n">
        <v>0.1307988170698424</v>
      </c>
      <c r="AQ915" s="6" t="n">
        <v>0</v>
      </c>
      <c r="AR915" s="6" t="n">
        <v>0</v>
      </c>
    </row>
    <row r="916">
      <c r="D916" t="inlineStr">
        <is>
          <t>Run 604</t>
        </is>
      </c>
      <c r="J916" s="6" t="n">
        <v>0.7967191079379771</v>
      </c>
      <c r="K916" s="6" t="n">
        <v>0.6159417106186063</v>
      </c>
      <c r="L916" s="6" t="n">
        <v>-0.1884371273886012</v>
      </c>
      <c r="M916" s="6" t="n">
        <v>0.820698704951991</v>
      </c>
      <c r="N916" s="6" t="n">
        <v>1.819981392089845</v>
      </c>
      <c r="O916" s="6" t="n">
        <v>2.791182141446083</v>
      </c>
      <c r="P916" s="6" t="n">
        <v>2.622156145867974</v>
      </c>
      <c r="Q916" s="6" t="n">
        <v>2.235053961983519</v>
      </c>
      <c r="R916" s="6" t="n">
        <v>-4.128762285543793</v>
      </c>
      <c r="S916" s="6" t="n">
        <v>-1.156756373431915</v>
      </c>
      <c r="T916" s="6" t="n">
        <v>-0.05024576076038088</v>
      </c>
      <c r="U916" s="6" t="n">
        <v>0.7791355719634397</v>
      </c>
      <c r="V916" s="6" t="n">
        <v>-0.8641070176767137</v>
      </c>
      <c r="W916" s="6" t="n">
        <v>-1.298854003384659</v>
      </c>
      <c r="X916" s="6" t="n">
        <v>-3.111392859192696</v>
      </c>
      <c r="Y916" s="6" t="n">
        <v>-2.40296807738929</v>
      </c>
      <c r="Z916" s="6" t="n">
        <v>-1.508371172813793</v>
      </c>
      <c r="AA916" s="6" t="n">
        <v>-0.2428011899556752</v>
      </c>
      <c r="AB916" s="6" t="n">
        <v>2.267284547364328</v>
      </c>
      <c r="AC916" s="6" t="n">
        <v>2.169576799890502</v>
      </c>
      <c r="AD916" s="6" t="n">
        <v>1.099483844511982</v>
      </c>
      <c r="AE916" s="6" t="n">
        <v>-0.1588256996600945</v>
      </c>
      <c r="AF916" s="6" t="n">
        <v>0.9347393111812488</v>
      </c>
      <c r="AG916" s="6" t="n">
        <v>-1.828068970751103</v>
      </c>
      <c r="AH916" s="6" t="n">
        <v>0.4119583996486962</v>
      </c>
      <c r="AI916" s="6" t="n">
        <v>-1.548398773735071</v>
      </c>
      <c r="AJ916" s="6" t="n">
        <v>64.08579148793868</v>
      </c>
      <c r="AK916" s="6" t="n">
        <v>0.1305657355367451</v>
      </c>
      <c r="AL916" s="6" t="n">
        <v>1.015042851350319</v>
      </c>
      <c r="AN916" s="6" t="n">
        <v>1.34771379818267</v>
      </c>
      <c r="AO916" s="6" t="n">
        <v>1.34771379818267</v>
      </c>
      <c r="AP916" s="6" t="n">
        <v>0.1351443795891658</v>
      </c>
      <c r="AQ916" s="6" t="n">
        <v>0</v>
      </c>
      <c r="AR916" s="6" t="n">
        <v>0</v>
      </c>
    </row>
    <row r="917">
      <c r="D917" t="inlineStr">
        <is>
          <t>Run 605</t>
        </is>
      </c>
      <c r="J917" s="6" t="n">
        <v>-0.340518749890559</v>
      </c>
      <c r="K917" s="6" t="n">
        <v>-0.9077545011058706</v>
      </c>
      <c r="L917" s="6" t="n">
        <v>3.109434926856823</v>
      </c>
      <c r="M917" s="6" t="n">
        <v>-4.794931313863947</v>
      </c>
      <c r="N917" s="6" t="n">
        <v>-1.94877987040064</v>
      </c>
      <c r="O917" s="6" t="n">
        <v>-0.3609810724410674</v>
      </c>
      <c r="P917" s="6" t="n">
        <v>1.44134969776898</v>
      </c>
      <c r="Q917" s="6" t="n">
        <v>1.341045104077716</v>
      </c>
      <c r="R917" s="6" t="n">
        <v>0.1541629537265455</v>
      </c>
      <c r="S917" s="6" t="n">
        <v>0.009864072348599012</v>
      </c>
      <c r="T917" s="6" t="n">
        <v>0.4483333107459236</v>
      </c>
      <c r="U917" s="6" t="n">
        <v>1.371796713136949</v>
      </c>
      <c r="V917" s="6" t="n">
        <v>-1.791628551808893</v>
      </c>
      <c r="W917" s="6" t="n">
        <v>2.617739507081686</v>
      </c>
      <c r="X917" s="6" t="n">
        <v>0.02751427864429091</v>
      </c>
      <c r="Y917" s="6" t="n">
        <v>-1.930045334345816</v>
      </c>
      <c r="Z917" s="6" t="n">
        <v>-3.147001059556714</v>
      </c>
      <c r="AA917" s="6" t="n">
        <v>-0.3283452230395275</v>
      </c>
      <c r="AB917" s="6" t="n">
        <v>-0.4874713447378305</v>
      </c>
      <c r="AC917" s="6" t="n">
        <v>-0.5004611092150959</v>
      </c>
      <c r="AD917" s="6" t="n">
        <v>0.9533150378845623</v>
      </c>
      <c r="AE917" s="6" t="n">
        <v>1.297263450568636</v>
      </c>
      <c r="AF917" s="6" t="n">
        <v>3.385625605752689</v>
      </c>
      <c r="AG917" s="6" t="n">
        <v>2.799980548018098</v>
      </c>
      <c r="AH917" s="6" t="n">
        <v>-0.2964557132204463</v>
      </c>
      <c r="AI917" s="6" t="n">
        <v>3.063842040055381</v>
      </c>
      <c r="AJ917" s="6" t="n">
        <v>75.11313728812038</v>
      </c>
      <c r="AK917" s="6" t="n">
        <v>0.1379982967508528</v>
      </c>
      <c r="AL917" s="6" t="n">
        <v>1.014702948670632</v>
      </c>
      <c r="AN917" s="6" t="n">
        <v>1.302542632906075</v>
      </c>
      <c r="AO917" s="6" t="n">
        <v>1.308422521913814</v>
      </c>
      <c r="AP917" s="6" t="n">
        <v>0.1355263513779443</v>
      </c>
      <c r="AQ917" s="6" t="n">
        <v>0</v>
      </c>
      <c r="AR917" s="6" t="n">
        <v>0</v>
      </c>
    </row>
    <row r="918">
      <c r="D918" t="inlineStr">
        <is>
          <t>Run 606</t>
        </is>
      </c>
      <c r="J918" s="6" t="n">
        <v>-2.818735895313443</v>
      </c>
      <c r="K918" s="6" t="n">
        <v>-2.620704092132238</v>
      </c>
      <c r="L918" s="6" t="n">
        <v>-1.294523850904571</v>
      </c>
      <c r="M918" s="6" t="n">
        <v>-1.168661243437692</v>
      </c>
      <c r="N918" s="6" t="n">
        <v>-1.993964428532603</v>
      </c>
      <c r="O918" s="6" t="n">
        <v>0.2434899323937934</v>
      </c>
      <c r="P918" s="6" t="n">
        <v>-0.7876597888561125</v>
      </c>
      <c r="Q918" s="6" t="n">
        <v>0.03640074880762773</v>
      </c>
      <c r="R918" s="6" t="n">
        <v>-2.842731375707904</v>
      </c>
      <c r="S918" s="6" t="n">
        <v>3.133061461632236</v>
      </c>
      <c r="T918" s="6" t="n">
        <v>-3.197359250054395</v>
      </c>
      <c r="U918" s="6" t="n">
        <v>0.7429127757769708</v>
      </c>
      <c r="V918" s="6" t="n">
        <v>-3.043001107390636</v>
      </c>
      <c r="W918" s="6" t="n">
        <v>-1.806217962847251</v>
      </c>
      <c r="X918" s="6" t="n">
        <v>0.1687228279078622</v>
      </c>
      <c r="Y918" s="6" t="n">
        <v>-1.187173040444295</v>
      </c>
      <c r="Z918" s="6" t="n">
        <v>-2.741869182111616</v>
      </c>
      <c r="AA918" s="6" t="n">
        <v>0.05403136392429727</v>
      </c>
      <c r="AB918" s="6" t="n">
        <v>-0.339898365432069</v>
      </c>
      <c r="AC918" s="6" t="n">
        <v>0.7325037104900243</v>
      </c>
      <c r="AD918" s="6" t="n">
        <v>2.610629445074644</v>
      </c>
      <c r="AE918" s="6" t="n">
        <v>1.716110471915167</v>
      </c>
      <c r="AF918" s="6" t="n">
        <v>0.2437852482736662</v>
      </c>
      <c r="AG918" s="6" t="n">
        <v>1.01192549097497</v>
      </c>
      <c r="AH918" s="6" t="n">
        <v>0.5362387266496883</v>
      </c>
      <c r="AI918" s="6" t="n">
        <v>-0.4469397824638187</v>
      </c>
      <c r="AJ918" s="6" t="n">
        <v>75.53487847594555</v>
      </c>
      <c r="AK918" s="6" t="n">
        <v>0.08073458961021612</v>
      </c>
      <c r="AL918" s="6" t="n">
        <v>1.075295409204495</v>
      </c>
      <c r="AN918" s="6" t="n">
        <v>1.339422910925938</v>
      </c>
      <c r="AO918" s="6" t="n">
        <v>1.342122711962592</v>
      </c>
      <c r="AP918" s="6" t="n">
        <v>0.1319258889832784</v>
      </c>
      <c r="AQ918" s="6" t="n">
        <v>0</v>
      </c>
      <c r="AR918" s="6" t="n">
        <v>0</v>
      </c>
    </row>
    <row r="919">
      <c r="D919" t="inlineStr">
        <is>
          <t>Run 607</t>
        </is>
      </c>
      <c r="J919" s="6" t="n">
        <v>-1.397018511980688</v>
      </c>
      <c r="K919" s="6" t="n">
        <v>2.129951674108292</v>
      </c>
      <c r="L919" s="6" t="n">
        <v>2.479351707215846</v>
      </c>
      <c r="M919" s="6" t="n">
        <v>0.7061318812606334</v>
      </c>
      <c r="N919" s="6" t="n">
        <v>-2.193672446528682</v>
      </c>
      <c r="O919" s="6" t="n">
        <v>-1.406058024555621</v>
      </c>
      <c r="P919" s="6" t="n">
        <v>2.209924059605276</v>
      </c>
      <c r="Q919" s="6" t="n">
        <v>1.208925714836243</v>
      </c>
      <c r="R919" s="6" t="n">
        <v>0.9497351981445742</v>
      </c>
      <c r="S919" s="6" t="n">
        <v>-1.320838480137402</v>
      </c>
      <c r="T919" s="6" t="n">
        <v>-1.095493295629475</v>
      </c>
      <c r="U919" s="6" t="n">
        <v>-0.9699082439260075</v>
      </c>
      <c r="V919" s="6" t="n">
        <v>-0.8059765216162408</v>
      </c>
      <c r="W919" s="6" t="n">
        <v>-0.3210379271830269</v>
      </c>
      <c r="X919" s="6" t="n">
        <v>-1.569044752973676</v>
      </c>
      <c r="Y919" s="6" t="n">
        <v>-3.135863108516022</v>
      </c>
      <c r="Z919" s="6" t="n">
        <v>0.8321989482358209</v>
      </c>
      <c r="AA919" s="6" t="n">
        <v>-1.193242392082771</v>
      </c>
      <c r="AB919" s="6" t="n">
        <v>2.937811143351228</v>
      </c>
      <c r="AC919" s="6" t="n">
        <v>3.350317384754602</v>
      </c>
      <c r="AD919" s="6" t="n">
        <v>-1.489585161317157</v>
      </c>
      <c r="AE919" s="6" t="n">
        <v>1.874362798998432</v>
      </c>
      <c r="AF919" s="6" t="n">
        <v>2.080616887308132</v>
      </c>
      <c r="AG919" s="6" t="n">
        <v>0.7214554128660524</v>
      </c>
      <c r="AH919" s="6" t="n">
        <v>2.701271247570819</v>
      </c>
      <c r="AI919" s="6" t="n">
        <v>-1.175202797758649</v>
      </c>
      <c r="AJ919" s="6" t="n">
        <v>63.25433027553626</v>
      </c>
      <c r="AK919" s="6" t="n">
        <v>0.0745058165838865</v>
      </c>
      <c r="AL919" s="6" t="n">
        <v>1.03123342614598</v>
      </c>
      <c r="AN919" s="6" t="n">
        <v>1.345529241368781</v>
      </c>
      <c r="AO919" s="6" t="n">
        <v>1.346417459270208</v>
      </c>
      <c r="AP919" s="6" t="n">
        <v>0.1344367793327214</v>
      </c>
      <c r="AQ919" s="6" t="n">
        <v>0</v>
      </c>
      <c r="AR919" s="6" t="n">
        <v>0</v>
      </c>
    </row>
    <row r="920">
      <c r="D920" t="inlineStr">
        <is>
          <t>Run 608</t>
        </is>
      </c>
      <c r="J920" s="6" t="n">
        <v>-3.620619007687869</v>
      </c>
      <c r="K920" s="6" t="n">
        <v>-3.082499480388726</v>
      </c>
      <c r="L920" s="6" t="n">
        <v>-1.69711599702833</v>
      </c>
      <c r="M920" s="6" t="n">
        <v>1.590526349009217</v>
      </c>
      <c r="N920" s="6" t="n">
        <v>1.287300755423977</v>
      </c>
      <c r="O920" s="6" t="n">
        <v>-0.07935516811405373</v>
      </c>
      <c r="P920" s="6" t="n">
        <v>-1.50396748656738</v>
      </c>
      <c r="Q920" s="6" t="n">
        <v>-1.710681924013737</v>
      </c>
      <c r="R920" s="6" t="n">
        <v>-3.077950774535451</v>
      </c>
      <c r="S920" s="6" t="n">
        <v>-2.637570565757531</v>
      </c>
      <c r="T920" s="6" t="n">
        <v>0.01806494630240777</v>
      </c>
      <c r="U920" s="6" t="n">
        <v>-1.271339419025266</v>
      </c>
      <c r="V920" s="6" t="n">
        <v>-5.02707848966147</v>
      </c>
      <c r="W920" s="6" t="n">
        <v>1.223043898625975</v>
      </c>
      <c r="X920" s="6" t="n">
        <v>0.1770938505067053</v>
      </c>
      <c r="Y920" s="6" t="n">
        <v>-1.274619262811414</v>
      </c>
      <c r="Z920" s="6" t="n">
        <v>-2.11887477649838</v>
      </c>
      <c r="AA920" s="6" t="n">
        <v>0.6181890210797442</v>
      </c>
      <c r="AB920" s="6" t="n">
        <v>0.5206964883823937</v>
      </c>
      <c r="AC920" s="6" t="n">
        <v>2.913366262762293</v>
      </c>
      <c r="AD920" s="6" t="n">
        <v>-2.66596316820342</v>
      </c>
      <c r="AE920" s="6" t="n">
        <v>1.638285725510536</v>
      </c>
      <c r="AF920" s="6" t="n">
        <v>2.361683694202322</v>
      </c>
      <c r="AG920" s="6" t="n">
        <v>5</v>
      </c>
      <c r="AH920" s="6" t="n">
        <v>-0.3329784408298326</v>
      </c>
      <c r="AI920" s="6" t="n">
        <v>0.9555696036234301</v>
      </c>
      <c r="AJ920" s="6" t="n">
        <v>61.02360767636887</v>
      </c>
      <c r="AK920" s="6" t="n">
        <v>0.1307933422124797</v>
      </c>
      <c r="AL920" s="6" t="n">
        <v>1.015283306928284</v>
      </c>
      <c r="AN920" s="6" t="n">
        <v>1.351455134356798</v>
      </c>
      <c r="AO920" s="6" t="n">
        <v>1.352023399435437</v>
      </c>
      <c r="AP920" s="6" t="n">
        <v>0.1348071636302375</v>
      </c>
      <c r="AQ920" s="6" t="n">
        <v>0</v>
      </c>
      <c r="AR920" s="6" t="n">
        <v>0</v>
      </c>
    </row>
    <row r="921">
      <c r="D921" t="inlineStr">
        <is>
          <t>Run 609</t>
        </is>
      </c>
      <c r="J921" s="6" t="n">
        <v>0.9623817571525535</v>
      </c>
      <c r="K921" s="6" t="n">
        <v>3.385009147094948</v>
      </c>
      <c r="L921" s="6" t="n">
        <v>-3.987044301521591</v>
      </c>
      <c r="M921" s="6" t="n">
        <v>0.4134745393497937</v>
      </c>
      <c r="N921" s="6" t="n">
        <v>-1.868159204755879</v>
      </c>
      <c r="O921" s="6" t="n">
        <v>0.04540846546053411</v>
      </c>
      <c r="P921" s="6" t="n">
        <v>1.426471180218192</v>
      </c>
      <c r="Q921" s="6" t="n">
        <v>-1.667958550785838</v>
      </c>
      <c r="R921" s="6" t="n">
        <v>-0.4585731725243439</v>
      </c>
      <c r="S921" s="6" t="n">
        <v>-0.3821829013314672</v>
      </c>
      <c r="T921" s="6" t="n">
        <v>-3.828899617124578</v>
      </c>
      <c r="U921" s="6" t="n">
        <v>-0.8367289861622224</v>
      </c>
      <c r="V921" s="6" t="n">
        <v>0.346157069307744</v>
      </c>
      <c r="W921" s="6" t="n">
        <v>0.2990651343223225</v>
      </c>
      <c r="X921" s="6" t="n">
        <v>0.8808637699422808</v>
      </c>
      <c r="Y921" s="6" t="n">
        <v>0.3854764448608939</v>
      </c>
      <c r="Z921" s="6" t="n">
        <v>2.057913057549322</v>
      </c>
      <c r="AA921" s="6" t="n">
        <v>1.307356575684692</v>
      </c>
      <c r="AB921" s="6" t="n">
        <v>1.65677297101613</v>
      </c>
      <c r="AC921" s="6" t="n">
        <v>3.766054353427899</v>
      </c>
      <c r="AD921" s="6" t="n">
        <v>3.253020687494435</v>
      </c>
      <c r="AE921" s="6" t="n">
        <v>-0.258264960079008</v>
      </c>
      <c r="AF921" s="6" t="n">
        <v>-0.0291477024586594</v>
      </c>
      <c r="AG921" s="6" t="n">
        <v>1.410233771902224</v>
      </c>
      <c r="AH921" s="6" t="n">
        <v>2.845194010851761</v>
      </c>
      <c r="AI921" s="6" t="n">
        <v>0.01462662356471863</v>
      </c>
      <c r="AJ921" s="6" t="n">
        <v>64.04711562114719</v>
      </c>
      <c r="AK921" s="6" t="n">
        <v>0.1231058060896565</v>
      </c>
      <c r="AL921" s="6" t="n">
        <v>1.005262033117015</v>
      </c>
      <c r="AN921" s="6" t="n">
        <v>1.348979097163463</v>
      </c>
      <c r="AO921" s="6" t="n">
        <v>1.348979097163463</v>
      </c>
      <c r="AP921" s="6" t="n">
        <v>0.1366702298631995</v>
      </c>
      <c r="AQ921" s="6" t="n">
        <v>0</v>
      </c>
      <c r="AR921" s="6" t="n">
        <v>0</v>
      </c>
    </row>
    <row r="922">
      <c r="D922" t="inlineStr">
        <is>
          <t>Run 610</t>
        </is>
      </c>
      <c r="J922" s="6" t="n">
        <v>-1.067625575065853</v>
      </c>
      <c r="K922" s="6" t="n">
        <v>-1.35316745336471</v>
      </c>
      <c r="L922" s="6" t="n">
        <v>-2.251909792807962</v>
      </c>
      <c r="M922" s="6" t="n">
        <v>1.743164990519216</v>
      </c>
      <c r="N922" s="6" t="n">
        <v>-4.582266093429239</v>
      </c>
      <c r="O922" s="6" t="n">
        <v>2.501674846257141</v>
      </c>
      <c r="P922" s="6" t="n">
        <v>-0.840248838501108</v>
      </c>
      <c r="Q922" s="6" t="n">
        <v>-0.6358258098594936</v>
      </c>
      <c r="R922" s="6" t="n">
        <v>2.060317817552419</v>
      </c>
      <c r="S922" s="6" t="n">
        <v>2.61558048493967</v>
      </c>
      <c r="T922" s="6" t="n">
        <v>-1.024079131484452</v>
      </c>
      <c r="U922" s="6" t="n">
        <v>-3.746813237989597</v>
      </c>
      <c r="V922" s="6" t="n">
        <v>0.3491425352412663</v>
      </c>
      <c r="W922" s="6" t="n">
        <v>5</v>
      </c>
      <c r="X922" s="6" t="n">
        <v>-0.6221571622938348</v>
      </c>
      <c r="Y922" s="6" t="n">
        <v>-2.30325404838189</v>
      </c>
      <c r="Z922" s="6" t="n">
        <v>-0.358462254634911</v>
      </c>
      <c r="AA922" s="6" t="n">
        <v>0.827185190198147</v>
      </c>
      <c r="AB922" s="6" t="n">
        <v>-1.147280264885666</v>
      </c>
      <c r="AC922" s="6" t="n">
        <v>-2.898539160357819</v>
      </c>
      <c r="AD922" s="6" t="n">
        <v>-0.2628091640578428</v>
      </c>
      <c r="AE922" s="6" t="n">
        <v>1.75086621766043</v>
      </c>
      <c r="AF922" s="6" t="n">
        <v>1.681642490755441</v>
      </c>
      <c r="AG922" s="6" t="n">
        <v>-3.393071172745056</v>
      </c>
      <c r="AH922" s="6" t="n">
        <v>-0.6044377117292297</v>
      </c>
      <c r="AI922" s="6" t="n">
        <v>-0.1063175042059091</v>
      </c>
      <c r="AJ922" s="6" t="n">
        <v>70.84491416288449</v>
      </c>
      <c r="AK922" s="6" t="n">
        <v>0.1662143478043172</v>
      </c>
      <c r="AL922" s="6" t="n">
        <v>1.055579251031394</v>
      </c>
      <c r="AN922" s="6" t="n">
        <v>1.337542315247745</v>
      </c>
      <c r="AO922" s="6" t="n">
        <v>1.337598585807256</v>
      </c>
      <c r="AP922" s="6" t="n">
        <v>0.1305206526163813</v>
      </c>
      <c r="AQ922" s="6" t="n">
        <v>0</v>
      </c>
      <c r="AR922" s="6" t="n">
        <v>0</v>
      </c>
    </row>
    <row r="923">
      <c r="D923" t="inlineStr">
        <is>
          <t>Run 611</t>
        </is>
      </c>
      <c r="J923" s="6" t="n">
        <v>-0.4888825232472501</v>
      </c>
      <c r="K923" s="6" t="n">
        <v>-0.663637459984377</v>
      </c>
      <c r="L923" s="6" t="n">
        <v>1.562900558013349</v>
      </c>
      <c r="M923" s="6" t="n">
        <v>0.08718163218685075</v>
      </c>
      <c r="N923" s="6" t="n">
        <v>-4.279644463283286</v>
      </c>
      <c r="O923" s="6" t="n">
        <v>2.652842341720808</v>
      </c>
      <c r="P923" s="6" t="n">
        <v>-1.788343338757017</v>
      </c>
      <c r="Q923" s="6" t="n">
        <v>-1.42542071810551</v>
      </c>
      <c r="R923" s="6" t="n">
        <v>1.151277620544358</v>
      </c>
      <c r="S923" s="6" t="n">
        <v>-1.95516523778401</v>
      </c>
      <c r="T923" s="6" t="n">
        <v>0.5344866768056518</v>
      </c>
      <c r="U923" s="6" t="n">
        <v>2.050409244614588</v>
      </c>
      <c r="V923" s="6" t="n">
        <v>-0.947164696509053</v>
      </c>
      <c r="W923" s="6" t="n">
        <v>0.9344690322264059</v>
      </c>
      <c r="X923" s="6" t="n">
        <v>-0.7331128293739086</v>
      </c>
      <c r="Y923" s="6" t="n">
        <v>-2.351461357305578</v>
      </c>
      <c r="Z923" s="6" t="n">
        <v>0.5313855734476139</v>
      </c>
      <c r="AA923" s="6" t="n">
        <v>0.3180345499269369</v>
      </c>
      <c r="AB923" s="6" t="n">
        <v>-1.856751023075152</v>
      </c>
      <c r="AC923" s="6" t="n">
        <v>-3.631552412977153</v>
      </c>
      <c r="AD923" s="6" t="n">
        <v>-2.123240294173204</v>
      </c>
      <c r="AE923" s="6" t="n">
        <v>0.4396760160294795</v>
      </c>
      <c r="AF923" s="6" t="n">
        <v>0.5840031976735993</v>
      </c>
      <c r="AG923" s="6" t="n">
        <v>-0.4821553289419115</v>
      </c>
      <c r="AH923" s="6" t="n">
        <v>-0.122271167562384</v>
      </c>
      <c r="AI923" s="6" t="n">
        <v>2.91519910364637</v>
      </c>
      <c r="AJ923" s="6" t="n">
        <v>72.90936143489074</v>
      </c>
      <c r="AK923" s="6" t="n">
        <v>0.1736842605705206</v>
      </c>
      <c r="AL923" s="6" t="n">
        <v>1.072957526460225</v>
      </c>
      <c r="AN923" s="6" t="n">
        <v>1.330475333092008</v>
      </c>
      <c r="AO923" s="6" t="n">
        <v>1.33056026009849</v>
      </c>
      <c r="AP923" s="6" t="n">
        <v>0.129281299978345</v>
      </c>
      <c r="AQ923" s="6" t="n">
        <v>0</v>
      </c>
      <c r="AR923" s="6" t="n">
        <v>0</v>
      </c>
    </row>
    <row r="924">
      <c r="D924" t="inlineStr">
        <is>
          <t>Run 612</t>
        </is>
      </c>
      <c r="J924" s="6" t="n">
        <v>-1.669189698749954</v>
      </c>
      <c r="K924" s="6" t="n">
        <v>3.371563734383741</v>
      </c>
      <c r="L924" s="6" t="n">
        <v>0.7265590419566772</v>
      </c>
      <c r="M924" s="6" t="n">
        <v>-2.442688972712565</v>
      </c>
      <c r="N924" s="6" t="n">
        <v>-4.804587475785747</v>
      </c>
      <c r="O924" s="6" t="n">
        <v>1.49600105028212</v>
      </c>
      <c r="P924" s="6" t="n">
        <v>-3.713772651413603</v>
      </c>
      <c r="Q924" s="6" t="n">
        <v>-3.438008938897231</v>
      </c>
      <c r="R924" s="6" t="n">
        <v>0.6690174886867954</v>
      </c>
      <c r="S924" s="6" t="n">
        <v>-1.13720438716958</v>
      </c>
      <c r="T924" s="6" t="n">
        <v>0.3794253306122592</v>
      </c>
      <c r="U924" s="6" t="n">
        <v>0.338545777283533</v>
      </c>
      <c r="V924" s="6" t="n">
        <v>3.034013533612299</v>
      </c>
      <c r="W924" s="6" t="n">
        <v>1.110606616353488</v>
      </c>
      <c r="X924" s="6" t="n">
        <v>1.900095517470862</v>
      </c>
      <c r="Y924" s="6" t="n">
        <v>-1.30930078722384</v>
      </c>
      <c r="Z924" s="6" t="n">
        <v>-3.338731440335662</v>
      </c>
      <c r="AA924" s="6" t="n">
        <v>1.172619379071207</v>
      </c>
      <c r="AB924" s="6" t="n">
        <v>-3.859918321815609</v>
      </c>
      <c r="AC924" s="6" t="n">
        <v>-1.099473709168582</v>
      </c>
      <c r="AD924" s="6" t="n">
        <v>2.835383606379478</v>
      </c>
      <c r="AE924" s="6" t="n">
        <v>2.437499789416303</v>
      </c>
      <c r="AF924" s="6" t="n">
        <v>-4.717221839212789</v>
      </c>
      <c r="AG924" s="6" t="n">
        <v>-0.7835779984841118</v>
      </c>
      <c r="AH924" s="6" t="n">
        <v>-2.901143912395052</v>
      </c>
      <c r="AI924" s="6" t="n">
        <v>-0.3679362021797875</v>
      </c>
      <c r="AJ924" s="6" t="n">
        <v>80.04158199803977</v>
      </c>
      <c r="AK924" s="6" t="n">
        <v>0.1592230077677274</v>
      </c>
      <c r="AL924" s="6" t="n">
        <v>1.03025707165897</v>
      </c>
      <c r="AN924" s="6" t="n">
        <v>1.329416073462976</v>
      </c>
      <c r="AO924" s="6" t="n">
        <v>1.330927688944647</v>
      </c>
      <c r="AP924" s="6" t="n">
        <v>0.1331645665315205</v>
      </c>
      <c r="AQ924" s="6" t="n">
        <v>0</v>
      </c>
      <c r="AR924" s="6" t="n">
        <v>0</v>
      </c>
    </row>
    <row r="925">
      <c r="D925" t="inlineStr">
        <is>
          <t>Run 613</t>
        </is>
      </c>
      <c r="J925" s="6" t="n">
        <v>2.048386718282307</v>
      </c>
      <c r="K925" s="6" t="n">
        <v>1.374120702606849</v>
      </c>
      <c r="L925" s="6" t="n">
        <v>2.981436342329403</v>
      </c>
      <c r="M925" s="6" t="n">
        <v>1.927120688431016</v>
      </c>
      <c r="N925" s="6" t="n">
        <v>-0.5075886021920403</v>
      </c>
      <c r="O925" s="6" t="n">
        <v>-0.1570595391318251</v>
      </c>
      <c r="P925" s="6" t="n">
        <v>2.334531730163707</v>
      </c>
      <c r="Q925" s="6" t="n">
        <v>3.627562592761034</v>
      </c>
      <c r="R925" s="6" t="n">
        <v>-0.3064990042988566</v>
      </c>
      <c r="S925" s="6" t="n">
        <v>-0.5480815948187057</v>
      </c>
      <c r="T925" s="6" t="n">
        <v>-1.582920220046025</v>
      </c>
      <c r="U925" s="6" t="n">
        <v>-5.552498038936236</v>
      </c>
      <c r="V925" s="6" t="n">
        <v>-1.305715805948806</v>
      </c>
      <c r="W925" s="6" t="n">
        <v>-0.5159427519896186</v>
      </c>
      <c r="X925" s="6" t="n">
        <v>-1.114130027557798</v>
      </c>
      <c r="Y925" s="6" t="n">
        <v>0.7337179779420587</v>
      </c>
      <c r="Z925" s="6" t="n">
        <v>2.28651495020335</v>
      </c>
      <c r="AA925" s="6" t="n">
        <v>-2.708243323753142</v>
      </c>
      <c r="AB925" s="6" t="n">
        <v>-2.116719130318041</v>
      </c>
      <c r="AC925" s="6" t="n">
        <v>-1.994829863198997</v>
      </c>
      <c r="AD925" s="6" t="n">
        <v>1.391711672188289</v>
      </c>
      <c r="AE925" s="6" t="n">
        <v>-0.5531224622805264</v>
      </c>
      <c r="AF925" s="6" t="n">
        <v>0.3559095434903797</v>
      </c>
      <c r="AG925" s="6" t="n">
        <v>1.737087724525649</v>
      </c>
      <c r="AH925" s="6" t="n">
        <v>0.463262700848836</v>
      </c>
      <c r="AI925" s="6" t="n">
        <v>1.779866016111881</v>
      </c>
      <c r="AJ925" s="6" t="n">
        <v>66.18429539443608</v>
      </c>
      <c r="AK925" s="6" t="n">
        <v>0.1422665975787092</v>
      </c>
      <c r="AL925" s="6" t="n">
        <v>1.025662478766106</v>
      </c>
      <c r="AN925" s="6" t="n">
        <v>1.34769762139393</v>
      </c>
      <c r="AO925" s="6" t="n">
        <v>1.347781102167326</v>
      </c>
      <c r="AP925" s="6" t="n">
        <v>0.1336413138080332</v>
      </c>
      <c r="AQ925" s="6" t="n">
        <v>0</v>
      </c>
      <c r="AR925" s="6" t="n">
        <v>0</v>
      </c>
    </row>
    <row r="926">
      <c r="D926" t="inlineStr">
        <is>
          <t>Run 614</t>
        </is>
      </c>
      <c r="J926" s="6" t="n">
        <v>-1.162477484446499</v>
      </c>
      <c r="K926" s="6" t="n">
        <v>4.298842997328131</v>
      </c>
      <c r="L926" s="6" t="n">
        <v>-2.808846483582085</v>
      </c>
      <c r="M926" s="6" t="n">
        <v>-1.960613106532528</v>
      </c>
      <c r="N926" s="6" t="n">
        <v>3.920357962035204</v>
      </c>
      <c r="O926" s="6" t="n">
        <v>-0.5187738088638103</v>
      </c>
      <c r="P926" s="6" t="n">
        <v>0.240357568583983</v>
      </c>
      <c r="Q926" s="6" t="n">
        <v>2.5444980412092</v>
      </c>
      <c r="R926" s="6" t="n">
        <v>-1.487781435317157</v>
      </c>
      <c r="S926" s="6" t="n">
        <v>-1.710451357296711</v>
      </c>
      <c r="T926" s="6" t="n">
        <v>-1.923025357104592</v>
      </c>
      <c r="U926" s="6" t="n">
        <v>2.713767502863661</v>
      </c>
      <c r="V926" s="6" t="n">
        <v>-0.1574785654553445</v>
      </c>
      <c r="W926" s="6" t="n">
        <v>2.836712426830646</v>
      </c>
      <c r="X926" s="6" t="n">
        <v>-0.6835368830501322</v>
      </c>
      <c r="Y926" s="6" t="n">
        <v>-0.2120991450474286</v>
      </c>
      <c r="Z926" s="6" t="n">
        <v>2.319422483816393</v>
      </c>
      <c r="AA926" s="6" t="n">
        <v>1.839525791685426</v>
      </c>
      <c r="AB926" s="6" t="n">
        <v>-3.055582145298085</v>
      </c>
      <c r="AC926" s="6" t="n">
        <v>-0.5995904539048651</v>
      </c>
      <c r="AD926" s="6" t="n">
        <v>-2.475543357076012</v>
      </c>
      <c r="AE926" s="6" t="n">
        <v>-2.980377338132169</v>
      </c>
      <c r="AF926" s="6" t="n">
        <v>-0.4707549419990926</v>
      </c>
      <c r="AG926" s="6" t="n">
        <v>3.15306751305538</v>
      </c>
      <c r="AH926" s="6" t="n">
        <v>1.805368318012283</v>
      </c>
      <c r="AI926" s="6" t="n">
        <v>1.475126974243173</v>
      </c>
      <c r="AJ926" s="6" t="n">
        <v>72.97008780510339</v>
      </c>
      <c r="AK926" s="6" t="n">
        <v>0.1193264064180858</v>
      </c>
      <c r="AL926" s="6" t="n">
        <v>1.018600144911719</v>
      </c>
      <c r="AN926" s="6" t="n">
        <v>1.343103399751522</v>
      </c>
      <c r="AO926" s="6" t="n">
        <v>1.348969452965102</v>
      </c>
      <c r="AP926" s="6" t="n">
        <v>0.1360217571988727</v>
      </c>
      <c r="AQ926" s="6" t="n">
        <v>0</v>
      </c>
      <c r="AR926" s="6" t="n">
        <v>0</v>
      </c>
    </row>
    <row r="927">
      <c r="D927" t="inlineStr">
        <is>
          <t>Run 615</t>
        </is>
      </c>
      <c r="J927" s="6" t="n">
        <v>2.401608102815188</v>
      </c>
      <c r="K927" s="6" t="n">
        <v>2.643395524139693</v>
      </c>
      <c r="L927" s="6" t="n">
        <v>-0.2781103668359321</v>
      </c>
      <c r="M927" s="6" t="n">
        <v>1.666445695062256</v>
      </c>
      <c r="N927" s="6" t="n">
        <v>0.3854837293028416</v>
      </c>
      <c r="O927" s="6" t="n">
        <v>-0.004645006806202473</v>
      </c>
      <c r="P927" s="6" t="n">
        <v>-0.6690240477945332</v>
      </c>
      <c r="Q927" s="6" t="n">
        <v>0.6374209507394217</v>
      </c>
      <c r="R927" s="6" t="n">
        <v>0.2663675649649173</v>
      </c>
      <c r="S927" s="6" t="n">
        <v>-2.181835456907925</v>
      </c>
      <c r="T927" s="6" t="n">
        <v>-0.5454621005041813</v>
      </c>
      <c r="U927" s="6" t="n">
        <v>0.2458256585702657</v>
      </c>
      <c r="V927" s="6" t="n">
        <v>-1.722458711870363</v>
      </c>
      <c r="W927" s="6" t="n">
        <v>2.594566142588326</v>
      </c>
      <c r="X927" s="6" t="n">
        <v>0.6582783688732649</v>
      </c>
      <c r="Y927" s="6" t="n">
        <v>-2.799639332472888</v>
      </c>
      <c r="Z927" s="6" t="n">
        <v>3.25210194983919</v>
      </c>
      <c r="AA927" s="6" t="n">
        <v>0.753993229577972</v>
      </c>
      <c r="AB927" s="6" t="n">
        <v>-2.801534217837731</v>
      </c>
      <c r="AC927" s="6" t="n">
        <v>-0.1450853527256107</v>
      </c>
      <c r="AD927" s="6" t="n">
        <v>2.083147900447412</v>
      </c>
      <c r="AE927" s="6" t="n">
        <v>-0.2822666808373649</v>
      </c>
      <c r="AF927" s="6" t="n">
        <v>-2.147329890355995</v>
      </c>
      <c r="AG927" s="6" t="n">
        <v>0.2663477148245341</v>
      </c>
      <c r="AH927" s="6" t="n">
        <v>1.748988448573038</v>
      </c>
      <c r="AI927" s="6" t="n">
        <v>-4.673261025202988</v>
      </c>
      <c r="AJ927" s="6" t="n">
        <v>79.78573448270578</v>
      </c>
      <c r="AK927" s="6" t="n">
        <v>0.1110787196094832</v>
      </c>
      <c r="AL927" s="6" t="n">
        <v>1.058447583841226</v>
      </c>
      <c r="AN927" s="6" t="n">
        <v>1.347738897396508</v>
      </c>
      <c r="AO927" s="6" t="n">
        <v>1.347981890821056</v>
      </c>
      <c r="AP927" s="6" t="n">
        <v>0.132475400569029</v>
      </c>
      <c r="AQ927" s="6" t="n">
        <v>0</v>
      </c>
      <c r="AR927" s="6" t="n">
        <v>0</v>
      </c>
    </row>
    <row r="928">
      <c r="D928" t="inlineStr">
        <is>
          <t>Run 616</t>
        </is>
      </c>
      <c r="J928" s="6" t="n">
        <v>2.633279608672883</v>
      </c>
      <c r="K928" s="6" t="n">
        <v>-0.4418241576371595</v>
      </c>
      <c r="L928" s="6" t="n">
        <v>1.233177952356312</v>
      </c>
      <c r="M928" s="6" t="n">
        <v>-1.047940130331049</v>
      </c>
      <c r="N928" s="6" t="n">
        <v>-0.2182443645190983</v>
      </c>
      <c r="O928" s="6" t="n">
        <v>0.9010429257756426</v>
      </c>
      <c r="P928" s="6" t="n">
        <v>-0.5035599603413229</v>
      </c>
      <c r="Q928" s="6" t="n">
        <v>-0.1307835227672043</v>
      </c>
      <c r="R928" s="6" t="n">
        <v>0.5002575123932229</v>
      </c>
      <c r="S928" s="6" t="n">
        <v>0.0839006209566016</v>
      </c>
      <c r="T928" s="6" t="n">
        <v>-0.0888676329845098</v>
      </c>
      <c r="U928" s="6" t="n">
        <v>-1.962269910102761</v>
      </c>
      <c r="V928" s="6" t="n">
        <v>-0.5535058877941884</v>
      </c>
      <c r="W928" s="6" t="n">
        <v>-0.02099491521852341</v>
      </c>
      <c r="X928" s="6" t="n">
        <v>2.594320418484113</v>
      </c>
      <c r="Y928" s="6" t="n">
        <v>-0.4997309454508927</v>
      </c>
      <c r="Z928" s="6" t="n">
        <v>-1.030351850763613</v>
      </c>
      <c r="AA928" s="6" t="n">
        <v>-0.7098169203896508</v>
      </c>
      <c r="AB928" s="6" t="n">
        <v>-0.9728385093100274</v>
      </c>
      <c r="AC928" s="6" t="n">
        <v>-2.092017436026163</v>
      </c>
      <c r="AD928" s="6" t="n">
        <v>-3.268730047299198</v>
      </c>
      <c r="AE928" s="6" t="n">
        <v>-1.644943383296128</v>
      </c>
      <c r="AF928" s="6" t="n">
        <v>2.163853064734184</v>
      </c>
      <c r="AG928" s="6" t="n">
        <v>2.724767881363976</v>
      </c>
      <c r="AH928" s="6" t="n">
        <v>1.652903008276404</v>
      </c>
      <c r="AI928" s="6" t="n">
        <v>0.1084504459573525</v>
      </c>
      <c r="AJ928" s="6" t="n">
        <v>76.52931013785992</v>
      </c>
      <c r="AK928" s="6" t="n">
        <v>0.05725067338542907</v>
      </c>
      <c r="AL928" s="6" t="n">
        <v>1.013577038071776</v>
      </c>
      <c r="AN928" s="6" t="n">
        <v>1.357501897071045</v>
      </c>
      <c r="AO928" s="6" t="n">
        <v>1.357501897071045</v>
      </c>
      <c r="AP928" s="6" t="n">
        <v>0.1384517584730269</v>
      </c>
      <c r="AQ928" s="6" t="n">
        <v>0</v>
      </c>
      <c r="AR928" s="6" t="n">
        <v>0</v>
      </c>
    </row>
    <row r="929">
      <c r="D929" t="inlineStr">
        <is>
          <t>Run 617</t>
        </is>
      </c>
      <c r="J929" s="6" t="n">
        <v>3.807447157855383</v>
      </c>
      <c r="K929" s="6" t="n">
        <v>1.221326132755656</v>
      </c>
      <c r="L929" s="6" t="n">
        <v>-1.731138251983902</v>
      </c>
      <c r="M929" s="6" t="n">
        <v>1.384618030080107</v>
      </c>
      <c r="N929" s="6" t="n">
        <v>-1.200155877207592</v>
      </c>
      <c r="O929" s="6" t="n">
        <v>-2.65439063351444</v>
      </c>
      <c r="P929" s="6" t="n">
        <v>-1.053166161293323</v>
      </c>
      <c r="Q929" s="6" t="n">
        <v>0.9164219544261243</v>
      </c>
      <c r="R929" s="6" t="n">
        <v>-0.4611447404312161</v>
      </c>
      <c r="S929" s="6" t="n">
        <v>1.389422727803211</v>
      </c>
      <c r="T929" s="6" t="n">
        <v>0.8040320816259312</v>
      </c>
      <c r="U929" s="6" t="n">
        <v>0.6602385719128719</v>
      </c>
      <c r="V929" s="6" t="n">
        <v>-0.9012577541776003</v>
      </c>
      <c r="W929" s="6" t="n">
        <v>-0.307314360336493</v>
      </c>
      <c r="X929" s="6" t="n">
        <v>2.886877918313214</v>
      </c>
      <c r="Y929" s="6" t="n">
        <v>-4.874266456186645</v>
      </c>
      <c r="Z929" s="6" t="n">
        <v>-1.367558760717476</v>
      </c>
      <c r="AA929" s="6" t="n">
        <v>-0.2193439560790855</v>
      </c>
      <c r="AB929" s="6" t="n">
        <v>-1.897649545341999</v>
      </c>
      <c r="AC929" s="6" t="n">
        <v>3.468133574081116</v>
      </c>
      <c r="AD929" s="6" t="n">
        <v>-2.31250727640679</v>
      </c>
      <c r="AE929" s="6" t="n">
        <v>1.446074694561525</v>
      </c>
      <c r="AF929" s="6" t="n">
        <v>-2.430664638180174</v>
      </c>
      <c r="AG929" s="6" t="n">
        <v>-0.6294360504237395</v>
      </c>
      <c r="AH929" s="6" t="n">
        <v>0.6692123902761342</v>
      </c>
      <c r="AI929" s="6" t="n">
        <v>-0.9098884322266084</v>
      </c>
      <c r="AJ929" s="6" t="n">
        <v>80.95697510978873</v>
      </c>
      <c r="AK929" s="6" t="n">
        <v>0.1615963451413008</v>
      </c>
      <c r="AL929" s="6" t="n">
        <v>1.018080773383575</v>
      </c>
      <c r="AN929" s="6" t="n">
        <v>1.358447765833089</v>
      </c>
      <c r="AO929" s="6" t="n">
        <v>1.358948039410006</v>
      </c>
      <c r="AP929" s="6" t="n">
        <v>0.1357779347407707</v>
      </c>
      <c r="AQ929" s="6" t="n">
        <v>0</v>
      </c>
      <c r="AR929" s="6" t="n">
        <v>0</v>
      </c>
    </row>
    <row r="930">
      <c r="D930" t="inlineStr">
        <is>
          <t>Run 618</t>
        </is>
      </c>
      <c r="J930" s="6" t="n">
        <v>-1.125987886937938</v>
      </c>
      <c r="K930" s="6" t="n">
        <v>-1.129720069946923</v>
      </c>
      <c r="L930" s="6" t="n">
        <v>-0.9711440678015236</v>
      </c>
      <c r="M930" s="6" t="n">
        <v>-0.9986120964299693</v>
      </c>
      <c r="N930" s="6" t="n">
        <v>-0.5878427031592309</v>
      </c>
      <c r="O930" s="6" t="n">
        <v>-1.584960299907669</v>
      </c>
      <c r="P930" s="6" t="n">
        <v>-0.7105530815316466</v>
      </c>
      <c r="Q930" s="6" t="n">
        <v>1.991098584857818</v>
      </c>
      <c r="R930" s="6" t="n">
        <v>-0.515906344275319</v>
      </c>
      <c r="S930" s="6" t="n">
        <v>-1.622994472593124</v>
      </c>
      <c r="T930" s="6" t="n">
        <v>4.049459815323885</v>
      </c>
      <c r="U930" s="6" t="n">
        <v>-1.395913735304246</v>
      </c>
      <c r="V930" s="6" t="n">
        <v>-2.866213287364994</v>
      </c>
      <c r="W930" s="6" t="n">
        <v>2.786836561628648</v>
      </c>
      <c r="X930" s="6" t="n">
        <v>0.7082175154480803</v>
      </c>
      <c r="Y930" s="6" t="n">
        <v>2.382768303775105</v>
      </c>
      <c r="Z930" s="6" t="n">
        <v>-2.523315543247835</v>
      </c>
      <c r="AA930" s="6" t="n">
        <v>-2.491695107738915</v>
      </c>
      <c r="AB930" s="6" t="n">
        <v>-0.9936239207714805</v>
      </c>
      <c r="AC930" s="6" t="n">
        <v>1.593672812376637</v>
      </c>
      <c r="AD930" s="6" t="n">
        <v>2.686209108255361</v>
      </c>
      <c r="AE930" s="6" t="n">
        <v>-0.8442807806168117</v>
      </c>
      <c r="AF930" s="6" t="n">
        <v>-0.9269750082391723</v>
      </c>
      <c r="AG930" s="6" t="n">
        <v>-0.7954290180490373</v>
      </c>
      <c r="AH930" s="6" t="n">
        <v>-0.556992240406482</v>
      </c>
      <c r="AI930" s="6" t="n">
        <v>-1.399988693765711</v>
      </c>
      <c r="AJ930" s="6" t="n">
        <v>78.96099981165804</v>
      </c>
      <c r="AK930" s="6" t="n">
        <v>0.1699981232321136</v>
      </c>
      <c r="AL930" s="6" t="n">
        <v>1.122508835648398</v>
      </c>
      <c r="AN930" s="6" t="n">
        <v>1.320024831893061</v>
      </c>
      <c r="AO930" s="6" t="n">
        <v>1.321264199118505</v>
      </c>
      <c r="AP930" s="6" t="n">
        <v>0.1274116671131865</v>
      </c>
      <c r="AQ930" s="6" t="n">
        <v>0</v>
      </c>
      <c r="AR930" s="6" t="n">
        <v>0</v>
      </c>
    </row>
    <row r="931">
      <c r="D931" t="inlineStr">
        <is>
          <t>Run 619</t>
        </is>
      </c>
      <c r="J931" s="6" t="n">
        <v>-0.8324340988304516</v>
      </c>
      <c r="K931" s="6" t="n">
        <v>0.7110037492800106</v>
      </c>
      <c r="L931" s="6" t="n">
        <v>-0.7165122409344022</v>
      </c>
      <c r="M931" s="6" t="n">
        <v>1.515365403331526</v>
      </c>
      <c r="N931" s="6" t="n">
        <v>-0.08918514251041026</v>
      </c>
      <c r="O931" s="6" t="n">
        <v>-0.7537889674728209</v>
      </c>
      <c r="P931" s="6" t="n">
        <v>1.045100358175681</v>
      </c>
      <c r="Q931" s="6" t="n">
        <v>1.239183634813007</v>
      </c>
      <c r="R931" s="6" t="n">
        <v>-0.6808165230643121</v>
      </c>
      <c r="S931" s="6" t="n">
        <v>2.823326938898202</v>
      </c>
      <c r="T931" s="6" t="n">
        <v>-1.522896312009183</v>
      </c>
      <c r="U931" s="6" t="n">
        <v>3.761743249985167</v>
      </c>
      <c r="V931" s="6" t="n">
        <v>3.186282890636795</v>
      </c>
      <c r="W931" s="6" t="n">
        <v>4.362445603455222</v>
      </c>
      <c r="X931" s="6" t="n">
        <v>0.7825941596481689</v>
      </c>
      <c r="Y931" s="6" t="n">
        <v>-0.4269328125491744</v>
      </c>
      <c r="Z931" s="6" t="n">
        <v>-1.568557917364509</v>
      </c>
      <c r="AA931" s="6" t="n">
        <v>0.7228327488604753</v>
      </c>
      <c r="AB931" s="6" t="n">
        <v>-3.322166936295579</v>
      </c>
      <c r="AC931" s="6" t="n">
        <v>-0.08939841532743302</v>
      </c>
      <c r="AD931" s="6" t="n">
        <v>-3.331969241683218</v>
      </c>
      <c r="AE931" s="6" t="n">
        <v>-0.2841079965334675</v>
      </c>
      <c r="AF931" s="6" t="n">
        <v>-1.715382639062575</v>
      </c>
      <c r="AG931" s="6" t="n">
        <v>0.8030874549406772</v>
      </c>
      <c r="AH931" s="6" t="n">
        <v>-1.786413139646517</v>
      </c>
      <c r="AI931" s="6" t="n">
        <v>-0.04636539827948341</v>
      </c>
      <c r="AJ931" s="6" t="n">
        <v>68.11832473512577</v>
      </c>
      <c r="AK931" s="6" t="n">
        <v>0.08378359180874539</v>
      </c>
      <c r="AL931" s="6" t="n">
        <v>1.063390191264194</v>
      </c>
      <c r="AN931" s="6" t="n">
        <v>1.343070174151518</v>
      </c>
      <c r="AO931" s="6" t="n">
        <v>1.343502635721762</v>
      </c>
      <c r="AP931" s="6" t="n">
        <v>0.1320360972879195</v>
      </c>
      <c r="AQ931" s="6" t="n">
        <v>0</v>
      </c>
      <c r="AR931" s="6" t="n">
        <v>0</v>
      </c>
    </row>
    <row r="932">
      <c r="D932" t="inlineStr">
        <is>
          <t>Run 620</t>
        </is>
      </c>
      <c r="J932" s="6" t="n">
        <v>-0.9153456604623659</v>
      </c>
      <c r="K932" s="6" t="n">
        <v>-1.730826879560196</v>
      </c>
      <c r="L932" s="6" t="n">
        <v>1.994519100888047</v>
      </c>
      <c r="M932" s="6" t="n">
        <v>0.03173055716927439</v>
      </c>
      <c r="N932" s="6" t="n">
        <v>-1.556412074609733</v>
      </c>
      <c r="O932" s="6" t="n">
        <v>1.364049618328593</v>
      </c>
      <c r="P932" s="6" t="n">
        <v>-0.6991116190823679</v>
      </c>
      <c r="Q932" s="6" t="n">
        <v>0.5268950978849861</v>
      </c>
      <c r="R932" s="6" t="n">
        <v>-2.017163785701397</v>
      </c>
      <c r="S932" s="6" t="n">
        <v>-1.383382882878001</v>
      </c>
      <c r="T932" s="6" t="n">
        <v>1.331747220493283</v>
      </c>
      <c r="U932" s="6" t="n">
        <v>2.639663941333921</v>
      </c>
      <c r="V932" s="6" t="n">
        <v>-5.240665816298326</v>
      </c>
      <c r="W932" s="6" t="n">
        <v>-2.161075087850842</v>
      </c>
      <c r="X932" s="6" t="n">
        <v>-1.161627037576197</v>
      </c>
      <c r="Y932" s="6" t="n">
        <v>2.298325122867003</v>
      </c>
      <c r="Z932" s="6" t="n">
        <v>2.794657299407357</v>
      </c>
      <c r="AA932" s="6" t="n">
        <v>-3.808949053324806</v>
      </c>
      <c r="AB932" s="6" t="n">
        <v>-3.12583040367082</v>
      </c>
      <c r="AC932" s="6" t="n">
        <v>0.3522445215938244</v>
      </c>
      <c r="AD932" s="6" t="n">
        <v>0.2515542719134979</v>
      </c>
      <c r="AE932" s="6" t="n">
        <v>0.694122931968317</v>
      </c>
      <c r="AF932" s="6" t="n">
        <v>-2.165918756053787</v>
      </c>
      <c r="AG932" s="6" t="n">
        <v>0.8978037824741456</v>
      </c>
      <c r="AH932" s="6" t="n">
        <v>-0.4709116087740352</v>
      </c>
      <c r="AI932" s="6" t="n">
        <v>0.01526345431542693</v>
      </c>
      <c r="AJ932" s="6" t="n">
        <v>72.82371040587429</v>
      </c>
      <c r="AK932" s="6" t="n">
        <v>0.1812060442062501</v>
      </c>
      <c r="AL932" s="6" t="n">
        <v>1.029254046571795</v>
      </c>
      <c r="AN932" s="6" t="n">
        <v>1.350159962970809</v>
      </c>
      <c r="AO932" s="6" t="n">
        <v>1.350507659611157</v>
      </c>
      <c r="AP932" s="6" t="n">
        <v>0.1333292946050476</v>
      </c>
      <c r="AQ932" s="6" t="n">
        <v>0</v>
      </c>
      <c r="AR932" s="6" t="n">
        <v>0</v>
      </c>
    </row>
    <row r="933">
      <c r="D933" t="inlineStr">
        <is>
          <t>Run 621</t>
        </is>
      </c>
      <c r="J933" s="6" t="n">
        <v>-2.076217614727031</v>
      </c>
      <c r="K933" s="6" t="n">
        <v>-1.085834189223615</v>
      </c>
      <c r="L933" s="6" t="n">
        <v>-2.098581889960569</v>
      </c>
      <c r="M933" s="6" t="n">
        <v>-0.588231893239994</v>
      </c>
      <c r="N933" s="6" t="n">
        <v>2.892129211758238</v>
      </c>
      <c r="O933" s="6" t="n">
        <v>0.8299319647470444</v>
      </c>
      <c r="P933" s="6" t="n">
        <v>1.461396607156217</v>
      </c>
      <c r="Q933" s="6" t="n">
        <v>-1.287889249557988</v>
      </c>
      <c r="R933" s="6" t="n">
        <v>-1.488440909828715</v>
      </c>
      <c r="S933" s="6" t="n">
        <v>0.411583916884751</v>
      </c>
      <c r="T933" s="6" t="n">
        <v>2.592727141331369</v>
      </c>
      <c r="U933" s="6" t="n">
        <v>-2.614220985317137</v>
      </c>
      <c r="V933" s="6" t="n">
        <v>-2.013995289482426</v>
      </c>
      <c r="W933" s="6" t="n">
        <v>0.254911795588581</v>
      </c>
      <c r="X933" s="6" t="n">
        <v>0.1571928949770687</v>
      </c>
      <c r="Y933" s="6" t="n">
        <v>2.47051110469061</v>
      </c>
      <c r="Z933" s="6" t="n">
        <v>-1.252430523544464</v>
      </c>
      <c r="AA933" s="6" t="n">
        <v>3.030180360551504</v>
      </c>
      <c r="AB933" s="6" t="n">
        <v>1.423430415653047</v>
      </c>
      <c r="AC933" s="6" t="n">
        <v>-1.090119254647833</v>
      </c>
      <c r="AD933" s="6" t="n">
        <v>-1.845702431934697</v>
      </c>
      <c r="AE933" s="6" t="n">
        <v>0.354500209600987</v>
      </c>
      <c r="AF933" s="6" t="n">
        <v>1.110922245376223</v>
      </c>
      <c r="AG933" s="6" t="n">
        <v>-2.714842882402714</v>
      </c>
      <c r="AH933" s="6" t="n">
        <v>1.449810180484542</v>
      </c>
      <c r="AI933" s="6" t="n">
        <v>4.49554029046767</v>
      </c>
      <c r="AJ933" s="6" t="n">
        <v>73.8395031361209</v>
      </c>
      <c r="AK933" s="6" t="n">
        <v>0.1682756359622475</v>
      </c>
      <c r="AL933" s="6" t="n">
        <v>1.046858100618296</v>
      </c>
      <c r="AN933" s="6" t="n">
        <v>1.343245469762989</v>
      </c>
      <c r="AO933" s="6" t="n">
        <v>1.343841472289923</v>
      </c>
      <c r="AP933" s="6" t="n">
        <v>0.1315788625133665</v>
      </c>
      <c r="AQ933" s="6" t="n">
        <v>0</v>
      </c>
      <c r="AR933" s="6" t="n">
        <v>0</v>
      </c>
    </row>
    <row r="934">
      <c r="D934" t="inlineStr">
        <is>
          <t>Run 622</t>
        </is>
      </c>
      <c r="J934" s="6" t="n">
        <v>1.488025347801293</v>
      </c>
      <c r="K934" s="6" t="n">
        <v>3.463454916833078</v>
      </c>
      <c r="L934" s="6" t="n">
        <v>1.681670914558267</v>
      </c>
      <c r="M934" s="6" t="n">
        <v>0.3267199785649878</v>
      </c>
      <c r="N934" s="6" t="n">
        <v>-2.24283614075753</v>
      </c>
      <c r="O934" s="6" t="n">
        <v>-1.512526850472977</v>
      </c>
      <c r="P934" s="6" t="n">
        <v>1.962997187819589</v>
      </c>
      <c r="Q934" s="6" t="n">
        <v>-2.881134375572662</v>
      </c>
      <c r="R934" s="6" t="n">
        <v>2.623123031198647</v>
      </c>
      <c r="S934" s="6" t="n">
        <v>-0.3290126409320502</v>
      </c>
      <c r="T934" s="6" t="n">
        <v>3.2812534094503</v>
      </c>
      <c r="U934" s="6" t="n">
        <v>0.374687666589952</v>
      </c>
      <c r="V934" s="6" t="n">
        <v>-0.02480563663061584</v>
      </c>
      <c r="W934" s="6" t="n">
        <v>0.08656755703373145</v>
      </c>
      <c r="X934" s="6" t="n">
        <v>-0.4608875556368371</v>
      </c>
      <c r="Y934" s="6" t="n">
        <v>-1.105507282393805</v>
      </c>
      <c r="Z934" s="6" t="n">
        <v>-1.151724388344928</v>
      </c>
      <c r="AA934" s="6" t="n">
        <v>1.215629160240382</v>
      </c>
      <c r="AB934" s="6" t="n">
        <v>1.16665680452408</v>
      </c>
      <c r="AC934" s="6" t="n">
        <v>-0.0698385815084185</v>
      </c>
      <c r="AD934" s="6" t="n">
        <v>1.524591889208293</v>
      </c>
      <c r="AE934" s="6" t="n">
        <v>-1.918174297168777</v>
      </c>
      <c r="AF934" s="6" t="n">
        <v>0.2595685789006124</v>
      </c>
      <c r="AG934" s="6" t="n">
        <v>-1.543256163634874</v>
      </c>
      <c r="AH934" s="6" t="n">
        <v>0.3599295428017494</v>
      </c>
      <c r="AI934" s="6" t="n">
        <v>-4.149930203576735</v>
      </c>
      <c r="AJ934" s="6" t="n">
        <v>80.30749963023618</v>
      </c>
      <c r="AK934" s="6" t="n">
        <v>0.1638232215936186</v>
      </c>
      <c r="AL934" s="6" t="n">
        <v>1.053273676852791</v>
      </c>
      <c r="AN934" s="6" t="n">
        <v>1.345383981386177</v>
      </c>
      <c r="AO934" s="6" t="n">
        <v>1.34659314282609</v>
      </c>
      <c r="AP934" s="6" t="n">
        <v>0.1312833385327347</v>
      </c>
      <c r="AQ934" s="6" t="n">
        <v>0</v>
      </c>
      <c r="AR934" s="6" t="n">
        <v>0</v>
      </c>
    </row>
    <row r="935">
      <c r="D935" t="inlineStr">
        <is>
          <t>Run 623</t>
        </is>
      </c>
      <c r="J935" s="6" t="n">
        <v>0.5008189018214086</v>
      </c>
      <c r="K935" s="6" t="n">
        <v>-2.104596069250934</v>
      </c>
      <c r="L935" s="6" t="n">
        <v>-2.481781666648251</v>
      </c>
      <c r="M935" s="6" t="n">
        <v>1.258597992975893</v>
      </c>
      <c r="N935" s="6" t="n">
        <v>2.325269273005878</v>
      </c>
      <c r="O935" s="6" t="n">
        <v>-0.4233233507419291</v>
      </c>
      <c r="P935" s="6" t="n">
        <v>2.848991852517993</v>
      </c>
      <c r="Q935" s="6" t="n">
        <v>0.930747641657408</v>
      </c>
      <c r="R935" s="6" t="n">
        <v>-2.885305920983641</v>
      </c>
      <c r="S935" s="6" t="n">
        <v>-2.804035956527337</v>
      </c>
      <c r="T935" s="6" t="n">
        <v>3.070011388731769</v>
      </c>
      <c r="U935" s="6" t="n">
        <v>0.9357752521557144</v>
      </c>
      <c r="V935" s="6" t="n">
        <v>-1.321932982150992</v>
      </c>
      <c r="W935" s="6" t="n">
        <v>-1.929032272721226</v>
      </c>
      <c r="X935" s="6" t="n">
        <v>-1.182020440488034</v>
      </c>
      <c r="Y935" s="6" t="n">
        <v>-0.3551223052486721</v>
      </c>
      <c r="Z935" s="6" t="n">
        <v>0.9516839459720461</v>
      </c>
      <c r="AA935" s="6" t="n">
        <v>-3.853387839345806</v>
      </c>
      <c r="AB935" s="6" t="n">
        <v>-1.029317168416999</v>
      </c>
      <c r="AC935" s="6" t="n">
        <v>1.143662254959857</v>
      </c>
      <c r="AD935" s="6" t="n">
        <v>-1.997561159334323</v>
      </c>
      <c r="AE935" s="6" t="n">
        <v>-1.425177051299862</v>
      </c>
      <c r="AF935" s="6" t="n">
        <v>-3.019162351203418</v>
      </c>
      <c r="AG935" s="6" t="n">
        <v>0.6650767339228961</v>
      </c>
      <c r="AH935" s="6" t="n">
        <v>3.161477655292515</v>
      </c>
      <c r="AI935" s="6" t="n">
        <v>0.7329350149917016</v>
      </c>
      <c r="AJ935" s="6" t="n">
        <v>82.89906622004852</v>
      </c>
      <c r="AK935" s="6" t="n">
        <v>0.1021473281960418</v>
      </c>
      <c r="AL935" s="6" t="n">
        <v>1.047731878177976</v>
      </c>
      <c r="AN935" s="6" t="n">
        <v>1.353376662174937</v>
      </c>
      <c r="AO935" s="6" t="n">
        <v>1.353376662174937</v>
      </c>
      <c r="AP935" s="6" t="n">
        <v>0.1341426527703658</v>
      </c>
      <c r="AQ935" s="6" t="n">
        <v>0</v>
      </c>
      <c r="AR935" s="6" t="n">
        <v>0</v>
      </c>
    </row>
    <row r="936">
      <c r="D936" t="inlineStr">
        <is>
          <t>Run 624</t>
        </is>
      </c>
      <c r="J936" s="6" t="n">
        <v>1.825430346846775</v>
      </c>
      <c r="K936" s="6" t="n">
        <v>-2.232014830633304</v>
      </c>
      <c r="L936" s="6" t="n">
        <v>0.5537149478891578</v>
      </c>
      <c r="M936" s="6" t="n">
        <v>-2.37313970080691</v>
      </c>
      <c r="N936" s="6" t="n">
        <v>-0.277503559519223</v>
      </c>
      <c r="O936" s="6" t="n">
        <v>-1.213492996005585</v>
      </c>
      <c r="P936" s="6" t="n">
        <v>1.097843127035178</v>
      </c>
      <c r="Q936" s="6" t="n">
        <v>0.05750419655632955</v>
      </c>
      <c r="R936" s="6" t="n">
        <v>5</v>
      </c>
      <c r="S936" s="6" t="n">
        <v>1.235542442974958</v>
      </c>
      <c r="T936" s="6" t="n">
        <v>-1.465431837387</v>
      </c>
      <c r="U936" s="6" t="n">
        <v>0.1108278507052197</v>
      </c>
      <c r="V936" s="6" t="n">
        <v>-1.361835378103882</v>
      </c>
      <c r="W936" s="6" t="n">
        <v>-2.355860852403357</v>
      </c>
      <c r="X936" s="6" t="n">
        <v>-1.972484829568834</v>
      </c>
      <c r="Y936" s="6" t="n">
        <v>-1.779795163203338</v>
      </c>
      <c r="Z936" s="6" t="n">
        <v>0.5319829408547502</v>
      </c>
      <c r="AA936" s="6" t="n">
        <v>1.437928042438637</v>
      </c>
      <c r="AB936" s="6" t="n">
        <v>-2.590641852358191</v>
      </c>
      <c r="AC936" s="6" t="n">
        <v>1.93639886592747</v>
      </c>
      <c r="AD936" s="6" t="n">
        <v>1.123501990856227</v>
      </c>
      <c r="AE936" s="6" t="n">
        <v>-0.4452972340213686</v>
      </c>
      <c r="AF936" s="6" t="n">
        <v>-3.711482184749123</v>
      </c>
      <c r="AG936" s="6" t="n">
        <v>0.302530498120423</v>
      </c>
      <c r="AH936" s="6" t="n">
        <v>3.744824480291379</v>
      </c>
      <c r="AI936" s="6" t="n">
        <v>-2.43261809633821</v>
      </c>
      <c r="AJ936" s="6" t="n">
        <v>66.0524613394568</v>
      </c>
      <c r="AK936" s="6" t="n">
        <v>0.04546415492846755</v>
      </c>
      <c r="AL936" s="6" t="n">
        <v>1.053126204204237</v>
      </c>
      <c r="AN936" s="6" t="n">
        <v>1.327262147771457</v>
      </c>
      <c r="AO936" s="6" t="n">
        <v>1.335918321080793</v>
      </c>
      <c r="AP936" s="6" t="n">
        <v>0.1332384985060367</v>
      </c>
      <c r="AQ936" s="6" t="n">
        <v>0</v>
      </c>
      <c r="AR936" s="6" t="n">
        <v>0</v>
      </c>
    </row>
    <row r="937">
      <c r="D937" t="inlineStr">
        <is>
          <t>Run 625</t>
        </is>
      </c>
      <c r="J937" s="6" t="n">
        <v>-0.8633678862586172</v>
      </c>
      <c r="K937" s="6" t="n">
        <v>-2.60238775626717</v>
      </c>
      <c r="L937" s="6" t="n">
        <v>3.429597613485871</v>
      </c>
      <c r="M937" s="6" t="n">
        <v>-2.329998943315545</v>
      </c>
      <c r="N937" s="6" t="n">
        <v>0.4477818598783351</v>
      </c>
      <c r="O937" s="6" t="n">
        <v>-0.179890255730457</v>
      </c>
      <c r="P937" s="6" t="n">
        <v>-2.658779962873779</v>
      </c>
      <c r="Q937" s="6" t="n">
        <v>2.38734260228668</v>
      </c>
      <c r="R937" s="6" t="n">
        <v>3.425609424801646</v>
      </c>
      <c r="S937" s="6" t="n">
        <v>-2.360815068982332</v>
      </c>
      <c r="T937" s="6" t="n">
        <v>-1.409516459284731</v>
      </c>
      <c r="U937" s="6" t="n">
        <v>1.271073005268623</v>
      </c>
      <c r="V937" s="6" t="n">
        <v>1.306708763761442</v>
      </c>
      <c r="W937" s="6" t="n">
        <v>-0.09499071076802627</v>
      </c>
      <c r="X937" s="6" t="n">
        <v>0.985908836889392</v>
      </c>
      <c r="Y937" s="6" t="n">
        <v>1.173530863840723</v>
      </c>
      <c r="Z937" s="6" t="n">
        <v>1.128959604086099</v>
      </c>
      <c r="AA937" s="6" t="n">
        <v>-0.9478466876706984</v>
      </c>
      <c r="AB937" s="6" t="n">
        <v>-1.606046371278141</v>
      </c>
      <c r="AC937" s="6" t="n">
        <v>1.673848754733408</v>
      </c>
      <c r="AD937" s="6" t="n">
        <v>0.2687941519776728</v>
      </c>
      <c r="AE937" s="6" t="n">
        <v>1.700555600386203</v>
      </c>
      <c r="AF937" s="6" t="n">
        <v>1.682007234918097</v>
      </c>
      <c r="AG937" s="6" t="n">
        <v>0.4544520929088298</v>
      </c>
      <c r="AH937" s="6" t="n">
        <v>0.8918158074519592</v>
      </c>
      <c r="AI937" s="6" t="n">
        <v>0.4887363664418948</v>
      </c>
      <c r="AJ937" s="6" t="n">
        <v>58.19038894388171</v>
      </c>
      <c r="AK937" s="6" t="n">
        <v>0.1546915691739187</v>
      </c>
      <c r="AL937" s="6" t="n">
        <v>1.049679013071798</v>
      </c>
      <c r="AN937" s="6" t="n">
        <v>1.319407020589769</v>
      </c>
      <c r="AO937" s="6" t="n">
        <v>1.327335850648718</v>
      </c>
      <c r="AP937" s="6" t="n">
        <v>0.1308370034379058</v>
      </c>
      <c r="AQ937" s="6" t="n">
        <v>0</v>
      </c>
      <c r="AR937" s="6" t="n">
        <v>0</v>
      </c>
    </row>
    <row r="938">
      <c r="D938" t="inlineStr">
        <is>
          <t>Run 626</t>
        </is>
      </c>
      <c r="J938" s="6" t="n">
        <v>-1.774389851721882</v>
      </c>
      <c r="K938" s="6" t="n">
        <v>3.100948792132435</v>
      </c>
      <c r="L938" s="6" t="n">
        <v>1.154522097747513</v>
      </c>
      <c r="M938" s="6" t="n">
        <v>1.603974334436692</v>
      </c>
      <c r="N938" s="6" t="n">
        <v>0.6519344592270531</v>
      </c>
      <c r="O938" s="6" t="n">
        <v>-4.380639212743485</v>
      </c>
      <c r="P938" s="6" t="n">
        <v>0.3335160883023751</v>
      </c>
      <c r="Q938" s="6" t="n">
        <v>-0.3162576873210617</v>
      </c>
      <c r="R938" s="6" t="n">
        <v>-4.124023184880556</v>
      </c>
      <c r="S938" s="6" t="n">
        <v>-1.773885376923457</v>
      </c>
      <c r="T938" s="6" t="n">
        <v>2.212514200953523</v>
      </c>
      <c r="U938" s="6" t="n">
        <v>0.7644495889835099</v>
      </c>
      <c r="V938" s="6" t="n">
        <v>0.06388507224833613</v>
      </c>
      <c r="W938" s="6" t="n">
        <v>3.114620885794749</v>
      </c>
      <c r="X938" s="6" t="n">
        <v>-1.821868260570659</v>
      </c>
      <c r="Y938" s="6" t="n">
        <v>0.3780779497140702</v>
      </c>
      <c r="Z938" s="6" t="n">
        <v>1.660228339939323</v>
      </c>
      <c r="AA938" s="6" t="n">
        <v>3.190362321353097</v>
      </c>
      <c r="AB938" s="6" t="n">
        <v>-0.2548803709230616</v>
      </c>
      <c r="AC938" s="6" t="n">
        <v>0.09699866456622597</v>
      </c>
      <c r="AD938" s="6" t="n">
        <v>1.453246338359454</v>
      </c>
      <c r="AE938" s="6" t="n">
        <v>-2.147552820708005</v>
      </c>
      <c r="AF938" s="6" t="n">
        <v>1.532015962621191</v>
      </c>
      <c r="AG938" s="6" t="n">
        <v>0.1527486361811193</v>
      </c>
      <c r="AH938" s="6" t="n">
        <v>2.602474014317268</v>
      </c>
      <c r="AI938" s="6" t="n">
        <v>1.741018513242187</v>
      </c>
      <c r="AJ938" s="6" t="n">
        <v>59.13282169069657</v>
      </c>
      <c r="AK938" s="6" t="n">
        <v>0.06832029111710083</v>
      </c>
      <c r="AL938" s="6" t="n">
        <v>1.069671188186801</v>
      </c>
      <c r="AN938" s="6" t="n">
        <v>1.326058974400728</v>
      </c>
      <c r="AO938" s="6" t="n">
        <v>1.332481442594144</v>
      </c>
      <c r="AP938" s="6" t="n">
        <v>0.13104066754326</v>
      </c>
      <c r="AQ938" s="6" t="n">
        <v>0</v>
      </c>
      <c r="AR938" s="6" t="n">
        <v>0</v>
      </c>
    </row>
    <row r="939">
      <c r="D939" t="inlineStr">
        <is>
          <t>Run 627</t>
        </is>
      </c>
      <c r="J939" s="6" t="n">
        <v>-0.8194908843120735</v>
      </c>
      <c r="K939" s="6" t="n">
        <v>1.883017214435548</v>
      </c>
      <c r="L939" s="6" t="n">
        <v>0.4283980698706241</v>
      </c>
      <c r="M939" s="6" t="n">
        <v>2.003670425605806</v>
      </c>
      <c r="N939" s="6" t="n">
        <v>-0.1271271302354291</v>
      </c>
      <c r="O939" s="6" t="n">
        <v>-0.6274786268000886</v>
      </c>
      <c r="P939" s="6" t="n">
        <v>1.653029963837655</v>
      </c>
      <c r="Q939" s="6" t="n">
        <v>-1.900055233297287</v>
      </c>
      <c r="R939" s="6" t="n">
        <v>-3.494595122085784</v>
      </c>
      <c r="S939" s="6" t="n">
        <v>0.1221576004142246</v>
      </c>
      <c r="T939" s="6" t="n">
        <v>0.454933730188413</v>
      </c>
      <c r="U939" s="6" t="n">
        <v>2.164944015915187</v>
      </c>
      <c r="V939" s="6" t="n">
        <v>0.5892723184949635</v>
      </c>
      <c r="W939" s="6" t="n">
        <v>1.838562464407568</v>
      </c>
      <c r="X939" s="6" t="n">
        <v>1.235813663830229</v>
      </c>
      <c r="Y939" s="6" t="n">
        <v>-2.305337853074265</v>
      </c>
      <c r="Z939" s="6" t="n">
        <v>4.064605959523158</v>
      </c>
      <c r="AA939" s="6" t="n">
        <v>3.324016418486465</v>
      </c>
      <c r="AB939" s="6" t="n">
        <v>1.134790561423443</v>
      </c>
      <c r="AC939" s="6" t="n">
        <v>1.318962307449967</v>
      </c>
      <c r="AD939" s="6" t="n">
        <v>-0.8213738962149609</v>
      </c>
      <c r="AE939" s="6" t="n">
        <v>-0.2587965623279224</v>
      </c>
      <c r="AF939" s="6" t="n">
        <v>2.398912089961312</v>
      </c>
      <c r="AG939" s="6" t="n">
        <v>-4.837556137644289</v>
      </c>
      <c r="AH939" s="6" t="n">
        <v>1.925957613903109</v>
      </c>
      <c r="AI939" s="6" t="n">
        <v>-3.079341216185878</v>
      </c>
      <c r="AJ939" s="6" t="n">
        <v>67.0546521727603</v>
      </c>
      <c r="AK939" s="6" t="n">
        <v>0.09544086678143032</v>
      </c>
      <c r="AL939" s="6" t="n">
        <v>1.013997238124581</v>
      </c>
      <c r="AN939" s="6" t="n">
        <v>1.351302450485502</v>
      </c>
      <c r="AO939" s="6" t="n">
        <v>1.351878973601757</v>
      </c>
      <c r="AP939" s="6" t="n">
        <v>0.1359914273816163</v>
      </c>
      <c r="AQ939" s="6" t="n">
        <v>0</v>
      </c>
      <c r="AR939" s="6" t="n">
        <v>0</v>
      </c>
    </row>
    <row r="940">
      <c r="D940" t="inlineStr">
        <is>
          <t>Run 628</t>
        </is>
      </c>
      <c r="J940" s="6" t="n">
        <v>2.885562816934856</v>
      </c>
      <c r="K940" s="6" t="n">
        <v>0.6298436648776206</v>
      </c>
      <c r="L940" s="6" t="n">
        <v>-0.601347061051728</v>
      </c>
      <c r="M940" s="6" t="n">
        <v>1.685013231637243</v>
      </c>
      <c r="N940" s="6" t="n">
        <v>-1.471109495933735</v>
      </c>
      <c r="O940" s="6" t="n">
        <v>2.36741620017643</v>
      </c>
      <c r="P940" s="6" t="n">
        <v>-3.931090927375206</v>
      </c>
      <c r="Q940" s="6" t="n">
        <v>0.01970679783602059</v>
      </c>
      <c r="R940" s="6" t="n">
        <v>1.246067824186338</v>
      </c>
      <c r="S940" s="6" t="n">
        <v>-1.044315299496792</v>
      </c>
      <c r="T940" s="6" t="n">
        <v>-4.483397395755215</v>
      </c>
      <c r="U940" s="6" t="n">
        <v>0.5782195508852851</v>
      </c>
      <c r="V940" s="6" t="n">
        <v>0.4618976373307485</v>
      </c>
      <c r="W940" s="6" t="n">
        <v>-0.7323700570192847</v>
      </c>
      <c r="X940" s="6" t="n">
        <v>-0.8205702863334652</v>
      </c>
      <c r="Y940" s="6" t="n">
        <v>-4.143363582615409</v>
      </c>
      <c r="Z940" s="6" t="n">
        <v>4.09499214346507</v>
      </c>
      <c r="AA940" s="6" t="n">
        <v>-1.249200279896137</v>
      </c>
      <c r="AB940" s="6" t="n">
        <v>0.5846070314752703</v>
      </c>
      <c r="AC940" s="6" t="n">
        <v>-0.4091590971742971</v>
      </c>
      <c r="AD940" s="6" t="n">
        <v>0.104687207737986</v>
      </c>
      <c r="AE940" s="6" t="n">
        <v>-2.221689186631276</v>
      </c>
      <c r="AF940" s="6" t="n">
        <v>1.711500158673414</v>
      </c>
      <c r="AG940" s="6" t="n">
        <v>-0.3009891843150161</v>
      </c>
      <c r="AH940" s="6" t="n">
        <v>1.902352749220292</v>
      </c>
      <c r="AI940" s="6" t="n">
        <v>1.667062446705108</v>
      </c>
      <c r="AJ940" s="6" t="n">
        <v>71.43637791082172</v>
      </c>
      <c r="AK940" s="6" t="n">
        <v>0.07838339714532125</v>
      </c>
      <c r="AL940" s="6" t="n">
        <v>1.05246882510732</v>
      </c>
      <c r="AN940" s="6" t="n">
        <v>1.347459164214824</v>
      </c>
      <c r="AO940" s="6" t="n">
        <v>1.347691879526506</v>
      </c>
      <c r="AP940" s="6" t="n">
        <v>0.1330528786779447</v>
      </c>
      <c r="AQ940" s="6" t="n">
        <v>0</v>
      </c>
      <c r="AR940" s="6" t="n">
        <v>0</v>
      </c>
    </row>
    <row r="941">
      <c r="D941" t="inlineStr">
        <is>
          <t>Run 629</t>
        </is>
      </c>
      <c r="J941" s="6" t="n">
        <v>-3.000142405488051</v>
      </c>
      <c r="K941" s="6" t="n">
        <v>-1.084881693336035</v>
      </c>
      <c r="L941" s="6" t="n">
        <v>-0.6249818530092138</v>
      </c>
      <c r="M941" s="6" t="n">
        <v>1.940183108592069</v>
      </c>
      <c r="N941" s="6" t="n">
        <v>-4.270147601075377</v>
      </c>
      <c r="O941" s="6" t="n">
        <v>-0.01493226363360199</v>
      </c>
      <c r="P941" s="6" t="n">
        <v>1.218243400255979</v>
      </c>
      <c r="Q941" s="6" t="n">
        <v>0.1159904630790542</v>
      </c>
      <c r="R941" s="6" t="n">
        <v>3.227654919235722</v>
      </c>
      <c r="S941" s="6" t="n">
        <v>-0.868900560407283</v>
      </c>
      <c r="T941" s="6" t="n">
        <v>0.7413216814926237</v>
      </c>
      <c r="U941" s="6" t="n">
        <v>-1.160208999209596</v>
      </c>
      <c r="V941" s="6" t="n">
        <v>2.048174143412588</v>
      </c>
      <c r="W941" s="6" t="n">
        <v>-1.045420151622539</v>
      </c>
      <c r="X941" s="6" t="n">
        <v>-1.302188720984585</v>
      </c>
      <c r="Y941" s="6" t="n">
        <v>3.149320361552785</v>
      </c>
      <c r="Z941" s="6" t="n">
        <v>2.755151761373796</v>
      </c>
      <c r="AA941" s="6" t="n">
        <v>-1.778639206945664</v>
      </c>
      <c r="AB941" s="6" t="n">
        <v>0.569210829338146</v>
      </c>
      <c r="AC941" s="6" t="n">
        <v>-0.2669274819868716</v>
      </c>
      <c r="AD941" s="6" t="n">
        <v>2.711064132111767</v>
      </c>
      <c r="AE941" s="6" t="n">
        <v>0.9493842955724108</v>
      </c>
      <c r="AF941" s="6" t="n">
        <v>0.7550552482536259</v>
      </c>
      <c r="AG941" s="6" t="n">
        <v>0.9758260799049985</v>
      </c>
      <c r="AH941" s="6" t="n">
        <v>-3.772949698339685</v>
      </c>
      <c r="AI941" s="6" t="n">
        <v>2.705639052762062</v>
      </c>
      <c r="AJ941" s="6" t="n">
        <v>79.98878757951614</v>
      </c>
      <c r="AK941" s="6" t="n">
        <v>0.1469166389907002</v>
      </c>
      <c r="AL941" s="6" t="n">
        <v>1.04287755581981</v>
      </c>
      <c r="AN941" s="6" t="n">
        <v>1.350092981505014</v>
      </c>
      <c r="AO941" s="6" t="n">
        <v>1.35126293703339</v>
      </c>
      <c r="AP941" s="6" t="n">
        <v>0.1331882681970736</v>
      </c>
      <c r="AQ941" s="6" t="n">
        <v>0</v>
      </c>
      <c r="AR941" s="6" t="n">
        <v>0</v>
      </c>
    </row>
    <row r="942">
      <c r="D942" t="inlineStr">
        <is>
          <t>Run 630</t>
        </is>
      </c>
      <c r="J942" s="6" t="n">
        <v>1.82987765994438</v>
      </c>
      <c r="K942" s="6" t="n">
        <v>0.3746955837060457</v>
      </c>
      <c r="L942" s="6" t="n">
        <v>-0.7278006777838877</v>
      </c>
      <c r="M942" s="6" t="n">
        <v>3.961762409560648</v>
      </c>
      <c r="N942" s="6" t="n">
        <v>-0.2495342856964232</v>
      </c>
      <c r="O942" s="6" t="n">
        <v>0.9896518239698703</v>
      </c>
      <c r="P942" s="6" t="n">
        <v>2.230028184868512</v>
      </c>
      <c r="Q942" s="6" t="n">
        <v>-0.7919350582268321</v>
      </c>
      <c r="R942" s="6" t="n">
        <v>-0.05826907810306713</v>
      </c>
      <c r="S942" s="6" t="n">
        <v>-1.348480738139612</v>
      </c>
      <c r="T942" s="6" t="n">
        <v>-1.187260706576869</v>
      </c>
      <c r="U942" s="6" t="n">
        <v>0.3815581919610788</v>
      </c>
      <c r="V942" s="6" t="n">
        <v>2.532279213631515</v>
      </c>
      <c r="W942" s="6" t="n">
        <v>0.6462581861618482</v>
      </c>
      <c r="X942" s="6" t="n">
        <v>-3.952435458704234</v>
      </c>
      <c r="Y942" s="6" t="n">
        <v>2.235146156811322</v>
      </c>
      <c r="Z942" s="6" t="n">
        <v>-2.348786982816749</v>
      </c>
      <c r="AA942" s="6" t="n">
        <v>0.9014871348268517</v>
      </c>
      <c r="AB942" s="6" t="n">
        <v>-0.5389741245225422</v>
      </c>
      <c r="AC942" s="6" t="n">
        <v>-3.118341031983862</v>
      </c>
      <c r="AD942" s="6" t="n">
        <v>-0.3324231069036342</v>
      </c>
      <c r="AE942" s="6" t="n">
        <v>-0.6591191361353089</v>
      </c>
      <c r="AF942" s="6" t="n">
        <v>2.269982641149529</v>
      </c>
      <c r="AG942" s="6" t="n">
        <v>-2.014960854415419</v>
      </c>
      <c r="AH942" s="6" t="n">
        <v>-0.183539159090198</v>
      </c>
      <c r="AI942" s="6" t="n">
        <v>-1.874077455923244</v>
      </c>
      <c r="AJ942" s="6" t="n">
        <v>81.80238429687854</v>
      </c>
      <c r="AK942" s="6" t="n">
        <v>0.1132711274608444</v>
      </c>
      <c r="AL942" s="6" t="n">
        <v>1.061002714185664</v>
      </c>
      <c r="AN942" s="6" t="n">
        <v>1.344681685257079</v>
      </c>
      <c r="AO942" s="6" t="n">
        <v>1.34553810073267</v>
      </c>
      <c r="AP942" s="6" t="n">
        <v>0.1321975572531259</v>
      </c>
      <c r="AQ942" s="6" t="n">
        <v>0</v>
      </c>
      <c r="AR942" s="6" t="n">
        <v>0</v>
      </c>
    </row>
    <row r="943">
      <c r="D943" t="inlineStr">
        <is>
          <t>Run 631</t>
        </is>
      </c>
      <c r="J943" s="6" t="n">
        <v>0.2058091813527601</v>
      </c>
      <c r="K943" s="6" t="n">
        <v>2.354819449173607</v>
      </c>
      <c r="L943" s="6" t="n">
        <v>0.6347628052697429</v>
      </c>
      <c r="M943" s="6" t="n">
        <v>-0.672313833984268</v>
      </c>
      <c r="N943" s="6" t="n">
        <v>-1.205911417384583</v>
      </c>
      <c r="O943" s="6" t="n">
        <v>1.357168641095234</v>
      </c>
      <c r="P943" s="6" t="n">
        <v>0.5077584419515188</v>
      </c>
      <c r="Q943" s="6" t="n">
        <v>-0.7229681799256538</v>
      </c>
      <c r="R943" s="6" t="n">
        <v>0.1900560195766897</v>
      </c>
      <c r="S943" s="6" t="n">
        <v>-5.276748633526491</v>
      </c>
      <c r="T943" s="6" t="n">
        <v>-1.239465249787467</v>
      </c>
      <c r="U943" s="6" t="n">
        <v>2.170837128074196</v>
      </c>
      <c r="V943" s="6" t="n">
        <v>-0.9133122206545582</v>
      </c>
      <c r="W943" s="6" t="n">
        <v>-2.431079901115762</v>
      </c>
      <c r="X943" s="6" t="n">
        <v>-1.645658435938879</v>
      </c>
      <c r="Y943" s="6" t="n">
        <v>2.122122641818102</v>
      </c>
      <c r="Z943" s="6" t="n">
        <v>-2.93024459681324</v>
      </c>
      <c r="AA943" s="6" t="n">
        <v>-1.126577884065203</v>
      </c>
      <c r="AB943" s="6" t="n">
        <v>2.970733014519583</v>
      </c>
      <c r="AC943" s="6" t="n">
        <v>-0.8071220238162374</v>
      </c>
      <c r="AD943" s="6" t="n">
        <v>-2.213507439276741</v>
      </c>
      <c r="AE943" s="6" t="n">
        <v>3.082266427733961</v>
      </c>
      <c r="AF943" s="6" t="n">
        <v>3.216046069510168</v>
      </c>
      <c r="AG943" s="6" t="n">
        <v>-0.2253148105271067</v>
      </c>
      <c r="AH943" s="6" t="n">
        <v>1.380709686605842</v>
      </c>
      <c r="AI943" s="6" t="n">
        <v>5</v>
      </c>
      <c r="AJ943" s="6" t="n">
        <v>60.7551561769469</v>
      </c>
      <c r="AK943" s="6" t="n">
        <v>0.1163165824047851</v>
      </c>
      <c r="AL943" s="6" t="n">
        <v>1.044887879040564</v>
      </c>
      <c r="AN943" s="6" t="n">
        <v>1.340698551716931</v>
      </c>
      <c r="AO943" s="6" t="n">
        <v>1.340978364535217</v>
      </c>
      <c r="AP943" s="6" t="n">
        <v>0.1319512114070842</v>
      </c>
      <c r="AQ943" s="6" t="n">
        <v>0</v>
      </c>
      <c r="AR943" s="6" t="n">
        <v>0</v>
      </c>
    </row>
    <row r="944">
      <c r="D944" t="inlineStr">
        <is>
          <t>Run 632</t>
        </is>
      </c>
      <c r="J944" s="6" t="n">
        <v>-2.749757845603243</v>
      </c>
      <c r="K944" s="6" t="n">
        <v>-0.657934417092873</v>
      </c>
      <c r="L944" s="6" t="n">
        <v>-1.75973925639488</v>
      </c>
      <c r="M944" s="6" t="n">
        <v>-1.400686906036466</v>
      </c>
      <c r="N944" s="6" t="n">
        <v>0.4016740038600795</v>
      </c>
      <c r="O944" s="6" t="n">
        <v>3.902286440933055</v>
      </c>
      <c r="P944" s="6" t="n">
        <v>1.997174303702399</v>
      </c>
      <c r="Q944" s="6" t="n">
        <v>-2.13502348593985</v>
      </c>
      <c r="R944" s="6" t="n">
        <v>-0.4307338392916068</v>
      </c>
      <c r="S944" s="6" t="n">
        <v>0.46021005612935</v>
      </c>
      <c r="T944" s="6" t="n">
        <v>2.858422691672758</v>
      </c>
      <c r="U944" s="6" t="n">
        <v>-2.695649697724952</v>
      </c>
      <c r="V944" s="6" t="n">
        <v>-1.766259339684556</v>
      </c>
      <c r="W944" s="6" t="n">
        <v>0.2038230468923596</v>
      </c>
      <c r="X944" s="6" t="n">
        <v>0.822426898438243</v>
      </c>
      <c r="Y944" s="6" t="n">
        <v>-1.730154928385021</v>
      </c>
      <c r="Z944" s="6" t="n">
        <v>2.232224100523761</v>
      </c>
      <c r="AA944" s="6" t="n">
        <v>-0.9464631306283373</v>
      </c>
      <c r="AB944" s="6" t="n">
        <v>-0.5975251684157615</v>
      </c>
      <c r="AC944" s="6" t="n">
        <v>-1.311174257648111</v>
      </c>
      <c r="AD944" s="6" t="n">
        <v>-3.55652430462716</v>
      </c>
      <c r="AE944" s="6" t="n">
        <v>0.8428789831375263</v>
      </c>
      <c r="AF944" s="6" t="n">
        <v>0.6091619601212379</v>
      </c>
      <c r="AG944" s="6" t="n">
        <v>-4.855850358196751</v>
      </c>
      <c r="AH944" s="6" t="n">
        <v>-2.754834290551151</v>
      </c>
      <c r="AI944" s="6" t="n">
        <v>1.458638784984789</v>
      </c>
      <c r="AJ944" s="6" t="n">
        <v>80.67395995195518</v>
      </c>
      <c r="AK944" s="6" t="n">
        <v>0.1264462823189196</v>
      </c>
      <c r="AL944" s="6" t="n">
        <v>1.042421174950194</v>
      </c>
      <c r="AN944" s="6" t="n">
        <v>1.345469732069839</v>
      </c>
      <c r="AO944" s="6" t="n">
        <v>1.348829794473168</v>
      </c>
      <c r="AP944" s="6" t="n">
        <v>0.1332524905010896</v>
      </c>
      <c r="AQ944" s="6" t="n">
        <v>0</v>
      </c>
      <c r="AR944" s="6" t="n">
        <v>0</v>
      </c>
    </row>
    <row r="945">
      <c r="D945" t="inlineStr">
        <is>
          <t>Run 633</t>
        </is>
      </c>
      <c r="J945" s="6" t="n">
        <v>0.2118144838268054</v>
      </c>
      <c r="K945" s="6" t="n">
        <v>0.7565302507433341</v>
      </c>
      <c r="L945" s="6" t="n">
        <v>0.05704306799806143</v>
      </c>
      <c r="M945" s="6" t="n">
        <v>3.073917320292765</v>
      </c>
      <c r="N945" s="6" t="n">
        <v>-1.934192166903334</v>
      </c>
      <c r="O945" s="6" t="n">
        <v>1.561249872392793</v>
      </c>
      <c r="P945" s="6" t="n">
        <v>-0.930346194866427</v>
      </c>
      <c r="Q945" s="6" t="n">
        <v>1.120195107925621</v>
      </c>
      <c r="R945" s="6" t="n">
        <v>-0.165297403281909</v>
      </c>
      <c r="S945" s="6" t="n">
        <v>-3.758343132709836</v>
      </c>
      <c r="T945" s="6" t="n">
        <v>-0.6142184588573089</v>
      </c>
      <c r="U945" s="6" t="n">
        <v>-1.55081022352369</v>
      </c>
      <c r="V945" s="6" t="n">
        <v>3.036428441803928</v>
      </c>
      <c r="W945" s="6" t="n">
        <v>2.988782911280992</v>
      </c>
      <c r="X945" s="6" t="n">
        <v>1.027123712750681</v>
      </c>
      <c r="Y945" s="6" t="n">
        <v>0.3356912717021878</v>
      </c>
      <c r="Z945" s="6" t="n">
        <v>-1.945347355178625</v>
      </c>
      <c r="AA945" s="6" t="n">
        <v>1.179260938314137</v>
      </c>
      <c r="AB945" s="6" t="n">
        <v>0.05032924074925241</v>
      </c>
      <c r="AC945" s="6" t="n">
        <v>-1.099169617645042</v>
      </c>
      <c r="AD945" s="6" t="n">
        <v>-1.028272045497317</v>
      </c>
      <c r="AE945" s="6" t="n">
        <v>1.273511102203669</v>
      </c>
      <c r="AF945" s="6" t="n">
        <v>0.4628981592274607</v>
      </c>
      <c r="AG945" s="6" t="n">
        <v>0.9522694623011619</v>
      </c>
      <c r="AH945" s="6" t="n">
        <v>3.427645104047858</v>
      </c>
      <c r="AI945" s="6" t="n">
        <v>0.9315347979914449</v>
      </c>
      <c r="AJ945" s="6" t="n">
        <v>75.08977837001927</v>
      </c>
      <c r="AK945" s="6" t="n">
        <v>0.146071906215163</v>
      </c>
      <c r="AL945" s="6" t="n">
        <v>1.059502865251746</v>
      </c>
      <c r="AN945" s="6" t="n">
        <v>1.34039722108773</v>
      </c>
      <c r="AO945" s="6" t="n">
        <v>1.340754791000101</v>
      </c>
      <c r="AP945" s="6" t="n">
        <v>0.131228306808249</v>
      </c>
      <c r="AQ945" s="6" t="n">
        <v>0</v>
      </c>
      <c r="AR945" s="6" t="n">
        <v>0</v>
      </c>
    </row>
    <row r="946">
      <c r="D946" t="inlineStr">
        <is>
          <t>Run 634</t>
        </is>
      </c>
      <c r="J946" s="6" t="n">
        <v>0.3240803593993513</v>
      </c>
      <c r="K946" s="6" t="n">
        <v>3.67929620955558</v>
      </c>
      <c r="L946" s="6" t="n">
        <v>1.113693745428144</v>
      </c>
      <c r="M946" s="6" t="n">
        <v>-2.418479506609102</v>
      </c>
      <c r="N946" s="6" t="n">
        <v>-0.422065649492504</v>
      </c>
      <c r="O946" s="6" t="n">
        <v>-0.4589343441717311</v>
      </c>
      <c r="P946" s="6" t="n">
        <v>2.362452136796507</v>
      </c>
      <c r="Q946" s="6" t="n">
        <v>2.387531347594738</v>
      </c>
      <c r="R946" s="6" t="n">
        <v>4.533546409258311</v>
      </c>
      <c r="S946" s="6" t="n">
        <v>4.211003073988436</v>
      </c>
      <c r="T946" s="6" t="n">
        <v>0.3561508923278562</v>
      </c>
      <c r="U946" s="6" t="n">
        <v>0.7863857134124642</v>
      </c>
      <c r="V946" s="6" t="n">
        <v>0.5256706637229297</v>
      </c>
      <c r="W946" s="6" t="n">
        <v>1.533534190827309</v>
      </c>
      <c r="X946" s="6" t="n">
        <v>2.391264969259666</v>
      </c>
      <c r="Y946" s="6" t="n">
        <v>0.5269895360721859</v>
      </c>
      <c r="Z946" s="6" t="n">
        <v>3.846114758995887</v>
      </c>
      <c r="AA946" s="6" t="n">
        <v>-1.903493739177653</v>
      </c>
      <c r="AB946" s="6" t="n">
        <v>1.764897583085335</v>
      </c>
      <c r="AC946" s="6" t="n">
        <v>-0.777111851130603</v>
      </c>
      <c r="AD946" s="6" t="n">
        <v>-1.368806729505715</v>
      </c>
      <c r="AE946" s="6" t="n">
        <v>0.2077195452782188</v>
      </c>
      <c r="AF946" s="6" t="n">
        <v>-1.315978539974896</v>
      </c>
      <c r="AG946" s="6" t="n">
        <v>-3.259046564024888</v>
      </c>
      <c r="AH946" s="6" t="n">
        <v>3.06759745606027</v>
      </c>
      <c r="AI946" s="6" t="n">
        <v>-0.2690908352379488</v>
      </c>
      <c r="AJ946" s="6" t="n">
        <v>69.72351099981056</v>
      </c>
      <c r="AK946" s="6" t="n">
        <v>0.1261973511626632</v>
      </c>
      <c r="AL946" s="6" t="n">
        <v>1.00652319620117</v>
      </c>
      <c r="AN946" s="6" t="n">
        <v>1.338812091628452</v>
      </c>
      <c r="AO946" s="6" t="n">
        <v>1.347755185689613</v>
      </c>
      <c r="AP946" s="6" t="n">
        <v>0.1370071066998179</v>
      </c>
      <c r="AQ946" s="6" t="n">
        <v>0</v>
      </c>
      <c r="AR946" s="6" t="n">
        <v>0</v>
      </c>
    </row>
    <row r="947">
      <c r="D947" t="inlineStr">
        <is>
          <t>Run 635</t>
        </is>
      </c>
      <c r="J947" s="6" t="n">
        <v>3.282434539072</v>
      </c>
      <c r="K947" s="6" t="n">
        <v>-0.2713915432198602</v>
      </c>
      <c r="L947" s="6" t="n">
        <v>-0.4611405050961881</v>
      </c>
      <c r="M947" s="6" t="n">
        <v>-0.3078459159453978</v>
      </c>
      <c r="N947" s="6" t="n">
        <v>0.3650618474753396</v>
      </c>
      <c r="O947" s="6" t="n">
        <v>0.8553151541726407</v>
      </c>
      <c r="P947" s="6" t="n">
        <v>-1.30035076339533</v>
      </c>
      <c r="Q947" s="6" t="n">
        <v>-1.342891893561074</v>
      </c>
      <c r="R947" s="6" t="n">
        <v>-0.6517714492836891</v>
      </c>
      <c r="S947" s="6" t="n">
        <v>-1.804113014021602</v>
      </c>
      <c r="T947" s="6" t="n">
        <v>-5.095449046929193</v>
      </c>
      <c r="U947" s="6" t="n">
        <v>0.1133833329035241</v>
      </c>
      <c r="V947" s="6" t="n">
        <v>0.8820074541450804</v>
      </c>
      <c r="W947" s="6" t="n">
        <v>2.747287736641004</v>
      </c>
      <c r="X947" s="6" t="n">
        <v>-0.5763908494763307</v>
      </c>
      <c r="Y947" s="6" t="n">
        <v>4.815977235940689</v>
      </c>
      <c r="Z947" s="6" t="n">
        <v>-0.4753650906994858</v>
      </c>
      <c r="AA947" s="6" t="n">
        <v>-1.667756397679617</v>
      </c>
      <c r="AB947" s="6" t="n">
        <v>1.184001183922885</v>
      </c>
      <c r="AC947" s="6" t="n">
        <v>-0.9528865154921662</v>
      </c>
      <c r="AD947" s="6" t="n">
        <v>-1.375198645846286</v>
      </c>
      <c r="AE947" s="6" t="n">
        <v>1.997311990590515</v>
      </c>
      <c r="AF947" s="6" t="n">
        <v>1.538868627978558</v>
      </c>
      <c r="AG947" s="6" t="n">
        <v>1.211415413112166</v>
      </c>
      <c r="AH947" s="6" t="n">
        <v>0.8232345196907291</v>
      </c>
      <c r="AI947" s="6" t="n">
        <v>0.09749198439824448</v>
      </c>
      <c r="AJ947" s="6" t="n">
        <v>72.48177621854394</v>
      </c>
      <c r="AK947" s="6" t="n">
        <v>0.06615976417098716</v>
      </c>
      <c r="AL947" s="6" t="n">
        <v>0.9895851237222921</v>
      </c>
      <c r="AN947" s="6" t="n">
        <v>1.360223855138923</v>
      </c>
      <c r="AO947" s="6" t="n">
        <v>1.360223855138923</v>
      </c>
      <c r="AP947" s="6" t="n">
        <v>0.1418698942079419</v>
      </c>
      <c r="AQ947" s="6" t="n">
        <v>0</v>
      </c>
      <c r="AR947" s="6" t="n">
        <v>0</v>
      </c>
    </row>
    <row r="948">
      <c r="D948" t="inlineStr">
        <is>
          <t>Run 636</t>
        </is>
      </c>
      <c r="J948" s="6" t="n">
        <v>1.398933627403294</v>
      </c>
      <c r="K948" s="6" t="n">
        <v>0.5373780616056123</v>
      </c>
      <c r="L948" s="6" t="n">
        <v>0.4552223167460861</v>
      </c>
      <c r="M948" s="6" t="n">
        <v>-3.10465023651844</v>
      </c>
      <c r="N948" s="6" t="n">
        <v>-1.579943735667793</v>
      </c>
      <c r="O948" s="6" t="n">
        <v>-0.9888927617543338</v>
      </c>
      <c r="P948" s="6" t="n">
        <v>0.6914696482944664</v>
      </c>
      <c r="Q948" s="6" t="n">
        <v>-2.504078834831125</v>
      </c>
      <c r="R948" s="6" t="n">
        <v>1.492030644390586</v>
      </c>
      <c r="S948" s="6" t="n">
        <v>-1.387512760335988</v>
      </c>
      <c r="T948" s="6" t="n">
        <v>1.551417649197645</v>
      </c>
      <c r="U948" s="6" t="n">
        <v>0.2692738662161178</v>
      </c>
      <c r="V948" s="6" t="n">
        <v>-2.435429846404795</v>
      </c>
      <c r="W948" s="6" t="n">
        <v>-0.5638713459638123</v>
      </c>
      <c r="X948" s="6" t="n">
        <v>-0.1314879747627275</v>
      </c>
      <c r="Y948" s="6" t="n">
        <v>-1.376527825612132</v>
      </c>
      <c r="Z948" s="6" t="n">
        <v>-3.711554164144962</v>
      </c>
      <c r="AA948" s="6" t="n">
        <v>1.768583028817847</v>
      </c>
      <c r="AB948" s="6" t="n">
        <v>2.334139895435741</v>
      </c>
      <c r="AC948" s="6" t="n">
        <v>4.079830686260864</v>
      </c>
      <c r="AD948" s="6" t="n">
        <v>1.224269010209869</v>
      </c>
      <c r="AE948" s="6" t="n">
        <v>1.288684774151053</v>
      </c>
      <c r="AF948" s="6" t="n">
        <v>3.699387582499154</v>
      </c>
      <c r="AG948" s="6" t="n">
        <v>-2.689659813486403</v>
      </c>
      <c r="AH948" s="6" t="n">
        <v>-1.499912740149343</v>
      </c>
      <c r="AI948" s="6" t="n">
        <v>-1.043285856556186</v>
      </c>
      <c r="AJ948" s="6" t="n">
        <v>70.42928379923116</v>
      </c>
      <c r="AK948" s="6" t="n">
        <v>0.1096686959285256</v>
      </c>
      <c r="AL948" s="6" t="n">
        <v>1.081582565558506</v>
      </c>
      <c r="AN948" s="6" t="n">
        <v>1.307469464875395</v>
      </c>
      <c r="AO948" s="6" t="n">
        <v>1.313411200956926</v>
      </c>
      <c r="AP948" s="6" t="n">
        <v>0.1296284199333367</v>
      </c>
      <c r="AQ948" s="6" t="n">
        <v>0</v>
      </c>
      <c r="AR948" s="6" t="n">
        <v>0</v>
      </c>
    </row>
    <row r="949">
      <c r="D949" t="inlineStr">
        <is>
          <t>Run 637</t>
        </is>
      </c>
      <c r="J949" s="6" t="n">
        <v>-0.423391618713193</v>
      </c>
      <c r="K949" s="6" t="n">
        <v>1.363194810371994</v>
      </c>
      <c r="L949" s="6" t="n">
        <v>-2.8056112501956</v>
      </c>
      <c r="M949" s="6" t="n">
        <v>1.586153833696065</v>
      </c>
      <c r="N949" s="6" t="n">
        <v>-1.045495445033576</v>
      </c>
      <c r="O949" s="6" t="n">
        <v>1.99417901662287</v>
      </c>
      <c r="P949" s="6" t="n">
        <v>-5.199604176191513</v>
      </c>
      <c r="Q949" s="6" t="n">
        <v>-0.445759059721926</v>
      </c>
      <c r="R949" s="6" t="n">
        <v>0.4569621272774613</v>
      </c>
      <c r="S949" s="6" t="n">
        <v>3.132234668784887</v>
      </c>
      <c r="T949" s="6" t="n">
        <v>3.601583198204288</v>
      </c>
      <c r="U949" s="6" t="n">
        <v>-4.540126339235048</v>
      </c>
      <c r="V949" s="6" t="n">
        <v>-0.6933423135653731</v>
      </c>
      <c r="W949" s="6" t="n">
        <v>1.772196432970032</v>
      </c>
      <c r="X949" s="6" t="n">
        <v>-1.475943637641068</v>
      </c>
      <c r="Y949" s="6" t="n">
        <v>-1.886079933117881</v>
      </c>
      <c r="Z949" s="6" t="n">
        <v>-0.2403682606612972</v>
      </c>
      <c r="AA949" s="6" t="n">
        <v>-0.8632720110857044</v>
      </c>
      <c r="AB949" s="6" t="n">
        <v>0.441332415952053</v>
      </c>
      <c r="AC949" s="6" t="n">
        <v>-1.663133101224898</v>
      </c>
      <c r="AD949" s="6" t="n">
        <v>-0.4317803833856976</v>
      </c>
      <c r="AE949" s="6" t="n">
        <v>0.1978298042326477</v>
      </c>
      <c r="AF949" s="6" t="n">
        <v>2.174389948284913</v>
      </c>
      <c r="AG949" s="6" t="n">
        <v>-2.20433415083497</v>
      </c>
      <c r="AH949" s="6" t="n">
        <v>-2.049798289416327</v>
      </c>
      <c r="AI949" s="6" t="n">
        <v>2.768343219157695</v>
      </c>
      <c r="AJ949" s="6" t="n">
        <v>59.16497845525599</v>
      </c>
      <c r="AK949" s="6" t="n">
        <v>0.1983724957575332</v>
      </c>
      <c r="AL949" s="6" t="n">
        <v>1.013358290486162</v>
      </c>
      <c r="AN949" s="6" t="n">
        <v>1.345274781331616</v>
      </c>
      <c r="AO949" s="6" t="n">
        <v>1.345963008923211</v>
      </c>
      <c r="AP949" s="6" t="n">
        <v>0.1331218598725168</v>
      </c>
      <c r="AQ949" s="6" t="n">
        <v>0</v>
      </c>
      <c r="AR949" s="6" t="n">
        <v>0</v>
      </c>
    </row>
    <row r="950">
      <c r="D950" t="inlineStr">
        <is>
          <t>Run 638</t>
        </is>
      </c>
      <c r="J950" s="6" t="n">
        <v>-0.01996498236860404</v>
      </c>
      <c r="K950" s="6" t="n">
        <v>0.6848295879403644</v>
      </c>
      <c r="L950" s="6" t="n">
        <v>-3.288123316821927</v>
      </c>
      <c r="M950" s="6" t="n">
        <v>0.3951150846668027</v>
      </c>
      <c r="N950" s="6" t="n">
        <v>-0.4087183133083517</v>
      </c>
      <c r="O950" s="6" t="n">
        <v>1.31902179738852</v>
      </c>
      <c r="P950" s="6" t="n">
        <v>-0.1693600049981438</v>
      </c>
      <c r="Q950" s="6" t="n">
        <v>-0.265021237954136</v>
      </c>
      <c r="R950" s="6" t="n">
        <v>4.368867726692282</v>
      </c>
      <c r="S950" s="6" t="n">
        <v>-0.4884140060714156</v>
      </c>
      <c r="T950" s="6" t="n">
        <v>0.6014995606080665</v>
      </c>
      <c r="U950" s="6" t="n">
        <v>-0.9389151446411947</v>
      </c>
      <c r="V950" s="6" t="n">
        <v>3.331967073845234</v>
      </c>
      <c r="W950" s="6" t="n">
        <v>0.03923801690647443</v>
      </c>
      <c r="X950" s="6" t="n">
        <v>-1.796775671465614</v>
      </c>
      <c r="Y950" s="6" t="n">
        <v>0.09441351652279832</v>
      </c>
      <c r="Z950" s="6" t="n">
        <v>-1.050881656184157</v>
      </c>
      <c r="AA950" s="6" t="n">
        <v>-2.326306384671682</v>
      </c>
      <c r="AB950" s="6" t="n">
        <v>-1.246239586786249</v>
      </c>
      <c r="AC950" s="6" t="n">
        <v>1.537534291783816</v>
      </c>
      <c r="AD950" s="6" t="n">
        <v>-1.85684110838868</v>
      </c>
      <c r="AE950" s="6" t="n">
        <v>1.391319928112846</v>
      </c>
      <c r="AF950" s="6" t="n">
        <v>-1.995583654337836</v>
      </c>
      <c r="AG950" s="6" t="n">
        <v>0.4127853577771098</v>
      </c>
      <c r="AH950" s="6" t="n">
        <v>-2.621783245157415</v>
      </c>
      <c r="AI950" s="6" t="n">
        <v>-1.480479666712923</v>
      </c>
      <c r="AJ950" s="6" t="n">
        <v>76.77556491106613</v>
      </c>
      <c r="AK950" s="6" t="n">
        <v>0.08410623962016153</v>
      </c>
      <c r="AL950" s="6" t="n">
        <v>1.047803074719979</v>
      </c>
      <c r="AN950" s="6" t="n">
        <v>1.351019171964661</v>
      </c>
      <c r="AO950" s="6" t="n">
        <v>1.351019171964661</v>
      </c>
      <c r="AP950" s="6" t="n">
        <v>0.1339870070520865</v>
      </c>
      <c r="AQ950" s="6" t="n">
        <v>0</v>
      </c>
      <c r="AR950" s="6" t="n">
        <v>0</v>
      </c>
    </row>
    <row r="951">
      <c r="D951" t="inlineStr">
        <is>
          <t>Run 639</t>
        </is>
      </c>
      <c r="J951" s="6" t="n">
        <v>-0.9545758509190165</v>
      </c>
      <c r="K951" s="6" t="n">
        <v>2.597219177737387</v>
      </c>
      <c r="L951" s="6" t="n">
        <v>-2.919775779379624</v>
      </c>
      <c r="M951" s="6" t="n">
        <v>0.3806694522063744</v>
      </c>
      <c r="N951" s="6" t="n">
        <v>0.7657809672195159</v>
      </c>
      <c r="O951" s="6" t="n">
        <v>-2.927172241014564</v>
      </c>
      <c r="P951" s="6" t="n">
        <v>-1.133103099822116</v>
      </c>
      <c r="Q951" s="6" t="n">
        <v>-1.204208919400492</v>
      </c>
      <c r="R951" s="6" t="n">
        <v>0.6530634124530933</v>
      </c>
      <c r="S951" s="6" t="n">
        <v>-3.143758680399342</v>
      </c>
      <c r="T951" s="6" t="n">
        <v>-0.4457345573991393</v>
      </c>
      <c r="U951" s="6" t="n">
        <v>3.946715558578879</v>
      </c>
      <c r="V951" s="6" t="n">
        <v>0.193772208697494</v>
      </c>
      <c r="W951" s="6" t="n">
        <v>0.7122711790185123</v>
      </c>
      <c r="X951" s="6" t="n">
        <v>1.689139781861276</v>
      </c>
      <c r="Y951" s="6" t="n">
        <v>0.9585311609733801</v>
      </c>
      <c r="Z951" s="6" t="n">
        <v>1.332975551621526</v>
      </c>
      <c r="AA951" s="6" t="n">
        <v>1.011988974766126</v>
      </c>
      <c r="AB951" s="6" t="n">
        <v>-0.8695406564473802</v>
      </c>
      <c r="AC951" s="6" t="n">
        <v>3.154990992833422</v>
      </c>
      <c r="AD951" s="6" t="n">
        <v>1.738604657264142</v>
      </c>
      <c r="AE951" s="6" t="n">
        <v>1.083781854649393</v>
      </c>
      <c r="AF951" s="6" t="n">
        <v>-0.3585841323332195</v>
      </c>
      <c r="AG951" s="6" t="n">
        <v>3.021244650415507</v>
      </c>
      <c r="AH951" s="6" t="n">
        <v>-1.098540101664532</v>
      </c>
      <c r="AI951" s="6" t="n">
        <v>-0.3836648164862347</v>
      </c>
      <c r="AJ951" s="6" t="n">
        <v>71.75743717080229</v>
      </c>
      <c r="AK951" s="6" t="n">
        <v>0.1894029009035904</v>
      </c>
      <c r="AL951" s="6" t="n">
        <v>1.067906393025289</v>
      </c>
      <c r="AN951" s="6" t="n">
        <v>1.334352517323769</v>
      </c>
      <c r="AO951" s="6" t="n">
        <v>1.334714268405319</v>
      </c>
      <c r="AP951" s="6" t="n">
        <v>0.1293949500191696</v>
      </c>
      <c r="AQ951" s="6" t="n">
        <v>0</v>
      </c>
      <c r="AR951" s="6" t="n">
        <v>0</v>
      </c>
    </row>
    <row r="952">
      <c r="D952" t="inlineStr">
        <is>
          <t>Run 640</t>
        </is>
      </c>
      <c r="J952" s="6" t="n">
        <v>-0.8999393901882223</v>
      </c>
      <c r="K952" s="6" t="n">
        <v>-1.366847195063075</v>
      </c>
      <c r="L952" s="6" t="n">
        <v>1.242151819350338</v>
      </c>
      <c r="M952" s="6" t="n">
        <v>4.095630711585789</v>
      </c>
      <c r="N952" s="6" t="n">
        <v>2.718206229626535</v>
      </c>
      <c r="O952" s="6" t="n">
        <v>1.875488727466969</v>
      </c>
      <c r="P952" s="6" t="n">
        <v>-1.148259738556522</v>
      </c>
      <c r="Q952" s="6" t="n">
        <v>1.752517491839308</v>
      </c>
      <c r="R952" s="6" t="n">
        <v>-0.3243922525323024</v>
      </c>
      <c r="S952" s="6" t="n">
        <v>1.75123615666231</v>
      </c>
      <c r="T952" s="6" t="n">
        <v>-0.9496024217507629</v>
      </c>
      <c r="U952" s="6" t="n">
        <v>-1.557183176949065</v>
      </c>
      <c r="V952" s="6" t="n">
        <v>0.952350814792018</v>
      </c>
      <c r="W952" s="6" t="n">
        <v>2.081810027099112</v>
      </c>
      <c r="X952" s="6" t="n">
        <v>-1.669391172746732</v>
      </c>
      <c r="Y952" s="6" t="n">
        <v>3.641050892569851</v>
      </c>
      <c r="Z952" s="6" t="n">
        <v>-3.312597176276</v>
      </c>
      <c r="AA952" s="6" t="n">
        <v>3.966594492074991</v>
      </c>
      <c r="AB952" s="6" t="n">
        <v>3.092013405104446</v>
      </c>
      <c r="AC952" s="6" t="n">
        <v>0.1257388948290522</v>
      </c>
      <c r="AD952" s="6" t="n">
        <v>-5.434625962812888</v>
      </c>
      <c r="AE952" s="6" t="n">
        <v>1.973602177020598</v>
      </c>
      <c r="AF952" s="6" t="n">
        <v>0.2071902254560992</v>
      </c>
      <c r="AG952" s="6" t="n">
        <v>1.751002184143003</v>
      </c>
      <c r="AH952" s="6" t="n">
        <v>-4.365956074021677</v>
      </c>
      <c r="AI952" s="6" t="n">
        <v>4.218793704813188</v>
      </c>
      <c r="AJ952" s="6" t="n">
        <v>81.19083858675576</v>
      </c>
      <c r="AK952" s="6" t="n">
        <v>0.1522371832719888</v>
      </c>
      <c r="AL952" s="6" t="n">
        <v>1.055554488064963</v>
      </c>
      <c r="AN952" s="6" t="n">
        <v>1.343141079013127</v>
      </c>
      <c r="AO952" s="6" t="n">
        <v>1.343542096955871</v>
      </c>
      <c r="AP952" s="6" t="n">
        <v>0.1317702520931698</v>
      </c>
      <c r="AQ952" s="6" t="n">
        <v>0</v>
      </c>
      <c r="AR952" s="6" t="n">
        <v>0</v>
      </c>
    </row>
    <row r="953">
      <c r="D953" t="inlineStr">
        <is>
          <t>Run 641</t>
        </is>
      </c>
      <c r="J953" s="6" t="n">
        <v>1.020145069277412</v>
      </c>
      <c r="K953" s="6" t="n">
        <v>-2.249157615246748</v>
      </c>
      <c r="L953" s="6" t="n">
        <v>2.097567772302483</v>
      </c>
      <c r="M953" s="6" t="n">
        <v>2.464856981229147</v>
      </c>
      <c r="N953" s="6" t="n">
        <v>-0.09251024067378</v>
      </c>
      <c r="O953" s="6" t="n">
        <v>3.071147719215502</v>
      </c>
      <c r="P953" s="6" t="n">
        <v>3.69068792150002</v>
      </c>
      <c r="Q953" s="6" t="n">
        <v>-1.654591067039939</v>
      </c>
      <c r="R953" s="6" t="n">
        <v>2.460223105914566</v>
      </c>
      <c r="S953" s="6" t="n">
        <v>2.221414716789232</v>
      </c>
      <c r="T953" s="6" t="n">
        <v>0.3768960239802286</v>
      </c>
      <c r="U953" s="6" t="n">
        <v>1.045204714630714</v>
      </c>
      <c r="V953" s="6" t="n">
        <v>0.6095207550709469</v>
      </c>
      <c r="W953" s="6" t="n">
        <v>0.02137931518397204</v>
      </c>
      <c r="X953" s="6" t="n">
        <v>0.6007862590213499</v>
      </c>
      <c r="Y953" s="6" t="n">
        <v>1.198494034616981</v>
      </c>
      <c r="Z953" s="6" t="n">
        <v>-1.986160492876001</v>
      </c>
      <c r="AA953" s="6" t="n">
        <v>3.330184303848817</v>
      </c>
      <c r="AB953" s="6" t="n">
        <v>-2.015672383823897</v>
      </c>
      <c r="AC953" s="6" t="n">
        <v>0.9135795963236455</v>
      </c>
      <c r="AD953" s="6" t="n">
        <v>-0.08030051028711784</v>
      </c>
      <c r="AE953" s="6" t="n">
        <v>-0.8027885552012199</v>
      </c>
      <c r="AF953" s="6" t="n">
        <v>-1.815317593924811</v>
      </c>
      <c r="AG953" s="6" t="n">
        <v>-0.5140520258416897</v>
      </c>
      <c r="AH953" s="6" t="n">
        <v>1.356259411201147</v>
      </c>
      <c r="AI953" s="6" t="n">
        <v>-1.568437176222321</v>
      </c>
      <c r="AJ953" s="6" t="n">
        <v>69.90461828520219</v>
      </c>
      <c r="AK953" s="6" t="n">
        <v>0.07923867626444314</v>
      </c>
      <c r="AL953" s="6" t="n">
        <v>1.088636837555757</v>
      </c>
      <c r="AN953" s="6" t="n">
        <v>1.335241791090413</v>
      </c>
      <c r="AO953" s="6" t="n">
        <v>1.335816151911169</v>
      </c>
      <c r="AP953" s="6" t="n">
        <v>0.1304856962480461</v>
      </c>
      <c r="AQ953" s="6" t="n">
        <v>0</v>
      </c>
      <c r="AR953" s="6" t="n">
        <v>0</v>
      </c>
    </row>
    <row r="954">
      <c r="D954" t="inlineStr">
        <is>
          <t>Run 642</t>
        </is>
      </c>
      <c r="J954" s="6" t="n">
        <v>-0.3597203730471738</v>
      </c>
      <c r="K954" s="6" t="n">
        <v>-0.5753230396013795</v>
      </c>
      <c r="L954" s="6" t="n">
        <v>-2.942655582689462</v>
      </c>
      <c r="M954" s="6" t="n">
        <v>-4.550517463079169</v>
      </c>
      <c r="N954" s="6" t="n">
        <v>0.4334507219598651</v>
      </c>
      <c r="O954" s="6" t="n">
        <v>1.884039434973952</v>
      </c>
      <c r="P954" s="6" t="n">
        <v>0.5627971461531923</v>
      </c>
      <c r="Q954" s="6" t="n">
        <v>-2.509683405461258</v>
      </c>
      <c r="R954" s="6" t="n">
        <v>0.9047502283063014</v>
      </c>
      <c r="S954" s="6" t="n">
        <v>-4.675843654227759</v>
      </c>
      <c r="T954" s="6" t="n">
        <v>1.258591132825033</v>
      </c>
      <c r="U954" s="6" t="n">
        <v>-3.449093964896232</v>
      </c>
      <c r="V954" s="6" t="n">
        <v>-2.902741028911717</v>
      </c>
      <c r="W954" s="6" t="n">
        <v>-1.272403625687738</v>
      </c>
      <c r="X954" s="6" t="n">
        <v>-0.7916879997082039</v>
      </c>
      <c r="Y954" s="6" t="n">
        <v>-1.662211306928618</v>
      </c>
      <c r="Z954" s="6" t="n">
        <v>3.612882680874892</v>
      </c>
      <c r="AA954" s="6" t="n">
        <v>-2.423746253365023</v>
      </c>
      <c r="AB954" s="6" t="n">
        <v>-0.683922223964361</v>
      </c>
      <c r="AC954" s="6" t="n">
        <v>5</v>
      </c>
      <c r="AD954" s="6" t="n">
        <v>1.798101313820422</v>
      </c>
      <c r="AE954" s="6" t="n">
        <v>2.190507191344706</v>
      </c>
      <c r="AF954" s="6" t="n">
        <v>-0.7937352660668782</v>
      </c>
      <c r="AG954" s="6" t="n">
        <v>-3.028966290737515</v>
      </c>
      <c r="AH954" s="6" t="n">
        <v>-2.159838455452948</v>
      </c>
      <c r="AI954" s="6" t="n">
        <v>-0.5260926493819519</v>
      </c>
      <c r="AJ954" s="6" t="n">
        <v>78.15804611218212</v>
      </c>
      <c r="AK954" s="6" t="n">
        <v>0.01584540311570508</v>
      </c>
      <c r="AL954" s="6" t="n">
        <v>1.068890905165624</v>
      </c>
      <c r="AN954" s="6" t="n">
        <v>1.295057411269785</v>
      </c>
      <c r="AO954" s="6" t="n">
        <v>1.308220631814972</v>
      </c>
      <c r="AP954" s="6" t="n">
        <v>0.132742249537694</v>
      </c>
      <c r="AQ954" s="6" t="n">
        <v>0</v>
      </c>
      <c r="AR954" s="6" t="n">
        <v>0</v>
      </c>
    </row>
    <row r="955">
      <c r="D955" t="inlineStr">
        <is>
          <t>Run 643</t>
        </is>
      </c>
      <c r="J955" s="6" t="n">
        <v>2.734292823939721</v>
      </c>
      <c r="K955" s="6" t="n">
        <v>-1.838213701712581</v>
      </c>
      <c r="L955" s="6" t="n">
        <v>2.585204415809691</v>
      </c>
      <c r="M955" s="6" t="n">
        <v>-1.887967846800454</v>
      </c>
      <c r="N955" s="6" t="n">
        <v>2.138362630598721</v>
      </c>
      <c r="O955" s="6" t="n">
        <v>1.127673121160321</v>
      </c>
      <c r="P955" s="6" t="n">
        <v>0.4238156691062687</v>
      </c>
      <c r="Q955" s="6" t="n">
        <v>0.5640521663456206</v>
      </c>
      <c r="R955" s="6" t="n">
        <v>-0.6284844345642498</v>
      </c>
      <c r="S955" s="6" t="n">
        <v>0.7728366110929989</v>
      </c>
      <c r="T955" s="6" t="n">
        <v>0.7960552042898983</v>
      </c>
      <c r="U955" s="6" t="n">
        <v>0.0582707403669948</v>
      </c>
      <c r="V955" s="6" t="n">
        <v>0.5828547024021777</v>
      </c>
      <c r="W955" s="6" t="n">
        <v>2.214273297684527</v>
      </c>
      <c r="X955" s="6" t="n">
        <v>-4.597661363759735</v>
      </c>
      <c r="Y955" s="6" t="n">
        <v>1.264881819925141</v>
      </c>
      <c r="Z955" s="6" t="n">
        <v>1.918974902527988</v>
      </c>
      <c r="AA955" s="6" t="n">
        <v>-1.029604153776954</v>
      </c>
      <c r="AB955" s="6" t="n">
        <v>-2.164799227396463</v>
      </c>
      <c r="AC955" s="6" t="n">
        <v>3.673584926950644</v>
      </c>
      <c r="AD955" s="6" t="n">
        <v>-1.240159010634373</v>
      </c>
      <c r="AE955" s="6" t="n">
        <v>-2.160007686768897</v>
      </c>
      <c r="AF955" s="6" t="n">
        <v>-1.086752649834307</v>
      </c>
      <c r="AG955" s="6" t="n">
        <v>1.934142975556906</v>
      </c>
      <c r="AH955" s="6" t="n">
        <v>0.04096306733442051</v>
      </c>
      <c r="AI955" s="6" t="n">
        <v>1.874291731861424</v>
      </c>
      <c r="AJ955" s="6" t="n">
        <v>80.69182300457213</v>
      </c>
      <c r="AK955" s="6" t="n">
        <v>0.09946440702631756</v>
      </c>
      <c r="AL955" s="6" t="n">
        <v>1.067683668312446</v>
      </c>
      <c r="AN955" s="6" t="n">
        <v>1.332899797662836</v>
      </c>
      <c r="AO955" s="6" t="n">
        <v>1.337922127054055</v>
      </c>
      <c r="AP955" s="6" t="n">
        <v>0.1320414731099376</v>
      </c>
      <c r="AQ955" s="6" t="n">
        <v>0</v>
      </c>
      <c r="AR955" s="6" t="n">
        <v>0</v>
      </c>
    </row>
    <row r="956">
      <c r="D956" t="inlineStr">
        <is>
          <t>Run 644</t>
        </is>
      </c>
      <c r="J956" s="6" t="n">
        <v>-1.958852601277706</v>
      </c>
      <c r="K956" s="6" t="n">
        <v>-0.7120367006486175</v>
      </c>
      <c r="L956" s="6" t="n">
        <v>1.802216741956476</v>
      </c>
      <c r="M956" s="6" t="n">
        <v>2.524402917253465</v>
      </c>
      <c r="N956" s="6" t="n">
        <v>-1.686723362303681</v>
      </c>
      <c r="O956" s="6" t="n">
        <v>-1.791970516982116</v>
      </c>
      <c r="P956" s="6" t="n">
        <v>0.7279476510888945</v>
      </c>
      <c r="Q956" s="6" t="n">
        <v>-1.010780459819648</v>
      </c>
      <c r="R956" s="6" t="n">
        <v>1.390936897160116</v>
      </c>
      <c r="S956" s="6" t="n">
        <v>0.7235489229161925</v>
      </c>
      <c r="T956" s="6" t="n">
        <v>1.763443241152791</v>
      </c>
      <c r="U956" s="6" t="n">
        <v>2.634063372803445</v>
      </c>
      <c r="V956" s="6" t="n">
        <v>1.998161761839239</v>
      </c>
      <c r="W956" s="6" t="n">
        <v>1.384747768042485</v>
      </c>
      <c r="X956" s="6" t="n">
        <v>-2.426093521456217</v>
      </c>
      <c r="Y956" s="6" t="n">
        <v>1.804487821762003</v>
      </c>
      <c r="Z956" s="6" t="n">
        <v>3.054291095835012</v>
      </c>
      <c r="AA956" s="6" t="n">
        <v>1.082044318664125</v>
      </c>
      <c r="AB956" s="6" t="n">
        <v>1.671434682429003</v>
      </c>
      <c r="AC956" s="6" t="n">
        <v>0.7621606308173692</v>
      </c>
      <c r="AD956" s="6" t="n">
        <v>-3.048213087184705</v>
      </c>
      <c r="AE956" s="6" t="n">
        <v>-1.188880725816131</v>
      </c>
      <c r="AF956" s="6" t="n">
        <v>3.066503672055923</v>
      </c>
      <c r="AG956" s="6" t="n">
        <v>-0.8098377786053147</v>
      </c>
      <c r="AH956" s="6" t="n">
        <v>-2.380290289741929</v>
      </c>
      <c r="AI956" s="6" t="n">
        <v>-2.127741476400487</v>
      </c>
      <c r="AJ956" s="6" t="n">
        <v>76.7065502853528</v>
      </c>
      <c r="AK956" s="6" t="n">
        <v>0.1743056187352535</v>
      </c>
      <c r="AL956" s="6" t="n">
        <v>1.078245048563444</v>
      </c>
      <c r="AN956" s="6" t="n">
        <v>1.33279443060772</v>
      </c>
      <c r="AO956" s="6" t="n">
        <v>1.334171744019705</v>
      </c>
      <c r="AP956" s="6" t="n">
        <v>0.1292149748742577</v>
      </c>
      <c r="AQ956" s="6" t="n">
        <v>0</v>
      </c>
      <c r="AR956" s="6" t="n">
        <v>0</v>
      </c>
    </row>
    <row r="957">
      <c r="D957" t="inlineStr">
        <is>
          <t>Run 645</t>
        </is>
      </c>
      <c r="J957" s="6" t="n">
        <v>-1.490094577992897</v>
      </c>
      <c r="K957" s="6" t="n">
        <v>-0.3432047205855503</v>
      </c>
      <c r="L957" s="6" t="n">
        <v>2.451200348142272</v>
      </c>
      <c r="M957" s="6" t="n">
        <v>-2.894386118748463</v>
      </c>
      <c r="N957" s="6" t="n">
        <v>-3.340015797176626</v>
      </c>
      <c r="O957" s="6" t="n">
        <v>-4.713626730450051</v>
      </c>
      <c r="P957" s="6" t="n">
        <v>2.111996303247704</v>
      </c>
      <c r="Q957" s="6" t="n">
        <v>-1.535465809036896</v>
      </c>
      <c r="R957" s="6" t="n">
        <v>0.1154428395862773</v>
      </c>
      <c r="S957" s="6" t="n">
        <v>-2.389878088467616</v>
      </c>
      <c r="T957" s="6" t="n">
        <v>2.950231672822781</v>
      </c>
      <c r="U957" s="6" t="n">
        <v>-3.714118849884795</v>
      </c>
      <c r="V957" s="6" t="n">
        <v>2.435175499837977</v>
      </c>
      <c r="W957" s="6" t="n">
        <v>-3.375604267706346</v>
      </c>
      <c r="X957" s="6" t="n">
        <v>-1.620725114073861</v>
      </c>
      <c r="Y957" s="6" t="n">
        <v>-0.678818720334421</v>
      </c>
      <c r="Z957" s="6" t="n">
        <v>-3.785395494853483</v>
      </c>
      <c r="AA957" s="6" t="n">
        <v>0.3035183782902637</v>
      </c>
      <c r="AB957" s="6" t="n">
        <v>-4.758687684749753</v>
      </c>
      <c r="AC957" s="6" t="n">
        <v>5</v>
      </c>
      <c r="AD957" s="6" t="n">
        <v>-0.1225323595538868</v>
      </c>
      <c r="AE957" s="6" t="n">
        <v>0.2210926540432928</v>
      </c>
      <c r="AF957" s="6" t="n">
        <v>0.5416430728430881</v>
      </c>
      <c r="AG957" s="6" t="n">
        <v>4.445765116501728</v>
      </c>
      <c r="AH957" s="6" t="n">
        <v>0.6938275657705822</v>
      </c>
      <c r="AI957" s="6" t="n">
        <v>1.965933655403725</v>
      </c>
      <c r="AJ957" s="6" t="n">
        <v>77.61507340315728</v>
      </c>
      <c r="AK957" s="6" t="n">
        <v>0.1029511941480751</v>
      </c>
      <c r="AL957" s="6" t="n">
        <v>0.9890653146828474</v>
      </c>
      <c r="AN957" s="6" t="n">
        <v>1.345502687521838</v>
      </c>
      <c r="AO957" s="6" t="n">
        <v>1.348838637835615</v>
      </c>
      <c r="AP957" s="6" t="n">
        <v>0.1412384316331078</v>
      </c>
      <c r="AQ957" s="6" t="n">
        <v>0</v>
      </c>
      <c r="AR957" s="6" t="n">
        <v>0</v>
      </c>
    </row>
    <row r="958">
      <c r="D958" t="inlineStr">
        <is>
          <t>Run 646</t>
        </is>
      </c>
      <c r="J958" s="6" t="n">
        <v>-0.378309868934452</v>
      </c>
      <c r="K958" s="6" t="n">
        <v>1.244092333159494</v>
      </c>
      <c r="L958" s="6" t="n">
        <v>-0.7511273501844374</v>
      </c>
      <c r="M958" s="6" t="n">
        <v>1.993623855132395</v>
      </c>
      <c r="N958" s="6" t="n">
        <v>3.564667120439625</v>
      </c>
      <c r="O958" s="6" t="n">
        <v>0.4813609380813116</v>
      </c>
      <c r="P958" s="6" t="n">
        <v>2.590619406694733</v>
      </c>
      <c r="Q958" s="6" t="n">
        <v>1.116602125917325</v>
      </c>
      <c r="R958" s="6" t="n">
        <v>0.5330806948799387</v>
      </c>
      <c r="S958" s="6" t="n">
        <v>1.49287179219853</v>
      </c>
      <c r="T958" s="6" t="n">
        <v>-2.990197906207147</v>
      </c>
      <c r="U958" s="6" t="n">
        <v>-4.453226246817477</v>
      </c>
      <c r="V958" s="6" t="n">
        <v>-0.2534444604264457</v>
      </c>
      <c r="W958" s="6" t="n">
        <v>-1.791439924269056</v>
      </c>
      <c r="X958" s="6" t="n">
        <v>2.416750512070922</v>
      </c>
      <c r="Y958" s="6" t="n">
        <v>-1.375161932250523</v>
      </c>
      <c r="Z958" s="6" t="n">
        <v>0.4090959680301587</v>
      </c>
      <c r="AA958" s="6" t="n">
        <v>-0.463824076237645</v>
      </c>
      <c r="AB958" s="6" t="n">
        <v>-1.911052044451318</v>
      </c>
      <c r="AC958" s="6" t="n">
        <v>-1.271448304355024</v>
      </c>
      <c r="AD958" s="6" t="n">
        <v>-1.219343216103</v>
      </c>
      <c r="AE958" s="6" t="n">
        <v>3.143434406464099</v>
      </c>
      <c r="AF958" s="6" t="n">
        <v>1.033498976886254</v>
      </c>
      <c r="AG958" s="6" t="n">
        <v>-1.483841209615778</v>
      </c>
      <c r="AH958" s="6" t="n">
        <v>1.110721627725803</v>
      </c>
      <c r="AI958" s="6" t="n">
        <v>-1.722200853631899</v>
      </c>
      <c r="AJ958" s="6" t="n">
        <v>78.33602935677004</v>
      </c>
      <c r="AK958" s="6" t="n">
        <v>0.1249346224869711</v>
      </c>
      <c r="AL958" s="6" t="n">
        <v>1.034462817468438</v>
      </c>
      <c r="AN958" s="6" t="n">
        <v>1.353051703543579</v>
      </c>
      <c r="AO958" s="6" t="n">
        <v>1.353482532806565</v>
      </c>
      <c r="AP958" s="6" t="n">
        <v>0.1341380679916454</v>
      </c>
      <c r="AQ958" s="6" t="n">
        <v>0</v>
      </c>
      <c r="AR958" s="6" t="n">
        <v>0</v>
      </c>
    </row>
    <row r="959">
      <c r="D959" t="inlineStr">
        <is>
          <t>Run 647</t>
        </is>
      </c>
      <c r="J959" s="6" t="n">
        <v>0.6683395714561755</v>
      </c>
      <c r="K959" s="6" t="n">
        <v>-0.4715079526750605</v>
      </c>
      <c r="L959" s="6" t="n">
        <v>0.6479124761699737</v>
      </c>
      <c r="M959" s="6" t="n">
        <v>-4.120994418901961</v>
      </c>
      <c r="N959" s="6" t="n">
        <v>1.820046738738321</v>
      </c>
      <c r="O959" s="6" t="n">
        <v>-3.779374733956552</v>
      </c>
      <c r="P959" s="6" t="n">
        <v>2.018536584361336</v>
      </c>
      <c r="Q959" s="6" t="n">
        <v>1.443381702774974</v>
      </c>
      <c r="R959" s="6" t="n">
        <v>1.237090934162658</v>
      </c>
      <c r="S959" s="6" t="n">
        <v>-0.1242280938233492</v>
      </c>
      <c r="T959" s="6" t="n">
        <v>1.373924764995411</v>
      </c>
      <c r="U959" s="6" t="n">
        <v>-2.55134096360296</v>
      </c>
      <c r="V959" s="6" t="n">
        <v>-0.4455100992151074</v>
      </c>
      <c r="W959" s="6" t="n">
        <v>-0.5468247554076462</v>
      </c>
      <c r="X959" s="6" t="n">
        <v>-0.05256212812976865</v>
      </c>
      <c r="Y959" s="6" t="n">
        <v>-1.06226633851962</v>
      </c>
      <c r="Z959" s="6" t="n">
        <v>-3.265678942929878</v>
      </c>
      <c r="AA959" s="6" t="n">
        <v>3.831552219175892</v>
      </c>
      <c r="AB959" s="6" t="n">
        <v>0.288154163441906</v>
      </c>
      <c r="AC959" s="6" t="n">
        <v>1.453712331969019</v>
      </c>
      <c r="AD959" s="6" t="n">
        <v>0.3249914833019406</v>
      </c>
      <c r="AE959" s="6" t="n">
        <v>-1.783055028059353</v>
      </c>
      <c r="AF959" s="6" t="n">
        <v>-1.536558522931533</v>
      </c>
      <c r="AG959" s="6" t="n">
        <v>-3.585073759386785</v>
      </c>
      <c r="AH959" s="6" t="n">
        <v>-0.8982387819279104</v>
      </c>
      <c r="AI959" s="6" t="n">
        <v>-0.7199161637800584</v>
      </c>
      <c r="AJ959" s="6" t="n">
        <v>79.43927289246649</v>
      </c>
      <c r="AK959" s="6" t="n">
        <v>0.1653722879530592</v>
      </c>
      <c r="AL959" s="6" t="n">
        <v>1.118610748424348</v>
      </c>
      <c r="AN959" s="6" t="n">
        <v>1.283546972496417</v>
      </c>
      <c r="AO959" s="6" t="n">
        <v>1.296201353849314</v>
      </c>
      <c r="AP959" s="6" t="n">
        <v>0.1268156041785588</v>
      </c>
      <c r="AQ959" s="6" t="n">
        <v>0</v>
      </c>
      <c r="AR959" s="6" t="n">
        <v>0</v>
      </c>
    </row>
    <row r="960">
      <c r="D960" t="inlineStr">
        <is>
          <t>Run 648</t>
        </is>
      </c>
      <c r="J960" s="6" t="n">
        <v>-1.607394863342594</v>
      </c>
      <c r="K960" s="6" t="n">
        <v>-1.087597247595379</v>
      </c>
      <c r="L960" s="6" t="n">
        <v>2.776988682627239</v>
      </c>
      <c r="M960" s="6" t="n">
        <v>2.627438372489015</v>
      </c>
      <c r="N960" s="6" t="n">
        <v>2.391075502928913</v>
      </c>
      <c r="O960" s="6" t="n">
        <v>-0.8635503299994288</v>
      </c>
      <c r="P960" s="6" t="n">
        <v>-2.042990663343571</v>
      </c>
      <c r="Q960" s="6" t="n">
        <v>-0.1289400086615164</v>
      </c>
      <c r="R960" s="6" t="n">
        <v>-1.390150426130756</v>
      </c>
      <c r="S960" s="6" t="n">
        <v>-0.9927642263492469</v>
      </c>
      <c r="T960" s="6" t="n">
        <v>2.133018599797336</v>
      </c>
      <c r="U960" s="6" t="n">
        <v>-0.1659590230399748</v>
      </c>
      <c r="V960" s="6" t="n">
        <v>0.3955599292351958</v>
      </c>
      <c r="W960" s="6" t="n">
        <v>-3.56417795888513</v>
      </c>
      <c r="X960" s="6" t="n">
        <v>1.005596970700054</v>
      </c>
      <c r="Y960" s="6" t="n">
        <v>0.4553072926356189</v>
      </c>
      <c r="Z960" s="6" t="n">
        <v>-2.244507897883487</v>
      </c>
      <c r="AA960" s="6" t="n">
        <v>-1.274943653746337</v>
      </c>
      <c r="AB960" s="6" t="n">
        <v>-3.141106283814038</v>
      </c>
      <c r="AC960" s="6" t="n">
        <v>0.6266458000377604</v>
      </c>
      <c r="AD960" s="6" t="n">
        <v>1.852541720580779</v>
      </c>
      <c r="AE960" s="6" t="n">
        <v>-1.778275503006606</v>
      </c>
      <c r="AF960" s="6" t="n">
        <v>2.587782864095328</v>
      </c>
      <c r="AG960" s="6" t="n">
        <v>0.2956945479508296</v>
      </c>
      <c r="AH960" s="6" t="n">
        <v>-3.464467036088549</v>
      </c>
      <c r="AI960" s="6" t="n">
        <v>1.839418189206449</v>
      </c>
      <c r="AJ960" s="6" t="n">
        <v>63.69466053421547</v>
      </c>
      <c r="AK960" s="6" t="n">
        <v>0.1182494150811996</v>
      </c>
      <c r="AL960" s="6" t="n">
        <v>1.041624958632485</v>
      </c>
      <c r="AN960" s="6" t="n">
        <v>1.343516058685848</v>
      </c>
      <c r="AO960" s="6" t="n">
        <v>1.343618161458527</v>
      </c>
      <c r="AP960" s="6" t="n">
        <v>0.1326955202379408</v>
      </c>
      <c r="AQ960" s="6" t="n">
        <v>0</v>
      </c>
      <c r="AR960" s="6" t="n">
        <v>0</v>
      </c>
    </row>
    <row r="961">
      <c r="D961" t="inlineStr">
        <is>
          <t>Run 649</t>
        </is>
      </c>
      <c r="J961" s="6" t="n">
        <v>-1.214416028151954</v>
      </c>
      <c r="K961" s="6" t="n">
        <v>0.97043041647609</v>
      </c>
      <c r="L961" s="6" t="n">
        <v>-1.562987974182852</v>
      </c>
      <c r="M961" s="6" t="n">
        <v>0.8532986847563909</v>
      </c>
      <c r="N961" s="6" t="n">
        <v>1.521968289882185</v>
      </c>
      <c r="O961" s="6" t="n">
        <v>0.1527045562531978</v>
      </c>
      <c r="P961" s="6" t="n">
        <v>1.518357576889085</v>
      </c>
      <c r="Q961" s="6" t="n">
        <v>0.9942372199297073</v>
      </c>
      <c r="R961" s="6" t="n">
        <v>-1.429481814586965</v>
      </c>
      <c r="S961" s="6" t="n">
        <v>-0.730000489981579</v>
      </c>
      <c r="T961" s="6" t="n">
        <v>-1.848420117739024</v>
      </c>
      <c r="U961" s="6" t="n">
        <v>-1.086789261009073</v>
      </c>
      <c r="V961" s="6" t="n">
        <v>0.4766024464986559</v>
      </c>
      <c r="W961" s="6" t="n">
        <v>3.16104884436829</v>
      </c>
      <c r="X961" s="6" t="n">
        <v>0.313526570727489</v>
      </c>
      <c r="Y961" s="6" t="n">
        <v>2.292707113329103</v>
      </c>
      <c r="Z961" s="6" t="n">
        <v>-1.907740023387024</v>
      </c>
      <c r="AA961" s="6" t="n">
        <v>0.6168919405561099</v>
      </c>
      <c r="AB961" s="6" t="n">
        <v>-1.073901698708673</v>
      </c>
      <c r="AC961" s="6" t="n">
        <v>0.3493478314053022</v>
      </c>
      <c r="AD961" s="6" t="n">
        <v>-0.6340944538159309</v>
      </c>
      <c r="AE961" s="6" t="n">
        <v>1.666360520201247</v>
      </c>
      <c r="AF961" s="6" t="n">
        <v>-3.366505487619696</v>
      </c>
      <c r="AG961" s="6" t="n">
        <v>-1.781761639508082</v>
      </c>
      <c r="AH961" s="6" t="n">
        <v>2.553892618920131</v>
      </c>
      <c r="AI961" s="6" t="n">
        <v>-2.015826183359612</v>
      </c>
      <c r="AJ961" s="6" t="n">
        <v>70.20681327191075</v>
      </c>
      <c r="AK961" s="6" t="n">
        <v>0.07304350586180408</v>
      </c>
      <c r="AL961" s="6" t="n">
        <v>1.076289492992913</v>
      </c>
      <c r="AN961" s="6" t="n">
        <v>1.341077512232901</v>
      </c>
      <c r="AO961" s="6" t="n">
        <v>1.341092346303851</v>
      </c>
      <c r="AP961" s="6" t="n">
        <v>0.1316119766974743</v>
      </c>
      <c r="AQ961" s="6" t="n">
        <v>0</v>
      </c>
      <c r="AR961" s="6" t="n">
        <v>0</v>
      </c>
    </row>
    <row r="962">
      <c r="D962" t="inlineStr">
        <is>
          <t>Run 650</t>
        </is>
      </c>
      <c r="J962" s="6" t="n">
        <v>2.415780370983337</v>
      </c>
      <c r="K962" s="6" t="n">
        <v>-0.1989460817667522</v>
      </c>
      <c r="L962" s="6" t="n">
        <v>2.117069853752641</v>
      </c>
      <c r="M962" s="6" t="n">
        <v>0.2741398789942279</v>
      </c>
      <c r="N962" s="6" t="n">
        <v>-1.895755705304384</v>
      </c>
      <c r="O962" s="6" t="n">
        <v>-1.757132506916213</v>
      </c>
      <c r="P962" s="6" t="n">
        <v>-1.102126561911801</v>
      </c>
      <c r="Q962" s="6" t="n">
        <v>-3.479041163694508</v>
      </c>
      <c r="R962" s="6" t="n">
        <v>-2.872844378152081</v>
      </c>
      <c r="S962" s="6" t="n">
        <v>2.860921613646152</v>
      </c>
      <c r="T962" s="6" t="n">
        <v>2.829755172279312</v>
      </c>
      <c r="U962" s="6" t="n">
        <v>1.235576020679451</v>
      </c>
      <c r="V962" s="6" t="n">
        <v>-0.08119075332261483</v>
      </c>
      <c r="W962" s="6" t="n">
        <v>0.4640138318198826</v>
      </c>
      <c r="X962" s="6" t="n">
        <v>0.5102327167551024</v>
      </c>
      <c r="Y962" s="6" t="n">
        <v>0.771961256601209</v>
      </c>
      <c r="Z962" s="6" t="n">
        <v>1.212923171603655</v>
      </c>
      <c r="AA962" s="6" t="n">
        <v>-2.674871226447213</v>
      </c>
      <c r="AB962" s="6" t="n">
        <v>-2.782404847805321</v>
      </c>
      <c r="AC962" s="6" t="n">
        <v>-0.2378753476057047</v>
      </c>
      <c r="AD962" s="6" t="n">
        <v>2.528787614236837</v>
      </c>
      <c r="AE962" s="6" t="n">
        <v>1.856115407901518</v>
      </c>
      <c r="AF962" s="6" t="n">
        <v>0.2063842334596522</v>
      </c>
      <c r="AG962" s="6" t="n">
        <v>3.38123889383652</v>
      </c>
      <c r="AH962" s="6" t="n">
        <v>1.945376834601203</v>
      </c>
      <c r="AI962" s="6" t="n">
        <v>-2.142959857444857</v>
      </c>
      <c r="AJ962" s="6" t="n">
        <v>72.30890605939153</v>
      </c>
      <c r="AK962" s="6" t="n">
        <v>0.2215698965915118</v>
      </c>
      <c r="AL962" s="6" t="n">
        <v>1.037866094563411</v>
      </c>
      <c r="AN962" s="6" t="n">
        <v>1.344670855934641</v>
      </c>
      <c r="AO962" s="6" t="n">
        <v>1.345185185719586</v>
      </c>
      <c r="AP962" s="6" t="n">
        <v>0.1308638445313176</v>
      </c>
      <c r="AQ962" s="6" t="n">
        <v>0</v>
      </c>
      <c r="AR962" s="6" t="n">
        <v>0</v>
      </c>
    </row>
    <row r="963">
      <c r="D963" t="inlineStr">
        <is>
          <t>Run 651</t>
        </is>
      </c>
      <c r="J963" s="6" t="n">
        <v>1.212061851335053</v>
      </c>
      <c r="K963" s="6" t="n">
        <v>1.999244594470393</v>
      </c>
      <c r="L963" s="6" t="n">
        <v>-1.586263090748858</v>
      </c>
      <c r="M963" s="6" t="n">
        <v>-1.671137850560476</v>
      </c>
      <c r="N963" s="6" t="n">
        <v>-1.994782730204358</v>
      </c>
      <c r="O963" s="6" t="n">
        <v>0.5343406114798169</v>
      </c>
      <c r="P963" s="6" t="n">
        <v>2.095456365308233</v>
      </c>
      <c r="Q963" s="6" t="n">
        <v>-2.72764917040216</v>
      </c>
      <c r="R963" s="6" t="n">
        <v>-5.046430418115339</v>
      </c>
      <c r="S963" s="6" t="n">
        <v>0.7661426725448812</v>
      </c>
      <c r="T963" s="6" t="n">
        <v>4.266320237175079</v>
      </c>
      <c r="U963" s="6" t="n">
        <v>2.600595913874704</v>
      </c>
      <c r="V963" s="6" t="n">
        <v>3.959550204836942</v>
      </c>
      <c r="W963" s="6" t="n">
        <v>2.617118820222818</v>
      </c>
      <c r="X963" s="6" t="n">
        <v>0.8724791094430409</v>
      </c>
      <c r="Y963" s="6" t="n">
        <v>0.7644329750880672</v>
      </c>
      <c r="Z963" s="6" t="n">
        <v>-0.004269613024314481</v>
      </c>
      <c r="AA963" s="6" t="n">
        <v>-0.3231069290356751</v>
      </c>
      <c r="AB963" s="6" t="n">
        <v>-2.59494125908191</v>
      </c>
      <c r="AC963" s="6" t="n">
        <v>2.676597142691597</v>
      </c>
      <c r="AD963" s="6" t="n">
        <v>-3.0461112927201</v>
      </c>
      <c r="AE963" s="6" t="n">
        <v>-2.039231480817176</v>
      </c>
      <c r="AF963" s="6" t="n">
        <v>2.543511198975102</v>
      </c>
      <c r="AG963" s="6" t="n">
        <v>-1.845804468313291</v>
      </c>
      <c r="AH963" s="6" t="n">
        <v>-0.8191964646767305</v>
      </c>
      <c r="AI963" s="6" t="n">
        <v>-3.685502818300522</v>
      </c>
      <c r="AJ963" s="6" t="n">
        <v>64.16416010440649</v>
      </c>
      <c r="AK963" s="6" t="n">
        <v>0.05956482866822608</v>
      </c>
      <c r="AL963" s="6" t="n">
        <v>1.054907165810456</v>
      </c>
      <c r="AN963" s="6" t="n">
        <v>1.335328418256568</v>
      </c>
      <c r="AO963" s="6" t="n">
        <v>1.339880500439242</v>
      </c>
      <c r="AP963" s="6" t="n">
        <v>0.1321750071899404</v>
      </c>
      <c r="AQ963" s="6" t="n">
        <v>0</v>
      </c>
      <c r="AR963" s="6" t="n">
        <v>0</v>
      </c>
    </row>
    <row r="964">
      <c r="D964" t="inlineStr">
        <is>
          <t>Run 652</t>
        </is>
      </c>
      <c r="J964" s="6" t="n">
        <v>-3.476211528512019</v>
      </c>
      <c r="K964" s="6" t="n">
        <v>-4.285446174902164</v>
      </c>
      <c r="L964" s="6" t="n">
        <v>-1.63165970057934</v>
      </c>
      <c r="M964" s="6" t="n">
        <v>-0.04116388744498788</v>
      </c>
      <c r="N964" s="6" t="n">
        <v>-1.324461955619579</v>
      </c>
      <c r="O964" s="6" t="n">
        <v>-2.349103985402785</v>
      </c>
      <c r="P964" s="6" t="n">
        <v>0.6640726340525319</v>
      </c>
      <c r="Q964" s="6" t="n">
        <v>-0.5322707566562961</v>
      </c>
      <c r="R964" s="6" t="n">
        <v>-0.1829164250857814</v>
      </c>
      <c r="S964" s="6" t="n">
        <v>-2.132047599185711</v>
      </c>
      <c r="T964" s="6" t="n">
        <v>3.774211805164983</v>
      </c>
      <c r="U964" s="6" t="n">
        <v>-0.4950086819348739</v>
      </c>
      <c r="V964" s="6" t="n">
        <v>-2.138277976332444</v>
      </c>
      <c r="W964" s="6" t="n">
        <v>2.678094756080508</v>
      </c>
      <c r="X964" s="6" t="n">
        <v>-0.3342729227530924</v>
      </c>
      <c r="Y964" s="6" t="n">
        <v>0.368871085023391</v>
      </c>
      <c r="Z964" s="6" t="n">
        <v>3.585100521859323</v>
      </c>
      <c r="AA964" s="6" t="n">
        <v>-0.7611425436362619</v>
      </c>
      <c r="AB964" s="6" t="n">
        <v>4.748246185818204</v>
      </c>
      <c r="AC964" s="6" t="n">
        <v>-2.660941310761437</v>
      </c>
      <c r="AD964" s="6" t="n">
        <v>-0.10936626470517</v>
      </c>
      <c r="AE964" s="6" t="n">
        <v>1.55770546836442</v>
      </c>
      <c r="AF964" s="6" t="n">
        <v>1.141401630120383</v>
      </c>
      <c r="AG964" s="6" t="n">
        <v>1.839453324894345</v>
      </c>
      <c r="AH964" s="6" t="n">
        <v>2.20129331523147</v>
      </c>
      <c r="AI964" s="6" t="n">
        <v>-1.067794848975118</v>
      </c>
      <c r="AJ964" s="6" t="n">
        <v>80.59324804579848</v>
      </c>
      <c r="AK964" s="6" t="n">
        <v>0.07887587240512914</v>
      </c>
      <c r="AL964" s="6" t="n">
        <v>1.012393915914358</v>
      </c>
      <c r="AN964" s="6" t="n">
        <v>1.346571480055121</v>
      </c>
      <c r="AO964" s="6" t="n">
        <v>1.352828939541138</v>
      </c>
      <c r="AP964" s="6" t="n">
        <v>0.1386918966918664</v>
      </c>
      <c r="AQ964" s="6" t="n">
        <v>0</v>
      </c>
      <c r="AR964" s="6" t="n">
        <v>0</v>
      </c>
    </row>
    <row r="965">
      <c r="D965" t="inlineStr">
        <is>
          <t>Run 653</t>
        </is>
      </c>
      <c r="J965" s="6" t="n">
        <v>0.000393154654926754</v>
      </c>
      <c r="K965" s="6" t="n">
        <v>-0.01857411415243247</v>
      </c>
      <c r="L965" s="6" t="n">
        <v>2.593519755677908</v>
      </c>
      <c r="M965" s="6" t="n">
        <v>-2.901170282097988</v>
      </c>
      <c r="N965" s="6" t="n">
        <v>-1.624642106226922</v>
      </c>
      <c r="O965" s="6" t="n">
        <v>-0.03370911121159152</v>
      </c>
      <c r="P965" s="6" t="n">
        <v>-0.2525234960737122</v>
      </c>
      <c r="Q965" s="6" t="n">
        <v>-0.7816104092888871</v>
      </c>
      <c r="R965" s="6" t="n">
        <v>-3.137739138138135</v>
      </c>
      <c r="S965" s="6" t="n">
        <v>1.795010109522488</v>
      </c>
      <c r="T965" s="6" t="n">
        <v>1.14147165719717</v>
      </c>
      <c r="U965" s="6" t="n">
        <v>-0.4161879086302391</v>
      </c>
      <c r="V965" s="6" t="n">
        <v>-2.817710932276706</v>
      </c>
      <c r="W965" s="6" t="n">
        <v>-1.165951987472442</v>
      </c>
      <c r="X965" s="6" t="n">
        <v>-1.262657017667496</v>
      </c>
      <c r="Y965" s="6" t="n">
        <v>2.655114909378235</v>
      </c>
      <c r="Z965" s="6" t="n">
        <v>2.066700681186485</v>
      </c>
      <c r="AA965" s="6" t="n">
        <v>0.8695002592703208</v>
      </c>
      <c r="AB965" s="6" t="n">
        <v>-0.3717928635515717</v>
      </c>
      <c r="AC965" s="6" t="n">
        <v>0.3020179655364476</v>
      </c>
      <c r="AD965" s="6" t="n">
        <v>-1.347884370520156</v>
      </c>
      <c r="AE965" s="6" t="n">
        <v>-0.2460116015737606</v>
      </c>
      <c r="AF965" s="6" t="n">
        <v>-1.775882561204814</v>
      </c>
      <c r="AG965" s="6" t="n">
        <v>-1.401323690509524</v>
      </c>
      <c r="AH965" s="6" t="n">
        <v>0.9671802372758503</v>
      </c>
      <c r="AI965" s="6" t="n">
        <v>2.731207374636205</v>
      </c>
      <c r="AJ965" s="6" t="n">
        <v>83.16586876382614</v>
      </c>
      <c r="AK965" s="6" t="n">
        <v>0.02770763749264531</v>
      </c>
      <c r="AL965" s="6" t="n">
        <v>1.068651164261886</v>
      </c>
      <c r="AN965" s="6" t="n">
        <v>1.323945941075873</v>
      </c>
      <c r="AO965" s="6" t="n">
        <v>1.33012141150735</v>
      </c>
      <c r="AP965" s="6" t="n">
        <v>0.1337336715077609</v>
      </c>
      <c r="AQ965" s="6" t="n">
        <v>0</v>
      </c>
      <c r="AR965" s="6" t="n">
        <v>0</v>
      </c>
    </row>
    <row r="966">
      <c r="D966" t="inlineStr">
        <is>
          <t>Run 654</t>
        </is>
      </c>
      <c r="J966" s="6" t="n">
        <v>0.1941029205274925</v>
      </c>
      <c r="K966" s="6" t="n">
        <v>-0.2370945107206587</v>
      </c>
      <c r="L966" s="6" t="n">
        <v>-3.25474337197091</v>
      </c>
      <c r="M966" s="6" t="n">
        <v>1.350297057866323</v>
      </c>
      <c r="N966" s="6" t="n">
        <v>1.878842164283172</v>
      </c>
      <c r="O966" s="6" t="n">
        <v>-3.008498312800973</v>
      </c>
      <c r="P966" s="6" t="n">
        <v>1.794824295314672</v>
      </c>
      <c r="Q966" s="6" t="n">
        <v>-0.6250138197030469</v>
      </c>
      <c r="R966" s="6" t="n">
        <v>-1.506220658251976</v>
      </c>
      <c r="S966" s="6" t="n">
        <v>-3.050837929225997</v>
      </c>
      <c r="T966" s="6" t="n">
        <v>-2.044500642729939</v>
      </c>
      <c r="U966" s="6" t="n">
        <v>0.9660070707446859</v>
      </c>
      <c r="V966" s="6" t="n">
        <v>-0.266172133320843</v>
      </c>
      <c r="W966" s="6" t="n">
        <v>2.208535662396516</v>
      </c>
      <c r="X966" s="6" t="n">
        <v>-0.3902896063364882</v>
      </c>
      <c r="Y966" s="6" t="n">
        <v>0.6606460534946498</v>
      </c>
      <c r="Z966" s="6" t="n">
        <v>1.353571896244221</v>
      </c>
      <c r="AA966" s="6" t="n">
        <v>-1.09812313190023</v>
      </c>
      <c r="AB966" s="6" t="n">
        <v>-0.1648818565602551</v>
      </c>
      <c r="AC966" s="6" t="n">
        <v>3.103750065718414</v>
      </c>
      <c r="AD966" s="6" t="n">
        <v>-0.8175701984829871</v>
      </c>
      <c r="AE966" s="6" t="n">
        <v>-2.511970770312818</v>
      </c>
      <c r="AF966" s="6" t="n">
        <v>0.8054122073200587</v>
      </c>
      <c r="AG966" s="6" t="n">
        <v>-2.588167892137701</v>
      </c>
      <c r="AH966" s="6" t="n">
        <v>-0.1007954064893766</v>
      </c>
      <c r="AI966" s="6" t="n">
        <v>-3.284548234451302</v>
      </c>
      <c r="AJ966" s="6" t="n">
        <v>76.5827233732708</v>
      </c>
      <c r="AK966" s="6" t="n">
        <v>0.1382088557478404</v>
      </c>
      <c r="AL966" s="6" t="n">
        <v>1.01637123263178</v>
      </c>
      <c r="AN966" s="6" t="n">
        <v>1.355324986077334</v>
      </c>
      <c r="AO966" s="6" t="n">
        <v>1.355324986077334</v>
      </c>
      <c r="AP966" s="6" t="n">
        <v>0.1362259989882102</v>
      </c>
      <c r="AQ966" s="6" t="n">
        <v>0</v>
      </c>
      <c r="AR966" s="6" t="n">
        <v>0</v>
      </c>
    </row>
    <row r="967">
      <c r="D967" t="inlineStr">
        <is>
          <t>Run 655</t>
        </is>
      </c>
      <c r="J967" s="6" t="n">
        <v>-1.330169089776696</v>
      </c>
      <c r="K967" s="6" t="n">
        <v>0.1703415533469786</v>
      </c>
      <c r="L967" s="6" t="n">
        <v>-3.65751712626073</v>
      </c>
      <c r="M967" s="6" t="n">
        <v>-2.724467580370269</v>
      </c>
      <c r="N967" s="6" t="n">
        <v>0.305247124125766</v>
      </c>
      <c r="O967" s="6" t="n">
        <v>0.7526029359461827</v>
      </c>
      <c r="P967" s="6" t="n">
        <v>1.185297899098917</v>
      </c>
      <c r="Q967" s="6" t="n">
        <v>-0.5642499026644611</v>
      </c>
      <c r="R967" s="6" t="n">
        <v>0.4126698533064632</v>
      </c>
      <c r="S967" s="6" t="n">
        <v>0.312515480113027</v>
      </c>
      <c r="T967" s="6" t="n">
        <v>-0.1058807514938344</v>
      </c>
      <c r="U967" s="6" t="n">
        <v>2.496072018992401</v>
      </c>
      <c r="V967" s="6" t="n">
        <v>1.247635510910029</v>
      </c>
      <c r="W967" s="6" t="n">
        <v>0.08321351572699887</v>
      </c>
      <c r="X967" s="6" t="n">
        <v>-1.408135599288403</v>
      </c>
      <c r="Y967" s="6" t="n">
        <v>3.615069972763459</v>
      </c>
      <c r="Z967" s="6" t="n">
        <v>-0.7491589868322751</v>
      </c>
      <c r="AA967" s="6" t="n">
        <v>2.835279061808382</v>
      </c>
      <c r="AB967" s="6" t="n">
        <v>1.496073003527622</v>
      </c>
      <c r="AC967" s="6" t="n">
        <v>-0.7420995833303647</v>
      </c>
      <c r="AD967" s="6" t="n">
        <v>-5.431351909142697</v>
      </c>
      <c r="AE967" s="6" t="n">
        <v>1.714812389910777</v>
      </c>
      <c r="AF967" s="6" t="n">
        <v>0.7465345808251221</v>
      </c>
      <c r="AG967" s="6" t="n">
        <v>3.032096779181579</v>
      </c>
      <c r="AH967" s="6" t="n">
        <v>0.3793853699843517</v>
      </c>
      <c r="AI967" s="6" t="n">
        <v>-1.11281105506481</v>
      </c>
      <c r="AJ967" s="6" t="n">
        <v>77.31614213670782</v>
      </c>
      <c r="AK967" s="6" t="n">
        <v>0.1394449723697579</v>
      </c>
      <c r="AL967" s="6" t="n">
        <v>1.057312714246795</v>
      </c>
      <c r="AN967" s="6" t="n">
        <v>1.31691048554061</v>
      </c>
      <c r="AO967" s="6" t="n">
        <v>1.327780843176529</v>
      </c>
      <c r="AP967" s="6" t="n">
        <v>0.1313905295554156</v>
      </c>
      <c r="AQ967" s="6" t="n">
        <v>0</v>
      </c>
      <c r="AR967" s="6" t="n">
        <v>0</v>
      </c>
    </row>
    <row r="968">
      <c r="D968" t="inlineStr">
        <is>
          <t>Run 656</t>
        </is>
      </c>
      <c r="J968" s="6" t="n">
        <v>-0.7335163678908921</v>
      </c>
      <c r="K968" s="6" t="n">
        <v>0.9373229099802186</v>
      </c>
      <c r="L968" s="6" t="n">
        <v>0.02603142920417136</v>
      </c>
      <c r="M968" s="6" t="n">
        <v>-2.776010972055407</v>
      </c>
      <c r="N968" s="6" t="n">
        <v>-2.031785704558882</v>
      </c>
      <c r="O968" s="6" t="n">
        <v>-3.627990822484066</v>
      </c>
      <c r="P968" s="6" t="n">
        <v>2.871897280280582</v>
      </c>
      <c r="Q968" s="6" t="n">
        <v>0.9044031330184737</v>
      </c>
      <c r="R968" s="6" t="n">
        <v>-1.096073348336808</v>
      </c>
      <c r="S968" s="6" t="n">
        <v>0.8439831316855385</v>
      </c>
      <c r="T968" s="6" t="n">
        <v>0.8199010483515276</v>
      </c>
      <c r="U968" s="6" t="n">
        <v>-4.666635415748802</v>
      </c>
      <c r="V968" s="6" t="n">
        <v>-0.6354323051188089</v>
      </c>
      <c r="W968" s="6" t="n">
        <v>2.96627277821674</v>
      </c>
      <c r="X968" s="6" t="n">
        <v>0.06392789901983231</v>
      </c>
      <c r="Y968" s="6" t="n">
        <v>-0.9539378382477676</v>
      </c>
      <c r="Z968" s="6" t="n">
        <v>-2.686121166817</v>
      </c>
      <c r="AA968" s="6" t="n">
        <v>3.936602848279803</v>
      </c>
      <c r="AB968" s="6" t="n">
        <v>-0.6494573504366078</v>
      </c>
      <c r="AC968" s="6" t="n">
        <v>2.046630500129052</v>
      </c>
      <c r="AD968" s="6" t="n">
        <v>-0.8776492663572352</v>
      </c>
      <c r="AE968" s="6" t="n">
        <v>-1.215135076403792</v>
      </c>
      <c r="AF968" s="6" t="n">
        <v>1.515871471480393</v>
      </c>
      <c r="AG968" s="6" t="n">
        <v>0.3963795445660851</v>
      </c>
      <c r="AH968" s="6" t="n">
        <v>-0.2618968234362722</v>
      </c>
      <c r="AI968" s="6" t="n">
        <v>-1.865797508671956</v>
      </c>
      <c r="AJ968" s="6" t="n">
        <v>65.66912558264451</v>
      </c>
      <c r="AK968" s="6" t="n">
        <v>0.107474978902149</v>
      </c>
      <c r="AL968" s="6" t="n">
        <v>1.033488067675844</v>
      </c>
      <c r="AN968" s="6" t="n">
        <v>1.323330378643077</v>
      </c>
      <c r="AO968" s="6" t="n">
        <v>1.328795749859305</v>
      </c>
      <c r="AP968" s="6" t="n">
        <v>0.1332339554209543</v>
      </c>
      <c r="AQ968" s="6" t="n">
        <v>0</v>
      </c>
      <c r="AR968" s="6" t="n">
        <v>0</v>
      </c>
    </row>
    <row r="969">
      <c r="D969" t="inlineStr">
        <is>
          <t>Run 657</t>
        </is>
      </c>
      <c r="J969" s="6" t="n">
        <v>0.3323633379585943</v>
      </c>
      <c r="K969" s="6" t="n">
        <v>-2.514338753845901</v>
      </c>
      <c r="L969" s="6" t="n">
        <v>1.923301458397052</v>
      </c>
      <c r="M969" s="6" t="n">
        <v>-4.076488385645445</v>
      </c>
      <c r="N969" s="6" t="n">
        <v>3.05047412776264</v>
      </c>
      <c r="O969" s="6" t="n">
        <v>-0.4302815226806901</v>
      </c>
      <c r="P969" s="6" t="n">
        <v>-4.211466329609169</v>
      </c>
      <c r="Q969" s="6" t="n">
        <v>-0.6964565065177302</v>
      </c>
      <c r="R969" s="6" t="n">
        <v>0.8850608251692546</v>
      </c>
      <c r="S969" s="6" t="n">
        <v>2.507960241542289</v>
      </c>
      <c r="T969" s="6" t="n">
        <v>0.8677753185724033</v>
      </c>
      <c r="U969" s="6" t="n">
        <v>-1.045552336631396</v>
      </c>
      <c r="V969" s="6" t="n">
        <v>2.501866071731373</v>
      </c>
      <c r="W969" s="6" t="n">
        <v>0.5888237030934632</v>
      </c>
      <c r="X969" s="6" t="n">
        <v>1.210828396995686</v>
      </c>
      <c r="Y969" s="6" t="n">
        <v>0.6822531063689479</v>
      </c>
      <c r="Z969" s="6" t="n">
        <v>-3.792507089010705</v>
      </c>
      <c r="AA969" s="6" t="n">
        <v>-0.08347217345810888</v>
      </c>
      <c r="AB969" s="6" t="n">
        <v>2.993760860812549</v>
      </c>
      <c r="AC969" s="6" t="n">
        <v>-0.4453758158283575</v>
      </c>
      <c r="AD969" s="6" t="n">
        <v>0.9207475808187999</v>
      </c>
      <c r="AE969" s="6" t="n">
        <v>0.8491824653164797</v>
      </c>
      <c r="AF969" s="6" t="n">
        <v>-0.6929182834615397</v>
      </c>
      <c r="AG969" s="6" t="n">
        <v>-1.901648376174438</v>
      </c>
      <c r="AH969" s="6" t="n">
        <v>-1.684690392422883</v>
      </c>
      <c r="AI969" s="6" t="n">
        <v>-5.014406226201263</v>
      </c>
      <c r="AJ969" s="6" t="n">
        <v>71.93239625451855</v>
      </c>
      <c r="AK969" s="6" t="n">
        <v>0.09587281302650548</v>
      </c>
      <c r="AL969" s="6" t="n">
        <v>1.021959026082052</v>
      </c>
      <c r="AN969" s="6" t="n">
        <v>1.311674317610964</v>
      </c>
      <c r="AO969" s="6" t="n">
        <v>1.328810401542577</v>
      </c>
      <c r="AP969" s="6" t="n">
        <v>0.1354087236029505</v>
      </c>
      <c r="AQ969" s="6" t="n">
        <v>0</v>
      </c>
      <c r="AR969" s="6" t="n">
        <v>0</v>
      </c>
    </row>
    <row r="970">
      <c r="D970" t="inlineStr">
        <is>
          <t>Run 658</t>
        </is>
      </c>
      <c r="J970" s="6" t="n">
        <v>-0.3207872763984058</v>
      </c>
      <c r="K970" s="6" t="n">
        <v>2.061458189050642</v>
      </c>
      <c r="L970" s="6" t="n">
        <v>0.3809898297540159</v>
      </c>
      <c r="M970" s="6" t="n">
        <v>1.373380719899316</v>
      </c>
      <c r="N970" s="6" t="n">
        <v>1.525910436416325</v>
      </c>
      <c r="O970" s="6" t="n">
        <v>-1.115908470629003</v>
      </c>
      <c r="P970" s="6" t="n">
        <v>-1.01214901201616</v>
      </c>
      <c r="Q970" s="6" t="n">
        <v>0.5259488782806652</v>
      </c>
      <c r="R970" s="6" t="n">
        <v>-0.4575859832235117</v>
      </c>
      <c r="S970" s="6" t="n">
        <v>-2.417845451843003</v>
      </c>
      <c r="T970" s="6" t="n">
        <v>0.5527389361149863</v>
      </c>
      <c r="U970" s="6" t="n">
        <v>-2.734878141422577</v>
      </c>
      <c r="V970" s="6" t="n">
        <v>-1.271662074834193</v>
      </c>
      <c r="W970" s="6" t="n">
        <v>-1.91756126269136</v>
      </c>
      <c r="X970" s="6" t="n">
        <v>2.592556948603415</v>
      </c>
      <c r="Y970" s="6" t="n">
        <v>-0.7887442655658362</v>
      </c>
      <c r="Z970" s="6" t="n">
        <v>0.2710242236974874</v>
      </c>
      <c r="AA970" s="6" t="n">
        <v>-1.237716521651787</v>
      </c>
      <c r="AB970" s="6" t="n">
        <v>0.3707074436643705</v>
      </c>
      <c r="AC970" s="6" t="n">
        <v>-0.4913726351212514</v>
      </c>
      <c r="AD970" s="6" t="n">
        <v>1.225882003741087</v>
      </c>
      <c r="AE970" s="6" t="n">
        <v>1.89519343987591</v>
      </c>
      <c r="AF970" s="6" t="n">
        <v>1.742723093821386</v>
      </c>
      <c r="AG970" s="6" t="n">
        <v>0.06720178837153924</v>
      </c>
      <c r="AH970" s="6" t="n">
        <v>0.9675282588713529</v>
      </c>
      <c r="AI970" s="6" t="n">
        <v>0.07347766022366431</v>
      </c>
      <c r="AJ970" s="6" t="n">
        <v>70.63000854316435</v>
      </c>
      <c r="AK970" s="6" t="n">
        <v>0.0939112037910215</v>
      </c>
      <c r="AL970" s="6" t="n">
        <v>1.059795537623955</v>
      </c>
      <c r="AN970" s="6" t="n">
        <v>1.343371077092787</v>
      </c>
      <c r="AO970" s="6" t="n">
        <v>1.343791840301647</v>
      </c>
      <c r="AP970" s="6" t="n">
        <v>0.1320614792726432</v>
      </c>
      <c r="AQ970" s="6" t="n">
        <v>0</v>
      </c>
      <c r="AR970" s="6" t="n">
        <v>0</v>
      </c>
    </row>
    <row r="971">
      <c r="D971" t="inlineStr">
        <is>
          <t>Run 659</t>
        </is>
      </c>
      <c r="J971" s="6" t="n">
        <v>0.1063414668769593</v>
      </c>
      <c r="K971" s="6" t="n">
        <v>-2.967693604196991</v>
      </c>
      <c r="L971" s="6" t="n">
        <v>1.491294486209813</v>
      </c>
      <c r="M971" s="6" t="n">
        <v>-2.622004584230952</v>
      </c>
      <c r="N971" s="6" t="n">
        <v>0.9735451410384656</v>
      </c>
      <c r="O971" s="6" t="n">
        <v>-0.1864112783430129</v>
      </c>
      <c r="P971" s="6" t="n">
        <v>0.2002879995233725</v>
      </c>
      <c r="Q971" s="6" t="n">
        <v>-0.2990733208865419</v>
      </c>
      <c r="R971" s="6" t="n">
        <v>-1.609135109088811</v>
      </c>
      <c r="S971" s="6" t="n">
        <v>-2.598202373508822</v>
      </c>
      <c r="T971" s="6" t="n">
        <v>4.988143828464577</v>
      </c>
      <c r="U971" s="6" t="n">
        <v>-1.02168311520262</v>
      </c>
      <c r="V971" s="6" t="n">
        <v>-0.6860423306724703</v>
      </c>
      <c r="W971" s="6" t="n">
        <v>-1.254751667950537</v>
      </c>
      <c r="X971" s="6" t="n">
        <v>-2.595642666121539</v>
      </c>
      <c r="Y971" s="6" t="n">
        <v>-2.104681175707254</v>
      </c>
      <c r="Z971" s="6" t="n">
        <v>-0.05911173553095804</v>
      </c>
      <c r="AA971" s="6" t="n">
        <v>0.6235096800572626</v>
      </c>
      <c r="AB971" s="6" t="n">
        <v>-1.638479130745637</v>
      </c>
      <c r="AC971" s="6" t="n">
        <v>-2.091684547382469</v>
      </c>
      <c r="AD971" s="6" t="n">
        <v>0.1160597446799654</v>
      </c>
      <c r="AE971" s="6" t="n">
        <v>-1.748895497228393</v>
      </c>
      <c r="AF971" s="6" t="n">
        <v>1.577938771870367</v>
      </c>
      <c r="AG971" s="6" t="n">
        <v>-0.40174730519634</v>
      </c>
      <c r="AH971" s="6" t="n">
        <v>-2.461718477589487</v>
      </c>
      <c r="AI971" s="6" t="n">
        <v>1.398926650666488</v>
      </c>
      <c r="AJ971" s="6" t="n">
        <v>74.11696697665418</v>
      </c>
      <c r="AK971" s="6" t="n">
        <v>0.05725189294829916</v>
      </c>
      <c r="AL971" s="6" t="n">
        <v>1.111882937247802</v>
      </c>
      <c r="AN971" s="6" t="n">
        <v>1.31224600260586</v>
      </c>
      <c r="AO971" s="6" t="n">
        <v>1.321186544607488</v>
      </c>
      <c r="AP971" s="6" t="n">
        <v>0.1300942128733507</v>
      </c>
      <c r="AQ971" s="6" t="n">
        <v>0</v>
      </c>
      <c r="AR971" s="6" t="n">
        <v>0</v>
      </c>
    </row>
    <row r="972">
      <c r="D972" t="inlineStr">
        <is>
          <t>Run 660</t>
        </is>
      </c>
      <c r="J972" s="6" t="n">
        <v>-0.9958657482782306</v>
      </c>
      <c r="K972" s="6" t="n">
        <v>1.191598002312462</v>
      </c>
      <c r="L972" s="6" t="n">
        <v>-0.7339176076800029</v>
      </c>
      <c r="M972" s="6" t="n">
        <v>-3.733329846541255</v>
      </c>
      <c r="N972" s="6" t="n">
        <v>-1.424657446529576</v>
      </c>
      <c r="O972" s="6" t="n">
        <v>-0.3850581232838012</v>
      </c>
      <c r="P972" s="6" t="n">
        <v>-0.3871108636769289</v>
      </c>
      <c r="Q972" s="6" t="n">
        <v>5</v>
      </c>
      <c r="R972" s="6" t="n">
        <v>-1.628095709836833</v>
      </c>
      <c r="S972" s="6" t="n">
        <v>2.693349674442594</v>
      </c>
      <c r="T972" s="6" t="n">
        <v>3.861513058777916</v>
      </c>
      <c r="U972" s="6" t="n">
        <v>-2.129722496842194</v>
      </c>
      <c r="V972" s="6" t="n">
        <v>0.0880441969402134</v>
      </c>
      <c r="W972" s="6" t="n">
        <v>-1.48363932160258</v>
      </c>
      <c r="X972" s="6" t="n">
        <v>0.4817056577323101</v>
      </c>
      <c r="Y972" s="6" t="n">
        <v>1.99130725495721</v>
      </c>
      <c r="Z972" s="6" t="n">
        <v>1.497384253285227</v>
      </c>
      <c r="AA972" s="6" t="n">
        <v>4.079429563196789</v>
      </c>
      <c r="AB972" s="6" t="n">
        <v>-1.35578588150697</v>
      </c>
      <c r="AC972" s="6" t="n">
        <v>-0.2519388356626723</v>
      </c>
      <c r="AD972" s="6" t="n">
        <v>-2.202319900232891</v>
      </c>
      <c r="AE972" s="6" t="n">
        <v>-0.03882295387094316</v>
      </c>
      <c r="AF972" s="6" t="n">
        <v>-2.334421796153186</v>
      </c>
      <c r="AG972" s="6" t="n">
        <v>-1.081918343936443</v>
      </c>
      <c r="AH972" s="6" t="n">
        <v>3.564458651230832</v>
      </c>
      <c r="AI972" s="6" t="n">
        <v>-1.77346212908379</v>
      </c>
      <c r="AJ972" s="6" t="n">
        <v>68.42718358661466</v>
      </c>
      <c r="AK972" s="6" t="n">
        <v>0.117034528614598</v>
      </c>
      <c r="AL972" s="6" t="n">
        <v>1.04234539482237</v>
      </c>
      <c r="AN972" s="6" t="n">
        <v>1.307423393432917</v>
      </c>
      <c r="AO972" s="6" t="n">
        <v>1.31427966451935</v>
      </c>
      <c r="AP972" s="6" t="n">
        <v>0.132499495643725</v>
      </c>
      <c r="AQ972" s="6" t="n">
        <v>0</v>
      </c>
      <c r="AR972" s="6" t="n">
        <v>0</v>
      </c>
    </row>
    <row r="973">
      <c r="D973" t="inlineStr">
        <is>
          <t>Run 661</t>
        </is>
      </c>
      <c r="J973" s="6" t="n">
        <v>-2.488546243409542</v>
      </c>
      <c r="K973" s="6" t="n">
        <v>0.2099464071141984</v>
      </c>
      <c r="L973" s="6" t="n">
        <v>-1.007921940987466</v>
      </c>
      <c r="M973" s="6" t="n">
        <v>1.698745459989519</v>
      </c>
      <c r="N973" s="6" t="n">
        <v>-1.152205525261754</v>
      </c>
      <c r="O973" s="6" t="n">
        <v>1.900694360792888</v>
      </c>
      <c r="P973" s="6" t="n">
        <v>1.849724159968958</v>
      </c>
      <c r="Q973" s="6" t="n">
        <v>0.8389085830937041</v>
      </c>
      <c r="R973" s="6" t="n">
        <v>-2.139822904139844</v>
      </c>
      <c r="S973" s="6" t="n">
        <v>-0.4912594477741442</v>
      </c>
      <c r="T973" s="6" t="n">
        <v>-2.552839017493107</v>
      </c>
      <c r="U973" s="6" t="n">
        <v>-0.3385334455935109</v>
      </c>
      <c r="V973" s="6" t="n">
        <v>-0.5978192358913584</v>
      </c>
      <c r="W973" s="6" t="n">
        <v>0.4236216416120921</v>
      </c>
      <c r="X973" s="6" t="n">
        <v>-1.205368131939602</v>
      </c>
      <c r="Y973" s="6" t="n">
        <v>-2.11605711358207</v>
      </c>
      <c r="Z973" s="6" t="n">
        <v>-2.522261574054953</v>
      </c>
      <c r="AA973" s="6" t="n">
        <v>0.2749373051313105</v>
      </c>
      <c r="AB973" s="6" t="n">
        <v>-0.9250195944379406</v>
      </c>
      <c r="AC973" s="6" t="n">
        <v>2.208688035015101</v>
      </c>
      <c r="AD973" s="6" t="n">
        <v>2.839631584321724</v>
      </c>
      <c r="AE973" s="6" t="n">
        <v>1.30778331254732</v>
      </c>
      <c r="AF973" s="6" t="n">
        <v>-0.8368246282174436</v>
      </c>
      <c r="AG973" s="6" t="n">
        <v>1.144067546579344</v>
      </c>
      <c r="AH973" s="6" t="n">
        <v>-0.787716383231555</v>
      </c>
      <c r="AI973" s="6" t="n">
        <v>-0.6387211354750093</v>
      </c>
      <c r="AJ973" s="6" t="n">
        <v>77.24220992219257</v>
      </c>
      <c r="AK973" s="6" t="n">
        <v>0.08469050483266483</v>
      </c>
      <c r="AL973" s="6" t="n">
        <v>1.058958978504772</v>
      </c>
      <c r="AN973" s="6" t="n">
        <v>1.348230163717292</v>
      </c>
      <c r="AO973" s="6" t="n">
        <v>1.348903613343044</v>
      </c>
      <c r="AP973" s="6" t="n">
        <v>0.1330442755755911</v>
      </c>
      <c r="AQ973" s="6" t="n">
        <v>0</v>
      </c>
      <c r="AR973" s="6" t="n">
        <v>0</v>
      </c>
    </row>
    <row r="974">
      <c r="D974" t="inlineStr">
        <is>
          <t>Run 662</t>
        </is>
      </c>
      <c r="J974" s="6" t="n">
        <v>-2.61995244126381</v>
      </c>
      <c r="K974" s="6" t="n">
        <v>-0.3233999883567368</v>
      </c>
      <c r="L974" s="6" t="n">
        <v>-3.016074729433428</v>
      </c>
      <c r="M974" s="6" t="n">
        <v>2.499688588954137</v>
      </c>
      <c r="N974" s="6" t="n">
        <v>1.901094849395992</v>
      </c>
      <c r="O974" s="6" t="n">
        <v>0.4063688608447719</v>
      </c>
      <c r="P974" s="6" t="n">
        <v>0.9705466131068444</v>
      </c>
      <c r="Q974" s="6" t="n">
        <v>0.9408183399864829</v>
      </c>
      <c r="R974" s="6" t="n">
        <v>-3.252321888113789</v>
      </c>
      <c r="S974" s="6" t="n">
        <v>2.133104049259197</v>
      </c>
      <c r="T974" s="6" t="n">
        <v>0.3229008612001785</v>
      </c>
      <c r="U974" s="6" t="n">
        <v>-0.3724921753294174</v>
      </c>
      <c r="V974" s="6" t="n">
        <v>1.990573262243446</v>
      </c>
      <c r="W974" s="6" t="n">
        <v>-0.980442926871242</v>
      </c>
      <c r="X974" s="6" t="n">
        <v>2.996805427346416</v>
      </c>
      <c r="Y974" s="6" t="n">
        <v>-0.6002258745609664</v>
      </c>
      <c r="Z974" s="6" t="n">
        <v>0.8689953644259603</v>
      </c>
      <c r="AA974" s="6" t="n">
        <v>-2.153964992426373</v>
      </c>
      <c r="AB974" s="6" t="n">
        <v>-2.392683351059202</v>
      </c>
      <c r="AC974" s="6" t="n">
        <v>0.4653179844906186</v>
      </c>
      <c r="AD974" s="6" t="n">
        <v>-3.66565513727716</v>
      </c>
      <c r="AE974" s="6" t="n">
        <v>-1.53381440501532</v>
      </c>
      <c r="AF974" s="6" t="n">
        <v>-0.2472017796429064</v>
      </c>
      <c r="AG974" s="6" t="n">
        <v>-1.917290379828294</v>
      </c>
      <c r="AH974" s="6" t="n">
        <v>-1.759332897239568</v>
      </c>
      <c r="AI974" s="6" t="n">
        <v>-7.585665539020373</v>
      </c>
      <c r="AJ974" s="6" t="n">
        <v>78.32382622904646</v>
      </c>
      <c r="AK974" s="6" t="n">
        <v>0.1116249303176228</v>
      </c>
      <c r="AL974" s="6" t="n">
        <v>1.071599306948213</v>
      </c>
      <c r="AN974" s="6" t="n">
        <v>1.341773351462032</v>
      </c>
      <c r="AO974" s="6" t="n">
        <v>1.341842380868</v>
      </c>
      <c r="AP974" s="6" t="n">
        <v>0.1315122705356449</v>
      </c>
      <c r="AQ974" s="6" t="n">
        <v>0</v>
      </c>
      <c r="AR974" s="6" t="n">
        <v>0</v>
      </c>
    </row>
    <row r="975">
      <c r="D975" t="inlineStr">
        <is>
          <t>Run 663</t>
        </is>
      </c>
      <c r="J975" s="6" t="n">
        <v>0.4507856619073345</v>
      </c>
      <c r="K975" s="6" t="n">
        <v>1.794132577628994</v>
      </c>
      <c r="L975" s="6" t="n">
        <v>-0.7115492069835097</v>
      </c>
      <c r="M975" s="6" t="n">
        <v>-1.303032352018842</v>
      </c>
      <c r="N975" s="6" t="n">
        <v>-0.9601494009125673</v>
      </c>
      <c r="O975" s="6" t="n">
        <v>-1.461321483366205</v>
      </c>
      <c r="P975" s="6" t="n">
        <v>-3.215659580967176</v>
      </c>
      <c r="Q975" s="6" t="n">
        <v>1.40550039854156</v>
      </c>
      <c r="R975" s="6" t="n">
        <v>1.100484326215941</v>
      </c>
      <c r="S975" s="6" t="n">
        <v>3.257790038087103</v>
      </c>
      <c r="T975" s="6" t="n">
        <v>-1.832047549078247</v>
      </c>
      <c r="U975" s="6" t="n">
        <v>0.6329756457201428</v>
      </c>
      <c r="V975" s="6" t="n">
        <v>-1.249952007618663</v>
      </c>
      <c r="W975" s="6" t="n">
        <v>-0.782592720489828</v>
      </c>
      <c r="X975" s="6" t="n">
        <v>-0.2743953676159073</v>
      </c>
      <c r="Y975" s="6" t="n">
        <v>-0.3324248535245311</v>
      </c>
      <c r="Z975" s="6" t="n">
        <v>-0.2894646835247427</v>
      </c>
      <c r="AA975" s="6" t="n">
        <v>-2.973363471921873</v>
      </c>
      <c r="AB975" s="6" t="n">
        <v>-3.102816931448693</v>
      </c>
      <c r="AC975" s="6" t="n">
        <v>-0.5416514243945406</v>
      </c>
      <c r="AD975" s="6" t="n">
        <v>-0.6341758918566209</v>
      </c>
      <c r="AE975" s="6" t="n">
        <v>0.7085593142364608</v>
      </c>
      <c r="AF975" s="6" t="n">
        <v>-4.83914905946617</v>
      </c>
      <c r="AG975" s="6" t="n">
        <v>-1.723116532188734</v>
      </c>
      <c r="AH975" s="6" t="n">
        <v>1.823687948045511</v>
      </c>
      <c r="AI975" s="6" t="n">
        <v>-2.022807086456946</v>
      </c>
      <c r="AJ975" s="6" t="n">
        <v>73.35092906464435</v>
      </c>
      <c r="AK975" s="6" t="n">
        <v>0.08130299900071156</v>
      </c>
      <c r="AL975" s="6" t="n">
        <v>1.073422094554248</v>
      </c>
      <c r="AN975" s="6" t="n">
        <v>1.337452607015139</v>
      </c>
      <c r="AO975" s="6" t="n">
        <v>1.340502344519088</v>
      </c>
      <c r="AP975" s="6" t="n">
        <v>0.1317625791104908</v>
      </c>
      <c r="AQ975" s="6" t="n">
        <v>0</v>
      </c>
      <c r="AR975" s="6" t="n">
        <v>0</v>
      </c>
    </row>
    <row r="976">
      <c r="D976" t="inlineStr">
        <is>
          <t>Run 664</t>
        </is>
      </c>
      <c r="J976" s="6" t="n">
        <v>-1.82383312161746</v>
      </c>
      <c r="K976" s="6" t="n">
        <v>-3.394056053808249</v>
      </c>
      <c r="L976" s="6" t="n">
        <v>-3.282611995078219</v>
      </c>
      <c r="M976" s="6" t="n">
        <v>-2.122142349377245</v>
      </c>
      <c r="N976" s="6" t="n">
        <v>-2.329503998269793</v>
      </c>
      <c r="O976" s="6" t="n">
        <v>-1.920796995508961</v>
      </c>
      <c r="P976" s="6" t="n">
        <v>1.401128512072296</v>
      </c>
      <c r="Q976" s="6" t="n">
        <v>1.207987433019477</v>
      </c>
      <c r="R976" s="6" t="n">
        <v>-2.170922649845648</v>
      </c>
      <c r="S976" s="6" t="n">
        <v>-3.130364589761178</v>
      </c>
      <c r="T976" s="6" t="n">
        <v>2.054348778768642</v>
      </c>
      <c r="U976" s="6" t="n">
        <v>-0.74401878073323</v>
      </c>
      <c r="V976" s="6" t="n">
        <v>-1.826245491056777</v>
      </c>
      <c r="W976" s="6" t="n">
        <v>-4.923684693273795</v>
      </c>
      <c r="X976" s="6" t="n">
        <v>2.921067422076979</v>
      </c>
      <c r="Y976" s="6" t="n">
        <v>-2.632963929387949</v>
      </c>
      <c r="Z976" s="6" t="n">
        <v>0.459330533823641</v>
      </c>
      <c r="AA976" s="6" t="n">
        <v>-0.5057897018589118</v>
      </c>
      <c r="AB976" s="6" t="n">
        <v>3.234525691205439</v>
      </c>
      <c r="AC976" s="6" t="n">
        <v>1.613573409915008</v>
      </c>
      <c r="AD976" s="6" t="n">
        <v>-1.403283869740256</v>
      </c>
      <c r="AE976" s="6" t="n">
        <v>2.301364898250561</v>
      </c>
      <c r="AF976" s="6" t="n">
        <v>-1.13335907080507</v>
      </c>
      <c r="AG976" s="6" t="n">
        <v>4.951704608497898</v>
      </c>
      <c r="AH976" s="6" t="n">
        <v>-3.313961209332607</v>
      </c>
      <c r="AI976" s="6" t="n">
        <v>0.9846239218203859</v>
      </c>
      <c r="AJ976" s="6" t="n">
        <v>60.78014849823396</v>
      </c>
      <c r="AK976" s="6" t="n">
        <v>0.09811387611028598</v>
      </c>
      <c r="AL976" s="6" t="n">
        <v>1.055955687356714</v>
      </c>
      <c r="AN976" s="6" t="n">
        <v>1.324431771058004</v>
      </c>
      <c r="AO976" s="6" t="n">
        <v>1.328802348954985</v>
      </c>
      <c r="AP976" s="6" t="n">
        <v>0.1316137912129417</v>
      </c>
      <c r="AQ976" s="6" t="n">
        <v>0</v>
      </c>
      <c r="AR976" s="6" t="n">
        <v>0</v>
      </c>
    </row>
    <row r="977">
      <c r="D977" t="inlineStr">
        <is>
          <t>Run 665</t>
        </is>
      </c>
      <c r="J977" s="6" t="n">
        <v>-2.011616234204883</v>
      </c>
      <c r="K977" s="6" t="n">
        <v>-2.055139232883143</v>
      </c>
      <c r="L977" s="6" t="n">
        <v>0.4106305367993136</v>
      </c>
      <c r="M977" s="6" t="n">
        <v>-1.381686291460657</v>
      </c>
      <c r="N977" s="6" t="n">
        <v>3.559070255142594</v>
      </c>
      <c r="O977" s="6" t="n">
        <v>0.4792427322853738</v>
      </c>
      <c r="P977" s="6" t="n">
        <v>-1.804387577560744</v>
      </c>
      <c r="Q977" s="6" t="n">
        <v>1.670727948999774</v>
      </c>
      <c r="R977" s="6" t="n">
        <v>0.5533428683303939</v>
      </c>
      <c r="S977" s="6" t="n">
        <v>-2.417403322991431</v>
      </c>
      <c r="T977" s="6" t="n">
        <v>-0.41188887798263</v>
      </c>
      <c r="U977" s="6" t="n">
        <v>-1.058379301539551</v>
      </c>
      <c r="V977" s="6" t="n">
        <v>-1.886316575030556</v>
      </c>
      <c r="W977" s="6" t="n">
        <v>-0.9464983467865546</v>
      </c>
      <c r="X977" s="6" t="n">
        <v>-0.6305331464729822</v>
      </c>
      <c r="Y977" s="6" t="n">
        <v>-1.299417986072519</v>
      </c>
      <c r="Z977" s="6" t="n">
        <v>0.9580927939476158</v>
      </c>
      <c r="AA977" s="6" t="n">
        <v>-0.2148102645880313</v>
      </c>
      <c r="AB977" s="6" t="n">
        <v>0.3651619084905983</v>
      </c>
      <c r="AC977" s="6" t="n">
        <v>-1.429707188104482</v>
      </c>
      <c r="AD977" s="6" t="n">
        <v>-0.09470156450156314</v>
      </c>
      <c r="AE977" s="6" t="n">
        <v>2.92429529957059</v>
      </c>
      <c r="AF977" s="6" t="n">
        <v>2.349627259592402</v>
      </c>
      <c r="AG977" s="6" t="n">
        <v>-1.712126257993594</v>
      </c>
      <c r="AH977" s="6" t="n">
        <v>-3.926084237132359</v>
      </c>
      <c r="AI977" s="6" t="n">
        <v>1.284837345840291</v>
      </c>
      <c r="AJ977" s="6" t="n">
        <v>61.44948060114946</v>
      </c>
      <c r="AK977" s="6" t="n">
        <v>0.170137429254281</v>
      </c>
      <c r="AL977" s="6" t="n">
        <v>1.078997690809516</v>
      </c>
      <c r="AN977" s="6" t="n">
        <v>1.325899622701937</v>
      </c>
      <c r="AO977" s="6" t="n">
        <v>1.327614834311556</v>
      </c>
      <c r="AP977" s="6" t="n">
        <v>0.1289336241076004</v>
      </c>
      <c r="AQ977" s="6" t="n">
        <v>0</v>
      </c>
      <c r="AR977" s="6" t="n">
        <v>0</v>
      </c>
    </row>
    <row r="978">
      <c r="D978" t="inlineStr">
        <is>
          <t>Run 666</t>
        </is>
      </c>
      <c r="J978" s="6" t="n">
        <v>-2.300355677342731</v>
      </c>
      <c r="K978" s="6" t="n">
        <v>-1.218430115754514</v>
      </c>
      <c r="L978" s="6" t="n">
        <v>0.518837385179286</v>
      </c>
      <c r="M978" s="6" t="n">
        <v>1.616711838795452</v>
      </c>
      <c r="N978" s="6" t="n">
        <v>3.129696979504856</v>
      </c>
      <c r="O978" s="6" t="n">
        <v>3.340267030472978</v>
      </c>
      <c r="P978" s="6" t="n">
        <v>-0.5626610870953999</v>
      </c>
      <c r="Q978" s="6" t="n">
        <v>0.2026885080648016</v>
      </c>
      <c r="R978" s="6" t="n">
        <v>1.029942668899882</v>
      </c>
      <c r="S978" s="6" t="n">
        <v>-5.341936369462816</v>
      </c>
      <c r="T978" s="6" t="n">
        <v>-1.803168524141276</v>
      </c>
      <c r="U978" s="6" t="n">
        <v>-3.516801388398391</v>
      </c>
      <c r="V978" s="6" t="n">
        <v>-0.0796122378028734</v>
      </c>
      <c r="W978" s="6" t="n">
        <v>-1.939586587153334</v>
      </c>
      <c r="X978" s="6" t="n">
        <v>1.723987301889851</v>
      </c>
      <c r="Y978" s="6" t="n">
        <v>-4.87059339330598</v>
      </c>
      <c r="Z978" s="6" t="n">
        <v>1.681504010461027</v>
      </c>
      <c r="AA978" s="6" t="n">
        <v>2.476290766129156</v>
      </c>
      <c r="AB978" s="6" t="n">
        <v>0.3494784246338967</v>
      </c>
      <c r="AC978" s="6" t="n">
        <v>-1.212358236476917</v>
      </c>
      <c r="AD978" s="6" t="n">
        <v>2.145288172607097</v>
      </c>
      <c r="AE978" s="6" t="n">
        <v>3.019597133565157</v>
      </c>
      <c r="AF978" s="6" t="n">
        <v>-0.007349280016993313</v>
      </c>
      <c r="AG978" s="6" t="n">
        <v>-2.137036923417853</v>
      </c>
      <c r="AH978" s="6" t="n">
        <v>-2.379819747161161</v>
      </c>
      <c r="AI978" s="6" t="n">
        <v>-2.264662514851552</v>
      </c>
      <c r="AJ978" s="6" t="n">
        <v>80.10791112231756</v>
      </c>
      <c r="AK978" s="6" t="n">
        <v>0.06914140609042289</v>
      </c>
      <c r="AL978" s="6" t="n">
        <v>1.066095633431289</v>
      </c>
      <c r="AN978" s="6" t="n">
        <v>1.348170628455463</v>
      </c>
      <c r="AO978" s="6" t="n">
        <v>1.348406325079277</v>
      </c>
      <c r="AP978" s="6" t="n">
        <v>0.1325774473139467</v>
      </c>
      <c r="AQ978" s="6" t="n">
        <v>0</v>
      </c>
      <c r="AR978" s="6" t="n">
        <v>0</v>
      </c>
    </row>
    <row r="979">
      <c r="D979" t="inlineStr">
        <is>
          <t>Run 667</t>
        </is>
      </c>
      <c r="J979" s="6" t="n">
        <v>0.848853721402678</v>
      </c>
      <c r="K979" s="6" t="n">
        <v>1.343829677577337</v>
      </c>
      <c r="L979" s="6" t="n">
        <v>-0.6607113373791614</v>
      </c>
      <c r="M979" s="6" t="n">
        <v>-4.64843129821539</v>
      </c>
      <c r="N979" s="6" t="n">
        <v>-0.7962731488776954</v>
      </c>
      <c r="O979" s="6" t="n">
        <v>-1.375316120914484</v>
      </c>
      <c r="P979" s="6" t="n">
        <v>-1.283479414646429</v>
      </c>
      <c r="Q979" s="6" t="n">
        <v>1.777365802739693</v>
      </c>
      <c r="R979" s="6" t="n">
        <v>3.328315236615725</v>
      </c>
      <c r="S979" s="6" t="n">
        <v>0.5833700543235211</v>
      </c>
      <c r="T979" s="6" t="n">
        <v>-0.9151878388026353</v>
      </c>
      <c r="U979" s="6" t="n">
        <v>-0.09546314567422777</v>
      </c>
      <c r="V979" s="6" t="n">
        <v>-2.697198762906705</v>
      </c>
      <c r="W979" s="6" t="n">
        <v>-2.410558899845533</v>
      </c>
      <c r="X979" s="6" t="n">
        <v>-0.9831164115146946</v>
      </c>
      <c r="Y979" s="6" t="n">
        <v>1.232807120120458</v>
      </c>
      <c r="Z979" s="6" t="n">
        <v>-0.4619813292262535</v>
      </c>
      <c r="AA979" s="6" t="n">
        <v>-0.8600532881365178</v>
      </c>
      <c r="AB979" s="6" t="n">
        <v>2.021787928741245</v>
      </c>
      <c r="AC979" s="6" t="n">
        <v>-0.3253857325274448</v>
      </c>
      <c r="AD979" s="6" t="n">
        <v>2.444946706958237</v>
      </c>
      <c r="AE979" s="6" t="n">
        <v>0.2760673942768385</v>
      </c>
      <c r="AF979" s="6" t="n">
        <v>-3.680468065296504</v>
      </c>
      <c r="AG979" s="6" t="n">
        <v>0.6279439840143242</v>
      </c>
      <c r="AH979" s="6" t="n">
        <v>0.1471041031956518</v>
      </c>
      <c r="AI979" s="6" t="n">
        <v>3.126680629557584</v>
      </c>
      <c r="AJ979" s="6" t="n">
        <v>57.57673652789995</v>
      </c>
      <c r="AK979" s="6" t="n">
        <v>0.1486031819922775</v>
      </c>
      <c r="AL979" s="6" t="n">
        <v>0.9762251315743763</v>
      </c>
      <c r="AN979" s="6" t="n">
        <v>1.309166704726907</v>
      </c>
      <c r="AO979" s="6" t="n">
        <v>1.3188738535266</v>
      </c>
      <c r="AP979" s="6" t="n">
        <v>0.140118517662064</v>
      </c>
      <c r="AQ979" s="6" t="n">
        <v>0</v>
      </c>
      <c r="AR979" s="6" t="n">
        <v>0</v>
      </c>
    </row>
    <row r="980">
      <c r="D980" t="inlineStr">
        <is>
          <t>Run 668</t>
        </is>
      </c>
      <c r="J980" s="6" t="n">
        <v>-2.384786926605316</v>
      </c>
      <c r="K980" s="6" t="n">
        <v>2.081574175265726</v>
      </c>
      <c r="L980" s="6" t="n">
        <v>-1.217285581440289</v>
      </c>
      <c r="M980" s="6" t="n">
        <v>-1.719144687962073</v>
      </c>
      <c r="N980" s="6" t="n">
        <v>-0.84735917655399</v>
      </c>
      <c r="O980" s="6" t="n">
        <v>-0.09190473056496561</v>
      </c>
      <c r="P980" s="6" t="n">
        <v>3.008017056786968</v>
      </c>
      <c r="Q980" s="6" t="n">
        <v>-4.454068062003092</v>
      </c>
      <c r="R980" s="6" t="n">
        <v>0.5330942175446987</v>
      </c>
      <c r="S980" s="6" t="n">
        <v>1.586704467018119</v>
      </c>
      <c r="T980" s="6" t="n">
        <v>-1.235859451591939</v>
      </c>
      <c r="U980" s="6" t="n">
        <v>0.01723353722742434</v>
      </c>
      <c r="V980" s="6" t="n">
        <v>-2.024234675613445</v>
      </c>
      <c r="W980" s="6" t="n">
        <v>-1.035937740681693</v>
      </c>
      <c r="X980" s="6" t="n">
        <v>-0.531288537862821</v>
      </c>
      <c r="Y980" s="6" t="n">
        <v>-0.774930976150852</v>
      </c>
      <c r="Z980" s="6" t="n">
        <v>-3.097887354017352</v>
      </c>
      <c r="AA980" s="6" t="n">
        <v>4.46191979481247</v>
      </c>
      <c r="AB980" s="6" t="n">
        <v>0.2028288437355113</v>
      </c>
      <c r="AC980" s="6" t="n">
        <v>0.6540854050307334</v>
      </c>
      <c r="AD980" s="6" t="n">
        <v>0.3222693567604751</v>
      </c>
      <c r="AE980" s="6" t="n">
        <v>-1.180526712448131</v>
      </c>
      <c r="AF980" s="6" t="n">
        <v>3.105242268025704</v>
      </c>
      <c r="AG980" s="6" t="n">
        <v>-0.7796024397543341</v>
      </c>
      <c r="AH980" s="6" t="n">
        <v>-3.96332443348572</v>
      </c>
      <c r="AI980" s="6" t="n">
        <v>-1.450585168200985</v>
      </c>
      <c r="AJ980" s="6" t="n">
        <v>75.27514873666927</v>
      </c>
      <c r="AK980" s="6" t="n">
        <v>0.1500980588806262</v>
      </c>
      <c r="AL980" s="6" t="n">
        <v>1.05529122695007</v>
      </c>
      <c r="AN980" s="6" t="n">
        <v>1.333446539829922</v>
      </c>
      <c r="AO980" s="6" t="n">
        <v>1.338212066277951</v>
      </c>
      <c r="AP980" s="6" t="n">
        <v>0.130921223831546</v>
      </c>
      <c r="AQ980" s="6" t="n">
        <v>0</v>
      </c>
      <c r="AR980" s="6" t="n">
        <v>0</v>
      </c>
    </row>
    <row r="981">
      <c r="D981" t="inlineStr">
        <is>
          <t>Run 669</t>
        </is>
      </c>
      <c r="J981" s="6" t="n">
        <v>1.890255387966596</v>
      </c>
      <c r="K981" s="6" t="n">
        <v>-0.9823427098567866</v>
      </c>
      <c r="L981" s="6" t="n">
        <v>2.785340393103125</v>
      </c>
      <c r="M981" s="6" t="n">
        <v>-1.589976129126479</v>
      </c>
      <c r="N981" s="6" t="n">
        <v>-0.2336695650866797</v>
      </c>
      <c r="O981" s="6" t="n">
        <v>-2.615959299590295</v>
      </c>
      <c r="P981" s="6" t="n">
        <v>0.01263854272519975</v>
      </c>
      <c r="Q981" s="6" t="n">
        <v>0.5066765710276259</v>
      </c>
      <c r="R981" s="6" t="n">
        <v>-1.09318087804827</v>
      </c>
      <c r="S981" s="6" t="n">
        <v>-0.3557628794719782</v>
      </c>
      <c r="T981" s="6" t="n">
        <v>0.3531469276022737</v>
      </c>
      <c r="U981" s="6" t="n">
        <v>-1.497983784806836</v>
      </c>
      <c r="V981" s="6" t="n">
        <v>-2.598008971677186</v>
      </c>
      <c r="W981" s="6" t="n">
        <v>-1.790810049534288</v>
      </c>
      <c r="X981" s="6" t="n">
        <v>-0.8845801314985231</v>
      </c>
      <c r="Y981" s="6" t="n">
        <v>1.492890436717236</v>
      </c>
      <c r="Z981" s="6" t="n">
        <v>-0.8074596214607458</v>
      </c>
      <c r="AA981" s="6" t="n">
        <v>1.281215792857033</v>
      </c>
      <c r="AB981" s="6" t="n">
        <v>2.935524457894382</v>
      </c>
      <c r="AC981" s="6" t="n">
        <v>0.7618535673265682</v>
      </c>
      <c r="AD981" s="6" t="n">
        <v>-0.2857708941588575</v>
      </c>
      <c r="AE981" s="6" t="n">
        <v>0.913680877679068</v>
      </c>
      <c r="AF981" s="6" t="n">
        <v>-1.295208997118648</v>
      </c>
      <c r="AG981" s="6" t="n">
        <v>-3.069486087390915</v>
      </c>
      <c r="AH981" s="6" t="n">
        <v>0.9775365329891769</v>
      </c>
      <c r="AI981" s="6" t="n">
        <v>0.7315550845724238</v>
      </c>
      <c r="AJ981" s="6" t="n">
        <v>81.64976371514032</v>
      </c>
      <c r="AK981" s="6" t="n">
        <v>0.02466796500242689</v>
      </c>
      <c r="AL981" s="6" t="n">
        <v>1.078055365002702</v>
      </c>
      <c r="AN981" s="6" t="n">
        <v>1.340039781565159</v>
      </c>
      <c r="AO981" s="6" t="n">
        <v>1.344351452544644</v>
      </c>
      <c r="AP981" s="6" t="n">
        <v>0.1334294227586061</v>
      </c>
      <c r="AQ981" s="6" t="n">
        <v>0</v>
      </c>
      <c r="AR981" s="6" t="n">
        <v>0</v>
      </c>
    </row>
    <row r="982">
      <c r="D982" t="inlineStr">
        <is>
          <t>Run 670</t>
        </is>
      </c>
      <c r="J982" s="6" t="n">
        <v>0.4132520597435347</v>
      </c>
      <c r="K982" s="6" t="n">
        <v>0.707573193888882</v>
      </c>
      <c r="L982" s="6" t="n">
        <v>1.392196885036801</v>
      </c>
      <c r="M982" s="6" t="n">
        <v>0.7740199993611081</v>
      </c>
      <c r="N982" s="6" t="n">
        <v>-1.770904174104919</v>
      </c>
      <c r="O982" s="6" t="n">
        <v>0.1250064528915888</v>
      </c>
      <c r="P982" s="6" t="n">
        <v>0.08799368036358808</v>
      </c>
      <c r="Q982" s="6" t="n">
        <v>0.5430281035316198</v>
      </c>
      <c r="R982" s="6" t="n">
        <v>1.239508977007747</v>
      </c>
      <c r="S982" s="6" t="n">
        <v>-2.007790938450444</v>
      </c>
      <c r="T982" s="6" t="n">
        <v>-1.165764456512714</v>
      </c>
      <c r="U982" s="6" t="n">
        <v>1.45781703241253</v>
      </c>
      <c r="V982" s="6" t="n">
        <v>-1.061023467403757</v>
      </c>
      <c r="W982" s="6" t="n">
        <v>1.379665180074907</v>
      </c>
      <c r="X982" s="6" t="n">
        <v>-1.338547256695313</v>
      </c>
      <c r="Y982" s="6" t="n">
        <v>2.047371017348165</v>
      </c>
      <c r="Z982" s="6" t="n">
        <v>3.012579430639355</v>
      </c>
      <c r="AA982" s="6" t="n">
        <v>0.04640595239850291</v>
      </c>
      <c r="AB982" s="6" t="n">
        <v>3.622461164805924</v>
      </c>
      <c r="AC982" s="6" t="n">
        <v>-3.448870632955768</v>
      </c>
      <c r="AD982" s="6" t="n">
        <v>0.7003367822526299</v>
      </c>
      <c r="AE982" s="6" t="n">
        <v>-0.8041048623082387</v>
      </c>
      <c r="AF982" s="6" t="n">
        <v>-1.515735368571646</v>
      </c>
      <c r="AG982" s="6" t="n">
        <v>1.690434640173008</v>
      </c>
      <c r="AH982" s="6" t="n">
        <v>-0.8849999428297536</v>
      </c>
      <c r="AI982" s="6" t="n">
        <v>0.2382258564768081</v>
      </c>
      <c r="AJ982" s="6" t="n">
        <v>82.25455864872615</v>
      </c>
      <c r="AK982" s="6" t="n">
        <v>0.09570825533928175</v>
      </c>
      <c r="AL982" s="6" t="n">
        <v>1.026601014528299</v>
      </c>
      <c r="AN982" s="6" t="n">
        <v>1.356735318415153</v>
      </c>
      <c r="AO982" s="6" t="n">
        <v>1.356735318415153</v>
      </c>
      <c r="AP982" s="6" t="n">
        <v>0.13649110023288</v>
      </c>
      <c r="AQ982" s="6" t="n">
        <v>0</v>
      </c>
      <c r="AR982" s="6" t="n">
        <v>0</v>
      </c>
    </row>
    <row r="983">
      <c r="D983" t="inlineStr">
        <is>
          <t>Run 671</t>
        </is>
      </c>
      <c r="J983" s="6" t="n">
        <v>2.081185242394365</v>
      </c>
      <c r="K983" s="6" t="n">
        <v>5</v>
      </c>
      <c r="L983" s="6" t="n">
        <v>-1.242592862134055</v>
      </c>
      <c r="M983" s="6" t="n">
        <v>-0.3886883559340957</v>
      </c>
      <c r="N983" s="6" t="n">
        <v>1.379663703250664</v>
      </c>
      <c r="O983" s="6" t="n">
        <v>-0.3166115196932107</v>
      </c>
      <c r="P983" s="6" t="n">
        <v>0.5328693211028525</v>
      </c>
      <c r="Q983" s="6" t="n">
        <v>-0.8917827775711539</v>
      </c>
      <c r="R983" s="6" t="n">
        <v>2.589756121300555</v>
      </c>
      <c r="S983" s="6" t="n">
        <v>0.3459581817209313</v>
      </c>
      <c r="T983" s="6" t="n">
        <v>-4.429667119229777</v>
      </c>
      <c r="U983" s="6" t="n">
        <v>-0.2463993599124963</v>
      </c>
      <c r="V983" s="6" t="n">
        <v>4.031386051124398</v>
      </c>
      <c r="W983" s="6" t="n">
        <v>-1.092799769915141</v>
      </c>
      <c r="X983" s="6" t="n">
        <v>-1.009011867459433</v>
      </c>
      <c r="Y983" s="6" t="n">
        <v>-5.587562023239977</v>
      </c>
      <c r="Z983" s="6" t="n">
        <v>-0.064348758768122</v>
      </c>
      <c r="AA983" s="6" t="n">
        <v>1.578456051941557</v>
      </c>
      <c r="AB983" s="6" t="n">
        <v>2.102255065769437</v>
      </c>
      <c r="AC983" s="6" t="n">
        <v>-1.081080138864594</v>
      </c>
      <c r="AD983" s="6" t="n">
        <v>-2.017359385180653</v>
      </c>
      <c r="AE983" s="6" t="n">
        <v>-4.784654078463862</v>
      </c>
      <c r="AF983" s="6" t="n">
        <v>0.3008667943651558</v>
      </c>
      <c r="AG983" s="6" t="n">
        <v>-2.323068772882007</v>
      </c>
      <c r="AH983" s="6" t="n">
        <v>2.824887390325747</v>
      </c>
      <c r="AI983" s="6" t="n">
        <v>0.9748523382682941</v>
      </c>
      <c r="AJ983" s="6" t="n">
        <v>67.14845685544788</v>
      </c>
      <c r="AK983" s="6" t="n">
        <v>0.1063994641572863</v>
      </c>
      <c r="AL983" s="6" t="n">
        <v>1.066418698100744</v>
      </c>
      <c r="AN983" s="6" t="n">
        <v>1.339747199342688</v>
      </c>
      <c r="AO983" s="6" t="n">
        <v>1.339877136400093</v>
      </c>
      <c r="AP983" s="6" t="n">
        <v>0.1308481280095942</v>
      </c>
      <c r="AQ983" s="6" t="n">
        <v>0</v>
      </c>
      <c r="AR983" s="6" t="n">
        <v>0</v>
      </c>
    </row>
    <row r="984">
      <c r="D984" t="inlineStr">
        <is>
          <t>Run 672</t>
        </is>
      </c>
      <c r="J984" s="6" t="n">
        <v>-1.380899961022712</v>
      </c>
      <c r="K984" s="6" t="n">
        <v>2.261208274635278</v>
      </c>
      <c r="L984" s="6" t="n">
        <v>-4.454029029573394</v>
      </c>
      <c r="M984" s="6" t="n">
        <v>-0.5296740952011372</v>
      </c>
      <c r="N984" s="6" t="n">
        <v>0.7564192086887317</v>
      </c>
      <c r="O984" s="6" t="n">
        <v>-1.777596453972822</v>
      </c>
      <c r="P984" s="6" t="n">
        <v>-0.9984159040533976</v>
      </c>
      <c r="Q984" s="6" t="n">
        <v>2.429145419868145</v>
      </c>
      <c r="R984" s="6" t="n">
        <v>0.155376497394416</v>
      </c>
      <c r="S984" s="6" t="n">
        <v>1.089377952535543</v>
      </c>
      <c r="T984" s="6" t="n">
        <v>-1.182254192852215</v>
      </c>
      <c r="U984" s="6" t="n">
        <v>2.467890458555495</v>
      </c>
      <c r="V984" s="6" t="n">
        <v>2.464803104569971</v>
      </c>
      <c r="W984" s="6" t="n">
        <v>-2.887861626469809</v>
      </c>
      <c r="X984" s="6" t="n">
        <v>1.36140387060386</v>
      </c>
      <c r="Y984" s="6" t="n">
        <v>1.070717168729449</v>
      </c>
      <c r="Z984" s="6" t="n">
        <v>-1.129993836097454</v>
      </c>
      <c r="AA984" s="6" t="n">
        <v>3.768743030638767</v>
      </c>
      <c r="AB984" s="6" t="n">
        <v>-1.783846425296241</v>
      </c>
      <c r="AC984" s="6" t="n">
        <v>1.807105459706835</v>
      </c>
      <c r="AD984" s="6" t="n">
        <v>-3.006816810678801</v>
      </c>
      <c r="AE984" s="6" t="n">
        <v>-4.363457693696235</v>
      </c>
      <c r="AF984" s="6" t="n">
        <v>1.140214776202619</v>
      </c>
      <c r="AG984" s="6" t="n">
        <v>-0.4612106191917614</v>
      </c>
      <c r="AH984" s="6" t="n">
        <v>1.319187117721893</v>
      </c>
      <c r="AI984" s="6" t="n">
        <v>1.230898662178793</v>
      </c>
      <c r="AJ984" s="6" t="n">
        <v>68.30191368519938</v>
      </c>
      <c r="AK984" s="6" t="n">
        <v>0.1122767817929325</v>
      </c>
      <c r="AL984" s="6" t="n">
        <v>1.062433979642951</v>
      </c>
      <c r="AN984" s="6" t="n">
        <v>1.340203518213036</v>
      </c>
      <c r="AO984" s="6" t="n">
        <v>1.340891836957307</v>
      </c>
      <c r="AP984" s="6" t="n">
        <v>0.1314648721825245</v>
      </c>
      <c r="AQ984" s="6" t="n">
        <v>0</v>
      </c>
      <c r="AR984" s="6" t="n">
        <v>0</v>
      </c>
    </row>
    <row r="985">
      <c r="D985" t="inlineStr">
        <is>
          <t>Run 673</t>
        </is>
      </c>
      <c r="J985" s="6" t="n">
        <v>-0.5693886405337577</v>
      </c>
      <c r="K985" s="6" t="n">
        <v>-0.2856440549706791</v>
      </c>
      <c r="L985" s="6" t="n">
        <v>-4.071624371790199</v>
      </c>
      <c r="M985" s="6" t="n">
        <v>0.849171238845436</v>
      </c>
      <c r="N985" s="6" t="n">
        <v>-1.275288323211457</v>
      </c>
      <c r="O985" s="6" t="n">
        <v>-1.163174040383888</v>
      </c>
      <c r="P985" s="6" t="n">
        <v>-0.3530728317250556</v>
      </c>
      <c r="Q985" s="6" t="n">
        <v>-2.273179161657456</v>
      </c>
      <c r="R985" s="6" t="n">
        <v>-2.26226466108426</v>
      </c>
      <c r="S985" s="6" t="n">
        <v>1.285153837987756</v>
      </c>
      <c r="T985" s="6" t="n">
        <v>0.09202476853162846</v>
      </c>
      <c r="U985" s="6" t="n">
        <v>-3.555679671982103</v>
      </c>
      <c r="V985" s="6" t="n">
        <v>0.1462610726741453</v>
      </c>
      <c r="W985" s="6" t="n">
        <v>-3.378702576984341</v>
      </c>
      <c r="X985" s="6" t="n">
        <v>-0.9302693418664149</v>
      </c>
      <c r="Y985" s="6" t="n">
        <v>0.5751595153920483</v>
      </c>
      <c r="Z985" s="6" t="n">
        <v>1.938721509957076</v>
      </c>
      <c r="AA985" s="6" t="n">
        <v>-2.256841033183426</v>
      </c>
      <c r="AB985" s="6" t="n">
        <v>-0.4775747542239123</v>
      </c>
      <c r="AC985" s="6" t="n">
        <v>0.8435849884286549</v>
      </c>
      <c r="AD985" s="6" t="n">
        <v>0.9787588954282451</v>
      </c>
      <c r="AE985" s="6" t="n">
        <v>0.7871708524796118</v>
      </c>
      <c r="AF985" s="6" t="n">
        <v>-0.218263230312735</v>
      </c>
      <c r="AG985" s="6" t="n">
        <v>-1.446244766685304</v>
      </c>
      <c r="AH985" s="6" t="n">
        <v>-2.152558190651002</v>
      </c>
      <c r="AI985" s="6" t="n">
        <v>4.528381957146104</v>
      </c>
      <c r="AJ985" s="6" t="n">
        <v>76.18379947010442</v>
      </c>
      <c r="AK985" s="6" t="n">
        <v>0.1464403121038782</v>
      </c>
      <c r="AL985" s="6" t="n">
        <v>1.046644664115954</v>
      </c>
      <c r="AN985" s="6" t="n">
        <v>1.348515953176861</v>
      </c>
      <c r="AO985" s="6" t="n">
        <v>1.348964219900127</v>
      </c>
      <c r="AP985" s="6" t="n">
        <v>0.1321183159227843</v>
      </c>
      <c r="AQ985" s="6" t="n">
        <v>0</v>
      </c>
      <c r="AR985" s="6" t="n">
        <v>0</v>
      </c>
    </row>
    <row r="986">
      <c r="D986" t="inlineStr">
        <is>
          <t>Run 674</t>
        </is>
      </c>
      <c r="J986" s="6" t="n">
        <v>1.324750804955516</v>
      </c>
      <c r="K986" s="6" t="n">
        <v>0.7109816839843857</v>
      </c>
      <c r="L986" s="6" t="n">
        <v>3.334033818227617</v>
      </c>
      <c r="M986" s="6" t="n">
        <v>-2.763808117890237</v>
      </c>
      <c r="N986" s="6" t="n">
        <v>-3.888008779781061</v>
      </c>
      <c r="O986" s="6" t="n">
        <v>0.0134145707434614</v>
      </c>
      <c r="P986" s="6" t="n">
        <v>0.6869071523382642</v>
      </c>
      <c r="Q986" s="6" t="n">
        <v>0.1944279381979843</v>
      </c>
      <c r="R986" s="6" t="n">
        <v>-0.5969605961357001</v>
      </c>
      <c r="S986" s="6" t="n">
        <v>-0.6972741860006975</v>
      </c>
      <c r="T986" s="6" t="n">
        <v>0.05571043945116066</v>
      </c>
      <c r="U986" s="6" t="n">
        <v>2.399888739532376</v>
      </c>
      <c r="V986" s="6" t="n">
        <v>-1.823448179694602</v>
      </c>
      <c r="W986" s="6" t="n">
        <v>0.05806522891689957</v>
      </c>
      <c r="X986" s="6" t="n">
        <v>-1.734623304662401</v>
      </c>
      <c r="Y986" s="6" t="n">
        <v>-0.8742585713529974</v>
      </c>
      <c r="Z986" s="6" t="n">
        <v>0.2792737788650453</v>
      </c>
      <c r="AA986" s="6" t="n">
        <v>-1.369211039170083</v>
      </c>
      <c r="AB986" s="6" t="n">
        <v>-2.972681728821539</v>
      </c>
      <c r="AC986" s="6" t="n">
        <v>-2.372675199973783</v>
      </c>
      <c r="AD986" s="6" t="n">
        <v>-1.540371224942193</v>
      </c>
      <c r="AE986" s="6" t="n">
        <v>-0.4373514092755908</v>
      </c>
      <c r="AF986" s="6" t="n">
        <v>1.067323031976443</v>
      </c>
      <c r="AG986" s="6" t="n">
        <v>-0.8616327608506249</v>
      </c>
      <c r="AH986" s="6" t="n">
        <v>-0.09318484587127807</v>
      </c>
      <c r="AI986" s="6" t="n">
        <v>0.1875178802708056</v>
      </c>
      <c r="AJ986" s="6" t="n">
        <v>71.42173431165324</v>
      </c>
      <c r="AK986" s="6" t="n">
        <v>0.1190544397246272</v>
      </c>
      <c r="AL986" s="6" t="n">
        <v>1.054820811118997</v>
      </c>
      <c r="AN986" s="6" t="n">
        <v>1.318956013534649</v>
      </c>
      <c r="AO986" s="6" t="n">
        <v>1.319689568201418</v>
      </c>
      <c r="AP986" s="6" t="n">
        <v>0.1315673714375631</v>
      </c>
      <c r="AQ986" s="6" t="n">
        <v>0</v>
      </c>
      <c r="AR986" s="6" t="n">
        <v>0</v>
      </c>
    </row>
    <row r="987">
      <c r="D987" t="inlineStr">
        <is>
          <t>Run 675</t>
        </is>
      </c>
      <c r="J987" s="6" t="n">
        <v>-1.672175245919154</v>
      </c>
      <c r="K987" s="6" t="n">
        <v>1.365679497451197</v>
      </c>
      <c r="L987" s="6" t="n">
        <v>0.7635269182811778</v>
      </c>
      <c r="M987" s="6" t="n">
        <v>0.708976974375478</v>
      </c>
      <c r="N987" s="6" t="n">
        <v>-0.610199310606115</v>
      </c>
      <c r="O987" s="6" t="n">
        <v>-1.103920179297706</v>
      </c>
      <c r="P987" s="6" t="n">
        <v>-0.2215450408836637</v>
      </c>
      <c r="Q987" s="6" t="n">
        <v>0.2179513045373689</v>
      </c>
      <c r="R987" s="6" t="n">
        <v>-1.669758280067309</v>
      </c>
      <c r="S987" s="6" t="n">
        <v>-3.150179144643723</v>
      </c>
      <c r="T987" s="6" t="n">
        <v>-0.282678509395971</v>
      </c>
      <c r="U987" s="6" t="n">
        <v>0.09411574030579216</v>
      </c>
      <c r="V987" s="6" t="n">
        <v>3.272291248565388</v>
      </c>
      <c r="W987" s="6" t="n">
        <v>-1.891445567490132</v>
      </c>
      <c r="X987" s="6" t="n">
        <v>-3.687111890866353</v>
      </c>
      <c r="Y987" s="6" t="n">
        <v>-5.611243211940659</v>
      </c>
      <c r="Z987" s="6" t="n">
        <v>-0.02912000869776773</v>
      </c>
      <c r="AA987" s="6" t="n">
        <v>-1.610654832972417</v>
      </c>
      <c r="AB987" s="6" t="n">
        <v>-1.114614997545744</v>
      </c>
      <c r="AC987" s="6" t="n">
        <v>-0.1040773120006414</v>
      </c>
      <c r="AD987" s="6" t="n">
        <v>2.190984913863367</v>
      </c>
      <c r="AE987" s="6" t="n">
        <v>0.9605063635909437</v>
      </c>
      <c r="AF987" s="6" t="n">
        <v>0.07558219397275222</v>
      </c>
      <c r="AG987" s="6" t="n">
        <v>-2.779704995028513</v>
      </c>
      <c r="AH987" s="6" t="n">
        <v>1.739361038050568</v>
      </c>
      <c r="AI987" s="6" t="n">
        <v>-3.599490270615897</v>
      </c>
      <c r="AJ987" s="6" t="n">
        <v>80.82750852129499</v>
      </c>
      <c r="AK987" s="6" t="n">
        <v>0.1347958718388091</v>
      </c>
      <c r="AL987" s="6" t="n">
        <v>1.095181316507261</v>
      </c>
      <c r="AN987" s="6" t="n">
        <v>1.33275628747515</v>
      </c>
      <c r="AO987" s="6" t="n">
        <v>1.333616453636163</v>
      </c>
      <c r="AP987" s="6" t="n">
        <v>0.129234717828706</v>
      </c>
      <c r="AQ987" s="6" t="n">
        <v>0</v>
      </c>
      <c r="AR987" s="6" t="n">
        <v>0</v>
      </c>
    </row>
    <row r="988">
      <c r="D988" t="inlineStr">
        <is>
          <t>Run 676</t>
        </is>
      </c>
      <c r="J988" s="6" t="n">
        <v>0.5595359393265199</v>
      </c>
      <c r="K988" s="6" t="n">
        <v>-0.743983866990066</v>
      </c>
      <c r="L988" s="6" t="n">
        <v>1.146463259169178</v>
      </c>
      <c r="M988" s="6" t="n">
        <v>2.65396978470593</v>
      </c>
      <c r="N988" s="6" t="n">
        <v>2.145643343559611</v>
      </c>
      <c r="O988" s="6" t="n">
        <v>-0.9534629906499156</v>
      </c>
      <c r="P988" s="6" t="n">
        <v>1.025444972617839</v>
      </c>
      <c r="Q988" s="6" t="n">
        <v>1.555258498120923</v>
      </c>
      <c r="R988" s="6" t="n">
        <v>0.2708342979945861</v>
      </c>
      <c r="S988" s="6" t="n">
        <v>2.861120804813335</v>
      </c>
      <c r="T988" s="6" t="n">
        <v>-3.68648376927153</v>
      </c>
      <c r="U988" s="6" t="n">
        <v>1.226098644726696</v>
      </c>
      <c r="V988" s="6" t="n">
        <v>0.7759378732747549</v>
      </c>
      <c r="W988" s="6" t="n">
        <v>2.13247855383105</v>
      </c>
      <c r="X988" s="6" t="n">
        <v>-0.2492946570448029</v>
      </c>
      <c r="Y988" s="6" t="n">
        <v>4.13785219121121</v>
      </c>
      <c r="Z988" s="6" t="n">
        <v>-1.087445452773374</v>
      </c>
      <c r="AA988" s="6" t="n">
        <v>-0.7269396035511064</v>
      </c>
      <c r="AB988" s="6" t="n">
        <v>0.770421668931101</v>
      </c>
      <c r="AC988" s="6" t="n">
        <v>2.160139004626824</v>
      </c>
      <c r="AD988" s="6" t="n">
        <v>0.6832657043602821</v>
      </c>
      <c r="AE988" s="6" t="n">
        <v>-1.423592079411878</v>
      </c>
      <c r="AF988" s="6" t="n">
        <v>-0.05367597425993437</v>
      </c>
      <c r="AG988" s="6" t="n">
        <v>-0.7312781789832968</v>
      </c>
      <c r="AH988" s="6" t="n">
        <v>-1.504021344343058</v>
      </c>
      <c r="AI988" s="6" t="n">
        <v>2.597274086167007</v>
      </c>
      <c r="AJ988" s="6" t="n">
        <v>74.70680739791675</v>
      </c>
      <c r="AK988" s="6" t="n">
        <v>0.09053974250184214</v>
      </c>
      <c r="AL988" s="6" t="n">
        <v>1.030918687161473</v>
      </c>
      <c r="AN988" s="6" t="n">
        <v>1.351770142513965</v>
      </c>
      <c r="AO988" s="6" t="n">
        <v>1.351770142513965</v>
      </c>
      <c r="AP988" s="6" t="n">
        <v>0.1353040220667209</v>
      </c>
      <c r="AQ988" s="6" t="n">
        <v>0</v>
      </c>
      <c r="AR988" s="6" t="n">
        <v>0</v>
      </c>
    </row>
    <row r="989">
      <c r="D989" t="inlineStr">
        <is>
          <t>Run 677</t>
        </is>
      </c>
      <c r="J989" s="6" t="n">
        <v>-0.8627337761613267</v>
      </c>
      <c r="K989" s="6" t="n">
        <v>3.89207296609057</v>
      </c>
      <c r="L989" s="6" t="n">
        <v>-0.69840044891478</v>
      </c>
      <c r="M989" s="6" t="n">
        <v>3.38974370637591</v>
      </c>
      <c r="N989" s="6" t="n">
        <v>-2.923852190983467</v>
      </c>
      <c r="O989" s="6" t="n">
        <v>1.809964328669012</v>
      </c>
      <c r="P989" s="6" t="n">
        <v>-2.020541079690604</v>
      </c>
      <c r="Q989" s="6" t="n">
        <v>0.8585839881260655</v>
      </c>
      <c r="R989" s="6" t="n">
        <v>0.1834948539699989</v>
      </c>
      <c r="S989" s="6" t="n">
        <v>3.010277904706606</v>
      </c>
      <c r="T989" s="6" t="n">
        <v>4.007301194280995</v>
      </c>
      <c r="U989" s="6" t="n">
        <v>1.425001724570667</v>
      </c>
      <c r="V989" s="6" t="n">
        <v>1.46599900653103</v>
      </c>
      <c r="W989" s="6" t="n">
        <v>-2.760195696218316</v>
      </c>
      <c r="X989" s="6" t="n">
        <v>-3.464849638033049</v>
      </c>
      <c r="Y989" s="6" t="n">
        <v>0.6416711597047347</v>
      </c>
      <c r="Z989" s="6" t="n">
        <v>3.909562974519207</v>
      </c>
      <c r="AA989" s="6" t="n">
        <v>0.5292372424381968</v>
      </c>
      <c r="AB989" s="6" t="n">
        <v>0.7328982295290601</v>
      </c>
      <c r="AC989" s="6" t="n">
        <v>0.4251381617524976</v>
      </c>
      <c r="AD989" s="6" t="n">
        <v>-2.3045104273826</v>
      </c>
      <c r="AE989" s="6" t="n">
        <v>-0.1826875783875017</v>
      </c>
      <c r="AF989" s="6" t="n">
        <v>-2.085721605452815</v>
      </c>
      <c r="AG989" s="6" t="n">
        <v>0.159917688435881</v>
      </c>
      <c r="AH989" s="6" t="n">
        <v>0.9036252167477311</v>
      </c>
      <c r="AI989" s="6" t="n">
        <v>-0.06380152128926203</v>
      </c>
      <c r="AJ989" s="6" t="n">
        <v>67.3081907755729</v>
      </c>
      <c r="AK989" s="6" t="n">
        <v>0.1196395024918594</v>
      </c>
      <c r="AL989" s="6" t="n">
        <v>1.033489728378812</v>
      </c>
      <c r="AN989" s="6" t="n">
        <v>1.34667783752169</v>
      </c>
      <c r="AO989" s="6" t="n">
        <v>1.347864068309848</v>
      </c>
      <c r="AP989" s="6" t="n">
        <v>0.1337578104600648</v>
      </c>
      <c r="AQ989" s="6" t="n">
        <v>0</v>
      </c>
      <c r="AR989" s="6" t="n">
        <v>0</v>
      </c>
    </row>
    <row r="990">
      <c r="D990" t="inlineStr">
        <is>
          <t>Run 678</t>
        </is>
      </c>
      <c r="J990" s="6" t="n">
        <v>-0.4659553710710634</v>
      </c>
      <c r="K990" s="6" t="n">
        <v>-2.812184395600362</v>
      </c>
      <c r="L990" s="6" t="n">
        <v>0.8076946149680374</v>
      </c>
      <c r="M990" s="6" t="n">
        <v>1.796717386151096</v>
      </c>
      <c r="N990" s="6" t="n">
        <v>-0.1400034203274966</v>
      </c>
      <c r="O990" s="6" t="n">
        <v>5</v>
      </c>
      <c r="P990" s="6" t="n">
        <v>2.670071474740079</v>
      </c>
      <c r="Q990" s="6" t="n">
        <v>-0.4742106665843442</v>
      </c>
      <c r="R990" s="6" t="n">
        <v>0.6702254710332497</v>
      </c>
      <c r="S990" s="6" t="n">
        <v>-1.777678551323441</v>
      </c>
      <c r="T990" s="6" t="n">
        <v>1.345636678725647</v>
      </c>
      <c r="U990" s="6" t="n">
        <v>1.716696483921532</v>
      </c>
      <c r="V990" s="6" t="n">
        <v>1.283514278907216</v>
      </c>
      <c r="W990" s="6" t="n">
        <v>-0.4744157547637159</v>
      </c>
      <c r="X990" s="6" t="n">
        <v>0.9352624648353424</v>
      </c>
      <c r="Y990" s="6" t="n">
        <v>-0.7448500665734841</v>
      </c>
      <c r="Z990" s="6" t="n">
        <v>1.121046273461759</v>
      </c>
      <c r="AA990" s="6" t="n">
        <v>-3.108420819188437</v>
      </c>
      <c r="AB990" s="6" t="n">
        <v>0.8394989096091955</v>
      </c>
      <c r="AC990" s="6" t="n">
        <v>5</v>
      </c>
      <c r="AD990" s="6" t="n">
        <v>-0.5171495870413015</v>
      </c>
      <c r="AE990" s="6" t="n">
        <v>-1.269505141579101</v>
      </c>
      <c r="AF990" s="6" t="n">
        <v>1.775035021728142</v>
      </c>
      <c r="AG990" s="6" t="n">
        <v>1.092788370614053</v>
      </c>
      <c r="AH990" s="6" t="n">
        <v>-0.7622714263330498</v>
      </c>
      <c r="AI990" s="6" t="n">
        <v>-3.767885168142127</v>
      </c>
      <c r="AJ990" s="6" t="n">
        <v>68.59199987550936</v>
      </c>
      <c r="AK990" s="6" t="n">
        <v>0.1004986002659843</v>
      </c>
      <c r="AL990" s="6" t="n">
        <v>1.053930780842354</v>
      </c>
      <c r="AN990" s="6" t="n">
        <v>1.344474710597343</v>
      </c>
      <c r="AO990" s="6" t="n">
        <v>1.344756073300025</v>
      </c>
      <c r="AP990" s="6" t="n">
        <v>0.1322883954285354</v>
      </c>
      <c r="AQ990" s="6" t="n">
        <v>0</v>
      </c>
      <c r="AR990" s="6" t="n">
        <v>0</v>
      </c>
    </row>
    <row r="991">
      <c r="D991" t="inlineStr">
        <is>
          <t>Run 679</t>
        </is>
      </c>
      <c r="J991" s="6" t="n">
        <v>3.745496852988368</v>
      </c>
      <c r="K991" s="6" t="n">
        <v>-2.288209111013456</v>
      </c>
      <c r="L991" s="6" t="n">
        <v>-2.932495526472684</v>
      </c>
      <c r="M991" s="6" t="n">
        <v>-1.217630074738378</v>
      </c>
      <c r="N991" s="6" t="n">
        <v>-1.232264041855588</v>
      </c>
      <c r="O991" s="6" t="n">
        <v>1.24282431931489</v>
      </c>
      <c r="P991" s="6" t="n">
        <v>-0.2975411891855271</v>
      </c>
      <c r="Q991" s="6" t="n">
        <v>0.2715076941168983</v>
      </c>
      <c r="R991" s="6" t="n">
        <v>-2.846935504849183</v>
      </c>
      <c r="S991" s="6" t="n">
        <v>-1.027991928598985</v>
      </c>
      <c r="T991" s="6" t="n">
        <v>-2.096945001411213</v>
      </c>
      <c r="U991" s="6" t="n">
        <v>-2.300017859432014</v>
      </c>
      <c r="V991" s="6" t="n">
        <v>-1.720207426883336</v>
      </c>
      <c r="W991" s="6" t="n">
        <v>2.104499071911518</v>
      </c>
      <c r="X991" s="6" t="n">
        <v>-0.138228137346831</v>
      </c>
      <c r="Y991" s="6" t="n">
        <v>-0.3833966317276887</v>
      </c>
      <c r="Z991" s="6" t="n">
        <v>0.3438346543719411</v>
      </c>
      <c r="AA991" s="6" t="n">
        <v>1.698905371523719</v>
      </c>
      <c r="AB991" s="6" t="n">
        <v>-1.91807762762782</v>
      </c>
      <c r="AC991" s="6" t="n">
        <v>1.96142859100582</v>
      </c>
      <c r="AD991" s="6" t="n">
        <v>2.303484128696725</v>
      </c>
      <c r="AE991" s="6" t="n">
        <v>0.5394713488270724</v>
      </c>
      <c r="AF991" s="6" t="n">
        <v>3.83726588728511</v>
      </c>
      <c r="AG991" s="6" t="n">
        <v>-1.145507888578718</v>
      </c>
      <c r="AH991" s="6" t="n">
        <v>2.366306937164091</v>
      </c>
      <c r="AI991" s="6" t="n">
        <v>-1.197640760397836</v>
      </c>
      <c r="AJ991" s="6" t="n">
        <v>75.70903517947173</v>
      </c>
      <c r="AK991" s="6" t="n">
        <v>0.09863704900223204</v>
      </c>
      <c r="AL991" s="6" t="n">
        <v>1.015316931960411</v>
      </c>
      <c r="AN991" s="6" t="n">
        <v>1.356801732021768</v>
      </c>
      <c r="AO991" s="6" t="n">
        <v>1.357511159089025</v>
      </c>
      <c r="AP991" s="6" t="n">
        <v>0.137290384135809</v>
      </c>
      <c r="AQ991" s="6" t="n">
        <v>0</v>
      </c>
      <c r="AR991" s="6" t="n">
        <v>0</v>
      </c>
    </row>
    <row r="992">
      <c r="D992" t="inlineStr">
        <is>
          <t>Run 680</t>
        </is>
      </c>
      <c r="J992" s="6" t="n">
        <v>-0.6348930513492665</v>
      </c>
      <c r="K992" s="6" t="n">
        <v>-2.640824859891881</v>
      </c>
      <c r="L992" s="6" t="n">
        <v>3.057262325765738</v>
      </c>
      <c r="M992" s="6" t="n">
        <v>-1.79347242568093</v>
      </c>
      <c r="N992" s="6" t="n">
        <v>-2.032566134163097</v>
      </c>
      <c r="O992" s="6" t="n">
        <v>-2.129198813100328</v>
      </c>
      <c r="P992" s="6" t="n">
        <v>2.285050070030859</v>
      </c>
      <c r="Q992" s="6" t="n">
        <v>-0.8325593201279055</v>
      </c>
      <c r="R992" s="6" t="n">
        <v>-4.226425226618545</v>
      </c>
      <c r="S992" s="6" t="n">
        <v>-0.8187813562567391</v>
      </c>
      <c r="T992" s="6" t="n">
        <v>-2.188579824741696</v>
      </c>
      <c r="U992" s="6" t="n">
        <v>-3.633143486060011</v>
      </c>
      <c r="V992" s="6" t="n">
        <v>3.898008668375404</v>
      </c>
      <c r="W992" s="6" t="n">
        <v>-4.628030970780111</v>
      </c>
      <c r="X992" s="6" t="n">
        <v>-1.532859931378318</v>
      </c>
      <c r="Y992" s="6" t="n">
        <v>-1.34573306206952</v>
      </c>
      <c r="Z992" s="6" t="n">
        <v>0.5578187819032687</v>
      </c>
      <c r="AA992" s="6" t="n">
        <v>2.687259228080506</v>
      </c>
      <c r="AB992" s="6" t="n">
        <v>-3.736793760921522</v>
      </c>
      <c r="AC992" s="6" t="n">
        <v>2.053192871152858</v>
      </c>
      <c r="AD992" s="6" t="n">
        <v>0.7976155990597289</v>
      </c>
      <c r="AE992" s="6" t="n">
        <v>-3.867127969602348</v>
      </c>
      <c r="AF992" s="6" t="n">
        <v>2.025786911328978</v>
      </c>
      <c r="AG992" s="6" t="n">
        <v>4.183071864183468</v>
      </c>
      <c r="AH992" s="6" t="n">
        <v>-2.72582279241641</v>
      </c>
      <c r="AI992" s="6" t="n">
        <v>-2.42455585784162</v>
      </c>
      <c r="AJ992" s="6" t="n">
        <v>65.78576975915084</v>
      </c>
      <c r="AK992" s="6" t="n">
        <v>0.1143579540325615</v>
      </c>
      <c r="AL992" s="6" t="n">
        <v>1.042539513789769</v>
      </c>
      <c r="AN992" s="6" t="n">
        <v>1.334471274141855</v>
      </c>
      <c r="AO992" s="6" t="n">
        <v>1.339014491737107</v>
      </c>
      <c r="AP992" s="6" t="n">
        <v>0.1324498631609514</v>
      </c>
      <c r="AQ992" s="6" t="n">
        <v>0</v>
      </c>
      <c r="AR992" s="6" t="n">
        <v>0</v>
      </c>
    </row>
    <row r="993">
      <c r="D993" t="inlineStr">
        <is>
          <t>Run 681</t>
        </is>
      </c>
      <c r="J993" s="6" t="n">
        <v>-3.496773043499556</v>
      </c>
      <c r="K993" s="6" t="n">
        <v>1.420556223891324</v>
      </c>
      <c r="L993" s="6" t="n">
        <v>2.183145403710129</v>
      </c>
      <c r="M993" s="6" t="n">
        <v>-4.244843979978075</v>
      </c>
      <c r="N993" s="6" t="n">
        <v>-0.7830971926686211</v>
      </c>
      <c r="O993" s="6" t="n">
        <v>0.2437343622739988</v>
      </c>
      <c r="P993" s="6" t="n">
        <v>0.7176790040575071</v>
      </c>
      <c r="Q993" s="6" t="n">
        <v>-3.132738081394996</v>
      </c>
      <c r="R993" s="6" t="n">
        <v>2.377618270045763</v>
      </c>
      <c r="S993" s="6" t="n">
        <v>0.002294456254869564</v>
      </c>
      <c r="T993" s="6" t="n">
        <v>2.159154043832688</v>
      </c>
      <c r="U993" s="6" t="n">
        <v>0.2968726990650859</v>
      </c>
      <c r="V993" s="6" t="n">
        <v>-4.265477981995061</v>
      </c>
      <c r="W993" s="6" t="n">
        <v>2.226970383884971</v>
      </c>
      <c r="X993" s="6" t="n">
        <v>0.5784449991754761</v>
      </c>
      <c r="Y993" s="6" t="n">
        <v>2.432990576422619</v>
      </c>
      <c r="Z993" s="6" t="n">
        <v>-1.091276106999784</v>
      </c>
      <c r="AA993" s="6" t="n">
        <v>-1.785996988207633</v>
      </c>
      <c r="AB993" s="6" t="n">
        <v>-0.8805831235938318</v>
      </c>
      <c r="AC993" s="6" t="n">
        <v>2.960892100398501</v>
      </c>
      <c r="AD993" s="6" t="n">
        <v>3.396750922333797</v>
      </c>
      <c r="AE993" s="6" t="n">
        <v>-0.01933440343345146</v>
      </c>
      <c r="AF993" s="6" t="n">
        <v>-1.652678538502676</v>
      </c>
      <c r="AG993" s="6" t="n">
        <v>-0.9507927303816884</v>
      </c>
      <c r="AH993" s="6" t="n">
        <v>-2.755399633905185</v>
      </c>
      <c r="AI993" s="6" t="n">
        <v>1.763540942739575</v>
      </c>
      <c r="AJ993" s="6" t="n">
        <v>73.08202103998445</v>
      </c>
      <c r="AK993" s="6" t="n">
        <v>0.06658325936208714</v>
      </c>
      <c r="AL993" s="6" t="n">
        <v>1.088921307497766</v>
      </c>
      <c r="AN993" s="6" t="n">
        <v>1.292919905088618</v>
      </c>
      <c r="AO993" s="6" t="n">
        <v>1.300950166465578</v>
      </c>
      <c r="AP993" s="6" t="n">
        <v>0.13030371099137</v>
      </c>
      <c r="AQ993" s="6" t="n">
        <v>0</v>
      </c>
      <c r="AR993" s="6" t="n">
        <v>0</v>
      </c>
    </row>
    <row r="994">
      <c r="D994" t="inlineStr">
        <is>
          <t>Run 682</t>
        </is>
      </c>
      <c r="J994" s="6" t="n">
        <v>2.119852318195783</v>
      </c>
      <c r="K994" s="6" t="n">
        <v>1.787502778746579</v>
      </c>
      <c r="L994" s="6" t="n">
        <v>-5.260447700846998</v>
      </c>
      <c r="M994" s="6" t="n">
        <v>3.023305499727412</v>
      </c>
      <c r="N994" s="6" t="n">
        <v>0.4777101824701593</v>
      </c>
      <c r="O994" s="6" t="n">
        <v>-0.5471808719310381</v>
      </c>
      <c r="P994" s="6" t="n">
        <v>-0.1885524408533625</v>
      </c>
      <c r="Q994" s="6" t="n">
        <v>-0.1519539916030939</v>
      </c>
      <c r="R994" s="6" t="n">
        <v>-0.6668770136563584</v>
      </c>
      <c r="S994" s="6" t="n">
        <v>-0.5281306871417465</v>
      </c>
      <c r="T994" s="6" t="n">
        <v>1.091814250428911</v>
      </c>
      <c r="U994" s="6" t="n">
        <v>-1.350383146507121</v>
      </c>
      <c r="V994" s="6" t="n">
        <v>-0.4699981723547353</v>
      </c>
      <c r="W994" s="6" t="n">
        <v>-2.958392398539305</v>
      </c>
      <c r="X994" s="6" t="n">
        <v>0.5549972833794193</v>
      </c>
      <c r="Y994" s="6" t="n">
        <v>-0.2857099141149059</v>
      </c>
      <c r="Z994" s="6" t="n">
        <v>0.1137407523555817</v>
      </c>
      <c r="AA994" s="6" t="n">
        <v>-1.66241297762066</v>
      </c>
      <c r="AB994" s="6" t="n">
        <v>-0.4789501457765588</v>
      </c>
      <c r="AC994" s="6" t="n">
        <v>-2.939109582159969</v>
      </c>
      <c r="AD994" s="6" t="n">
        <v>0.2066258380782106</v>
      </c>
      <c r="AE994" s="6" t="n">
        <v>0.1366878555958981</v>
      </c>
      <c r="AF994" s="6" t="n">
        <v>5</v>
      </c>
      <c r="AG994" s="6" t="n">
        <v>-0.5650952970940302</v>
      </c>
      <c r="AH994" s="6" t="n">
        <v>1.172062457642157</v>
      </c>
      <c r="AI994" s="6" t="n">
        <v>-1.366642499053847</v>
      </c>
      <c r="AJ994" s="6" t="n">
        <v>73.49870505554395</v>
      </c>
      <c r="AK994" s="6" t="n">
        <v>0.1296978165783059</v>
      </c>
      <c r="AL994" s="6" t="n">
        <v>1.119719993606826</v>
      </c>
      <c r="AN994" s="6" t="n">
        <v>1.32061033641434</v>
      </c>
      <c r="AO994" s="6" t="n">
        <v>1.324525446209966</v>
      </c>
      <c r="AP994" s="6" t="n">
        <v>0.1279911262030443</v>
      </c>
      <c r="AQ994" s="6" t="n">
        <v>0</v>
      </c>
      <c r="AR994" s="6" t="n">
        <v>0</v>
      </c>
    </row>
    <row r="995">
      <c r="D995" t="inlineStr">
        <is>
          <t>Run 683</t>
        </is>
      </c>
      <c r="J995" s="6" t="n">
        <v>0.612193368674536</v>
      </c>
      <c r="K995" s="6" t="n">
        <v>-2.294866675254698</v>
      </c>
      <c r="L995" s="6" t="n">
        <v>0.88313838283918</v>
      </c>
      <c r="M995" s="6" t="n">
        <v>-1.231091446413132</v>
      </c>
      <c r="N995" s="6" t="n">
        <v>4.612835925786899</v>
      </c>
      <c r="O995" s="6" t="n">
        <v>-2.024397849957151</v>
      </c>
      <c r="P995" s="6" t="n">
        <v>-1.491858950589898</v>
      </c>
      <c r="Q995" s="6" t="n">
        <v>-2.375655971748776</v>
      </c>
      <c r="R995" s="6" t="n">
        <v>0.6799531376113009</v>
      </c>
      <c r="S995" s="6" t="n">
        <v>0.9579669730447614</v>
      </c>
      <c r="T995" s="6" t="n">
        <v>-0.664970248262725</v>
      </c>
      <c r="U995" s="6" t="n">
        <v>1.738520659195957</v>
      </c>
      <c r="V995" s="6" t="n">
        <v>1.818188165931437</v>
      </c>
      <c r="W995" s="6" t="n">
        <v>-1.356751606119964</v>
      </c>
      <c r="X995" s="6" t="n">
        <v>-0.4799164397858711</v>
      </c>
      <c r="Y995" s="6" t="n">
        <v>-0.8417374811326078</v>
      </c>
      <c r="Z995" s="6" t="n">
        <v>-1.105273456268625</v>
      </c>
      <c r="AA995" s="6" t="n">
        <v>-2.71011642162135</v>
      </c>
      <c r="AB995" s="6" t="n">
        <v>3.56329589897655</v>
      </c>
      <c r="AC995" s="6" t="n">
        <v>1.112417568244705</v>
      </c>
      <c r="AD995" s="6" t="n">
        <v>2.135475563511596</v>
      </c>
      <c r="AE995" s="6" t="n">
        <v>0.2055540945095171</v>
      </c>
      <c r="AF995" s="6" t="n">
        <v>-2.798458324603892</v>
      </c>
      <c r="AG995" s="6" t="n">
        <v>-0.8421584809621483</v>
      </c>
      <c r="AH995" s="6" t="n">
        <v>-1.62912317274754</v>
      </c>
      <c r="AI995" s="6" t="n">
        <v>1.928294294117419</v>
      </c>
      <c r="AJ995" s="6" t="n">
        <v>79.80222865301849</v>
      </c>
      <c r="AK995" s="6" t="n">
        <v>0.0925325298893567</v>
      </c>
      <c r="AL995" s="6" t="n">
        <v>1.057416534244189</v>
      </c>
      <c r="AN995" s="6" t="n">
        <v>1.344742273895112</v>
      </c>
      <c r="AO995" s="6" t="n">
        <v>1.346343146753416</v>
      </c>
      <c r="AP995" s="6" t="n">
        <v>0.1328486933740791</v>
      </c>
      <c r="AQ995" s="6" t="n">
        <v>0</v>
      </c>
      <c r="AR995" s="6" t="n">
        <v>0</v>
      </c>
    </row>
    <row r="996">
      <c r="D996" t="inlineStr">
        <is>
          <t>Run 684</t>
        </is>
      </c>
      <c r="J996" s="6" t="n">
        <v>1.637186237179021</v>
      </c>
      <c r="K996" s="6" t="n">
        <v>-2.409402781146248</v>
      </c>
      <c r="L996" s="6" t="n">
        <v>5</v>
      </c>
      <c r="M996" s="6" t="n">
        <v>-2.445850201226958</v>
      </c>
      <c r="N996" s="6" t="n">
        <v>0.1147836856527733</v>
      </c>
      <c r="O996" s="6" t="n">
        <v>0.1672679468519865</v>
      </c>
      <c r="P996" s="6" t="n">
        <v>-2.66034832001788</v>
      </c>
      <c r="Q996" s="6" t="n">
        <v>-0.9338953431380974</v>
      </c>
      <c r="R996" s="6" t="n">
        <v>-3.294199192509522</v>
      </c>
      <c r="S996" s="6" t="n">
        <v>-1.717712446010296</v>
      </c>
      <c r="T996" s="6" t="n">
        <v>-1.138779059397069</v>
      </c>
      <c r="U996" s="6" t="n">
        <v>-5.937102816694711</v>
      </c>
      <c r="V996" s="6" t="n">
        <v>0.860420715374605</v>
      </c>
      <c r="W996" s="6" t="n">
        <v>1.452709830537451</v>
      </c>
      <c r="X996" s="6" t="n">
        <v>-1.65384681081775</v>
      </c>
      <c r="Y996" s="6" t="n">
        <v>1.60060090928654</v>
      </c>
      <c r="Z996" s="6" t="n">
        <v>-0.647364629322817</v>
      </c>
      <c r="AA996" s="6" t="n">
        <v>1.961193322788058</v>
      </c>
      <c r="AB996" s="6" t="n">
        <v>-3.833686393812084</v>
      </c>
      <c r="AC996" s="6" t="n">
        <v>0.4920414438340649</v>
      </c>
      <c r="AD996" s="6" t="n">
        <v>1.636153050942805</v>
      </c>
      <c r="AE996" s="6" t="n">
        <v>0.613448983031732</v>
      </c>
      <c r="AF996" s="6" t="n">
        <v>2.123728376183782</v>
      </c>
      <c r="AG996" s="6" t="n">
        <v>-1.345729713479828</v>
      </c>
      <c r="AH996" s="6" t="n">
        <v>2.778480564832644</v>
      </c>
      <c r="AI996" s="6" t="n">
        <v>-1.720642798955554</v>
      </c>
      <c r="AJ996" s="6" t="n">
        <v>67.95553071462427</v>
      </c>
      <c r="AK996" s="6" t="n">
        <v>0.1284876920719689</v>
      </c>
      <c r="AL996" s="6" t="n">
        <v>1.131428710949097</v>
      </c>
      <c r="AN996" s="6" t="n">
        <v>1.305201577452882</v>
      </c>
      <c r="AO996" s="6" t="n">
        <v>1.312995538160576</v>
      </c>
      <c r="AP996" s="6" t="n">
        <v>0.1272401212878937</v>
      </c>
      <c r="AQ996" s="6" t="n">
        <v>0</v>
      </c>
      <c r="AR996" s="6" t="n">
        <v>0</v>
      </c>
    </row>
    <row r="997">
      <c r="D997" t="inlineStr">
        <is>
          <t>Run 685</t>
        </is>
      </c>
      <c r="J997" s="6" t="n">
        <v>2.121688827562568</v>
      </c>
      <c r="K997" s="6" t="n">
        <v>-0.5312074959334325</v>
      </c>
      <c r="L997" s="6" t="n">
        <v>1.370787567079069</v>
      </c>
      <c r="M997" s="6" t="n">
        <v>1.789184956133729</v>
      </c>
      <c r="N997" s="6" t="n">
        <v>1.631867420946967</v>
      </c>
      <c r="O997" s="6" t="n">
        <v>-2.333232720727068</v>
      </c>
      <c r="P997" s="6" t="n">
        <v>-2.787855412576761</v>
      </c>
      <c r="Q997" s="6" t="n">
        <v>0.8827061782024616</v>
      </c>
      <c r="R997" s="6" t="n">
        <v>1.076041758537347</v>
      </c>
      <c r="S997" s="6" t="n">
        <v>-2.898989497961027</v>
      </c>
      <c r="T997" s="6" t="n">
        <v>-1.307325037427712</v>
      </c>
      <c r="U997" s="6" t="n">
        <v>0.05099873109700321</v>
      </c>
      <c r="V997" s="6" t="n">
        <v>1.494352496028655</v>
      </c>
      <c r="W997" s="6" t="n">
        <v>-0.2024562193580854</v>
      </c>
      <c r="X997" s="6" t="n">
        <v>4.062240954179851</v>
      </c>
      <c r="Y997" s="6" t="n">
        <v>2.44249207882291</v>
      </c>
      <c r="Z997" s="6" t="n">
        <v>-1.557030205019571</v>
      </c>
      <c r="AA997" s="6" t="n">
        <v>1.496840975142805</v>
      </c>
      <c r="AB997" s="6" t="n">
        <v>-4.049622345372564</v>
      </c>
      <c r="AC997" s="6" t="n">
        <v>-2.450071158533916</v>
      </c>
      <c r="AD997" s="6" t="n">
        <v>0.04543798715130878</v>
      </c>
      <c r="AE997" s="6" t="n">
        <v>-0.2530610324556883</v>
      </c>
      <c r="AF997" s="6" t="n">
        <v>-0.4991278670259771</v>
      </c>
      <c r="AG997" s="6" t="n">
        <v>-0.9741109383618221</v>
      </c>
      <c r="AH997" s="6" t="n">
        <v>-4.139875587905981</v>
      </c>
      <c r="AI997" s="6" t="n">
        <v>1.321154373679512</v>
      </c>
      <c r="AJ997" s="6" t="n">
        <v>78.4757060881126</v>
      </c>
      <c r="AK997" s="6" t="n">
        <v>0.05879172812960787</v>
      </c>
      <c r="AL997" s="6" t="n">
        <v>1.075894528331469</v>
      </c>
      <c r="AN997" s="6" t="n">
        <v>1.345575262569475</v>
      </c>
      <c r="AO997" s="6" t="n">
        <v>1.345645961347488</v>
      </c>
      <c r="AP997" s="6" t="n">
        <v>0.1325367694978291</v>
      </c>
      <c r="AQ997" s="6" t="n">
        <v>0</v>
      </c>
      <c r="AR997" s="6" t="n">
        <v>0</v>
      </c>
    </row>
    <row r="998">
      <c r="D998" t="inlineStr">
        <is>
          <t>Run 686</t>
        </is>
      </c>
      <c r="J998" s="6" t="n">
        <v>-0.1718591987333915</v>
      </c>
      <c r="K998" s="6" t="n">
        <v>2.024416052586662</v>
      </c>
      <c r="L998" s="6" t="n">
        <v>2.586244050806102</v>
      </c>
      <c r="M998" s="6" t="n">
        <v>-0.5606995123094428</v>
      </c>
      <c r="N998" s="6" t="n">
        <v>1.382501618866072</v>
      </c>
      <c r="O998" s="6" t="n">
        <v>-0.8515758753090075</v>
      </c>
      <c r="P998" s="6" t="n">
        <v>-1.34776518212162</v>
      </c>
      <c r="Q998" s="6" t="n">
        <v>-0.7584467174494929</v>
      </c>
      <c r="R998" s="6" t="n">
        <v>-0.9876482927626928</v>
      </c>
      <c r="S998" s="6" t="n">
        <v>-0.02469733244513924</v>
      </c>
      <c r="T998" s="6" t="n">
        <v>2.815417908367851</v>
      </c>
      <c r="U998" s="6" t="n">
        <v>1.732980856560386</v>
      </c>
      <c r="V998" s="6" t="n">
        <v>0.514870638455577</v>
      </c>
      <c r="W998" s="6" t="n">
        <v>2.141035943619215</v>
      </c>
      <c r="X998" s="6" t="n">
        <v>0.7185532407547496</v>
      </c>
      <c r="Y998" s="6" t="n">
        <v>1.259950263952976</v>
      </c>
      <c r="Z998" s="6" t="n">
        <v>1.682149057816123</v>
      </c>
      <c r="AA998" s="6" t="n">
        <v>2.995921383906039</v>
      </c>
      <c r="AB998" s="6" t="n">
        <v>-2.53654754198718</v>
      </c>
      <c r="AC998" s="6" t="n">
        <v>-1.304038065749881</v>
      </c>
      <c r="AD998" s="6" t="n">
        <v>-0.1580766246429576</v>
      </c>
      <c r="AE998" s="6" t="n">
        <v>0.3319300266923145</v>
      </c>
      <c r="AF998" s="6" t="n">
        <v>0.9699881433647385</v>
      </c>
      <c r="AG998" s="6" t="n">
        <v>-4.267779366786287</v>
      </c>
      <c r="AH998" s="6" t="n">
        <v>0.5003699973634794</v>
      </c>
      <c r="AI998" s="6" t="n">
        <v>-5.602601313835636</v>
      </c>
      <c r="AJ998" s="6" t="n">
        <v>66.66159867939398</v>
      </c>
      <c r="AK998" s="6" t="n">
        <v>0.127863178022203</v>
      </c>
      <c r="AL998" s="6" t="n">
        <v>1.013447003082373</v>
      </c>
      <c r="AN998" s="6" t="n">
        <v>1.350208135202553</v>
      </c>
      <c r="AO998" s="6" t="n">
        <v>1.350691422415139</v>
      </c>
      <c r="AP998" s="6" t="n">
        <v>0.1356312318854778</v>
      </c>
      <c r="AQ998" s="6" t="n">
        <v>0</v>
      </c>
      <c r="AR998" s="6" t="n">
        <v>0</v>
      </c>
    </row>
    <row r="999">
      <c r="D999" t="inlineStr">
        <is>
          <t>Run 687</t>
        </is>
      </c>
      <c r="J999" s="6" t="n">
        <v>0.4314517983192881</v>
      </c>
      <c r="K999" s="6" t="n">
        <v>1.796864134272873</v>
      </c>
      <c r="L999" s="6" t="n">
        <v>-2.375605843097876</v>
      </c>
      <c r="M999" s="6" t="n">
        <v>0.1382144968872352</v>
      </c>
      <c r="N999" s="6" t="n">
        <v>-0.2186489181750405</v>
      </c>
      <c r="O999" s="6" t="n">
        <v>-0.7099449730437203</v>
      </c>
      <c r="P999" s="6" t="n">
        <v>1.535380228572457</v>
      </c>
      <c r="Q999" s="6" t="n">
        <v>-2.548473528143106</v>
      </c>
      <c r="R999" s="6" t="n">
        <v>1.371823084358002</v>
      </c>
      <c r="S999" s="6" t="n">
        <v>-2.228191814712099</v>
      </c>
      <c r="T999" s="6" t="n">
        <v>-0.5589959551092522</v>
      </c>
      <c r="U999" s="6" t="n">
        <v>1.607110826993386</v>
      </c>
      <c r="V999" s="6" t="n">
        <v>0.9894520943835403</v>
      </c>
      <c r="W999" s="6" t="n">
        <v>-3.879828447832526</v>
      </c>
      <c r="X999" s="6" t="n">
        <v>-1.491794997661063</v>
      </c>
      <c r="Y999" s="6" t="n">
        <v>1.531855213702084</v>
      </c>
      <c r="Z999" s="6" t="n">
        <v>2.717631119646426</v>
      </c>
      <c r="AA999" s="6" t="n">
        <v>0.320735144072848</v>
      </c>
      <c r="AB999" s="6" t="n">
        <v>-0.9366595125148466</v>
      </c>
      <c r="AC999" s="6" t="n">
        <v>2.622725796797687</v>
      </c>
      <c r="AD999" s="6" t="n">
        <v>2.185489681023725</v>
      </c>
      <c r="AE999" s="6" t="n">
        <v>0.6673151892532847</v>
      </c>
      <c r="AF999" s="6" t="n">
        <v>-1.178604596308016</v>
      </c>
      <c r="AG999" s="6" t="n">
        <v>-1.68326441357061</v>
      </c>
      <c r="AH999" s="6" t="n">
        <v>-3.437347596925858</v>
      </c>
      <c r="AI999" s="6" t="n">
        <v>3.832768902430082</v>
      </c>
      <c r="AJ999" s="6" t="n">
        <v>80.13414033351728</v>
      </c>
      <c r="AK999" s="6" t="n">
        <v>0.1280241110512071</v>
      </c>
      <c r="AL999" s="6" t="n">
        <v>1.05815061215135</v>
      </c>
      <c r="AN999" s="6" t="n">
        <v>1.347368409014547</v>
      </c>
      <c r="AO999" s="6" t="n">
        <v>1.348105452644049</v>
      </c>
      <c r="AP999" s="6" t="n">
        <v>0.1318698396657488</v>
      </c>
      <c r="AQ999" s="6" t="n">
        <v>0</v>
      </c>
      <c r="AR999" s="6" t="n">
        <v>0</v>
      </c>
    </row>
    <row r="1000">
      <c r="D1000" t="inlineStr">
        <is>
          <t>Run 688</t>
        </is>
      </c>
      <c r="J1000" s="6" t="n">
        <v>3.115768384163341</v>
      </c>
      <c r="K1000" s="6" t="n">
        <v>1.574905614919916</v>
      </c>
      <c r="L1000" s="6" t="n">
        <v>0.5634109406670323</v>
      </c>
      <c r="M1000" s="6" t="n">
        <v>1.445313034252524</v>
      </c>
      <c r="N1000" s="6" t="n">
        <v>0.9693219758990993</v>
      </c>
      <c r="O1000" s="6" t="n">
        <v>0.4342260064647377</v>
      </c>
      <c r="P1000" s="6" t="n">
        <v>-1.808808413000401</v>
      </c>
      <c r="Q1000" s="6" t="n">
        <v>3.624497512706617</v>
      </c>
      <c r="R1000" s="6" t="n">
        <v>-0.06612892631166238</v>
      </c>
      <c r="S1000" s="6" t="n">
        <v>0.2689799114883855</v>
      </c>
      <c r="T1000" s="6" t="n">
        <v>-2.29163925119151</v>
      </c>
      <c r="U1000" s="6" t="n">
        <v>-0.5571133007298643</v>
      </c>
      <c r="V1000" s="6" t="n">
        <v>0.7677524638942419</v>
      </c>
      <c r="W1000" s="6" t="n">
        <v>1.565847499598475</v>
      </c>
      <c r="X1000" s="6" t="n">
        <v>-0.6488626011364651</v>
      </c>
      <c r="Y1000" s="6" t="n">
        <v>-0.4661083086764004</v>
      </c>
      <c r="Z1000" s="6" t="n">
        <v>0.6848421727583872</v>
      </c>
      <c r="AA1000" s="6" t="n">
        <v>-0.5858174383477777</v>
      </c>
      <c r="AB1000" s="6" t="n">
        <v>-3.778947723384954</v>
      </c>
      <c r="AC1000" s="6" t="n">
        <v>1.732694706415975</v>
      </c>
      <c r="AD1000" s="6" t="n">
        <v>-3.688761421267747</v>
      </c>
      <c r="AE1000" s="6" t="n">
        <v>0.1722038835865307</v>
      </c>
      <c r="AF1000" s="6" t="n">
        <v>0.9216498375893111</v>
      </c>
      <c r="AG1000" s="6" t="n">
        <v>-3.10161595164464</v>
      </c>
      <c r="AH1000" s="6" t="n">
        <v>1.000717445673567</v>
      </c>
      <c r="AI1000" s="6" t="n">
        <v>-2.212926414335663</v>
      </c>
      <c r="AJ1000" s="6" t="n">
        <v>73.86423121396109</v>
      </c>
      <c r="AK1000" s="6" t="n">
        <v>0.1293041081760864</v>
      </c>
      <c r="AL1000" s="6" t="n">
        <v>1.045826846228747</v>
      </c>
      <c r="AN1000" s="6" t="n">
        <v>1.348131418733774</v>
      </c>
      <c r="AO1000" s="6" t="n">
        <v>1.348158034418466</v>
      </c>
      <c r="AP1000" s="6" t="n">
        <v>0.132747669632833</v>
      </c>
      <c r="AQ1000" s="6" t="n">
        <v>0</v>
      </c>
      <c r="AR1000" s="6" t="n">
        <v>0</v>
      </c>
    </row>
    <row r="1001">
      <c r="D1001" t="inlineStr">
        <is>
          <t>Run 689</t>
        </is>
      </c>
      <c r="J1001" s="6" t="n">
        <v>1.668130299753289</v>
      </c>
      <c r="K1001" s="6" t="n">
        <v>3.731460148503801</v>
      </c>
      <c r="L1001" s="6" t="n">
        <v>3.060376947513135</v>
      </c>
      <c r="M1001" s="6" t="n">
        <v>-0.5980381925784181</v>
      </c>
      <c r="N1001" s="6" t="n">
        <v>1.057318639841763</v>
      </c>
      <c r="O1001" s="6" t="n">
        <v>2.137435211108473</v>
      </c>
      <c r="P1001" s="6" t="n">
        <v>1.493293901903789</v>
      </c>
      <c r="Q1001" s="6" t="n">
        <v>2.990798903327904</v>
      </c>
      <c r="R1001" s="6" t="n">
        <v>1.099426283862294</v>
      </c>
      <c r="S1001" s="6" t="n">
        <v>-0.3208398711912269</v>
      </c>
      <c r="T1001" s="6" t="n">
        <v>-1.076132776836866</v>
      </c>
      <c r="U1001" s="6" t="n">
        <v>-1.563975676522373</v>
      </c>
      <c r="V1001" s="6" t="n">
        <v>0.1665459998981759</v>
      </c>
      <c r="W1001" s="6" t="n">
        <v>3.613556128233073</v>
      </c>
      <c r="X1001" s="6" t="n">
        <v>-0.1320443416917837</v>
      </c>
      <c r="Y1001" s="6" t="n">
        <v>-0.3149149616625534</v>
      </c>
      <c r="Z1001" s="6" t="n">
        <v>3.585822247177559</v>
      </c>
      <c r="AA1001" s="6" t="n">
        <v>-1.394772566486447</v>
      </c>
      <c r="AB1001" s="6" t="n">
        <v>-3.50601370372825</v>
      </c>
      <c r="AC1001" s="6" t="n">
        <v>1.602432485740344</v>
      </c>
      <c r="AD1001" s="6" t="n">
        <v>-1.873698338886157</v>
      </c>
      <c r="AE1001" s="6" t="n">
        <v>-3.315590246395854</v>
      </c>
      <c r="AF1001" s="6" t="n">
        <v>-0.186954304573965</v>
      </c>
      <c r="AG1001" s="6" t="n">
        <v>0.9822778035856309</v>
      </c>
      <c r="AH1001" s="6" t="n">
        <v>1.400450096329363</v>
      </c>
      <c r="AI1001" s="6" t="n">
        <v>-1.30507564710721</v>
      </c>
      <c r="AJ1001" s="6" t="n">
        <v>78.23753550272667</v>
      </c>
      <c r="AK1001" s="6" t="n">
        <v>0.1075366597015827</v>
      </c>
      <c r="AL1001" s="6" t="n">
        <v>1.008754889870606</v>
      </c>
      <c r="AN1001" s="6" t="n">
        <v>1.357427679634999</v>
      </c>
      <c r="AO1001" s="6" t="n">
        <v>1.357427679634999</v>
      </c>
      <c r="AP1001" s="6" t="n">
        <v>0.1383826488277033</v>
      </c>
      <c r="AQ1001" s="6" t="n">
        <v>0</v>
      </c>
      <c r="AR1001" s="6" t="n">
        <v>0</v>
      </c>
    </row>
    <row r="1002">
      <c r="D1002" t="inlineStr">
        <is>
          <t>Run 690</t>
        </is>
      </c>
      <c r="J1002" s="6" t="n">
        <v>0.6875008980440355</v>
      </c>
      <c r="K1002" s="6" t="n">
        <v>-0.6014409724269126</v>
      </c>
      <c r="L1002" s="6" t="n">
        <v>2.157784156998294</v>
      </c>
      <c r="M1002" s="6" t="n">
        <v>0.2143091304752219</v>
      </c>
      <c r="N1002" s="6" t="n">
        <v>1.397755575462629</v>
      </c>
      <c r="O1002" s="6" t="n">
        <v>-2.061101326921517</v>
      </c>
      <c r="P1002" s="6" t="n">
        <v>-1.920976536974925</v>
      </c>
      <c r="Q1002" s="6" t="n">
        <v>-0.7415127667590762</v>
      </c>
      <c r="R1002" s="6" t="n">
        <v>0.202722359558309</v>
      </c>
      <c r="S1002" s="6" t="n">
        <v>1.87379317713617</v>
      </c>
      <c r="T1002" s="6" t="n">
        <v>1.105188997391469</v>
      </c>
      <c r="U1002" s="6" t="n">
        <v>5</v>
      </c>
      <c r="V1002" s="6" t="n">
        <v>1.730091994578324</v>
      </c>
      <c r="W1002" s="6" t="n">
        <v>2.242072572841911</v>
      </c>
      <c r="X1002" s="6" t="n">
        <v>1.173620667299541</v>
      </c>
      <c r="Y1002" s="6" t="n">
        <v>1.837230734340748</v>
      </c>
      <c r="Z1002" s="6" t="n">
        <v>0.6423075189688513</v>
      </c>
      <c r="AA1002" s="6" t="n">
        <v>-2.326860035569238</v>
      </c>
      <c r="AB1002" s="6" t="n">
        <v>0.8456992094341844</v>
      </c>
      <c r="AC1002" s="6" t="n">
        <v>1.195514302515742</v>
      </c>
      <c r="AD1002" s="6" t="n">
        <v>-3.91347716710063</v>
      </c>
      <c r="AE1002" s="6" t="n">
        <v>-2.963284274560698</v>
      </c>
      <c r="AF1002" s="6" t="n">
        <v>-0.2574053476007986</v>
      </c>
      <c r="AG1002" s="6" t="n">
        <v>-3.078117454172175</v>
      </c>
      <c r="AH1002" s="6" t="n">
        <v>4.287800927861709</v>
      </c>
      <c r="AI1002" s="6" t="n">
        <v>0.7728810098234589</v>
      </c>
      <c r="AJ1002" s="6" t="n">
        <v>57.35998036108377</v>
      </c>
      <c r="AK1002" s="6" t="n">
        <v>0.1542846129761305</v>
      </c>
      <c r="AL1002" s="6" t="n">
        <v>1.035098923810477</v>
      </c>
      <c r="AN1002" s="6" t="n">
        <v>1.341286776821014</v>
      </c>
      <c r="AO1002" s="6" t="n">
        <v>1.341286776821014</v>
      </c>
      <c r="AP1002" s="6" t="n">
        <v>0.1318522255950445</v>
      </c>
      <c r="AQ1002" s="6" t="n">
        <v>0</v>
      </c>
      <c r="AR1002" s="6" t="n">
        <v>0</v>
      </c>
    </row>
    <row r="1003">
      <c r="D1003" t="inlineStr">
        <is>
          <t>Run 691</t>
        </is>
      </c>
      <c r="J1003" s="6" t="n">
        <v>0.7032864558280995</v>
      </c>
      <c r="K1003" s="6" t="n">
        <v>1.485205306326327</v>
      </c>
      <c r="L1003" s="6" t="n">
        <v>-1.851190385335236</v>
      </c>
      <c r="M1003" s="6" t="n">
        <v>3.017736742371522</v>
      </c>
      <c r="N1003" s="6" t="n">
        <v>2.081130384169438</v>
      </c>
      <c r="O1003" s="6" t="n">
        <v>1.935642166832475</v>
      </c>
      <c r="P1003" s="6" t="n">
        <v>-0.09437047272573972</v>
      </c>
      <c r="Q1003" s="6" t="n">
        <v>-0.7037532679865176</v>
      </c>
      <c r="R1003" s="6" t="n">
        <v>0.2566459803930092</v>
      </c>
      <c r="S1003" s="6" t="n">
        <v>-1.052410527339433</v>
      </c>
      <c r="T1003" s="6" t="n">
        <v>-2.097481307165149</v>
      </c>
      <c r="U1003" s="6" t="n">
        <v>-2.272912194301993</v>
      </c>
      <c r="V1003" s="6" t="n">
        <v>-1.461982992641128</v>
      </c>
      <c r="W1003" s="6" t="n">
        <v>1.750533480572305</v>
      </c>
      <c r="X1003" s="6" t="n">
        <v>2.036116126531269</v>
      </c>
      <c r="Y1003" s="6" t="n">
        <v>-1.146985730814938</v>
      </c>
      <c r="Z1003" s="6" t="n">
        <v>-3.224688154914046</v>
      </c>
      <c r="AA1003" s="6" t="n">
        <v>0.4532291604025154</v>
      </c>
      <c r="AB1003" s="6" t="n">
        <v>-1.760733221843646</v>
      </c>
      <c r="AC1003" s="6" t="n">
        <v>1.527467999900662</v>
      </c>
      <c r="AD1003" s="6" t="n">
        <v>-2.151111370795265</v>
      </c>
      <c r="AE1003" s="6" t="n">
        <v>-0.8452114389850888</v>
      </c>
      <c r="AF1003" s="6" t="n">
        <v>-1.31240812165389</v>
      </c>
      <c r="AG1003" s="6" t="n">
        <v>-2.598580555379906</v>
      </c>
      <c r="AH1003" s="6" t="n">
        <v>0.6092950154314702</v>
      </c>
      <c r="AI1003" s="6" t="n">
        <v>0.6611786591561426</v>
      </c>
      <c r="AJ1003" s="6" t="n">
        <v>80.62258528125113</v>
      </c>
      <c r="AK1003" s="6" t="n">
        <v>0.1504649330016619</v>
      </c>
      <c r="AL1003" s="6" t="n">
        <v>1.063104888311545</v>
      </c>
      <c r="AN1003" s="6" t="n">
        <v>1.340241473880677</v>
      </c>
      <c r="AO1003" s="6" t="n">
        <v>1.340309917204075</v>
      </c>
      <c r="AP1003" s="6" t="n">
        <v>0.1308657847221541</v>
      </c>
      <c r="AQ1003" s="6" t="n">
        <v>0</v>
      </c>
      <c r="AR1003" s="6" t="n">
        <v>0</v>
      </c>
    </row>
    <row r="1004">
      <c r="D1004" t="inlineStr">
        <is>
          <t>Run 692</t>
        </is>
      </c>
      <c r="J1004" s="6" t="n">
        <v>1.512628838284593</v>
      </c>
      <c r="K1004" s="6" t="n">
        <v>-3.934824708650125</v>
      </c>
      <c r="L1004" s="6" t="n">
        <v>-1.878289020580046</v>
      </c>
      <c r="M1004" s="6" t="n">
        <v>4.26276748030231</v>
      </c>
      <c r="N1004" s="6" t="n">
        <v>0.5946236538551666</v>
      </c>
      <c r="O1004" s="6" t="n">
        <v>-0.6721442873732869</v>
      </c>
      <c r="P1004" s="6" t="n">
        <v>0.1353000948411142</v>
      </c>
      <c r="Q1004" s="6" t="n">
        <v>-3.849838233982324</v>
      </c>
      <c r="R1004" s="6" t="n">
        <v>-0.3373419866999475</v>
      </c>
      <c r="S1004" s="6" t="n">
        <v>-1.275491857034019</v>
      </c>
      <c r="T1004" s="6" t="n">
        <v>-1.095062360333367</v>
      </c>
      <c r="U1004" s="6" t="n">
        <v>-0.5598151318928059</v>
      </c>
      <c r="V1004" s="6" t="n">
        <v>1.237599272080227</v>
      </c>
      <c r="W1004" s="6" t="n">
        <v>1.610993603169462</v>
      </c>
      <c r="X1004" s="6" t="n">
        <v>3.988435340213047</v>
      </c>
      <c r="Y1004" s="6" t="n">
        <v>2.040904428810019</v>
      </c>
      <c r="Z1004" s="6" t="n">
        <v>-1.213768607738666</v>
      </c>
      <c r="AA1004" s="6" t="n">
        <v>-0.06998568949202444</v>
      </c>
      <c r="AB1004" s="6" t="n">
        <v>-2.04910502575124</v>
      </c>
      <c r="AC1004" s="6" t="n">
        <v>-0.3091298349413447</v>
      </c>
      <c r="AD1004" s="6" t="n">
        <v>0.1102037457924033</v>
      </c>
      <c r="AE1004" s="6" t="n">
        <v>-0.8024904682634278</v>
      </c>
      <c r="AF1004" s="6" t="n">
        <v>-5.003254762065792</v>
      </c>
      <c r="AG1004" s="6" t="n">
        <v>-4.939037841368322</v>
      </c>
      <c r="AH1004" s="6" t="n">
        <v>-0.7179572659110518</v>
      </c>
      <c r="AI1004" s="6" t="n">
        <v>0.8769369832068334</v>
      </c>
      <c r="AJ1004" s="6" t="n">
        <v>78.03515704094913</v>
      </c>
      <c r="AK1004" s="6" t="n">
        <v>0.09990636765062855</v>
      </c>
      <c r="AL1004" s="6" t="n">
        <v>1.047912643075785</v>
      </c>
      <c r="AN1004" s="6" t="n">
        <v>1.34315049184061</v>
      </c>
      <c r="AO1004" s="6" t="n">
        <v>1.347221860487584</v>
      </c>
      <c r="AP1004" s="6" t="n">
        <v>0.1329756501006956</v>
      </c>
      <c r="AQ1004" s="6" t="n">
        <v>0</v>
      </c>
      <c r="AR1004" s="6" t="n">
        <v>0</v>
      </c>
    </row>
    <row r="1005">
      <c r="D1005" t="inlineStr">
        <is>
          <t>Run 693</t>
        </is>
      </c>
      <c r="J1005" s="6" t="n">
        <v>0.7392728338434043</v>
      </c>
      <c r="K1005" s="6" t="n">
        <v>0.468672492857992</v>
      </c>
      <c r="L1005" s="6" t="n">
        <v>0.298194073463858</v>
      </c>
      <c r="M1005" s="6" t="n">
        <v>-2.220808942884049</v>
      </c>
      <c r="N1005" s="6" t="n">
        <v>1.681555487199442</v>
      </c>
      <c r="O1005" s="6" t="n">
        <v>-0.9511955276023589</v>
      </c>
      <c r="P1005" s="6" t="n">
        <v>-2.510021938520548</v>
      </c>
      <c r="Q1005" s="6" t="n">
        <v>-3.256025172527466</v>
      </c>
      <c r="R1005" s="6" t="n">
        <v>0.1110668842689435</v>
      </c>
      <c r="S1005" s="6" t="n">
        <v>2.169906008902705</v>
      </c>
      <c r="T1005" s="6" t="n">
        <v>-2.041731704020254</v>
      </c>
      <c r="U1005" s="6" t="n">
        <v>-1.526858317208903</v>
      </c>
      <c r="V1005" s="6" t="n">
        <v>2.167554769852849</v>
      </c>
      <c r="W1005" s="6" t="n">
        <v>0.7135530150017492</v>
      </c>
      <c r="X1005" s="6" t="n">
        <v>-1.293288316616617</v>
      </c>
      <c r="Y1005" s="6" t="n">
        <v>1.66308672209101</v>
      </c>
      <c r="Z1005" s="6" t="n">
        <v>-1.240648398290296</v>
      </c>
      <c r="AA1005" s="6" t="n">
        <v>0.9192254746347167</v>
      </c>
      <c r="AB1005" s="6" t="n">
        <v>-3.227665311691459</v>
      </c>
      <c r="AC1005" s="6" t="n">
        <v>-2.000083612392627</v>
      </c>
      <c r="AD1005" s="6" t="n">
        <v>0.3891258192552852</v>
      </c>
      <c r="AE1005" s="6" t="n">
        <v>-0.2012778451738985</v>
      </c>
      <c r="AF1005" s="6" t="n">
        <v>-1.172177532012203</v>
      </c>
      <c r="AG1005" s="6" t="n">
        <v>-0.5003309057998637</v>
      </c>
      <c r="AH1005" s="6" t="n">
        <v>2.001821146647982</v>
      </c>
      <c r="AI1005" s="6" t="n">
        <v>-2.396358863522544</v>
      </c>
      <c r="AJ1005" s="6" t="n">
        <v>80.87010110335018</v>
      </c>
      <c r="AK1005" s="6" t="n">
        <v>0.070946098352606</v>
      </c>
      <c r="AL1005" s="6" t="n">
        <v>1.062075048532586</v>
      </c>
      <c r="AN1005" s="6" t="n">
        <v>1.331697567280421</v>
      </c>
      <c r="AO1005" s="6" t="n">
        <v>1.33888577562455</v>
      </c>
      <c r="AP1005" s="6" t="n">
        <v>0.13273989774583</v>
      </c>
      <c r="AQ1005" s="6" t="n">
        <v>0</v>
      </c>
      <c r="AR1005" s="6" t="n">
        <v>0</v>
      </c>
    </row>
    <row r="1006">
      <c r="D1006" t="inlineStr">
        <is>
          <t>Run 694</t>
        </is>
      </c>
      <c r="J1006" s="6" t="n">
        <v>2.770362400306945</v>
      </c>
      <c r="K1006" s="6" t="n">
        <v>-1.613707861996289</v>
      </c>
      <c r="L1006" s="6" t="n">
        <v>5</v>
      </c>
      <c r="M1006" s="6" t="n">
        <v>1.499966838113345</v>
      </c>
      <c r="N1006" s="6" t="n">
        <v>2.95687148709521</v>
      </c>
      <c r="O1006" s="6" t="n">
        <v>3.40097052450859</v>
      </c>
      <c r="P1006" s="6" t="n">
        <v>3.171838826351045</v>
      </c>
      <c r="Q1006" s="6" t="n">
        <v>-1.04035892133348</v>
      </c>
      <c r="R1006" s="6" t="n">
        <v>-1.144357785459108</v>
      </c>
      <c r="S1006" s="6" t="n">
        <v>-0.6444669744432668</v>
      </c>
      <c r="T1006" s="6" t="n">
        <v>0.1400926640799394</v>
      </c>
      <c r="U1006" s="6" t="n">
        <v>2.372665740891841</v>
      </c>
      <c r="V1006" s="6" t="n">
        <v>1.371444872206232</v>
      </c>
      <c r="W1006" s="6" t="n">
        <v>1.972464897081613</v>
      </c>
      <c r="X1006" s="6" t="n">
        <v>-1.352820801804778</v>
      </c>
      <c r="Y1006" s="6" t="n">
        <v>-3.595269882330435</v>
      </c>
      <c r="Z1006" s="6" t="n">
        <v>0.7284486571304206</v>
      </c>
      <c r="AA1006" s="6" t="n">
        <v>0.6607518164626403</v>
      </c>
      <c r="AB1006" s="6" t="n">
        <v>1.9262278116396</v>
      </c>
      <c r="AC1006" s="6" t="n">
        <v>-1.633103510620966</v>
      </c>
      <c r="AD1006" s="6" t="n">
        <v>-2.933268186705496</v>
      </c>
      <c r="AE1006" s="6" t="n">
        <v>0.9721044987302612</v>
      </c>
      <c r="AF1006" s="6" t="n">
        <v>-0.4710812171989898</v>
      </c>
      <c r="AG1006" s="6" t="n">
        <v>-0.4402319916604139</v>
      </c>
      <c r="AH1006" s="6" t="n">
        <v>1.437130126110713</v>
      </c>
      <c r="AI1006" s="6" t="n">
        <v>-2.045130266431436</v>
      </c>
      <c r="AJ1006" s="6" t="n">
        <v>64.06841949712627</v>
      </c>
      <c r="AK1006" s="6" t="n">
        <v>0.116946369244353</v>
      </c>
      <c r="AL1006" s="6" t="n">
        <v>1.038960737261492</v>
      </c>
      <c r="AN1006" s="6" t="n">
        <v>1.344810485640529</v>
      </c>
      <c r="AO1006" s="6" t="n">
        <v>1.345355293112718</v>
      </c>
      <c r="AP1006" s="6" t="n">
        <v>0.1326039771888874</v>
      </c>
      <c r="AQ1006" s="6" t="n">
        <v>0</v>
      </c>
      <c r="AR1006" s="6" t="n">
        <v>0</v>
      </c>
    </row>
    <row r="1007">
      <c r="D1007" t="inlineStr">
        <is>
          <t>Run 695</t>
        </is>
      </c>
      <c r="J1007" s="6" t="n">
        <v>-2.661725107377524</v>
      </c>
      <c r="K1007" s="6" t="n">
        <v>0.1194587866654807</v>
      </c>
      <c r="L1007" s="6" t="n">
        <v>0.8366718607276619</v>
      </c>
      <c r="M1007" s="6" t="n">
        <v>0.3347189391461722</v>
      </c>
      <c r="N1007" s="6" t="n">
        <v>-1.629804131806964</v>
      </c>
      <c r="O1007" s="6" t="n">
        <v>1.040817940570907</v>
      </c>
      <c r="P1007" s="6" t="n">
        <v>0.3892958153669302</v>
      </c>
      <c r="Q1007" s="6" t="n">
        <v>-2.676674297874295</v>
      </c>
      <c r="R1007" s="6" t="n">
        <v>1.01224513155605</v>
      </c>
      <c r="S1007" s="6" t="n">
        <v>-1.045135957950543</v>
      </c>
      <c r="T1007" s="6" t="n">
        <v>0.1124995384238224</v>
      </c>
      <c r="U1007" s="6" t="n">
        <v>-0.6874724222059487</v>
      </c>
      <c r="V1007" s="6" t="n">
        <v>0.8721942685561298</v>
      </c>
      <c r="W1007" s="6" t="n">
        <v>1.448293923126933</v>
      </c>
      <c r="X1007" s="6" t="n">
        <v>1.15570968034134</v>
      </c>
      <c r="Y1007" s="6" t="n">
        <v>-1.793988945086167</v>
      </c>
      <c r="Z1007" s="6" t="n">
        <v>2.385733596699948</v>
      </c>
      <c r="AA1007" s="6" t="n">
        <v>-2.417401241975357</v>
      </c>
      <c r="AB1007" s="6" t="n">
        <v>0.9900836546633816</v>
      </c>
      <c r="AC1007" s="6" t="n">
        <v>1.750722357945612</v>
      </c>
      <c r="AD1007" s="6" t="n">
        <v>2.105114030664093</v>
      </c>
      <c r="AE1007" s="6" t="n">
        <v>0.7608641347855635</v>
      </c>
      <c r="AF1007" s="6" t="n">
        <v>0.2576487687067303</v>
      </c>
      <c r="AG1007" s="6" t="n">
        <v>-0.857325827661008</v>
      </c>
      <c r="AH1007" s="6" t="n">
        <v>-1.454710949203679</v>
      </c>
      <c r="AI1007" s="6" t="n">
        <v>4.375329103882486</v>
      </c>
      <c r="AJ1007" s="6" t="n">
        <v>80.04654712114842</v>
      </c>
      <c r="AK1007" s="6" t="n">
        <v>0.1423291990804352</v>
      </c>
      <c r="AL1007" s="6" t="n">
        <v>1.082723445340737</v>
      </c>
      <c r="AN1007" s="6" t="n">
        <v>1.333457801030271</v>
      </c>
      <c r="AO1007" s="6" t="n">
        <v>1.333873454736196</v>
      </c>
      <c r="AP1007" s="6" t="n">
        <v>0.1296765975645409</v>
      </c>
      <c r="AQ1007" s="6" t="n">
        <v>0</v>
      </c>
      <c r="AR1007" s="6" t="n">
        <v>0</v>
      </c>
    </row>
    <row r="1008">
      <c r="D1008" t="inlineStr">
        <is>
          <t>Run 696</t>
        </is>
      </c>
      <c r="J1008" s="6" t="n">
        <v>2.554496070131285</v>
      </c>
      <c r="K1008" s="6" t="n">
        <v>-1.048755328239379</v>
      </c>
      <c r="L1008" s="6" t="n">
        <v>-0.1180371482793731</v>
      </c>
      <c r="M1008" s="6" t="n">
        <v>-2.694551663001735</v>
      </c>
      <c r="N1008" s="6" t="n">
        <v>-2.152942756434419</v>
      </c>
      <c r="O1008" s="6" t="n">
        <v>0.821567152248092</v>
      </c>
      <c r="P1008" s="6" t="n">
        <v>0.1700134960400523</v>
      </c>
      <c r="Q1008" s="6" t="n">
        <v>1.167960305992834</v>
      </c>
      <c r="R1008" s="6" t="n">
        <v>-5.426464228371582</v>
      </c>
      <c r="S1008" s="6" t="n">
        <v>-3.559735811672508</v>
      </c>
      <c r="T1008" s="6" t="n">
        <v>0.2292066766898994</v>
      </c>
      <c r="U1008" s="6" t="n">
        <v>-0.07961481228797529</v>
      </c>
      <c r="V1008" s="6" t="n">
        <v>-2.851302455476818</v>
      </c>
      <c r="W1008" s="6" t="n">
        <v>-3.197876450105906</v>
      </c>
      <c r="X1008" s="6" t="n">
        <v>1.743176518342503</v>
      </c>
      <c r="Y1008" s="6" t="n">
        <v>1.467747172941466</v>
      </c>
      <c r="Z1008" s="6" t="n">
        <v>2.387639593837414</v>
      </c>
      <c r="AA1008" s="6" t="n">
        <v>-1.14254185616381</v>
      </c>
      <c r="AB1008" s="6" t="n">
        <v>-0.679551196856953</v>
      </c>
      <c r="AC1008" s="6" t="n">
        <v>2.003852220041556</v>
      </c>
      <c r="AD1008" s="6" t="n">
        <v>3.232766668908264</v>
      </c>
      <c r="AE1008" s="6" t="n">
        <v>0.6211905333811462</v>
      </c>
      <c r="AF1008" s="6" t="n">
        <v>2.486533520228876</v>
      </c>
      <c r="AG1008" s="6" t="n">
        <v>-2.599088382292875</v>
      </c>
      <c r="AH1008" s="6" t="n">
        <v>-0.4223566132214022</v>
      </c>
      <c r="AI1008" s="6" t="n">
        <v>-2.15914553829608</v>
      </c>
      <c r="AJ1008" s="6" t="n">
        <v>76.91366924425722</v>
      </c>
      <c r="AK1008" s="6" t="n">
        <v>0.04395532586790231</v>
      </c>
      <c r="AL1008" s="6" t="n">
        <v>1.060398683157495</v>
      </c>
      <c r="AN1008" s="6" t="n">
        <v>1.325450406966769</v>
      </c>
      <c r="AO1008" s="6" t="n">
        <v>1.330491803914774</v>
      </c>
      <c r="AP1008" s="6" t="n">
        <v>0.1334430752968472</v>
      </c>
      <c r="AQ1008" s="6" t="n">
        <v>0</v>
      </c>
      <c r="AR1008" s="6" t="n">
        <v>0</v>
      </c>
    </row>
    <row r="1009">
      <c r="D1009" t="inlineStr">
        <is>
          <t>Run 697</t>
        </is>
      </c>
      <c r="J1009" s="6" t="n">
        <v>-1.395464300453952</v>
      </c>
      <c r="K1009" s="6" t="n">
        <v>0.8936834724298659</v>
      </c>
      <c r="L1009" s="6" t="n">
        <v>1.21055096420957</v>
      </c>
      <c r="M1009" s="6" t="n">
        <v>-1.325158131617892</v>
      </c>
      <c r="N1009" s="6" t="n">
        <v>0.8542996994130163</v>
      </c>
      <c r="O1009" s="6" t="n">
        <v>0.1776874218664127</v>
      </c>
      <c r="P1009" s="6" t="n">
        <v>-2.148691119173482</v>
      </c>
      <c r="Q1009" s="6" t="n">
        <v>2.385661857786264</v>
      </c>
      <c r="R1009" s="6" t="n">
        <v>0.317751502762656</v>
      </c>
      <c r="S1009" s="6" t="n">
        <v>0.06744701387085643</v>
      </c>
      <c r="T1009" s="6" t="n">
        <v>1.004750672217902</v>
      </c>
      <c r="U1009" s="6" t="n">
        <v>-1.807011650686459</v>
      </c>
      <c r="V1009" s="6" t="n">
        <v>0.3121357614426644</v>
      </c>
      <c r="W1009" s="6" t="n">
        <v>1.976856508677058</v>
      </c>
      <c r="X1009" s="6" t="n">
        <v>-3.771688866759124</v>
      </c>
      <c r="Y1009" s="6" t="n">
        <v>-2.139089106693011</v>
      </c>
      <c r="Z1009" s="6" t="n">
        <v>2.038288906063331</v>
      </c>
      <c r="AA1009" s="6" t="n">
        <v>-2.469911929221403</v>
      </c>
      <c r="AB1009" s="6" t="n">
        <v>-0.5085565064808334</v>
      </c>
      <c r="AC1009" s="6" t="n">
        <v>-1.568189742221457</v>
      </c>
      <c r="AD1009" s="6" t="n">
        <v>0.582613292398387</v>
      </c>
      <c r="AE1009" s="6" t="n">
        <v>-0.7462244049229093</v>
      </c>
      <c r="AF1009" s="6" t="n">
        <v>-0.01059915800856721</v>
      </c>
      <c r="AG1009" s="6" t="n">
        <v>4.044794801773828</v>
      </c>
      <c r="AH1009" s="6" t="n">
        <v>2.655553157310975</v>
      </c>
      <c r="AI1009" s="6" t="n">
        <v>-1.561694611980844</v>
      </c>
      <c r="AJ1009" s="6" t="n">
        <v>64.37188344003556</v>
      </c>
      <c r="AK1009" s="6" t="n">
        <v>0.1675814630309785</v>
      </c>
      <c r="AL1009" s="6" t="n">
        <v>0.9991942749510974</v>
      </c>
      <c r="AN1009" s="6" t="n">
        <v>1.351709226849586</v>
      </c>
      <c r="AO1009" s="6" t="n">
        <v>1.353328203786649</v>
      </c>
      <c r="AP1009" s="6" t="n">
        <v>0.1367742724705739</v>
      </c>
      <c r="AQ1009" s="6" t="n">
        <v>0</v>
      </c>
      <c r="AR1009" s="6" t="n">
        <v>0</v>
      </c>
    </row>
    <row r="1010">
      <c r="D1010" t="inlineStr">
        <is>
          <t>Run 698</t>
        </is>
      </c>
      <c r="J1010" s="6" t="n">
        <v>-1.306023685198432</v>
      </c>
      <c r="K1010" s="6" t="n">
        <v>-2.702326663102368</v>
      </c>
      <c r="L1010" s="6" t="n">
        <v>0.007197105141516312</v>
      </c>
      <c r="M1010" s="6" t="n">
        <v>-4.326575265813433</v>
      </c>
      <c r="N1010" s="6" t="n">
        <v>-0.8788757709190765</v>
      </c>
      <c r="O1010" s="6" t="n">
        <v>1.547377233327697</v>
      </c>
      <c r="P1010" s="6" t="n">
        <v>2.966297351616445</v>
      </c>
      <c r="Q1010" s="6" t="n">
        <v>0.1487653763597032</v>
      </c>
      <c r="R1010" s="6" t="n">
        <v>-1.288580259313475</v>
      </c>
      <c r="S1010" s="6" t="n">
        <v>-2.224627911323343</v>
      </c>
      <c r="T1010" s="6" t="n">
        <v>0.7249954305358722</v>
      </c>
      <c r="U1010" s="6" t="n">
        <v>2.517619645441322</v>
      </c>
      <c r="V1010" s="6" t="n">
        <v>-1.356831635757801</v>
      </c>
      <c r="W1010" s="6" t="n">
        <v>-0.9751332516298914</v>
      </c>
      <c r="X1010" s="6" t="n">
        <v>-1.150603090980833</v>
      </c>
      <c r="Y1010" s="6" t="n">
        <v>-3.867769262068481</v>
      </c>
      <c r="Z1010" s="6" t="n">
        <v>0.2022808336610535</v>
      </c>
      <c r="AA1010" s="6" t="n">
        <v>-0.2017953072993748</v>
      </c>
      <c r="AB1010" s="6" t="n">
        <v>0.605427848949771</v>
      </c>
      <c r="AC1010" s="6" t="n">
        <v>1.612558542529281</v>
      </c>
      <c r="AD1010" s="6" t="n">
        <v>0.6660141578635808</v>
      </c>
      <c r="AE1010" s="6" t="n">
        <v>-2.102314970105663</v>
      </c>
      <c r="AF1010" s="6" t="n">
        <v>-4.281354931875888</v>
      </c>
      <c r="AG1010" s="6" t="n">
        <v>-3.08269764681211</v>
      </c>
      <c r="AH1010" s="6" t="n">
        <v>-0.8271940714910387</v>
      </c>
      <c r="AI1010" s="6" t="n">
        <v>-1.17035346957926</v>
      </c>
      <c r="AJ1010" s="6" t="n">
        <v>67.73651490412814</v>
      </c>
      <c r="AK1010" s="6" t="n">
        <v>0.1593086353631047</v>
      </c>
      <c r="AL1010" s="6" t="n">
        <v>1.0789095007895</v>
      </c>
      <c r="AN1010" s="6" t="n">
        <v>1.286901331233972</v>
      </c>
      <c r="AO1010" s="6" t="n">
        <v>1.294342541444354</v>
      </c>
      <c r="AP1010" s="6" t="n">
        <v>0.1285821258226166</v>
      </c>
      <c r="AQ1010" s="6" t="n">
        <v>0</v>
      </c>
      <c r="AR1010" s="6" t="n">
        <v>0</v>
      </c>
    </row>
    <row r="1011">
      <c r="D1011" t="inlineStr">
        <is>
          <t>Run 699</t>
        </is>
      </c>
      <c r="J1011" s="6" t="n">
        <v>2.792755700848597</v>
      </c>
      <c r="K1011" s="6" t="n">
        <v>0.4338412172661428</v>
      </c>
      <c r="L1011" s="6" t="n">
        <v>-0.1633292845032716</v>
      </c>
      <c r="M1011" s="6" t="n">
        <v>-2.501092185582336</v>
      </c>
      <c r="N1011" s="6" t="n">
        <v>-0.004068853829044875</v>
      </c>
      <c r="O1011" s="6" t="n">
        <v>1.435804191770284</v>
      </c>
      <c r="P1011" s="6" t="n">
        <v>0.1334001301013745</v>
      </c>
      <c r="Q1011" s="6" t="n">
        <v>1.380876084110333</v>
      </c>
      <c r="R1011" s="6" t="n">
        <v>1.217881889850135</v>
      </c>
      <c r="S1011" s="6" t="n">
        <v>0.4684317580497072</v>
      </c>
      <c r="T1011" s="6" t="n">
        <v>-0.9216451047787888</v>
      </c>
      <c r="U1011" s="6" t="n">
        <v>0.6795652875272472</v>
      </c>
      <c r="V1011" s="6" t="n">
        <v>-0.6522837302161485</v>
      </c>
      <c r="W1011" s="6" t="n">
        <v>4.000809742277426</v>
      </c>
      <c r="X1011" s="6" t="n">
        <v>0.6536095534821611</v>
      </c>
      <c r="Y1011" s="6" t="n">
        <v>0.8463340603164148</v>
      </c>
      <c r="Z1011" s="6" t="n">
        <v>1.609073931772556</v>
      </c>
      <c r="AA1011" s="6" t="n">
        <v>0.9641762648079711</v>
      </c>
      <c r="AB1011" s="6" t="n">
        <v>-0.1051195262315583</v>
      </c>
      <c r="AC1011" s="6" t="n">
        <v>0.1983267462111197</v>
      </c>
      <c r="AD1011" s="6" t="n">
        <v>3.585066405604557</v>
      </c>
      <c r="AE1011" s="6" t="n">
        <v>3.106476842344021</v>
      </c>
      <c r="AF1011" s="6" t="n">
        <v>-2.749798723278086</v>
      </c>
      <c r="AG1011" s="6" t="n">
        <v>-1.538080871019109</v>
      </c>
      <c r="AH1011" s="6" t="n">
        <v>0.69829211749333</v>
      </c>
      <c r="AI1011" s="6" t="n">
        <v>-1.135084954389351</v>
      </c>
      <c r="AJ1011" s="6" t="n">
        <v>65.71809186844438</v>
      </c>
      <c r="AK1011" s="6" t="n">
        <v>0.1003575190012981</v>
      </c>
      <c r="AL1011" s="6" t="n">
        <v>1.049574179609112</v>
      </c>
      <c r="AN1011" s="6" t="n">
        <v>1.323097986921507</v>
      </c>
      <c r="AO1011" s="6" t="n">
        <v>1.332170027913793</v>
      </c>
      <c r="AP1011" s="6" t="n">
        <v>0.1322668418487985</v>
      </c>
      <c r="AQ1011" s="6" t="n">
        <v>0</v>
      </c>
      <c r="AR1011" s="6" t="n">
        <v>0</v>
      </c>
    </row>
    <row r="1012">
      <c r="D1012" t="inlineStr">
        <is>
          <t>Run 700</t>
        </is>
      </c>
      <c r="J1012" s="6" t="n">
        <v>-0.3569185616938003</v>
      </c>
      <c r="K1012" s="6" t="n">
        <v>0.9717604967197843</v>
      </c>
      <c r="L1012" s="6" t="n">
        <v>4.002712278008777</v>
      </c>
      <c r="M1012" s="6" t="n">
        <v>-1.238593834644538</v>
      </c>
      <c r="N1012" s="6" t="n">
        <v>-0.102394777737214</v>
      </c>
      <c r="O1012" s="6" t="n">
        <v>0.8480627848830552</v>
      </c>
      <c r="P1012" s="6" t="n">
        <v>0.2235315501143263</v>
      </c>
      <c r="Q1012" s="6" t="n">
        <v>-0.03105821631891847</v>
      </c>
      <c r="R1012" s="6" t="n">
        <v>-1.551628772387157</v>
      </c>
      <c r="S1012" s="6" t="n">
        <v>0.370162405601731</v>
      </c>
      <c r="T1012" s="6" t="n">
        <v>-0.5525214244597449</v>
      </c>
      <c r="U1012" s="6" t="n">
        <v>-0.2961716996943946</v>
      </c>
      <c r="V1012" s="6" t="n">
        <v>-1.204996177371538</v>
      </c>
      <c r="W1012" s="6" t="n">
        <v>1.071203333633002</v>
      </c>
      <c r="X1012" s="6" t="n">
        <v>-0.9472791850414785</v>
      </c>
      <c r="Y1012" s="6" t="n">
        <v>-1.751022175913428</v>
      </c>
      <c r="Z1012" s="6" t="n">
        <v>0.4800791839587836</v>
      </c>
      <c r="AA1012" s="6" t="n">
        <v>2.97435345555351</v>
      </c>
      <c r="AB1012" s="6" t="n">
        <v>-1.927272664270615</v>
      </c>
      <c r="AC1012" s="6" t="n">
        <v>-0.930415513119825</v>
      </c>
      <c r="AD1012" s="6" t="n">
        <v>-0.7724951748673882</v>
      </c>
      <c r="AE1012" s="6" t="n">
        <v>1.376983713925647</v>
      </c>
      <c r="AF1012" s="6" t="n">
        <v>0.6098812879989445</v>
      </c>
      <c r="AG1012" s="6" t="n">
        <v>-0.12257248194882</v>
      </c>
      <c r="AH1012" s="6" t="n">
        <v>2.53787762434904</v>
      </c>
      <c r="AI1012" s="6" t="n">
        <v>-0.2542640897300265</v>
      </c>
      <c r="AJ1012" s="6" t="n">
        <v>69.68755695006178</v>
      </c>
      <c r="AK1012" s="6" t="n">
        <v>0.08176490894645197</v>
      </c>
      <c r="AL1012" s="6" t="n">
        <v>1.078395606351128</v>
      </c>
      <c r="AN1012" s="6" t="n">
        <v>1.335480461122947</v>
      </c>
      <c r="AO1012" s="6" t="n">
        <v>1.337710786081823</v>
      </c>
      <c r="AP1012" s="6" t="n">
        <v>0.1310196559690463</v>
      </c>
      <c r="AQ1012" s="6" t="n">
        <v>0</v>
      </c>
      <c r="AR1012" s="6" t="n">
        <v>0</v>
      </c>
    </row>
    <row r="1013">
      <c r="D1013" t="inlineStr">
        <is>
          <t>Run 701</t>
        </is>
      </c>
      <c r="J1013" s="6" t="n">
        <v>-0.6623568884744674</v>
      </c>
      <c r="K1013" s="6" t="n">
        <v>-1.546470986081632</v>
      </c>
      <c r="L1013" s="6" t="n">
        <v>-1.515444912601127</v>
      </c>
      <c r="M1013" s="6" t="n">
        <v>0.3272835031381995</v>
      </c>
      <c r="N1013" s="6" t="n">
        <v>-3.122418731348958</v>
      </c>
      <c r="O1013" s="6" t="n">
        <v>-1.611453482024014</v>
      </c>
      <c r="P1013" s="6" t="n">
        <v>0.9390409816928414</v>
      </c>
      <c r="Q1013" s="6" t="n">
        <v>-2.159843444809621</v>
      </c>
      <c r="R1013" s="6" t="n">
        <v>1.529912926572463</v>
      </c>
      <c r="S1013" s="6" t="n">
        <v>0.2051757124159424</v>
      </c>
      <c r="T1013" s="6" t="n">
        <v>-1.780113338472547</v>
      </c>
      <c r="U1013" s="6" t="n">
        <v>1.794418807594452</v>
      </c>
      <c r="V1013" s="6" t="n">
        <v>0.04950290820547358</v>
      </c>
      <c r="W1013" s="6" t="n">
        <v>-0.2578607057974532</v>
      </c>
      <c r="X1013" s="6" t="n">
        <v>2.29445275962642</v>
      </c>
      <c r="Y1013" s="6" t="n">
        <v>-0.4028598247059785</v>
      </c>
      <c r="Z1013" s="6" t="n">
        <v>3.240296374025818</v>
      </c>
      <c r="AA1013" s="6" t="n">
        <v>1.109953347797235</v>
      </c>
      <c r="AB1013" s="6" t="n">
        <v>-2.544308985664802</v>
      </c>
      <c r="AC1013" s="6" t="n">
        <v>-1.735525561252323</v>
      </c>
      <c r="AD1013" s="6" t="n">
        <v>2.128038877097319</v>
      </c>
      <c r="AE1013" s="6" t="n">
        <v>-2.559800251649914</v>
      </c>
      <c r="AF1013" s="6" t="n">
        <v>-3.594449810815124</v>
      </c>
      <c r="AG1013" s="6" t="n">
        <v>-2.503452730644143</v>
      </c>
      <c r="AH1013" s="6" t="n">
        <v>0.1487127238044343</v>
      </c>
      <c r="AI1013" s="6" t="n">
        <v>-1.034320791924025</v>
      </c>
      <c r="AJ1013" s="6" t="n">
        <v>67.40080754427242</v>
      </c>
      <c r="AK1013" s="6" t="n">
        <v>0.1684342527890403</v>
      </c>
      <c r="AL1013" s="6" t="n">
        <v>1.081172144721907</v>
      </c>
      <c r="AN1013" s="6" t="n">
        <v>1.329938614890228</v>
      </c>
      <c r="AO1013" s="6" t="n">
        <v>1.331294093858361</v>
      </c>
      <c r="AP1013" s="6" t="n">
        <v>0.1288902753537014</v>
      </c>
      <c r="AQ1013" s="6" t="n">
        <v>0</v>
      </c>
      <c r="AR1013" s="6" t="n">
        <v>0</v>
      </c>
    </row>
    <row r="1014">
      <c r="D1014" t="inlineStr">
        <is>
          <t>Run 702</t>
        </is>
      </c>
      <c r="J1014" s="6" t="n">
        <v>-0.9838575200187755</v>
      </c>
      <c r="K1014" s="6" t="n">
        <v>1.036832756484071</v>
      </c>
      <c r="L1014" s="6" t="n">
        <v>3.049970813025837</v>
      </c>
      <c r="M1014" s="6" t="n">
        <v>-2.062366479863132</v>
      </c>
      <c r="N1014" s="6" t="n">
        <v>0.6976237557441218</v>
      </c>
      <c r="O1014" s="6" t="n">
        <v>0.6158920897210735</v>
      </c>
      <c r="P1014" s="6" t="n">
        <v>-1.519409243600916</v>
      </c>
      <c r="Q1014" s="6" t="n">
        <v>-0.286430186040678</v>
      </c>
      <c r="R1014" s="6" t="n">
        <v>-2.929175265064168</v>
      </c>
      <c r="S1014" s="6" t="n">
        <v>1.583909404582672</v>
      </c>
      <c r="T1014" s="6" t="n">
        <v>-3.789932476483957</v>
      </c>
      <c r="U1014" s="6" t="n">
        <v>-0.2459093614672362</v>
      </c>
      <c r="V1014" s="6" t="n">
        <v>-2.029550555627277</v>
      </c>
      <c r="W1014" s="6" t="n">
        <v>0.6635587919400715</v>
      </c>
      <c r="X1014" s="6" t="n">
        <v>1.348446503745175</v>
      </c>
      <c r="Y1014" s="6" t="n">
        <v>-0.1697044034454305</v>
      </c>
      <c r="Z1014" s="6" t="n">
        <v>-1.917137129187107</v>
      </c>
      <c r="AA1014" s="6" t="n">
        <v>-2.541442389599826</v>
      </c>
      <c r="AB1014" s="6" t="n">
        <v>2.701115041659348</v>
      </c>
      <c r="AC1014" s="6" t="n">
        <v>-0.6684023103251404</v>
      </c>
      <c r="AD1014" s="6" t="n">
        <v>0.8534147698710911</v>
      </c>
      <c r="AE1014" s="6" t="n">
        <v>-0.7659266409074289</v>
      </c>
      <c r="AF1014" s="6" t="n">
        <v>-1.126703807260743</v>
      </c>
      <c r="AG1014" s="6" t="n">
        <v>0.3740834632604278</v>
      </c>
      <c r="AH1014" s="6" t="n">
        <v>0.06607643046091573</v>
      </c>
      <c r="AI1014" s="6" t="n">
        <v>1.703072602102131</v>
      </c>
      <c r="AJ1014" s="6" t="n">
        <v>68.42942570755118</v>
      </c>
      <c r="AK1014" s="6" t="n">
        <v>0.1367606132138987</v>
      </c>
      <c r="AL1014" s="6" t="n">
        <v>1.012363004463982</v>
      </c>
      <c r="AN1014" s="6" t="n">
        <v>1.340518990335043</v>
      </c>
      <c r="AO1014" s="6" t="n">
        <v>1.347672486401618</v>
      </c>
      <c r="AP1014" s="6" t="n">
        <v>0.1357954421953125</v>
      </c>
      <c r="AQ1014" s="6" t="n">
        <v>0</v>
      </c>
      <c r="AR1014" s="6" t="n">
        <v>0</v>
      </c>
    </row>
    <row r="1015">
      <c r="D1015" t="inlineStr">
        <is>
          <t>Run 703</t>
        </is>
      </c>
      <c r="J1015" s="6" t="n">
        <v>2.693916638885824</v>
      </c>
      <c r="K1015" s="6" t="n">
        <v>-0.199347315294631</v>
      </c>
      <c r="L1015" s="6" t="n">
        <v>0.0272011000100352</v>
      </c>
      <c r="M1015" s="6" t="n">
        <v>-0.7278069813891465</v>
      </c>
      <c r="N1015" s="6" t="n">
        <v>-1.842370375597282</v>
      </c>
      <c r="O1015" s="6" t="n">
        <v>-3.265931160115993</v>
      </c>
      <c r="P1015" s="6" t="n">
        <v>-2.212399636849759</v>
      </c>
      <c r="Q1015" s="6" t="n">
        <v>0.3192216822391112</v>
      </c>
      <c r="R1015" s="6" t="n">
        <v>0.6532768135396757</v>
      </c>
      <c r="S1015" s="6" t="n">
        <v>-0.4873426103691864</v>
      </c>
      <c r="T1015" s="6" t="n">
        <v>1.025512077012298</v>
      </c>
      <c r="U1015" s="6" t="n">
        <v>-2.883931147173988</v>
      </c>
      <c r="V1015" s="6" t="n">
        <v>-4.081469154522051</v>
      </c>
      <c r="W1015" s="6" t="n">
        <v>-1.054960117735928</v>
      </c>
      <c r="X1015" s="6" t="n">
        <v>-3.641369585995274</v>
      </c>
      <c r="Y1015" s="6" t="n">
        <v>-2.473733570693105</v>
      </c>
      <c r="Z1015" s="6" t="n">
        <v>0.462279872064098</v>
      </c>
      <c r="AA1015" s="6" t="n">
        <v>0.1505009285263481</v>
      </c>
      <c r="AB1015" s="6" t="n">
        <v>-1.395448637562056</v>
      </c>
      <c r="AC1015" s="6" t="n">
        <v>-0.5024533274924696</v>
      </c>
      <c r="AD1015" s="6" t="n">
        <v>0.3540236776024444</v>
      </c>
      <c r="AE1015" s="6" t="n">
        <v>2.684513279291034</v>
      </c>
      <c r="AF1015" s="6" t="n">
        <v>-1.501649941744551</v>
      </c>
      <c r="AG1015" s="6" t="n">
        <v>-1.380295176026286</v>
      </c>
      <c r="AH1015" s="6" t="n">
        <v>-3.044104285061079</v>
      </c>
      <c r="AI1015" s="6" t="n">
        <v>-0.8037049263875201</v>
      </c>
      <c r="AJ1015" s="6" t="n">
        <v>71.87504312871897</v>
      </c>
      <c r="AK1015" s="6" t="n">
        <v>0.08769656926113825</v>
      </c>
      <c r="AL1015" s="6" t="n">
        <v>1.114771796013509</v>
      </c>
      <c r="AN1015" s="6" t="n">
        <v>1.330556569882053</v>
      </c>
      <c r="AO1015" s="6" t="n">
        <v>1.331670021163509</v>
      </c>
      <c r="AP1015" s="6" t="n">
        <v>0.1292991034395633</v>
      </c>
      <c r="AQ1015" s="6" t="n">
        <v>0</v>
      </c>
      <c r="AR1015" s="6" t="n">
        <v>0</v>
      </c>
    </row>
    <row r="1016">
      <c r="D1016" t="inlineStr">
        <is>
          <t>Run 704</t>
        </is>
      </c>
      <c r="J1016" s="6" t="n">
        <v>0.9109391807881987</v>
      </c>
      <c r="K1016" s="6" t="n">
        <v>-0.4911254771427736</v>
      </c>
      <c r="L1016" s="6" t="n">
        <v>0.0009015146596008367</v>
      </c>
      <c r="M1016" s="6" t="n">
        <v>1.687827718186399</v>
      </c>
      <c r="N1016" s="6" t="n">
        <v>1.07197016780814</v>
      </c>
      <c r="O1016" s="6" t="n">
        <v>-0.02188980256682645</v>
      </c>
      <c r="P1016" s="6" t="n">
        <v>-0.4953246814505889</v>
      </c>
      <c r="Q1016" s="6" t="n">
        <v>-1.19195229166175</v>
      </c>
      <c r="R1016" s="6" t="n">
        <v>-4.913735629404479</v>
      </c>
      <c r="S1016" s="6" t="n">
        <v>0.01852972524951149</v>
      </c>
      <c r="T1016" s="6" t="n">
        <v>-0.7012032633828597</v>
      </c>
      <c r="U1016" s="6" t="n">
        <v>0.343857577512795</v>
      </c>
      <c r="V1016" s="6" t="n">
        <v>-1.442285597737538</v>
      </c>
      <c r="W1016" s="6" t="n">
        <v>-2.075261996085583</v>
      </c>
      <c r="X1016" s="6" t="n">
        <v>3.926256689699485</v>
      </c>
      <c r="Y1016" s="6" t="n">
        <v>-2.926976216014759</v>
      </c>
      <c r="Z1016" s="6" t="n">
        <v>1.59525161723777</v>
      </c>
      <c r="AA1016" s="6" t="n">
        <v>-0.6526141132080656</v>
      </c>
      <c r="AB1016" s="6" t="n">
        <v>2.199992620617681</v>
      </c>
      <c r="AC1016" s="6" t="n">
        <v>-4.478908781166435</v>
      </c>
      <c r="AD1016" s="6" t="n">
        <v>-1.374138729760697</v>
      </c>
      <c r="AE1016" s="6" t="n">
        <v>3.466010835626235</v>
      </c>
      <c r="AF1016" s="6" t="n">
        <v>1.811479074700322</v>
      </c>
      <c r="AG1016" s="6" t="n">
        <v>2.550225514387043</v>
      </c>
      <c r="AH1016" s="6" t="n">
        <v>1.771239526460116</v>
      </c>
      <c r="AI1016" s="6" t="n">
        <v>-2.966218101037363</v>
      </c>
      <c r="AJ1016" s="6" t="n">
        <v>77.54562882923049</v>
      </c>
      <c r="AK1016" s="6" t="n">
        <v>0.117092948164726</v>
      </c>
      <c r="AL1016" s="6" t="n">
        <v>1.092295356647238</v>
      </c>
      <c r="AN1016" s="6" t="n">
        <v>1.334283053318283</v>
      </c>
      <c r="AO1016" s="6" t="n">
        <v>1.334616377497136</v>
      </c>
      <c r="AP1016" s="6" t="n">
        <v>0.1295055153018518</v>
      </c>
      <c r="AQ1016" s="6" t="n">
        <v>0</v>
      </c>
      <c r="AR1016" s="6" t="n">
        <v>0</v>
      </c>
    </row>
    <row r="1017">
      <c r="D1017" t="inlineStr">
        <is>
          <t>Run 705</t>
        </is>
      </c>
      <c r="J1017" s="6" t="n">
        <v>2.586797570422612</v>
      </c>
      <c r="K1017" s="6" t="n">
        <v>-0.8912254331693689</v>
      </c>
      <c r="L1017" s="6" t="n">
        <v>-1.929948173175144</v>
      </c>
      <c r="M1017" s="6" t="n">
        <v>1.657498729873896</v>
      </c>
      <c r="N1017" s="6" t="n">
        <v>2.780739876911956</v>
      </c>
      <c r="O1017" s="6" t="n">
        <v>-2.435392589624804</v>
      </c>
      <c r="P1017" s="6" t="n">
        <v>1.586708408713954</v>
      </c>
      <c r="Q1017" s="6" t="n">
        <v>-1.989106665748325</v>
      </c>
      <c r="R1017" s="6" t="n">
        <v>0.08136764620041009</v>
      </c>
      <c r="S1017" s="6" t="n">
        <v>1.499384481521912</v>
      </c>
      <c r="T1017" s="6" t="n">
        <v>-2.140550616293542</v>
      </c>
      <c r="U1017" s="6" t="n">
        <v>0.7154554171558291</v>
      </c>
      <c r="V1017" s="6" t="n">
        <v>2.549548023831443</v>
      </c>
      <c r="W1017" s="6" t="n">
        <v>1.139905102271005</v>
      </c>
      <c r="X1017" s="6" t="n">
        <v>-2.189008646791382</v>
      </c>
      <c r="Y1017" s="6" t="n">
        <v>-1.735851465960297</v>
      </c>
      <c r="Z1017" s="6" t="n">
        <v>-1.885406638247251</v>
      </c>
      <c r="AA1017" s="6" t="n">
        <v>2.578033085381921</v>
      </c>
      <c r="AB1017" s="6" t="n">
        <v>0.7153189418582756</v>
      </c>
      <c r="AC1017" s="6" t="n">
        <v>-2.442936401832396</v>
      </c>
      <c r="AD1017" s="6" t="n">
        <v>-3.756763323860367</v>
      </c>
      <c r="AE1017" s="6" t="n">
        <v>1.126089885216814</v>
      </c>
      <c r="AF1017" s="6" t="n">
        <v>1.481411438767421</v>
      </c>
      <c r="AG1017" s="6" t="n">
        <v>-4.451916204961434</v>
      </c>
      <c r="AH1017" s="6" t="n">
        <v>-2.599642469106717</v>
      </c>
      <c r="AI1017" s="6" t="n">
        <v>-2.886467336636996</v>
      </c>
      <c r="AJ1017" s="6" t="n">
        <v>79.27028357758549</v>
      </c>
      <c r="AK1017" s="6" t="n">
        <v>0.1674199576909784</v>
      </c>
      <c r="AL1017" s="6" t="n">
        <v>1.031920634515729</v>
      </c>
      <c r="AN1017" s="6" t="n">
        <v>1.352267108522079</v>
      </c>
      <c r="AO1017" s="6" t="n">
        <v>1.352436431065531</v>
      </c>
      <c r="AP1017" s="6" t="n">
        <v>0.1333415228734787</v>
      </c>
      <c r="AQ1017" s="6" t="n">
        <v>0</v>
      </c>
      <c r="AR1017" s="6" t="n">
        <v>0</v>
      </c>
    </row>
    <row r="1018">
      <c r="D1018" t="inlineStr">
        <is>
          <t>Run 706</t>
        </is>
      </c>
      <c r="J1018" s="6" t="n">
        <v>-0.707963217468498</v>
      </c>
      <c r="K1018" s="6" t="n">
        <v>-1.440363696879746</v>
      </c>
      <c r="L1018" s="6" t="n">
        <v>0.7520261088029575</v>
      </c>
      <c r="M1018" s="6" t="n">
        <v>-1.279964982393567</v>
      </c>
      <c r="N1018" s="6" t="n">
        <v>-1.015259674867694</v>
      </c>
      <c r="O1018" s="6" t="n">
        <v>1.731012020847268</v>
      </c>
      <c r="P1018" s="6" t="n">
        <v>-0.07546514092619425</v>
      </c>
      <c r="Q1018" s="6" t="n">
        <v>-1.504350584438961</v>
      </c>
      <c r="R1018" s="6" t="n">
        <v>-3.107316481221654</v>
      </c>
      <c r="S1018" s="6" t="n">
        <v>1.912051746144101</v>
      </c>
      <c r="T1018" s="6" t="n">
        <v>-1.770513625215872</v>
      </c>
      <c r="U1018" s="6" t="n">
        <v>-0.5346315762798518</v>
      </c>
      <c r="V1018" s="6" t="n">
        <v>0.3934353591322446</v>
      </c>
      <c r="W1018" s="6" t="n">
        <v>-0.3188807649757208</v>
      </c>
      <c r="X1018" s="6" t="n">
        <v>0.6842927973165076</v>
      </c>
      <c r="Y1018" s="6" t="n">
        <v>2.223662234524018</v>
      </c>
      <c r="Z1018" s="6" t="n">
        <v>1.317227476499462</v>
      </c>
      <c r="AA1018" s="6" t="n">
        <v>0.7958594203592447</v>
      </c>
      <c r="AB1018" s="6" t="n">
        <v>2.321820545071547</v>
      </c>
      <c r="AC1018" s="6" t="n">
        <v>2.529716959207791</v>
      </c>
      <c r="AD1018" s="6" t="n">
        <v>-0.5287206962681121</v>
      </c>
      <c r="AE1018" s="6" t="n">
        <v>-3.01456407335139</v>
      </c>
      <c r="AF1018" s="6" t="n">
        <v>-0.5066056779568475</v>
      </c>
      <c r="AG1018" s="6" t="n">
        <v>0.9726892496657937</v>
      </c>
      <c r="AH1018" s="6" t="n">
        <v>1.375075130129653</v>
      </c>
      <c r="AI1018" s="6" t="n">
        <v>-0.6278652440413033</v>
      </c>
      <c r="AJ1018" s="6" t="n">
        <v>68.035574068774</v>
      </c>
      <c r="AK1018" s="6" t="n">
        <v>0.1314469768808744</v>
      </c>
      <c r="AL1018" s="6" t="n">
        <v>1.060168439173871</v>
      </c>
      <c r="AN1018" s="6" t="n">
        <v>1.336095159112426</v>
      </c>
      <c r="AO1018" s="6" t="n">
        <v>1.338712887359024</v>
      </c>
      <c r="AP1018" s="6" t="n">
        <v>0.1309594000340948</v>
      </c>
      <c r="AQ1018" s="6" t="n">
        <v>0</v>
      </c>
      <c r="AR1018" s="6" t="n">
        <v>0</v>
      </c>
    </row>
    <row r="1019">
      <c r="D1019" t="inlineStr">
        <is>
          <t>Run 707</t>
        </is>
      </c>
      <c r="J1019" s="6" t="n">
        <v>1.084531609574216</v>
      </c>
      <c r="K1019" s="6" t="n">
        <v>1.987785329340958</v>
      </c>
      <c r="L1019" s="6" t="n">
        <v>0.5651566862944798</v>
      </c>
      <c r="M1019" s="6" t="n">
        <v>0.2686541947037298</v>
      </c>
      <c r="N1019" s="6" t="n">
        <v>1.872091581082143</v>
      </c>
      <c r="O1019" s="6" t="n">
        <v>2.519723376052502</v>
      </c>
      <c r="P1019" s="6" t="n">
        <v>0.1431085670007985</v>
      </c>
      <c r="Q1019" s="6" t="n">
        <v>-0.2680133223920384</v>
      </c>
      <c r="R1019" s="6" t="n">
        <v>0.5215749515090891</v>
      </c>
      <c r="S1019" s="6" t="n">
        <v>1.100558410435447</v>
      </c>
      <c r="T1019" s="6" t="n">
        <v>2.345999978443568</v>
      </c>
      <c r="U1019" s="6" t="n">
        <v>-1.045584845054685</v>
      </c>
      <c r="V1019" s="6" t="n">
        <v>-1.253992569121743</v>
      </c>
      <c r="W1019" s="6" t="n">
        <v>-1.398797399970707</v>
      </c>
      <c r="X1019" s="6" t="n">
        <v>-1.627925612333419</v>
      </c>
      <c r="Y1019" s="6" t="n">
        <v>0.9197119580218673</v>
      </c>
      <c r="Z1019" s="6" t="n">
        <v>-4.003534626673322</v>
      </c>
      <c r="AA1019" s="6" t="n">
        <v>0.1810428466634609</v>
      </c>
      <c r="AB1019" s="6" t="n">
        <v>1.364321395715425</v>
      </c>
      <c r="AC1019" s="6" t="n">
        <v>1.182869960867944</v>
      </c>
      <c r="AD1019" s="6" t="n">
        <v>-1.490244866149126</v>
      </c>
      <c r="AE1019" s="6" t="n">
        <v>-2.185662469566026</v>
      </c>
      <c r="AF1019" s="6" t="n">
        <v>-1.273745735081839</v>
      </c>
      <c r="AG1019" s="6" t="n">
        <v>1.099706807767926</v>
      </c>
      <c r="AH1019" s="6" t="n">
        <v>-2.912695857698516</v>
      </c>
      <c r="AI1019" s="6" t="n">
        <v>-5.196356889480453</v>
      </c>
      <c r="AJ1019" s="6" t="n">
        <v>73.73252778817059</v>
      </c>
      <c r="AK1019" s="6" t="n">
        <v>0.1133485931157568</v>
      </c>
      <c r="AL1019" s="6" t="n">
        <v>1.037358714307075</v>
      </c>
      <c r="AN1019" s="6" t="n">
        <v>1.349265866468108</v>
      </c>
      <c r="AO1019" s="6" t="n">
        <v>1.349401008772749</v>
      </c>
      <c r="AP1019" s="6" t="n">
        <v>0.1338712396302771</v>
      </c>
      <c r="AQ1019" s="6" t="n">
        <v>0</v>
      </c>
      <c r="AR1019" s="6" t="n">
        <v>0</v>
      </c>
    </row>
    <row r="1020">
      <c r="D1020" t="inlineStr">
        <is>
          <t>Run 708</t>
        </is>
      </c>
      <c r="J1020" s="6" t="n">
        <v>-2.251800893991481</v>
      </c>
      <c r="K1020" s="6" t="n">
        <v>-1.826952324528618</v>
      </c>
      <c r="L1020" s="6" t="n">
        <v>1.744244444482154</v>
      </c>
      <c r="M1020" s="6" t="n">
        <v>-0.92598838604847</v>
      </c>
      <c r="N1020" s="6" t="n">
        <v>5</v>
      </c>
      <c r="O1020" s="6" t="n">
        <v>0.223449629503508</v>
      </c>
      <c r="P1020" s="6" t="n">
        <v>-1.195597229114685</v>
      </c>
      <c r="Q1020" s="6" t="n">
        <v>-3.272630111055567</v>
      </c>
      <c r="R1020" s="6" t="n">
        <v>2.5401857750227</v>
      </c>
      <c r="S1020" s="6" t="n">
        <v>-0.7568075681174261</v>
      </c>
      <c r="T1020" s="6" t="n">
        <v>-1.076857959481331</v>
      </c>
      <c r="U1020" s="6" t="n">
        <v>1.634900334932744</v>
      </c>
      <c r="V1020" s="6" t="n">
        <v>0.6898842432291725</v>
      </c>
      <c r="W1020" s="6" t="n">
        <v>-0.03989926132583514</v>
      </c>
      <c r="X1020" s="6" t="n">
        <v>4.034143724250237</v>
      </c>
      <c r="Y1020" s="6" t="n">
        <v>-0.4425812023812912</v>
      </c>
      <c r="Z1020" s="6" t="n">
        <v>-1.023026313201253</v>
      </c>
      <c r="AA1020" s="6" t="n">
        <v>-0.8448835447376015</v>
      </c>
      <c r="AB1020" s="6" t="n">
        <v>0.4169751316655346</v>
      </c>
      <c r="AC1020" s="6" t="n">
        <v>0.1667888390703332</v>
      </c>
      <c r="AD1020" s="6" t="n">
        <v>-1.751297138642995</v>
      </c>
      <c r="AE1020" s="6" t="n">
        <v>1.887233397189183</v>
      </c>
      <c r="AF1020" s="6" t="n">
        <v>-1.732783444044682</v>
      </c>
      <c r="AG1020" s="6" t="n">
        <v>-2.366833429674918</v>
      </c>
      <c r="AH1020" s="6" t="n">
        <v>-0.3449174725386569</v>
      </c>
      <c r="AI1020" s="6" t="n">
        <v>1.005119719502241</v>
      </c>
      <c r="AJ1020" s="6" t="n">
        <v>67.85137778891716</v>
      </c>
      <c r="AK1020" s="6" t="n">
        <v>0.123354249117649</v>
      </c>
      <c r="AL1020" s="6" t="n">
        <v>1.083918317130556</v>
      </c>
      <c r="AN1020" s="6" t="n">
        <v>1.333409827610597</v>
      </c>
      <c r="AO1020" s="6" t="n">
        <v>1.333745006109972</v>
      </c>
      <c r="AP1020" s="6" t="n">
        <v>0.1295878802004012</v>
      </c>
      <c r="AQ1020" s="6" t="n">
        <v>0</v>
      </c>
      <c r="AR1020" s="6" t="n">
        <v>0</v>
      </c>
    </row>
    <row r="1021">
      <c r="D1021" t="inlineStr">
        <is>
          <t>Run 709</t>
        </is>
      </c>
      <c r="J1021" s="6" t="n">
        <v>-0.9032716775896408</v>
      </c>
      <c r="K1021" s="6" t="n">
        <v>-0.727628865273099</v>
      </c>
      <c r="L1021" s="6" t="n">
        <v>-0.1274303879441942</v>
      </c>
      <c r="M1021" s="6" t="n">
        <v>-0.8259616079455304</v>
      </c>
      <c r="N1021" s="6" t="n">
        <v>-1.001041147010035</v>
      </c>
      <c r="O1021" s="6" t="n">
        <v>2.713496404407753</v>
      </c>
      <c r="P1021" s="6" t="n">
        <v>-0.7793043789007618</v>
      </c>
      <c r="Q1021" s="6" t="n">
        <v>0.7920156238519115</v>
      </c>
      <c r="R1021" s="6" t="n">
        <v>-2.095158884366221</v>
      </c>
      <c r="S1021" s="6" t="n">
        <v>0.742031661713595</v>
      </c>
      <c r="T1021" s="6" t="n">
        <v>1.74005947264836</v>
      </c>
      <c r="U1021" s="6" t="n">
        <v>-0.3704836610036701</v>
      </c>
      <c r="V1021" s="6" t="n">
        <v>-0.8742824511189448</v>
      </c>
      <c r="W1021" s="6" t="n">
        <v>-1.57600360044355</v>
      </c>
      <c r="X1021" s="6" t="n">
        <v>-0.9224169870987883</v>
      </c>
      <c r="Y1021" s="6" t="n">
        <v>1.860877241019903</v>
      </c>
      <c r="Z1021" s="6" t="n">
        <v>-1.334454072324333</v>
      </c>
      <c r="AA1021" s="6" t="n">
        <v>-0.5297704025151637</v>
      </c>
      <c r="AB1021" s="6" t="n">
        <v>0.5323093655280657</v>
      </c>
      <c r="AC1021" s="6" t="n">
        <v>1.899226211703665</v>
      </c>
      <c r="AD1021" s="6" t="n">
        <v>2.884705232500538</v>
      </c>
      <c r="AE1021" s="6" t="n">
        <v>-1.372259871375346</v>
      </c>
      <c r="AF1021" s="6" t="n">
        <v>-1.042476142853637</v>
      </c>
      <c r="AG1021" s="6" t="n">
        <v>1.574036502757141</v>
      </c>
      <c r="AH1021" s="6" t="n">
        <v>-1.41510796854377</v>
      </c>
      <c r="AI1021" s="6" t="n">
        <v>0.04524090581666725</v>
      </c>
      <c r="AJ1021" s="6" t="n">
        <v>73.79515876196443</v>
      </c>
      <c r="AK1021" s="6" t="n">
        <v>0.1278769080585589</v>
      </c>
      <c r="AL1021" s="6" t="n">
        <v>1.040550025497126</v>
      </c>
      <c r="AN1021" s="6" t="n">
        <v>1.350037661936115</v>
      </c>
      <c r="AO1021" s="6" t="n">
        <v>1.351000832489056</v>
      </c>
      <c r="AP1021" s="6" t="n">
        <v>0.1334835049543691</v>
      </c>
      <c r="AQ1021" s="6" t="n">
        <v>0</v>
      </c>
      <c r="AR1021" s="6" t="n">
        <v>0</v>
      </c>
    </row>
    <row r="1022">
      <c r="D1022" t="inlineStr">
        <is>
          <t>Run 710</t>
        </is>
      </c>
      <c r="J1022" s="6" t="n">
        <v>-0.1578024772745369</v>
      </c>
      <c r="K1022" s="6" t="n">
        <v>-0.7587877465307433</v>
      </c>
      <c r="L1022" s="6" t="n">
        <v>0.2152416494027483</v>
      </c>
      <c r="M1022" s="6" t="n">
        <v>0.4308234734398734</v>
      </c>
      <c r="N1022" s="6" t="n">
        <v>-0.8034322413792854</v>
      </c>
      <c r="O1022" s="6" t="n">
        <v>-0.73917033223341</v>
      </c>
      <c r="P1022" s="6" t="n">
        <v>0.4864111789098737</v>
      </c>
      <c r="Q1022" s="6" t="n">
        <v>1.870896850199007</v>
      </c>
      <c r="R1022" s="6" t="n">
        <v>-1.175858951423139</v>
      </c>
      <c r="S1022" s="6" t="n">
        <v>0.2349578050795173</v>
      </c>
      <c r="T1022" s="6" t="n">
        <v>-1.790784914467488</v>
      </c>
      <c r="U1022" s="6" t="n">
        <v>-2.708308056301415</v>
      </c>
      <c r="V1022" s="6" t="n">
        <v>-0.4696092287050212</v>
      </c>
      <c r="W1022" s="6" t="n">
        <v>-2.525225766618185</v>
      </c>
      <c r="X1022" s="6" t="n">
        <v>-0.8480854748480918</v>
      </c>
      <c r="Y1022" s="6" t="n">
        <v>-1.391129840657626</v>
      </c>
      <c r="Z1022" s="6" t="n">
        <v>-3.139971280770494</v>
      </c>
      <c r="AA1022" s="6" t="n">
        <v>1.300226400179484</v>
      </c>
      <c r="AB1022" s="6" t="n">
        <v>-0.2037054333761799</v>
      </c>
      <c r="AC1022" s="6" t="n">
        <v>-0.7679113952318035</v>
      </c>
      <c r="AD1022" s="6" t="n">
        <v>-0.08600943844366418</v>
      </c>
      <c r="AE1022" s="6" t="n">
        <v>1.604703366359572</v>
      </c>
      <c r="AF1022" s="6" t="n">
        <v>-2.633181771180026</v>
      </c>
      <c r="AG1022" s="6" t="n">
        <v>-0.5203819708827914</v>
      </c>
      <c r="AH1022" s="6" t="n">
        <v>-2.164600777950128</v>
      </c>
      <c r="AI1022" s="6" t="n">
        <v>-1.102507851739058</v>
      </c>
      <c r="AJ1022" s="6" t="n">
        <v>66.60796309402772</v>
      </c>
      <c r="AK1022" s="6" t="n">
        <v>0.117180336094302</v>
      </c>
      <c r="AL1022" s="6" t="n">
        <v>1.076667360499676</v>
      </c>
      <c r="AN1022" s="6" t="n">
        <v>1.336427776023164</v>
      </c>
      <c r="AO1022" s="6" t="n">
        <v>1.337003812452409</v>
      </c>
      <c r="AP1022" s="6" t="n">
        <v>0.1303286258897931</v>
      </c>
      <c r="AQ1022" s="6" t="n">
        <v>0</v>
      </c>
      <c r="AR1022" s="6" t="n">
        <v>0</v>
      </c>
    </row>
    <row r="1023">
      <c r="D1023" t="inlineStr">
        <is>
          <t>Run 711</t>
        </is>
      </c>
      <c r="J1023" s="6" t="n">
        <v>-0.6048508495568706</v>
      </c>
      <c r="K1023" s="6" t="n">
        <v>2.262963572609535</v>
      </c>
      <c r="L1023" s="6" t="n">
        <v>4.504346194818365</v>
      </c>
      <c r="M1023" s="6" t="n">
        <v>1.532302324477844</v>
      </c>
      <c r="N1023" s="6" t="n">
        <v>-2.223843635836609</v>
      </c>
      <c r="O1023" s="6" t="n">
        <v>-0.02524160186171371</v>
      </c>
      <c r="P1023" s="6" t="n">
        <v>1.907470520027404</v>
      </c>
      <c r="Q1023" s="6" t="n">
        <v>0.3054185337228052</v>
      </c>
      <c r="R1023" s="6" t="n">
        <v>0.2119204705783678</v>
      </c>
      <c r="S1023" s="6" t="n">
        <v>-1.520147859936128</v>
      </c>
      <c r="T1023" s="6" t="n">
        <v>0.05004053598559062</v>
      </c>
      <c r="U1023" s="6" t="n">
        <v>4.535270384887666</v>
      </c>
      <c r="V1023" s="6" t="n">
        <v>-2.588780540707734</v>
      </c>
      <c r="W1023" s="6" t="n">
        <v>2.898312059640942</v>
      </c>
      <c r="X1023" s="6" t="n">
        <v>-2.272096830359789</v>
      </c>
      <c r="Y1023" s="6" t="n">
        <v>-1.055040408947797</v>
      </c>
      <c r="Z1023" s="6" t="n">
        <v>-1.32738181836189</v>
      </c>
      <c r="AA1023" s="6" t="n">
        <v>0.7708005378746694</v>
      </c>
      <c r="AB1023" s="6" t="n">
        <v>-3.239797504797342</v>
      </c>
      <c r="AC1023" s="6" t="n">
        <v>2.543322353246258</v>
      </c>
      <c r="AD1023" s="6" t="n">
        <v>4.044675137625056</v>
      </c>
      <c r="AE1023" s="6" t="n">
        <v>-3.338579333461449</v>
      </c>
      <c r="AF1023" s="6" t="n">
        <v>-1.072460953285238</v>
      </c>
      <c r="AG1023" s="6" t="n">
        <v>-0.7293195735412221</v>
      </c>
      <c r="AH1023" s="6" t="n">
        <v>1.344961147817863</v>
      </c>
      <c r="AI1023" s="6" t="n">
        <v>3.696232336782596</v>
      </c>
      <c r="AJ1023" s="6" t="n">
        <v>71.78953610542585</v>
      </c>
      <c r="AK1023" s="6" t="n">
        <v>0.1516228013320274</v>
      </c>
      <c r="AL1023" s="6" t="n">
        <v>1.099952176664735</v>
      </c>
      <c r="AN1023" s="6" t="n">
        <v>1.324353086853422</v>
      </c>
      <c r="AO1023" s="6" t="n">
        <v>1.325647893610709</v>
      </c>
      <c r="AP1023" s="6" t="n">
        <v>0.1284576492532265</v>
      </c>
      <c r="AQ1023" s="6" t="n">
        <v>0</v>
      </c>
      <c r="AR1023" s="6" t="n">
        <v>0</v>
      </c>
    </row>
    <row r="1024">
      <c r="D1024" t="inlineStr">
        <is>
          <t>Run 712</t>
        </is>
      </c>
      <c r="J1024" s="6" t="n">
        <v>-2.865707321375525</v>
      </c>
      <c r="K1024" s="6" t="n">
        <v>-0.2487693508714594</v>
      </c>
      <c r="L1024" s="6" t="n">
        <v>-1.431426952590708</v>
      </c>
      <c r="M1024" s="6" t="n">
        <v>-1.182858358230242</v>
      </c>
      <c r="N1024" s="6" t="n">
        <v>0.3707357171007999</v>
      </c>
      <c r="O1024" s="6" t="n">
        <v>0.4320240023849302</v>
      </c>
      <c r="P1024" s="6" t="n">
        <v>-2.384296265093864</v>
      </c>
      <c r="Q1024" s="6" t="n">
        <v>-3.844658661618116</v>
      </c>
      <c r="R1024" s="6" t="n">
        <v>3.353238251046623</v>
      </c>
      <c r="S1024" s="6" t="n">
        <v>3.805593323966156</v>
      </c>
      <c r="T1024" s="6" t="n">
        <v>-0.1703500074979996</v>
      </c>
      <c r="U1024" s="6" t="n">
        <v>2.816809830336044</v>
      </c>
      <c r="V1024" s="6" t="n">
        <v>0.3029693767157676</v>
      </c>
      <c r="W1024" s="6" t="n">
        <v>-0.7934119221726154</v>
      </c>
      <c r="X1024" s="6" t="n">
        <v>1.116618564131864</v>
      </c>
      <c r="Y1024" s="6" t="n">
        <v>-1.393489160756454</v>
      </c>
      <c r="Z1024" s="6" t="n">
        <v>1.702735132201395</v>
      </c>
      <c r="AA1024" s="6" t="n">
        <v>1.422401311824311</v>
      </c>
      <c r="AB1024" s="6" t="n">
        <v>-0.8067667830342898</v>
      </c>
      <c r="AC1024" s="6" t="n">
        <v>0.3683369709444356</v>
      </c>
      <c r="AD1024" s="6" t="n">
        <v>0.4918538867315554</v>
      </c>
      <c r="AE1024" s="6" t="n">
        <v>1.643787672217204</v>
      </c>
      <c r="AF1024" s="6" t="n">
        <v>-1.392561865301711</v>
      </c>
      <c r="AG1024" s="6" t="n">
        <v>1.641639362231065</v>
      </c>
      <c r="AH1024" s="6" t="n">
        <v>-1.1543194595818</v>
      </c>
      <c r="AI1024" s="6" t="n">
        <v>3.059781710002788</v>
      </c>
      <c r="AJ1024" s="6" t="n">
        <v>71.91323392410476</v>
      </c>
      <c r="AK1024" s="6" t="n">
        <v>0.1052029417685253</v>
      </c>
      <c r="AL1024" s="6" t="n">
        <v>1.0612203356154</v>
      </c>
      <c r="AN1024" s="6" t="n">
        <v>1.340109412059724</v>
      </c>
      <c r="AO1024" s="6" t="n">
        <v>1.342341864178819</v>
      </c>
      <c r="AP1024" s="6" t="n">
        <v>0.1315568430730732</v>
      </c>
      <c r="AQ1024" s="6" t="n">
        <v>0</v>
      </c>
      <c r="AR1024" s="6" t="n">
        <v>0</v>
      </c>
    </row>
    <row r="1025">
      <c r="D1025" t="inlineStr">
        <is>
          <t>Run 713</t>
        </is>
      </c>
      <c r="J1025" s="6" t="n">
        <v>-5.012170068858294</v>
      </c>
      <c r="K1025" s="6" t="n">
        <v>3.5096369526417</v>
      </c>
      <c r="L1025" s="6" t="n">
        <v>-1.07444771336515</v>
      </c>
      <c r="M1025" s="6" t="n">
        <v>2.415626807240743</v>
      </c>
      <c r="N1025" s="6" t="n">
        <v>-2.727954030797529</v>
      </c>
      <c r="O1025" s="6" t="n">
        <v>-1.645857895174258</v>
      </c>
      <c r="P1025" s="6" t="n">
        <v>-2.236941484165263</v>
      </c>
      <c r="Q1025" s="6" t="n">
        <v>-3.077503114267718</v>
      </c>
      <c r="R1025" s="6" t="n">
        <v>-0.8674613104467985</v>
      </c>
      <c r="S1025" s="6" t="n">
        <v>2.730337312645081</v>
      </c>
      <c r="T1025" s="6" t="n">
        <v>1.776809972192626</v>
      </c>
      <c r="U1025" s="6" t="n">
        <v>-1.10042786923083</v>
      </c>
      <c r="V1025" s="6" t="n">
        <v>1.05793756566097</v>
      </c>
      <c r="W1025" s="6" t="n">
        <v>0.3566200619741669</v>
      </c>
      <c r="X1025" s="6" t="n">
        <v>-0.3055969871344813</v>
      </c>
      <c r="Y1025" s="6" t="n">
        <v>-0.9922816192066689</v>
      </c>
      <c r="Z1025" s="6" t="n">
        <v>1.58437148501392</v>
      </c>
      <c r="AA1025" s="6" t="n">
        <v>-1.111055565798994</v>
      </c>
      <c r="AB1025" s="6" t="n">
        <v>0.1749763779523885</v>
      </c>
      <c r="AC1025" s="6" t="n">
        <v>3.436680771931811</v>
      </c>
      <c r="AD1025" s="6" t="n">
        <v>0.01308200866241385</v>
      </c>
      <c r="AE1025" s="6" t="n">
        <v>1.030951987964619</v>
      </c>
      <c r="AF1025" s="6" t="n">
        <v>1.018809389682462</v>
      </c>
      <c r="AG1025" s="6" t="n">
        <v>2.178175637662491</v>
      </c>
      <c r="AH1025" s="6" t="n">
        <v>3.258343164988807</v>
      </c>
      <c r="AI1025" s="6" t="n">
        <v>-0.2433613733508095</v>
      </c>
      <c r="AJ1025" s="6" t="n">
        <v>71.80021265388818</v>
      </c>
      <c r="AK1025" s="6" t="n">
        <v>0.1408198668492989</v>
      </c>
      <c r="AL1025" s="6" t="n">
        <v>1.072934184792045</v>
      </c>
      <c r="AN1025" s="6" t="n">
        <v>1.32942743567108</v>
      </c>
      <c r="AO1025" s="6" t="n">
        <v>1.32942743567108</v>
      </c>
      <c r="AP1025" s="6" t="n">
        <v>0.1296807413947648</v>
      </c>
      <c r="AQ1025" s="6" t="n">
        <v>0</v>
      </c>
      <c r="AR1025" s="6" t="n">
        <v>0</v>
      </c>
    </row>
    <row r="1026">
      <c r="D1026" t="inlineStr">
        <is>
          <t>Run 714</t>
        </is>
      </c>
      <c r="J1026" s="6" t="n">
        <v>0.3770546040921177</v>
      </c>
      <c r="K1026" s="6" t="n">
        <v>-2.014965715737098</v>
      </c>
      <c r="L1026" s="6" t="n">
        <v>0.2813714879065721</v>
      </c>
      <c r="M1026" s="6" t="n">
        <v>1.699356799908635</v>
      </c>
      <c r="N1026" s="6" t="n">
        <v>-1.433370508161147</v>
      </c>
      <c r="O1026" s="6" t="n">
        <v>1.478549836744695</v>
      </c>
      <c r="P1026" s="6" t="n">
        <v>-0.7438007127566224</v>
      </c>
      <c r="Q1026" s="6" t="n">
        <v>4.007524646229762</v>
      </c>
      <c r="R1026" s="6" t="n">
        <v>-3.131051565929988</v>
      </c>
      <c r="S1026" s="6" t="n">
        <v>-1.487668916539205</v>
      </c>
      <c r="T1026" s="6" t="n">
        <v>-1.686801392257778</v>
      </c>
      <c r="U1026" s="6" t="n">
        <v>-1.681278783625273</v>
      </c>
      <c r="V1026" s="6" t="n">
        <v>1.479752906206451</v>
      </c>
      <c r="W1026" s="6" t="n">
        <v>-1.431848285665184</v>
      </c>
      <c r="X1026" s="6" t="n">
        <v>1.629614551642457</v>
      </c>
      <c r="Y1026" s="6" t="n">
        <v>1.238032974524972</v>
      </c>
      <c r="Z1026" s="6" t="n">
        <v>-1.649540370216161</v>
      </c>
      <c r="AA1026" s="6" t="n">
        <v>-3.547730016028045</v>
      </c>
      <c r="AB1026" s="6" t="n">
        <v>0.6608119912676494</v>
      </c>
      <c r="AC1026" s="6" t="n">
        <v>-2.048553384371793</v>
      </c>
      <c r="AD1026" s="6" t="n">
        <v>2.687030721656128</v>
      </c>
      <c r="AE1026" s="6" t="n">
        <v>-0.1287066910813162</v>
      </c>
      <c r="AF1026" s="6" t="n">
        <v>1.834899410798191</v>
      </c>
      <c r="AG1026" s="6" t="n">
        <v>-1.986749668787409</v>
      </c>
      <c r="AH1026" s="6" t="n">
        <v>1.244360630034003</v>
      </c>
      <c r="AI1026" s="6" t="n">
        <v>-0.4180652179855756</v>
      </c>
      <c r="AJ1026" s="6" t="n">
        <v>63.65066297132184</v>
      </c>
      <c r="AK1026" s="6" t="n">
        <v>0.0817192606694836</v>
      </c>
      <c r="AL1026" s="6" t="n">
        <v>1.051474394921969</v>
      </c>
      <c r="AN1026" s="6" t="n">
        <v>1.343363395990582</v>
      </c>
      <c r="AO1026" s="6" t="n">
        <v>1.343363395990582</v>
      </c>
      <c r="AP1026" s="6" t="n">
        <v>0.1326503198648866</v>
      </c>
      <c r="AQ1026" s="6" t="n">
        <v>0</v>
      </c>
      <c r="AR1026" s="6" t="n">
        <v>0</v>
      </c>
    </row>
    <row r="1027">
      <c r="D1027" t="inlineStr">
        <is>
          <t>Run 715</t>
        </is>
      </c>
      <c r="J1027" s="6" t="n">
        <v>3.777782117718479</v>
      </c>
      <c r="K1027" s="6" t="n">
        <v>-1.803077473402094</v>
      </c>
      <c r="L1027" s="6" t="n">
        <v>2.687316136099586</v>
      </c>
      <c r="M1027" s="6" t="n">
        <v>-1.612605531716111</v>
      </c>
      <c r="N1027" s="6" t="n">
        <v>-1.32539737205428</v>
      </c>
      <c r="O1027" s="6" t="n">
        <v>2.449146898417408</v>
      </c>
      <c r="P1027" s="6" t="n">
        <v>-0.78813932050445</v>
      </c>
      <c r="Q1027" s="6" t="n">
        <v>-1.461033094444772</v>
      </c>
      <c r="R1027" s="6" t="n">
        <v>-1.98918412159522</v>
      </c>
      <c r="S1027" s="6" t="n">
        <v>-0.52386999271523</v>
      </c>
      <c r="T1027" s="6" t="n">
        <v>1.749532394224072</v>
      </c>
      <c r="U1027" s="6" t="n">
        <v>3.643049083001919</v>
      </c>
      <c r="V1027" s="6" t="n">
        <v>1.854490631676355</v>
      </c>
      <c r="W1027" s="6" t="n">
        <v>-1.774373040630337</v>
      </c>
      <c r="X1027" s="6" t="n">
        <v>-1.079521622980624</v>
      </c>
      <c r="Y1027" s="6" t="n">
        <v>0.9729952315043814</v>
      </c>
      <c r="Z1027" s="6" t="n">
        <v>-2.4524001879992</v>
      </c>
      <c r="AA1027" s="6" t="n">
        <v>-2.039778921198394</v>
      </c>
      <c r="AB1027" s="6" t="n">
        <v>-0.2491224837408399</v>
      </c>
      <c r="AC1027" s="6" t="n">
        <v>1.064977667051249</v>
      </c>
      <c r="AD1027" s="6" t="n">
        <v>-0.6512619688770204</v>
      </c>
      <c r="AE1027" s="6" t="n">
        <v>-2.129697214553097</v>
      </c>
      <c r="AF1027" s="6" t="n">
        <v>0.4000767814628463</v>
      </c>
      <c r="AG1027" s="6" t="n">
        <v>-2.264635222956723</v>
      </c>
      <c r="AH1027" s="6" t="n">
        <v>1.031726445997557</v>
      </c>
      <c r="AI1027" s="6" t="n">
        <v>0.6871052527105583</v>
      </c>
      <c r="AJ1027" s="6" t="n">
        <v>79.31493187998858</v>
      </c>
      <c r="AK1027" s="6" t="n">
        <v>0.09530922449807311</v>
      </c>
      <c r="AL1027" s="6" t="n">
        <v>1.040149224777538</v>
      </c>
      <c r="AN1027" s="6" t="n">
        <v>1.345385900077849</v>
      </c>
      <c r="AO1027" s="6" t="n">
        <v>1.350196281639204</v>
      </c>
      <c r="AP1027" s="6" t="n">
        <v>0.1343990780461606</v>
      </c>
      <c r="AQ1027" s="6" t="n">
        <v>0</v>
      </c>
      <c r="AR1027" s="6" t="n">
        <v>0</v>
      </c>
    </row>
    <row r="1028">
      <c r="D1028" t="inlineStr">
        <is>
          <t>Run 716</t>
        </is>
      </c>
      <c r="J1028" s="6" t="n">
        <v>3.829277787415379</v>
      </c>
      <c r="K1028" s="6" t="n">
        <v>1.411889380984294</v>
      </c>
      <c r="L1028" s="6" t="n">
        <v>2.472258295285962</v>
      </c>
      <c r="M1028" s="6" t="n">
        <v>1.457035590246265</v>
      </c>
      <c r="N1028" s="6" t="n">
        <v>0.09653487887083208</v>
      </c>
      <c r="O1028" s="6" t="n">
        <v>0.2122401787102879</v>
      </c>
      <c r="P1028" s="6" t="n">
        <v>0.5682030652637289</v>
      </c>
      <c r="Q1028" s="6" t="n">
        <v>-0.0162590036888848</v>
      </c>
      <c r="R1028" s="6" t="n">
        <v>0.314279735349738</v>
      </c>
      <c r="S1028" s="6" t="n">
        <v>0.0810837857771162</v>
      </c>
      <c r="T1028" s="6" t="n">
        <v>-1.592754748326193</v>
      </c>
      <c r="U1028" s="6" t="n">
        <v>3.065606609235577</v>
      </c>
      <c r="V1028" s="6" t="n">
        <v>2.632770780654363</v>
      </c>
      <c r="W1028" s="6" t="n">
        <v>1.756482956637378</v>
      </c>
      <c r="X1028" s="6" t="n">
        <v>-1.507331993529724</v>
      </c>
      <c r="Y1028" s="6" t="n">
        <v>1.967553836682108</v>
      </c>
      <c r="Z1028" s="6" t="n">
        <v>-0.4586676869996463</v>
      </c>
      <c r="AA1028" s="6" t="n">
        <v>-0.1933864887582068</v>
      </c>
      <c r="AB1028" s="6" t="n">
        <v>-2.594341434947574</v>
      </c>
      <c r="AC1028" s="6" t="n">
        <v>0.3934140318131057</v>
      </c>
      <c r="AD1028" s="6" t="n">
        <v>0.914573793576286</v>
      </c>
      <c r="AE1028" s="6" t="n">
        <v>-0.04694551691338553</v>
      </c>
      <c r="AF1028" s="6" t="n">
        <v>0.5966682021098865</v>
      </c>
      <c r="AG1028" s="6" t="n">
        <v>0.7608513427432687</v>
      </c>
      <c r="AH1028" s="6" t="n">
        <v>-0.7559520134878185</v>
      </c>
      <c r="AI1028" s="6" t="n">
        <v>-0.8717149396284689</v>
      </c>
      <c r="AJ1028" s="6" t="n">
        <v>77.61740074398823</v>
      </c>
      <c r="AK1028" s="6" t="n">
        <v>0.1517666798315237</v>
      </c>
      <c r="AL1028" s="6" t="n">
        <v>1.06168620827036</v>
      </c>
      <c r="AN1028" s="6" t="n">
        <v>1.340977494864542</v>
      </c>
      <c r="AO1028" s="6" t="n">
        <v>1.341448094290187</v>
      </c>
      <c r="AP1028" s="6" t="n">
        <v>0.1310455647229286</v>
      </c>
      <c r="AQ1028" s="6" t="n">
        <v>0</v>
      </c>
      <c r="AR1028" s="6" t="n">
        <v>0</v>
      </c>
    </row>
    <row r="1029">
      <c r="D1029" t="inlineStr">
        <is>
          <t>Run 717</t>
        </is>
      </c>
      <c r="J1029" s="6" t="n">
        <v>3.574186763614569</v>
      </c>
      <c r="K1029" s="6" t="n">
        <v>-0.04591370178866946</v>
      </c>
      <c r="L1029" s="6" t="n">
        <v>1.949595479464352</v>
      </c>
      <c r="M1029" s="6" t="n">
        <v>0.1492781330006707</v>
      </c>
      <c r="N1029" s="6" t="n">
        <v>3.416324154152792</v>
      </c>
      <c r="O1029" s="6" t="n">
        <v>-0.05147474280888696</v>
      </c>
      <c r="P1029" s="6" t="n">
        <v>0.5576533724949532</v>
      </c>
      <c r="Q1029" s="6" t="n">
        <v>-1.923934475839786</v>
      </c>
      <c r="R1029" s="6" t="n">
        <v>0.3625694751502104</v>
      </c>
      <c r="S1029" s="6" t="n">
        <v>2.412290251594634</v>
      </c>
      <c r="T1029" s="6" t="n">
        <v>-1.443759323528</v>
      </c>
      <c r="U1029" s="6" t="n">
        <v>2.09296287545326</v>
      </c>
      <c r="V1029" s="6" t="n">
        <v>-6.804693143313948</v>
      </c>
      <c r="W1029" s="6" t="n">
        <v>-2.493567541166314</v>
      </c>
      <c r="X1029" s="6" t="n">
        <v>1.895036649864634</v>
      </c>
      <c r="Y1029" s="6" t="n">
        <v>-0.5888378782296709</v>
      </c>
      <c r="Z1029" s="6" t="n">
        <v>0.8551466624360419</v>
      </c>
      <c r="AA1029" s="6" t="n">
        <v>2.923230828008713</v>
      </c>
      <c r="AB1029" s="6" t="n">
        <v>1.763174949038436</v>
      </c>
      <c r="AC1029" s="6" t="n">
        <v>-1.132020995955384</v>
      </c>
      <c r="AD1029" s="6" t="n">
        <v>-0.3081733144398201</v>
      </c>
      <c r="AE1029" s="6" t="n">
        <v>0.8819247806428259</v>
      </c>
      <c r="AF1029" s="6" t="n">
        <v>-0.2781282012624441</v>
      </c>
      <c r="AG1029" s="6" t="n">
        <v>0.9974053393928219</v>
      </c>
      <c r="AH1029" s="6" t="n">
        <v>-0.4686266974284171</v>
      </c>
      <c r="AI1029" s="6" t="n">
        <v>-2.529892416575213</v>
      </c>
      <c r="AJ1029" s="6" t="n">
        <v>73.24376890287776</v>
      </c>
      <c r="AK1029" s="6" t="n">
        <v>0.07754110366216847</v>
      </c>
      <c r="AL1029" s="6" t="n">
        <v>1.068779946647484</v>
      </c>
      <c r="AN1029" s="6" t="n">
        <v>1.344709492793017</v>
      </c>
      <c r="AO1029" s="6" t="n">
        <v>1.34501051772889</v>
      </c>
      <c r="AP1029" s="6" t="n">
        <v>0.1317319601457328</v>
      </c>
      <c r="AQ1029" s="6" t="n">
        <v>0</v>
      </c>
      <c r="AR1029" s="6" t="n">
        <v>0</v>
      </c>
    </row>
    <row r="1030">
      <c r="D1030" t="inlineStr">
        <is>
          <t>Run 718</t>
        </is>
      </c>
      <c r="J1030" s="6" t="n">
        <v>-0.5858271363982972</v>
      </c>
      <c r="K1030" s="6" t="n">
        <v>-2.438832124795555</v>
      </c>
      <c r="L1030" s="6" t="n">
        <v>-1.85903490461394</v>
      </c>
      <c r="M1030" s="6" t="n">
        <v>-1.100350818187313</v>
      </c>
      <c r="N1030" s="6" t="n">
        <v>0.5329866781673271</v>
      </c>
      <c r="O1030" s="6" t="n">
        <v>-1.137455889550202</v>
      </c>
      <c r="P1030" s="6" t="n">
        <v>4.217384386599019</v>
      </c>
      <c r="Q1030" s="6" t="n">
        <v>-2.371578472818301</v>
      </c>
      <c r="R1030" s="6" t="n">
        <v>0.1646917929127322</v>
      </c>
      <c r="S1030" s="6" t="n">
        <v>4.037507790535571</v>
      </c>
      <c r="T1030" s="6" t="n">
        <v>0.5448384743238029</v>
      </c>
      <c r="U1030" s="6" t="n">
        <v>-0.6430915769885256</v>
      </c>
      <c r="V1030" s="6" t="n">
        <v>1.007073817076221</v>
      </c>
      <c r="W1030" s="6" t="n">
        <v>0.3340992903468023</v>
      </c>
      <c r="X1030" s="6" t="n">
        <v>1.503403038582831</v>
      </c>
      <c r="Y1030" s="6" t="n">
        <v>-2.847312361045828</v>
      </c>
      <c r="Z1030" s="6" t="n">
        <v>-0.4724154411192357</v>
      </c>
      <c r="AA1030" s="6" t="n">
        <v>0.9180591095054188</v>
      </c>
      <c r="AB1030" s="6" t="n">
        <v>1.738848454196249</v>
      </c>
      <c r="AC1030" s="6" t="n">
        <v>1.379741319256972</v>
      </c>
      <c r="AD1030" s="6" t="n">
        <v>2.4343385034093</v>
      </c>
      <c r="AE1030" s="6" t="n">
        <v>0.9454241641688947</v>
      </c>
      <c r="AF1030" s="6" t="n">
        <v>-0.1444566825557853</v>
      </c>
      <c r="AG1030" s="6" t="n">
        <v>-0.5107870717319727</v>
      </c>
      <c r="AH1030" s="6" t="n">
        <v>-0.9984947108087384</v>
      </c>
      <c r="AI1030" s="6" t="n">
        <v>1.451998202433004</v>
      </c>
      <c r="AJ1030" s="6" t="n">
        <v>83.80366514452804</v>
      </c>
      <c r="AK1030" s="6" t="n">
        <v>0.08099915317618109</v>
      </c>
      <c r="AL1030" s="6" t="n">
        <v>1.026341745139447</v>
      </c>
      <c r="AN1030" s="6" t="n">
        <v>1.358819503764993</v>
      </c>
      <c r="AO1030" s="6" t="n">
        <v>1.358819503764993</v>
      </c>
      <c r="AP1030" s="6" t="n">
        <v>0.1367380121025193</v>
      </c>
      <c r="AQ1030" s="6" t="n">
        <v>0</v>
      </c>
      <c r="AR1030" s="6" t="n">
        <v>0</v>
      </c>
    </row>
    <row r="1031">
      <c r="D1031" t="inlineStr">
        <is>
          <t>Run 719</t>
        </is>
      </c>
      <c r="J1031" s="6" t="n">
        <v>-2.700121166441821</v>
      </c>
      <c r="K1031" s="6" t="n">
        <v>-1.732429340681403</v>
      </c>
      <c r="L1031" s="6" t="n">
        <v>2.127724487741946</v>
      </c>
      <c r="M1031" s="6" t="n">
        <v>-2.187211953588807</v>
      </c>
      <c r="N1031" s="6" t="n">
        <v>1.226324360460363</v>
      </c>
      <c r="O1031" s="6" t="n">
        <v>-0.9899360422664812</v>
      </c>
      <c r="P1031" s="6" t="n">
        <v>0.9586273579400009</v>
      </c>
      <c r="Q1031" s="6" t="n">
        <v>1.0349795625603</v>
      </c>
      <c r="R1031" s="6" t="n">
        <v>-0.1344990090024913</v>
      </c>
      <c r="S1031" s="6" t="n">
        <v>-0.657467534318686</v>
      </c>
      <c r="T1031" s="6" t="n">
        <v>0.5186246684602827</v>
      </c>
      <c r="U1031" s="6" t="n">
        <v>0.9486898897804422</v>
      </c>
      <c r="V1031" s="6" t="n">
        <v>0.1539041560969987</v>
      </c>
      <c r="W1031" s="6" t="n">
        <v>4.483262346437516</v>
      </c>
      <c r="X1031" s="6" t="n">
        <v>1.950978247244402</v>
      </c>
      <c r="Y1031" s="6" t="n">
        <v>-0.7271189467220075</v>
      </c>
      <c r="Z1031" s="6" t="n">
        <v>-1.674549999493524</v>
      </c>
      <c r="AA1031" s="6" t="n">
        <v>2.763347029197529</v>
      </c>
      <c r="AB1031" s="6" t="n">
        <v>-1.048773819595333</v>
      </c>
      <c r="AC1031" s="6" t="n">
        <v>-2.190106022710863</v>
      </c>
      <c r="AD1031" s="6" t="n">
        <v>2.001346669404397</v>
      </c>
      <c r="AE1031" s="6" t="n">
        <v>-0.2004710542258188</v>
      </c>
      <c r="AF1031" s="6" t="n">
        <v>-1.327163094784044</v>
      </c>
      <c r="AG1031" s="6" t="n">
        <v>3.4227057289862</v>
      </c>
      <c r="AH1031" s="6" t="n">
        <v>1.231840396954669</v>
      </c>
      <c r="AI1031" s="6" t="n">
        <v>-2.319540156166631</v>
      </c>
      <c r="AJ1031" s="6" t="n">
        <v>68.84915602540779</v>
      </c>
      <c r="AK1031" s="6" t="n">
        <v>0.1437365168922221</v>
      </c>
      <c r="AL1031" s="6" t="n">
        <v>1.016930756051444</v>
      </c>
      <c r="AN1031" s="6" t="n">
        <v>1.336810886127735</v>
      </c>
      <c r="AO1031" s="6" t="n">
        <v>1.344358554128391</v>
      </c>
      <c r="AP1031" s="6" t="n">
        <v>0.135171102387096</v>
      </c>
      <c r="AQ1031" s="6" t="n">
        <v>0</v>
      </c>
      <c r="AR1031" s="6" t="n">
        <v>0</v>
      </c>
    </row>
    <row r="1032">
      <c r="D1032" t="inlineStr">
        <is>
          <t>Run 720</t>
        </is>
      </c>
      <c r="J1032" s="6" t="n">
        <v>1.313240386484476</v>
      </c>
      <c r="K1032" s="6" t="n">
        <v>2.313070107930885</v>
      </c>
      <c r="L1032" s="6" t="n">
        <v>2.905373207218084</v>
      </c>
      <c r="M1032" s="6" t="n">
        <v>0.5646505981805821</v>
      </c>
      <c r="N1032" s="6" t="n">
        <v>-0.3094085575882896</v>
      </c>
      <c r="O1032" s="6" t="n">
        <v>-1.631080284504269</v>
      </c>
      <c r="P1032" s="6" t="n">
        <v>4.527828526204934</v>
      </c>
      <c r="Q1032" s="6" t="n">
        <v>-3.231537435501938</v>
      </c>
      <c r="R1032" s="6" t="n">
        <v>-1.476617987106832</v>
      </c>
      <c r="S1032" s="6" t="n">
        <v>0.2898928238905958</v>
      </c>
      <c r="T1032" s="6" t="n">
        <v>2.322433252075491</v>
      </c>
      <c r="U1032" s="6" t="n">
        <v>0.6667489806611644</v>
      </c>
      <c r="V1032" s="6" t="n">
        <v>-1.786464348759699</v>
      </c>
      <c r="W1032" s="6" t="n">
        <v>1.017949824009404</v>
      </c>
      <c r="X1032" s="6" t="n">
        <v>0.9873079324796565</v>
      </c>
      <c r="Y1032" s="6" t="n">
        <v>-1.069148877696853</v>
      </c>
      <c r="Z1032" s="6" t="n">
        <v>0.2851683348885384</v>
      </c>
      <c r="AA1032" s="6" t="n">
        <v>0.6513582126082749</v>
      </c>
      <c r="AB1032" s="6" t="n">
        <v>-2.193518886780793</v>
      </c>
      <c r="AC1032" s="6" t="n">
        <v>1.108487100912452</v>
      </c>
      <c r="AD1032" s="6" t="n">
        <v>0.9396651165805147</v>
      </c>
      <c r="AE1032" s="6" t="n">
        <v>1.007341777053944</v>
      </c>
      <c r="AF1032" s="6" t="n">
        <v>0.3939992342943978</v>
      </c>
      <c r="AG1032" s="6" t="n">
        <v>-1.042424889686407</v>
      </c>
      <c r="AH1032" s="6" t="n">
        <v>-0.1252982625410799</v>
      </c>
      <c r="AI1032" s="6" t="n">
        <v>1.043000028322495</v>
      </c>
      <c r="AJ1032" s="6" t="n">
        <v>78.27416623942379</v>
      </c>
      <c r="AK1032" s="6" t="n">
        <v>0.1475664260014617</v>
      </c>
      <c r="AL1032" s="6" t="n">
        <v>1.031984928951853</v>
      </c>
      <c r="AN1032" s="6" t="n">
        <v>1.352271017214421</v>
      </c>
      <c r="AO1032" s="6" t="n">
        <v>1.352429902426008</v>
      </c>
      <c r="AP1032" s="6" t="n">
        <v>0.1336359340372748</v>
      </c>
      <c r="AQ1032" s="6" t="n">
        <v>0</v>
      </c>
      <c r="AR1032" s="6" t="n">
        <v>0</v>
      </c>
    </row>
    <row r="1033">
      <c r="D1033" t="inlineStr">
        <is>
          <t>Run 721</t>
        </is>
      </c>
      <c r="J1033" s="6" t="n">
        <v>-0.2587312569734788</v>
      </c>
      <c r="K1033" s="6" t="n">
        <v>1.606370467917609</v>
      </c>
      <c r="L1033" s="6" t="n">
        <v>-1.136541306323996</v>
      </c>
      <c r="M1033" s="6" t="n">
        <v>-0.5276059636229239</v>
      </c>
      <c r="N1033" s="6" t="n">
        <v>-0.8977894577234554</v>
      </c>
      <c r="O1033" s="6" t="n">
        <v>5</v>
      </c>
      <c r="P1033" s="6" t="n">
        <v>-1.945361643251573</v>
      </c>
      <c r="Q1033" s="6" t="n">
        <v>-1.786060182856697</v>
      </c>
      <c r="R1033" s="6" t="n">
        <v>1.687406008741779</v>
      </c>
      <c r="S1033" s="6" t="n">
        <v>-2.494674242193364</v>
      </c>
      <c r="T1033" s="6" t="n">
        <v>-1.725259380421523</v>
      </c>
      <c r="U1033" s="6" t="n">
        <v>-1.762769660695592</v>
      </c>
      <c r="V1033" s="6" t="n">
        <v>-1.613529343908344</v>
      </c>
      <c r="W1033" s="6" t="n">
        <v>-0.7905179866897055</v>
      </c>
      <c r="X1033" s="6" t="n">
        <v>-0.6664643201465598</v>
      </c>
      <c r="Y1033" s="6" t="n">
        <v>1.683909732506153</v>
      </c>
      <c r="Z1033" s="6" t="n">
        <v>-1.295907057651095</v>
      </c>
      <c r="AA1033" s="6" t="n">
        <v>1.98762416728962</v>
      </c>
      <c r="AB1033" s="6" t="n">
        <v>1.986250274138457</v>
      </c>
      <c r="AC1033" s="6" t="n">
        <v>2.13412090719852</v>
      </c>
      <c r="AD1033" s="6" t="n">
        <v>-2.303396611949782</v>
      </c>
      <c r="AE1033" s="6" t="n">
        <v>-4.696257517538105</v>
      </c>
      <c r="AF1033" s="6" t="n">
        <v>0.2132657895503528</v>
      </c>
      <c r="AG1033" s="6" t="n">
        <v>-1.378205782823557</v>
      </c>
      <c r="AH1033" s="6" t="n">
        <v>-2.030299436085043</v>
      </c>
      <c r="AI1033" s="6" t="n">
        <v>3.408194295666946</v>
      </c>
      <c r="AJ1033" s="6" t="n">
        <v>78.08614269463843</v>
      </c>
      <c r="AK1033" s="6" t="n">
        <v>0.1266834803746075</v>
      </c>
      <c r="AL1033" s="6" t="n">
        <v>0.9944055141176631</v>
      </c>
      <c r="AN1033" s="6" t="n">
        <v>1.360760708246761</v>
      </c>
      <c r="AO1033" s="6" t="n">
        <v>1.360760708246761</v>
      </c>
      <c r="AP1033" s="6" t="n">
        <v>0.1403687852536917</v>
      </c>
      <c r="AQ1033" s="6" t="n">
        <v>0</v>
      </c>
      <c r="AR1033" s="6" t="n">
        <v>0</v>
      </c>
    </row>
    <row r="1034">
      <c r="D1034" t="inlineStr">
        <is>
          <t>Run 722</t>
        </is>
      </c>
      <c r="J1034" s="6" t="n">
        <v>1.63734710714094</v>
      </c>
      <c r="K1034" s="6" t="n">
        <v>0.2556339887372121</v>
      </c>
      <c r="L1034" s="6" t="n">
        <v>0.1053731044121521</v>
      </c>
      <c r="M1034" s="6" t="n">
        <v>-1.616803811829194</v>
      </c>
      <c r="N1034" s="6" t="n">
        <v>0.47274641319754</v>
      </c>
      <c r="O1034" s="6" t="n">
        <v>0.9298658064254303</v>
      </c>
      <c r="P1034" s="6" t="n">
        <v>2.129950703966479</v>
      </c>
      <c r="Q1034" s="6" t="n">
        <v>1.736876162121586</v>
      </c>
      <c r="R1034" s="6" t="n">
        <v>-0.5799163582169339</v>
      </c>
      <c r="S1034" s="6" t="n">
        <v>-3.691985709767448</v>
      </c>
      <c r="T1034" s="6" t="n">
        <v>0.7048693221365309</v>
      </c>
      <c r="U1034" s="6" t="n">
        <v>1.833647845307903</v>
      </c>
      <c r="V1034" s="6" t="n">
        <v>2.647080820521417</v>
      </c>
      <c r="W1034" s="6" t="n">
        <v>1.294601270876673</v>
      </c>
      <c r="X1034" s="6" t="n">
        <v>-0.6775545723563352</v>
      </c>
      <c r="Y1034" s="6" t="n">
        <v>-2.016692487955501</v>
      </c>
      <c r="Z1034" s="6" t="n">
        <v>-4.616651432967129</v>
      </c>
      <c r="AA1034" s="6" t="n">
        <v>-1.281157132021508</v>
      </c>
      <c r="AB1034" s="6" t="n">
        <v>0.294355597354425</v>
      </c>
      <c r="AC1034" s="6" t="n">
        <v>1.451052049403776</v>
      </c>
      <c r="AD1034" s="6" t="n">
        <v>2.793071095919246</v>
      </c>
      <c r="AE1034" s="6" t="n">
        <v>0.4335836133467718</v>
      </c>
      <c r="AF1034" s="6" t="n">
        <v>1.46761566774195</v>
      </c>
      <c r="AG1034" s="6" t="n">
        <v>-0.1898365010802063</v>
      </c>
      <c r="AH1034" s="6" t="n">
        <v>-0.8301359531179765</v>
      </c>
      <c r="AI1034" s="6" t="n">
        <v>2.110500161541078</v>
      </c>
      <c r="AJ1034" s="6" t="n">
        <v>69.345798062935</v>
      </c>
      <c r="AK1034" s="6" t="n">
        <v>0.1812750128780744</v>
      </c>
      <c r="AL1034" s="6" t="n">
        <v>1.057290264065438</v>
      </c>
      <c r="AN1034" s="6" t="n">
        <v>1.330299281698044</v>
      </c>
      <c r="AO1034" s="6" t="n">
        <v>1.334031594019173</v>
      </c>
      <c r="AP1034" s="6" t="n">
        <v>0.1300362703644564</v>
      </c>
      <c r="AQ1034" s="6" t="n">
        <v>0</v>
      </c>
      <c r="AR1034" s="6" t="n">
        <v>0</v>
      </c>
    </row>
    <row r="1035">
      <c r="D1035" t="inlineStr">
        <is>
          <t>Run 723</t>
        </is>
      </c>
      <c r="J1035" s="6" t="n">
        <v>-1.05923500295827</v>
      </c>
      <c r="K1035" s="6" t="n">
        <v>0.08965280917371568</v>
      </c>
      <c r="L1035" s="6" t="n">
        <v>-1.635402069424804</v>
      </c>
      <c r="M1035" s="6" t="n">
        <v>0.7711840113900791</v>
      </c>
      <c r="N1035" s="6" t="n">
        <v>-5.236624016562311</v>
      </c>
      <c r="O1035" s="6" t="n">
        <v>1.402531272530085</v>
      </c>
      <c r="P1035" s="6" t="n">
        <v>0.3047198327654098</v>
      </c>
      <c r="Q1035" s="6" t="n">
        <v>1.934218578101956</v>
      </c>
      <c r="R1035" s="6" t="n">
        <v>-1.808610117574865</v>
      </c>
      <c r="S1035" s="6" t="n">
        <v>0.9188836478521034</v>
      </c>
      <c r="T1035" s="6" t="n">
        <v>0.6453089376973752</v>
      </c>
      <c r="U1035" s="6" t="n">
        <v>-0.6162981087791676</v>
      </c>
      <c r="V1035" s="6" t="n">
        <v>-1.410731239650166</v>
      </c>
      <c r="W1035" s="6" t="n">
        <v>0.5368262424159191</v>
      </c>
      <c r="X1035" s="6" t="n">
        <v>-1.24757262871693</v>
      </c>
      <c r="Y1035" s="6" t="n">
        <v>-2.232434218327015</v>
      </c>
      <c r="Z1035" s="6" t="n">
        <v>2.539846405557235</v>
      </c>
      <c r="AA1035" s="6" t="n">
        <v>0.4130692061844495</v>
      </c>
      <c r="AB1035" s="6" t="n">
        <v>-0.6034019136425127</v>
      </c>
      <c r="AC1035" s="6" t="n">
        <v>-1.772208779101073</v>
      </c>
      <c r="AD1035" s="6" t="n">
        <v>3.321385645687656</v>
      </c>
      <c r="AE1035" s="6" t="n">
        <v>-0.2103181478834914</v>
      </c>
      <c r="AF1035" s="6" t="n">
        <v>-0.9106586469600904</v>
      </c>
      <c r="AG1035" s="6" t="n">
        <v>-0.2913774147766166</v>
      </c>
      <c r="AH1035" s="6" t="n">
        <v>0.1224719729824163</v>
      </c>
      <c r="AI1035" s="6" t="n">
        <v>0.7416019970079565</v>
      </c>
      <c r="AJ1035" s="6" t="n">
        <v>62.94492799079139</v>
      </c>
      <c r="AK1035" s="6" t="n">
        <v>0.1181187412018417</v>
      </c>
      <c r="AL1035" s="6" t="n">
        <v>1.063987360342832</v>
      </c>
      <c r="AN1035" s="6" t="n">
        <v>1.327118347830713</v>
      </c>
      <c r="AO1035" s="6" t="n">
        <v>1.332554157182055</v>
      </c>
      <c r="AP1035" s="6" t="n">
        <v>0.1308418743444886</v>
      </c>
      <c r="AQ1035" s="6" t="n">
        <v>0</v>
      </c>
      <c r="AR1035" s="6" t="n">
        <v>0</v>
      </c>
    </row>
    <row r="1036">
      <c r="D1036" t="inlineStr">
        <is>
          <t>Run 724</t>
        </is>
      </c>
      <c r="J1036" s="6" t="n">
        <v>-2.917280749277285</v>
      </c>
      <c r="K1036" s="6" t="n">
        <v>-4.38297249576205</v>
      </c>
      <c r="L1036" s="6" t="n">
        <v>0.627403475990588</v>
      </c>
      <c r="M1036" s="6" t="n">
        <v>-2.789125188575721</v>
      </c>
      <c r="N1036" s="6" t="n">
        <v>1.231264396123436</v>
      </c>
      <c r="O1036" s="6" t="n">
        <v>2.092212398877689</v>
      </c>
      <c r="P1036" s="6" t="n">
        <v>1.953290297238022</v>
      </c>
      <c r="Q1036" s="6" t="n">
        <v>2.571516266777587</v>
      </c>
      <c r="R1036" s="6" t="n">
        <v>3.802278881483091</v>
      </c>
      <c r="S1036" s="6" t="n">
        <v>0.8154528512125686</v>
      </c>
      <c r="T1036" s="6" t="n">
        <v>-1.727976396587432</v>
      </c>
      <c r="U1036" s="6" t="n">
        <v>0.7635962298036613</v>
      </c>
      <c r="V1036" s="6" t="n">
        <v>1.371861707003553</v>
      </c>
      <c r="W1036" s="6" t="n">
        <v>-3.465932369389143</v>
      </c>
      <c r="X1036" s="6" t="n">
        <v>1.243427464093296</v>
      </c>
      <c r="Y1036" s="6" t="n">
        <v>-3.053504978936528</v>
      </c>
      <c r="Z1036" s="6" t="n">
        <v>3.259832910662604</v>
      </c>
      <c r="AA1036" s="6" t="n">
        <v>1.939751978293373</v>
      </c>
      <c r="AB1036" s="6" t="n">
        <v>0.7950219323016742</v>
      </c>
      <c r="AC1036" s="6" t="n">
        <v>-0.2074907923152817</v>
      </c>
      <c r="AD1036" s="6" t="n">
        <v>0.008376857310982202</v>
      </c>
      <c r="AE1036" s="6" t="n">
        <v>-0.6653103188330411</v>
      </c>
      <c r="AF1036" s="6" t="n">
        <v>-1.284473963490901</v>
      </c>
      <c r="AG1036" s="6" t="n">
        <v>-0.8297035098296808</v>
      </c>
      <c r="AH1036" s="6" t="n">
        <v>-0.5884888362455684</v>
      </c>
      <c r="AI1036" s="6" t="n">
        <v>1.125456885791314</v>
      </c>
      <c r="AJ1036" s="6" t="n">
        <v>66.9222296399435</v>
      </c>
      <c r="AK1036" s="6" t="n">
        <v>0.1762335182535376</v>
      </c>
      <c r="AL1036" s="6" t="n">
        <v>1.031720397121318</v>
      </c>
      <c r="AN1036" s="6" t="n">
        <v>1.320249756702711</v>
      </c>
      <c r="AO1036" s="6" t="n">
        <v>1.330497329517422</v>
      </c>
      <c r="AP1036" s="6" t="n">
        <v>0.1321431762565506</v>
      </c>
      <c r="AQ1036" s="6" t="n">
        <v>0</v>
      </c>
      <c r="AR1036" s="6" t="n">
        <v>0</v>
      </c>
    </row>
    <row r="1037">
      <c r="D1037" t="inlineStr">
        <is>
          <t>Run 725</t>
        </is>
      </c>
      <c r="J1037" s="6" t="n">
        <v>0.2907412673375806</v>
      </c>
      <c r="K1037" s="6" t="n">
        <v>-0.1217375445914806</v>
      </c>
      <c r="L1037" s="6" t="n">
        <v>-1.410780647221173</v>
      </c>
      <c r="M1037" s="6" t="n">
        <v>-2.554010295321109</v>
      </c>
      <c r="N1037" s="6" t="n">
        <v>3.501700129964678</v>
      </c>
      <c r="O1037" s="6" t="n">
        <v>3.448278815692418</v>
      </c>
      <c r="P1037" s="6" t="n">
        <v>-4.18939501134259</v>
      </c>
      <c r="Q1037" s="6" t="n">
        <v>0.3083638933464962</v>
      </c>
      <c r="R1037" s="6" t="n">
        <v>-2.923504764983579</v>
      </c>
      <c r="S1037" s="6" t="n">
        <v>-3.843349375766773</v>
      </c>
      <c r="T1037" s="6" t="n">
        <v>-0.829976892657038</v>
      </c>
      <c r="U1037" s="6" t="n">
        <v>5</v>
      </c>
      <c r="V1037" s="6" t="n">
        <v>0.7684354913186598</v>
      </c>
      <c r="W1037" s="6" t="n">
        <v>-0.005636960538446013</v>
      </c>
      <c r="X1037" s="6" t="n">
        <v>3.736589685336925</v>
      </c>
      <c r="Y1037" s="6" t="n">
        <v>2.197345776255443</v>
      </c>
      <c r="Z1037" s="6" t="n">
        <v>2.689830862008455</v>
      </c>
      <c r="AA1037" s="6" t="n">
        <v>1.340722642410068</v>
      </c>
      <c r="AB1037" s="6" t="n">
        <v>1.0377941432576</v>
      </c>
      <c r="AC1037" s="6" t="n">
        <v>-3.296398690848955</v>
      </c>
      <c r="AD1037" s="6" t="n">
        <v>0.4670432827045595</v>
      </c>
      <c r="AE1037" s="6" t="n">
        <v>1.908513924827822</v>
      </c>
      <c r="AF1037" s="6" t="n">
        <v>-1.845548959877594</v>
      </c>
      <c r="AG1037" s="6" t="n">
        <v>-2.478319960138502</v>
      </c>
      <c r="AH1037" s="6" t="n">
        <v>-1.523764283559566</v>
      </c>
      <c r="AI1037" s="6" t="n">
        <v>1.763201139867592</v>
      </c>
      <c r="AJ1037" s="6" t="n">
        <v>67.37051052500159</v>
      </c>
      <c r="AK1037" s="6" t="n">
        <v>0.1263349490477133</v>
      </c>
      <c r="AL1037" s="6" t="n">
        <v>1.062892819257211</v>
      </c>
      <c r="AN1037" s="6" t="n">
        <v>1.317965657651504</v>
      </c>
      <c r="AO1037" s="6" t="n">
        <v>1.326063005142573</v>
      </c>
      <c r="AP1037" s="6" t="n">
        <v>0.130703383300638</v>
      </c>
      <c r="AQ1037" s="6" t="n">
        <v>0</v>
      </c>
      <c r="AR1037" s="6" t="n">
        <v>0</v>
      </c>
    </row>
    <row r="1038">
      <c r="D1038" t="inlineStr">
        <is>
          <t>Run 726</t>
        </is>
      </c>
      <c r="J1038" s="6" t="n">
        <v>-0.6157630371827824</v>
      </c>
      <c r="K1038" s="6" t="n">
        <v>3.919871365205462</v>
      </c>
      <c r="L1038" s="6" t="n">
        <v>3.073639484661719</v>
      </c>
      <c r="M1038" s="6" t="n">
        <v>2.904593947627121</v>
      </c>
      <c r="N1038" s="6" t="n">
        <v>1.926730861642882</v>
      </c>
      <c r="O1038" s="6" t="n">
        <v>-0.9773565204959952</v>
      </c>
      <c r="P1038" s="6" t="n">
        <v>0.3192283890960783</v>
      </c>
      <c r="Q1038" s="6" t="n">
        <v>3.299126003821008</v>
      </c>
      <c r="R1038" s="6" t="n">
        <v>-0.5473363366704647</v>
      </c>
      <c r="S1038" s="6" t="n">
        <v>-2.681952812479754</v>
      </c>
      <c r="T1038" s="6" t="n">
        <v>-2.359781018135618</v>
      </c>
      <c r="U1038" s="6" t="n">
        <v>-1.484471795341702</v>
      </c>
      <c r="V1038" s="6" t="n">
        <v>-1.064447477338068</v>
      </c>
      <c r="W1038" s="6" t="n">
        <v>2.65666688330425</v>
      </c>
      <c r="X1038" s="6" t="n">
        <v>0.1243834132562926</v>
      </c>
      <c r="Y1038" s="6" t="n">
        <v>-1.132872250698711</v>
      </c>
      <c r="Z1038" s="6" t="n">
        <v>1.6706671345604</v>
      </c>
      <c r="AA1038" s="6" t="n">
        <v>-0.6635465261512552</v>
      </c>
      <c r="AB1038" s="6" t="n">
        <v>-3.112216422634503</v>
      </c>
      <c r="AC1038" s="6" t="n">
        <v>-0.5391689920744021</v>
      </c>
      <c r="AD1038" s="6" t="n">
        <v>0.5203790635515128</v>
      </c>
      <c r="AE1038" s="6" t="n">
        <v>-2.221844060070595</v>
      </c>
      <c r="AF1038" s="6" t="n">
        <v>-1.699871644863644</v>
      </c>
      <c r="AG1038" s="6" t="n">
        <v>-1.311852293017212</v>
      </c>
      <c r="AH1038" s="6" t="n">
        <v>-2.940777270370194</v>
      </c>
      <c r="AI1038" s="6" t="n">
        <v>2.067746358080274</v>
      </c>
      <c r="AJ1038" s="6" t="n">
        <v>74.85585314285998</v>
      </c>
      <c r="AK1038" s="6" t="n">
        <v>0.2117376647431762</v>
      </c>
      <c r="AL1038" s="6" t="n">
        <v>1.066427190383413</v>
      </c>
      <c r="AN1038" s="6" t="n">
        <v>1.331498174310749</v>
      </c>
      <c r="AO1038" s="6" t="n">
        <v>1.332623858917944</v>
      </c>
      <c r="AP1038" s="6" t="n">
        <v>0.1290779628718083</v>
      </c>
      <c r="AQ1038" s="6" t="n">
        <v>0</v>
      </c>
      <c r="AR1038" s="6" t="n">
        <v>0</v>
      </c>
    </row>
    <row r="1039">
      <c r="D1039" t="inlineStr">
        <is>
          <t>Run 727</t>
        </is>
      </c>
      <c r="J1039" s="6" t="n">
        <v>-0.5505640864420254</v>
      </c>
      <c r="K1039" s="6" t="n">
        <v>-2.89476194802251</v>
      </c>
      <c r="L1039" s="6" t="n">
        <v>0.3130447525352788</v>
      </c>
      <c r="M1039" s="6" t="n">
        <v>-0.6795485137825282</v>
      </c>
      <c r="N1039" s="6" t="n">
        <v>-0.485781979930183</v>
      </c>
      <c r="O1039" s="6" t="n">
        <v>0.1309993050181448</v>
      </c>
      <c r="P1039" s="6" t="n">
        <v>-0.6096284559576868</v>
      </c>
      <c r="Q1039" s="6" t="n">
        <v>1.190882439969252</v>
      </c>
      <c r="R1039" s="6" t="n">
        <v>-3.032337096038889</v>
      </c>
      <c r="S1039" s="6" t="n">
        <v>5</v>
      </c>
      <c r="T1039" s="6" t="n">
        <v>1.469052771632404</v>
      </c>
      <c r="U1039" s="6" t="n">
        <v>0.1761403186934714</v>
      </c>
      <c r="V1039" s="6" t="n">
        <v>-2.576411364296252</v>
      </c>
      <c r="W1039" s="6" t="n">
        <v>-0.9729793966954452</v>
      </c>
      <c r="X1039" s="6" t="n">
        <v>0.7659874086663736</v>
      </c>
      <c r="Y1039" s="6" t="n">
        <v>-1.881596546056395</v>
      </c>
      <c r="Z1039" s="6" t="n">
        <v>-0.8854177882140094</v>
      </c>
      <c r="AA1039" s="6" t="n">
        <v>0.6318563053178655</v>
      </c>
      <c r="AB1039" s="6" t="n">
        <v>1.160512266310027</v>
      </c>
      <c r="AC1039" s="6" t="n">
        <v>0.1824491310472146</v>
      </c>
      <c r="AD1039" s="6" t="n">
        <v>0.6663566061961304</v>
      </c>
      <c r="AE1039" s="6" t="n">
        <v>-3.943532214779001</v>
      </c>
      <c r="AF1039" s="6" t="n">
        <v>0.000854280765609208</v>
      </c>
      <c r="AG1039" s="6" t="n">
        <v>-1.860070290989383</v>
      </c>
      <c r="AH1039" s="6" t="n">
        <v>2.482449911437946</v>
      </c>
      <c r="AI1039" s="6" t="n">
        <v>-2.608279771311431</v>
      </c>
      <c r="AJ1039" s="6" t="n">
        <v>71.13662138318188</v>
      </c>
      <c r="AK1039" s="6" t="n">
        <v>0.0386214694522595</v>
      </c>
      <c r="AL1039" s="6" t="n">
        <v>1.067620610378253</v>
      </c>
      <c r="AN1039" s="6" t="n">
        <v>1.346521127298186</v>
      </c>
      <c r="AO1039" s="6" t="n">
        <v>1.346521127298186</v>
      </c>
      <c r="AP1039" s="6" t="n">
        <v>0.1330879870118402</v>
      </c>
      <c r="AQ1039" s="6" t="n">
        <v>0</v>
      </c>
      <c r="AR1039" s="6" t="n">
        <v>0</v>
      </c>
    </row>
    <row r="1040">
      <c r="D1040" t="inlineStr">
        <is>
          <t>Run 728</t>
        </is>
      </c>
      <c r="J1040" s="6" t="n">
        <v>-0.4769001989771259</v>
      </c>
      <c r="K1040" s="6" t="n">
        <v>1.927930417939333</v>
      </c>
      <c r="L1040" s="6" t="n">
        <v>-1.491700776564069</v>
      </c>
      <c r="M1040" s="6" t="n">
        <v>1.310408962496028</v>
      </c>
      <c r="N1040" s="6" t="n">
        <v>1.331467947445536</v>
      </c>
      <c r="O1040" s="6" t="n">
        <v>3.307815122794415</v>
      </c>
      <c r="P1040" s="6" t="n">
        <v>-0.1130621032564361</v>
      </c>
      <c r="Q1040" s="6" t="n">
        <v>-2.087797232403762</v>
      </c>
      <c r="R1040" s="6" t="n">
        <v>2.663844109657361</v>
      </c>
      <c r="S1040" s="6" t="n">
        <v>-0.009536874314268471</v>
      </c>
      <c r="T1040" s="6" t="n">
        <v>-1.931121170748546</v>
      </c>
      <c r="U1040" s="6" t="n">
        <v>2.952922219258071</v>
      </c>
      <c r="V1040" s="6" t="n">
        <v>0.3275274759915329</v>
      </c>
      <c r="W1040" s="6" t="n">
        <v>0.9011781147611279</v>
      </c>
      <c r="X1040" s="6" t="n">
        <v>2.724537643642243</v>
      </c>
      <c r="Y1040" s="6" t="n">
        <v>0.01748106233587532</v>
      </c>
      <c r="Z1040" s="6" t="n">
        <v>2.895790431670283</v>
      </c>
      <c r="AA1040" s="6" t="n">
        <v>0.005954502676454258</v>
      </c>
      <c r="AB1040" s="6" t="n">
        <v>1.102964387152402</v>
      </c>
      <c r="AC1040" s="6" t="n">
        <v>-1.638805421061184</v>
      </c>
      <c r="AD1040" s="6" t="n">
        <v>-1.222281806934223</v>
      </c>
      <c r="AE1040" s="6" t="n">
        <v>-1.474727979659151</v>
      </c>
      <c r="AF1040" s="6" t="n">
        <v>-2.140994768530862</v>
      </c>
      <c r="AG1040" s="6" t="n">
        <v>-0.399420622504411</v>
      </c>
      <c r="AH1040" s="6" t="n">
        <v>-0.6198636007563488</v>
      </c>
      <c r="AI1040" s="6" t="n">
        <v>3.422142743683258</v>
      </c>
      <c r="AJ1040" s="6" t="n">
        <v>75.301295596454</v>
      </c>
      <c r="AK1040" s="6" t="n">
        <v>0.1560525724320241</v>
      </c>
      <c r="AL1040" s="6" t="n">
        <v>1.047644048386449</v>
      </c>
      <c r="AN1040" s="6" t="n">
        <v>1.344996974446953</v>
      </c>
      <c r="AO1040" s="6" t="n">
        <v>1.345255780047356</v>
      </c>
      <c r="AP1040" s="6" t="n">
        <v>0.1317871123907809</v>
      </c>
      <c r="AQ1040" s="6" t="n">
        <v>0</v>
      </c>
      <c r="AR1040" s="6" t="n">
        <v>0</v>
      </c>
    </row>
    <row r="1041">
      <c r="D1041" t="inlineStr">
        <is>
          <t>Run 729</t>
        </is>
      </c>
      <c r="J1041" s="6" t="n">
        <v>-3.69921561545079</v>
      </c>
      <c r="K1041" s="6" t="n">
        <v>-2.943100067250545</v>
      </c>
      <c r="L1041" s="6" t="n">
        <v>-2.112476517481022</v>
      </c>
      <c r="M1041" s="6" t="n">
        <v>-3.919843785936524</v>
      </c>
      <c r="N1041" s="6" t="n">
        <v>-2.850784553902474</v>
      </c>
      <c r="O1041" s="6" t="n">
        <v>-1.648060484097596</v>
      </c>
      <c r="P1041" s="6" t="n">
        <v>0.09654324182429457</v>
      </c>
      <c r="Q1041" s="6" t="n">
        <v>-2.767790836604156</v>
      </c>
      <c r="R1041" s="6" t="n">
        <v>1.538805934977081</v>
      </c>
      <c r="S1041" s="6" t="n">
        <v>1.263237113300959</v>
      </c>
      <c r="T1041" s="6" t="n">
        <v>2.512979119288631</v>
      </c>
      <c r="U1041" s="6" t="n">
        <v>2.041869221162186</v>
      </c>
      <c r="V1041" s="6" t="n">
        <v>2.024336858309046</v>
      </c>
      <c r="W1041" s="6" t="n">
        <v>-0.07037906185604963</v>
      </c>
      <c r="X1041" s="6" t="n">
        <v>-3.18867138130084</v>
      </c>
      <c r="Y1041" s="6" t="n">
        <v>-0.482729017986372</v>
      </c>
      <c r="Z1041" s="6" t="n">
        <v>-1.870083037960063</v>
      </c>
      <c r="AA1041" s="6" t="n">
        <v>-1.181968450809685</v>
      </c>
      <c r="AB1041" s="6" t="n">
        <v>5</v>
      </c>
      <c r="AC1041" s="6" t="n">
        <v>-0.2633748214158392</v>
      </c>
      <c r="AD1041" s="6" t="n">
        <v>0.2429325314015846</v>
      </c>
      <c r="AE1041" s="6" t="n">
        <v>1.610712943865194</v>
      </c>
      <c r="AF1041" s="6" t="n">
        <v>-2.515700121216126</v>
      </c>
      <c r="AG1041" s="6" t="n">
        <v>-2.075728625989548</v>
      </c>
      <c r="AH1041" s="6" t="n">
        <v>-0.961738288798464</v>
      </c>
      <c r="AI1041" s="6" t="n">
        <v>0.1161513945799706</v>
      </c>
      <c r="AJ1041" s="6" t="n">
        <v>78.89735043124327</v>
      </c>
      <c r="AK1041" s="6" t="n">
        <v>0.09387712691243738</v>
      </c>
      <c r="AL1041" s="6" t="n">
        <v>1.052505477274659</v>
      </c>
      <c r="AN1041" s="6" t="n">
        <v>1.307222653199077</v>
      </c>
      <c r="AO1041" s="6" t="n">
        <v>1.310540178413867</v>
      </c>
      <c r="AP1041" s="6" t="n">
        <v>0.1326983779424383</v>
      </c>
      <c r="AQ1041" s="6" t="n">
        <v>0</v>
      </c>
      <c r="AR1041" s="6" t="n">
        <v>0</v>
      </c>
    </row>
    <row r="1042">
      <c r="D1042" t="inlineStr">
        <is>
          <t>Run 730</t>
        </is>
      </c>
      <c r="J1042" s="6" t="n">
        <v>0.1015682221532683</v>
      </c>
      <c r="K1042" s="6" t="n">
        <v>-2.713079116897179</v>
      </c>
      <c r="L1042" s="6" t="n">
        <v>-3.081985230548307</v>
      </c>
      <c r="M1042" s="6" t="n">
        <v>-2.659238063151136</v>
      </c>
      <c r="N1042" s="6" t="n">
        <v>-1.969044181613558</v>
      </c>
      <c r="O1042" s="6" t="n">
        <v>-0.9061150951291393</v>
      </c>
      <c r="P1042" s="6" t="n">
        <v>-1.332408308112993</v>
      </c>
      <c r="Q1042" s="6" t="n">
        <v>-3.074968481257759</v>
      </c>
      <c r="R1042" s="6" t="n">
        <v>5</v>
      </c>
      <c r="S1042" s="6" t="n">
        <v>1.591688804924269</v>
      </c>
      <c r="T1042" s="6" t="n">
        <v>-1.239688286573087</v>
      </c>
      <c r="U1042" s="6" t="n">
        <v>2.51530570730621</v>
      </c>
      <c r="V1042" s="6" t="n">
        <v>1.540860311842004</v>
      </c>
      <c r="W1042" s="6" t="n">
        <v>-3.358430090812481</v>
      </c>
      <c r="X1042" s="6" t="n">
        <v>-0.8822404211620316</v>
      </c>
      <c r="Y1042" s="6" t="n">
        <v>-0.8582251136079802</v>
      </c>
      <c r="Z1042" s="6" t="n">
        <v>-3.630339029236227</v>
      </c>
      <c r="AA1042" s="6" t="n">
        <v>-1.474909686615635</v>
      </c>
      <c r="AB1042" s="6" t="n">
        <v>-1.397994096837967</v>
      </c>
      <c r="AC1042" s="6" t="n">
        <v>-2.850278680917889</v>
      </c>
      <c r="AD1042" s="6" t="n">
        <v>0.4579767693657364</v>
      </c>
      <c r="AE1042" s="6" t="n">
        <v>-1.652147948128922</v>
      </c>
      <c r="AF1042" s="6" t="n">
        <v>-2.403820312196657</v>
      </c>
      <c r="AG1042" s="6" t="n">
        <v>-1.965633196543355</v>
      </c>
      <c r="AH1042" s="6" t="n">
        <v>-1.676372925605792</v>
      </c>
      <c r="AI1042" s="6" t="n">
        <v>-3.292253667710848</v>
      </c>
      <c r="AJ1042" s="6" t="n">
        <v>80.5388697009716</v>
      </c>
      <c r="AK1042" s="6" t="n">
        <v>0.1717586899938597</v>
      </c>
      <c r="AL1042" s="6" t="n">
        <v>1.029086039550132</v>
      </c>
      <c r="AN1042" s="6" t="n">
        <v>1.327907754876219</v>
      </c>
      <c r="AO1042" s="6" t="n">
        <v>1.333581147624919</v>
      </c>
      <c r="AP1042" s="6" t="n">
        <v>0.1335473550098466</v>
      </c>
      <c r="AQ1042" s="6" t="n">
        <v>0</v>
      </c>
      <c r="AR1042" s="6" t="n">
        <v>0</v>
      </c>
    </row>
    <row r="1043">
      <c r="D1043" t="inlineStr">
        <is>
          <t>Run 731</t>
        </is>
      </c>
      <c r="J1043" s="6" t="n">
        <v>1.046945210145659</v>
      </c>
      <c r="K1043" s="6" t="n">
        <v>-0.03213228882621708</v>
      </c>
      <c r="L1043" s="6" t="n">
        <v>-2.068093967910719</v>
      </c>
      <c r="M1043" s="6" t="n">
        <v>1.281450377437727</v>
      </c>
      <c r="N1043" s="6" t="n">
        <v>-3.01327600329951</v>
      </c>
      <c r="O1043" s="6" t="n">
        <v>-2.248426462237151</v>
      </c>
      <c r="P1043" s="6" t="n">
        <v>-0.6593876977385125</v>
      </c>
      <c r="Q1043" s="6" t="n">
        <v>-0.3201255165438944</v>
      </c>
      <c r="R1043" s="6" t="n">
        <v>-0.3622444502472326</v>
      </c>
      <c r="S1043" s="6" t="n">
        <v>-1.624992742041333</v>
      </c>
      <c r="T1043" s="6" t="n">
        <v>0.6664867700563031</v>
      </c>
      <c r="U1043" s="6" t="n">
        <v>-1.447071954792665</v>
      </c>
      <c r="V1043" s="6" t="n">
        <v>-0.7656233961933635</v>
      </c>
      <c r="W1043" s="6" t="n">
        <v>-1.153563134450072</v>
      </c>
      <c r="X1043" s="6" t="n">
        <v>0.05251395731263865</v>
      </c>
      <c r="Y1043" s="6" t="n">
        <v>-1.148970840777676</v>
      </c>
      <c r="Z1043" s="6" t="n">
        <v>-0.315312130049929</v>
      </c>
      <c r="AA1043" s="6" t="n">
        <v>2.389690648064377</v>
      </c>
      <c r="AB1043" s="6" t="n">
        <v>-2.340704222665603</v>
      </c>
      <c r="AC1043" s="6" t="n">
        <v>4.013348508352252</v>
      </c>
      <c r="AD1043" s="6" t="n">
        <v>-1.910146092684288</v>
      </c>
      <c r="AE1043" s="6" t="n">
        <v>-0.7100295226717662</v>
      </c>
      <c r="AF1043" s="6" t="n">
        <v>-1.052162416395814</v>
      </c>
      <c r="AG1043" s="6" t="n">
        <v>-0.3744255199483531</v>
      </c>
      <c r="AH1043" s="6" t="n">
        <v>-2.189119664606468</v>
      </c>
      <c r="AI1043" s="6" t="n">
        <v>-1.31267418085311</v>
      </c>
      <c r="AJ1043" s="6" t="n">
        <v>78.4353371673872</v>
      </c>
      <c r="AK1043" s="6" t="n">
        <v>0.06309914298836394</v>
      </c>
      <c r="AL1043" s="6" t="n">
        <v>1.025412197213272</v>
      </c>
      <c r="AN1043" s="6" t="n">
        <v>1.354326815577082</v>
      </c>
      <c r="AO1043" s="6" t="n">
        <v>1.354326815577082</v>
      </c>
      <c r="AP1043" s="6" t="n">
        <v>0.137058999089814</v>
      </c>
      <c r="AQ1043" s="6" t="n">
        <v>0</v>
      </c>
      <c r="AR1043" s="6" t="n">
        <v>0</v>
      </c>
    </row>
    <row r="1044">
      <c r="D1044" t="inlineStr">
        <is>
          <t>Run 732</t>
        </is>
      </c>
      <c r="J1044" s="6" t="n">
        <v>-1.657338525706586</v>
      </c>
      <c r="K1044" s="6" t="n">
        <v>-1.363854528732266</v>
      </c>
      <c r="L1044" s="6" t="n">
        <v>-3.51218168277129</v>
      </c>
      <c r="M1044" s="6" t="n">
        <v>0.3231754192014644</v>
      </c>
      <c r="N1044" s="6" t="n">
        <v>0.7125529100090425</v>
      </c>
      <c r="O1044" s="6" t="n">
        <v>-1.936452473866482</v>
      </c>
      <c r="P1044" s="6" t="n">
        <v>-0.9251656461011463</v>
      </c>
      <c r="Q1044" s="6" t="n">
        <v>0.738172391032401</v>
      </c>
      <c r="R1044" s="6" t="n">
        <v>-4.316378772632527</v>
      </c>
      <c r="S1044" s="6" t="n">
        <v>1.156657389802287</v>
      </c>
      <c r="T1044" s="6" t="n">
        <v>-1.988270852973043</v>
      </c>
      <c r="U1044" s="6" t="n">
        <v>-0.5101256052371986</v>
      </c>
      <c r="V1044" s="6" t="n">
        <v>-2.229112286116907</v>
      </c>
      <c r="W1044" s="6" t="n">
        <v>2.314972053925679</v>
      </c>
      <c r="X1044" s="6" t="n">
        <v>-0.9820655971702954</v>
      </c>
      <c r="Y1044" s="6" t="n">
        <v>-1.74396263183479</v>
      </c>
      <c r="Z1044" s="6" t="n">
        <v>-3.923482898298267</v>
      </c>
      <c r="AA1044" s="6" t="n">
        <v>-0.118896607890113</v>
      </c>
      <c r="AB1044" s="6" t="n">
        <v>1.311556352536985</v>
      </c>
      <c r="AC1044" s="6" t="n">
        <v>-0.6876190144843547</v>
      </c>
      <c r="AD1044" s="6" t="n">
        <v>-0.1566027206691267</v>
      </c>
      <c r="AE1044" s="6" t="n">
        <v>-1.911633912173748</v>
      </c>
      <c r="AF1044" s="6" t="n">
        <v>-2.888626178102163</v>
      </c>
      <c r="AG1044" s="6" t="n">
        <v>3.133528941395971</v>
      </c>
      <c r="AH1044" s="6" t="n">
        <v>1.953396696826948</v>
      </c>
      <c r="AI1044" s="6" t="n">
        <v>5</v>
      </c>
      <c r="AJ1044" s="6" t="n">
        <v>71.90707784814525</v>
      </c>
      <c r="AK1044" s="6" t="n">
        <v>0.1951645622623479</v>
      </c>
      <c r="AL1044" s="6" t="n">
        <v>1.113257001881074</v>
      </c>
      <c r="AN1044" s="6" t="n">
        <v>1.319202677646319</v>
      </c>
      <c r="AO1044" s="6" t="n">
        <v>1.320432841258983</v>
      </c>
      <c r="AP1044" s="6" t="n">
        <v>0.1270856938267379</v>
      </c>
      <c r="AQ1044" s="6" t="n">
        <v>0</v>
      </c>
      <c r="AR1044" s="6" t="n">
        <v>0</v>
      </c>
    </row>
    <row r="1045">
      <c r="D1045" t="inlineStr">
        <is>
          <t>Run 733</t>
        </is>
      </c>
      <c r="J1045" s="6" t="n">
        <v>0.6644947561254341</v>
      </c>
      <c r="K1045" s="6" t="n">
        <v>1.185187959064933</v>
      </c>
      <c r="L1045" s="6" t="n">
        <v>1.376833381765867</v>
      </c>
      <c r="M1045" s="6" t="n">
        <v>1.924799071522727</v>
      </c>
      <c r="N1045" s="6" t="n">
        <v>0.08503161100688689</v>
      </c>
      <c r="O1045" s="6" t="n">
        <v>0.110064886965205</v>
      </c>
      <c r="P1045" s="6" t="n">
        <v>-4.553954894637144</v>
      </c>
      <c r="Q1045" s="6" t="n">
        <v>-1.575352178287088</v>
      </c>
      <c r="R1045" s="6" t="n">
        <v>-3.0775266310046</v>
      </c>
      <c r="S1045" s="6" t="n">
        <v>-1.19501695034849</v>
      </c>
      <c r="T1045" s="6" t="n">
        <v>-3.079415321322056</v>
      </c>
      <c r="U1045" s="6" t="n">
        <v>1.30379255360442</v>
      </c>
      <c r="V1045" s="6" t="n">
        <v>2.042579340721882</v>
      </c>
      <c r="W1045" s="6" t="n">
        <v>-0.9109310425209199</v>
      </c>
      <c r="X1045" s="6" t="n">
        <v>2.84038368392655</v>
      </c>
      <c r="Y1045" s="6" t="n">
        <v>2.849380129070278</v>
      </c>
      <c r="Z1045" s="6" t="n">
        <v>-1.538471206353634</v>
      </c>
      <c r="AA1045" s="6" t="n">
        <v>1.187572728335056</v>
      </c>
      <c r="AB1045" s="6" t="n">
        <v>-2.465246369594475</v>
      </c>
      <c r="AC1045" s="6" t="n">
        <v>1.463208431253663</v>
      </c>
      <c r="AD1045" s="6" t="n">
        <v>1.030412682192265</v>
      </c>
      <c r="AE1045" s="6" t="n">
        <v>-2.382431296421851</v>
      </c>
      <c r="AF1045" s="6" t="n">
        <v>1.479203063096891</v>
      </c>
      <c r="AG1045" s="6" t="n">
        <v>-0.1808725223313359</v>
      </c>
      <c r="AH1045" s="6" t="n">
        <v>1.794365874457416</v>
      </c>
      <c r="AI1045" s="6" t="n">
        <v>-2.58245466390712</v>
      </c>
      <c r="AJ1045" s="6" t="n">
        <v>78.35751208263638</v>
      </c>
      <c r="AK1045" s="6" t="n">
        <v>0.129267393286846</v>
      </c>
      <c r="AL1045" s="6" t="n">
        <v>1.066112279363277</v>
      </c>
      <c r="AN1045" s="6" t="n">
        <v>1.343143524713697</v>
      </c>
      <c r="AO1045" s="6" t="n">
        <v>1.343288558678226</v>
      </c>
      <c r="AP1045" s="6" t="n">
        <v>0.1309829932972397</v>
      </c>
      <c r="AQ1045" s="6" t="n">
        <v>0</v>
      </c>
      <c r="AR1045" s="6" t="n">
        <v>0</v>
      </c>
    </row>
    <row r="1046">
      <c r="D1046" t="inlineStr">
        <is>
          <t>Run 734</t>
        </is>
      </c>
      <c r="J1046" s="6" t="n">
        <v>-0.4966519433102613</v>
      </c>
      <c r="K1046" s="6" t="n">
        <v>0.9038076591704827</v>
      </c>
      <c r="L1046" s="6" t="n">
        <v>3.55028505914627</v>
      </c>
      <c r="M1046" s="6" t="n">
        <v>3.059803516175823</v>
      </c>
      <c r="N1046" s="6" t="n">
        <v>-0.9531302751475618</v>
      </c>
      <c r="O1046" s="6" t="n">
        <v>2.68736604818382</v>
      </c>
      <c r="P1046" s="6" t="n">
        <v>3.443389946942793</v>
      </c>
      <c r="Q1046" s="6" t="n">
        <v>0.9274449428046005</v>
      </c>
      <c r="R1046" s="6" t="n">
        <v>0.6003824010320052</v>
      </c>
      <c r="S1046" s="6" t="n">
        <v>-0.02867269896715778</v>
      </c>
      <c r="T1046" s="6" t="n">
        <v>0.2271095125992926</v>
      </c>
      <c r="U1046" s="6" t="n">
        <v>3.435738397310687</v>
      </c>
      <c r="V1046" s="6" t="n">
        <v>3.503078476476994</v>
      </c>
      <c r="W1046" s="6" t="n">
        <v>-3.153916952957862</v>
      </c>
      <c r="X1046" s="6" t="n">
        <v>2.308158058717496</v>
      </c>
      <c r="Y1046" s="6" t="n">
        <v>1.832921994808463</v>
      </c>
      <c r="Z1046" s="6" t="n">
        <v>0.5789383860361813</v>
      </c>
      <c r="AA1046" s="6" t="n">
        <v>-1.424280848180742</v>
      </c>
      <c r="AB1046" s="6" t="n">
        <v>0.3334415152593241</v>
      </c>
      <c r="AC1046" s="6" t="n">
        <v>-0.2737928871031898</v>
      </c>
      <c r="AD1046" s="6" t="n">
        <v>-0.9901706897804265</v>
      </c>
      <c r="AE1046" s="6" t="n">
        <v>3.213935490251789</v>
      </c>
      <c r="AF1046" s="6" t="n">
        <v>-1.247001789013872</v>
      </c>
      <c r="AG1046" s="6" t="n">
        <v>-1.252531857151486</v>
      </c>
      <c r="AH1046" s="6" t="n">
        <v>-2.363990739296656</v>
      </c>
      <c r="AI1046" s="6" t="n">
        <v>-2.541183087652274</v>
      </c>
      <c r="AJ1046" s="6" t="n">
        <v>71.39631049472123</v>
      </c>
      <c r="AK1046" s="6" t="n">
        <v>0.05688282978287562</v>
      </c>
      <c r="AL1046" s="6" t="n">
        <v>1.018899021003646</v>
      </c>
      <c r="AN1046" s="6" t="n">
        <v>1.353484771832429</v>
      </c>
      <c r="AO1046" s="6" t="n">
        <v>1.353484771832429</v>
      </c>
      <c r="AP1046" s="6" t="n">
        <v>0.1371978138850693</v>
      </c>
      <c r="AQ1046" s="6" t="n">
        <v>0</v>
      </c>
      <c r="AR1046" s="6" t="n">
        <v>0</v>
      </c>
    </row>
    <row r="1047">
      <c r="D1047" t="inlineStr">
        <is>
          <t>Run 735</t>
        </is>
      </c>
      <c r="J1047" s="6" t="n">
        <v>-1.704771318099565</v>
      </c>
      <c r="K1047" s="6" t="n">
        <v>3.275909951934465</v>
      </c>
      <c r="L1047" s="6" t="n">
        <v>3.395787706486861</v>
      </c>
      <c r="M1047" s="6" t="n">
        <v>-1.041356543009833</v>
      </c>
      <c r="N1047" s="6" t="n">
        <v>-1.692227226200968</v>
      </c>
      <c r="O1047" s="6" t="n">
        <v>-0.2879639622508754</v>
      </c>
      <c r="P1047" s="6" t="n">
        <v>-3.017658561545952</v>
      </c>
      <c r="Q1047" s="6" t="n">
        <v>-3.351907280674078</v>
      </c>
      <c r="R1047" s="6" t="n">
        <v>-2.103257813703059</v>
      </c>
      <c r="S1047" s="6" t="n">
        <v>-0.3296320876400597</v>
      </c>
      <c r="T1047" s="6" t="n">
        <v>1.491913569310547</v>
      </c>
      <c r="U1047" s="6" t="n">
        <v>-2.158609034636984</v>
      </c>
      <c r="V1047" s="6" t="n">
        <v>-3.559676813140508</v>
      </c>
      <c r="W1047" s="6" t="n">
        <v>0.2131236211838271</v>
      </c>
      <c r="X1047" s="6" t="n">
        <v>2.275680259107104</v>
      </c>
      <c r="Y1047" s="6" t="n">
        <v>0.3593114826627841</v>
      </c>
      <c r="Z1047" s="6" t="n">
        <v>-2.30774076696277</v>
      </c>
      <c r="AA1047" s="6" t="n">
        <v>1.25893643348403</v>
      </c>
      <c r="AB1047" s="6" t="n">
        <v>-0.597202745466118</v>
      </c>
      <c r="AC1047" s="6" t="n">
        <v>0.07614982308206997</v>
      </c>
      <c r="AD1047" s="6" t="n">
        <v>-1.133622032910447</v>
      </c>
      <c r="AE1047" s="6" t="n">
        <v>3.002575139247886</v>
      </c>
      <c r="AF1047" s="6" t="n">
        <v>-1.065881217645638</v>
      </c>
      <c r="AG1047" s="6" t="n">
        <v>-1.753999912503112</v>
      </c>
      <c r="AH1047" s="6" t="n">
        <v>0.7399473055524927</v>
      </c>
      <c r="AI1047" s="6" t="n">
        <v>-2.245932614655811</v>
      </c>
      <c r="AJ1047" s="6" t="n">
        <v>57.20998773342592</v>
      </c>
      <c r="AK1047" s="6" t="n">
        <v>0.1514605375524042</v>
      </c>
      <c r="AL1047" s="6" t="n">
        <v>1.047699684518985</v>
      </c>
      <c r="AN1047" s="6" t="n">
        <v>1.336703803209129</v>
      </c>
      <c r="AO1047" s="6" t="n">
        <v>1.337358561807445</v>
      </c>
      <c r="AP1047" s="6" t="n">
        <v>0.1305140463315647</v>
      </c>
      <c r="AQ1047" s="6" t="n">
        <v>0</v>
      </c>
      <c r="AR1047" s="6" t="n">
        <v>0</v>
      </c>
    </row>
    <row r="1048">
      <c r="D1048" t="inlineStr">
        <is>
          <t>Run 736</t>
        </is>
      </c>
      <c r="J1048" s="6" t="n">
        <v>-1.750175440009691</v>
      </c>
      <c r="K1048" s="6" t="n">
        <v>-2.060160841498398</v>
      </c>
      <c r="L1048" s="6" t="n">
        <v>1.704329198647951</v>
      </c>
      <c r="M1048" s="6" t="n">
        <v>0.3643275111483381</v>
      </c>
      <c r="N1048" s="6" t="n">
        <v>-2.419284133783324</v>
      </c>
      <c r="O1048" s="6" t="n">
        <v>-1.208119930273152</v>
      </c>
      <c r="P1048" s="6" t="n">
        <v>2.084974051229216</v>
      </c>
      <c r="Q1048" s="6" t="n">
        <v>1.543749149380967</v>
      </c>
      <c r="R1048" s="6" t="n">
        <v>-0.1330775672465283</v>
      </c>
      <c r="S1048" s="6" t="n">
        <v>-1.774091084629233</v>
      </c>
      <c r="T1048" s="6" t="n">
        <v>2.034958831747301</v>
      </c>
      <c r="U1048" s="6" t="n">
        <v>2.003566026804639</v>
      </c>
      <c r="V1048" s="6" t="n">
        <v>-0.3029240402760425</v>
      </c>
      <c r="W1048" s="6" t="n">
        <v>-0.03463496095012433</v>
      </c>
      <c r="X1048" s="6" t="n">
        <v>1.851342173112976</v>
      </c>
      <c r="Y1048" s="6" t="n">
        <v>0.3967437838504279</v>
      </c>
      <c r="Z1048" s="6" t="n">
        <v>-0.09918486870272572</v>
      </c>
      <c r="AA1048" s="6" t="n">
        <v>-3.848312875236932</v>
      </c>
      <c r="AB1048" s="6" t="n">
        <v>0.5289463522703461</v>
      </c>
      <c r="AC1048" s="6" t="n">
        <v>-0.3707325324055649</v>
      </c>
      <c r="AD1048" s="6" t="n">
        <v>-0.1167183125274615</v>
      </c>
      <c r="AE1048" s="6" t="n">
        <v>-2.151488974029621</v>
      </c>
      <c r="AF1048" s="6" t="n">
        <v>-2.576593688096719</v>
      </c>
      <c r="AG1048" s="6" t="n">
        <v>-0.8759315092103148</v>
      </c>
      <c r="AH1048" s="6" t="n">
        <v>1.716393432427218</v>
      </c>
      <c r="AI1048" s="6" t="n">
        <v>-3.151157507378691</v>
      </c>
      <c r="AJ1048" s="6" t="n">
        <v>81.81321369789278</v>
      </c>
      <c r="AK1048" s="6" t="n">
        <v>0.1046265936676848</v>
      </c>
      <c r="AL1048" s="6" t="n">
        <v>1.043622263167225</v>
      </c>
      <c r="AN1048" s="6" t="n">
        <v>1.354855309491265</v>
      </c>
      <c r="AO1048" s="6" t="n">
        <v>1.354868128987839</v>
      </c>
      <c r="AP1048" s="6" t="n">
        <v>0.1344169974865017</v>
      </c>
      <c r="AQ1048" s="6" t="n">
        <v>0</v>
      </c>
      <c r="AR1048" s="6" t="n">
        <v>0</v>
      </c>
    </row>
    <row r="1049">
      <c r="D1049" t="inlineStr">
        <is>
          <t>Run 737</t>
        </is>
      </c>
      <c r="J1049" s="6" t="n">
        <v>1.560262617007156</v>
      </c>
      <c r="K1049" s="6" t="n">
        <v>-0.2132414462872171</v>
      </c>
      <c r="L1049" s="6" t="n">
        <v>1.974545132524575</v>
      </c>
      <c r="M1049" s="6" t="n">
        <v>0.1345625030695077</v>
      </c>
      <c r="N1049" s="6" t="n">
        <v>-3.886401398131785</v>
      </c>
      <c r="O1049" s="6" t="n">
        <v>-0.807903334081897</v>
      </c>
      <c r="P1049" s="6" t="n">
        <v>1.002076770872644</v>
      </c>
      <c r="Q1049" s="6" t="n">
        <v>2.754920496850946</v>
      </c>
      <c r="R1049" s="6" t="n">
        <v>2.529392635612088</v>
      </c>
      <c r="S1049" s="6" t="n">
        <v>-2.023880307953854</v>
      </c>
      <c r="T1049" s="6" t="n">
        <v>1.468739003119633</v>
      </c>
      <c r="U1049" s="6" t="n">
        <v>0.6411783875527837</v>
      </c>
      <c r="V1049" s="6" t="n">
        <v>-0.5419042654877166</v>
      </c>
      <c r="W1049" s="6" t="n">
        <v>0.3494987522414947</v>
      </c>
      <c r="X1049" s="6" t="n">
        <v>-3.119310044906473</v>
      </c>
      <c r="Y1049" s="6" t="n">
        <v>2.479392011102668</v>
      </c>
      <c r="Z1049" s="6" t="n">
        <v>1.038901154483456</v>
      </c>
      <c r="AA1049" s="6" t="n">
        <v>1.190309346996169</v>
      </c>
      <c r="AB1049" s="6" t="n">
        <v>-1.341605058247631</v>
      </c>
      <c r="AC1049" s="6" t="n">
        <v>2.332207826608368</v>
      </c>
      <c r="AD1049" s="6" t="n">
        <v>1.530100112468205</v>
      </c>
      <c r="AE1049" s="6" t="n">
        <v>1.167145398219972</v>
      </c>
      <c r="AF1049" s="6" t="n">
        <v>-1.607192267397768</v>
      </c>
      <c r="AG1049" s="6" t="n">
        <v>-4.113742499286793</v>
      </c>
      <c r="AH1049" s="6" t="n">
        <v>-2.148805528555295</v>
      </c>
      <c r="AI1049" s="6" t="n">
        <v>1.177037086525194</v>
      </c>
      <c r="AJ1049" s="6" t="n">
        <v>66.67210943884687</v>
      </c>
      <c r="AK1049" s="6" t="n">
        <v>0.1036903067704091</v>
      </c>
      <c r="AL1049" s="6" t="n">
        <v>1.028717031544137</v>
      </c>
      <c r="AN1049" s="6" t="n">
        <v>1.347236258896256</v>
      </c>
      <c r="AO1049" s="6" t="n">
        <v>1.347236258896256</v>
      </c>
      <c r="AP1049" s="6" t="n">
        <v>0.1344887813212093</v>
      </c>
      <c r="AQ1049" s="6" t="n">
        <v>0</v>
      </c>
      <c r="AR1049" s="6" t="n">
        <v>0</v>
      </c>
    </row>
    <row r="1050">
      <c r="D1050" t="inlineStr">
        <is>
          <t>Run 738</t>
        </is>
      </c>
      <c r="J1050" s="6" t="n">
        <v>-1.670296904859651</v>
      </c>
      <c r="K1050" s="6" t="n">
        <v>2.257166515715725</v>
      </c>
      <c r="L1050" s="6" t="n">
        <v>-1.409859771343446</v>
      </c>
      <c r="M1050" s="6" t="n">
        <v>-2.98064581316159</v>
      </c>
      <c r="N1050" s="6" t="n">
        <v>-2.515777123228617</v>
      </c>
      <c r="O1050" s="6" t="n">
        <v>0.4315341468823563</v>
      </c>
      <c r="P1050" s="6" t="n">
        <v>-2.272102346490202</v>
      </c>
      <c r="Q1050" s="6" t="n">
        <v>0.7957702891481025</v>
      </c>
      <c r="R1050" s="6" t="n">
        <v>-3.911115749941651</v>
      </c>
      <c r="S1050" s="6" t="n">
        <v>3.473760998949865</v>
      </c>
      <c r="T1050" s="6" t="n">
        <v>1.163445324427099</v>
      </c>
      <c r="U1050" s="6" t="n">
        <v>-3.060822387201499</v>
      </c>
      <c r="V1050" s="6" t="n">
        <v>2.583720526863915</v>
      </c>
      <c r="W1050" s="6" t="n">
        <v>-1.761536690719795</v>
      </c>
      <c r="X1050" s="6" t="n">
        <v>-0.7680763796764873</v>
      </c>
      <c r="Y1050" s="6" t="n">
        <v>1.048311604283696</v>
      </c>
      <c r="Z1050" s="6" t="n">
        <v>-0.6354762049279751</v>
      </c>
      <c r="AA1050" s="6" t="n">
        <v>0.0608225482746752</v>
      </c>
      <c r="AB1050" s="6" t="n">
        <v>5</v>
      </c>
      <c r="AC1050" s="6" t="n">
        <v>-3.044949316663982</v>
      </c>
      <c r="AD1050" s="6" t="n">
        <v>0.1739412021694035</v>
      </c>
      <c r="AE1050" s="6" t="n">
        <v>1.272916408416949</v>
      </c>
      <c r="AF1050" s="6" t="n">
        <v>-1.720535232839783</v>
      </c>
      <c r="AG1050" s="6" t="n">
        <v>-2.288053988021276</v>
      </c>
      <c r="AH1050" s="6" t="n">
        <v>-1.408521831311551</v>
      </c>
      <c r="AI1050" s="6" t="n">
        <v>0.6192758415671987</v>
      </c>
      <c r="AJ1050" s="6" t="n">
        <v>68.06250231618017</v>
      </c>
      <c r="AK1050" s="6" t="n">
        <v>0.05258708095674926</v>
      </c>
      <c r="AL1050" s="6" t="n">
        <v>1.091963110051918</v>
      </c>
      <c r="AN1050" s="6" t="n">
        <v>1.309676634018591</v>
      </c>
      <c r="AO1050" s="6" t="n">
        <v>1.313671560757095</v>
      </c>
      <c r="AP1050" s="6" t="n">
        <v>0.1306178268243934</v>
      </c>
      <c r="AQ1050" s="6" t="n">
        <v>0</v>
      </c>
      <c r="AR1050" s="6" t="n">
        <v>0</v>
      </c>
    </row>
    <row r="1051">
      <c r="D1051" t="inlineStr">
        <is>
          <t>Run 739</t>
        </is>
      </c>
      <c r="J1051" s="6" t="n">
        <v>2.19476178605099</v>
      </c>
      <c r="K1051" s="6" t="n">
        <v>-1.630300754509258</v>
      </c>
      <c r="L1051" s="6" t="n">
        <v>-0.1540859953226354</v>
      </c>
      <c r="M1051" s="6" t="n">
        <v>-0.9070513877930055</v>
      </c>
      <c r="N1051" s="6" t="n">
        <v>0.4078080418084302</v>
      </c>
      <c r="O1051" s="6" t="n">
        <v>1.406883580833544</v>
      </c>
      <c r="P1051" s="6" t="n">
        <v>-1.412013890782202</v>
      </c>
      <c r="Q1051" s="6" t="n">
        <v>2.643974792446749</v>
      </c>
      <c r="R1051" s="6" t="n">
        <v>-3.907730564076063</v>
      </c>
      <c r="S1051" s="6" t="n">
        <v>-2.435174337809913</v>
      </c>
      <c r="T1051" s="6" t="n">
        <v>2.499378551834465</v>
      </c>
      <c r="U1051" s="6" t="n">
        <v>-1.10387601318055</v>
      </c>
      <c r="V1051" s="6" t="n">
        <v>2.084602597378216</v>
      </c>
      <c r="W1051" s="6" t="n">
        <v>-1.476197821720064</v>
      </c>
      <c r="X1051" s="6" t="n">
        <v>3.195626432297891</v>
      </c>
      <c r="Y1051" s="6" t="n">
        <v>2.028125071232446</v>
      </c>
      <c r="Z1051" s="6" t="n">
        <v>1.680865801218748</v>
      </c>
      <c r="AA1051" s="6" t="n">
        <v>-0.9948989564231331</v>
      </c>
      <c r="AB1051" s="6" t="n">
        <v>-1.823374453964872</v>
      </c>
      <c r="AC1051" s="6" t="n">
        <v>1.258793974549846</v>
      </c>
      <c r="AD1051" s="6" t="n">
        <v>-1.955123518068977</v>
      </c>
      <c r="AE1051" s="6" t="n">
        <v>-0.7447034859486117</v>
      </c>
      <c r="AF1051" s="6" t="n">
        <v>-0.7456566045889047</v>
      </c>
      <c r="AG1051" s="6" t="n">
        <v>3.747831466930426</v>
      </c>
      <c r="AH1051" s="6" t="n">
        <v>-1.952455438585628</v>
      </c>
      <c r="AI1051" s="6" t="n">
        <v>-4.467547229102045</v>
      </c>
      <c r="AJ1051" s="6" t="n">
        <v>71.47276313883182</v>
      </c>
      <c r="AK1051" s="6" t="n">
        <v>0.1575525169548404</v>
      </c>
      <c r="AL1051" s="6" t="n">
        <v>1.053392314293287</v>
      </c>
      <c r="AN1051" s="6" t="n">
        <v>1.34036233960628</v>
      </c>
      <c r="AO1051" s="6" t="n">
        <v>1.34087075204747</v>
      </c>
      <c r="AP1051" s="6" t="n">
        <v>0.1314057815862536</v>
      </c>
      <c r="AQ1051" s="6" t="n">
        <v>0</v>
      </c>
      <c r="AR1051" s="6" t="n">
        <v>0</v>
      </c>
    </row>
    <row r="1052">
      <c r="D1052" t="inlineStr">
        <is>
          <t>Run 740</t>
        </is>
      </c>
      <c r="J1052" s="6" t="n">
        <v>-0.9946429908873263</v>
      </c>
      <c r="K1052" s="6" t="n">
        <v>0.8049452575073813</v>
      </c>
      <c r="L1052" s="6" t="n">
        <v>0.4444229112948789</v>
      </c>
      <c r="M1052" s="6" t="n">
        <v>0.4823606512918757</v>
      </c>
      <c r="N1052" s="6" t="n">
        <v>0.3851772403001331</v>
      </c>
      <c r="O1052" s="6" t="n">
        <v>0.9411420525509496</v>
      </c>
      <c r="P1052" s="6" t="n">
        <v>-0.793849813926688</v>
      </c>
      <c r="Q1052" s="6" t="n">
        <v>-0.04931796111427281</v>
      </c>
      <c r="R1052" s="6" t="n">
        <v>1.865355547057981</v>
      </c>
      <c r="S1052" s="6" t="n">
        <v>-2.673968111994817</v>
      </c>
      <c r="T1052" s="6" t="n">
        <v>1.625753111077885</v>
      </c>
      <c r="U1052" s="6" t="n">
        <v>2.258686803321621</v>
      </c>
      <c r="V1052" s="6" t="n">
        <v>-1.643945386806017</v>
      </c>
      <c r="W1052" s="6" t="n">
        <v>-0.009232535984317019</v>
      </c>
      <c r="X1052" s="6" t="n">
        <v>-0.5755329908920062</v>
      </c>
      <c r="Y1052" s="6" t="n">
        <v>-2.260771936175052</v>
      </c>
      <c r="Z1052" s="6" t="n">
        <v>-1.072460252892614</v>
      </c>
      <c r="AA1052" s="6" t="n">
        <v>-1.483408368042337</v>
      </c>
      <c r="AB1052" s="6" t="n">
        <v>-1.073198010160795</v>
      </c>
      <c r="AC1052" s="6" t="n">
        <v>3.925807873320239</v>
      </c>
      <c r="AD1052" s="6" t="n">
        <v>-1.256174582696061</v>
      </c>
      <c r="AE1052" s="6" t="n">
        <v>1.739665068648074</v>
      </c>
      <c r="AF1052" s="6" t="n">
        <v>-0.1623115463377703</v>
      </c>
      <c r="AG1052" s="6" t="n">
        <v>-1.45343516778501</v>
      </c>
      <c r="AH1052" s="6" t="n">
        <v>1.432440564031681</v>
      </c>
      <c r="AI1052" s="6" t="n">
        <v>0.6267588327892156</v>
      </c>
      <c r="AJ1052" s="6" t="n">
        <v>74.89469124434615</v>
      </c>
      <c r="AK1052" s="6" t="n">
        <v>0.112443871855368</v>
      </c>
      <c r="AL1052" s="6" t="n">
        <v>1.071107698526762</v>
      </c>
      <c r="AN1052" s="6" t="n">
        <v>1.340580158054256</v>
      </c>
      <c r="AO1052" s="6" t="n">
        <v>1.340824827297975</v>
      </c>
      <c r="AP1052" s="6" t="n">
        <v>0.1310852979206638</v>
      </c>
      <c r="AQ1052" s="6" t="n">
        <v>0</v>
      </c>
      <c r="AR1052" s="6" t="n">
        <v>0</v>
      </c>
    </row>
    <row r="1053">
      <c r="D1053" t="inlineStr">
        <is>
          <t>Run 741</t>
        </is>
      </c>
      <c r="J1053" s="6" t="n">
        <v>1.657175220735663</v>
      </c>
      <c r="K1053" s="6" t="n">
        <v>-0.4489477743730719</v>
      </c>
      <c r="L1053" s="6" t="n">
        <v>-1.805826473199076</v>
      </c>
      <c r="M1053" s="6" t="n">
        <v>1.779360468292806</v>
      </c>
      <c r="N1053" s="6" t="n">
        <v>-2.449589445475405</v>
      </c>
      <c r="O1053" s="6" t="n">
        <v>0.01678964348721503</v>
      </c>
      <c r="P1053" s="6" t="n">
        <v>-0.5592603719755852</v>
      </c>
      <c r="Q1053" s="6" t="n">
        <v>-1.63859606499616</v>
      </c>
      <c r="R1053" s="6" t="n">
        <v>-1.914561325537903</v>
      </c>
      <c r="S1053" s="6" t="n">
        <v>-3.797840757810811</v>
      </c>
      <c r="T1053" s="6" t="n">
        <v>-1.317766482163</v>
      </c>
      <c r="U1053" s="6" t="n">
        <v>-0.7216328018919916</v>
      </c>
      <c r="V1053" s="6" t="n">
        <v>-1.476434401080242</v>
      </c>
      <c r="W1053" s="6" t="n">
        <v>3.098069974600163</v>
      </c>
      <c r="X1053" s="6" t="n">
        <v>-1.157072049580847</v>
      </c>
      <c r="Y1053" s="6" t="n">
        <v>-0.2700165950391715</v>
      </c>
      <c r="Z1053" s="6" t="n">
        <v>0.5889081325339477</v>
      </c>
      <c r="AA1053" s="6" t="n">
        <v>3.141427829924546</v>
      </c>
      <c r="AB1053" s="6" t="n">
        <v>-5.828347505866438</v>
      </c>
      <c r="AC1053" s="6" t="n">
        <v>-0.8957456737970719</v>
      </c>
      <c r="AD1053" s="6" t="n">
        <v>2.275002535593479</v>
      </c>
      <c r="AE1053" s="6" t="n">
        <v>-2.30757962175382</v>
      </c>
      <c r="AF1053" s="6" t="n">
        <v>4.284883626110074</v>
      </c>
      <c r="AG1053" s="6" t="n">
        <v>2.067083811477069</v>
      </c>
      <c r="AH1053" s="6" t="n">
        <v>0.08268693488284071</v>
      </c>
      <c r="AI1053" s="6" t="n">
        <v>1.356249427935448</v>
      </c>
      <c r="AJ1053" s="6" t="n">
        <v>69.13743485830881</v>
      </c>
      <c r="AK1053" s="6" t="n">
        <v>0.1331491221678198</v>
      </c>
      <c r="AL1053" s="6" t="n">
        <v>1.113038034504935</v>
      </c>
      <c r="AN1053" s="6" t="n">
        <v>1.323738549676506</v>
      </c>
      <c r="AO1053" s="6" t="n">
        <v>1.324239618870516</v>
      </c>
      <c r="AP1053" s="6" t="n">
        <v>0.128152300842876</v>
      </c>
      <c r="AQ1053" s="6" t="n">
        <v>0</v>
      </c>
      <c r="AR1053" s="6" t="n">
        <v>0</v>
      </c>
    </row>
    <row r="1054">
      <c r="D1054" t="inlineStr">
        <is>
          <t>Run 742</t>
        </is>
      </c>
      <c r="J1054" s="6" t="n">
        <v>-0.5031500124808297</v>
      </c>
      <c r="K1054" s="6" t="n">
        <v>-3.247181532830268</v>
      </c>
      <c r="L1054" s="6" t="n">
        <v>1.352242894158577</v>
      </c>
      <c r="M1054" s="6" t="n">
        <v>-0.8725761830782452</v>
      </c>
      <c r="N1054" s="6" t="n">
        <v>-0.4366353743982134</v>
      </c>
      <c r="O1054" s="6" t="n">
        <v>0.6783839555110525</v>
      </c>
      <c r="P1054" s="6" t="n">
        <v>-3.419692295347978</v>
      </c>
      <c r="Q1054" s="6" t="n">
        <v>-1.317071935282069</v>
      </c>
      <c r="R1054" s="6" t="n">
        <v>4.769516619531505</v>
      </c>
      <c r="S1054" s="6" t="n">
        <v>-0.6409243184050225</v>
      </c>
      <c r="T1054" s="6" t="n">
        <v>0.4958178554552497</v>
      </c>
      <c r="U1054" s="6" t="n">
        <v>-0.08295774164702722</v>
      </c>
      <c r="V1054" s="6" t="n">
        <v>-4.107694549699028</v>
      </c>
      <c r="W1054" s="6" t="n">
        <v>-0.7870069506697513</v>
      </c>
      <c r="X1054" s="6" t="n">
        <v>-2.140822343111175</v>
      </c>
      <c r="Y1054" s="6" t="n">
        <v>-0.2723734521783369</v>
      </c>
      <c r="Z1054" s="6" t="n">
        <v>-1.487863142080197</v>
      </c>
      <c r="AA1054" s="6" t="n">
        <v>0.2721053608435501</v>
      </c>
      <c r="AB1054" s="6" t="n">
        <v>0.6811701998116766</v>
      </c>
      <c r="AC1054" s="6" t="n">
        <v>0.4832627138014018</v>
      </c>
      <c r="AD1054" s="6" t="n">
        <v>-1.447931602010833</v>
      </c>
      <c r="AE1054" s="6" t="n">
        <v>-2.975905607348489</v>
      </c>
      <c r="AF1054" s="6" t="n">
        <v>1.852104730400118</v>
      </c>
      <c r="AG1054" s="6" t="n">
        <v>-0.1192377019870366</v>
      </c>
      <c r="AH1054" s="6" t="n">
        <v>-0.9537692039231036</v>
      </c>
      <c r="AI1054" s="6" t="n">
        <v>-0.0594405479405164</v>
      </c>
      <c r="AJ1054" s="6" t="n">
        <v>76.87865667966955</v>
      </c>
      <c r="AK1054" s="6" t="n">
        <v>0.08270036802225011</v>
      </c>
      <c r="AL1054" s="6" t="n">
        <v>1.04874341786606</v>
      </c>
      <c r="AN1054" s="6" t="n">
        <v>1.351244894865441</v>
      </c>
      <c r="AO1054" s="6" t="n">
        <v>1.351547947882772</v>
      </c>
      <c r="AP1054" s="6" t="n">
        <v>0.13381666789442</v>
      </c>
      <c r="AQ1054" s="6" t="n">
        <v>0</v>
      </c>
      <c r="AR1054" s="6" t="n">
        <v>0</v>
      </c>
    </row>
    <row r="1055">
      <c r="D1055" t="inlineStr">
        <is>
          <t>Run 743</t>
        </is>
      </c>
      <c r="J1055" s="6" t="n">
        <v>0.5708543445051032</v>
      </c>
      <c r="K1055" s="6" t="n">
        <v>0.4599589448957802</v>
      </c>
      <c r="L1055" s="6" t="n">
        <v>-1.64286298022171</v>
      </c>
      <c r="M1055" s="6" t="n">
        <v>-0.2205958557009762</v>
      </c>
      <c r="N1055" s="6" t="n">
        <v>2.044522246656951</v>
      </c>
      <c r="O1055" s="6" t="n">
        <v>5</v>
      </c>
      <c r="P1055" s="6" t="n">
        <v>-2.210455229543029</v>
      </c>
      <c r="Q1055" s="6" t="n">
        <v>0.9156839675618796</v>
      </c>
      <c r="R1055" s="6" t="n">
        <v>2.708544864753505</v>
      </c>
      <c r="S1055" s="6" t="n">
        <v>-1.919935672941865</v>
      </c>
      <c r="T1055" s="6" t="n">
        <v>-2.300931684510841</v>
      </c>
      <c r="U1055" s="6" t="n">
        <v>0.9292523988936425</v>
      </c>
      <c r="V1055" s="6" t="n">
        <v>-1.102033590081663</v>
      </c>
      <c r="W1055" s="6" t="n">
        <v>-0.9484843489793088</v>
      </c>
      <c r="X1055" s="6" t="n">
        <v>0.6575553596950164</v>
      </c>
      <c r="Y1055" s="6" t="n">
        <v>1.349256091226726</v>
      </c>
      <c r="Z1055" s="6" t="n">
        <v>-1.936234183291078</v>
      </c>
      <c r="AA1055" s="6" t="n">
        <v>-0.8547040457282713</v>
      </c>
      <c r="AB1055" s="6" t="n">
        <v>2.527042228639257</v>
      </c>
      <c r="AC1055" s="6" t="n">
        <v>-1.197544505069736</v>
      </c>
      <c r="AD1055" s="6" t="n">
        <v>0.662009913580337</v>
      </c>
      <c r="AE1055" s="6" t="n">
        <v>-2.163342890402837</v>
      </c>
      <c r="AF1055" s="6" t="n">
        <v>-0.4475635838032501</v>
      </c>
      <c r="AG1055" s="6" t="n">
        <v>2.023249624128767</v>
      </c>
      <c r="AH1055" s="6" t="n">
        <v>-1.155981172752391</v>
      </c>
      <c r="AI1055" s="6" t="n">
        <v>-2.464185027563999</v>
      </c>
      <c r="AJ1055" s="6" t="n">
        <v>70.83339441525629</v>
      </c>
      <c r="AK1055" s="6" t="n">
        <v>0.1189874514262009</v>
      </c>
      <c r="AL1055" s="6" t="n">
        <v>1.072674403853436</v>
      </c>
      <c r="AN1055" s="6" t="n">
        <v>1.337810704139802</v>
      </c>
      <c r="AO1055" s="6" t="n">
        <v>1.338626922158968</v>
      </c>
      <c r="AP1055" s="6" t="n">
        <v>0.1309021196545095</v>
      </c>
      <c r="AQ1055" s="6" t="n">
        <v>0</v>
      </c>
      <c r="AR1055" s="6" t="n">
        <v>0</v>
      </c>
    </row>
    <row r="1056">
      <c r="D1056" t="inlineStr">
        <is>
          <t>Run 744</t>
        </is>
      </c>
      <c r="J1056" s="6" t="n">
        <v>-3.448526232050134</v>
      </c>
      <c r="K1056" s="6" t="n">
        <v>0.5293934444162919</v>
      </c>
      <c r="L1056" s="6" t="n">
        <v>3.040566261163671</v>
      </c>
      <c r="M1056" s="6" t="n">
        <v>0.4719603112121589</v>
      </c>
      <c r="N1056" s="6" t="n">
        <v>-2.027817270377691</v>
      </c>
      <c r="O1056" s="6" t="n">
        <v>-1.093333482193164</v>
      </c>
      <c r="P1056" s="6" t="n">
        <v>1.486153738879374</v>
      </c>
      <c r="Q1056" s="6" t="n">
        <v>3.055538599040669</v>
      </c>
      <c r="R1056" s="6" t="n">
        <v>3.494445238307974</v>
      </c>
      <c r="S1056" s="6" t="n">
        <v>1.259823834450166</v>
      </c>
      <c r="T1056" s="6" t="n">
        <v>1.519181924002828</v>
      </c>
      <c r="U1056" s="6" t="n">
        <v>-0.3079451277403268</v>
      </c>
      <c r="V1056" s="6" t="n">
        <v>4.301338873482493</v>
      </c>
      <c r="W1056" s="6" t="n">
        <v>0.9587995979250699</v>
      </c>
      <c r="X1056" s="6" t="n">
        <v>1.147478503380919</v>
      </c>
      <c r="Y1056" s="6" t="n">
        <v>0.8211699843811761</v>
      </c>
      <c r="Z1056" s="6" t="n">
        <v>0.345731072921645</v>
      </c>
      <c r="AA1056" s="6" t="n">
        <v>-1.096358039557569</v>
      </c>
      <c r="AB1056" s="6" t="n">
        <v>-0.9251894362759863</v>
      </c>
      <c r="AC1056" s="6" t="n">
        <v>2.134272110748513</v>
      </c>
      <c r="AD1056" s="6" t="n">
        <v>-1.231277223613364</v>
      </c>
      <c r="AE1056" s="6" t="n">
        <v>-2.770198935252291</v>
      </c>
      <c r="AF1056" s="6" t="n">
        <v>-1.360048777119325</v>
      </c>
      <c r="AG1056" s="6" t="n">
        <v>0.02809366490715445</v>
      </c>
      <c r="AH1056" s="6" t="n">
        <v>2.287120124020611</v>
      </c>
      <c r="AI1056" s="6" t="n">
        <v>-0.5799446790310245</v>
      </c>
      <c r="AJ1056" s="6" t="n">
        <v>63.56764092560611</v>
      </c>
      <c r="AK1056" s="6" t="n">
        <v>0.1212268365155548</v>
      </c>
      <c r="AL1056" s="6" t="n">
        <v>1.038317743614406</v>
      </c>
      <c r="AN1056" s="6" t="n">
        <v>1.344661779800303</v>
      </c>
      <c r="AO1056" s="6" t="n">
        <v>1.345155278733751</v>
      </c>
      <c r="AP1056" s="6" t="n">
        <v>0.1330169169914435</v>
      </c>
      <c r="AQ1056" s="6" t="n">
        <v>0</v>
      </c>
      <c r="AR1056" s="6" t="n">
        <v>0</v>
      </c>
    </row>
    <row r="1057">
      <c r="D1057" t="inlineStr">
        <is>
          <t>Run 745</t>
        </is>
      </c>
      <c r="J1057" s="6" t="n">
        <v>2.381475495560633</v>
      </c>
      <c r="K1057" s="6" t="n">
        <v>1.092232228208614</v>
      </c>
      <c r="L1057" s="6" t="n">
        <v>-3.815129986294429</v>
      </c>
      <c r="M1057" s="6" t="n">
        <v>-1.897322115264526</v>
      </c>
      <c r="N1057" s="6" t="n">
        <v>-0.2514943043426028</v>
      </c>
      <c r="O1057" s="6" t="n">
        <v>-0.6741400627060756</v>
      </c>
      <c r="P1057" s="6" t="n">
        <v>0.03339769021139859</v>
      </c>
      <c r="Q1057" s="6" t="n">
        <v>-0.9237996334243005</v>
      </c>
      <c r="R1057" s="6" t="n">
        <v>-3.995888475820918</v>
      </c>
      <c r="S1057" s="6" t="n">
        <v>-0.7735902978954881</v>
      </c>
      <c r="T1057" s="6" t="n">
        <v>1.415873639987624</v>
      </c>
      <c r="U1057" s="6" t="n">
        <v>0.2569200917315547</v>
      </c>
      <c r="V1057" s="6" t="n">
        <v>-0.5132508819622864</v>
      </c>
      <c r="W1057" s="6" t="n">
        <v>1.46686874667158</v>
      </c>
      <c r="X1057" s="6" t="n">
        <v>-2.827842185867038</v>
      </c>
      <c r="Y1057" s="6" t="n">
        <v>0.6656691388486203</v>
      </c>
      <c r="Z1057" s="6" t="n">
        <v>1.966603341643634</v>
      </c>
      <c r="AA1057" s="6" t="n">
        <v>-3.401772862891315</v>
      </c>
      <c r="AB1057" s="6" t="n">
        <v>-0.6333088629656827</v>
      </c>
      <c r="AC1057" s="6" t="n">
        <v>-1.809027295366818</v>
      </c>
      <c r="AD1057" s="6" t="n">
        <v>-2.555340759319294</v>
      </c>
      <c r="AE1057" s="6" t="n">
        <v>-0.6794813644743974</v>
      </c>
      <c r="AF1057" s="6" t="n">
        <v>1.831524222922006</v>
      </c>
      <c r="AG1057" s="6" t="n">
        <v>0.8330953765966129</v>
      </c>
      <c r="AH1057" s="6" t="n">
        <v>-1.300078331109206</v>
      </c>
      <c r="AI1057" s="6" t="n">
        <v>0.0424701063013611</v>
      </c>
      <c r="AJ1057" s="6" t="n">
        <v>69.74165690078134</v>
      </c>
      <c r="AK1057" s="6" t="n">
        <v>0.1982926454892611</v>
      </c>
      <c r="AL1057" s="6" t="n">
        <v>1.022495409480371</v>
      </c>
      <c r="AN1057" s="6" t="n">
        <v>1.334263521785164</v>
      </c>
      <c r="AO1057" s="6" t="n">
        <v>1.341164304859092</v>
      </c>
      <c r="AP1057" s="6" t="n">
        <v>0.1331712332853559</v>
      </c>
      <c r="AQ1057" s="6" t="n">
        <v>0</v>
      </c>
      <c r="AR1057" s="6" t="n">
        <v>0</v>
      </c>
    </row>
    <row r="1058">
      <c r="D1058" t="inlineStr">
        <is>
          <t>Run 746</t>
        </is>
      </c>
      <c r="J1058" s="6" t="n">
        <v>-0.9317802591900396</v>
      </c>
      <c r="K1058" s="6" t="n">
        <v>0.01179092873941076</v>
      </c>
      <c r="L1058" s="6" t="n">
        <v>2.136987008727841</v>
      </c>
      <c r="M1058" s="6" t="n">
        <v>3.764066458715308</v>
      </c>
      <c r="N1058" s="6" t="n">
        <v>3.906727064667272</v>
      </c>
      <c r="O1058" s="6" t="n">
        <v>2.129878953155373</v>
      </c>
      <c r="P1058" s="6" t="n">
        <v>2.304538979994399</v>
      </c>
      <c r="Q1058" s="6" t="n">
        <v>-1.239622685966742</v>
      </c>
      <c r="R1058" s="6" t="n">
        <v>3.144406016156118</v>
      </c>
      <c r="S1058" s="6" t="n">
        <v>2.016643028022904</v>
      </c>
      <c r="T1058" s="6" t="n">
        <v>1.190458177106339</v>
      </c>
      <c r="U1058" s="6" t="n">
        <v>1.08457632224188</v>
      </c>
      <c r="V1058" s="6" t="n">
        <v>0.3550340937412759</v>
      </c>
      <c r="W1058" s="6" t="n">
        <v>0.5218769413825749</v>
      </c>
      <c r="X1058" s="6" t="n">
        <v>1.092059006195887</v>
      </c>
      <c r="Y1058" s="6" t="n">
        <v>-1.487368354844001</v>
      </c>
      <c r="Z1058" s="6" t="n">
        <v>1.382301567786526</v>
      </c>
      <c r="AA1058" s="6" t="n">
        <v>-0.8924781250198279</v>
      </c>
      <c r="AB1058" s="6" t="n">
        <v>-2.866094291432394</v>
      </c>
      <c r="AC1058" s="6" t="n">
        <v>-1.097569673231203</v>
      </c>
      <c r="AD1058" s="6" t="n">
        <v>-0.9116592929194021</v>
      </c>
      <c r="AE1058" s="6" t="n">
        <v>-2.492575154810424</v>
      </c>
      <c r="AF1058" s="6" t="n">
        <v>-4.8837094806839</v>
      </c>
      <c r="AG1058" s="6" t="n">
        <v>0.02248166212702282</v>
      </c>
      <c r="AH1058" s="6" t="n">
        <v>-1.293756113888658</v>
      </c>
      <c r="AI1058" s="6" t="n">
        <v>1.047109451341273</v>
      </c>
      <c r="AJ1058" s="6" t="n">
        <v>74.3529197851268</v>
      </c>
      <c r="AK1058" s="6" t="n">
        <v>0.2070066543139931</v>
      </c>
      <c r="AL1058" s="6" t="n">
        <v>1.052438534398462</v>
      </c>
      <c r="AN1058" s="6" t="n">
        <v>1.334721229388381</v>
      </c>
      <c r="AO1058" s="6" t="n">
        <v>1.335362838025365</v>
      </c>
      <c r="AP1058" s="6" t="n">
        <v>0.1300368479129718</v>
      </c>
      <c r="AQ1058" s="6" t="n">
        <v>0</v>
      </c>
      <c r="AR1058" s="6" t="n">
        <v>0</v>
      </c>
    </row>
    <row r="1059">
      <c r="D1059" t="inlineStr">
        <is>
          <t>Run 747</t>
        </is>
      </c>
      <c r="J1059" s="6" t="n">
        <v>4.049537452383453</v>
      </c>
      <c r="K1059" s="6" t="n">
        <v>2.494932715688238</v>
      </c>
      <c r="L1059" s="6" t="n">
        <v>0.07983984578348859</v>
      </c>
      <c r="M1059" s="6" t="n">
        <v>1.210931095161168</v>
      </c>
      <c r="N1059" s="6" t="n">
        <v>-1.0838956570696</v>
      </c>
      <c r="O1059" s="6" t="n">
        <v>1.415827429799326</v>
      </c>
      <c r="P1059" s="6" t="n">
        <v>0.2494739475533069</v>
      </c>
      <c r="Q1059" s="6" t="n">
        <v>-0.1917937746283619</v>
      </c>
      <c r="R1059" s="6" t="n">
        <v>1.745722326308532</v>
      </c>
      <c r="S1059" s="6" t="n">
        <v>0.512194313600813</v>
      </c>
      <c r="T1059" s="6" t="n">
        <v>1.09687113888942</v>
      </c>
      <c r="U1059" s="6" t="n">
        <v>-3.868188115471036</v>
      </c>
      <c r="V1059" s="6" t="n">
        <v>1.304544730196939</v>
      </c>
      <c r="W1059" s="6" t="n">
        <v>-1.543073501002491</v>
      </c>
      <c r="X1059" s="6" t="n">
        <v>-3.686655837852952</v>
      </c>
      <c r="Y1059" s="6" t="n">
        <v>3.36730438890325</v>
      </c>
      <c r="Z1059" s="6" t="n">
        <v>1.690527044905541</v>
      </c>
      <c r="AA1059" s="6" t="n">
        <v>-1.217359541541295</v>
      </c>
      <c r="AB1059" s="6" t="n">
        <v>0.2568628579779009</v>
      </c>
      <c r="AC1059" s="6" t="n">
        <v>-1.070026234352388</v>
      </c>
      <c r="AD1059" s="6" t="n">
        <v>-1.674444613502979</v>
      </c>
      <c r="AE1059" s="6" t="n">
        <v>0.9764610983797024</v>
      </c>
      <c r="AF1059" s="6" t="n">
        <v>-1.802811055199893</v>
      </c>
      <c r="AG1059" s="6" t="n">
        <v>0.9389406168381452</v>
      </c>
      <c r="AH1059" s="6" t="n">
        <v>-2.916088294128491</v>
      </c>
      <c r="AI1059" s="6" t="n">
        <v>-2.697296991910819</v>
      </c>
      <c r="AJ1059" s="6" t="n">
        <v>73.73841757152842</v>
      </c>
      <c r="AK1059" s="6" t="n">
        <v>0.1262465865955627</v>
      </c>
      <c r="AL1059" s="6" t="n">
        <v>1.051761537126713</v>
      </c>
      <c r="AN1059" s="6" t="n">
        <v>1.345777946894733</v>
      </c>
      <c r="AO1059" s="6" t="n">
        <v>1.346037868232295</v>
      </c>
      <c r="AP1059" s="6" t="n">
        <v>0.1321501781461902</v>
      </c>
      <c r="AQ1059" s="6" t="n">
        <v>0</v>
      </c>
      <c r="AR1059" s="6" t="n">
        <v>0</v>
      </c>
    </row>
    <row r="1060">
      <c r="D1060" t="inlineStr">
        <is>
          <t>Run 748</t>
        </is>
      </c>
      <c r="J1060" s="6" t="n">
        <v>-0.03542192483008183</v>
      </c>
      <c r="K1060" s="6" t="n">
        <v>-2.618406875054139</v>
      </c>
      <c r="L1060" s="6" t="n">
        <v>2.104727373986396</v>
      </c>
      <c r="M1060" s="6" t="n">
        <v>-1.279730085366845</v>
      </c>
      <c r="N1060" s="6" t="n">
        <v>0.5246074705671825</v>
      </c>
      <c r="O1060" s="6" t="n">
        <v>-0.6148621277411812</v>
      </c>
      <c r="P1060" s="6" t="n">
        <v>-0.1287652397395228</v>
      </c>
      <c r="Q1060" s="6" t="n">
        <v>3.959942824980832</v>
      </c>
      <c r="R1060" s="6" t="n">
        <v>-3.388009071719755</v>
      </c>
      <c r="S1060" s="6" t="n">
        <v>0.1455248202396657</v>
      </c>
      <c r="T1060" s="6" t="n">
        <v>-0.0111188692868913</v>
      </c>
      <c r="U1060" s="6" t="n">
        <v>1.532183110814602</v>
      </c>
      <c r="V1060" s="6" t="n">
        <v>-2.48999032584524</v>
      </c>
      <c r="W1060" s="6" t="n">
        <v>2.624750919976847</v>
      </c>
      <c r="X1060" s="6" t="n">
        <v>-1.657323251355753</v>
      </c>
      <c r="Y1060" s="6" t="n">
        <v>0.9104469849678944</v>
      </c>
      <c r="Z1060" s="6" t="n">
        <v>-0.09569288787948432</v>
      </c>
      <c r="AA1060" s="6" t="n">
        <v>-0.01436061826652026</v>
      </c>
      <c r="AB1060" s="6" t="n">
        <v>0.8927513499833044</v>
      </c>
      <c r="AC1060" s="6" t="n">
        <v>1.99359091198247</v>
      </c>
      <c r="AD1060" s="6" t="n">
        <v>1.945900851458336</v>
      </c>
      <c r="AE1060" s="6" t="n">
        <v>1.5803978970286</v>
      </c>
      <c r="AF1060" s="6" t="n">
        <v>-2.534618056715287</v>
      </c>
      <c r="AG1060" s="6" t="n">
        <v>1.128801315067373</v>
      </c>
      <c r="AH1060" s="6" t="n">
        <v>-1.075167891124371</v>
      </c>
      <c r="AI1060" s="6" t="n">
        <v>-0.7444995628841213</v>
      </c>
      <c r="AJ1060" s="6" t="n">
        <v>77.12616105534082</v>
      </c>
      <c r="AK1060" s="6" t="n">
        <v>0.1791793184986089</v>
      </c>
      <c r="AL1060" s="6" t="n">
        <v>1.067784286811178</v>
      </c>
      <c r="AN1060" s="6" t="n">
        <v>1.334093284796171</v>
      </c>
      <c r="AO1060" s="6" t="n">
        <v>1.336153034202012</v>
      </c>
      <c r="AP1060" s="6" t="n">
        <v>0.1299761525507472</v>
      </c>
      <c r="AQ1060" s="6" t="n">
        <v>0</v>
      </c>
      <c r="AR1060" s="6" t="n">
        <v>0</v>
      </c>
    </row>
    <row r="1061">
      <c r="D1061" t="inlineStr">
        <is>
          <t>Run 749</t>
        </is>
      </c>
      <c r="J1061" s="6" t="n">
        <v>-0.2543306477493896</v>
      </c>
      <c r="K1061" s="6" t="n">
        <v>0.7251597564377922</v>
      </c>
      <c r="L1061" s="6" t="n">
        <v>1.79352677705913</v>
      </c>
      <c r="M1061" s="6" t="n">
        <v>0.3025707132029133</v>
      </c>
      <c r="N1061" s="6" t="n">
        <v>2.957566503741313</v>
      </c>
      <c r="O1061" s="6" t="n">
        <v>-0.2520006128198518</v>
      </c>
      <c r="P1061" s="6" t="n">
        <v>-1.529482559527917</v>
      </c>
      <c r="Q1061" s="6" t="n">
        <v>-1.336008066122256</v>
      </c>
      <c r="R1061" s="6" t="n">
        <v>1.86793441199696</v>
      </c>
      <c r="S1061" s="6" t="n">
        <v>-0.1716674173278266</v>
      </c>
      <c r="T1061" s="6" t="n">
        <v>-2.783545185787587</v>
      </c>
      <c r="U1061" s="6" t="n">
        <v>0.4294095958403515</v>
      </c>
      <c r="V1061" s="6" t="n">
        <v>-2.344289420820268</v>
      </c>
      <c r="W1061" s="6" t="n">
        <v>-1.034162592451015</v>
      </c>
      <c r="X1061" s="6" t="n">
        <v>0.3143342984452713</v>
      </c>
      <c r="Y1061" s="6" t="n">
        <v>-2.357978988660071</v>
      </c>
      <c r="Z1061" s="6" t="n">
        <v>1.444386037532256</v>
      </c>
      <c r="AA1061" s="6" t="n">
        <v>-1.175009999521522</v>
      </c>
      <c r="AB1061" s="6" t="n">
        <v>-2.892534574045087</v>
      </c>
      <c r="AC1061" s="6" t="n">
        <v>-1.620483345387231</v>
      </c>
      <c r="AD1061" s="6" t="n">
        <v>0.5706324497319207</v>
      </c>
      <c r="AE1061" s="6" t="n">
        <v>-1.109504047370568</v>
      </c>
      <c r="AF1061" s="6" t="n">
        <v>0.7886703886243988</v>
      </c>
      <c r="AG1061" s="6" t="n">
        <v>0.3769578620712716</v>
      </c>
      <c r="AH1061" s="6" t="n">
        <v>1.607523539873515</v>
      </c>
      <c r="AI1061" s="6" t="n">
        <v>-3.10409335990195</v>
      </c>
      <c r="AJ1061" s="6" t="n">
        <v>80.94633760304082</v>
      </c>
      <c r="AK1061" s="6" t="n">
        <v>0.103030437683586</v>
      </c>
      <c r="AL1061" s="6" t="n">
        <v>1.028795177191553</v>
      </c>
      <c r="AN1061" s="6" t="n">
        <v>1.356355882171013</v>
      </c>
      <c r="AO1061" s="6" t="n">
        <v>1.356355882171013</v>
      </c>
      <c r="AP1061" s="6" t="n">
        <v>0.1357145249916632</v>
      </c>
      <c r="AQ1061" s="6" t="n">
        <v>0</v>
      </c>
      <c r="AR1061" s="6" t="n">
        <v>0</v>
      </c>
    </row>
    <row r="1062">
      <c r="D1062" t="inlineStr">
        <is>
          <t>Run 750</t>
        </is>
      </c>
      <c r="J1062" s="6" t="n">
        <v>-0.4924347510302592</v>
      </c>
      <c r="K1062" s="6" t="n">
        <v>1.614340450968863</v>
      </c>
      <c r="L1062" s="6" t="n">
        <v>1.197165093358825</v>
      </c>
      <c r="M1062" s="6" t="n">
        <v>-3.779129442311578</v>
      </c>
      <c r="N1062" s="6" t="n">
        <v>3.006297390635015</v>
      </c>
      <c r="O1062" s="6" t="n">
        <v>-0.1462420647219291</v>
      </c>
      <c r="P1062" s="6" t="n">
        <v>-2.666687192119502</v>
      </c>
      <c r="Q1062" s="6" t="n">
        <v>-1.435242631502341</v>
      </c>
      <c r="R1062" s="6" t="n">
        <v>1.173949346457036</v>
      </c>
      <c r="S1062" s="6" t="n">
        <v>-1.564148477507229</v>
      </c>
      <c r="T1062" s="6" t="n">
        <v>2.876504193278053</v>
      </c>
      <c r="U1062" s="6" t="n">
        <v>-3.67855706396318</v>
      </c>
      <c r="V1062" s="6" t="n">
        <v>-0.8536647830119007</v>
      </c>
      <c r="W1062" s="6" t="n">
        <v>-0.4060685249783639</v>
      </c>
      <c r="X1062" s="6" t="n">
        <v>-1.142982302323478</v>
      </c>
      <c r="Y1062" s="6" t="n">
        <v>1.078236056033154</v>
      </c>
      <c r="Z1062" s="6" t="n">
        <v>-0.1240800838757647</v>
      </c>
      <c r="AA1062" s="6" t="n">
        <v>-1.48480226420966</v>
      </c>
      <c r="AB1062" s="6" t="n">
        <v>-1.072387099336771</v>
      </c>
      <c r="AC1062" s="6" t="n">
        <v>-1.7961155102538</v>
      </c>
      <c r="AD1062" s="6" t="n">
        <v>-3.401586649546157</v>
      </c>
      <c r="AE1062" s="6" t="n">
        <v>-1.054640473870588</v>
      </c>
      <c r="AF1062" s="6" t="n">
        <v>0.511867604553275</v>
      </c>
      <c r="AG1062" s="6" t="n">
        <v>2.193551678966077</v>
      </c>
      <c r="AH1062" s="6" t="n">
        <v>1.273288898390966</v>
      </c>
      <c r="AI1062" s="6" t="n">
        <v>0.03542466467352031</v>
      </c>
      <c r="AJ1062" s="6" t="n">
        <v>63.9214306699976</v>
      </c>
      <c r="AK1062" s="6" t="n">
        <v>0.1162292506897366</v>
      </c>
      <c r="AL1062" s="6" t="n">
        <v>1.016609780515757</v>
      </c>
      <c r="AN1062" s="6" t="n">
        <v>1.312666437448862</v>
      </c>
      <c r="AO1062" s="6" t="n">
        <v>1.32841452318439</v>
      </c>
      <c r="AP1062" s="6" t="n">
        <v>0.1346930988926927</v>
      </c>
      <c r="AQ1062" s="6" t="n">
        <v>0</v>
      </c>
      <c r="AR1062" s="6" t="n">
        <v>0</v>
      </c>
    </row>
    <row r="1063">
      <c r="D1063" t="inlineStr">
        <is>
          <t>Run 751</t>
        </is>
      </c>
      <c r="J1063" s="6" t="n">
        <v>-1.515838175511586</v>
      </c>
      <c r="K1063" s="6" t="n">
        <v>-1.641340849698813</v>
      </c>
      <c r="L1063" s="6" t="n">
        <v>2.215739368464045</v>
      </c>
      <c r="M1063" s="6" t="n">
        <v>4.278505702073033</v>
      </c>
      <c r="N1063" s="6" t="n">
        <v>-0.2656546438081605</v>
      </c>
      <c r="O1063" s="6" t="n">
        <v>1.312418928340079</v>
      </c>
      <c r="P1063" s="6" t="n">
        <v>2.641604478511615</v>
      </c>
      <c r="Q1063" s="6" t="n">
        <v>0.7767191238928677</v>
      </c>
      <c r="R1063" s="6" t="n">
        <v>-2.441464976468018</v>
      </c>
      <c r="S1063" s="6" t="n">
        <v>-0.1343725756596257</v>
      </c>
      <c r="T1063" s="6" t="n">
        <v>0.7035777961354491</v>
      </c>
      <c r="U1063" s="6" t="n">
        <v>1.154240423580516</v>
      </c>
      <c r="V1063" s="6" t="n">
        <v>-0.495907074643684</v>
      </c>
      <c r="W1063" s="6" t="n">
        <v>-1.031890078101902</v>
      </c>
      <c r="X1063" s="6" t="n">
        <v>-2.867914154142473</v>
      </c>
      <c r="Y1063" s="6" t="n">
        <v>0.8103684016819194</v>
      </c>
      <c r="Z1063" s="6" t="n">
        <v>0.8855708533110689</v>
      </c>
      <c r="AA1063" s="6" t="n">
        <v>-1.383769988806984</v>
      </c>
      <c r="AB1063" s="6" t="n">
        <v>-3.773947261698845</v>
      </c>
      <c r="AC1063" s="6" t="n">
        <v>-0.09437081268639019</v>
      </c>
      <c r="AD1063" s="6" t="n">
        <v>2.38408925878547</v>
      </c>
      <c r="AE1063" s="6" t="n">
        <v>2.973712147012272</v>
      </c>
      <c r="AF1063" s="6" t="n">
        <v>0.7018113914204245</v>
      </c>
      <c r="AG1063" s="6" t="n">
        <v>-0.182571070923033</v>
      </c>
      <c r="AH1063" s="6" t="n">
        <v>0.6808834884287827</v>
      </c>
      <c r="AI1063" s="6" t="n">
        <v>1.575049787418124</v>
      </c>
      <c r="AJ1063" s="6" t="n">
        <v>76.66268842461977</v>
      </c>
      <c r="AK1063" s="6" t="n">
        <v>0.1389325518046327</v>
      </c>
      <c r="AL1063" s="6" t="n">
        <v>0.9806678413576547</v>
      </c>
      <c r="AN1063" s="6" t="n">
        <v>1.36393478740194</v>
      </c>
      <c r="AO1063" s="6" t="n">
        <v>1.36393478740194</v>
      </c>
      <c r="AP1063" s="6" t="n">
        <v>0.143207913376608</v>
      </c>
      <c r="AQ1063" s="6" t="n">
        <v>0</v>
      </c>
      <c r="AR1063" s="6" t="n">
        <v>0</v>
      </c>
    </row>
    <row r="1064">
      <c r="D1064" t="inlineStr">
        <is>
          <t>Run 752</t>
        </is>
      </c>
      <c r="J1064" s="6" t="n">
        <v>0.8974795015097323</v>
      </c>
      <c r="K1064" s="6" t="n">
        <v>-1.309475452887</v>
      </c>
      <c r="L1064" s="6" t="n">
        <v>-0.02120102678770414</v>
      </c>
      <c r="M1064" s="6" t="n">
        <v>3.278168579886389</v>
      </c>
      <c r="N1064" s="6" t="n">
        <v>2.320713757060343</v>
      </c>
      <c r="O1064" s="6" t="n">
        <v>1.480581861840781</v>
      </c>
      <c r="P1064" s="6" t="n">
        <v>-1.915652792027934</v>
      </c>
      <c r="Q1064" s="6" t="n">
        <v>1.100483465777699</v>
      </c>
      <c r="R1064" s="6" t="n">
        <v>0.4276719671953208</v>
      </c>
      <c r="S1064" s="6" t="n">
        <v>0.9747449250744264</v>
      </c>
      <c r="T1064" s="6" t="n">
        <v>0.2159753043140217</v>
      </c>
      <c r="U1064" s="6" t="n">
        <v>-0.8179864180576387</v>
      </c>
      <c r="V1064" s="6" t="n">
        <v>3.285881686258017</v>
      </c>
      <c r="W1064" s="6" t="n">
        <v>0.7084263626348307</v>
      </c>
      <c r="X1064" s="6" t="n">
        <v>0.4208397469192622</v>
      </c>
      <c r="Y1064" s="6" t="n">
        <v>-0.105256389844158</v>
      </c>
      <c r="Z1064" s="6" t="n">
        <v>3.296943305177166</v>
      </c>
      <c r="AA1064" s="6" t="n">
        <v>3.64143585591552</v>
      </c>
      <c r="AB1064" s="6" t="n">
        <v>3.366079899677775</v>
      </c>
      <c r="AC1064" s="6" t="n">
        <v>-0.6560070151849597</v>
      </c>
      <c r="AD1064" s="6" t="n">
        <v>1.659235228374236</v>
      </c>
      <c r="AE1064" s="6" t="n">
        <v>0.2319173497042512</v>
      </c>
      <c r="AF1064" s="6" t="n">
        <v>-0.6827337851074126</v>
      </c>
      <c r="AG1064" s="6" t="n">
        <v>2.30540842832936</v>
      </c>
      <c r="AH1064" s="6" t="n">
        <v>-0.1619010789262629</v>
      </c>
      <c r="AI1064" s="6" t="n">
        <v>4.809800468810051</v>
      </c>
      <c r="AJ1064" s="6" t="n">
        <v>73.43775697083343</v>
      </c>
      <c r="AK1064" s="6" t="n">
        <v>0.08106948705144132</v>
      </c>
      <c r="AL1064" s="6" t="n">
        <v>1.058633346462905</v>
      </c>
      <c r="AN1064" s="6" t="n">
        <v>1.344576376678177</v>
      </c>
      <c r="AO1064" s="6" t="n">
        <v>1.344907274996612</v>
      </c>
      <c r="AP1064" s="6" t="n">
        <v>0.1327957097970628</v>
      </c>
      <c r="AQ1064" s="6" t="n">
        <v>0</v>
      </c>
      <c r="AR1064" s="6" t="n">
        <v>0</v>
      </c>
    </row>
    <row r="1065">
      <c r="D1065" t="inlineStr">
        <is>
          <t>Run 753</t>
        </is>
      </c>
      <c r="J1065" s="6" t="n">
        <v>0.6841059307888951</v>
      </c>
      <c r="K1065" s="6" t="n">
        <v>2.233133024622315</v>
      </c>
      <c r="L1065" s="6" t="n">
        <v>1.179635746357828</v>
      </c>
      <c r="M1065" s="6" t="n">
        <v>2.367392886505635</v>
      </c>
      <c r="N1065" s="6" t="n">
        <v>-0.9894441771768082</v>
      </c>
      <c r="O1065" s="6" t="n">
        <v>-1.175554929318387</v>
      </c>
      <c r="P1065" s="6" t="n">
        <v>3.292455776450886</v>
      </c>
      <c r="Q1065" s="6" t="n">
        <v>1.712825264737355</v>
      </c>
      <c r="R1065" s="6" t="n">
        <v>-1.701072814317918</v>
      </c>
      <c r="S1065" s="6" t="n">
        <v>0.9109106556005486</v>
      </c>
      <c r="T1065" s="6" t="n">
        <v>-2.082659787987672</v>
      </c>
      <c r="U1065" s="6" t="n">
        <v>2.29593237979285</v>
      </c>
      <c r="V1065" s="6" t="n">
        <v>-0.4780037804913019</v>
      </c>
      <c r="W1065" s="6" t="n">
        <v>0.8797833941834992</v>
      </c>
      <c r="X1065" s="6" t="n">
        <v>-0.2673801913533231</v>
      </c>
      <c r="Y1065" s="6" t="n">
        <v>1.738717505817121</v>
      </c>
      <c r="Z1065" s="6" t="n">
        <v>-1.263437511507335</v>
      </c>
      <c r="AA1065" s="6" t="n">
        <v>1.254903910468664</v>
      </c>
      <c r="AB1065" s="6" t="n">
        <v>-2.128978111976751</v>
      </c>
      <c r="AC1065" s="6" t="n">
        <v>1.226503806036992</v>
      </c>
      <c r="AD1065" s="6" t="n">
        <v>-0.06074624715332005</v>
      </c>
      <c r="AE1065" s="6" t="n">
        <v>-3.310258744654909</v>
      </c>
      <c r="AF1065" s="6" t="n">
        <v>-1.962979847308448</v>
      </c>
      <c r="AG1065" s="6" t="n">
        <v>-0.3005057118794416</v>
      </c>
      <c r="AH1065" s="6" t="n">
        <v>-0.1111014876412145</v>
      </c>
      <c r="AI1065" s="6" t="n">
        <v>-0.2827024171447861</v>
      </c>
      <c r="AJ1065" s="6" t="n">
        <v>64.47316704476383</v>
      </c>
      <c r="AK1065" s="6" t="n">
        <v>0.1191749878690953</v>
      </c>
      <c r="AL1065" s="6" t="n">
        <v>1.052548324463239</v>
      </c>
      <c r="AN1065" s="6" t="n">
        <v>1.340889628178317</v>
      </c>
      <c r="AO1065" s="6" t="n">
        <v>1.341263632816969</v>
      </c>
      <c r="AP1065" s="6" t="n">
        <v>0.131723316836396</v>
      </c>
      <c r="AQ1065" s="6" t="n">
        <v>0</v>
      </c>
      <c r="AR1065" s="6" t="n">
        <v>0</v>
      </c>
    </row>
    <row r="1066">
      <c r="D1066" t="inlineStr">
        <is>
          <t>Run 754</t>
        </is>
      </c>
      <c r="J1066" s="6" t="n">
        <v>-0.4845823796832668</v>
      </c>
      <c r="K1066" s="6" t="n">
        <v>3.367827397813894</v>
      </c>
      <c r="L1066" s="6" t="n">
        <v>0.6058456527004631</v>
      </c>
      <c r="M1066" s="6" t="n">
        <v>-3.786532963581151</v>
      </c>
      <c r="N1066" s="6" t="n">
        <v>-0.5504806227600314</v>
      </c>
      <c r="O1066" s="6" t="n">
        <v>3.152542541503694</v>
      </c>
      <c r="P1066" s="6" t="n">
        <v>0.2681617821781364</v>
      </c>
      <c r="Q1066" s="6" t="n">
        <v>-2.797643169261112</v>
      </c>
      <c r="R1066" s="6" t="n">
        <v>0.3354220508479174</v>
      </c>
      <c r="S1066" s="6" t="n">
        <v>-0.05552872352080163</v>
      </c>
      <c r="T1066" s="6" t="n">
        <v>-2.445228694620938</v>
      </c>
      <c r="U1066" s="6" t="n">
        <v>1.157649076721648</v>
      </c>
      <c r="V1066" s="6" t="n">
        <v>-0.1509405449541127</v>
      </c>
      <c r="W1066" s="6" t="n">
        <v>0.05008229485347441</v>
      </c>
      <c r="X1066" s="6" t="n">
        <v>1.006906210562101</v>
      </c>
      <c r="Y1066" s="6" t="n">
        <v>-2.350046469302391</v>
      </c>
      <c r="Z1066" s="6" t="n">
        <v>-1.706863536051105</v>
      </c>
      <c r="AA1066" s="6" t="n">
        <v>1.523586618018288</v>
      </c>
      <c r="AB1066" s="6" t="n">
        <v>1.339450845969294</v>
      </c>
      <c r="AC1066" s="6" t="n">
        <v>-0.2091927563827581</v>
      </c>
      <c r="AD1066" s="6" t="n">
        <v>-6.672221265826618</v>
      </c>
      <c r="AE1066" s="6" t="n">
        <v>-3.355757297561381</v>
      </c>
      <c r="AF1066" s="6" t="n">
        <v>1.667950108276524</v>
      </c>
      <c r="AG1066" s="6" t="n">
        <v>0.2783256929931561</v>
      </c>
      <c r="AH1066" s="6" t="n">
        <v>1.305957782272974</v>
      </c>
      <c r="AI1066" s="6" t="n">
        <v>2.142758462030392</v>
      </c>
      <c r="AJ1066" s="6" t="n">
        <v>66.50751716832085</v>
      </c>
      <c r="AK1066" s="6" t="n">
        <v>0.142582879553798</v>
      </c>
      <c r="AL1066" s="6" t="n">
        <v>1.03849246210676</v>
      </c>
      <c r="AN1066" s="6" t="n">
        <v>1.305495167405938</v>
      </c>
      <c r="AO1066" s="6" t="n">
        <v>1.314425502111885</v>
      </c>
      <c r="AP1066" s="6" t="n">
        <v>0.1315692583474614</v>
      </c>
      <c r="AQ1066" s="6" t="n">
        <v>0</v>
      </c>
      <c r="AR1066" s="6" t="n">
        <v>0</v>
      </c>
    </row>
    <row r="1067">
      <c r="D1067" t="inlineStr">
        <is>
          <t>Run 755</t>
        </is>
      </c>
      <c r="J1067" s="6" t="n">
        <v>0.4597890942349415</v>
      </c>
      <c r="K1067" s="6" t="n">
        <v>3.86629368326421</v>
      </c>
      <c r="L1067" s="6" t="n">
        <v>-1.349619173594952</v>
      </c>
      <c r="M1067" s="6" t="n">
        <v>-1.000589787109667</v>
      </c>
      <c r="N1067" s="6" t="n">
        <v>2.746014193144425</v>
      </c>
      <c r="O1067" s="6" t="n">
        <v>3.089862440038845</v>
      </c>
      <c r="P1067" s="6" t="n">
        <v>-4.869969501754849</v>
      </c>
      <c r="Q1067" s="6" t="n">
        <v>-1.012886119789301</v>
      </c>
      <c r="R1067" s="6" t="n">
        <v>-1.827042944012092</v>
      </c>
      <c r="S1067" s="6" t="n">
        <v>0.6987391028544677</v>
      </c>
      <c r="T1067" s="6" t="n">
        <v>-1.173955638078509</v>
      </c>
      <c r="U1067" s="6" t="n">
        <v>-0.386321385472819</v>
      </c>
      <c r="V1067" s="6" t="n">
        <v>2.32910927324967</v>
      </c>
      <c r="W1067" s="6" t="n">
        <v>-0.2775364695124485</v>
      </c>
      <c r="X1067" s="6" t="n">
        <v>-1.222043625171171</v>
      </c>
      <c r="Y1067" s="6" t="n">
        <v>-1.183527542389801</v>
      </c>
      <c r="Z1067" s="6" t="n">
        <v>1.738770011613832</v>
      </c>
      <c r="AA1067" s="6" t="n">
        <v>1.249448034100451</v>
      </c>
      <c r="AB1067" s="6" t="n">
        <v>2.339762434227385</v>
      </c>
      <c r="AC1067" s="6" t="n">
        <v>3.139832180940796</v>
      </c>
      <c r="AD1067" s="6" t="n">
        <v>-0.6687453889689274</v>
      </c>
      <c r="AE1067" s="6" t="n">
        <v>1.147970646054696</v>
      </c>
      <c r="AF1067" s="6" t="n">
        <v>-1.666479370809024</v>
      </c>
      <c r="AG1067" s="6" t="n">
        <v>-1.943148060071022</v>
      </c>
      <c r="AH1067" s="6" t="n">
        <v>1.48765746405427</v>
      </c>
      <c r="AI1067" s="6" t="n">
        <v>-2.362412737589075</v>
      </c>
      <c r="AJ1067" s="6" t="n">
        <v>75.80711470418559</v>
      </c>
      <c r="AK1067" s="6" t="n">
        <v>0.1474312515550233</v>
      </c>
      <c r="AL1067" s="6" t="n">
        <v>1.062885920115189</v>
      </c>
      <c r="AN1067" s="6" t="n">
        <v>1.34009705369474</v>
      </c>
      <c r="AO1067" s="6" t="n">
        <v>1.34039289010628</v>
      </c>
      <c r="AP1067" s="6" t="n">
        <v>0.1306109979973714</v>
      </c>
      <c r="AQ1067" s="6" t="n">
        <v>0</v>
      </c>
      <c r="AR1067" s="6" t="n">
        <v>0</v>
      </c>
    </row>
    <row r="1068">
      <c r="D1068" t="inlineStr">
        <is>
          <t>Run 756</t>
        </is>
      </c>
      <c r="J1068" s="6" t="n">
        <v>2.26835641747742</v>
      </c>
      <c r="K1068" s="6" t="n">
        <v>-0.7431959720991341</v>
      </c>
      <c r="L1068" s="6" t="n">
        <v>2.155934220791154</v>
      </c>
      <c r="M1068" s="6" t="n">
        <v>0.817004618661059</v>
      </c>
      <c r="N1068" s="6" t="n">
        <v>0.5730681102526544</v>
      </c>
      <c r="O1068" s="6" t="n">
        <v>1.096390400812396</v>
      </c>
      <c r="P1068" s="6" t="n">
        <v>0.5733021278077758</v>
      </c>
      <c r="Q1068" s="6" t="n">
        <v>-1.876901778485845</v>
      </c>
      <c r="R1068" s="6" t="n">
        <v>-0.8364007049225258</v>
      </c>
      <c r="S1068" s="6" t="n">
        <v>-2.703323097656971</v>
      </c>
      <c r="T1068" s="6" t="n">
        <v>0.3288043193486176</v>
      </c>
      <c r="U1068" s="6" t="n">
        <v>1.644153967303393</v>
      </c>
      <c r="V1068" s="6" t="n">
        <v>1.622931029609221</v>
      </c>
      <c r="W1068" s="6" t="n">
        <v>0.01081000793770452</v>
      </c>
      <c r="X1068" s="6" t="n">
        <v>-0.6641742450745475</v>
      </c>
      <c r="Y1068" s="6" t="n">
        <v>1.993852054429326</v>
      </c>
      <c r="Z1068" s="6" t="n">
        <v>-1.447879686041481</v>
      </c>
      <c r="AA1068" s="6" t="n">
        <v>0.3446839498972228</v>
      </c>
      <c r="AB1068" s="6" t="n">
        <v>-1.116062149384274</v>
      </c>
      <c r="AC1068" s="6" t="n">
        <v>-1.518306381684114</v>
      </c>
      <c r="AD1068" s="6" t="n">
        <v>2.885839569559695</v>
      </c>
      <c r="AE1068" s="6" t="n">
        <v>-2.12116224224815</v>
      </c>
      <c r="AF1068" s="6" t="n">
        <v>-0.6492487440330316</v>
      </c>
      <c r="AG1068" s="6" t="n">
        <v>1.005682596937905</v>
      </c>
      <c r="AH1068" s="6" t="n">
        <v>-4.383464136812155</v>
      </c>
      <c r="AI1068" s="6" t="n">
        <v>3.235137427776489</v>
      </c>
      <c r="AJ1068" s="6" t="n">
        <v>69.21132171107132</v>
      </c>
      <c r="AK1068" s="6" t="n">
        <v>0.1190782325737127</v>
      </c>
      <c r="AL1068" s="6" t="n">
        <v>1.059949321275711</v>
      </c>
      <c r="AN1068" s="6" t="n">
        <v>1.341422142435122</v>
      </c>
      <c r="AO1068" s="6" t="n">
        <v>1.341470479489446</v>
      </c>
      <c r="AP1068" s="6" t="n">
        <v>0.131274691054929</v>
      </c>
      <c r="AQ1068" s="6" t="n">
        <v>0</v>
      </c>
      <c r="AR1068" s="6" t="n">
        <v>0</v>
      </c>
    </row>
    <row r="1069">
      <c r="D1069" t="inlineStr">
        <is>
          <t>Run 757</t>
        </is>
      </c>
      <c r="J1069" s="6" t="n">
        <v>3.752957671073056</v>
      </c>
      <c r="K1069" s="6" t="n">
        <v>1.439314768025824</v>
      </c>
      <c r="L1069" s="6" t="n">
        <v>-1.530209920400358</v>
      </c>
      <c r="M1069" s="6" t="n">
        <v>-2.270301678795813</v>
      </c>
      <c r="N1069" s="6" t="n">
        <v>-1.803697435426343</v>
      </c>
      <c r="O1069" s="6" t="n">
        <v>-0.9786483121038647</v>
      </c>
      <c r="P1069" s="6" t="n">
        <v>1.865784489415179</v>
      </c>
      <c r="Q1069" s="6" t="n">
        <v>-2.904048873411349</v>
      </c>
      <c r="R1069" s="6" t="n">
        <v>5</v>
      </c>
      <c r="S1069" s="6" t="n">
        <v>-2.363114525267108</v>
      </c>
      <c r="T1069" s="6" t="n">
        <v>-2.079319532144291</v>
      </c>
      <c r="U1069" s="6" t="n">
        <v>1.81391997379272</v>
      </c>
      <c r="V1069" s="6" t="n">
        <v>-4.087779293227422</v>
      </c>
      <c r="W1069" s="6" t="n">
        <v>-5.290142872045836</v>
      </c>
      <c r="X1069" s="6" t="n">
        <v>2.271679573542711</v>
      </c>
      <c r="Y1069" s="6" t="n">
        <v>0.4686202839129697</v>
      </c>
      <c r="Z1069" s="6" t="n">
        <v>-0.221048341791006</v>
      </c>
      <c r="AA1069" s="6" t="n">
        <v>0.4826962526422787</v>
      </c>
      <c r="AB1069" s="6" t="n">
        <v>3.298606406745448</v>
      </c>
      <c r="AC1069" s="6" t="n">
        <v>-1.467302967461984</v>
      </c>
      <c r="AD1069" s="6" t="n">
        <v>1.767957158013239</v>
      </c>
      <c r="AE1069" s="6" t="n">
        <v>-0.7575106917223554</v>
      </c>
      <c r="AF1069" s="6" t="n">
        <v>-0.3103231424095847</v>
      </c>
      <c r="AG1069" s="6" t="n">
        <v>0.07416279627932869</v>
      </c>
      <c r="AH1069" s="6" t="n">
        <v>-1.031334003822914</v>
      </c>
      <c r="AI1069" s="6" t="n">
        <v>3.431439079694057</v>
      </c>
      <c r="AJ1069" s="6" t="n">
        <v>63.96874844022337</v>
      </c>
      <c r="AK1069" s="6" t="n">
        <v>0.1429670800635729</v>
      </c>
      <c r="AL1069" s="6" t="n">
        <v>1.003016594732024</v>
      </c>
      <c r="AN1069" s="6" t="n">
        <v>1.338187486573169</v>
      </c>
      <c r="AO1069" s="6" t="n">
        <v>1.344157513832244</v>
      </c>
      <c r="AP1069" s="6" t="n">
        <v>0.1363052289792216</v>
      </c>
      <c r="AQ1069" s="6" t="n">
        <v>0</v>
      </c>
      <c r="AR1069" s="6" t="n">
        <v>0</v>
      </c>
    </row>
    <row r="1070">
      <c r="D1070" t="inlineStr">
        <is>
          <t>Run 758</t>
        </is>
      </c>
      <c r="J1070" s="6" t="n">
        <v>0.4445465724501489</v>
      </c>
      <c r="K1070" s="6" t="n">
        <v>0.9959138899949733</v>
      </c>
      <c r="L1070" s="6" t="n">
        <v>1.389699134692628</v>
      </c>
      <c r="M1070" s="6" t="n">
        <v>1.713845556412518</v>
      </c>
      <c r="N1070" s="6" t="n">
        <v>-0.2381599618932201</v>
      </c>
      <c r="O1070" s="6" t="n">
        <v>-1.702526194351489</v>
      </c>
      <c r="P1070" s="6" t="n">
        <v>0.4797750632750972</v>
      </c>
      <c r="Q1070" s="6" t="n">
        <v>0.6350781902403856</v>
      </c>
      <c r="R1070" s="6" t="n">
        <v>2.335740703041935</v>
      </c>
      <c r="S1070" s="6" t="n">
        <v>-2.388295602814465</v>
      </c>
      <c r="T1070" s="6" t="n">
        <v>2.724813555453826</v>
      </c>
      <c r="U1070" s="6" t="n">
        <v>3.045580256934213</v>
      </c>
      <c r="V1070" s="6" t="n">
        <v>-1.112235671921098</v>
      </c>
      <c r="W1070" s="6" t="n">
        <v>0.2914027000661231</v>
      </c>
      <c r="X1070" s="6" t="n">
        <v>-2.110794753006644</v>
      </c>
      <c r="Y1070" s="6" t="n">
        <v>1.722632041283431</v>
      </c>
      <c r="Z1070" s="6" t="n">
        <v>-2.922804627015577</v>
      </c>
      <c r="AA1070" s="6" t="n">
        <v>0.4925784629360905</v>
      </c>
      <c r="AB1070" s="6" t="n">
        <v>-1.292864761803437</v>
      </c>
      <c r="AC1070" s="6" t="n">
        <v>-2.45132444196397</v>
      </c>
      <c r="AD1070" s="6" t="n">
        <v>-1.523593637716858</v>
      </c>
      <c r="AE1070" s="6" t="n">
        <v>0.9228636172031373</v>
      </c>
      <c r="AF1070" s="6" t="n">
        <v>-2.182431856768503</v>
      </c>
      <c r="AG1070" s="6" t="n">
        <v>1.980830392000772</v>
      </c>
      <c r="AH1070" s="6" t="n">
        <v>2.531657735152091</v>
      </c>
      <c r="AI1070" s="6" t="n">
        <v>2.056058172928464</v>
      </c>
      <c r="AJ1070" s="6" t="n">
        <v>74.11738512532636</v>
      </c>
      <c r="AK1070" s="6" t="n">
        <v>0.1082921380297067</v>
      </c>
      <c r="AL1070" s="6" t="n">
        <v>1.019167757881658</v>
      </c>
      <c r="AN1070" s="6" t="n">
        <v>1.353372170223093</v>
      </c>
      <c r="AO1070" s="6" t="n">
        <v>1.353372170223093</v>
      </c>
      <c r="AP1070" s="6" t="n">
        <v>0.1363047603273731</v>
      </c>
      <c r="AQ1070" s="6" t="n">
        <v>0</v>
      </c>
      <c r="AR1070" s="6" t="n">
        <v>0</v>
      </c>
    </row>
    <row r="1071">
      <c r="D1071" t="inlineStr">
        <is>
          <t>Run 759</t>
        </is>
      </c>
      <c r="J1071" s="6" t="n">
        <v>0.5730328229916836</v>
      </c>
      <c r="K1071" s="6" t="n">
        <v>3.597852122483983</v>
      </c>
      <c r="L1071" s="6" t="n">
        <v>1.505587218570595</v>
      </c>
      <c r="M1071" s="6" t="n">
        <v>1.745538863028944</v>
      </c>
      <c r="N1071" s="6" t="n">
        <v>-1.190767995170151</v>
      </c>
      <c r="O1071" s="6" t="n">
        <v>1.980773097674812</v>
      </c>
      <c r="P1071" s="6" t="n">
        <v>2.588762540013051</v>
      </c>
      <c r="Q1071" s="6" t="n">
        <v>0.3001460389492839</v>
      </c>
      <c r="R1071" s="6" t="n">
        <v>-1.610743359173682</v>
      </c>
      <c r="S1071" s="6" t="n">
        <v>-1.235918560102217</v>
      </c>
      <c r="T1071" s="6" t="n">
        <v>0.94627286307889</v>
      </c>
      <c r="U1071" s="6" t="n">
        <v>2.220409482257843</v>
      </c>
      <c r="V1071" s="6" t="n">
        <v>-1.690879201952126</v>
      </c>
      <c r="W1071" s="6" t="n">
        <v>3.403431651775817</v>
      </c>
      <c r="X1071" s="6" t="n">
        <v>-1.644862275206269</v>
      </c>
      <c r="Y1071" s="6" t="n">
        <v>1.491686642379208</v>
      </c>
      <c r="Z1071" s="6" t="n">
        <v>3.01073828690815</v>
      </c>
      <c r="AA1071" s="6" t="n">
        <v>-2.982704083353709</v>
      </c>
      <c r="AB1071" s="6" t="n">
        <v>0.2565305036850329</v>
      </c>
      <c r="AC1071" s="6" t="n">
        <v>3.01871548101742</v>
      </c>
      <c r="AD1071" s="6" t="n">
        <v>1.853549119409893</v>
      </c>
      <c r="AE1071" s="6" t="n">
        <v>0.9065223368722748</v>
      </c>
      <c r="AF1071" s="6" t="n">
        <v>1.151029743768463</v>
      </c>
      <c r="AG1071" s="6" t="n">
        <v>1.734428702578718</v>
      </c>
      <c r="AH1071" s="6" t="n">
        <v>0.02821562455818358</v>
      </c>
      <c r="AI1071" s="6" t="n">
        <v>-3.418660754539029</v>
      </c>
      <c r="AJ1071" s="6" t="n">
        <v>78.93136561130129</v>
      </c>
      <c r="AK1071" s="6" t="n">
        <v>0.1682636497474032</v>
      </c>
      <c r="AL1071" s="6" t="n">
        <v>1.029164034649149</v>
      </c>
      <c r="AN1071" s="6" t="n">
        <v>1.353003406299691</v>
      </c>
      <c r="AO1071" s="6" t="n">
        <v>1.353389810080986</v>
      </c>
      <c r="AP1071" s="6" t="n">
        <v>0.1339768657580514</v>
      </c>
      <c r="AQ1071" s="6" t="n">
        <v>0</v>
      </c>
      <c r="AR1071" s="6" t="n">
        <v>0</v>
      </c>
    </row>
    <row r="1072">
      <c r="D1072" t="inlineStr">
        <is>
          <t>Run 760</t>
        </is>
      </c>
      <c r="J1072" s="6" t="n">
        <v>2.545121306173495</v>
      </c>
      <c r="K1072" s="6" t="n">
        <v>-3.584709053051981</v>
      </c>
      <c r="L1072" s="6" t="n">
        <v>2.3807960469771</v>
      </c>
      <c r="M1072" s="6" t="n">
        <v>2.649910039477748</v>
      </c>
      <c r="N1072" s="6" t="n">
        <v>-2.150206398574379</v>
      </c>
      <c r="O1072" s="6" t="n">
        <v>-0.1332043460761966</v>
      </c>
      <c r="P1072" s="6" t="n">
        <v>0.960160472467621</v>
      </c>
      <c r="Q1072" s="6" t="n">
        <v>-1.820385356293887</v>
      </c>
      <c r="R1072" s="6" t="n">
        <v>2.10821559473795</v>
      </c>
      <c r="S1072" s="6" t="n">
        <v>-5.693500585680853</v>
      </c>
      <c r="T1072" s="6" t="n">
        <v>-0.5185197373016522</v>
      </c>
      <c r="U1072" s="6" t="n">
        <v>-0.6323011514489635</v>
      </c>
      <c r="V1072" s="6" t="n">
        <v>-1.437618229051703</v>
      </c>
      <c r="W1072" s="6" t="n">
        <v>0.5007505709776746</v>
      </c>
      <c r="X1072" s="6" t="n">
        <v>-5.935986627452283</v>
      </c>
      <c r="Y1072" s="6" t="n">
        <v>0.8719403474030633</v>
      </c>
      <c r="Z1072" s="6" t="n">
        <v>-0.1910438363331154</v>
      </c>
      <c r="AA1072" s="6" t="n">
        <v>3.667975961492976</v>
      </c>
      <c r="AB1072" s="6" t="n">
        <v>2.392470079438166</v>
      </c>
      <c r="AC1072" s="6" t="n">
        <v>1.125228983505802</v>
      </c>
      <c r="AD1072" s="6" t="n">
        <v>-2.062759304201264</v>
      </c>
      <c r="AE1072" s="6" t="n">
        <v>-1.260223519047704</v>
      </c>
      <c r="AF1072" s="6" t="n">
        <v>-2.213887012774019</v>
      </c>
      <c r="AG1072" s="6" t="n">
        <v>1.15826075533368</v>
      </c>
      <c r="AH1072" s="6" t="n">
        <v>0.5392686986414581</v>
      </c>
      <c r="AI1072" s="6" t="n">
        <v>-2.125775995484411</v>
      </c>
      <c r="AJ1072" s="6" t="n">
        <v>80.82158897342538</v>
      </c>
      <c r="AK1072" s="6" t="n">
        <v>0.03279520954078223</v>
      </c>
      <c r="AL1072" s="6" t="n">
        <v>1.089373925711768</v>
      </c>
      <c r="AN1072" s="6" t="n">
        <v>1.342477850836403</v>
      </c>
      <c r="AO1072" s="6" t="n">
        <v>1.344227103851499</v>
      </c>
      <c r="AP1072" s="6" t="n">
        <v>0.1320972177331829</v>
      </c>
      <c r="AQ1072" s="6" t="n">
        <v>0</v>
      </c>
      <c r="AR1072" s="6" t="n">
        <v>0</v>
      </c>
    </row>
    <row r="1073">
      <c r="D1073" t="inlineStr">
        <is>
          <t>Run 761</t>
        </is>
      </c>
      <c r="J1073" s="6" t="n">
        <v>2.016610118482626</v>
      </c>
      <c r="K1073" s="6" t="n">
        <v>3.137638595654982</v>
      </c>
      <c r="L1073" s="6" t="n">
        <v>-1.038874088580443</v>
      </c>
      <c r="M1073" s="6" t="n">
        <v>-0.05099275124222222</v>
      </c>
      <c r="N1073" s="6" t="n">
        <v>0.2136922463986573</v>
      </c>
      <c r="O1073" s="6" t="n">
        <v>2.299345573075259</v>
      </c>
      <c r="P1073" s="6" t="n">
        <v>-2.253727740982419</v>
      </c>
      <c r="Q1073" s="6" t="n">
        <v>2.854533475230646</v>
      </c>
      <c r="R1073" s="6" t="n">
        <v>-1.261866948958139</v>
      </c>
      <c r="S1073" s="6" t="n">
        <v>-2.327816926419493</v>
      </c>
      <c r="T1073" s="6" t="n">
        <v>2.95828514605053</v>
      </c>
      <c r="U1073" s="6" t="n">
        <v>0.9105121326991582</v>
      </c>
      <c r="V1073" s="6" t="n">
        <v>-1.142938979178979</v>
      </c>
      <c r="W1073" s="6" t="n">
        <v>-1.602749482712376</v>
      </c>
      <c r="X1073" s="6" t="n">
        <v>2.044937391538838</v>
      </c>
      <c r="Y1073" s="6" t="n">
        <v>3.313137846506273</v>
      </c>
      <c r="Z1073" s="6" t="n">
        <v>-1.162954891310793</v>
      </c>
      <c r="AA1073" s="6" t="n">
        <v>-3.117111277542316</v>
      </c>
      <c r="AB1073" s="6" t="n">
        <v>-1.347869510366238</v>
      </c>
      <c r="AC1073" s="6" t="n">
        <v>2.613609106776038</v>
      </c>
      <c r="AD1073" s="6" t="n">
        <v>-3.41872801774412</v>
      </c>
      <c r="AE1073" s="6" t="n">
        <v>-1.177568931674738</v>
      </c>
      <c r="AF1073" s="6" t="n">
        <v>1.518692039791923</v>
      </c>
      <c r="AG1073" s="6" t="n">
        <v>-2.967988795086993</v>
      </c>
      <c r="AH1073" s="6" t="n">
        <v>-4.358792448702351</v>
      </c>
      <c r="AI1073" s="6" t="n">
        <v>2.314456443866847</v>
      </c>
      <c r="AJ1073" s="6" t="n">
        <v>71.78833785684907</v>
      </c>
      <c r="AK1073" s="6" t="n">
        <v>0.01745669466466429</v>
      </c>
      <c r="AL1073" s="6" t="n">
        <v>1.040040716708958</v>
      </c>
      <c r="AN1073" s="6" t="n">
        <v>1.349674876708662</v>
      </c>
      <c r="AO1073" s="6" t="n">
        <v>1.349674876708662</v>
      </c>
      <c r="AP1073" s="6" t="n">
        <v>0.1357685888893242</v>
      </c>
      <c r="AQ1073" s="6" t="n">
        <v>0</v>
      </c>
      <c r="AR1073" s="6" t="n">
        <v>0</v>
      </c>
    </row>
    <row r="1074">
      <c r="D1074" t="inlineStr">
        <is>
          <t>Run 762</t>
        </is>
      </c>
      <c r="J1074" s="6" t="n">
        <v>-1.225991051016372</v>
      </c>
      <c r="K1074" s="6" t="n">
        <v>-2.433851231427328</v>
      </c>
      <c r="L1074" s="6" t="n">
        <v>0.2438287131849512</v>
      </c>
      <c r="M1074" s="6" t="n">
        <v>-0.03895389930213899</v>
      </c>
      <c r="N1074" s="6" t="n">
        <v>0.7361778545080813</v>
      </c>
      <c r="O1074" s="6" t="n">
        <v>3.876229509744825</v>
      </c>
      <c r="P1074" s="6" t="n">
        <v>2.520401712076463</v>
      </c>
      <c r="Q1074" s="6" t="n">
        <v>-2.989925491192637</v>
      </c>
      <c r="R1074" s="6" t="n">
        <v>4.769897875816572</v>
      </c>
      <c r="S1074" s="6" t="n">
        <v>1.055265356313705</v>
      </c>
      <c r="T1074" s="6" t="n">
        <v>-0.4371407973243595</v>
      </c>
      <c r="U1074" s="6" t="n">
        <v>-0.2407199918245977</v>
      </c>
      <c r="V1074" s="6" t="n">
        <v>-1.490287524400091</v>
      </c>
      <c r="W1074" s="6" t="n">
        <v>-0.2855889881915593</v>
      </c>
      <c r="X1074" s="6" t="n">
        <v>-1.592471785092209</v>
      </c>
      <c r="Y1074" s="6" t="n">
        <v>-2.492766966766954</v>
      </c>
      <c r="Z1074" s="6" t="n">
        <v>4.986626718559465</v>
      </c>
      <c r="AA1074" s="6" t="n">
        <v>-0.1437515884730278</v>
      </c>
      <c r="AB1074" s="6" t="n">
        <v>2.180480793294619</v>
      </c>
      <c r="AC1074" s="6" t="n">
        <v>-1.397210023329426</v>
      </c>
      <c r="AD1074" s="6" t="n">
        <v>-0.953814663989797</v>
      </c>
      <c r="AE1074" s="6" t="n">
        <v>-1.274032602031278</v>
      </c>
      <c r="AF1074" s="6" t="n">
        <v>3.092403468438705</v>
      </c>
      <c r="AG1074" s="6" t="n">
        <v>2.652168904486992</v>
      </c>
      <c r="AH1074" s="6" t="n">
        <v>-1.155882218307874</v>
      </c>
      <c r="AI1074" s="6" t="n">
        <v>1.047300524958161</v>
      </c>
      <c r="AJ1074" s="6" t="n">
        <v>81.14689197604078</v>
      </c>
      <c r="AK1074" s="6" t="n">
        <v>0.0801539598797532</v>
      </c>
      <c r="AL1074" s="6" t="n">
        <v>1.012645122126954</v>
      </c>
      <c r="AN1074" s="6" t="n">
        <v>1.360551950811415</v>
      </c>
      <c r="AO1074" s="6" t="n">
        <v>1.360551950811415</v>
      </c>
      <c r="AP1074" s="6" t="n">
        <v>0.1386338790569044</v>
      </c>
      <c r="AQ1074" s="6" t="n">
        <v>0</v>
      </c>
      <c r="AR1074" s="6" t="n">
        <v>0</v>
      </c>
    </row>
    <row r="1075">
      <c r="D1075" t="inlineStr">
        <is>
          <t>Run 763</t>
        </is>
      </c>
      <c r="J1075" s="6" t="n">
        <v>-0.3433978102433089</v>
      </c>
      <c r="K1075" s="6" t="n">
        <v>-1.944815786922573</v>
      </c>
      <c r="L1075" s="6" t="n">
        <v>0.3680710147735124</v>
      </c>
      <c r="M1075" s="6" t="n">
        <v>1.245576439084505</v>
      </c>
      <c r="N1075" s="6" t="n">
        <v>3.399658573232504</v>
      </c>
      <c r="O1075" s="6" t="n">
        <v>1.34939167392101</v>
      </c>
      <c r="P1075" s="6" t="n">
        <v>-2.272329359444138</v>
      </c>
      <c r="Q1075" s="6" t="n">
        <v>1.78853294712188</v>
      </c>
      <c r="R1075" s="6" t="n">
        <v>1.336087903894451</v>
      </c>
      <c r="S1075" s="6" t="n">
        <v>2.459404689781883</v>
      </c>
      <c r="T1075" s="6" t="n">
        <v>-1.55131411990881</v>
      </c>
      <c r="U1075" s="6" t="n">
        <v>-1.494421888474567</v>
      </c>
      <c r="V1075" s="6" t="n">
        <v>1.375008234093406</v>
      </c>
      <c r="W1075" s="6" t="n">
        <v>1.124488332336774</v>
      </c>
      <c r="X1075" s="6" t="n">
        <v>0.1047311758357294</v>
      </c>
      <c r="Y1075" s="6" t="n">
        <v>0.1987194027322915</v>
      </c>
      <c r="Z1075" s="6" t="n">
        <v>-2.348487312325796</v>
      </c>
      <c r="AA1075" s="6" t="n">
        <v>3.990278160562482</v>
      </c>
      <c r="AB1075" s="6" t="n">
        <v>0.3017451454624448</v>
      </c>
      <c r="AC1075" s="6" t="n">
        <v>-2.896327780560192</v>
      </c>
      <c r="AD1075" s="6" t="n">
        <v>-0.2329117841686684</v>
      </c>
      <c r="AE1075" s="6" t="n">
        <v>-0.2870274966659678</v>
      </c>
      <c r="AF1075" s="6" t="n">
        <v>2.850401424903531</v>
      </c>
      <c r="AG1075" s="6" t="n">
        <v>-0.5638054192368582</v>
      </c>
      <c r="AH1075" s="6" t="n">
        <v>4.410149471429978</v>
      </c>
      <c r="AI1075" s="6" t="n">
        <v>1.337471050393678</v>
      </c>
      <c r="AJ1075" s="6" t="n">
        <v>80.40587338893897</v>
      </c>
      <c r="AK1075" s="6" t="n">
        <v>0.17837947796349</v>
      </c>
      <c r="AL1075" s="6" t="n">
        <v>1.056076330668988</v>
      </c>
      <c r="AN1075" s="6" t="n">
        <v>1.34114789593502</v>
      </c>
      <c r="AO1075" s="6" t="n">
        <v>1.341215599115252</v>
      </c>
      <c r="AP1075" s="6" t="n">
        <v>0.130997645458517</v>
      </c>
      <c r="AQ1075" s="6" t="n">
        <v>0</v>
      </c>
      <c r="AR1075" s="6" t="n">
        <v>0</v>
      </c>
    </row>
    <row r="1076">
      <c r="D1076" t="inlineStr">
        <is>
          <t>Run 764</t>
        </is>
      </c>
      <c r="J1076" s="6" t="n">
        <v>-0.9652966269143628</v>
      </c>
      <c r="K1076" s="6" t="n">
        <v>1.971353873761738</v>
      </c>
      <c r="L1076" s="6" t="n">
        <v>-0.02086535659855784</v>
      </c>
      <c r="M1076" s="6" t="n">
        <v>1.749168780958351</v>
      </c>
      <c r="N1076" s="6" t="n">
        <v>-0.2315427958032379</v>
      </c>
      <c r="O1076" s="6" t="n">
        <v>0.7253986467142414</v>
      </c>
      <c r="P1076" s="6" t="n">
        <v>-4.215159944096018</v>
      </c>
      <c r="Q1076" s="6" t="n">
        <v>-2.898263613697547</v>
      </c>
      <c r="R1076" s="6" t="n">
        <v>0.04491974996614891</v>
      </c>
      <c r="S1076" s="6" t="n">
        <v>2.759599766022645</v>
      </c>
      <c r="T1076" s="6" t="n">
        <v>0.2056058402482583</v>
      </c>
      <c r="U1076" s="6" t="n">
        <v>1.776485812664458</v>
      </c>
      <c r="V1076" s="6" t="n">
        <v>0.8989071002155007</v>
      </c>
      <c r="W1076" s="6" t="n">
        <v>3.192726553046951</v>
      </c>
      <c r="X1076" s="6" t="n">
        <v>2.023588288117682</v>
      </c>
      <c r="Y1076" s="6" t="n">
        <v>0.02093149899532559</v>
      </c>
      <c r="Z1076" s="6" t="n">
        <v>1.669988442614536</v>
      </c>
      <c r="AA1076" s="6" t="n">
        <v>2.216951760940977</v>
      </c>
      <c r="AB1076" s="6" t="n">
        <v>-1.373158849607105</v>
      </c>
      <c r="AC1076" s="6" t="n">
        <v>0.4003507278041926</v>
      </c>
      <c r="AD1076" s="6" t="n">
        <v>-1.011510730443889</v>
      </c>
      <c r="AE1076" s="6" t="n">
        <v>-2.806246551614056</v>
      </c>
      <c r="AF1076" s="6" t="n">
        <v>-4.816944653884199</v>
      </c>
      <c r="AG1076" s="6" t="n">
        <v>1.03563489915038</v>
      </c>
      <c r="AH1076" s="6" t="n">
        <v>-0.165465939001736</v>
      </c>
      <c r="AI1076" s="6" t="n">
        <v>-0.4426787887949809</v>
      </c>
      <c r="AJ1076" s="6" t="n">
        <v>76.98983362696558</v>
      </c>
      <c r="AK1076" s="6" t="n">
        <v>0.04134792865405801</v>
      </c>
      <c r="AL1076" s="6" t="n">
        <v>1.018271124617741</v>
      </c>
      <c r="AN1076" s="6" t="n">
        <v>1.357310932055866</v>
      </c>
      <c r="AO1076" s="6" t="n">
        <v>1.357310932055866</v>
      </c>
      <c r="AP1076" s="6" t="n">
        <v>0.1378636472764425</v>
      </c>
      <c r="AQ1076" s="6" t="n">
        <v>0</v>
      </c>
      <c r="AR1076" s="6" t="n">
        <v>0</v>
      </c>
    </row>
    <row r="1077">
      <c r="D1077" t="inlineStr">
        <is>
          <t>Run 765</t>
        </is>
      </c>
      <c r="J1077" s="6" t="n">
        <v>0.2958425008813111</v>
      </c>
      <c r="K1077" s="6" t="n">
        <v>1.959341071136969</v>
      </c>
      <c r="L1077" s="6" t="n">
        <v>-1.620971633951027</v>
      </c>
      <c r="M1077" s="6" t="n">
        <v>1.331519506779264</v>
      </c>
      <c r="N1077" s="6" t="n">
        <v>-0.00304948296549341</v>
      </c>
      <c r="O1077" s="6" t="n">
        <v>-0.2058772478515557</v>
      </c>
      <c r="P1077" s="6" t="n">
        <v>0.8416658689501499</v>
      </c>
      <c r="Q1077" s="6" t="n">
        <v>0.8834682571799789</v>
      </c>
      <c r="R1077" s="6" t="n">
        <v>3.413943721017102</v>
      </c>
      <c r="S1077" s="6" t="n">
        <v>1.200812965381618</v>
      </c>
      <c r="T1077" s="6" t="n">
        <v>-2.473254343844209</v>
      </c>
      <c r="U1077" s="6" t="n">
        <v>3.435119563558148</v>
      </c>
      <c r="V1077" s="6" t="n">
        <v>1.854706434821776</v>
      </c>
      <c r="W1077" s="6" t="n">
        <v>-1.139316735776321</v>
      </c>
      <c r="X1077" s="6" t="n">
        <v>2.539495733748548</v>
      </c>
      <c r="Y1077" s="6" t="n">
        <v>2.724240587680741</v>
      </c>
      <c r="Z1077" s="6" t="n">
        <v>-0.8578726990582093</v>
      </c>
      <c r="AA1077" s="6" t="n">
        <v>-1.37441093824959</v>
      </c>
      <c r="AB1077" s="6" t="n">
        <v>-1.146527655538879</v>
      </c>
      <c r="AC1077" s="6" t="n">
        <v>0.5525923604880257</v>
      </c>
      <c r="AD1077" s="6" t="n">
        <v>-1.721074374837228</v>
      </c>
      <c r="AE1077" s="6" t="n">
        <v>3.385756322506323</v>
      </c>
      <c r="AF1077" s="6" t="n">
        <v>0.2331616728390548</v>
      </c>
      <c r="AG1077" s="6" t="n">
        <v>0.3918542262925162</v>
      </c>
      <c r="AH1077" s="6" t="n">
        <v>-2.407578186103843</v>
      </c>
      <c r="AI1077" s="6" t="n">
        <v>-2.416389847783549</v>
      </c>
      <c r="AJ1077" s="6" t="n">
        <v>77.31758420083582</v>
      </c>
      <c r="AK1077" s="6" t="n">
        <v>0.1502364964023356</v>
      </c>
      <c r="AL1077" s="6" t="n">
        <v>1.013234276597064</v>
      </c>
      <c r="AN1077" s="6" t="n">
        <v>1.35607071584267</v>
      </c>
      <c r="AO1077" s="6" t="n">
        <v>1.35607071584267</v>
      </c>
      <c r="AP1077" s="6" t="n">
        <v>0.1365500548057453</v>
      </c>
      <c r="AQ1077" s="6" t="n">
        <v>0</v>
      </c>
      <c r="AR1077" s="6" t="n">
        <v>0</v>
      </c>
    </row>
    <row r="1078">
      <c r="D1078" t="inlineStr">
        <is>
          <t>Run 766</t>
        </is>
      </c>
      <c r="J1078" s="6" t="n">
        <v>-0.7510098645919887</v>
      </c>
      <c r="K1078" s="6" t="n">
        <v>0.04737314775301774</v>
      </c>
      <c r="L1078" s="6" t="n">
        <v>1.915825745183159</v>
      </c>
      <c r="M1078" s="6" t="n">
        <v>-0.1935955377019525</v>
      </c>
      <c r="N1078" s="6" t="n">
        <v>1.598176476393171</v>
      </c>
      <c r="O1078" s="6" t="n">
        <v>-0.118038707452222</v>
      </c>
      <c r="P1078" s="6" t="n">
        <v>-0.6581012479483771</v>
      </c>
      <c r="Q1078" s="6" t="n">
        <v>-3.073232475608654</v>
      </c>
      <c r="R1078" s="6" t="n">
        <v>-0.4409083960553007</v>
      </c>
      <c r="S1078" s="6" t="n">
        <v>1.411057732951861</v>
      </c>
      <c r="T1078" s="6" t="n">
        <v>0.7253652658621194</v>
      </c>
      <c r="U1078" s="6" t="n">
        <v>-1.297787162128843</v>
      </c>
      <c r="V1078" s="6" t="n">
        <v>1.869405988906458</v>
      </c>
      <c r="W1078" s="6" t="n">
        <v>3.066234486072093</v>
      </c>
      <c r="X1078" s="6" t="n">
        <v>-0.1904133907563292</v>
      </c>
      <c r="Y1078" s="6" t="n">
        <v>2.549545338797248</v>
      </c>
      <c r="Z1078" s="6" t="n">
        <v>4.106936784565289</v>
      </c>
      <c r="AA1078" s="6" t="n">
        <v>1.386207813580704</v>
      </c>
      <c r="AB1078" s="6" t="n">
        <v>1.440973008001127</v>
      </c>
      <c r="AC1078" s="6" t="n">
        <v>0.8120538897031851</v>
      </c>
      <c r="AD1078" s="6" t="n">
        <v>-1.337482671922346</v>
      </c>
      <c r="AE1078" s="6" t="n">
        <v>-1.484105807160425</v>
      </c>
      <c r="AF1078" s="6" t="n">
        <v>2.45667841497328</v>
      </c>
      <c r="AG1078" s="6" t="n">
        <v>-0.4802150681083838</v>
      </c>
      <c r="AH1078" s="6" t="n">
        <v>-2.518305502910799</v>
      </c>
      <c r="AI1078" s="6" t="n">
        <v>-0.7595613452982989</v>
      </c>
      <c r="AJ1078" s="6" t="n">
        <v>75.7114432043813</v>
      </c>
      <c r="AK1078" s="6" t="n">
        <v>0.08591291770366846</v>
      </c>
      <c r="AL1078" s="6" t="n">
        <v>1.092900060655306</v>
      </c>
      <c r="AN1078" s="6" t="n">
        <v>1.336931729459976</v>
      </c>
      <c r="AO1078" s="6" t="n">
        <v>1.337195806356139</v>
      </c>
      <c r="AP1078" s="6" t="n">
        <v>0.1302567064526377</v>
      </c>
      <c r="AQ1078" s="6" t="n">
        <v>0</v>
      </c>
      <c r="AR1078" s="6" t="n">
        <v>0</v>
      </c>
    </row>
    <row r="1079">
      <c r="D1079" t="inlineStr">
        <is>
          <t>Run 767</t>
        </is>
      </c>
      <c r="J1079" s="6" t="n">
        <v>-0.773421851836876</v>
      </c>
      <c r="K1079" s="6" t="n">
        <v>-1.878715018730271</v>
      </c>
      <c r="L1079" s="6" t="n">
        <v>4.035009097797206</v>
      </c>
      <c r="M1079" s="6" t="n">
        <v>-0.2680521712303028</v>
      </c>
      <c r="N1079" s="6" t="n">
        <v>0.6575887065255684</v>
      </c>
      <c r="O1079" s="6" t="n">
        <v>3.412052321104571</v>
      </c>
      <c r="P1079" s="6" t="n">
        <v>-1.736378416880713</v>
      </c>
      <c r="Q1079" s="6" t="n">
        <v>1.271410429419186</v>
      </c>
      <c r="R1079" s="6" t="n">
        <v>0.9645483849324684</v>
      </c>
      <c r="S1079" s="6" t="n">
        <v>-0.01100752238558531</v>
      </c>
      <c r="T1079" s="6" t="n">
        <v>1.151010896398208</v>
      </c>
      <c r="U1079" s="6" t="n">
        <v>1.375710573581882</v>
      </c>
      <c r="V1079" s="6" t="n">
        <v>-0.8190459763314145</v>
      </c>
      <c r="W1079" s="6" t="n">
        <v>0.1594259253742555</v>
      </c>
      <c r="X1079" s="6" t="n">
        <v>1.548097320525096</v>
      </c>
      <c r="Y1079" s="6" t="n">
        <v>0.4425456643776569</v>
      </c>
      <c r="Z1079" s="6" t="n">
        <v>-0.2349587761677323</v>
      </c>
      <c r="AA1079" s="6" t="n">
        <v>0.7042987632067135</v>
      </c>
      <c r="AB1079" s="6" t="n">
        <v>-2.048505522817991</v>
      </c>
      <c r="AC1079" s="6" t="n">
        <v>2.5652107665249</v>
      </c>
      <c r="AD1079" s="6" t="n">
        <v>-1.701399589137085</v>
      </c>
      <c r="AE1079" s="6" t="n">
        <v>0.06618028016838531</v>
      </c>
      <c r="AF1079" s="6" t="n">
        <v>-3.843776771430123</v>
      </c>
      <c r="AG1079" s="6" t="n">
        <v>0.1148273743824243</v>
      </c>
      <c r="AH1079" s="6" t="n">
        <v>-1.28167741331855</v>
      </c>
      <c r="AI1079" s="6" t="n">
        <v>2.491090313753573</v>
      </c>
      <c r="AJ1079" s="6" t="n">
        <v>76.02075574601818</v>
      </c>
      <c r="AK1079" s="6" t="n">
        <v>0.1179017229232719</v>
      </c>
      <c r="AL1079" s="6" t="n">
        <v>1.028138158104245</v>
      </c>
      <c r="AN1079" s="6" t="n">
        <v>1.354411571427791</v>
      </c>
      <c r="AO1079" s="6" t="n">
        <v>1.354411571427791</v>
      </c>
      <c r="AP1079" s="6" t="n">
        <v>0.1352443017681746</v>
      </c>
      <c r="AQ1079" s="6" t="n">
        <v>0</v>
      </c>
      <c r="AR1079" s="6" t="n">
        <v>0</v>
      </c>
    </row>
    <row r="1080">
      <c r="D1080" t="inlineStr">
        <is>
          <t>Run 768</t>
        </is>
      </c>
      <c r="J1080" s="6" t="n">
        <v>-1.239629394687596</v>
      </c>
      <c r="K1080" s="6" t="n">
        <v>3.401036268468541</v>
      </c>
      <c r="L1080" s="6" t="n">
        <v>1.962813404838159</v>
      </c>
      <c r="M1080" s="6" t="n">
        <v>-2.087931298357677</v>
      </c>
      <c r="N1080" s="6" t="n">
        <v>-0.1764837980084895</v>
      </c>
      <c r="O1080" s="6" t="n">
        <v>0.1816857675212166</v>
      </c>
      <c r="P1080" s="6" t="n">
        <v>-0.9403383825890028</v>
      </c>
      <c r="Q1080" s="6" t="n">
        <v>1.909836118389359</v>
      </c>
      <c r="R1080" s="6" t="n">
        <v>0.8655028749000535</v>
      </c>
      <c r="S1080" s="6" t="n">
        <v>-1.357545368705997</v>
      </c>
      <c r="T1080" s="6" t="n">
        <v>2.331218000729678</v>
      </c>
      <c r="U1080" s="6" t="n">
        <v>-4.018930789647489</v>
      </c>
      <c r="V1080" s="6" t="n">
        <v>0.7648367297360452</v>
      </c>
      <c r="W1080" s="6" t="n">
        <v>1.457381304337814</v>
      </c>
      <c r="X1080" s="6" t="n">
        <v>-1.940719734259984</v>
      </c>
      <c r="Y1080" s="6" t="n">
        <v>2.334242026717291</v>
      </c>
      <c r="Z1080" s="6" t="n">
        <v>-0.1516322043169194</v>
      </c>
      <c r="AA1080" s="6" t="n">
        <v>0.06568335064276215</v>
      </c>
      <c r="AB1080" s="6" t="n">
        <v>0.8887985462408822</v>
      </c>
      <c r="AC1080" s="6" t="n">
        <v>-3.811012753818642</v>
      </c>
      <c r="AD1080" s="6" t="n">
        <v>0.810566999327033</v>
      </c>
      <c r="AE1080" s="6" t="n">
        <v>-1.681152478099749</v>
      </c>
      <c r="AF1080" s="6" t="n">
        <v>-4.152877689047574</v>
      </c>
      <c r="AG1080" s="6" t="n">
        <v>-1.159591355037742</v>
      </c>
      <c r="AH1080" s="6" t="n">
        <v>0.6103539772422223</v>
      </c>
      <c r="AI1080" s="6" t="n">
        <v>2.509369751531711</v>
      </c>
      <c r="AJ1080" s="6" t="n">
        <v>61.58187699481115</v>
      </c>
      <c r="AK1080" s="6" t="n">
        <v>0.08282662089532161</v>
      </c>
      <c r="AL1080" s="6" t="n">
        <v>1.044158799019221</v>
      </c>
      <c r="AN1080" s="6" t="n">
        <v>1.32963465825593</v>
      </c>
      <c r="AO1080" s="6" t="n">
        <v>1.336794322354671</v>
      </c>
      <c r="AP1080" s="6" t="n">
        <v>0.1326318829381348</v>
      </c>
      <c r="AQ1080" s="6" t="n">
        <v>0</v>
      </c>
      <c r="AR1080" s="6" t="n">
        <v>0</v>
      </c>
    </row>
    <row r="1081">
      <c r="D1081" t="inlineStr">
        <is>
          <t>Run 769</t>
        </is>
      </c>
      <c r="J1081" s="6" t="n">
        <v>-0.7026193525390445</v>
      </c>
      <c r="K1081" s="6" t="n">
        <v>-1.298049125339462</v>
      </c>
      <c r="L1081" s="6" t="n">
        <v>-0.2782623165364568</v>
      </c>
      <c r="M1081" s="6" t="n">
        <v>0.4256336658558455</v>
      </c>
      <c r="N1081" s="6" t="n">
        <v>0.4411352212494633</v>
      </c>
      <c r="O1081" s="6" t="n">
        <v>-0.1976529895118074</v>
      </c>
      <c r="P1081" s="6" t="n">
        <v>-6.616196897292814</v>
      </c>
      <c r="Q1081" s="6" t="n">
        <v>-2.915140977748879</v>
      </c>
      <c r="R1081" s="6" t="n">
        <v>-1.33234826811604</v>
      </c>
      <c r="S1081" s="6" t="n">
        <v>2.175678590581564</v>
      </c>
      <c r="T1081" s="6" t="n">
        <v>3.85062730104737</v>
      </c>
      <c r="U1081" s="6" t="n">
        <v>0.6162769233870842</v>
      </c>
      <c r="V1081" s="6" t="n">
        <v>0.8510552857111099</v>
      </c>
      <c r="W1081" s="6" t="n">
        <v>0.3922768810090345</v>
      </c>
      <c r="X1081" s="6" t="n">
        <v>0.550563996336778</v>
      </c>
      <c r="Y1081" s="6" t="n">
        <v>1.031966770385415</v>
      </c>
      <c r="Z1081" s="6" t="n">
        <v>2.756001233448872</v>
      </c>
      <c r="AA1081" s="6" t="n">
        <v>3.716731161090824</v>
      </c>
      <c r="AB1081" s="6" t="n">
        <v>-1.802875775236627</v>
      </c>
      <c r="AC1081" s="6" t="n">
        <v>2.15408267555233</v>
      </c>
      <c r="AD1081" s="6" t="n">
        <v>-2.155272282712806</v>
      </c>
      <c r="AE1081" s="6" t="n">
        <v>1.034715381425714</v>
      </c>
      <c r="AF1081" s="6" t="n">
        <v>-2.664098064069253</v>
      </c>
      <c r="AG1081" s="6" t="n">
        <v>-1.186154157889618</v>
      </c>
      <c r="AH1081" s="6" t="n">
        <v>-0.4554755625902527</v>
      </c>
      <c r="AI1081" s="6" t="n">
        <v>-2.39592708615821</v>
      </c>
      <c r="AJ1081" s="6" t="n">
        <v>72.11192680412898</v>
      </c>
      <c r="AK1081" s="6" t="n">
        <v>0.06301131015895536</v>
      </c>
      <c r="AL1081" s="6" t="n">
        <v>1.031694555260837</v>
      </c>
      <c r="AN1081" s="6" t="n">
        <v>1.352113382294104</v>
      </c>
      <c r="AO1081" s="6" t="n">
        <v>1.352113382294104</v>
      </c>
      <c r="AP1081" s="6" t="n">
        <v>0.1348966703864325</v>
      </c>
      <c r="AQ1081" s="6" t="n">
        <v>0</v>
      </c>
      <c r="AR1081" s="6" t="n">
        <v>0</v>
      </c>
    </row>
    <row r="1082">
      <c r="D1082" t="inlineStr">
        <is>
          <t>Run 770</t>
        </is>
      </c>
      <c r="J1082" s="6" t="n">
        <v>1.111365836676111</v>
      </c>
      <c r="K1082" s="6" t="n">
        <v>-1.121103092980887</v>
      </c>
      <c r="L1082" s="6" t="n">
        <v>-0.4147603992079206</v>
      </c>
      <c r="M1082" s="6" t="n">
        <v>2.878748144616957</v>
      </c>
      <c r="N1082" s="6" t="n">
        <v>-1.560550952010519</v>
      </c>
      <c r="O1082" s="6" t="n">
        <v>3.525289818962926</v>
      </c>
      <c r="P1082" s="6" t="n">
        <v>-0.7809661042508874</v>
      </c>
      <c r="Q1082" s="6" t="n">
        <v>2.795159257609273</v>
      </c>
      <c r="R1082" s="6" t="n">
        <v>2.156103266338132</v>
      </c>
      <c r="S1082" s="6" t="n">
        <v>-1.60804756761032</v>
      </c>
      <c r="T1082" s="6" t="n">
        <v>-2.091680068257141</v>
      </c>
      <c r="U1082" s="6" t="n">
        <v>-3.08536413662702</v>
      </c>
      <c r="V1082" s="6" t="n">
        <v>-1.852474439043271</v>
      </c>
      <c r="W1082" s="6" t="n">
        <v>-0.7800594156977477</v>
      </c>
      <c r="X1082" s="6" t="n">
        <v>-0.7952416123794233</v>
      </c>
      <c r="Y1082" s="6" t="n">
        <v>-5.606166016528969</v>
      </c>
      <c r="Z1082" s="6" t="n">
        <v>-2.154797914137436</v>
      </c>
      <c r="AA1082" s="6" t="n">
        <v>-0.2105959955716563</v>
      </c>
      <c r="AB1082" s="6" t="n">
        <v>-1.286780149768513</v>
      </c>
      <c r="AC1082" s="6" t="n">
        <v>-0.9033933748618524</v>
      </c>
      <c r="AD1082" s="6" t="n">
        <v>-0.4818923978778382</v>
      </c>
      <c r="AE1082" s="6" t="n">
        <v>-0.2714152940485103</v>
      </c>
      <c r="AF1082" s="6" t="n">
        <v>-0.4455821259342883</v>
      </c>
      <c r="AG1082" s="6" t="n">
        <v>-0.8144770877104073</v>
      </c>
      <c r="AH1082" s="6" t="n">
        <v>2.28610325548186</v>
      </c>
      <c r="AI1082" s="6" t="n">
        <v>0.07238793134535203</v>
      </c>
      <c r="AJ1082" s="6" t="n">
        <v>74.36148865809871</v>
      </c>
      <c r="AK1082" s="6" t="n">
        <v>0.1452096144031746</v>
      </c>
      <c r="AL1082" s="6" t="n">
        <v>1.070059509088237</v>
      </c>
      <c r="AN1082" s="6" t="n">
        <v>1.335634546968169</v>
      </c>
      <c r="AO1082" s="6" t="n">
        <v>1.336107643832436</v>
      </c>
      <c r="AP1082" s="6" t="n">
        <v>0.1301427427312108</v>
      </c>
      <c r="AQ1082" s="6" t="n">
        <v>0</v>
      </c>
      <c r="AR1082" s="6" t="n">
        <v>0</v>
      </c>
    </row>
    <row r="1083">
      <c r="D1083" t="inlineStr">
        <is>
          <t>Run 771</t>
        </is>
      </c>
      <c r="J1083" s="6" t="n">
        <v>-4.143645014333731</v>
      </c>
      <c r="K1083" s="6" t="n">
        <v>-0.8789362537745771</v>
      </c>
      <c r="L1083" s="6" t="n">
        <v>-0.1584162970000016</v>
      </c>
      <c r="M1083" s="6" t="n">
        <v>1.152312226376428</v>
      </c>
      <c r="N1083" s="6" t="n">
        <v>-1.139797295164832</v>
      </c>
      <c r="O1083" s="6" t="n">
        <v>-1.819206578084141</v>
      </c>
      <c r="P1083" s="6" t="n">
        <v>2.491709275736358</v>
      </c>
      <c r="Q1083" s="6" t="n">
        <v>-1.328936429368588</v>
      </c>
      <c r="R1083" s="6" t="n">
        <v>2.643115599232186</v>
      </c>
      <c r="S1083" s="6" t="n">
        <v>2.957560929897889</v>
      </c>
      <c r="T1083" s="6" t="n">
        <v>-1.195048007952102</v>
      </c>
      <c r="U1083" s="6" t="n">
        <v>1.878359106611767</v>
      </c>
      <c r="V1083" s="6" t="n">
        <v>-2.111426974725277</v>
      </c>
      <c r="W1083" s="6" t="n">
        <v>0.1786243270997203</v>
      </c>
      <c r="X1083" s="6" t="n">
        <v>-0.4425281004407037</v>
      </c>
      <c r="Y1083" s="6" t="n">
        <v>-2.281566604492589</v>
      </c>
      <c r="Z1083" s="6" t="n">
        <v>-0.3068034317313995</v>
      </c>
      <c r="AA1083" s="6" t="n">
        <v>1.330816681712756</v>
      </c>
      <c r="AB1083" s="6" t="n">
        <v>-0.5066810614619874</v>
      </c>
      <c r="AC1083" s="6" t="n">
        <v>2.607474610580012</v>
      </c>
      <c r="AD1083" s="6" t="n">
        <v>-0.8928000324415962</v>
      </c>
      <c r="AE1083" s="6" t="n">
        <v>0.4820334729685963</v>
      </c>
      <c r="AF1083" s="6" t="n">
        <v>2.452571741633363</v>
      </c>
      <c r="AG1083" s="6" t="n">
        <v>2.835506306307189</v>
      </c>
      <c r="AH1083" s="6" t="n">
        <v>-3.186935342130082</v>
      </c>
      <c r="AI1083" s="6" t="n">
        <v>2.00833987101368</v>
      </c>
      <c r="AJ1083" s="6" t="n">
        <v>64.34470359910449</v>
      </c>
      <c r="AK1083" s="6" t="n">
        <v>0.1369362523562663</v>
      </c>
      <c r="AL1083" s="6" t="n">
        <v>1.05275811917394</v>
      </c>
      <c r="AN1083" s="6" t="n">
        <v>1.341697133869209</v>
      </c>
      <c r="AO1083" s="6" t="n">
        <v>1.342199906048779</v>
      </c>
      <c r="AP1083" s="6" t="n">
        <v>0.1312457109541518</v>
      </c>
      <c r="AQ1083" s="6" t="n">
        <v>0</v>
      </c>
      <c r="AR1083" s="6" t="n">
        <v>0</v>
      </c>
    </row>
    <row r="1084">
      <c r="D1084" t="inlineStr">
        <is>
          <t>Run 772</t>
        </is>
      </c>
      <c r="J1084" s="6" t="n">
        <v>1.495941242898543</v>
      </c>
      <c r="K1084" s="6" t="n">
        <v>-0.03047422783946398</v>
      </c>
      <c r="L1084" s="6" t="n">
        <v>-1.968728465569537</v>
      </c>
      <c r="M1084" s="6" t="n">
        <v>1.623225017263723</v>
      </c>
      <c r="N1084" s="6" t="n">
        <v>0.4005364569892847</v>
      </c>
      <c r="O1084" s="6" t="n">
        <v>-0.260928841791182</v>
      </c>
      <c r="P1084" s="6" t="n">
        <v>0.5548845965993426</v>
      </c>
      <c r="Q1084" s="6" t="n">
        <v>0.4883855264593542</v>
      </c>
      <c r="R1084" s="6" t="n">
        <v>-6.410256350086599</v>
      </c>
      <c r="S1084" s="6" t="n">
        <v>2.035152869457646</v>
      </c>
      <c r="T1084" s="6" t="n">
        <v>-2.455194856731343</v>
      </c>
      <c r="U1084" s="6" t="n">
        <v>0.689917684547063</v>
      </c>
      <c r="V1084" s="6" t="n">
        <v>1.767476591396092</v>
      </c>
      <c r="W1084" s="6" t="n">
        <v>-0.2340011827586659</v>
      </c>
      <c r="X1084" s="6" t="n">
        <v>2.478639862366411</v>
      </c>
      <c r="Y1084" s="6" t="n">
        <v>2.592977081780552</v>
      </c>
      <c r="Z1084" s="6" t="n">
        <v>1.792415154570244</v>
      </c>
      <c r="AA1084" s="6" t="n">
        <v>2.023609476806462</v>
      </c>
      <c r="AB1084" s="6" t="n">
        <v>0.1758385265141295</v>
      </c>
      <c r="AC1084" s="6" t="n">
        <v>1.780778028313579</v>
      </c>
      <c r="AD1084" s="6" t="n">
        <v>1.416754125094099</v>
      </c>
      <c r="AE1084" s="6" t="n">
        <v>-2.52353980553784</v>
      </c>
      <c r="AF1084" s="6" t="n">
        <v>-0.22389617819647</v>
      </c>
      <c r="AG1084" s="6" t="n">
        <v>3.522964253871519</v>
      </c>
      <c r="AH1084" s="6" t="n">
        <v>3.539509118130175</v>
      </c>
      <c r="AI1084" s="6" t="n">
        <v>-0.3871128151449628</v>
      </c>
      <c r="AJ1084" s="6" t="n">
        <v>77.03810920682277</v>
      </c>
      <c r="AK1084" s="6" t="n">
        <v>0.1409837615132725</v>
      </c>
      <c r="AL1084" s="6" t="n">
        <v>1.085900859429683</v>
      </c>
      <c r="AN1084" s="6" t="n">
        <v>1.332856648544664</v>
      </c>
      <c r="AO1084" s="6" t="n">
        <v>1.333640879580186</v>
      </c>
      <c r="AP1084" s="6" t="n">
        <v>0.1294825750180402</v>
      </c>
      <c r="AQ1084" s="6" t="n">
        <v>0</v>
      </c>
      <c r="AR1084" s="6" t="n">
        <v>0</v>
      </c>
    </row>
    <row r="1085">
      <c r="D1085" t="inlineStr">
        <is>
          <t>Run 773</t>
        </is>
      </c>
      <c r="J1085" s="6" t="n">
        <v>-0.4895845415621939</v>
      </c>
      <c r="K1085" s="6" t="n">
        <v>2.626821586006062</v>
      </c>
      <c r="L1085" s="6" t="n">
        <v>-0.1249683512392536</v>
      </c>
      <c r="M1085" s="6" t="n">
        <v>1.140129244763312</v>
      </c>
      <c r="N1085" s="6" t="n">
        <v>-1.325926566638359</v>
      </c>
      <c r="O1085" s="6" t="n">
        <v>3.399586898434587</v>
      </c>
      <c r="P1085" s="6" t="n">
        <v>5</v>
      </c>
      <c r="Q1085" s="6" t="n">
        <v>-0.4459284092700385</v>
      </c>
      <c r="R1085" s="6" t="n">
        <v>0.6752831784552585</v>
      </c>
      <c r="S1085" s="6" t="n">
        <v>0.6425926960035283</v>
      </c>
      <c r="T1085" s="6" t="n">
        <v>-2.911718691631664</v>
      </c>
      <c r="U1085" s="6" t="n">
        <v>3.001174728413834</v>
      </c>
      <c r="V1085" s="6" t="n">
        <v>1.605571008141074</v>
      </c>
      <c r="W1085" s="6" t="n">
        <v>2.366056955522696</v>
      </c>
      <c r="X1085" s="6" t="n">
        <v>0.009725033832502563</v>
      </c>
      <c r="Y1085" s="6" t="n">
        <v>-2.060330158309892</v>
      </c>
      <c r="Z1085" s="6" t="n">
        <v>2.710119976142341</v>
      </c>
      <c r="AA1085" s="6" t="n">
        <v>0.936967821553965</v>
      </c>
      <c r="AB1085" s="6" t="n">
        <v>-1.943450838324282</v>
      </c>
      <c r="AC1085" s="6" t="n">
        <v>-0.8858694223927688</v>
      </c>
      <c r="AD1085" s="6" t="n">
        <v>2.999854966633574</v>
      </c>
      <c r="AE1085" s="6" t="n">
        <v>3.015028773098524</v>
      </c>
      <c r="AF1085" s="6" t="n">
        <v>2.418011671702669</v>
      </c>
      <c r="AG1085" s="6" t="n">
        <v>-2.681080071418959</v>
      </c>
      <c r="AH1085" s="6" t="n">
        <v>4.743994823553408</v>
      </c>
      <c r="AI1085" s="6" t="n">
        <v>2.903777777862873</v>
      </c>
      <c r="AJ1085" s="6" t="n">
        <v>72.80823396577355</v>
      </c>
      <c r="AK1085" s="6" t="n">
        <v>0.1210754630428287</v>
      </c>
      <c r="AL1085" s="6" t="n">
        <v>1.104410848193903</v>
      </c>
      <c r="AN1085" s="6" t="n">
        <v>1.327077050503678</v>
      </c>
      <c r="AO1085" s="6" t="n">
        <v>1.327469623821203</v>
      </c>
      <c r="AP1085" s="6" t="n">
        <v>0.1288778646310747</v>
      </c>
      <c r="AQ1085" s="6" t="n">
        <v>0</v>
      </c>
      <c r="AR1085" s="6" t="n">
        <v>0</v>
      </c>
    </row>
    <row r="1086">
      <c r="D1086" t="inlineStr">
        <is>
          <t>Run 774</t>
        </is>
      </c>
      <c r="J1086" s="6" t="n">
        <v>-0.09160093316615277</v>
      </c>
      <c r="K1086" s="6" t="n">
        <v>-1.48021349049132</v>
      </c>
      <c r="L1086" s="6" t="n">
        <v>-0.3390562661238305</v>
      </c>
      <c r="M1086" s="6" t="n">
        <v>-3.204615015690797</v>
      </c>
      <c r="N1086" s="6" t="n">
        <v>0.05329068592775461</v>
      </c>
      <c r="O1086" s="6" t="n">
        <v>0.8166889287222051</v>
      </c>
      <c r="P1086" s="6" t="n">
        <v>-1.99879732543944</v>
      </c>
      <c r="Q1086" s="6" t="n">
        <v>-2.300871387439773</v>
      </c>
      <c r="R1086" s="6" t="n">
        <v>0.3777231623338514</v>
      </c>
      <c r="S1086" s="6" t="n">
        <v>2.733727556141833</v>
      </c>
      <c r="T1086" s="6" t="n">
        <v>-1.101791176167576</v>
      </c>
      <c r="U1086" s="6" t="n">
        <v>-0.8931027687146134</v>
      </c>
      <c r="V1086" s="6" t="n">
        <v>2.044805391457953</v>
      </c>
      <c r="W1086" s="6" t="n">
        <v>1.196727648834961</v>
      </c>
      <c r="X1086" s="6" t="n">
        <v>-0.2689463106322661</v>
      </c>
      <c r="Y1086" s="6" t="n">
        <v>3.032855483725</v>
      </c>
      <c r="Z1086" s="6" t="n">
        <v>1.367516940688489</v>
      </c>
      <c r="AA1086" s="6" t="n">
        <v>1.253914596721334</v>
      </c>
      <c r="AB1086" s="6" t="n">
        <v>0.9488719780256963</v>
      </c>
      <c r="AC1086" s="6" t="n">
        <v>0.8769336609018548</v>
      </c>
      <c r="AD1086" s="6" t="n">
        <v>1.448750416317861</v>
      </c>
      <c r="AE1086" s="6" t="n">
        <v>0.2851507680858635</v>
      </c>
      <c r="AF1086" s="6" t="n">
        <v>1.768931428221059</v>
      </c>
      <c r="AG1086" s="6" t="n">
        <v>2.059237033991368</v>
      </c>
      <c r="AH1086" s="6" t="n">
        <v>-0.9888780314898874</v>
      </c>
      <c r="AI1086" s="6" t="n">
        <v>-2.314992510166888</v>
      </c>
      <c r="AJ1086" s="6" t="n">
        <v>77.68094667499734</v>
      </c>
      <c r="AK1086" s="6" t="n">
        <v>0.1974211805123189</v>
      </c>
      <c r="AL1086" s="6" t="n">
        <v>1.04449937287851</v>
      </c>
      <c r="AN1086" s="6" t="n">
        <v>1.312802049424643</v>
      </c>
      <c r="AO1086" s="6" t="n">
        <v>1.322058634269433</v>
      </c>
      <c r="AP1086" s="6" t="n">
        <v>0.1308736255723001</v>
      </c>
      <c r="AQ1086" s="6" t="n">
        <v>0</v>
      </c>
      <c r="AR1086" s="6" t="n">
        <v>0</v>
      </c>
    </row>
    <row r="1087">
      <c r="D1087" t="inlineStr">
        <is>
          <t>Run 775</t>
        </is>
      </c>
      <c r="J1087" s="6" t="n">
        <v>5</v>
      </c>
      <c r="K1087" s="6" t="n">
        <v>-2.705639083921502</v>
      </c>
      <c r="L1087" s="6" t="n">
        <v>-0.2420515989600411</v>
      </c>
      <c r="M1087" s="6" t="n">
        <v>-3.035559655396984</v>
      </c>
      <c r="N1087" s="6" t="n">
        <v>-0.6256477184386886</v>
      </c>
      <c r="O1087" s="6" t="n">
        <v>-1.166713082325285</v>
      </c>
      <c r="P1087" s="6" t="n">
        <v>-1.285066021226603</v>
      </c>
      <c r="Q1087" s="6" t="n">
        <v>0.354536544567749</v>
      </c>
      <c r="R1087" s="6" t="n">
        <v>-0.4216057145694075</v>
      </c>
      <c r="S1087" s="6" t="n">
        <v>1.01597288441608</v>
      </c>
      <c r="T1087" s="6" t="n">
        <v>-0.9525533901418964</v>
      </c>
      <c r="U1087" s="6" t="n">
        <v>0.6897485834793309</v>
      </c>
      <c r="V1087" s="6" t="n">
        <v>2.068425949919614</v>
      </c>
      <c r="W1087" s="6" t="n">
        <v>2.701250157593978</v>
      </c>
      <c r="X1087" s="6" t="n">
        <v>0.9834046971431948</v>
      </c>
      <c r="Y1087" s="6" t="n">
        <v>0.4678828055497524</v>
      </c>
      <c r="Z1087" s="6" t="n">
        <v>0.04908684454386052</v>
      </c>
      <c r="AA1087" s="6" t="n">
        <v>-1.129728560954971</v>
      </c>
      <c r="AB1087" s="6" t="n">
        <v>-0.5702878832613737</v>
      </c>
      <c r="AC1087" s="6" t="n">
        <v>1.003349344874037</v>
      </c>
      <c r="AD1087" s="6" t="n">
        <v>-2.668001140667187</v>
      </c>
      <c r="AE1087" s="6" t="n">
        <v>4.549344538354582</v>
      </c>
      <c r="AF1087" s="6" t="n">
        <v>-0.8709852498679426</v>
      </c>
      <c r="AG1087" s="6" t="n">
        <v>2.629374615099162</v>
      </c>
      <c r="AH1087" s="6" t="n">
        <v>-1.056070694728844</v>
      </c>
      <c r="AI1087" s="6" t="n">
        <v>-1.512675346051779</v>
      </c>
      <c r="AJ1087" s="6" t="n">
        <v>76.90023676067067</v>
      </c>
      <c r="AK1087" s="6" t="n">
        <v>0.1345943411601209</v>
      </c>
      <c r="AL1087" s="6" t="n">
        <v>1.108761615343729</v>
      </c>
      <c r="AN1087" s="6" t="n">
        <v>1.302623272769069</v>
      </c>
      <c r="AO1087" s="6" t="n">
        <v>1.309920074251378</v>
      </c>
      <c r="AP1087" s="6" t="n">
        <v>0.1285274207956462</v>
      </c>
      <c r="AQ1087" s="6" t="n">
        <v>0</v>
      </c>
      <c r="AR1087" s="6" t="n">
        <v>0</v>
      </c>
    </row>
    <row r="1088">
      <c r="D1088" t="inlineStr">
        <is>
          <t>Run 776</t>
        </is>
      </c>
      <c r="J1088" s="6" t="n">
        <v>1.296242874036994</v>
      </c>
      <c r="K1088" s="6" t="n">
        <v>-0.1892002399327277</v>
      </c>
      <c r="L1088" s="6" t="n">
        <v>0.5474489082006294</v>
      </c>
      <c r="M1088" s="6" t="n">
        <v>3.821731324006021</v>
      </c>
      <c r="N1088" s="6" t="n">
        <v>-0.2869712611635585</v>
      </c>
      <c r="O1088" s="6" t="n">
        <v>-0.6152098725152444</v>
      </c>
      <c r="P1088" s="6" t="n">
        <v>1.985971739451719</v>
      </c>
      <c r="Q1088" s="6" t="n">
        <v>-2.332202991355102</v>
      </c>
      <c r="R1088" s="6" t="n">
        <v>2.967052516975339</v>
      </c>
      <c r="S1088" s="6" t="n">
        <v>1.690892250770577</v>
      </c>
      <c r="T1088" s="6" t="n">
        <v>0.09395969824926108</v>
      </c>
      <c r="U1088" s="6" t="n">
        <v>1.506466805237045</v>
      </c>
      <c r="V1088" s="6" t="n">
        <v>3.121431342432748</v>
      </c>
      <c r="W1088" s="6" t="n">
        <v>-0.8270133835747903</v>
      </c>
      <c r="X1088" s="6" t="n">
        <v>0.7509050137402372</v>
      </c>
      <c r="Y1088" s="6" t="n">
        <v>-1.137222973859934</v>
      </c>
      <c r="Z1088" s="6" t="n">
        <v>-0.4655966462597622</v>
      </c>
      <c r="AA1088" s="6" t="n">
        <v>1.830292568249711</v>
      </c>
      <c r="AB1088" s="6" t="n">
        <v>-0.6551341658053484</v>
      </c>
      <c r="AC1088" s="6" t="n">
        <v>-0.5582451020983331</v>
      </c>
      <c r="AD1088" s="6" t="n">
        <v>4.276912254487509</v>
      </c>
      <c r="AE1088" s="6" t="n">
        <v>-1.843277234093855</v>
      </c>
      <c r="AF1088" s="6" t="n">
        <v>3.920691359205954</v>
      </c>
      <c r="AG1088" s="6" t="n">
        <v>2.596070811210744</v>
      </c>
      <c r="AH1088" s="6" t="n">
        <v>-0.2709630916875436</v>
      </c>
      <c r="AI1088" s="6" t="n">
        <v>-1.463582482658307</v>
      </c>
      <c r="AJ1088" s="6" t="n">
        <v>62.02602116515649</v>
      </c>
      <c r="AK1088" s="6" t="n">
        <v>0.07726762212223837</v>
      </c>
      <c r="AL1088" s="6" t="n">
        <v>1.075135468904247</v>
      </c>
      <c r="AN1088" s="6" t="n">
        <v>1.33399418612733</v>
      </c>
      <c r="AO1088" s="6" t="n">
        <v>1.334957958918817</v>
      </c>
      <c r="AP1088" s="6" t="n">
        <v>0.130581310063142</v>
      </c>
      <c r="AQ1088" s="6" t="n">
        <v>0</v>
      </c>
      <c r="AR1088" s="6" t="n">
        <v>0</v>
      </c>
    </row>
    <row r="1089">
      <c r="D1089" t="inlineStr">
        <is>
          <t>Run 777</t>
        </is>
      </c>
      <c r="J1089" s="6" t="n">
        <v>-0.004808340006246706</v>
      </c>
      <c r="K1089" s="6" t="n">
        <v>-0.6349876808156273</v>
      </c>
      <c r="L1089" s="6" t="n">
        <v>-0.7145480182896916</v>
      </c>
      <c r="M1089" s="6" t="n">
        <v>0.2653876528876467</v>
      </c>
      <c r="N1089" s="6" t="n">
        <v>-0.5244340921503435</v>
      </c>
      <c r="O1089" s="6" t="n">
        <v>-1.237060476572335</v>
      </c>
      <c r="P1089" s="6" t="n">
        <v>-1.495867260272442</v>
      </c>
      <c r="Q1089" s="6" t="n">
        <v>-0.1045422790447131</v>
      </c>
      <c r="R1089" s="6" t="n">
        <v>1.908432681921174</v>
      </c>
      <c r="S1089" s="6" t="n">
        <v>0.152606160568619</v>
      </c>
      <c r="T1089" s="6" t="n">
        <v>0.9366534440304177</v>
      </c>
      <c r="U1089" s="6" t="n">
        <v>1.211399230301076</v>
      </c>
      <c r="V1089" s="6" t="n">
        <v>-2.224011022178291</v>
      </c>
      <c r="W1089" s="6" t="n">
        <v>0.2860673166374894</v>
      </c>
      <c r="X1089" s="6" t="n">
        <v>2.511630128539394</v>
      </c>
      <c r="Y1089" s="6" t="n">
        <v>-4.323168824538182</v>
      </c>
      <c r="Z1089" s="6" t="n">
        <v>0.4604379023488485</v>
      </c>
      <c r="AA1089" s="6" t="n">
        <v>4.600383519466599</v>
      </c>
      <c r="AB1089" s="6" t="n">
        <v>-2.433697023831704</v>
      </c>
      <c r="AC1089" s="6" t="n">
        <v>-3.571611026102015</v>
      </c>
      <c r="AD1089" s="6" t="n">
        <v>1.23423173069836</v>
      </c>
      <c r="AE1089" s="6" t="n">
        <v>1.482750720495879</v>
      </c>
      <c r="AF1089" s="6" t="n">
        <v>1.642055222082276</v>
      </c>
      <c r="AG1089" s="6" t="n">
        <v>0.9319218770458423</v>
      </c>
      <c r="AH1089" s="6" t="n">
        <v>0.5288438913602103</v>
      </c>
      <c r="AI1089" s="6" t="n">
        <v>3.182148039502511</v>
      </c>
      <c r="AJ1089" s="6" t="n">
        <v>66.44930668088881</v>
      </c>
      <c r="AK1089" s="6" t="n">
        <v>0.07859569673373883</v>
      </c>
      <c r="AL1089" s="6" t="n">
        <v>1.018470326599973</v>
      </c>
      <c r="AN1089" s="6" t="n">
        <v>1.350016874842329</v>
      </c>
      <c r="AO1089" s="6" t="n">
        <v>1.350016874842329</v>
      </c>
      <c r="AP1089" s="6" t="n">
        <v>0.1360039234676226</v>
      </c>
      <c r="AQ1089" s="6" t="n">
        <v>0</v>
      </c>
      <c r="AR1089" s="6" t="n">
        <v>0</v>
      </c>
    </row>
    <row r="1090">
      <c r="D1090" t="inlineStr">
        <is>
          <t>Run 778</t>
        </is>
      </c>
      <c r="J1090" s="6" t="n">
        <v>0.4357505582331559</v>
      </c>
      <c r="K1090" s="6" t="n">
        <v>1.039866281035362</v>
      </c>
      <c r="L1090" s="6" t="n">
        <v>0.9432040739175281</v>
      </c>
      <c r="M1090" s="6" t="n">
        <v>3.282405660842853</v>
      </c>
      <c r="N1090" s="6" t="n">
        <v>-0.7016285508135419</v>
      </c>
      <c r="O1090" s="6" t="n">
        <v>0.08928348583967413</v>
      </c>
      <c r="P1090" s="6" t="n">
        <v>0.2702350873118434</v>
      </c>
      <c r="Q1090" s="6" t="n">
        <v>0.9081367046247896</v>
      </c>
      <c r="R1090" s="6" t="n">
        <v>1.620576073440239</v>
      </c>
      <c r="S1090" s="6" t="n">
        <v>-0.4011225187300189</v>
      </c>
      <c r="T1090" s="6" t="n">
        <v>-3.002226273210519</v>
      </c>
      <c r="U1090" s="6" t="n">
        <v>-1.152551025076596</v>
      </c>
      <c r="V1090" s="6" t="n">
        <v>1.73523980266497</v>
      </c>
      <c r="W1090" s="6" t="n">
        <v>2.412411490621163</v>
      </c>
      <c r="X1090" s="6" t="n">
        <v>-3.355239877420468</v>
      </c>
      <c r="Y1090" s="6" t="n">
        <v>-2.830300478530333</v>
      </c>
      <c r="Z1090" s="6" t="n">
        <v>0.7346025308693959</v>
      </c>
      <c r="AA1090" s="6" t="n">
        <v>2.272076588260985</v>
      </c>
      <c r="AB1090" s="6" t="n">
        <v>-3.967623357206556</v>
      </c>
      <c r="AC1090" s="6" t="n">
        <v>1.59340361189604</v>
      </c>
      <c r="AD1090" s="6" t="n">
        <v>-0.8142237151902223</v>
      </c>
      <c r="AE1090" s="6" t="n">
        <v>-1.272086643375056</v>
      </c>
      <c r="AF1090" s="6" t="n">
        <v>3.12699388761514</v>
      </c>
      <c r="AG1090" s="6" t="n">
        <v>1.357054385409594</v>
      </c>
      <c r="AH1090" s="6" t="n">
        <v>-2.99154020532651</v>
      </c>
      <c r="AI1090" s="6" t="n">
        <v>3.556996074075157</v>
      </c>
      <c r="AJ1090" s="6" t="n">
        <v>75.54828361147561</v>
      </c>
      <c r="AK1090" s="6" t="n">
        <v>0.1310694655411964</v>
      </c>
      <c r="AL1090" s="6" t="n">
        <v>1.085655803267235</v>
      </c>
      <c r="AN1090" s="6" t="n">
        <v>1.33359663531549</v>
      </c>
      <c r="AO1090" s="6" t="n">
        <v>1.334134839453786</v>
      </c>
      <c r="AP1090" s="6" t="n">
        <v>0.1297158164364183</v>
      </c>
      <c r="AQ1090" s="6" t="n">
        <v>0</v>
      </c>
      <c r="AR1090" s="6" t="n">
        <v>0</v>
      </c>
    </row>
    <row r="1091">
      <c r="D1091" t="inlineStr">
        <is>
          <t>Run 779</t>
        </is>
      </c>
      <c r="J1091" s="6" t="n">
        <v>-0.08903483840736368</v>
      </c>
      <c r="K1091" s="6" t="n">
        <v>0.7181724003208974</v>
      </c>
      <c r="L1091" s="6" t="n">
        <v>-0.3836052413771406</v>
      </c>
      <c r="M1091" s="6" t="n">
        <v>-0.8295640865766206</v>
      </c>
      <c r="N1091" s="6" t="n">
        <v>-1.602005725848627</v>
      </c>
      <c r="O1091" s="6" t="n">
        <v>-0.3678508092810219</v>
      </c>
      <c r="P1091" s="6" t="n">
        <v>1.580521393465161</v>
      </c>
      <c r="Q1091" s="6" t="n">
        <v>-2.858503200603633</v>
      </c>
      <c r="R1091" s="6" t="n">
        <v>3.70489055152859</v>
      </c>
      <c r="S1091" s="6" t="n">
        <v>1.009909646055519</v>
      </c>
      <c r="T1091" s="6" t="n">
        <v>-0.5011453165807214</v>
      </c>
      <c r="U1091" s="6" t="n">
        <v>-2.474062831452759</v>
      </c>
      <c r="V1091" s="6" t="n">
        <v>-1.293375307667346</v>
      </c>
      <c r="W1091" s="6" t="n">
        <v>-1.130939953466722</v>
      </c>
      <c r="X1091" s="6" t="n">
        <v>2.650992149552944</v>
      </c>
      <c r="Y1091" s="6" t="n">
        <v>-2.709041283959474</v>
      </c>
      <c r="Z1091" s="6" t="n">
        <v>1.837793109939723</v>
      </c>
      <c r="AA1091" s="6" t="n">
        <v>-1.124567688715175</v>
      </c>
      <c r="AB1091" s="6" t="n">
        <v>3.611522133618527</v>
      </c>
      <c r="AC1091" s="6" t="n">
        <v>-2.146832042732091</v>
      </c>
      <c r="AD1091" s="6" t="n">
        <v>0.4343449350667801</v>
      </c>
      <c r="AE1091" s="6" t="n">
        <v>-0.9798347013307118</v>
      </c>
      <c r="AF1091" s="6" t="n">
        <v>1.724377919521722</v>
      </c>
      <c r="AG1091" s="6" t="n">
        <v>0.1356413507428693</v>
      </c>
      <c r="AH1091" s="6" t="n">
        <v>0.2430601137654358</v>
      </c>
      <c r="AI1091" s="6" t="n">
        <v>-0.1491708269591382</v>
      </c>
      <c r="AJ1091" s="6" t="n">
        <v>69.49895540962622</v>
      </c>
      <c r="AK1091" s="6" t="n">
        <v>0.1182593097813581</v>
      </c>
      <c r="AL1091" s="6" t="n">
        <v>1.070641406752881</v>
      </c>
      <c r="AN1091" s="6" t="n">
        <v>1.338528763817425</v>
      </c>
      <c r="AO1091" s="6" t="n">
        <v>1.339289742199206</v>
      </c>
      <c r="AP1091" s="6" t="n">
        <v>0.1304162208838736</v>
      </c>
      <c r="AQ1091" s="6" t="n">
        <v>0</v>
      </c>
      <c r="AR1091" s="6" t="n">
        <v>0</v>
      </c>
    </row>
    <row r="1092">
      <c r="D1092" t="inlineStr">
        <is>
          <t>Run 780</t>
        </is>
      </c>
      <c r="J1092" s="6" t="n">
        <v>3.700212733554172</v>
      </c>
      <c r="K1092" s="6" t="n">
        <v>-3.56793837437928</v>
      </c>
      <c r="L1092" s="6" t="n">
        <v>-3.007911617986311</v>
      </c>
      <c r="M1092" s="6" t="n">
        <v>1.80427285313647</v>
      </c>
      <c r="N1092" s="6" t="n">
        <v>-1.677249126157315</v>
      </c>
      <c r="O1092" s="6" t="n">
        <v>1.042712362993647</v>
      </c>
      <c r="P1092" s="6" t="n">
        <v>-1.747087785279751</v>
      </c>
      <c r="Q1092" s="6" t="n">
        <v>-0.8429029429978707</v>
      </c>
      <c r="R1092" s="6" t="n">
        <v>0.7780333334413729</v>
      </c>
      <c r="S1092" s="6" t="n">
        <v>0.2609450231352181</v>
      </c>
      <c r="T1092" s="6" t="n">
        <v>-0.333885825565475</v>
      </c>
      <c r="U1092" s="6" t="n">
        <v>-1.873263886705928</v>
      </c>
      <c r="V1092" s="6" t="n">
        <v>-2.663860075898235</v>
      </c>
      <c r="W1092" s="6" t="n">
        <v>0.3506511367219635</v>
      </c>
      <c r="X1092" s="6" t="n">
        <v>-3.386814090783337</v>
      </c>
      <c r="Y1092" s="6" t="n">
        <v>1.449104494015716</v>
      </c>
      <c r="Z1092" s="6" t="n">
        <v>1.820825282873303</v>
      </c>
      <c r="AA1092" s="6" t="n">
        <v>0.8562790284380705</v>
      </c>
      <c r="AB1092" s="6" t="n">
        <v>3.561370034084671</v>
      </c>
      <c r="AC1092" s="6" t="n">
        <v>-1.291701205014266</v>
      </c>
      <c r="AD1092" s="6" t="n">
        <v>-0.6141343414398026</v>
      </c>
      <c r="AE1092" s="6" t="n">
        <v>5</v>
      </c>
      <c r="AF1092" s="6" t="n">
        <v>-1.655696176287258</v>
      </c>
      <c r="AG1092" s="6" t="n">
        <v>-1.899846813813773</v>
      </c>
      <c r="AH1092" s="6" t="n">
        <v>0.1751367264496181</v>
      </c>
      <c r="AI1092" s="6" t="n">
        <v>1.399096301327154</v>
      </c>
      <c r="AJ1092" s="6" t="n">
        <v>81.25860672701715</v>
      </c>
      <c r="AK1092" s="6" t="n">
        <v>0.1262387753309167</v>
      </c>
      <c r="AL1092" s="6" t="n">
        <v>1.087390002874712</v>
      </c>
      <c r="AN1092" s="6" t="n">
        <v>1.335053582212443</v>
      </c>
      <c r="AO1092" s="6" t="n">
        <v>1.335263121154478</v>
      </c>
      <c r="AP1092" s="6" t="n">
        <v>0.1300829615202255</v>
      </c>
      <c r="AQ1092" s="6" t="n">
        <v>0</v>
      </c>
      <c r="AR1092" s="6" t="n">
        <v>0</v>
      </c>
    </row>
    <row r="1093">
      <c r="D1093" t="inlineStr">
        <is>
          <t>Run 781</t>
        </is>
      </c>
      <c r="J1093" s="6" t="n">
        <v>-2.020418507048634</v>
      </c>
      <c r="K1093" s="6" t="n">
        <v>-0.1223864720051762</v>
      </c>
      <c r="L1093" s="6" t="n">
        <v>4.831461792663427</v>
      </c>
      <c r="M1093" s="6" t="n">
        <v>0.3127521598998799</v>
      </c>
      <c r="N1093" s="6" t="n">
        <v>-1.335917972775522</v>
      </c>
      <c r="O1093" s="6" t="n">
        <v>2.437676197489188</v>
      </c>
      <c r="P1093" s="6" t="n">
        <v>-2.063234528892527</v>
      </c>
      <c r="Q1093" s="6" t="n">
        <v>0.2212740784925348</v>
      </c>
      <c r="R1093" s="6" t="n">
        <v>-0.1459720184061808</v>
      </c>
      <c r="S1093" s="6" t="n">
        <v>2.807836569972847</v>
      </c>
      <c r="T1093" s="6" t="n">
        <v>2.808552146553655</v>
      </c>
      <c r="U1093" s="6" t="n">
        <v>-2.144991600563184</v>
      </c>
      <c r="V1093" s="6" t="n">
        <v>1.529823620399946</v>
      </c>
      <c r="W1093" s="6" t="n">
        <v>-2.335343100057081</v>
      </c>
      <c r="X1093" s="6" t="n">
        <v>1.591703774207625</v>
      </c>
      <c r="Y1093" s="6" t="n">
        <v>0.8788601202102877</v>
      </c>
      <c r="Z1093" s="6" t="n">
        <v>0.07475395719369758</v>
      </c>
      <c r="AA1093" s="6" t="n">
        <v>0.4328045637659133</v>
      </c>
      <c r="AB1093" s="6" t="n">
        <v>0.08922900946169028</v>
      </c>
      <c r="AC1093" s="6" t="n">
        <v>0.1483631819934765</v>
      </c>
      <c r="AD1093" s="6" t="n">
        <v>-0.2952129743471807</v>
      </c>
      <c r="AE1093" s="6" t="n">
        <v>0.7040327996180546</v>
      </c>
      <c r="AF1093" s="6" t="n">
        <v>-0.3346500967118051</v>
      </c>
      <c r="AG1093" s="6" t="n">
        <v>-0.1965415066816673</v>
      </c>
      <c r="AH1093" s="6" t="n">
        <v>0.02206887353434151</v>
      </c>
      <c r="AI1093" s="6" t="n">
        <v>-1.277829292987261</v>
      </c>
      <c r="AJ1093" s="6" t="n">
        <v>71.24341087163918</v>
      </c>
      <c r="AK1093" s="6" t="n">
        <v>0.1152198704014001</v>
      </c>
      <c r="AL1093" s="6" t="n">
        <v>1.076461393246289</v>
      </c>
      <c r="AN1093" s="6" t="n">
        <v>1.335220836911128</v>
      </c>
      <c r="AO1093" s="6" t="n">
        <v>1.335771226926593</v>
      </c>
      <c r="AP1093" s="6" t="n">
        <v>0.1306459110884287</v>
      </c>
      <c r="AQ1093" s="6" t="n">
        <v>0</v>
      </c>
      <c r="AR1093" s="6" t="n">
        <v>0</v>
      </c>
    </row>
    <row r="1094">
      <c r="D1094" t="inlineStr">
        <is>
          <t>Run 782</t>
        </is>
      </c>
      <c r="J1094" s="6" t="n">
        <v>2.567262389268585</v>
      </c>
      <c r="K1094" s="6" t="n">
        <v>-2.126472867436255</v>
      </c>
      <c r="L1094" s="6" t="n">
        <v>-1.936467169506904</v>
      </c>
      <c r="M1094" s="6" t="n">
        <v>2.905821389494003</v>
      </c>
      <c r="N1094" s="6" t="n">
        <v>-0.1421525568364995</v>
      </c>
      <c r="O1094" s="6" t="n">
        <v>3.584388539376925</v>
      </c>
      <c r="P1094" s="6" t="n">
        <v>-2.869164005922199</v>
      </c>
      <c r="Q1094" s="6" t="n">
        <v>-1.310163035143738</v>
      </c>
      <c r="R1094" s="6" t="n">
        <v>0.9979936768860816</v>
      </c>
      <c r="S1094" s="6" t="n">
        <v>2.801449909104308</v>
      </c>
      <c r="T1094" s="6" t="n">
        <v>2.767320046351946</v>
      </c>
      <c r="U1094" s="6" t="n">
        <v>-0.6103503123594334</v>
      </c>
      <c r="V1094" s="6" t="n">
        <v>-0.5032354119443068</v>
      </c>
      <c r="W1094" s="6" t="n">
        <v>1.168968737951711</v>
      </c>
      <c r="X1094" s="6" t="n">
        <v>2.053660812209215</v>
      </c>
      <c r="Y1094" s="6" t="n">
        <v>1.293802546524269</v>
      </c>
      <c r="Z1094" s="6" t="n">
        <v>-0.4362313872551827</v>
      </c>
      <c r="AA1094" s="6" t="n">
        <v>0.5573759638274207</v>
      </c>
      <c r="AB1094" s="6" t="n">
        <v>-0.485216766012779</v>
      </c>
      <c r="AC1094" s="6" t="n">
        <v>2.382689377594287</v>
      </c>
      <c r="AD1094" s="6" t="n">
        <v>-1.763103185864487</v>
      </c>
      <c r="AE1094" s="6" t="n">
        <v>-0.2183686995345911</v>
      </c>
      <c r="AF1094" s="6" t="n">
        <v>-3.737028133712951</v>
      </c>
      <c r="AG1094" s="6" t="n">
        <v>0.860493690221644</v>
      </c>
      <c r="AH1094" s="6" t="n">
        <v>1.907312775624588</v>
      </c>
      <c r="AI1094" s="6" t="n">
        <v>0.3559592396260826</v>
      </c>
      <c r="AJ1094" s="6" t="n">
        <v>80.45325549118607</v>
      </c>
      <c r="AK1094" s="6" t="n">
        <v>0.08345603812786122</v>
      </c>
      <c r="AL1094" s="6" t="n">
        <v>1.040395534373885</v>
      </c>
      <c r="AN1094" s="6" t="n">
        <v>1.354317232948441</v>
      </c>
      <c r="AO1094" s="6" t="n">
        <v>1.354633888387118</v>
      </c>
      <c r="AP1094" s="6" t="n">
        <v>0.1349470446344557</v>
      </c>
      <c r="AQ1094" s="6" t="n">
        <v>0</v>
      </c>
      <c r="AR1094" s="6" t="n">
        <v>0</v>
      </c>
    </row>
    <row r="1095">
      <c r="D1095" t="inlineStr">
        <is>
          <t>Run 783</t>
        </is>
      </c>
      <c r="J1095" s="6" t="n">
        <v>-3.780506113963222</v>
      </c>
      <c r="K1095" s="6" t="n">
        <v>1.402521014427767</v>
      </c>
      <c r="L1095" s="6" t="n">
        <v>3.042176511322855</v>
      </c>
      <c r="M1095" s="6" t="n">
        <v>-0.7530736284502472</v>
      </c>
      <c r="N1095" s="6" t="n">
        <v>1.373005779676608</v>
      </c>
      <c r="O1095" s="6" t="n">
        <v>-1.136824383551125</v>
      </c>
      <c r="P1095" s="6" t="n">
        <v>-1.63868951464486</v>
      </c>
      <c r="Q1095" s="6" t="n">
        <v>-1.423116553326987</v>
      </c>
      <c r="R1095" s="6" t="n">
        <v>-3.845557171346508</v>
      </c>
      <c r="S1095" s="6" t="n">
        <v>-1.373608579251723</v>
      </c>
      <c r="T1095" s="6" t="n">
        <v>0.3795120605973253</v>
      </c>
      <c r="U1095" s="6" t="n">
        <v>0.4770077454603461</v>
      </c>
      <c r="V1095" s="6" t="n">
        <v>4.984086885860006</v>
      </c>
      <c r="W1095" s="6" t="n">
        <v>-1.505988163086129</v>
      </c>
      <c r="X1095" s="6" t="n">
        <v>5</v>
      </c>
      <c r="Y1095" s="6" t="n">
        <v>0.8905753587360949</v>
      </c>
      <c r="Z1095" s="6" t="n">
        <v>-1.416266548713801</v>
      </c>
      <c r="AA1095" s="6" t="n">
        <v>1.106163882217884</v>
      </c>
      <c r="AB1095" s="6" t="n">
        <v>0.9169295286114366</v>
      </c>
      <c r="AC1095" s="6" t="n">
        <v>1.528356745770496</v>
      </c>
      <c r="AD1095" s="6" t="n">
        <v>-1.841665040911647</v>
      </c>
      <c r="AE1095" s="6" t="n">
        <v>-0.3152998646134536</v>
      </c>
      <c r="AF1095" s="6" t="n">
        <v>-1.082534527300603</v>
      </c>
      <c r="AG1095" s="6" t="n">
        <v>-4.259799730345166</v>
      </c>
      <c r="AH1095" s="6" t="n">
        <v>0.0307247551673433</v>
      </c>
      <c r="AI1095" s="6" t="n">
        <v>-3.537844519231878</v>
      </c>
      <c r="AJ1095" s="6" t="n">
        <v>58.50958713426568</v>
      </c>
      <c r="AK1095" s="6" t="n">
        <v>0.1431386079113461</v>
      </c>
      <c r="AL1095" s="6" t="n">
        <v>1.032009720559622</v>
      </c>
      <c r="AN1095" s="6" t="n">
        <v>1.342063181547113</v>
      </c>
      <c r="AO1095" s="6" t="n">
        <v>1.342256915157763</v>
      </c>
      <c r="AP1095" s="6" t="n">
        <v>0.1324413572552006</v>
      </c>
      <c r="AQ1095" s="6" t="n">
        <v>0</v>
      </c>
      <c r="AR1095" s="6" t="n">
        <v>0</v>
      </c>
    </row>
    <row r="1096">
      <c r="D1096" t="inlineStr">
        <is>
          <t>Run 784</t>
        </is>
      </c>
      <c r="J1096" s="6" t="n">
        <v>0.3522873756282737</v>
      </c>
      <c r="K1096" s="6" t="n">
        <v>2.082876889331391</v>
      </c>
      <c r="L1096" s="6" t="n">
        <v>-0.9176481803183186</v>
      </c>
      <c r="M1096" s="6" t="n">
        <v>1.017099246529792</v>
      </c>
      <c r="N1096" s="6" t="n">
        <v>3.066523399394872</v>
      </c>
      <c r="O1096" s="6" t="n">
        <v>0.9640825890055074</v>
      </c>
      <c r="P1096" s="6" t="n">
        <v>0.4652640285050894</v>
      </c>
      <c r="Q1096" s="6" t="n">
        <v>-0.3440598386652282</v>
      </c>
      <c r="R1096" s="6" t="n">
        <v>-2.775317547254473</v>
      </c>
      <c r="S1096" s="6" t="n">
        <v>1.061389785752978</v>
      </c>
      <c r="T1096" s="6" t="n">
        <v>-1.784816297900905</v>
      </c>
      <c r="U1096" s="6" t="n">
        <v>-2.254848283236436</v>
      </c>
      <c r="V1096" s="6" t="n">
        <v>0.4297710948296191</v>
      </c>
      <c r="W1096" s="6" t="n">
        <v>1.195875995555973</v>
      </c>
      <c r="X1096" s="6" t="n">
        <v>4.44857507392758</v>
      </c>
      <c r="Y1096" s="6" t="n">
        <v>-0.3228280436578117</v>
      </c>
      <c r="Z1096" s="6" t="n">
        <v>2.105814404744108</v>
      </c>
      <c r="AA1096" s="6" t="n">
        <v>0.9740941363453511</v>
      </c>
      <c r="AB1096" s="6" t="n">
        <v>-0.8861653930055211</v>
      </c>
      <c r="AC1096" s="6" t="n">
        <v>2.270196828689252</v>
      </c>
      <c r="AD1096" s="6" t="n">
        <v>-0.1432435556713207</v>
      </c>
      <c r="AE1096" s="6" t="n">
        <v>1.43413716267142</v>
      </c>
      <c r="AF1096" s="6" t="n">
        <v>0.7982746493091467</v>
      </c>
      <c r="AG1096" s="6" t="n">
        <v>-0.5786082961698211</v>
      </c>
      <c r="AH1096" s="6" t="n">
        <v>1.445363711555863</v>
      </c>
      <c r="AI1096" s="6" t="n">
        <v>0.3326718498849572</v>
      </c>
      <c r="AJ1096" s="6" t="n">
        <v>68.03429997923125</v>
      </c>
      <c r="AK1096" s="6" t="n">
        <v>0.1748369923208825</v>
      </c>
      <c r="AL1096" s="6" t="n">
        <v>1.002296923125685</v>
      </c>
      <c r="AN1096" s="6" t="n">
        <v>1.35236735525505</v>
      </c>
      <c r="AO1096" s="6" t="n">
        <v>1.35236735525505</v>
      </c>
      <c r="AP1096" s="6" t="n">
        <v>0.1364641472825151</v>
      </c>
      <c r="AQ1096" s="6" t="n">
        <v>0</v>
      </c>
      <c r="AR1096" s="6" t="n">
        <v>0</v>
      </c>
    </row>
    <row r="1097">
      <c r="D1097" t="inlineStr">
        <is>
          <t>Run 785</t>
        </is>
      </c>
      <c r="J1097" s="6" t="n">
        <v>2.053633388528213</v>
      </c>
      <c r="K1097" s="6" t="n">
        <v>0.7320545807864814</v>
      </c>
      <c r="L1097" s="6" t="n">
        <v>0.2458172762701319</v>
      </c>
      <c r="M1097" s="6" t="n">
        <v>-3.611453995156174</v>
      </c>
      <c r="N1097" s="6" t="n">
        <v>2.097611986389062</v>
      </c>
      <c r="O1097" s="6" t="n">
        <v>-1.971251904227319</v>
      </c>
      <c r="P1097" s="6" t="n">
        <v>3.765706328422744</v>
      </c>
      <c r="Q1097" s="6" t="n">
        <v>-2.249136077929915</v>
      </c>
      <c r="R1097" s="6" t="n">
        <v>-2.190840859756265</v>
      </c>
      <c r="S1097" s="6" t="n">
        <v>-0.8323217531658011</v>
      </c>
      <c r="T1097" s="6" t="n">
        <v>-2.248847810893573</v>
      </c>
      <c r="U1097" s="6" t="n">
        <v>1.977489128475792</v>
      </c>
      <c r="V1097" s="6" t="n">
        <v>-0.3931467754185689</v>
      </c>
      <c r="W1097" s="6" t="n">
        <v>1.122573700284813</v>
      </c>
      <c r="X1097" s="6" t="n">
        <v>0.198584599356889</v>
      </c>
      <c r="Y1097" s="6" t="n">
        <v>1.313016478759771</v>
      </c>
      <c r="Z1097" s="6" t="n">
        <v>-1.786333609477518</v>
      </c>
      <c r="AA1097" s="6" t="n">
        <v>-0.7845878456651285</v>
      </c>
      <c r="AB1097" s="6" t="n">
        <v>0.3365380464990622</v>
      </c>
      <c r="AC1097" s="6" t="n">
        <v>-0.8751625184065364</v>
      </c>
      <c r="AD1097" s="6" t="n">
        <v>-0.8602245925775777</v>
      </c>
      <c r="AE1097" s="6" t="n">
        <v>-2.383411902376205</v>
      </c>
      <c r="AF1097" s="6" t="n">
        <v>4.236823636590047</v>
      </c>
      <c r="AG1097" s="6" t="n">
        <v>2.252603500822774</v>
      </c>
      <c r="AH1097" s="6" t="n">
        <v>3.009975389546051</v>
      </c>
      <c r="AI1097" s="6" t="n">
        <v>2.052458176580257</v>
      </c>
      <c r="AJ1097" s="6" t="n">
        <v>75.29796982649501</v>
      </c>
      <c r="AK1097" s="6" t="n">
        <v>0.1657635896601924</v>
      </c>
      <c r="AL1097" s="6" t="n">
        <v>1.06675422748081</v>
      </c>
      <c r="AN1097" s="6" t="n">
        <v>1.301765279136968</v>
      </c>
      <c r="AO1097" s="6" t="n">
        <v>1.315244095625408</v>
      </c>
      <c r="AP1097" s="6" t="n">
        <v>0.1296215919033986</v>
      </c>
      <c r="AQ1097" s="6" t="n">
        <v>0</v>
      </c>
      <c r="AR1097" s="6" t="n">
        <v>0</v>
      </c>
    </row>
    <row r="1098">
      <c r="D1098" t="inlineStr">
        <is>
          <t>Run 786</t>
        </is>
      </c>
      <c r="J1098" s="6" t="n">
        <v>1.268633873827911</v>
      </c>
      <c r="K1098" s="6" t="n">
        <v>0.3939906925408519</v>
      </c>
      <c r="L1098" s="6" t="n">
        <v>-3.199933277768431</v>
      </c>
      <c r="M1098" s="6" t="n">
        <v>-3.659810597163546</v>
      </c>
      <c r="N1098" s="6" t="n">
        <v>-1.985417368269152</v>
      </c>
      <c r="O1098" s="6" t="n">
        <v>1.155951953983563</v>
      </c>
      <c r="P1098" s="6" t="n">
        <v>-0.4201853676959297</v>
      </c>
      <c r="Q1098" s="6" t="n">
        <v>1.04551475239847</v>
      </c>
      <c r="R1098" s="6" t="n">
        <v>1.514891646885349</v>
      </c>
      <c r="S1098" s="6" t="n">
        <v>0.4745258737980112</v>
      </c>
      <c r="T1098" s="6" t="n">
        <v>0.07642057639717754</v>
      </c>
      <c r="U1098" s="6" t="n">
        <v>-2.783496891346872</v>
      </c>
      <c r="V1098" s="6" t="n">
        <v>3.505524792365306</v>
      </c>
      <c r="W1098" s="6" t="n">
        <v>-1.699604190029157</v>
      </c>
      <c r="X1098" s="6" t="n">
        <v>-1.768676169838445</v>
      </c>
      <c r="Y1098" s="6" t="n">
        <v>0.8218250543674065</v>
      </c>
      <c r="Z1098" s="6" t="n">
        <v>5</v>
      </c>
      <c r="AA1098" s="6" t="n">
        <v>2.31042886555703</v>
      </c>
      <c r="AB1098" s="6" t="n">
        <v>1.370306162229974</v>
      </c>
      <c r="AC1098" s="6" t="n">
        <v>-0.9022545612773707</v>
      </c>
      <c r="AD1098" s="6" t="n">
        <v>-1.281837528363224</v>
      </c>
      <c r="AE1098" s="6" t="n">
        <v>0.08301119311376405</v>
      </c>
      <c r="AF1098" s="6" t="n">
        <v>-5.006576772721919</v>
      </c>
      <c r="AG1098" s="6" t="n">
        <v>1.877293472626952</v>
      </c>
      <c r="AH1098" s="6" t="n">
        <v>-2.091802153808185</v>
      </c>
      <c r="AI1098" s="6" t="n">
        <v>-0.01917257435971902</v>
      </c>
      <c r="AJ1098" s="6" t="n">
        <v>74.90318482759962</v>
      </c>
      <c r="AK1098" s="6" t="n">
        <v>0.1351815402092901</v>
      </c>
      <c r="AL1098" s="6" t="n">
        <v>1.042646585801764</v>
      </c>
      <c r="AN1098" s="6" t="n">
        <v>1.307051391625361</v>
      </c>
      <c r="AO1098" s="6" t="n">
        <v>1.313796345735563</v>
      </c>
      <c r="AP1098" s="6" t="n">
        <v>0.1324292159085997</v>
      </c>
      <c r="AQ1098" s="6" t="n">
        <v>0</v>
      </c>
      <c r="AR1098" s="6" t="n">
        <v>0</v>
      </c>
    </row>
    <row r="1099">
      <c r="D1099" t="inlineStr">
        <is>
          <t>Run 787</t>
        </is>
      </c>
      <c r="J1099" s="6" t="n">
        <v>2.81888654322639</v>
      </c>
      <c r="K1099" s="6" t="n">
        <v>-0.8953103071315064</v>
      </c>
      <c r="L1099" s="6" t="n">
        <v>-2.904021011328135</v>
      </c>
      <c r="M1099" s="6" t="n">
        <v>-1.258088931945093</v>
      </c>
      <c r="N1099" s="6" t="n">
        <v>-1.881177633172719</v>
      </c>
      <c r="O1099" s="6" t="n">
        <v>0.4457804941208091</v>
      </c>
      <c r="P1099" s="6" t="n">
        <v>1.420092172844277</v>
      </c>
      <c r="Q1099" s="6" t="n">
        <v>-4.538135307059119</v>
      </c>
      <c r="R1099" s="6" t="n">
        <v>1.596211209072497</v>
      </c>
      <c r="S1099" s="6" t="n">
        <v>2.581944187865647</v>
      </c>
      <c r="T1099" s="6" t="n">
        <v>-0.02023786746172886</v>
      </c>
      <c r="U1099" s="6" t="n">
        <v>-0.5235689506330921</v>
      </c>
      <c r="V1099" s="6" t="n">
        <v>-2.532440356953522</v>
      </c>
      <c r="W1099" s="6" t="n">
        <v>-0.4974211274691522</v>
      </c>
      <c r="X1099" s="6" t="n">
        <v>1.501602109930559</v>
      </c>
      <c r="Y1099" s="6" t="n">
        <v>-1.474778971169554</v>
      </c>
      <c r="Z1099" s="6" t="n">
        <v>1.425203251788478</v>
      </c>
      <c r="AA1099" s="6" t="n">
        <v>1.670302445914349</v>
      </c>
      <c r="AB1099" s="6" t="n">
        <v>0.8497743335887799</v>
      </c>
      <c r="AC1099" s="6" t="n">
        <v>1.613910493039811</v>
      </c>
      <c r="AD1099" s="6" t="n">
        <v>-1.498129470154325</v>
      </c>
      <c r="AE1099" s="6" t="n">
        <v>-0.9042947455864097</v>
      </c>
      <c r="AF1099" s="6" t="n">
        <v>1.873529740146494</v>
      </c>
      <c r="AG1099" s="6" t="n">
        <v>-0.07869400794902626</v>
      </c>
      <c r="AH1099" s="6" t="n">
        <v>-2.529891856566086</v>
      </c>
      <c r="AI1099" s="6" t="n">
        <v>3.501146746485734</v>
      </c>
      <c r="AJ1099" s="6" t="n">
        <v>61.77838682804453</v>
      </c>
      <c r="AK1099" s="6" t="n">
        <v>0.13473885485786</v>
      </c>
      <c r="AL1099" s="6" t="n">
        <v>1.042605314650723</v>
      </c>
      <c r="AN1099" s="6" t="n">
        <v>1.338662964032137</v>
      </c>
      <c r="AO1099" s="6" t="n">
        <v>1.34188973196707</v>
      </c>
      <c r="AP1099" s="6" t="n">
        <v>0.131562988982802</v>
      </c>
      <c r="AQ1099" s="6" t="n">
        <v>0</v>
      </c>
      <c r="AR1099" s="6" t="n">
        <v>0</v>
      </c>
    </row>
    <row r="1100">
      <c r="D1100" t="inlineStr">
        <is>
          <t>Run 788</t>
        </is>
      </c>
      <c r="J1100" s="6" t="n">
        <v>1.952842422461714</v>
      </c>
      <c r="K1100" s="6" t="n">
        <v>-0.007581935964761858</v>
      </c>
      <c r="L1100" s="6" t="n">
        <v>-2.81266216876681</v>
      </c>
      <c r="M1100" s="6" t="n">
        <v>1.674674301423596</v>
      </c>
      <c r="N1100" s="6" t="n">
        <v>-0.07046581323342339</v>
      </c>
      <c r="O1100" s="6" t="n">
        <v>-0.9686244153779027</v>
      </c>
      <c r="P1100" s="6" t="n">
        <v>-1.647429160839952</v>
      </c>
      <c r="Q1100" s="6" t="n">
        <v>0.1243579245857379</v>
      </c>
      <c r="R1100" s="6" t="n">
        <v>3.431221157891158</v>
      </c>
      <c r="S1100" s="6" t="n">
        <v>1.565795014450406</v>
      </c>
      <c r="T1100" s="6" t="n">
        <v>-1.416100221379971</v>
      </c>
      <c r="U1100" s="6" t="n">
        <v>-0.04306113560118131</v>
      </c>
      <c r="V1100" s="6" t="n">
        <v>2.337433372579364</v>
      </c>
      <c r="W1100" s="6" t="n">
        <v>-2.562120233122007</v>
      </c>
      <c r="X1100" s="6" t="n">
        <v>2.898423054630717</v>
      </c>
      <c r="Y1100" s="6" t="n">
        <v>0.06843864361228388</v>
      </c>
      <c r="Z1100" s="6" t="n">
        <v>-0.8464180449486288</v>
      </c>
      <c r="AA1100" s="6" t="n">
        <v>2.515902786330495</v>
      </c>
      <c r="AB1100" s="6" t="n">
        <v>-1.655961683743292</v>
      </c>
      <c r="AC1100" s="6" t="n">
        <v>0.1413523619246417</v>
      </c>
      <c r="AD1100" s="6" t="n">
        <v>2.38923162505516</v>
      </c>
      <c r="AE1100" s="6" t="n">
        <v>0.3763454601988124</v>
      </c>
      <c r="AF1100" s="6" t="n">
        <v>0.8484766116013522</v>
      </c>
      <c r="AG1100" s="6" t="n">
        <v>0.643703920470037</v>
      </c>
      <c r="AH1100" s="6" t="n">
        <v>-0.421454129057343</v>
      </c>
      <c r="AI1100" s="6" t="n">
        <v>0.02398692733557024</v>
      </c>
      <c r="AJ1100" s="6" t="n">
        <v>69.44868237109372</v>
      </c>
      <c r="AK1100" s="6" t="n">
        <v>0.1510551652257356</v>
      </c>
      <c r="AL1100" s="6" t="n">
        <v>1.015706348662931</v>
      </c>
      <c r="AN1100" s="6" t="n">
        <v>1.351121888861319</v>
      </c>
      <c r="AO1100" s="6" t="n">
        <v>1.351121888861319</v>
      </c>
      <c r="AP1100" s="6" t="n">
        <v>0.1353923974156774</v>
      </c>
      <c r="AQ1100" s="6" t="n">
        <v>0</v>
      </c>
      <c r="AR1100" s="6" t="n">
        <v>0</v>
      </c>
    </row>
    <row r="1101">
      <c r="D1101" t="inlineStr">
        <is>
          <t>Run 789</t>
        </is>
      </c>
      <c r="J1101" s="6" t="n">
        <v>-0.6406343271420972</v>
      </c>
      <c r="K1101" s="6" t="n">
        <v>-0.08564343685102362</v>
      </c>
      <c r="L1101" s="6" t="n">
        <v>0.8867329424231807</v>
      </c>
      <c r="M1101" s="6" t="n">
        <v>-1.979544009355493</v>
      </c>
      <c r="N1101" s="6" t="n">
        <v>0.2825632679368607</v>
      </c>
      <c r="O1101" s="6" t="n">
        <v>1.373117153585956</v>
      </c>
      <c r="P1101" s="6" t="n">
        <v>-2.923697750425997</v>
      </c>
      <c r="Q1101" s="6" t="n">
        <v>5</v>
      </c>
      <c r="R1101" s="6" t="n">
        <v>3.173055243495118</v>
      </c>
      <c r="S1101" s="6" t="n">
        <v>0.08943908791458653</v>
      </c>
      <c r="T1101" s="6" t="n">
        <v>-1.272353169150136</v>
      </c>
      <c r="U1101" s="6" t="n">
        <v>1.107776904277149</v>
      </c>
      <c r="V1101" s="6" t="n">
        <v>-1.693977857054764</v>
      </c>
      <c r="W1101" s="6" t="n">
        <v>1.661876019873278</v>
      </c>
      <c r="X1101" s="6" t="n">
        <v>-0.4805387013313056</v>
      </c>
      <c r="Y1101" s="6" t="n">
        <v>0.8400668926639081</v>
      </c>
      <c r="Z1101" s="6" t="n">
        <v>-0.1152212015963407</v>
      </c>
      <c r="AA1101" s="6" t="n">
        <v>0.2295782181215327</v>
      </c>
      <c r="AB1101" s="6" t="n">
        <v>1.513310990923174</v>
      </c>
      <c r="AC1101" s="6" t="n">
        <v>0.5491749528369928</v>
      </c>
      <c r="AD1101" s="6" t="n">
        <v>0.4811353080497142</v>
      </c>
      <c r="AE1101" s="6" t="n">
        <v>5</v>
      </c>
      <c r="AF1101" s="6" t="n">
        <v>-4.120851685707802</v>
      </c>
      <c r="AG1101" s="6" t="n">
        <v>-0.4674734105507672</v>
      </c>
      <c r="AH1101" s="6" t="n">
        <v>1.272026256351239</v>
      </c>
      <c r="AI1101" s="6" t="n">
        <v>-3.738024833129133</v>
      </c>
      <c r="AJ1101" s="6" t="n">
        <v>74.92739698435452</v>
      </c>
      <c r="AK1101" s="6" t="n">
        <v>0.1135436015777473</v>
      </c>
      <c r="AL1101" s="6" t="n">
        <v>1.07182998890833</v>
      </c>
      <c r="AN1101" s="6" t="n">
        <v>1.327313070045813</v>
      </c>
      <c r="AO1101" s="6" t="n">
        <v>1.33315219114603</v>
      </c>
      <c r="AP1101" s="6" t="n">
        <v>0.1310437373293911</v>
      </c>
      <c r="AQ1101" s="6" t="n">
        <v>0</v>
      </c>
      <c r="AR1101" s="6" t="n">
        <v>0</v>
      </c>
    </row>
    <row r="1102">
      <c r="D1102" t="inlineStr">
        <is>
          <t>Run 790</t>
        </is>
      </c>
      <c r="J1102" s="6" t="n">
        <v>0.6888835243656796</v>
      </c>
      <c r="K1102" s="6" t="n">
        <v>-0.9165909223251066</v>
      </c>
      <c r="L1102" s="6" t="n">
        <v>2.230417036156297</v>
      </c>
      <c r="M1102" s="6" t="n">
        <v>1.43335560534978</v>
      </c>
      <c r="N1102" s="6" t="n">
        <v>-1.23211143374848</v>
      </c>
      <c r="O1102" s="6" t="n">
        <v>-2.321802816960084</v>
      </c>
      <c r="P1102" s="6" t="n">
        <v>-2.209283157321839</v>
      </c>
      <c r="Q1102" s="6" t="n">
        <v>-0.06694936753213743</v>
      </c>
      <c r="R1102" s="6" t="n">
        <v>-1.648337267623803</v>
      </c>
      <c r="S1102" s="6" t="n">
        <v>-0.8538450446704302</v>
      </c>
      <c r="T1102" s="6" t="n">
        <v>-1.717226862994371</v>
      </c>
      <c r="U1102" s="6" t="n">
        <v>-2.308022093398465</v>
      </c>
      <c r="V1102" s="6" t="n">
        <v>0.08037957296820741</v>
      </c>
      <c r="W1102" s="6" t="n">
        <v>-0.5633079347255548</v>
      </c>
      <c r="X1102" s="6" t="n">
        <v>-1.270253522226245</v>
      </c>
      <c r="Y1102" s="6" t="n">
        <v>2.09285081143275</v>
      </c>
      <c r="Z1102" s="6" t="n">
        <v>4.980114559974075</v>
      </c>
      <c r="AA1102" s="6" t="n">
        <v>0.434823603901343</v>
      </c>
      <c r="AB1102" s="6" t="n">
        <v>1.629497441687215</v>
      </c>
      <c r="AC1102" s="6" t="n">
        <v>-1.662197238075172</v>
      </c>
      <c r="AD1102" s="6" t="n">
        <v>1.953143670285019</v>
      </c>
      <c r="AE1102" s="6" t="n">
        <v>0.1858790098318015</v>
      </c>
      <c r="AF1102" s="6" t="n">
        <v>3.628830814313005</v>
      </c>
      <c r="AG1102" s="6" t="n">
        <v>-0.8752660162432286</v>
      </c>
      <c r="AH1102" s="6" t="n">
        <v>2.074907109125556</v>
      </c>
      <c r="AI1102" s="6" t="n">
        <v>-4.898191667152656</v>
      </c>
      <c r="AJ1102" s="6" t="n">
        <v>72.3217213007771</v>
      </c>
      <c r="AK1102" s="6" t="n">
        <v>0.1289965525316369</v>
      </c>
      <c r="AL1102" s="6" t="n">
        <v>1.055409025529787</v>
      </c>
      <c r="AN1102" s="6" t="n">
        <v>1.344165263409294</v>
      </c>
      <c r="AO1102" s="6" t="n">
        <v>1.344313461160132</v>
      </c>
      <c r="AP1102" s="6" t="n">
        <v>0.1318372163228838</v>
      </c>
      <c r="AQ1102" s="6" t="n">
        <v>0</v>
      </c>
      <c r="AR1102" s="6" t="n">
        <v>0</v>
      </c>
    </row>
    <row r="1103">
      <c r="D1103" t="inlineStr">
        <is>
          <t>Run 791</t>
        </is>
      </c>
      <c r="J1103" s="6" t="n">
        <v>0.9983086161288105</v>
      </c>
      <c r="K1103" s="6" t="n">
        <v>-1.37899321228643</v>
      </c>
      <c r="L1103" s="6" t="n">
        <v>-1.128569107525646</v>
      </c>
      <c r="M1103" s="6" t="n">
        <v>-0.8431080906725071</v>
      </c>
      <c r="N1103" s="6" t="n">
        <v>-1.367056396877991</v>
      </c>
      <c r="O1103" s="6" t="n">
        <v>-3.169601330677839</v>
      </c>
      <c r="P1103" s="6" t="n">
        <v>1.264813249450197</v>
      </c>
      <c r="Q1103" s="6" t="n">
        <v>-0.1451389062319903</v>
      </c>
      <c r="R1103" s="6" t="n">
        <v>-2.480403402490652</v>
      </c>
      <c r="S1103" s="6" t="n">
        <v>2.55754673941499</v>
      </c>
      <c r="T1103" s="6" t="n">
        <v>-0.6315849325304091</v>
      </c>
      <c r="U1103" s="6" t="n">
        <v>1.154758918190831</v>
      </c>
      <c r="V1103" s="6" t="n">
        <v>1.829491708482557</v>
      </c>
      <c r="W1103" s="6" t="n">
        <v>-0.7015672088027578</v>
      </c>
      <c r="X1103" s="6" t="n">
        <v>1.843095702685578</v>
      </c>
      <c r="Y1103" s="6" t="n">
        <v>4.796439224088926</v>
      </c>
      <c r="Z1103" s="6" t="n">
        <v>2.914133262980245</v>
      </c>
      <c r="AA1103" s="6" t="n">
        <v>1.132281716363758</v>
      </c>
      <c r="AB1103" s="6" t="n">
        <v>-4.837965823578509</v>
      </c>
      <c r="AC1103" s="6" t="n">
        <v>1.115278624418281</v>
      </c>
      <c r="AD1103" s="6" t="n">
        <v>1.437748053651172</v>
      </c>
      <c r="AE1103" s="6" t="n">
        <v>-2.455846532556694</v>
      </c>
      <c r="AF1103" s="6" t="n">
        <v>1.467872832344185</v>
      </c>
      <c r="AG1103" s="6" t="n">
        <v>3.322125562422018</v>
      </c>
      <c r="AH1103" s="6" t="n">
        <v>-0.3570669650217986</v>
      </c>
      <c r="AI1103" s="6" t="n">
        <v>0.2376614347967113</v>
      </c>
      <c r="AJ1103" s="6" t="n">
        <v>66.36122282949442</v>
      </c>
      <c r="AK1103" s="6" t="n">
        <v>0.1859863937602977</v>
      </c>
      <c r="AL1103" s="6" t="n">
        <v>1.021832388796905</v>
      </c>
      <c r="AN1103" s="6" t="n">
        <v>1.347357219181847</v>
      </c>
      <c r="AO1103" s="6" t="n">
        <v>1.347357219181847</v>
      </c>
      <c r="AP1103" s="6" t="n">
        <v>0.1335222671951217</v>
      </c>
      <c r="AQ1103" s="6" t="n">
        <v>0</v>
      </c>
      <c r="AR1103" s="6" t="n">
        <v>0</v>
      </c>
    </row>
    <row r="1104">
      <c r="D1104" t="inlineStr">
        <is>
          <t>Run 792</t>
        </is>
      </c>
      <c r="J1104" s="6" t="n">
        <v>0.133368561790378</v>
      </c>
      <c r="K1104" s="6" t="n">
        <v>4.411427039003439</v>
      </c>
      <c r="L1104" s="6" t="n">
        <v>-0.08927347088977559</v>
      </c>
      <c r="M1104" s="6" t="n">
        <v>3.002790405080533</v>
      </c>
      <c r="N1104" s="6" t="n">
        <v>3.998184426223141</v>
      </c>
      <c r="O1104" s="6" t="n">
        <v>-1.463610730016753</v>
      </c>
      <c r="P1104" s="6" t="n">
        <v>0.6175664907270293</v>
      </c>
      <c r="Q1104" s="6" t="n">
        <v>2.443146107098171</v>
      </c>
      <c r="R1104" s="6" t="n">
        <v>0.6985433015020888</v>
      </c>
      <c r="S1104" s="6" t="n">
        <v>-0.6193183549168142</v>
      </c>
      <c r="T1104" s="6" t="n">
        <v>3.386443036723226</v>
      </c>
      <c r="U1104" s="6" t="n">
        <v>0.6634545406684651</v>
      </c>
      <c r="V1104" s="6" t="n">
        <v>-0.2607592400919351</v>
      </c>
      <c r="W1104" s="6" t="n">
        <v>2.060536309815781</v>
      </c>
      <c r="X1104" s="6" t="n">
        <v>2.667991497194569</v>
      </c>
      <c r="Y1104" s="6" t="n">
        <v>-3.000431272686853</v>
      </c>
      <c r="Z1104" s="6" t="n">
        <v>1.35705526197483</v>
      </c>
      <c r="AA1104" s="6" t="n">
        <v>1.63669059311138</v>
      </c>
      <c r="AB1104" s="6" t="n">
        <v>1.613595375555108</v>
      </c>
      <c r="AC1104" s="6" t="n">
        <v>-1.445286110856531</v>
      </c>
      <c r="AD1104" s="6" t="n">
        <v>0.1536214073114517</v>
      </c>
      <c r="AE1104" s="6" t="n">
        <v>1.352233979240234</v>
      </c>
      <c r="AF1104" s="6" t="n">
        <v>0.4099154116039145</v>
      </c>
      <c r="AG1104" s="6" t="n">
        <v>-1.167123364678495</v>
      </c>
      <c r="AH1104" s="6" t="n">
        <v>0.5263510901824883</v>
      </c>
      <c r="AI1104" s="6" t="n">
        <v>1.326445264600622</v>
      </c>
      <c r="AJ1104" s="6" t="n">
        <v>55.44404450158846</v>
      </c>
      <c r="AK1104" s="6" t="n">
        <v>0.1717601575846041</v>
      </c>
      <c r="AL1104" s="6" t="n">
        <v>1.050943731874405</v>
      </c>
      <c r="AN1104" s="6" t="n">
        <v>1.332088847211285</v>
      </c>
      <c r="AO1104" s="6" t="n">
        <v>1.332705987897507</v>
      </c>
      <c r="AP1104" s="6" t="n">
        <v>0.1299836245610651</v>
      </c>
      <c r="AQ1104" s="6" t="n">
        <v>0</v>
      </c>
      <c r="AR1104" s="6" t="n">
        <v>0</v>
      </c>
    </row>
    <row r="1105">
      <c r="D1105" t="inlineStr">
        <is>
          <t>Run 793</t>
        </is>
      </c>
      <c r="J1105" s="6" t="n">
        <v>3.355217300238278</v>
      </c>
      <c r="K1105" s="6" t="n">
        <v>-1.708291941323773</v>
      </c>
      <c r="L1105" s="6" t="n">
        <v>0.7389973127929044</v>
      </c>
      <c r="M1105" s="6" t="n">
        <v>-1.177574115529359</v>
      </c>
      <c r="N1105" s="6" t="n">
        <v>-1.76178657253486</v>
      </c>
      <c r="O1105" s="6" t="n">
        <v>-5.028520753076813</v>
      </c>
      <c r="P1105" s="6" t="n">
        <v>0.6518409962130668</v>
      </c>
      <c r="Q1105" s="6" t="n">
        <v>-3.958134921552556</v>
      </c>
      <c r="R1105" s="6" t="n">
        <v>-2.750404642589516</v>
      </c>
      <c r="S1105" s="6" t="n">
        <v>-1.521590922335867</v>
      </c>
      <c r="T1105" s="6" t="n">
        <v>-0.1419029439179325</v>
      </c>
      <c r="U1105" s="6" t="n">
        <v>-2.771007283885523</v>
      </c>
      <c r="V1105" s="6" t="n">
        <v>0.7432741398459621</v>
      </c>
      <c r="W1105" s="6" t="n">
        <v>-0.04325062194522884</v>
      </c>
      <c r="X1105" s="6" t="n">
        <v>-1.243016857999836</v>
      </c>
      <c r="Y1105" s="6" t="n">
        <v>-2.399619240048967</v>
      </c>
      <c r="Z1105" s="6" t="n">
        <v>-0.6345110466951788</v>
      </c>
      <c r="AA1105" s="6" t="n">
        <v>-2.827404572030908</v>
      </c>
      <c r="AB1105" s="6" t="n">
        <v>1.532266186333834</v>
      </c>
      <c r="AC1105" s="6" t="n">
        <v>0.6120840893548695</v>
      </c>
      <c r="AD1105" s="6" t="n">
        <v>-1.666334366131633</v>
      </c>
      <c r="AE1105" s="6" t="n">
        <v>3.010284837955549</v>
      </c>
      <c r="AF1105" s="6" t="n">
        <v>2.801428863604106</v>
      </c>
      <c r="AG1105" s="6" t="n">
        <v>-2.797904848596725</v>
      </c>
      <c r="AH1105" s="6" t="n">
        <v>2.611091550813549</v>
      </c>
      <c r="AI1105" s="6" t="n">
        <v>-0.05525918235946085</v>
      </c>
      <c r="AJ1105" s="6" t="n">
        <v>67.86696262856937</v>
      </c>
      <c r="AK1105" s="6" t="n">
        <v>0.1425765262122026</v>
      </c>
      <c r="AL1105" s="6" t="n">
        <v>1.073851940943413</v>
      </c>
      <c r="AN1105" s="6" t="n">
        <v>1.310979184688807</v>
      </c>
      <c r="AO1105" s="6" t="n">
        <v>1.320297392259164</v>
      </c>
      <c r="AP1105" s="6" t="n">
        <v>0.1292253290993448</v>
      </c>
      <c r="AQ1105" s="6" t="n">
        <v>0</v>
      </c>
      <c r="AR1105" s="6" t="n">
        <v>0</v>
      </c>
    </row>
    <row r="1106">
      <c r="D1106" t="inlineStr">
        <is>
          <t>Run 794</t>
        </is>
      </c>
      <c r="J1106" s="6" t="n">
        <v>-1.660500891649175</v>
      </c>
      <c r="K1106" s="6" t="n">
        <v>2.481669678959574</v>
      </c>
      <c r="L1106" s="6" t="n">
        <v>2.700932261750415</v>
      </c>
      <c r="M1106" s="6" t="n">
        <v>1.32028674505574</v>
      </c>
      <c r="N1106" s="6" t="n">
        <v>-1.784262572434308</v>
      </c>
      <c r="O1106" s="6" t="n">
        <v>-1.534026693607303</v>
      </c>
      <c r="P1106" s="6" t="n">
        <v>2.793778704443767</v>
      </c>
      <c r="Q1106" s="6" t="n">
        <v>-2.644463581283313</v>
      </c>
      <c r="R1106" s="6" t="n">
        <v>1.032534172537821</v>
      </c>
      <c r="S1106" s="6" t="n">
        <v>0.1006913593715022</v>
      </c>
      <c r="T1106" s="6" t="n">
        <v>0.9724739226472291</v>
      </c>
      <c r="U1106" s="6" t="n">
        <v>-0.4389046114037632</v>
      </c>
      <c r="V1106" s="6" t="n">
        <v>-0.3728337306032922</v>
      </c>
      <c r="W1106" s="6" t="n">
        <v>-2.318367604851423</v>
      </c>
      <c r="X1106" s="6" t="n">
        <v>4.881140622926877</v>
      </c>
      <c r="Y1106" s="6" t="n">
        <v>0.4774873163150744</v>
      </c>
      <c r="Z1106" s="6" t="n">
        <v>1.884299384066341</v>
      </c>
      <c r="AA1106" s="6" t="n">
        <v>0.654037661694907</v>
      </c>
      <c r="AB1106" s="6" t="n">
        <v>-0.5604860622565461</v>
      </c>
      <c r="AC1106" s="6" t="n">
        <v>1.415610765274401</v>
      </c>
      <c r="AD1106" s="6" t="n">
        <v>0.2242538550313885</v>
      </c>
      <c r="AE1106" s="6" t="n">
        <v>0.7458864620653268</v>
      </c>
      <c r="AF1106" s="6" t="n">
        <v>1.435091737460464</v>
      </c>
      <c r="AG1106" s="6" t="n">
        <v>-1.908025059113209</v>
      </c>
      <c r="AH1106" s="6" t="n">
        <v>-1.211883014455428</v>
      </c>
      <c r="AI1106" s="6" t="n">
        <v>3.236711536685903</v>
      </c>
      <c r="AJ1106" s="6" t="n">
        <v>69.50860214914775</v>
      </c>
      <c r="AK1106" s="6" t="n">
        <v>0.1036480793067969</v>
      </c>
      <c r="AL1106" s="6" t="n">
        <v>1.027815945146221</v>
      </c>
      <c r="AN1106" s="6" t="n">
        <v>1.349503794936526</v>
      </c>
      <c r="AO1106" s="6" t="n">
        <v>1.350432839932316</v>
      </c>
      <c r="AP1106" s="6" t="n">
        <v>0.1345852949981207</v>
      </c>
      <c r="AQ1106" s="6" t="n">
        <v>0</v>
      </c>
      <c r="AR1106" s="6" t="n">
        <v>0</v>
      </c>
    </row>
    <row r="1107">
      <c r="D1107" t="inlineStr">
        <is>
          <t>Run 795</t>
        </is>
      </c>
      <c r="J1107" s="6" t="n">
        <v>2.935155896889754</v>
      </c>
      <c r="K1107" s="6" t="n">
        <v>-2.652352222928972</v>
      </c>
      <c r="L1107" s="6" t="n">
        <v>1.149366160119979</v>
      </c>
      <c r="M1107" s="6" t="n">
        <v>0.4510901668597396</v>
      </c>
      <c r="N1107" s="6" t="n">
        <v>1.669665239346623</v>
      </c>
      <c r="O1107" s="6" t="n">
        <v>0.6599612680681824</v>
      </c>
      <c r="P1107" s="6" t="n">
        <v>-1.50598117854155</v>
      </c>
      <c r="Q1107" s="6" t="n">
        <v>-0.9789930546961466</v>
      </c>
      <c r="R1107" s="6" t="n">
        <v>-2.781740000998282</v>
      </c>
      <c r="S1107" s="6" t="n">
        <v>-0.2780948419021207</v>
      </c>
      <c r="T1107" s="6" t="n">
        <v>4.194950969400448</v>
      </c>
      <c r="U1107" s="6" t="n">
        <v>-2.24940171524488</v>
      </c>
      <c r="V1107" s="6" t="n">
        <v>-1.610060415249213</v>
      </c>
      <c r="W1107" s="6" t="n">
        <v>3.363808178879661</v>
      </c>
      <c r="X1107" s="6" t="n">
        <v>2.366596837020591</v>
      </c>
      <c r="Y1107" s="6" t="n">
        <v>0.547562317670082</v>
      </c>
      <c r="Z1107" s="6" t="n">
        <v>2.207701901234003</v>
      </c>
      <c r="AA1107" s="6" t="n">
        <v>1.219912123517205</v>
      </c>
      <c r="AB1107" s="6" t="n">
        <v>0.6618133272438846</v>
      </c>
      <c r="AC1107" s="6" t="n">
        <v>-0.5551170406801651</v>
      </c>
      <c r="AD1107" s="6" t="n">
        <v>-2.556712068486869</v>
      </c>
      <c r="AE1107" s="6" t="n">
        <v>-0.4917799801370127</v>
      </c>
      <c r="AF1107" s="6" t="n">
        <v>1.822644174884752</v>
      </c>
      <c r="AG1107" s="6" t="n">
        <v>2.332193954415448</v>
      </c>
      <c r="AH1107" s="6" t="n">
        <v>0.5942536249697148</v>
      </c>
      <c r="AI1107" s="6" t="n">
        <v>-0.1442168703169489</v>
      </c>
      <c r="AJ1107" s="6" t="n">
        <v>78.98179351202181</v>
      </c>
      <c r="AK1107" s="6" t="n">
        <v>0.2035808688738444</v>
      </c>
      <c r="AL1107" s="6" t="n">
        <v>1.0758856389771</v>
      </c>
      <c r="AN1107" s="6" t="n">
        <v>1.32874110893734</v>
      </c>
      <c r="AO1107" s="6" t="n">
        <v>1.329077671762523</v>
      </c>
      <c r="AP1107" s="6" t="n">
        <v>0.1285528637382989</v>
      </c>
      <c r="AQ1107" s="6" t="n">
        <v>0</v>
      </c>
      <c r="AR1107" s="6" t="n">
        <v>0</v>
      </c>
    </row>
    <row r="1108">
      <c r="D1108" t="inlineStr">
        <is>
          <t>Run 796</t>
        </is>
      </c>
      <c r="J1108" s="6" t="n">
        <v>-0.6617118324072558</v>
      </c>
      <c r="K1108" s="6" t="n">
        <v>-3.557722793037465</v>
      </c>
      <c r="L1108" s="6" t="n">
        <v>0.8752071380162098</v>
      </c>
      <c r="M1108" s="6" t="n">
        <v>0.1290984073771107</v>
      </c>
      <c r="N1108" s="6" t="n">
        <v>2.03320878859792</v>
      </c>
      <c r="O1108" s="6" t="n">
        <v>2.271713747586348</v>
      </c>
      <c r="P1108" s="6" t="n">
        <v>-1.703904226797336</v>
      </c>
      <c r="Q1108" s="6" t="n">
        <v>1.64386564959816</v>
      </c>
      <c r="R1108" s="6" t="n">
        <v>0.4032065361949352</v>
      </c>
      <c r="S1108" s="6" t="n">
        <v>-3.006599311542026</v>
      </c>
      <c r="T1108" s="6" t="n">
        <v>-1.097524890943647</v>
      </c>
      <c r="U1108" s="6" t="n">
        <v>-1.579407111235104</v>
      </c>
      <c r="V1108" s="6" t="n">
        <v>-0.4661601917862771</v>
      </c>
      <c r="W1108" s="6" t="n">
        <v>2.028252412508061</v>
      </c>
      <c r="X1108" s="6" t="n">
        <v>0.1598937492123494</v>
      </c>
      <c r="Y1108" s="6" t="n">
        <v>0.9870877327566975</v>
      </c>
      <c r="Z1108" s="6" t="n">
        <v>-5.209830270025156</v>
      </c>
      <c r="AA1108" s="6" t="n">
        <v>0.7327707295620252</v>
      </c>
      <c r="AB1108" s="6" t="n">
        <v>-2.722841220926069</v>
      </c>
      <c r="AC1108" s="6" t="n">
        <v>-0.6327389757759021</v>
      </c>
      <c r="AD1108" s="6" t="n">
        <v>-1.286487279948097</v>
      </c>
      <c r="AE1108" s="6" t="n">
        <v>0.6468005058707271</v>
      </c>
      <c r="AF1108" s="6" t="n">
        <v>2.539167579194304</v>
      </c>
      <c r="AG1108" s="6" t="n">
        <v>0.6414317174598334</v>
      </c>
      <c r="AH1108" s="6" t="n">
        <v>-1.993478683151156</v>
      </c>
      <c r="AI1108" s="6" t="n">
        <v>-0.8502865188348075</v>
      </c>
      <c r="AJ1108" s="6" t="n">
        <v>78.02561862062944</v>
      </c>
      <c r="AK1108" s="6" t="n">
        <v>0.02824037403635273</v>
      </c>
      <c r="AL1108" s="6" t="n">
        <v>1.093177899340204</v>
      </c>
      <c r="AN1108" s="6" t="n">
        <v>1.341125859110733</v>
      </c>
      <c r="AO1108" s="6" t="n">
        <v>1.343119262071478</v>
      </c>
      <c r="AP1108" s="6" t="n">
        <v>0.1322471851672776</v>
      </c>
      <c r="AQ1108" s="6" t="n">
        <v>0</v>
      </c>
      <c r="AR1108" s="6" t="n">
        <v>0</v>
      </c>
    </row>
    <row r="1109">
      <c r="D1109" t="inlineStr">
        <is>
          <t>Run 797</t>
        </is>
      </c>
      <c r="J1109" s="6" t="n">
        <v>0.6635810120708708</v>
      </c>
      <c r="K1109" s="6" t="n">
        <v>-1.347866865080664</v>
      </c>
      <c r="L1109" s="6" t="n">
        <v>-3.576362741856967</v>
      </c>
      <c r="M1109" s="6" t="n">
        <v>-3.402325419969803</v>
      </c>
      <c r="N1109" s="6" t="n">
        <v>0.8096089622066319</v>
      </c>
      <c r="O1109" s="6" t="n">
        <v>4.566892639704415</v>
      </c>
      <c r="P1109" s="6" t="n">
        <v>1.947325972601457</v>
      </c>
      <c r="Q1109" s="6" t="n">
        <v>0.4594445870810637</v>
      </c>
      <c r="R1109" s="6" t="n">
        <v>0.6400072207865155</v>
      </c>
      <c r="S1109" s="6" t="n">
        <v>0.4483011735817168</v>
      </c>
      <c r="T1109" s="6" t="n">
        <v>0.8923903648828957</v>
      </c>
      <c r="U1109" s="6" t="n">
        <v>3.805801410298071</v>
      </c>
      <c r="V1109" s="6" t="n">
        <v>-2.719890977147862</v>
      </c>
      <c r="W1109" s="6" t="n">
        <v>-2.048337394002125</v>
      </c>
      <c r="X1109" s="6" t="n">
        <v>1.422134979036769</v>
      </c>
      <c r="Y1109" s="6" t="n">
        <v>5</v>
      </c>
      <c r="Z1109" s="6" t="n">
        <v>3.055424202886979</v>
      </c>
      <c r="AA1109" s="6" t="n">
        <v>1.472184807836989</v>
      </c>
      <c r="AB1109" s="6" t="n">
        <v>-1.489854287687069</v>
      </c>
      <c r="AC1109" s="6" t="n">
        <v>1.907984536842738</v>
      </c>
      <c r="AD1109" s="6" t="n">
        <v>0.818241910407703</v>
      </c>
      <c r="AE1109" s="6" t="n">
        <v>-0.5815650474047512</v>
      </c>
      <c r="AF1109" s="6" t="n">
        <v>1.180593942243845</v>
      </c>
      <c r="AG1109" s="6" t="n">
        <v>-1.484045356842749</v>
      </c>
      <c r="AH1109" s="6" t="n">
        <v>-4.02270040381251</v>
      </c>
      <c r="AI1109" s="6" t="n">
        <v>0.7546327814878796</v>
      </c>
      <c r="AJ1109" s="6" t="n">
        <v>76.87168941010705</v>
      </c>
      <c r="AK1109" s="6" t="n">
        <v>0.1808471880067739</v>
      </c>
      <c r="AL1109" s="6" t="n">
        <v>1.070908986594662</v>
      </c>
      <c r="AN1109" s="6" t="n">
        <v>1.299684156785823</v>
      </c>
      <c r="AO1109" s="6" t="n">
        <v>1.311987650590795</v>
      </c>
      <c r="AP1109" s="6" t="n">
        <v>0.1291656627935622</v>
      </c>
      <c r="AQ1109" s="6" t="n">
        <v>0</v>
      </c>
      <c r="AR1109" s="6" t="n">
        <v>0</v>
      </c>
    </row>
    <row r="1110">
      <c r="D1110" t="inlineStr">
        <is>
          <t>Run 798</t>
        </is>
      </c>
      <c r="J1110" s="6" t="n">
        <v>1.565167504167932</v>
      </c>
      <c r="K1110" s="6" t="n">
        <v>-3.738443778578768</v>
      </c>
      <c r="L1110" s="6" t="n">
        <v>-3.028390455842017</v>
      </c>
      <c r="M1110" s="6" t="n">
        <v>-1.938668095438195</v>
      </c>
      <c r="N1110" s="6" t="n">
        <v>1.178275526422423</v>
      </c>
      <c r="O1110" s="6" t="n">
        <v>-0.5217382156228543</v>
      </c>
      <c r="P1110" s="6" t="n">
        <v>-1.632810024612645</v>
      </c>
      <c r="Q1110" s="6" t="n">
        <v>-0.1054488200723725</v>
      </c>
      <c r="R1110" s="6" t="n">
        <v>3.444914877259272</v>
      </c>
      <c r="S1110" s="6" t="n">
        <v>1.13256758097549</v>
      </c>
      <c r="T1110" s="6" t="n">
        <v>-4.010170351915576</v>
      </c>
      <c r="U1110" s="6" t="n">
        <v>-0.6509169918620414</v>
      </c>
      <c r="V1110" s="6" t="n">
        <v>-0.8010565363090688</v>
      </c>
      <c r="W1110" s="6" t="n">
        <v>-0.8198559995708138</v>
      </c>
      <c r="X1110" s="6" t="n">
        <v>3.435314241431208</v>
      </c>
      <c r="Y1110" s="6" t="n">
        <v>2.329278688031531</v>
      </c>
      <c r="Z1110" s="6" t="n">
        <v>-0.6693129841610299</v>
      </c>
      <c r="AA1110" s="6" t="n">
        <v>1.153781512606613</v>
      </c>
      <c r="AB1110" s="6" t="n">
        <v>-0.7801326940666723</v>
      </c>
      <c r="AC1110" s="6" t="n">
        <v>-0.1893449639797888</v>
      </c>
      <c r="AD1110" s="6" t="n">
        <v>-2.850138618993413</v>
      </c>
      <c r="AE1110" s="6" t="n">
        <v>-1.243856323385774</v>
      </c>
      <c r="AF1110" s="6" t="n">
        <v>-2.74326651489826</v>
      </c>
      <c r="AG1110" s="6" t="n">
        <v>3.94253641742859</v>
      </c>
      <c r="AH1110" s="6" t="n">
        <v>-0.2796010559108932</v>
      </c>
      <c r="AI1110" s="6" t="n">
        <v>0.2032195360923257</v>
      </c>
      <c r="AJ1110" s="6" t="n">
        <v>67.42668962258415</v>
      </c>
      <c r="AK1110" s="6" t="n">
        <v>0.1678914712357959</v>
      </c>
      <c r="AL1110" s="6" t="n">
        <v>1.054421914437109</v>
      </c>
      <c r="AN1110" s="6" t="n">
        <v>1.326687142538749</v>
      </c>
      <c r="AO1110" s="6" t="n">
        <v>1.332018713640982</v>
      </c>
      <c r="AP1110" s="6" t="n">
        <v>0.1306275452931777</v>
      </c>
      <c r="AQ1110" s="6" t="n">
        <v>0</v>
      </c>
      <c r="AR1110" s="6" t="n">
        <v>0</v>
      </c>
    </row>
    <row r="1111">
      <c r="D1111" t="inlineStr">
        <is>
          <t>Run 799</t>
        </is>
      </c>
      <c r="J1111" s="6" t="n">
        <v>-0.7439143907566148</v>
      </c>
      <c r="K1111" s="6" t="n">
        <v>-1.249081463889093</v>
      </c>
      <c r="L1111" s="6" t="n">
        <v>-0.6650629346295416</v>
      </c>
      <c r="M1111" s="6" t="n">
        <v>2.128307579779611</v>
      </c>
      <c r="N1111" s="6" t="n">
        <v>1.197560250816338</v>
      </c>
      <c r="O1111" s="6" t="n">
        <v>0.1560257429612519</v>
      </c>
      <c r="P1111" s="6" t="n">
        <v>-2.841574304325444</v>
      </c>
      <c r="Q1111" s="6" t="n">
        <v>1.37157967942362</v>
      </c>
      <c r="R1111" s="6" t="n">
        <v>0.4938175610550342</v>
      </c>
      <c r="S1111" s="6" t="n">
        <v>-0.4573682761674695</v>
      </c>
      <c r="T1111" s="6" t="n">
        <v>-2.203582634316027</v>
      </c>
      <c r="U1111" s="6" t="n">
        <v>-0.1470538079734284</v>
      </c>
      <c r="V1111" s="6" t="n">
        <v>1.500623939734405</v>
      </c>
      <c r="W1111" s="6" t="n">
        <v>0.4702229352311725</v>
      </c>
      <c r="X1111" s="6" t="n">
        <v>2.542784191067372</v>
      </c>
      <c r="Y1111" s="6" t="n">
        <v>1.239427778833784</v>
      </c>
      <c r="Z1111" s="6" t="n">
        <v>0.6990798110322763</v>
      </c>
      <c r="AA1111" s="6" t="n">
        <v>-0.3744212173630237</v>
      </c>
      <c r="AB1111" s="6" t="n">
        <v>2.525965206447073</v>
      </c>
      <c r="AC1111" s="6" t="n">
        <v>1.117791182292201</v>
      </c>
      <c r="AD1111" s="6" t="n">
        <v>-0.5326825030871621</v>
      </c>
      <c r="AE1111" s="6" t="n">
        <v>-3.281887408902988</v>
      </c>
      <c r="AF1111" s="6" t="n">
        <v>-0.6983554291899547</v>
      </c>
      <c r="AG1111" s="6" t="n">
        <v>-0.8530826840876479</v>
      </c>
      <c r="AH1111" s="6" t="n">
        <v>-1.34474308373295</v>
      </c>
      <c r="AI1111" s="6" t="n">
        <v>-2.261072625231279</v>
      </c>
      <c r="AJ1111" s="6" t="n">
        <v>75.90485793029498</v>
      </c>
      <c r="AK1111" s="6" t="n">
        <v>0.1124787116185652</v>
      </c>
      <c r="AL1111" s="6" t="n">
        <v>1.052128645051486</v>
      </c>
      <c r="AN1111" s="6" t="n">
        <v>1.34724250011655</v>
      </c>
      <c r="AO1111" s="6" t="n">
        <v>1.347493509134599</v>
      </c>
      <c r="AP1111" s="6" t="n">
        <v>0.1329067575046912</v>
      </c>
      <c r="AQ1111" s="6" t="n">
        <v>0</v>
      </c>
      <c r="AR1111" s="6" t="n">
        <v>0</v>
      </c>
    </row>
    <row r="1112">
      <c r="D1112" t="inlineStr">
        <is>
          <t>Run 800</t>
        </is>
      </c>
      <c r="J1112" s="6" t="n">
        <v>-1.417103363329467</v>
      </c>
      <c r="K1112" s="6" t="n">
        <v>-2.052124409196689</v>
      </c>
      <c r="L1112" s="6" t="n">
        <v>0.1512221970094904</v>
      </c>
      <c r="M1112" s="6" t="n">
        <v>0.5081224537468476</v>
      </c>
      <c r="N1112" s="6" t="n">
        <v>-0.4457742932933447</v>
      </c>
      <c r="O1112" s="6" t="n">
        <v>0.5656335548554592</v>
      </c>
      <c r="P1112" s="6" t="n">
        <v>0.2572638036067187</v>
      </c>
      <c r="Q1112" s="6" t="n">
        <v>-0.568278993711959</v>
      </c>
      <c r="R1112" s="6" t="n">
        <v>-2.329921679497927</v>
      </c>
      <c r="S1112" s="6" t="n">
        <v>-2.264675645485458</v>
      </c>
      <c r="T1112" s="6" t="n">
        <v>1.066228062582474</v>
      </c>
      <c r="U1112" s="6" t="n">
        <v>-1.054805944284274</v>
      </c>
      <c r="V1112" s="6" t="n">
        <v>-0.2326864014863473</v>
      </c>
      <c r="W1112" s="6" t="n">
        <v>-1.676474530660882</v>
      </c>
      <c r="X1112" s="6" t="n">
        <v>0.732156558495746</v>
      </c>
      <c r="Y1112" s="6" t="n">
        <v>-1.901308292839729</v>
      </c>
      <c r="Z1112" s="6" t="n">
        <v>2.402302063436321</v>
      </c>
      <c r="AA1112" s="6" t="n">
        <v>-1.314206336330355</v>
      </c>
      <c r="AB1112" s="6" t="n">
        <v>-3.527396506671557</v>
      </c>
      <c r="AC1112" s="6" t="n">
        <v>2.447247397342955</v>
      </c>
      <c r="AD1112" s="6" t="n">
        <v>2.838706520649755</v>
      </c>
      <c r="AE1112" s="6" t="n">
        <v>0.7875849392633316</v>
      </c>
      <c r="AF1112" s="6" t="n">
        <v>-1.52511821799028</v>
      </c>
      <c r="AG1112" s="6" t="n">
        <v>1.052977644327163</v>
      </c>
      <c r="AH1112" s="6" t="n">
        <v>-0.02019934745352639</v>
      </c>
      <c r="AI1112" s="6" t="n">
        <v>-3.524230557088454</v>
      </c>
      <c r="AJ1112" s="6" t="n">
        <v>72.46216506894253</v>
      </c>
      <c r="AK1112" s="6" t="n">
        <v>0.0822514173972904</v>
      </c>
      <c r="AL1112" s="6" t="n">
        <v>1.030961614184818</v>
      </c>
      <c r="AN1112" s="6" t="n">
        <v>1.353230485289405</v>
      </c>
      <c r="AO1112" s="6" t="n">
        <v>1.353230485289405</v>
      </c>
      <c r="AP1112" s="6" t="n">
        <v>0.1352675821849324</v>
      </c>
      <c r="AQ1112" s="6" t="n">
        <v>0</v>
      </c>
      <c r="AR1112" s="6" t="n">
        <v>0</v>
      </c>
    </row>
    <row r="1113">
      <c r="D1113" t="inlineStr">
        <is>
          <t>Run 801</t>
        </is>
      </c>
      <c r="J1113" s="6" t="n">
        <v>0.1220791620507081</v>
      </c>
      <c r="K1113" s="6" t="n">
        <v>-0.8558687710582369</v>
      </c>
      <c r="L1113" s="6" t="n">
        <v>-1.458174991448456</v>
      </c>
      <c r="M1113" s="6" t="n">
        <v>-2.111436659061582</v>
      </c>
      <c r="N1113" s="6" t="n">
        <v>-1.780057866037655</v>
      </c>
      <c r="O1113" s="6" t="n">
        <v>1.693652929634915</v>
      </c>
      <c r="P1113" s="6" t="n">
        <v>-1.7333851072128</v>
      </c>
      <c r="Q1113" s="6" t="n">
        <v>0.4240182056968921</v>
      </c>
      <c r="R1113" s="6" t="n">
        <v>-1.060563910024093</v>
      </c>
      <c r="S1113" s="6" t="n">
        <v>-1.025588286309952</v>
      </c>
      <c r="T1113" s="6" t="n">
        <v>0.2505557875264816</v>
      </c>
      <c r="U1113" s="6" t="n">
        <v>-2.359186569056337</v>
      </c>
      <c r="V1113" s="6" t="n">
        <v>3.159133654749624</v>
      </c>
      <c r="W1113" s="6" t="n">
        <v>-3.678439110163816</v>
      </c>
      <c r="X1113" s="6" t="n">
        <v>-0.9683011817091292</v>
      </c>
      <c r="Y1113" s="6" t="n">
        <v>0.09325485174923616</v>
      </c>
      <c r="Z1113" s="6" t="n">
        <v>-0.5208837976704754</v>
      </c>
      <c r="AA1113" s="6" t="n">
        <v>0.6638549127312617</v>
      </c>
      <c r="AB1113" s="6" t="n">
        <v>-3.526716340938627</v>
      </c>
      <c r="AC1113" s="6" t="n">
        <v>1.673949993650126</v>
      </c>
      <c r="AD1113" s="6" t="n">
        <v>0.9866733722808573</v>
      </c>
      <c r="AE1113" s="6" t="n">
        <v>-1.380669458004627</v>
      </c>
      <c r="AF1113" s="6" t="n">
        <v>2.080848979598402</v>
      </c>
      <c r="AG1113" s="6" t="n">
        <v>-1.813317955704087</v>
      </c>
      <c r="AH1113" s="6" t="n">
        <v>2.485595746500609</v>
      </c>
      <c r="AI1113" s="6" t="n">
        <v>-2.163581035064349</v>
      </c>
      <c r="AJ1113" s="6" t="n">
        <v>75.87741324989683</v>
      </c>
      <c r="AK1113" s="6" t="n">
        <v>0.104167403268847</v>
      </c>
      <c r="AL1113" s="6" t="n">
        <v>1.008234684334246</v>
      </c>
      <c r="AN1113" s="6" t="n">
        <v>1.347484948331342</v>
      </c>
      <c r="AO1113" s="6" t="n">
        <v>1.353511439786986</v>
      </c>
      <c r="AP1113" s="6" t="n">
        <v>0.138060306759642</v>
      </c>
      <c r="AQ1113" s="6" t="n">
        <v>0</v>
      </c>
      <c r="AR1113" s="6" t="n">
        <v>0</v>
      </c>
    </row>
    <row r="1114">
      <c r="D1114" t="inlineStr">
        <is>
          <t>Run 802</t>
        </is>
      </c>
      <c r="J1114" s="6" t="n">
        <v>0.7300456621243931</v>
      </c>
      <c r="K1114" s="6" t="n">
        <v>-2.776037500180036</v>
      </c>
      <c r="L1114" s="6" t="n">
        <v>1.408146143088842</v>
      </c>
      <c r="M1114" s="6" t="n">
        <v>-0.5269239644431308</v>
      </c>
      <c r="N1114" s="6" t="n">
        <v>2.501430157626272</v>
      </c>
      <c r="O1114" s="6" t="n">
        <v>-3.259011485654541</v>
      </c>
      <c r="P1114" s="6" t="n">
        <v>0.8378761527777535</v>
      </c>
      <c r="Q1114" s="6" t="n">
        <v>0.2358825809507621</v>
      </c>
      <c r="R1114" s="6" t="n">
        <v>0.5540935851112752</v>
      </c>
      <c r="S1114" s="6" t="n">
        <v>-2.886903984324603</v>
      </c>
      <c r="T1114" s="6" t="n">
        <v>0.0500805855209657</v>
      </c>
      <c r="U1114" s="6" t="n">
        <v>-0.5890308577602814</v>
      </c>
      <c r="V1114" s="6" t="n">
        <v>0.06979764904125409</v>
      </c>
      <c r="W1114" s="6" t="n">
        <v>-0.5429041116639967</v>
      </c>
      <c r="X1114" s="6" t="n">
        <v>-2.258242816032219</v>
      </c>
      <c r="Y1114" s="6" t="n">
        <v>-1.105143810995501</v>
      </c>
      <c r="Z1114" s="6" t="n">
        <v>0.0003565690560074625</v>
      </c>
      <c r="AA1114" s="6" t="n">
        <v>-1.467541154456842</v>
      </c>
      <c r="AB1114" s="6" t="n">
        <v>-1.588535809873577</v>
      </c>
      <c r="AC1114" s="6" t="n">
        <v>-0.2049333679628357</v>
      </c>
      <c r="AD1114" s="6" t="n">
        <v>-3.003221030655646</v>
      </c>
      <c r="AE1114" s="6" t="n">
        <v>2.291259467437145</v>
      </c>
      <c r="AF1114" s="6" t="n">
        <v>-1.703509220365113</v>
      </c>
      <c r="AG1114" s="6" t="n">
        <v>0.8282038559657662</v>
      </c>
      <c r="AH1114" s="6" t="n">
        <v>4.586138505849663</v>
      </c>
      <c r="AI1114" s="6" t="n">
        <v>2.464113683949024</v>
      </c>
      <c r="AJ1114" s="6" t="n">
        <v>76.71888042360401</v>
      </c>
      <c r="AK1114" s="6" t="n">
        <v>0.1271109355279741</v>
      </c>
      <c r="AL1114" s="6" t="n">
        <v>1.055179725443411</v>
      </c>
      <c r="AN1114" s="6" t="n">
        <v>1.34743319468424</v>
      </c>
      <c r="AO1114" s="6" t="n">
        <v>1.347606140040965</v>
      </c>
      <c r="AP1114" s="6" t="n">
        <v>0.1322619672235768</v>
      </c>
      <c r="AQ1114" s="6" t="n">
        <v>0</v>
      </c>
      <c r="AR1114" s="6" t="n">
        <v>0</v>
      </c>
    </row>
    <row r="1115">
      <c r="D1115" t="inlineStr">
        <is>
          <t>Run 803</t>
        </is>
      </c>
      <c r="J1115" s="6" t="n">
        <v>0.5286815766904002</v>
      </c>
      <c r="K1115" s="6" t="n">
        <v>-3.646412668753228</v>
      </c>
      <c r="L1115" s="6" t="n">
        <v>-0.4236993448635947</v>
      </c>
      <c r="M1115" s="6" t="n">
        <v>-2.427866791353524</v>
      </c>
      <c r="N1115" s="6" t="n">
        <v>-1.066310713022159</v>
      </c>
      <c r="O1115" s="6" t="n">
        <v>-0.006323594164467305</v>
      </c>
      <c r="P1115" s="6" t="n">
        <v>3.631745360759815</v>
      </c>
      <c r="Q1115" s="6" t="n">
        <v>-1.115113338118003</v>
      </c>
      <c r="R1115" s="6" t="n">
        <v>0.2150735961193092</v>
      </c>
      <c r="S1115" s="6" t="n">
        <v>2.168780904943952</v>
      </c>
      <c r="T1115" s="6" t="n">
        <v>-1.821782717306859</v>
      </c>
      <c r="U1115" s="6" t="n">
        <v>-1.098061764736188</v>
      </c>
      <c r="V1115" s="6" t="n">
        <v>-2.124321546763364</v>
      </c>
      <c r="W1115" s="6" t="n">
        <v>-0.2712187187534771</v>
      </c>
      <c r="X1115" s="6" t="n">
        <v>-1.885184959693211</v>
      </c>
      <c r="Y1115" s="6" t="n">
        <v>-0.3771519573567697</v>
      </c>
      <c r="Z1115" s="6" t="n">
        <v>-0.4749393833357071</v>
      </c>
      <c r="AA1115" s="6" t="n">
        <v>2.843374609893811</v>
      </c>
      <c r="AB1115" s="6" t="n">
        <v>-1.435699133429417</v>
      </c>
      <c r="AC1115" s="6" t="n">
        <v>-0.5886273847375006</v>
      </c>
      <c r="AD1115" s="6" t="n">
        <v>-0.6371438080538794</v>
      </c>
      <c r="AE1115" s="6" t="n">
        <v>1.360494852891224</v>
      </c>
      <c r="AF1115" s="6" t="n">
        <v>0.3321889813990048</v>
      </c>
      <c r="AG1115" s="6" t="n">
        <v>-1.198253245294604</v>
      </c>
      <c r="AH1115" s="6" t="n">
        <v>-0.3990553242144476</v>
      </c>
      <c r="AI1115" s="6" t="n">
        <v>1.754534089474346</v>
      </c>
      <c r="AJ1115" s="6" t="n">
        <v>79.32649586432451</v>
      </c>
      <c r="AK1115" s="6" t="n">
        <v>0.124257584880942</v>
      </c>
      <c r="AL1115" s="6" t="n">
        <v>1.080253078114336</v>
      </c>
      <c r="AN1115" s="6" t="n">
        <v>1.319322887206167</v>
      </c>
      <c r="AO1115" s="6" t="n">
        <v>1.325592292396401</v>
      </c>
      <c r="AP1115" s="6" t="n">
        <v>0.1301749340971994</v>
      </c>
      <c r="AQ1115" s="6" t="n">
        <v>0</v>
      </c>
      <c r="AR1115" s="6" t="n">
        <v>0</v>
      </c>
    </row>
    <row r="1116">
      <c r="D1116" t="inlineStr">
        <is>
          <t>Run 804</t>
        </is>
      </c>
      <c r="J1116" s="6" t="n">
        <v>-2.103390088701167</v>
      </c>
      <c r="K1116" s="6" t="n">
        <v>1.331617754044529</v>
      </c>
      <c r="L1116" s="6" t="n">
        <v>0.3600314124152925</v>
      </c>
      <c r="M1116" s="6" t="n">
        <v>-1.800855623665497</v>
      </c>
      <c r="N1116" s="6" t="n">
        <v>1.546703737974597</v>
      </c>
      <c r="O1116" s="6" t="n">
        <v>0.5387633430002433</v>
      </c>
      <c r="P1116" s="6" t="n">
        <v>1.418845510648565</v>
      </c>
      <c r="Q1116" s="6" t="n">
        <v>0.9683378943449963</v>
      </c>
      <c r="R1116" s="6" t="n">
        <v>1.319285793732269</v>
      </c>
      <c r="S1116" s="6" t="n">
        <v>0.9253317373876736</v>
      </c>
      <c r="T1116" s="6" t="n">
        <v>-1.203688135874293</v>
      </c>
      <c r="U1116" s="6" t="n">
        <v>0.5638494199654978</v>
      </c>
      <c r="V1116" s="6" t="n">
        <v>-0.474336907458684</v>
      </c>
      <c r="W1116" s="6" t="n">
        <v>-0.977959675138128</v>
      </c>
      <c r="X1116" s="6" t="n">
        <v>-3.215440011358476</v>
      </c>
      <c r="Y1116" s="6" t="n">
        <v>2.111237582054966</v>
      </c>
      <c r="Z1116" s="6" t="n">
        <v>0.1965158952412122</v>
      </c>
      <c r="AA1116" s="6" t="n">
        <v>-1.437738661974862</v>
      </c>
      <c r="AB1116" s="6" t="n">
        <v>0.6092903816634763</v>
      </c>
      <c r="AC1116" s="6" t="n">
        <v>-0.1914659222617812</v>
      </c>
      <c r="AD1116" s="6" t="n">
        <v>1.720432743580861</v>
      </c>
      <c r="AE1116" s="6" t="n">
        <v>2.670311810786099</v>
      </c>
      <c r="AF1116" s="6" t="n">
        <v>-5.2347748785279</v>
      </c>
      <c r="AG1116" s="6" t="n">
        <v>0.8678219224263982</v>
      </c>
      <c r="AH1116" s="6" t="n">
        <v>0.09208505600352362</v>
      </c>
      <c r="AI1116" s="6" t="n">
        <v>0.1556260363428663</v>
      </c>
      <c r="AJ1116" s="6" t="n">
        <v>75.18396244493555</v>
      </c>
      <c r="AK1116" s="6" t="n">
        <v>0.1442574540369256</v>
      </c>
      <c r="AL1116" s="6" t="n">
        <v>1.067487176211568</v>
      </c>
      <c r="AN1116" s="6" t="n">
        <v>1.329133387541062</v>
      </c>
      <c r="AO1116" s="6" t="n">
        <v>1.333601696048876</v>
      </c>
      <c r="AP1116" s="6" t="n">
        <v>0.1306365288050322</v>
      </c>
      <c r="AQ1116" s="6" t="n">
        <v>0</v>
      </c>
      <c r="AR1116" s="6" t="n">
        <v>0</v>
      </c>
    </row>
    <row r="1117">
      <c r="D1117" t="inlineStr">
        <is>
          <t>Run 805</t>
        </is>
      </c>
      <c r="J1117" s="6" t="n">
        <v>0.8987417228745239</v>
      </c>
      <c r="K1117" s="6" t="n">
        <v>-3.09390636275142</v>
      </c>
      <c r="L1117" s="6" t="n">
        <v>1.608571472889767</v>
      </c>
      <c r="M1117" s="6" t="n">
        <v>0.6867719529416531</v>
      </c>
      <c r="N1117" s="6" t="n">
        <v>-0.3282151317298059</v>
      </c>
      <c r="O1117" s="6" t="n">
        <v>-1.829376392962295</v>
      </c>
      <c r="P1117" s="6" t="n">
        <v>2.111207974783422</v>
      </c>
      <c r="Q1117" s="6" t="n">
        <v>0.7087379429296934</v>
      </c>
      <c r="R1117" s="6" t="n">
        <v>-1.728072697551496</v>
      </c>
      <c r="S1117" s="6" t="n">
        <v>3.408221133585647</v>
      </c>
      <c r="T1117" s="6" t="n">
        <v>1.939096403872722</v>
      </c>
      <c r="U1117" s="6" t="n">
        <v>-2.002369577497142</v>
      </c>
      <c r="V1117" s="6" t="n">
        <v>0.1801161776680833</v>
      </c>
      <c r="W1117" s="6" t="n">
        <v>0.01330554190592209</v>
      </c>
      <c r="X1117" s="6" t="n">
        <v>2.542814211823339</v>
      </c>
      <c r="Y1117" s="6" t="n">
        <v>2.855425370525961</v>
      </c>
      <c r="Z1117" s="6" t="n">
        <v>0.02246826971643455</v>
      </c>
      <c r="AA1117" s="6" t="n">
        <v>-0.2897486031139128</v>
      </c>
      <c r="AB1117" s="6" t="n">
        <v>-1.049380271999183</v>
      </c>
      <c r="AC1117" s="6" t="n">
        <v>-3.157117484020832</v>
      </c>
      <c r="AD1117" s="6" t="n">
        <v>0.8262875421745135</v>
      </c>
      <c r="AE1117" s="6" t="n">
        <v>1.366262330475336</v>
      </c>
      <c r="AF1117" s="6" t="n">
        <v>2.203521379390121</v>
      </c>
      <c r="AG1117" s="6" t="n">
        <v>2.050271187381884</v>
      </c>
      <c r="AH1117" s="6" t="n">
        <v>3.620994938738618</v>
      </c>
      <c r="AI1117" s="6" t="n">
        <v>2.36805184923309</v>
      </c>
      <c r="AJ1117" s="6" t="n">
        <v>74.43100250317968</v>
      </c>
      <c r="AK1117" s="6" t="n">
        <v>0.1395501146753905</v>
      </c>
      <c r="AL1117" s="6" t="n">
        <v>1.029858869060027</v>
      </c>
      <c r="AN1117" s="6" t="n">
        <v>1.351016734228761</v>
      </c>
      <c r="AO1117" s="6" t="n">
        <v>1.351016734228761</v>
      </c>
      <c r="AP1117" s="6" t="n">
        <v>0.1342443002174118</v>
      </c>
      <c r="AQ1117" s="6" t="n">
        <v>0</v>
      </c>
      <c r="AR1117" s="6" t="n">
        <v>0</v>
      </c>
    </row>
    <row r="1118">
      <c r="D1118" t="inlineStr">
        <is>
          <t>Run 806</t>
        </is>
      </c>
      <c r="J1118" s="6" t="n">
        <v>-1.180096979205325</v>
      </c>
      <c r="K1118" s="6" t="n">
        <v>-1.994971829148868</v>
      </c>
      <c r="L1118" s="6" t="n">
        <v>1.091540970262064</v>
      </c>
      <c r="M1118" s="6" t="n">
        <v>0.2787733573753511</v>
      </c>
      <c r="N1118" s="6" t="n">
        <v>-0.07101306680466352</v>
      </c>
      <c r="O1118" s="6" t="n">
        <v>-3.614413288902866</v>
      </c>
      <c r="P1118" s="6" t="n">
        <v>-0.9129812980118149</v>
      </c>
      <c r="Q1118" s="6" t="n">
        <v>0.39586253914869</v>
      </c>
      <c r="R1118" s="6" t="n">
        <v>1.497229288505528</v>
      </c>
      <c r="S1118" s="6" t="n">
        <v>-2.508096629044505</v>
      </c>
      <c r="T1118" s="6" t="n">
        <v>0.5845634418021459</v>
      </c>
      <c r="U1118" s="6" t="n">
        <v>-0.06284403579496475</v>
      </c>
      <c r="V1118" s="6" t="n">
        <v>1.029995979427166</v>
      </c>
      <c r="W1118" s="6" t="n">
        <v>3.217271406219472</v>
      </c>
      <c r="X1118" s="6" t="n">
        <v>0.5042540240158055</v>
      </c>
      <c r="Y1118" s="6" t="n">
        <v>2.810600191380886</v>
      </c>
      <c r="Z1118" s="6" t="n">
        <v>1.009890022942254</v>
      </c>
      <c r="AA1118" s="6" t="n">
        <v>0.3010958111629507</v>
      </c>
      <c r="AB1118" s="6" t="n">
        <v>-0.185069142259757</v>
      </c>
      <c r="AC1118" s="6" t="n">
        <v>4.804138718074953</v>
      </c>
      <c r="AD1118" s="6" t="n">
        <v>0.6578104420351829</v>
      </c>
      <c r="AE1118" s="6" t="n">
        <v>-0.749909180566203</v>
      </c>
      <c r="AF1118" s="6" t="n">
        <v>-1.439204162590245</v>
      </c>
      <c r="AG1118" s="6" t="n">
        <v>0.639349126543918</v>
      </c>
      <c r="AH1118" s="6" t="n">
        <v>-2.442503587632007</v>
      </c>
      <c r="AI1118" s="6" t="n">
        <v>0.1240255207574977</v>
      </c>
      <c r="AJ1118" s="6" t="n">
        <v>67.92489331566377</v>
      </c>
      <c r="AK1118" s="6" t="n">
        <v>0.1067641006349632</v>
      </c>
      <c r="AL1118" s="6" t="n">
        <v>1.074855367200754</v>
      </c>
      <c r="AN1118" s="6" t="n">
        <v>1.334676406826816</v>
      </c>
      <c r="AO1118" s="6" t="n">
        <v>1.337211299289595</v>
      </c>
      <c r="AP1118" s="6" t="n">
        <v>0.1308191348305088</v>
      </c>
      <c r="AQ1118" s="6" t="n">
        <v>0</v>
      </c>
      <c r="AR1118" s="6" t="n">
        <v>0</v>
      </c>
    </row>
    <row r="1119">
      <c r="D1119" t="inlineStr">
        <is>
          <t>Run 807</t>
        </is>
      </c>
      <c r="J1119" s="6" t="n">
        <v>0.2828107438789883</v>
      </c>
      <c r="K1119" s="6" t="n">
        <v>1.646125044008272</v>
      </c>
      <c r="L1119" s="6" t="n">
        <v>-2.828037559470516</v>
      </c>
      <c r="M1119" s="6" t="n">
        <v>1.073903249204061</v>
      </c>
      <c r="N1119" s="6" t="n">
        <v>-1.097249876688465</v>
      </c>
      <c r="O1119" s="6" t="n">
        <v>2.720618015813735</v>
      </c>
      <c r="P1119" s="6" t="n">
        <v>0.5725373842855841</v>
      </c>
      <c r="Q1119" s="6" t="n">
        <v>0.4249450406884673</v>
      </c>
      <c r="R1119" s="6" t="n">
        <v>1.995871191084976</v>
      </c>
      <c r="S1119" s="6" t="n">
        <v>-0.9268215763261968</v>
      </c>
      <c r="T1119" s="6" t="n">
        <v>0.5286940116058468</v>
      </c>
      <c r="U1119" s="6" t="n">
        <v>-2.072422239354885</v>
      </c>
      <c r="V1119" s="6" t="n">
        <v>-0.6634285572571719</v>
      </c>
      <c r="W1119" s="6" t="n">
        <v>0.5076079217490285</v>
      </c>
      <c r="X1119" s="6" t="n">
        <v>1.987660800780413</v>
      </c>
      <c r="Y1119" s="6" t="n">
        <v>-0.609938801821118</v>
      </c>
      <c r="Z1119" s="6" t="n">
        <v>-0.3885914679527889</v>
      </c>
      <c r="AA1119" s="6" t="n">
        <v>-0.7494130666556875</v>
      </c>
      <c r="AB1119" s="6" t="n">
        <v>2.101935706570726</v>
      </c>
      <c r="AC1119" s="6" t="n">
        <v>-2.861288513726166</v>
      </c>
      <c r="AD1119" s="6" t="n">
        <v>-2.574153901862769</v>
      </c>
      <c r="AE1119" s="6" t="n">
        <v>1.90854939079209</v>
      </c>
      <c r="AF1119" s="6" t="n">
        <v>0.6928587284476116</v>
      </c>
      <c r="AG1119" s="6" t="n">
        <v>-0.2674447079194431</v>
      </c>
      <c r="AH1119" s="6" t="n">
        <v>0.8364721148846969</v>
      </c>
      <c r="AI1119" s="6" t="n">
        <v>0.3046959858381956</v>
      </c>
      <c r="AJ1119" s="6" t="n">
        <v>70.37500036789565</v>
      </c>
      <c r="AK1119" s="6" t="n">
        <v>0.1940417726792974</v>
      </c>
      <c r="AL1119" s="6" t="n">
        <v>1.037923413459796</v>
      </c>
      <c r="AN1119" s="6" t="n">
        <v>1.342295895769723</v>
      </c>
      <c r="AO1119" s="6" t="n">
        <v>1.3423781521706</v>
      </c>
      <c r="AP1119" s="6" t="n">
        <v>0.1316506256115367</v>
      </c>
      <c r="AQ1119" s="6" t="n">
        <v>0</v>
      </c>
      <c r="AR1119" s="6" t="n">
        <v>0</v>
      </c>
    </row>
    <row r="1120">
      <c r="D1120" t="inlineStr">
        <is>
          <t>Run 808</t>
        </is>
      </c>
      <c r="J1120" s="6" t="n">
        <v>-2.179069846468411</v>
      </c>
      <c r="K1120" s="6" t="n">
        <v>1.118340155555606</v>
      </c>
      <c r="L1120" s="6" t="n">
        <v>0.4528232382334741</v>
      </c>
      <c r="M1120" s="6" t="n">
        <v>-1.665134073774259</v>
      </c>
      <c r="N1120" s="6" t="n">
        <v>-1.5351289261884</v>
      </c>
      <c r="O1120" s="6" t="n">
        <v>-1.68046885644492</v>
      </c>
      <c r="P1120" s="6" t="n">
        <v>-2.335438266835557</v>
      </c>
      <c r="Q1120" s="6" t="n">
        <v>-0.6796558105395583</v>
      </c>
      <c r="R1120" s="6" t="n">
        <v>-2.258545914524221</v>
      </c>
      <c r="S1120" s="6" t="n">
        <v>-4.120253813605455</v>
      </c>
      <c r="T1120" s="6" t="n">
        <v>-0.2069914048056665</v>
      </c>
      <c r="U1120" s="6" t="n">
        <v>2.455610133776864</v>
      </c>
      <c r="V1120" s="6" t="n">
        <v>3.930739724255803</v>
      </c>
      <c r="W1120" s="6" t="n">
        <v>-5.117607156124405</v>
      </c>
      <c r="X1120" s="6" t="n">
        <v>4.234789590136881</v>
      </c>
      <c r="Y1120" s="6" t="n">
        <v>-2.128727220527543</v>
      </c>
      <c r="Z1120" s="6" t="n">
        <v>-0.7612656679282069</v>
      </c>
      <c r="AA1120" s="6" t="n">
        <v>-2.436990865452358</v>
      </c>
      <c r="AB1120" s="6" t="n">
        <v>-0.4363362348084235</v>
      </c>
      <c r="AC1120" s="6" t="n">
        <v>-0.4016436886562139</v>
      </c>
      <c r="AD1120" s="6" t="n">
        <v>-1.430899313852207</v>
      </c>
      <c r="AE1120" s="6" t="n">
        <v>3.384093750998282</v>
      </c>
      <c r="AF1120" s="6" t="n">
        <v>0.9426023346436985</v>
      </c>
      <c r="AG1120" s="6" t="n">
        <v>0.3447346411150017</v>
      </c>
      <c r="AH1120" s="6" t="n">
        <v>1.246887561163341</v>
      </c>
      <c r="AI1120" s="6" t="n">
        <v>-0.5855794313505871</v>
      </c>
      <c r="AJ1120" s="6" t="n">
        <v>75.71682782192732</v>
      </c>
      <c r="AK1120" s="6" t="n">
        <v>0.1303940750422591</v>
      </c>
      <c r="AL1120" s="6" t="n">
        <v>0.9908618278259915</v>
      </c>
      <c r="AN1120" s="6" t="n">
        <v>1.360070287744048</v>
      </c>
      <c r="AO1120" s="6" t="n">
        <v>1.362303896378114</v>
      </c>
      <c r="AP1120" s="6" t="n">
        <v>0.1405170797633081</v>
      </c>
      <c r="AQ1120" s="6" t="n">
        <v>0</v>
      </c>
      <c r="AR1120" s="6" t="n">
        <v>0</v>
      </c>
    </row>
    <row r="1121">
      <c r="D1121" t="inlineStr">
        <is>
          <t>Run 809</t>
        </is>
      </c>
      <c r="J1121" s="6" t="n">
        <v>0.1645863839866615</v>
      </c>
      <c r="K1121" s="6" t="n">
        <v>-1.161899383953917</v>
      </c>
      <c r="L1121" s="6" t="n">
        <v>-0.5260736989578557</v>
      </c>
      <c r="M1121" s="6" t="n">
        <v>-4.285779421820465</v>
      </c>
      <c r="N1121" s="6" t="n">
        <v>2.929818688364903</v>
      </c>
      <c r="O1121" s="6" t="n">
        <v>-0.2481430201355332</v>
      </c>
      <c r="P1121" s="6" t="n">
        <v>0.2422053007752263</v>
      </c>
      <c r="Q1121" s="6" t="n">
        <v>2.374999324537942</v>
      </c>
      <c r="R1121" s="6" t="n">
        <v>-4.195331818071539</v>
      </c>
      <c r="S1121" s="6" t="n">
        <v>-0.9308166947428265</v>
      </c>
      <c r="T1121" s="6" t="n">
        <v>-0.5326509296503814</v>
      </c>
      <c r="U1121" s="6" t="n">
        <v>-1.990856319343409</v>
      </c>
      <c r="V1121" s="6" t="n">
        <v>-0.6817960787846102</v>
      </c>
      <c r="W1121" s="6" t="n">
        <v>-3.951076812587544</v>
      </c>
      <c r="X1121" s="6" t="n">
        <v>-2.63235049610054</v>
      </c>
      <c r="Y1121" s="6" t="n">
        <v>2.067194246646828</v>
      </c>
      <c r="Z1121" s="6" t="n">
        <v>-0.8853899762635097</v>
      </c>
      <c r="AA1121" s="6" t="n">
        <v>0.7793275135057903</v>
      </c>
      <c r="AB1121" s="6" t="n">
        <v>-0.118652180556844</v>
      </c>
      <c r="AC1121" s="6" t="n">
        <v>0.4282636983950719</v>
      </c>
      <c r="AD1121" s="6" t="n">
        <v>-0.8882653606624793</v>
      </c>
      <c r="AE1121" s="6" t="n">
        <v>1.105748590489473</v>
      </c>
      <c r="AF1121" s="6" t="n">
        <v>1.202564940642868</v>
      </c>
      <c r="AG1121" s="6" t="n">
        <v>-1.734762887983417</v>
      </c>
      <c r="AH1121" s="6" t="n">
        <v>-2.317665659210432</v>
      </c>
      <c r="AI1121" s="6" t="n">
        <v>4.765050360489075</v>
      </c>
      <c r="AJ1121" s="6" t="n">
        <v>62.89158909385171</v>
      </c>
      <c r="AK1121" s="6" t="n">
        <v>0.134752342777394</v>
      </c>
      <c r="AL1121" s="6" t="n">
        <v>1.037295778847606</v>
      </c>
      <c r="AN1121" s="6" t="n">
        <v>1.297649079757087</v>
      </c>
      <c r="AO1121" s="6" t="n">
        <v>1.314031758667147</v>
      </c>
      <c r="AP1121" s="6" t="n">
        <v>0.132213309888005</v>
      </c>
      <c r="AQ1121" s="6" t="n">
        <v>0</v>
      </c>
      <c r="AR1121" s="6" t="n">
        <v>0</v>
      </c>
    </row>
    <row r="1122">
      <c r="D1122" t="inlineStr">
        <is>
          <t>Run 810</t>
        </is>
      </c>
      <c r="J1122" s="6" t="n">
        <v>-1.314893345624614</v>
      </c>
      <c r="K1122" s="6" t="n">
        <v>0.402518894361905</v>
      </c>
      <c r="L1122" s="6" t="n">
        <v>1.36959591143915</v>
      </c>
      <c r="M1122" s="6" t="n">
        <v>-1.517733710993487</v>
      </c>
      <c r="N1122" s="6" t="n">
        <v>-1.991956968723481</v>
      </c>
      <c r="O1122" s="6" t="n">
        <v>1.398043336457224</v>
      </c>
      <c r="P1122" s="6" t="n">
        <v>2.794458465093045</v>
      </c>
      <c r="Q1122" s="6" t="n">
        <v>-1.371287599521057</v>
      </c>
      <c r="R1122" s="6" t="n">
        <v>0.5876936606202572</v>
      </c>
      <c r="S1122" s="6" t="n">
        <v>-1.258336608879826</v>
      </c>
      <c r="T1122" s="6" t="n">
        <v>-0.1498872947791213</v>
      </c>
      <c r="U1122" s="6" t="n">
        <v>3.244799930295628</v>
      </c>
      <c r="V1122" s="6" t="n">
        <v>1.635823600425546</v>
      </c>
      <c r="W1122" s="6" t="n">
        <v>2.674857485670171</v>
      </c>
      <c r="X1122" s="6" t="n">
        <v>0.007233883164301113</v>
      </c>
      <c r="Y1122" s="6" t="n">
        <v>0.047259162594334</v>
      </c>
      <c r="Z1122" s="6" t="n">
        <v>-0.7502113929753578</v>
      </c>
      <c r="AA1122" s="6" t="n">
        <v>0.2145827731202024</v>
      </c>
      <c r="AB1122" s="6" t="n">
        <v>-1.369713826348129</v>
      </c>
      <c r="AC1122" s="6" t="n">
        <v>-1.410467767780833</v>
      </c>
      <c r="AD1122" s="6" t="n">
        <v>-1.394406296156758</v>
      </c>
      <c r="AE1122" s="6" t="n">
        <v>-2.433180424676031</v>
      </c>
      <c r="AF1122" s="6" t="n">
        <v>-1.076540850980115</v>
      </c>
      <c r="AG1122" s="6" t="n">
        <v>1.510087436688931</v>
      </c>
      <c r="AH1122" s="6" t="n">
        <v>-0.604238679626009</v>
      </c>
      <c r="AI1122" s="6" t="n">
        <v>-1.162293504878299</v>
      </c>
      <c r="AJ1122" s="6" t="n">
        <v>74.05224900225325</v>
      </c>
      <c r="AK1122" s="6" t="n">
        <v>0.09249904837307862</v>
      </c>
      <c r="AL1122" s="6" t="n">
        <v>1.032779232383949</v>
      </c>
      <c r="AN1122" s="6" t="n">
        <v>1.346702976784147</v>
      </c>
      <c r="AO1122" s="6" t="n">
        <v>1.351235756217436</v>
      </c>
      <c r="AP1122" s="6" t="n">
        <v>0.13479536865986</v>
      </c>
      <c r="AQ1122" s="6" t="n">
        <v>0</v>
      </c>
      <c r="AR1122" s="6" t="n">
        <v>0</v>
      </c>
    </row>
    <row r="1123">
      <c r="D1123" t="inlineStr">
        <is>
          <t>Run 811</t>
        </is>
      </c>
      <c r="J1123" s="6" t="n">
        <v>-3.137566768052422</v>
      </c>
      <c r="K1123" s="6" t="n">
        <v>-1.331902907686077</v>
      </c>
      <c r="L1123" s="6" t="n">
        <v>0.2464051867220241</v>
      </c>
      <c r="M1123" s="6" t="n">
        <v>0.8596615274755314</v>
      </c>
      <c r="N1123" s="6" t="n">
        <v>-1.360468842567008</v>
      </c>
      <c r="O1123" s="6" t="n">
        <v>-1.705849876200036</v>
      </c>
      <c r="P1123" s="6" t="n">
        <v>-2.044116875736167</v>
      </c>
      <c r="Q1123" s="6" t="n">
        <v>-1.051947433640528</v>
      </c>
      <c r="R1123" s="6" t="n">
        <v>-1.834520024328422</v>
      </c>
      <c r="S1123" s="6" t="n">
        <v>0.1350145912153046</v>
      </c>
      <c r="T1123" s="6" t="n">
        <v>-1.196110667541578</v>
      </c>
      <c r="U1123" s="6" t="n">
        <v>-1.534483085876087</v>
      </c>
      <c r="V1123" s="6" t="n">
        <v>-1.078011012024739</v>
      </c>
      <c r="W1123" s="6" t="n">
        <v>-0.577517411076432</v>
      </c>
      <c r="X1123" s="6" t="n">
        <v>0.5765908249300372</v>
      </c>
      <c r="Y1123" s="6" t="n">
        <v>-0.3905142428354754</v>
      </c>
      <c r="Z1123" s="6" t="n">
        <v>0.3954516242131092</v>
      </c>
      <c r="AA1123" s="6" t="n">
        <v>-3.03806148528015</v>
      </c>
      <c r="AB1123" s="6" t="n">
        <v>4.635590636622823</v>
      </c>
      <c r="AC1123" s="6" t="n">
        <v>1.694277908245669</v>
      </c>
      <c r="AD1123" s="6" t="n">
        <v>-0.3941538502130867</v>
      </c>
      <c r="AE1123" s="6" t="n">
        <v>-4.078481628645267</v>
      </c>
      <c r="AF1123" s="6" t="n">
        <v>-3.055402078852722</v>
      </c>
      <c r="AG1123" s="6" t="n">
        <v>2.902490520952052</v>
      </c>
      <c r="AH1123" s="6" t="n">
        <v>-3.601312983272004</v>
      </c>
      <c r="AI1123" s="6" t="n">
        <v>-0.781551602669399</v>
      </c>
      <c r="AJ1123" s="6" t="n">
        <v>84.73219100189016</v>
      </c>
      <c r="AK1123" s="6" t="n">
        <v>0.1901127475820219</v>
      </c>
      <c r="AL1123" s="6" t="n">
        <v>1.033714411556829</v>
      </c>
      <c r="AN1123" s="6" t="n">
        <v>1.353872731598938</v>
      </c>
      <c r="AO1123" s="6" t="n">
        <v>1.354190125970434</v>
      </c>
      <c r="AP1123" s="6" t="n">
        <v>0.1333125581281488</v>
      </c>
      <c r="AQ1123" s="6" t="n">
        <v>0</v>
      </c>
      <c r="AR1123" s="6" t="n">
        <v>0</v>
      </c>
    </row>
    <row r="1124">
      <c r="D1124" t="inlineStr">
        <is>
          <t>Run 812</t>
        </is>
      </c>
      <c r="J1124" s="6" t="n">
        <v>-3.909387149554173</v>
      </c>
      <c r="K1124" s="6" t="n">
        <v>-0.8877795331467403</v>
      </c>
      <c r="L1124" s="6" t="n">
        <v>-1.519029305804017</v>
      </c>
      <c r="M1124" s="6" t="n">
        <v>2.312195270964667</v>
      </c>
      <c r="N1124" s="6" t="n">
        <v>2.54676412918112</v>
      </c>
      <c r="O1124" s="6" t="n">
        <v>3.093803794455834</v>
      </c>
      <c r="P1124" s="6" t="n">
        <v>-0.8699837989378786</v>
      </c>
      <c r="Q1124" s="6" t="n">
        <v>-1.161466446744192</v>
      </c>
      <c r="R1124" s="6" t="n">
        <v>-0.6151660507407201</v>
      </c>
      <c r="S1124" s="6" t="n">
        <v>0.1301691418885132</v>
      </c>
      <c r="T1124" s="6" t="n">
        <v>-2.35345787295601</v>
      </c>
      <c r="U1124" s="6" t="n">
        <v>-2.405603380839758</v>
      </c>
      <c r="V1124" s="6" t="n">
        <v>4.051663293889565</v>
      </c>
      <c r="W1124" s="6" t="n">
        <v>1.761044288348502</v>
      </c>
      <c r="X1124" s="6" t="n">
        <v>-1.599849750485312</v>
      </c>
      <c r="Y1124" s="6" t="n">
        <v>-0.7540702486459421</v>
      </c>
      <c r="Z1124" s="6" t="n">
        <v>3.363117376869688</v>
      </c>
      <c r="AA1124" s="6" t="n">
        <v>-0.5815626957650961</v>
      </c>
      <c r="AB1124" s="6" t="n">
        <v>-1.126970314418342</v>
      </c>
      <c r="AC1124" s="6" t="n">
        <v>2.238180125032847</v>
      </c>
      <c r="AD1124" s="6" t="n">
        <v>-1.104391925585751</v>
      </c>
      <c r="AE1124" s="6" t="n">
        <v>1.956887927147754</v>
      </c>
      <c r="AF1124" s="6" t="n">
        <v>0.5408202727120617</v>
      </c>
      <c r="AG1124" s="6" t="n">
        <v>-0.6028681904376934</v>
      </c>
      <c r="AH1124" s="6" t="n">
        <v>-1.80929863641282</v>
      </c>
      <c r="AI1124" s="6" t="n">
        <v>-0.4763937830002821</v>
      </c>
      <c r="AJ1124" s="6" t="n">
        <v>62.13848931617405</v>
      </c>
      <c r="AK1124" s="6" t="n">
        <v>0.1570123905687643</v>
      </c>
      <c r="AL1124" s="6" t="n">
        <v>1.037208770677374</v>
      </c>
      <c r="AN1124" s="6" t="n">
        <v>1.342055990632938</v>
      </c>
      <c r="AO1124" s="6" t="n">
        <v>1.342172614423953</v>
      </c>
      <c r="AP1124" s="6" t="n">
        <v>0.1320053663002747</v>
      </c>
      <c r="AQ1124" s="6" t="n">
        <v>0</v>
      </c>
      <c r="AR1124" s="6" t="n">
        <v>0</v>
      </c>
    </row>
    <row r="1125">
      <c r="D1125" t="inlineStr">
        <is>
          <t>Run 813</t>
        </is>
      </c>
      <c r="J1125" s="6" t="n">
        <v>-2.134587455931841</v>
      </c>
      <c r="K1125" s="6" t="n">
        <v>-0.9258698792924261</v>
      </c>
      <c r="L1125" s="6" t="n">
        <v>1.603161216344816</v>
      </c>
      <c r="M1125" s="6" t="n">
        <v>-1.738650979348502</v>
      </c>
      <c r="N1125" s="6" t="n">
        <v>2.257546113267311</v>
      </c>
      <c r="O1125" s="6" t="n">
        <v>-4.272084181241529</v>
      </c>
      <c r="P1125" s="6" t="n">
        <v>0.7118337501146066</v>
      </c>
      <c r="Q1125" s="6" t="n">
        <v>-1.191021568334868</v>
      </c>
      <c r="R1125" s="6" t="n">
        <v>-1.378488442880848</v>
      </c>
      <c r="S1125" s="6" t="n">
        <v>2.128719376528744</v>
      </c>
      <c r="T1125" s="6" t="n">
        <v>4.216402195400901</v>
      </c>
      <c r="U1125" s="6" t="n">
        <v>-2.261664703568921</v>
      </c>
      <c r="V1125" s="6" t="n">
        <v>-1.268368119373698</v>
      </c>
      <c r="W1125" s="6" t="n">
        <v>-2.441228271609328</v>
      </c>
      <c r="X1125" s="6" t="n">
        <v>5</v>
      </c>
      <c r="Y1125" s="6" t="n">
        <v>1.159233226260774</v>
      </c>
      <c r="Z1125" s="6" t="n">
        <v>-1.180743487170097</v>
      </c>
      <c r="AA1125" s="6" t="n">
        <v>-1.763791883077223</v>
      </c>
      <c r="AB1125" s="6" t="n">
        <v>0.272481367187918</v>
      </c>
      <c r="AC1125" s="6" t="n">
        <v>0.2501027660087406</v>
      </c>
      <c r="AD1125" s="6" t="n">
        <v>-2.510597319933901</v>
      </c>
      <c r="AE1125" s="6" t="n">
        <v>1.756195263953218</v>
      </c>
      <c r="AF1125" s="6" t="n">
        <v>-0.5608646681430742</v>
      </c>
      <c r="AG1125" s="6" t="n">
        <v>3.040605931742377</v>
      </c>
      <c r="AH1125" s="6" t="n">
        <v>-3.058558097903788</v>
      </c>
      <c r="AI1125" s="6" t="n">
        <v>-1.71624919272447</v>
      </c>
      <c r="AJ1125" s="6" t="n">
        <v>64.21308344222589</v>
      </c>
      <c r="AK1125" s="6" t="n">
        <v>0.1179099304504046</v>
      </c>
      <c r="AL1125" s="6" t="n">
        <v>1.030415492091782</v>
      </c>
      <c r="AN1125" s="6" t="n">
        <v>1.338052025348816</v>
      </c>
      <c r="AO1125" s="6" t="n">
        <v>1.342783985553126</v>
      </c>
      <c r="AP1125" s="6" t="n">
        <v>0.1334998083875024</v>
      </c>
      <c r="AQ1125" s="6" t="n">
        <v>0</v>
      </c>
      <c r="AR1125" s="6" t="n">
        <v>0</v>
      </c>
    </row>
    <row r="1126">
      <c r="D1126" t="inlineStr">
        <is>
          <t>Run 814</t>
        </is>
      </c>
      <c r="J1126" s="6" t="n">
        <v>1.650385230520342</v>
      </c>
      <c r="K1126" s="6" t="n">
        <v>-0.2554341168849754</v>
      </c>
      <c r="L1126" s="6" t="n">
        <v>-2.241981146961648</v>
      </c>
      <c r="M1126" s="6" t="n">
        <v>-0.1419384686906766</v>
      </c>
      <c r="N1126" s="6" t="n">
        <v>-3.130894606298068</v>
      </c>
      <c r="O1126" s="6" t="n">
        <v>0.6908418664519618</v>
      </c>
      <c r="P1126" s="6" t="n">
        <v>-2.456537742242023</v>
      </c>
      <c r="Q1126" s="6" t="n">
        <v>-0.01991344917382092</v>
      </c>
      <c r="R1126" s="6" t="n">
        <v>1.444495217714956</v>
      </c>
      <c r="S1126" s="6" t="n">
        <v>2.781721946624712</v>
      </c>
      <c r="T1126" s="6" t="n">
        <v>-1.006857050675435</v>
      </c>
      <c r="U1126" s="6" t="n">
        <v>0.5051720934760836</v>
      </c>
      <c r="V1126" s="6" t="n">
        <v>-0.5922242226496564</v>
      </c>
      <c r="W1126" s="6" t="n">
        <v>0.5327341307902896</v>
      </c>
      <c r="X1126" s="6" t="n">
        <v>-0.1255850104072634</v>
      </c>
      <c r="Y1126" s="6" t="n">
        <v>-2.916101914201966</v>
      </c>
      <c r="Z1126" s="6" t="n">
        <v>-0.8076113100812473</v>
      </c>
      <c r="AA1126" s="6" t="n">
        <v>4.635935878210308</v>
      </c>
      <c r="AB1126" s="6" t="n">
        <v>0.1298109352133125</v>
      </c>
      <c r="AC1126" s="6" t="n">
        <v>-1.279280004449395</v>
      </c>
      <c r="AD1126" s="6" t="n">
        <v>0.4411051591594142</v>
      </c>
      <c r="AE1126" s="6" t="n">
        <v>1.742213519969363</v>
      </c>
      <c r="AF1126" s="6" t="n">
        <v>0.8078369341899385</v>
      </c>
      <c r="AG1126" s="6" t="n">
        <v>-1.031429901260394</v>
      </c>
      <c r="AH1126" s="6" t="n">
        <v>-0.1797476568667682</v>
      </c>
      <c r="AI1126" s="6" t="n">
        <v>-0.5481576541345342</v>
      </c>
      <c r="AJ1126" s="6" t="n">
        <v>80.03803648263396</v>
      </c>
      <c r="AK1126" s="6" t="n">
        <v>0.1573966665707199</v>
      </c>
      <c r="AL1126" s="6" t="n">
        <v>1.026781872337163</v>
      </c>
      <c r="AN1126" s="6" t="n">
        <v>1.35489434693097</v>
      </c>
      <c r="AO1126" s="6" t="n">
        <v>1.35489434693097</v>
      </c>
      <c r="AP1126" s="6" t="n">
        <v>0.1346062355153906</v>
      </c>
      <c r="AQ1126" s="6" t="n">
        <v>0</v>
      </c>
      <c r="AR1126" s="6" t="n">
        <v>0</v>
      </c>
    </row>
    <row r="1127">
      <c r="D1127" t="inlineStr">
        <is>
          <t>Run 815</t>
        </is>
      </c>
      <c r="J1127" s="6" t="n">
        <v>-0.07674826105087711</v>
      </c>
      <c r="K1127" s="6" t="n">
        <v>-2.724458440527119</v>
      </c>
      <c r="L1127" s="6" t="n">
        <v>-5.381396829070124</v>
      </c>
      <c r="M1127" s="6" t="n">
        <v>2.093813296842086</v>
      </c>
      <c r="N1127" s="6" t="n">
        <v>-0.3066224589361571</v>
      </c>
      <c r="O1127" s="6" t="n">
        <v>1.03490372191224</v>
      </c>
      <c r="P1127" s="6" t="n">
        <v>-0.07242801069460643</v>
      </c>
      <c r="Q1127" s="6" t="n">
        <v>-0.4331028433162433</v>
      </c>
      <c r="R1127" s="6" t="n">
        <v>4.137342745332468</v>
      </c>
      <c r="S1127" s="6" t="n">
        <v>-0.9295072626288857</v>
      </c>
      <c r="T1127" s="6" t="n">
        <v>3.595640534495525</v>
      </c>
      <c r="U1127" s="6" t="n">
        <v>-2.171207213783414</v>
      </c>
      <c r="V1127" s="6" t="n">
        <v>-2.127554927093597</v>
      </c>
      <c r="W1127" s="6" t="n">
        <v>-0.3063935095786363</v>
      </c>
      <c r="X1127" s="6" t="n">
        <v>0.8960696144248418</v>
      </c>
      <c r="Y1127" s="6" t="n">
        <v>0.8127224210011058</v>
      </c>
      <c r="Z1127" s="6" t="n">
        <v>2.439433106179513</v>
      </c>
      <c r="AA1127" s="6" t="n">
        <v>1.298306290210078</v>
      </c>
      <c r="AB1127" s="6" t="n">
        <v>-0.7410664437139101</v>
      </c>
      <c r="AC1127" s="6" t="n">
        <v>-0.8425292565455863</v>
      </c>
      <c r="AD1127" s="6" t="n">
        <v>-0.707901168836637</v>
      </c>
      <c r="AE1127" s="6" t="n">
        <v>-2.529100025850207</v>
      </c>
      <c r="AF1127" s="6" t="n">
        <v>1.273920317136261</v>
      </c>
      <c r="AG1127" s="6" t="n">
        <v>-3.512526836669682</v>
      </c>
      <c r="AH1127" s="6" t="n">
        <v>0.03479035754214143</v>
      </c>
      <c r="AI1127" s="6" t="n">
        <v>0.4171337690345683</v>
      </c>
      <c r="AJ1127" s="6" t="n">
        <v>70.89581685748672</v>
      </c>
      <c r="AK1127" s="6" t="n">
        <v>0.1058579656165015</v>
      </c>
      <c r="AL1127" s="6" t="n">
        <v>1.080115001743849</v>
      </c>
      <c r="AN1127" s="6" t="n">
        <v>1.324731395166283</v>
      </c>
      <c r="AO1127" s="6" t="n">
        <v>1.330371245410553</v>
      </c>
      <c r="AP1127" s="6" t="n">
        <v>0.1302895342712221</v>
      </c>
      <c r="AQ1127" s="6" t="n">
        <v>0</v>
      </c>
      <c r="AR1127" s="6" t="n">
        <v>0</v>
      </c>
    </row>
    <row r="1128">
      <c r="D1128" t="inlineStr">
        <is>
          <t>Run 816</t>
        </is>
      </c>
      <c r="J1128" s="6" t="n">
        <v>2.534163082818124</v>
      </c>
      <c r="K1128" s="6" t="n">
        <v>-0.1169719544513214</v>
      </c>
      <c r="L1128" s="6" t="n">
        <v>1.1013174178662</v>
      </c>
      <c r="M1128" s="6" t="n">
        <v>1.997873124562246</v>
      </c>
      <c r="N1128" s="6" t="n">
        <v>1.835724830563184</v>
      </c>
      <c r="O1128" s="6" t="n">
        <v>-3.785397554960188</v>
      </c>
      <c r="P1128" s="6" t="n">
        <v>1.802165924967643</v>
      </c>
      <c r="Q1128" s="6" t="n">
        <v>-0.2409086829169601</v>
      </c>
      <c r="R1128" s="6" t="n">
        <v>1.120633184077288</v>
      </c>
      <c r="S1128" s="6" t="n">
        <v>-2.440724647928504</v>
      </c>
      <c r="T1128" s="6" t="n">
        <v>-0.2760366937790518</v>
      </c>
      <c r="U1128" s="6" t="n">
        <v>0.6463426884678813</v>
      </c>
      <c r="V1128" s="6" t="n">
        <v>5</v>
      </c>
      <c r="W1128" s="6" t="n">
        <v>-1.361469690560615</v>
      </c>
      <c r="X1128" s="6" t="n">
        <v>-1.961425832420202</v>
      </c>
      <c r="Y1128" s="6" t="n">
        <v>2.098457329043616</v>
      </c>
      <c r="Z1128" s="6" t="n">
        <v>1.145550163889832</v>
      </c>
      <c r="AA1128" s="6" t="n">
        <v>1.266629846097558</v>
      </c>
      <c r="AB1128" s="6" t="n">
        <v>3.578188407966735</v>
      </c>
      <c r="AC1128" s="6" t="n">
        <v>3.553884456774156</v>
      </c>
      <c r="AD1128" s="6" t="n">
        <v>0.7725836746492679</v>
      </c>
      <c r="AE1128" s="6" t="n">
        <v>-1.415581019289532</v>
      </c>
      <c r="AF1128" s="6" t="n">
        <v>-0.4133577832193782</v>
      </c>
      <c r="AG1128" s="6" t="n">
        <v>3.516411887060392</v>
      </c>
      <c r="AH1128" s="6" t="n">
        <v>-0.04300523529243022</v>
      </c>
      <c r="AI1128" s="6" t="n">
        <v>0.7521752564287613</v>
      </c>
      <c r="AJ1128" s="6" t="n">
        <v>77.5571450730945</v>
      </c>
      <c r="AK1128" s="6" t="n">
        <v>0.1515497043476772</v>
      </c>
      <c r="AL1128" s="6" t="n">
        <v>1.060766146259497</v>
      </c>
      <c r="AN1128" s="6" t="n">
        <v>1.336073068501353</v>
      </c>
      <c r="AO1128" s="6" t="n">
        <v>1.338450840257152</v>
      </c>
      <c r="AP1128" s="6" t="n">
        <v>0.1310434793821746</v>
      </c>
      <c r="AQ1128" s="6" t="n">
        <v>0</v>
      </c>
      <c r="AR1128" s="6" t="n">
        <v>0</v>
      </c>
    </row>
    <row r="1129">
      <c r="D1129" t="inlineStr">
        <is>
          <t>Run 817</t>
        </is>
      </c>
      <c r="J1129" s="6" t="n">
        <v>0.7567906290469584</v>
      </c>
      <c r="K1129" s="6" t="n">
        <v>-0.1485612278764513</v>
      </c>
      <c r="L1129" s="6" t="n">
        <v>-1.015450796672787</v>
      </c>
      <c r="M1129" s="6" t="n">
        <v>-1.302333975511802</v>
      </c>
      <c r="N1129" s="6" t="n">
        <v>0.3465831133440185</v>
      </c>
      <c r="O1129" s="6" t="n">
        <v>-0.3519751780662301</v>
      </c>
      <c r="P1129" s="6" t="n">
        <v>0.558170824338818</v>
      </c>
      <c r="Q1129" s="6" t="n">
        <v>-0.9157661091238881</v>
      </c>
      <c r="R1129" s="6" t="n">
        <v>-1.964884386444092</v>
      </c>
      <c r="S1129" s="6" t="n">
        <v>1.196556285857235</v>
      </c>
      <c r="T1129" s="6" t="n">
        <v>3.016922792633801</v>
      </c>
      <c r="U1129" s="6" t="n">
        <v>0.3811145806914431</v>
      </c>
      <c r="V1129" s="6" t="n">
        <v>2.326475393609258</v>
      </c>
      <c r="W1129" s="6" t="n">
        <v>-0.984383700671306</v>
      </c>
      <c r="X1129" s="6" t="n">
        <v>-0.9280067998634984</v>
      </c>
      <c r="Y1129" s="6" t="n">
        <v>-5.551742096469549</v>
      </c>
      <c r="Z1129" s="6" t="n">
        <v>2.457454893274085</v>
      </c>
      <c r="AA1129" s="6" t="n">
        <v>2.925274333971897</v>
      </c>
      <c r="AB1129" s="6" t="n">
        <v>-0.9641841651034696</v>
      </c>
      <c r="AC1129" s="6" t="n">
        <v>1.859285866403374</v>
      </c>
      <c r="AD1129" s="6" t="n">
        <v>-3.123315789036579</v>
      </c>
      <c r="AE1129" s="6" t="n">
        <v>-3.702116407204781</v>
      </c>
      <c r="AF1129" s="6" t="n">
        <v>0.01844091078456532</v>
      </c>
      <c r="AG1129" s="6" t="n">
        <v>0.5994523555471012</v>
      </c>
      <c r="AH1129" s="6" t="n">
        <v>0.3501476411390518</v>
      </c>
      <c r="AI1129" s="6" t="n">
        <v>-0.943474447737732</v>
      </c>
      <c r="AJ1129" s="6" t="n">
        <v>63.41593522986183</v>
      </c>
      <c r="AK1129" s="6" t="n">
        <v>0.1243343307884792</v>
      </c>
      <c r="AL1129" s="6" t="n">
        <v>1.036470290306709</v>
      </c>
      <c r="AN1129" s="6" t="n">
        <v>1.341127277325619</v>
      </c>
      <c r="AO1129" s="6" t="n">
        <v>1.344144850510439</v>
      </c>
      <c r="AP1129" s="6" t="n">
        <v>0.1325638206411195</v>
      </c>
      <c r="AQ1129" s="6" t="n">
        <v>0</v>
      </c>
      <c r="AR1129" s="6" t="n">
        <v>0</v>
      </c>
    </row>
    <row r="1130">
      <c r="D1130" t="inlineStr">
        <is>
          <t>Run 818</t>
        </is>
      </c>
      <c r="J1130" s="6" t="n">
        <v>0.3899332812670426</v>
      </c>
      <c r="K1130" s="6" t="n">
        <v>0.5437999826651366</v>
      </c>
      <c r="L1130" s="6" t="n">
        <v>-2.252078558488452</v>
      </c>
      <c r="M1130" s="6" t="n">
        <v>2.062858941036059</v>
      </c>
      <c r="N1130" s="6" t="n">
        <v>-0.5908047025832783</v>
      </c>
      <c r="O1130" s="6" t="n">
        <v>-1.898660628980314</v>
      </c>
      <c r="P1130" s="6" t="n">
        <v>-0.2962842165745816</v>
      </c>
      <c r="Q1130" s="6" t="n">
        <v>-3.494044960484345</v>
      </c>
      <c r="R1130" s="6" t="n">
        <v>1.508940967222993</v>
      </c>
      <c r="S1130" s="6" t="n">
        <v>-2.767022632154275</v>
      </c>
      <c r="T1130" s="6" t="n">
        <v>-1.887958635950977</v>
      </c>
      <c r="U1130" s="6" t="n">
        <v>0.6017722723378796</v>
      </c>
      <c r="V1130" s="6" t="n">
        <v>0.8023467363173289</v>
      </c>
      <c r="W1130" s="6" t="n">
        <v>2.835436685339501</v>
      </c>
      <c r="X1130" s="6" t="n">
        <v>1.557065868171568</v>
      </c>
      <c r="Y1130" s="6" t="n">
        <v>5</v>
      </c>
      <c r="Z1130" s="6" t="n">
        <v>-2.843135267462257</v>
      </c>
      <c r="AA1130" s="6" t="n">
        <v>-4.450742067057032</v>
      </c>
      <c r="AB1130" s="6" t="n">
        <v>-0.2031457354367202</v>
      </c>
      <c r="AC1130" s="6" t="n">
        <v>-2.67966043933205</v>
      </c>
      <c r="AD1130" s="6" t="n">
        <v>-1.117642341299164</v>
      </c>
      <c r="AE1130" s="6" t="n">
        <v>-0.02483669496417319</v>
      </c>
      <c r="AF1130" s="6" t="n">
        <v>-0.5744466430102964</v>
      </c>
      <c r="AG1130" s="6" t="n">
        <v>-1.615586689827121</v>
      </c>
      <c r="AH1130" s="6" t="n">
        <v>-0.595059261855547</v>
      </c>
      <c r="AI1130" s="6" t="n">
        <v>4.304488692258762</v>
      </c>
      <c r="AJ1130" s="6" t="n">
        <v>79.1024014112465</v>
      </c>
      <c r="AK1130" s="6" t="n">
        <v>0.09962979880465875</v>
      </c>
      <c r="AL1130" s="6" t="n">
        <v>1.058324363115379</v>
      </c>
      <c r="AN1130" s="6" t="n">
        <v>1.347712861454964</v>
      </c>
      <c r="AO1130" s="6" t="n">
        <v>1.348368470070529</v>
      </c>
      <c r="AP1130" s="6" t="n">
        <v>0.1324238557369084</v>
      </c>
      <c r="AQ1130" s="6" t="n">
        <v>0</v>
      </c>
      <c r="AR1130" s="6" t="n">
        <v>0</v>
      </c>
    </row>
    <row r="1131">
      <c r="D1131" t="inlineStr">
        <is>
          <t>Run 819</t>
        </is>
      </c>
      <c r="J1131" s="6" t="n">
        <v>1.057268100717108</v>
      </c>
      <c r="K1131" s="6" t="n">
        <v>0.2859400914083385</v>
      </c>
      <c r="L1131" s="6" t="n">
        <v>-0.04598706360086112</v>
      </c>
      <c r="M1131" s="6" t="n">
        <v>0.02873363676392164</v>
      </c>
      <c r="N1131" s="6" t="n">
        <v>-0.6954439645421584</v>
      </c>
      <c r="O1131" s="6" t="n">
        <v>-0.4843980443294624</v>
      </c>
      <c r="P1131" s="6" t="n">
        <v>-1.960380127366639</v>
      </c>
      <c r="Q1131" s="6" t="n">
        <v>-0.5302709180128101</v>
      </c>
      <c r="R1131" s="6" t="n">
        <v>3.547811960789037</v>
      </c>
      <c r="S1131" s="6" t="n">
        <v>3.737350073807016</v>
      </c>
      <c r="T1131" s="6" t="n">
        <v>0.1116248738381494</v>
      </c>
      <c r="U1131" s="6" t="n">
        <v>-0.2151361664020782</v>
      </c>
      <c r="V1131" s="6" t="n">
        <v>0.4522996041967167</v>
      </c>
      <c r="W1131" s="6" t="n">
        <v>0.5801645169909347</v>
      </c>
      <c r="X1131" s="6" t="n">
        <v>-0.3859215180102812</v>
      </c>
      <c r="Y1131" s="6" t="n">
        <v>2.001802935527012</v>
      </c>
      <c r="Z1131" s="6" t="n">
        <v>-0.7028500030719812</v>
      </c>
      <c r="AA1131" s="6" t="n">
        <v>2.528984382807453</v>
      </c>
      <c r="AB1131" s="6" t="n">
        <v>1.718329311825788</v>
      </c>
      <c r="AC1131" s="6" t="n">
        <v>-0.4586978776446877</v>
      </c>
      <c r="AD1131" s="6" t="n">
        <v>3.590498329026159</v>
      </c>
      <c r="AE1131" s="6" t="n">
        <v>-1.421320873218239</v>
      </c>
      <c r="AF1131" s="6" t="n">
        <v>1.319175120264301</v>
      </c>
      <c r="AG1131" s="6" t="n">
        <v>-2.178225409426134</v>
      </c>
      <c r="AH1131" s="6" t="n">
        <v>0.5134795532955153</v>
      </c>
      <c r="AI1131" s="6" t="n">
        <v>-0.8918173328072733</v>
      </c>
      <c r="AJ1131" s="6" t="n">
        <v>68.79830222992207</v>
      </c>
      <c r="AK1131" s="6" t="n">
        <v>0.07027957437427168</v>
      </c>
      <c r="AL1131" s="6" t="n">
        <v>1.131322962320277</v>
      </c>
      <c r="AN1131" s="6" t="n">
        <v>1.327962393636335</v>
      </c>
      <c r="AO1131" s="6" t="n">
        <v>1.328104766920985</v>
      </c>
      <c r="AP1131" s="6" t="n">
        <v>0.1290752186282506</v>
      </c>
      <c r="AQ1131" s="6" t="n">
        <v>0</v>
      </c>
      <c r="AR1131" s="6" t="n">
        <v>0</v>
      </c>
    </row>
    <row r="1132">
      <c r="D1132" t="inlineStr">
        <is>
          <t>Run 820</t>
        </is>
      </c>
      <c r="J1132" s="6" t="n">
        <v>-0.07392056400724298</v>
      </c>
      <c r="K1132" s="6" t="n">
        <v>-0.8868207279991708</v>
      </c>
      <c r="L1132" s="6" t="n">
        <v>-2.114844658049973</v>
      </c>
      <c r="M1132" s="6" t="n">
        <v>-0.2462713485353588</v>
      </c>
      <c r="N1132" s="6" t="n">
        <v>-4.095696270760298</v>
      </c>
      <c r="O1132" s="6" t="n">
        <v>2.891188811769463</v>
      </c>
      <c r="P1132" s="6" t="n">
        <v>0.3878577693452078</v>
      </c>
      <c r="Q1132" s="6" t="n">
        <v>3.23267529563216</v>
      </c>
      <c r="R1132" s="6" t="n">
        <v>-0.7731455958322083</v>
      </c>
      <c r="S1132" s="6" t="n">
        <v>2.555578607347685</v>
      </c>
      <c r="T1132" s="6" t="n">
        <v>-1.7072676757063</v>
      </c>
      <c r="U1132" s="6" t="n">
        <v>0.5301427049028511</v>
      </c>
      <c r="V1132" s="6" t="n">
        <v>3.312205678692342</v>
      </c>
      <c r="W1132" s="6" t="n">
        <v>-2.296083492239022</v>
      </c>
      <c r="X1132" s="6" t="n">
        <v>0.7637951504449567</v>
      </c>
      <c r="Y1132" s="6" t="n">
        <v>-0.3343671428308752</v>
      </c>
      <c r="Z1132" s="6" t="n">
        <v>2.544728930039243</v>
      </c>
      <c r="AA1132" s="6" t="n">
        <v>-2.575983714512839</v>
      </c>
      <c r="AB1132" s="6" t="n">
        <v>-2.824578696880254</v>
      </c>
      <c r="AC1132" s="6" t="n">
        <v>-0.8744544392835309</v>
      </c>
      <c r="AD1132" s="6" t="n">
        <v>1.25913624230731</v>
      </c>
      <c r="AE1132" s="6" t="n">
        <v>2.510653361658196</v>
      </c>
      <c r="AF1132" s="6" t="n">
        <v>0.9256754641617779</v>
      </c>
      <c r="AG1132" s="6" t="n">
        <v>0.6604198319464434</v>
      </c>
      <c r="AH1132" s="6" t="n">
        <v>-2.712819928562288</v>
      </c>
      <c r="AI1132" s="6" t="n">
        <v>0.528150295710049</v>
      </c>
      <c r="AJ1132" s="6" t="n">
        <v>81.05968368038712</v>
      </c>
      <c r="AK1132" s="6" t="n">
        <v>0.1256106092082799</v>
      </c>
      <c r="AL1132" s="6" t="n">
        <v>1.018094080033725</v>
      </c>
      <c r="AN1132" s="6" t="n">
        <v>1.3579039184169</v>
      </c>
      <c r="AO1132" s="6" t="n">
        <v>1.3579039184169</v>
      </c>
      <c r="AP1132" s="6" t="n">
        <v>0.136932167009035</v>
      </c>
      <c r="AQ1132" s="6" t="n">
        <v>0</v>
      </c>
      <c r="AR1132" s="6" t="n">
        <v>0</v>
      </c>
    </row>
    <row r="1133">
      <c r="D1133" t="inlineStr">
        <is>
          <t>Run 821</t>
        </is>
      </c>
      <c r="J1133" s="6" t="n">
        <v>4.297742661865641</v>
      </c>
      <c r="K1133" s="6" t="n">
        <v>0.174179923572543</v>
      </c>
      <c r="L1133" s="6" t="n">
        <v>-1.043195434947517</v>
      </c>
      <c r="M1133" s="6" t="n">
        <v>1.780877779488861</v>
      </c>
      <c r="N1133" s="6" t="n">
        <v>-0.4308982824441821</v>
      </c>
      <c r="O1133" s="6" t="n">
        <v>1.641189652850725</v>
      </c>
      <c r="P1133" s="6" t="n">
        <v>0.688921298117758</v>
      </c>
      <c r="Q1133" s="6" t="n">
        <v>2.065492373734847</v>
      </c>
      <c r="R1133" s="6" t="n">
        <v>0.3259420622506501</v>
      </c>
      <c r="S1133" s="6" t="n">
        <v>-0.744309525817373</v>
      </c>
      <c r="T1133" s="6" t="n">
        <v>4.068060880290897</v>
      </c>
      <c r="U1133" s="6" t="n">
        <v>3.708816101242178</v>
      </c>
      <c r="V1133" s="6" t="n">
        <v>2.526329350206674</v>
      </c>
      <c r="W1133" s="6" t="n">
        <v>-1.224130545652705</v>
      </c>
      <c r="X1133" s="6" t="n">
        <v>-3.745511467235251</v>
      </c>
      <c r="Y1133" s="6" t="n">
        <v>0.0895735572531532</v>
      </c>
      <c r="Z1133" s="6" t="n">
        <v>-1.299712512298802</v>
      </c>
      <c r="AA1133" s="6" t="n">
        <v>-0.59371527525102</v>
      </c>
      <c r="AB1133" s="6" t="n">
        <v>2.941204244434376</v>
      </c>
      <c r="AC1133" s="6" t="n">
        <v>-0.3774636394042999</v>
      </c>
      <c r="AD1133" s="6" t="n">
        <v>-0.09606831633592831</v>
      </c>
      <c r="AE1133" s="6" t="n">
        <v>-1.300400803039175</v>
      </c>
      <c r="AF1133" s="6" t="n">
        <v>-2.318113712598104</v>
      </c>
      <c r="AG1133" s="6" t="n">
        <v>-0.3873440866666366</v>
      </c>
      <c r="AH1133" s="6" t="n">
        <v>-2.135148689211941</v>
      </c>
      <c r="AI1133" s="6" t="n">
        <v>-1.584216761582784</v>
      </c>
      <c r="AJ1133" s="6" t="n">
        <v>77.21690807674955</v>
      </c>
      <c r="AK1133" s="6" t="n">
        <v>0.08749713522065379</v>
      </c>
      <c r="AL1133" s="6" t="n">
        <v>1.094582438010347</v>
      </c>
      <c r="AN1133" s="6" t="n">
        <v>1.335000190774181</v>
      </c>
      <c r="AO1133" s="6" t="n">
        <v>1.335050539567579</v>
      </c>
      <c r="AP1133" s="6" t="n">
        <v>0.130667326032276</v>
      </c>
      <c r="AQ1133" s="6" t="n">
        <v>0</v>
      </c>
      <c r="AR1133" s="6" t="n">
        <v>0</v>
      </c>
    </row>
    <row r="1134">
      <c r="D1134" t="inlineStr">
        <is>
          <t>Run 822</t>
        </is>
      </c>
      <c r="J1134" s="6" t="n">
        <v>0.1784624506792245</v>
      </c>
      <c r="K1134" s="6" t="n">
        <v>1.904715579773439</v>
      </c>
      <c r="L1134" s="6" t="n">
        <v>-3.05083582986403</v>
      </c>
      <c r="M1134" s="6" t="n">
        <v>0.2234047441437513</v>
      </c>
      <c r="N1134" s="6" t="n">
        <v>-1.0456686957275</v>
      </c>
      <c r="O1134" s="6" t="n">
        <v>-0.1828067451648062</v>
      </c>
      <c r="P1134" s="6" t="n">
        <v>2.061627388815825</v>
      </c>
      <c r="Q1134" s="6" t="n">
        <v>0.08964921079392289</v>
      </c>
      <c r="R1134" s="6" t="n">
        <v>-0.5865725728354199</v>
      </c>
      <c r="S1134" s="6" t="n">
        <v>-0.386699468576833</v>
      </c>
      <c r="T1134" s="6" t="n">
        <v>2.833573454574997</v>
      </c>
      <c r="U1134" s="6" t="n">
        <v>0.7463714969123251</v>
      </c>
      <c r="V1134" s="6" t="n">
        <v>2.27699666452802</v>
      </c>
      <c r="W1134" s="6" t="n">
        <v>0.3736003163020614</v>
      </c>
      <c r="X1134" s="6" t="n">
        <v>-1.783809787777838</v>
      </c>
      <c r="Y1134" s="6" t="n">
        <v>2.984763644170235</v>
      </c>
      <c r="Z1134" s="6" t="n">
        <v>4.176051699671899</v>
      </c>
      <c r="AA1134" s="6" t="n">
        <v>-3.857896385504696</v>
      </c>
      <c r="AB1134" s="6" t="n">
        <v>-0.913904400010657</v>
      </c>
      <c r="AC1134" s="6" t="n">
        <v>2.358112579652854</v>
      </c>
      <c r="AD1134" s="6" t="n">
        <v>0.4130269117139488</v>
      </c>
      <c r="AE1134" s="6" t="n">
        <v>-2.260835094099261</v>
      </c>
      <c r="AF1134" s="6" t="n">
        <v>-0.04277393188658617</v>
      </c>
      <c r="AG1134" s="6" t="n">
        <v>-0.3967036655278022</v>
      </c>
      <c r="AH1134" s="6" t="n">
        <v>-0.8904058569245451</v>
      </c>
      <c r="AI1134" s="6" t="n">
        <v>-0.7720911577089058</v>
      </c>
      <c r="AJ1134" s="6" t="n">
        <v>78.55213321828288</v>
      </c>
      <c r="AK1134" s="6" t="n">
        <v>0.1657564399953073</v>
      </c>
      <c r="AL1134" s="6" t="n">
        <v>1.041817367783003</v>
      </c>
      <c r="AN1134" s="6" t="n">
        <v>1.349078562890215</v>
      </c>
      <c r="AO1134" s="6" t="n">
        <v>1.349789694494172</v>
      </c>
      <c r="AP1134" s="6" t="n">
        <v>0.1326405838004622</v>
      </c>
      <c r="AQ1134" s="6" t="n">
        <v>0</v>
      </c>
      <c r="AR1134" s="6" t="n">
        <v>0</v>
      </c>
    </row>
    <row r="1135">
      <c r="D1135" t="inlineStr">
        <is>
          <t>Run 823</t>
        </is>
      </c>
      <c r="J1135" s="6" t="n">
        <v>0.6071267552430363</v>
      </c>
      <c r="K1135" s="6" t="n">
        <v>1.194201130494813</v>
      </c>
      <c r="L1135" s="6" t="n">
        <v>1.372392210919469</v>
      </c>
      <c r="M1135" s="6" t="n">
        <v>-3.288830522965187</v>
      </c>
      <c r="N1135" s="6" t="n">
        <v>-0.6022957958169434</v>
      </c>
      <c r="O1135" s="6" t="n">
        <v>0.4593509519002161</v>
      </c>
      <c r="P1135" s="6" t="n">
        <v>1.823182850452591</v>
      </c>
      <c r="Q1135" s="6" t="n">
        <v>-0.6796111248825016</v>
      </c>
      <c r="R1135" s="6" t="n">
        <v>-1.212722079802991</v>
      </c>
      <c r="S1135" s="6" t="n">
        <v>3.053284670814667</v>
      </c>
      <c r="T1135" s="6" t="n">
        <v>-0.5634926383772882</v>
      </c>
      <c r="U1135" s="6" t="n">
        <v>2.774588372217924</v>
      </c>
      <c r="V1135" s="6" t="n">
        <v>-0.1374295293670275</v>
      </c>
      <c r="W1135" s="6" t="n">
        <v>-0.8895301915324981</v>
      </c>
      <c r="X1135" s="6" t="n">
        <v>0.5638806018041993</v>
      </c>
      <c r="Y1135" s="6" t="n">
        <v>3.440894186670119</v>
      </c>
      <c r="Z1135" s="6" t="n">
        <v>0.2022580803218818</v>
      </c>
      <c r="AA1135" s="6" t="n">
        <v>4.524982807385159</v>
      </c>
      <c r="AB1135" s="6" t="n">
        <v>1.687527719868344</v>
      </c>
      <c r="AC1135" s="6" t="n">
        <v>0.740072407441129</v>
      </c>
      <c r="AD1135" s="6" t="n">
        <v>-0.5106482278053144</v>
      </c>
      <c r="AE1135" s="6" t="n">
        <v>2.900590388102328</v>
      </c>
      <c r="AF1135" s="6" t="n">
        <v>0.4486032505470119</v>
      </c>
      <c r="AG1135" s="6" t="n">
        <v>-1.69854804822435</v>
      </c>
      <c r="AH1135" s="6" t="n">
        <v>-5.594358666244643</v>
      </c>
      <c r="AI1135" s="6" t="n">
        <v>-0.3008792121578037</v>
      </c>
      <c r="AJ1135" s="6" t="n">
        <v>75.7865169750776</v>
      </c>
      <c r="AK1135" s="6" t="n">
        <v>0.1057075023559903</v>
      </c>
      <c r="AL1135" s="6" t="n">
        <v>1.044300751003311</v>
      </c>
      <c r="AN1135" s="6" t="n">
        <v>1.317045372639612</v>
      </c>
      <c r="AO1135" s="6" t="n">
        <v>1.325580416530513</v>
      </c>
      <c r="AP1135" s="6" t="n">
        <v>0.1330005912495602</v>
      </c>
      <c r="AQ1135" s="6" t="n">
        <v>0</v>
      </c>
      <c r="AR1135" s="6" t="n">
        <v>0</v>
      </c>
    </row>
    <row r="1136">
      <c r="D1136" t="inlineStr">
        <is>
          <t>Run 824</t>
        </is>
      </c>
      <c r="J1136" s="6" t="n">
        <v>1.278666942287576</v>
      </c>
      <c r="K1136" s="6" t="n">
        <v>-0.9755270651436883</v>
      </c>
      <c r="L1136" s="6" t="n">
        <v>1.098798943016076</v>
      </c>
      <c r="M1136" s="6" t="n">
        <v>-3.384907411865335</v>
      </c>
      <c r="N1136" s="6" t="n">
        <v>-2.258803857866864</v>
      </c>
      <c r="O1136" s="6" t="n">
        <v>0.5333577348245226</v>
      </c>
      <c r="P1136" s="6" t="n">
        <v>0.6899936741183372</v>
      </c>
      <c r="Q1136" s="6" t="n">
        <v>-0.4667257919773651</v>
      </c>
      <c r="R1136" s="6" t="n">
        <v>-1.713268862806768</v>
      </c>
      <c r="S1136" s="6" t="n">
        <v>-1.469747831378737</v>
      </c>
      <c r="T1136" s="6" t="n">
        <v>-2.796264895756661</v>
      </c>
      <c r="U1136" s="6" t="n">
        <v>1.542805072362514</v>
      </c>
      <c r="V1136" s="6" t="n">
        <v>-1.244793758984372</v>
      </c>
      <c r="W1136" s="6" t="n">
        <v>1.713813655541556</v>
      </c>
      <c r="X1136" s="6" t="n">
        <v>-1.149481897199921</v>
      </c>
      <c r="Y1136" s="6" t="n">
        <v>1.205447082015996</v>
      </c>
      <c r="Z1136" s="6" t="n">
        <v>-1.73925008715458</v>
      </c>
      <c r="AA1136" s="6" t="n">
        <v>-1.904405446665494</v>
      </c>
      <c r="AB1136" s="6" t="n">
        <v>2.054354484025066</v>
      </c>
      <c r="AC1136" s="6" t="n">
        <v>-0.7746715129812283</v>
      </c>
      <c r="AD1136" s="6" t="n">
        <v>0.6008347835959608</v>
      </c>
      <c r="AE1136" s="6" t="n">
        <v>-1.732797481447721</v>
      </c>
      <c r="AF1136" s="6" t="n">
        <v>3.210153976867494</v>
      </c>
      <c r="AG1136" s="6" t="n">
        <v>0.3647474770829592</v>
      </c>
      <c r="AH1136" s="6" t="n">
        <v>-1.811990011961316</v>
      </c>
      <c r="AI1136" s="6" t="n">
        <v>-0.03243312269463865</v>
      </c>
      <c r="AJ1136" s="6" t="n">
        <v>73.82313333898544</v>
      </c>
      <c r="AK1136" s="6" t="n">
        <v>0.1456593246031745</v>
      </c>
      <c r="AL1136" s="6" t="n">
        <v>1.068490321527888</v>
      </c>
      <c r="AN1136" s="6" t="n">
        <v>1.305435988819312</v>
      </c>
      <c r="AO1136" s="6" t="n">
        <v>1.309736260921104</v>
      </c>
      <c r="AP1136" s="6" t="n">
        <v>0.1300647442730493</v>
      </c>
      <c r="AQ1136" s="6" t="n">
        <v>0</v>
      </c>
      <c r="AR1136" s="6" t="n">
        <v>0</v>
      </c>
    </row>
    <row r="1137">
      <c r="D1137" t="inlineStr">
        <is>
          <t>Run 825</t>
        </is>
      </c>
      <c r="J1137" s="6" t="n">
        <v>-0.7195277769577446</v>
      </c>
      <c r="K1137" s="6" t="n">
        <v>-2.295089163412441</v>
      </c>
      <c r="L1137" s="6" t="n">
        <v>2.254487177906531</v>
      </c>
      <c r="M1137" s="6" t="n">
        <v>1.504808707055195</v>
      </c>
      <c r="N1137" s="6" t="n">
        <v>-0.2099401477664627</v>
      </c>
      <c r="O1137" s="6" t="n">
        <v>0.05062606746558269</v>
      </c>
      <c r="P1137" s="6" t="n">
        <v>-1.135615538422836</v>
      </c>
      <c r="Q1137" s="6" t="n">
        <v>-5.675959766586979</v>
      </c>
      <c r="R1137" s="6" t="n">
        <v>-1.841778238249573</v>
      </c>
      <c r="S1137" s="6" t="n">
        <v>-3.051101695704811</v>
      </c>
      <c r="T1137" s="6" t="n">
        <v>0.3548870792427151</v>
      </c>
      <c r="U1137" s="6" t="n">
        <v>0.2500488597715653</v>
      </c>
      <c r="V1137" s="6" t="n">
        <v>1.643212134307238</v>
      </c>
      <c r="W1137" s="6" t="n">
        <v>1.268475739354256</v>
      </c>
      <c r="X1137" s="6" t="n">
        <v>0.6398485962279489</v>
      </c>
      <c r="Y1137" s="6" t="n">
        <v>2.038597572013032</v>
      </c>
      <c r="Z1137" s="6" t="n">
        <v>1.797927904911505</v>
      </c>
      <c r="AA1137" s="6" t="n">
        <v>-0.6324413561709171</v>
      </c>
      <c r="AB1137" s="6" t="n">
        <v>0.9580027581588171</v>
      </c>
      <c r="AC1137" s="6" t="n">
        <v>-0.7753234240506774</v>
      </c>
      <c r="AD1137" s="6" t="n">
        <v>2.924630990700133</v>
      </c>
      <c r="AE1137" s="6" t="n">
        <v>-0.756146570137963</v>
      </c>
      <c r="AF1137" s="6" t="n">
        <v>4.183341951510739</v>
      </c>
      <c r="AG1137" s="6" t="n">
        <v>0.6114893402193374</v>
      </c>
      <c r="AH1137" s="6" t="n">
        <v>-0.2186999976597333</v>
      </c>
      <c r="AI1137" s="6" t="n">
        <v>-1.504891414762569</v>
      </c>
      <c r="AJ1137" s="6" t="n">
        <v>71.36521942355445</v>
      </c>
      <c r="AK1137" s="6" t="n">
        <v>0.1254371497237283</v>
      </c>
      <c r="AL1137" s="6" t="n">
        <v>1.112049255794514</v>
      </c>
      <c r="AN1137" s="6" t="n">
        <v>1.311995126034232</v>
      </c>
      <c r="AO1137" s="6" t="n">
        <v>1.325981816655965</v>
      </c>
      <c r="AP1137" s="6" t="n">
        <v>0.1279668800998161</v>
      </c>
      <c r="AQ1137" s="6" t="n">
        <v>0</v>
      </c>
      <c r="AR1137" s="6" t="n">
        <v>0</v>
      </c>
    </row>
    <row r="1138">
      <c r="D1138" t="inlineStr">
        <is>
          <t>Run 826</t>
        </is>
      </c>
      <c r="J1138" s="6" t="n">
        <v>-1.991401240443114</v>
      </c>
      <c r="K1138" s="6" t="n">
        <v>-1.906998468499318</v>
      </c>
      <c r="L1138" s="6" t="n">
        <v>-1.911493720543101</v>
      </c>
      <c r="M1138" s="6" t="n">
        <v>-0.782223132763781</v>
      </c>
      <c r="N1138" s="6" t="n">
        <v>0.5665824188661782</v>
      </c>
      <c r="O1138" s="6" t="n">
        <v>1.687692404907743</v>
      </c>
      <c r="P1138" s="6" t="n">
        <v>-2.869166238492754</v>
      </c>
      <c r="Q1138" s="6" t="n">
        <v>2.42631671832615</v>
      </c>
      <c r="R1138" s="6" t="n">
        <v>1.938051166498613</v>
      </c>
      <c r="S1138" s="6" t="n">
        <v>0.9094227328214478</v>
      </c>
      <c r="T1138" s="6" t="n">
        <v>-2.420507190854895</v>
      </c>
      <c r="U1138" s="6" t="n">
        <v>-2.921124214814101</v>
      </c>
      <c r="V1138" s="6" t="n">
        <v>3.045003411600983</v>
      </c>
      <c r="W1138" s="6" t="n">
        <v>2.77262601016568</v>
      </c>
      <c r="X1138" s="6" t="n">
        <v>-0.4002361797716945</v>
      </c>
      <c r="Y1138" s="6" t="n">
        <v>-2.127711626057248</v>
      </c>
      <c r="Z1138" s="6" t="n">
        <v>0.5673380037208045</v>
      </c>
      <c r="AA1138" s="6" t="n">
        <v>-3.196291949667208</v>
      </c>
      <c r="AB1138" s="6" t="n">
        <v>-3.198994747472951</v>
      </c>
      <c r="AC1138" s="6" t="n">
        <v>2.340242635992681</v>
      </c>
      <c r="AD1138" s="6" t="n">
        <v>1.395591878155627</v>
      </c>
      <c r="AE1138" s="6" t="n">
        <v>-1.5933104686454</v>
      </c>
      <c r="AF1138" s="6" t="n">
        <v>3.672430172936791</v>
      </c>
      <c r="AG1138" s="6" t="n">
        <v>-1.229402603701425</v>
      </c>
      <c r="AH1138" s="6" t="n">
        <v>2.505771842670631</v>
      </c>
      <c r="AI1138" s="6" t="n">
        <v>-0.4893155022033739</v>
      </c>
      <c r="AJ1138" s="6" t="n">
        <v>57.30170871908222</v>
      </c>
      <c r="AK1138" s="6" t="n">
        <v>0.08886412628093018</v>
      </c>
      <c r="AL1138" s="6" t="n">
        <v>1.02572648723856</v>
      </c>
      <c r="AN1138" s="6" t="n">
        <v>1.347218101196176</v>
      </c>
      <c r="AO1138" s="6" t="n">
        <v>1.347218101196176</v>
      </c>
      <c r="AP1138" s="6" t="n">
        <v>0.1341949522277797</v>
      </c>
      <c r="AQ1138" s="6" t="n">
        <v>0</v>
      </c>
      <c r="AR1138" s="6" t="n">
        <v>0</v>
      </c>
    </row>
    <row r="1139">
      <c r="D1139" t="inlineStr">
        <is>
          <t>Run 827</t>
        </is>
      </c>
      <c r="J1139" s="6" t="n">
        <v>0.6355834622467909</v>
      </c>
      <c r="K1139" s="6" t="n">
        <v>-0.1901135010796787</v>
      </c>
      <c r="L1139" s="6" t="n">
        <v>9.302203074812295e-05</v>
      </c>
      <c r="M1139" s="6" t="n">
        <v>-2.728374076552648</v>
      </c>
      <c r="N1139" s="6" t="n">
        <v>-0.3508991154558661</v>
      </c>
      <c r="O1139" s="6" t="n">
        <v>3.400920145316491</v>
      </c>
      <c r="P1139" s="6" t="n">
        <v>-1.631927854157091</v>
      </c>
      <c r="Q1139" s="6" t="n">
        <v>0.2397743551091296</v>
      </c>
      <c r="R1139" s="6" t="n">
        <v>2.068102429660594</v>
      </c>
      <c r="S1139" s="6" t="n">
        <v>2.375989464635086</v>
      </c>
      <c r="T1139" s="6" t="n">
        <v>2.796522130762533</v>
      </c>
      <c r="U1139" s="6" t="n">
        <v>1.076617192081046</v>
      </c>
      <c r="V1139" s="6" t="n">
        <v>-1.037560743117487</v>
      </c>
      <c r="W1139" s="6" t="n">
        <v>1.079691081502341</v>
      </c>
      <c r="X1139" s="6" t="n">
        <v>2.596039509931641</v>
      </c>
      <c r="Y1139" s="6" t="n">
        <v>-5.20094746947916</v>
      </c>
      <c r="Z1139" s="6" t="n">
        <v>-0.2458827283762286</v>
      </c>
      <c r="AA1139" s="6" t="n">
        <v>1.511491855375291</v>
      </c>
      <c r="AB1139" s="6" t="n">
        <v>1.528855943823936</v>
      </c>
      <c r="AC1139" s="6" t="n">
        <v>2.417896491100984</v>
      </c>
      <c r="AD1139" s="6" t="n">
        <v>-2.225463290976671</v>
      </c>
      <c r="AE1139" s="6" t="n">
        <v>-0.8740150227679501</v>
      </c>
      <c r="AF1139" s="6" t="n">
        <v>-1.637870020004457</v>
      </c>
      <c r="AG1139" s="6" t="n">
        <v>0.9744308949137219</v>
      </c>
      <c r="AH1139" s="6" t="n">
        <v>-0.9002677113253831</v>
      </c>
      <c r="AI1139" s="6" t="n">
        <v>1.837362361778014</v>
      </c>
      <c r="AJ1139" s="6" t="n">
        <v>79.24633569493446</v>
      </c>
      <c r="AK1139" s="6" t="n">
        <v>0.08500648962029653</v>
      </c>
      <c r="AL1139" s="6" t="n">
        <v>1.009446078989472</v>
      </c>
      <c r="AN1139" s="6" t="n">
        <v>1.341020705458954</v>
      </c>
      <c r="AO1139" s="6" t="n">
        <v>1.350574414589994</v>
      </c>
      <c r="AP1139" s="6" t="n">
        <v>0.1384068283291477</v>
      </c>
      <c r="AQ1139" s="6" t="n">
        <v>0</v>
      </c>
      <c r="AR1139" s="6" t="n">
        <v>0</v>
      </c>
    </row>
    <row r="1140">
      <c r="D1140" t="inlineStr">
        <is>
          <t>Run 828</t>
        </is>
      </c>
      <c r="J1140" s="6" t="n">
        <v>4.465364345769746</v>
      </c>
      <c r="K1140" s="6" t="n">
        <v>5</v>
      </c>
      <c r="L1140" s="6" t="n">
        <v>2.100110497968061</v>
      </c>
      <c r="M1140" s="6" t="n">
        <v>2.348499958233058</v>
      </c>
      <c r="N1140" s="6" t="n">
        <v>0.3800850636844033</v>
      </c>
      <c r="O1140" s="6" t="n">
        <v>1.49375386233876</v>
      </c>
      <c r="P1140" s="6" t="n">
        <v>1.455816672561042</v>
      </c>
      <c r="Q1140" s="6" t="n">
        <v>-2.717231849734</v>
      </c>
      <c r="R1140" s="6" t="n">
        <v>0.4807137325683541</v>
      </c>
      <c r="S1140" s="6" t="n">
        <v>1.233718555377717</v>
      </c>
      <c r="T1140" s="6" t="n">
        <v>1.884536616566317</v>
      </c>
      <c r="U1140" s="6" t="n">
        <v>1.949063262313625</v>
      </c>
      <c r="V1140" s="6" t="n">
        <v>3.32856140813864</v>
      </c>
      <c r="W1140" s="6" t="n">
        <v>-3.542019066618702</v>
      </c>
      <c r="X1140" s="6" t="n">
        <v>2.664225221053153</v>
      </c>
      <c r="Y1140" s="6" t="n">
        <v>-0.5779315540997093</v>
      </c>
      <c r="Z1140" s="6" t="n">
        <v>-0.685547790576169</v>
      </c>
      <c r="AA1140" s="6" t="n">
        <v>1.739081168764881</v>
      </c>
      <c r="AB1140" s="6" t="n">
        <v>-3.466737022720809</v>
      </c>
      <c r="AC1140" s="6" t="n">
        <v>-2.579568799677433</v>
      </c>
      <c r="AD1140" s="6" t="n">
        <v>0.6550442128871978</v>
      </c>
      <c r="AE1140" s="6" t="n">
        <v>-0.3007341158837402</v>
      </c>
      <c r="AF1140" s="6" t="n">
        <v>2.16387619254514</v>
      </c>
      <c r="AG1140" s="6" t="n">
        <v>-1.621642814331425</v>
      </c>
      <c r="AH1140" s="6" t="n">
        <v>1.845206405068905</v>
      </c>
      <c r="AI1140" s="6" t="n">
        <v>0.675986832775998</v>
      </c>
      <c r="AJ1140" s="6" t="n">
        <v>71.26975921365145</v>
      </c>
      <c r="AK1140" s="6" t="n">
        <v>0.084242411374369</v>
      </c>
      <c r="AL1140" s="6" t="n">
        <v>1.059290092903647</v>
      </c>
      <c r="AN1140" s="6" t="n">
        <v>1.344418158249642</v>
      </c>
      <c r="AO1140" s="6" t="n">
        <v>1.344576595162692</v>
      </c>
      <c r="AP1140" s="6" t="n">
        <v>0.1320845781391096</v>
      </c>
      <c r="AQ1140" s="6" t="n">
        <v>0</v>
      </c>
      <c r="AR1140" s="6" t="n">
        <v>0</v>
      </c>
    </row>
    <row r="1141">
      <c r="D1141" t="inlineStr">
        <is>
          <t>Run 829</t>
        </is>
      </c>
      <c r="J1141" s="6" t="n">
        <v>-0.6283461044172655</v>
      </c>
      <c r="K1141" s="6" t="n">
        <v>-0.6061140914287869</v>
      </c>
      <c r="L1141" s="6" t="n">
        <v>5</v>
      </c>
      <c r="M1141" s="6" t="n">
        <v>3.501538510220465</v>
      </c>
      <c r="N1141" s="6" t="n">
        <v>1.10419541273205</v>
      </c>
      <c r="O1141" s="6" t="n">
        <v>-0.527609255703839</v>
      </c>
      <c r="P1141" s="6" t="n">
        <v>0.5361570735346124</v>
      </c>
      <c r="Q1141" s="6" t="n">
        <v>-2.706945374120871</v>
      </c>
      <c r="R1141" s="6" t="n">
        <v>1.163017741707831</v>
      </c>
      <c r="S1141" s="6" t="n">
        <v>2.840723903167612</v>
      </c>
      <c r="T1141" s="6" t="n">
        <v>1.97985132911051</v>
      </c>
      <c r="U1141" s="6" t="n">
        <v>0.701162058652813</v>
      </c>
      <c r="V1141" s="6" t="n">
        <v>0.2750433118200592</v>
      </c>
      <c r="W1141" s="6" t="n">
        <v>4.601795009854984</v>
      </c>
      <c r="X1141" s="6" t="n">
        <v>-0.8790866542784793</v>
      </c>
      <c r="Y1141" s="6" t="n">
        <v>-3.527096479207295</v>
      </c>
      <c r="Z1141" s="6" t="n">
        <v>-2.095843037192861</v>
      </c>
      <c r="AA1141" s="6" t="n">
        <v>0.4634074377502287</v>
      </c>
      <c r="AB1141" s="6" t="n">
        <v>0.1218885973521426</v>
      </c>
      <c r="AC1141" s="6" t="n">
        <v>2.650455098166809</v>
      </c>
      <c r="AD1141" s="6" t="n">
        <v>0.5409395494615569</v>
      </c>
      <c r="AE1141" s="6" t="n">
        <v>1.241931102455</v>
      </c>
      <c r="AF1141" s="6" t="n">
        <v>-0.5042942773561402</v>
      </c>
      <c r="AG1141" s="6" t="n">
        <v>-0.6747081991748796</v>
      </c>
      <c r="AH1141" s="6" t="n">
        <v>4.174788500199816</v>
      </c>
      <c r="AI1141" s="6" t="n">
        <v>3.246653999672501</v>
      </c>
      <c r="AJ1141" s="6" t="n">
        <v>64.12756748948759</v>
      </c>
      <c r="AK1141" s="6" t="n">
        <v>0.08908853806788546</v>
      </c>
      <c r="AL1141" s="6" t="n">
        <v>1.059126972688883</v>
      </c>
      <c r="AN1141" s="6" t="n">
        <v>1.339837212580587</v>
      </c>
      <c r="AO1141" s="6" t="n">
        <v>1.340001374217291</v>
      </c>
      <c r="AP1141" s="6" t="n">
        <v>0.1313463926602213</v>
      </c>
      <c r="AQ1141" s="6" t="n">
        <v>0</v>
      </c>
      <c r="AR1141" s="6" t="n">
        <v>0</v>
      </c>
    </row>
    <row r="1142">
      <c r="D1142" t="inlineStr">
        <is>
          <t>Run 830</t>
        </is>
      </c>
      <c r="J1142" s="6" t="n">
        <v>-2.406794717829814</v>
      </c>
      <c r="K1142" s="6" t="n">
        <v>0.5510388911832523</v>
      </c>
      <c r="L1142" s="6" t="n">
        <v>-0.5761333624807947</v>
      </c>
      <c r="M1142" s="6" t="n">
        <v>5</v>
      </c>
      <c r="N1142" s="6" t="n">
        <v>-2.454310932761115</v>
      </c>
      <c r="O1142" s="6" t="n">
        <v>-0.1927776397871662</v>
      </c>
      <c r="P1142" s="6" t="n">
        <v>2.62785764143333</v>
      </c>
      <c r="Q1142" s="6" t="n">
        <v>-1.210218692138441</v>
      </c>
      <c r="R1142" s="6" t="n">
        <v>1.902259964699148</v>
      </c>
      <c r="S1142" s="6" t="n">
        <v>3.490697818063208</v>
      </c>
      <c r="T1142" s="6" t="n">
        <v>-0.2163255344461715</v>
      </c>
      <c r="U1142" s="6" t="n">
        <v>-2.28859512820086</v>
      </c>
      <c r="V1142" s="6" t="n">
        <v>1.263361084591889</v>
      </c>
      <c r="W1142" s="6" t="n">
        <v>0.1434261846007788</v>
      </c>
      <c r="X1142" s="6" t="n">
        <v>-0.1390101725325854</v>
      </c>
      <c r="Y1142" s="6" t="n">
        <v>-1.130916829139972</v>
      </c>
      <c r="Z1142" s="6" t="n">
        <v>2.167761000821739</v>
      </c>
      <c r="AA1142" s="6" t="n">
        <v>-0.7272658708186305</v>
      </c>
      <c r="AB1142" s="6" t="n">
        <v>-2.161936067367757</v>
      </c>
      <c r="AC1142" s="6" t="n">
        <v>-1.165212675654757</v>
      </c>
      <c r="AD1142" s="6" t="n">
        <v>-3.178229994520668</v>
      </c>
      <c r="AE1142" s="6" t="n">
        <v>0.5579147054560407</v>
      </c>
      <c r="AF1142" s="6" t="n">
        <v>-0.9175340038271427</v>
      </c>
      <c r="AG1142" s="6" t="n">
        <v>-0.4959669645310742</v>
      </c>
      <c r="AH1142" s="6" t="n">
        <v>-1.463096858877797</v>
      </c>
      <c r="AI1142" s="6" t="n">
        <v>-1.687615843552124</v>
      </c>
      <c r="AJ1142" s="6" t="n">
        <v>80.15359215195585</v>
      </c>
      <c r="AK1142" s="6" t="n">
        <v>0.158988374438127</v>
      </c>
      <c r="AL1142" s="6" t="n">
        <v>1.059196594810825</v>
      </c>
      <c r="AN1142" s="6" t="n">
        <v>1.341201598779207</v>
      </c>
      <c r="AO1142" s="6" t="n">
        <v>1.341943662175351</v>
      </c>
      <c r="AP1142" s="6" t="n">
        <v>0.1310413357746156</v>
      </c>
      <c r="AQ1142" s="6" t="n">
        <v>0</v>
      </c>
      <c r="AR1142" s="6" t="n">
        <v>0</v>
      </c>
    </row>
    <row r="1143">
      <c r="D1143" t="inlineStr">
        <is>
          <t>Run 831</t>
        </is>
      </c>
      <c r="J1143" s="6" t="n">
        <v>-2.251898123068107</v>
      </c>
      <c r="K1143" s="6" t="n">
        <v>3.490083245807253</v>
      </c>
      <c r="L1143" s="6" t="n">
        <v>-2.900901955745495</v>
      </c>
      <c r="M1143" s="6" t="n">
        <v>-0.7906927723593129</v>
      </c>
      <c r="N1143" s="6" t="n">
        <v>0.9880086831616726</v>
      </c>
      <c r="O1143" s="6" t="n">
        <v>2.4629813253953</v>
      </c>
      <c r="P1143" s="6" t="n">
        <v>2.033083630092405</v>
      </c>
      <c r="Q1143" s="6" t="n">
        <v>1.728796997002242</v>
      </c>
      <c r="R1143" s="6" t="n">
        <v>-2.935463619808201</v>
      </c>
      <c r="S1143" s="6" t="n">
        <v>-0.5752049332503506</v>
      </c>
      <c r="T1143" s="6" t="n">
        <v>-1.396197498579608</v>
      </c>
      <c r="U1143" s="6" t="n">
        <v>-1.087082565524304</v>
      </c>
      <c r="V1143" s="6" t="n">
        <v>-2.035112481496384</v>
      </c>
      <c r="W1143" s="6" t="n">
        <v>-1.255292556235983</v>
      </c>
      <c r="X1143" s="6" t="n">
        <v>0.1364770725830556</v>
      </c>
      <c r="Y1143" s="6" t="n">
        <v>2.751324444799978</v>
      </c>
      <c r="Z1143" s="6" t="n">
        <v>-0.8334355573417958</v>
      </c>
      <c r="AA1143" s="6" t="n">
        <v>1.577171235710309</v>
      </c>
      <c r="AB1143" s="6" t="n">
        <v>1.115395718837493</v>
      </c>
      <c r="AC1143" s="6" t="n">
        <v>1.689847767179053</v>
      </c>
      <c r="AD1143" s="6" t="n">
        <v>0.1676791938386982</v>
      </c>
      <c r="AE1143" s="6" t="n">
        <v>-0.2997095534587942</v>
      </c>
      <c r="AF1143" s="6" t="n">
        <v>3.21172220455616</v>
      </c>
      <c r="AG1143" s="6" t="n">
        <v>-0.2452135903106727</v>
      </c>
      <c r="AH1143" s="6" t="n">
        <v>2.016275859994184</v>
      </c>
      <c r="AI1143" s="6" t="n">
        <v>-1.175081662994253</v>
      </c>
      <c r="AJ1143" s="6" t="n">
        <v>67.71614595620971</v>
      </c>
      <c r="AK1143" s="6" t="n">
        <v>0.1084987314415012</v>
      </c>
      <c r="AL1143" s="6" t="n">
        <v>1.098373469852814</v>
      </c>
      <c r="AN1143" s="6" t="n">
        <v>1.327464903226913</v>
      </c>
      <c r="AO1143" s="6" t="n">
        <v>1.327467289763894</v>
      </c>
      <c r="AP1143" s="6" t="n">
        <v>0.1296039303317229</v>
      </c>
      <c r="AQ1143" s="6" t="n">
        <v>0</v>
      </c>
      <c r="AR1143" s="6" t="n">
        <v>0</v>
      </c>
    </row>
    <row r="1144">
      <c r="D1144" t="inlineStr">
        <is>
          <t>Run 832</t>
        </is>
      </c>
      <c r="J1144" s="6" t="n">
        <v>0.7871891093924651</v>
      </c>
      <c r="K1144" s="6" t="n">
        <v>-0.3249213949721477</v>
      </c>
      <c r="L1144" s="6" t="n">
        <v>0.01529943503862685</v>
      </c>
      <c r="M1144" s="6" t="n">
        <v>-0.7296929899495359</v>
      </c>
      <c r="N1144" s="6" t="n">
        <v>0.5469129106810421</v>
      </c>
      <c r="O1144" s="6" t="n">
        <v>1.899399203036588</v>
      </c>
      <c r="P1144" s="6" t="n">
        <v>2.225301971967496</v>
      </c>
      <c r="Q1144" s="6" t="n">
        <v>2.663687065321321</v>
      </c>
      <c r="R1144" s="6" t="n">
        <v>1.812858465120449</v>
      </c>
      <c r="S1144" s="6" t="n">
        <v>1.964223056781197</v>
      </c>
      <c r="T1144" s="6" t="n">
        <v>1.551734252599015</v>
      </c>
      <c r="U1144" s="6" t="n">
        <v>3.471591408538234</v>
      </c>
      <c r="V1144" s="6" t="n">
        <v>-0.8878211110117011</v>
      </c>
      <c r="W1144" s="6" t="n">
        <v>-2.241775741822547</v>
      </c>
      <c r="X1144" s="6" t="n">
        <v>0.3962514190062701</v>
      </c>
      <c r="Y1144" s="6" t="n">
        <v>1.289486455544443</v>
      </c>
      <c r="Z1144" s="6" t="n">
        <v>-0.4595804376171426</v>
      </c>
      <c r="AA1144" s="6" t="n">
        <v>-1.427599704415328</v>
      </c>
      <c r="AB1144" s="6" t="n">
        <v>1.097619649895146</v>
      </c>
      <c r="AC1144" s="6" t="n">
        <v>1.21204453168002</v>
      </c>
      <c r="AD1144" s="6" t="n">
        <v>-0.9237107326688559</v>
      </c>
      <c r="AE1144" s="6" t="n">
        <v>-2.449648155364352</v>
      </c>
      <c r="AF1144" s="6" t="n">
        <v>3.851414451205935</v>
      </c>
      <c r="AG1144" s="6" t="n">
        <v>2.613797850970357</v>
      </c>
      <c r="AH1144" s="6" t="n">
        <v>-1.207962095476169</v>
      </c>
      <c r="AI1144" s="6" t="n">
        <v>-0.9998796602631045</v>
      </c>
      <c r="AJ1144" s="6" t="n">
        <v>78.26138865480367</v>
      </c>
      <c r="AK1144" s="6" t="n">
        <v>0.1425569788464732</v>
      </c>
      <c r="AL1144" s="6" t="n">
        <v>1.041766649050241</v>
      </c>
      <c r="AN1144" s="6" t="n">
        <v>1.350249794373611</v>
      </c>
      <c r="AO1144" s="6" t="n">
        <v>1.350454369613492</v>
      </c>
      <c r="AP1144" s="6" t="n">
        <v>0.133191156462356</v>
      </c>
      <c r="AQ1144" s="6" t="n">
        <v>0</v>
      </c>
      <c r="AR1144" s="6" t="n">
        <v>0</v>
      </c>
    </row>
    <row r="1145">
      <c r="D1145" t="inlineStr">
        <is>
          <t>Run 833</t>
        </is>
      </c>
      <c r="J1145" s="6" t="n">
        <v>-0.02611028202551844</v>
      </c>
      <c r="K1145" s="6" t="n">
        <v>3.486713309451001</v>
      </c>
      <c r="L1145" s="6" t="n">
        <v>-0.8835004340781901</v>
      </c>
      <c r="M1145" s="6" t="n">
        <v>-0.06083328145710781</v>
      </c>
      <c r="N1145" s="6" t="n">
        <v>1.816291067646291</v>
      </c>
      <c r="O1145" s="6" t="n">
        <v>-3.991258748180038</v>
      </c>
      <c r="P1145" s="6" t="n">
        <v>1.3113268813804</v>
      </c>
      <c r="Q1145" s="6" t="n">
        <v>-2.818431992756416</v>
      </c>
      <c r="R1145" s="6" t="n">
        <v>3.714897218894438</v>
      </c>
      <c r="S1145" s="6" t="n">
        <v>1.67204893068436</v>
      </c>
      <c r="T1145" s="6" t="n">
        <v>-0.2238383613835976</v>
      </c>
      <c r="U1145" s="6" t="n">
        <v>1.436955638046755</v>
      </c>
      <c r="V1145" s="6" t="n">
        <v>1.526200130154869</v>
      </c>
      <c r="W1145" s="6" t="n">
        <v>3.319250970463234</v>
      </c>
      <c r="X1145" s="6" t="n">
        <v>-1.672784055238735</v>
      </c>
      <c r="Y1145" s="6" t="n">
        <v>0.7819591846136126</v>
      </c>
      <c r="Z1145" s="6" t="n">
        <v>0.4803026566668164</v>
      </c>
      <c r="AA1145" s="6" t="n">
        <v>3.652065929914123</v>
      </c>
      <c r="AB1145" s="6" t="n">
        <v>-1.233050552671545</v>
      </c>
      <c r="AC1145" s="6" t="n">
        <v>-1.715834305609623</v>
      </c>
      <c r="AD1145" s="6" t="n">
        <v>1.340409933316129</v>
      </c>
      <c r="AE1145" s="6" t="n">
        <v>-0.3817813104828408</v>
      </c>
      <c r="AF1145" s="6" t="n">
        <v>2.436013485414168</v>
      </c>
      <c r="AG1145" s="6" t="n">
        <v>0.8094809305322038</v>
      </c>
      <c r="AH1145" s="6" t="n">
        <v>0.4911811507963538</v>
      </c>
      <c r="AI1145" s="6" t="n">
        <v>0.66944720095369</v>
      </c>
      <c r="AJ1145" s="6" t="n">
        <v>75.37130013097446</v>
      </c>
      <c r="AK1145" s="6" t="n">
        <v>0.06246268774291347</v>
      </c>
      <c r="AL1145" s="6" t="n">
        <v>1.087372483862528</v>
      </c>
      <c r="AN1145" s="6" t="n">
        <v>1.333122028315445</v>
      </c>
      <c r="AO1145" s="6" t="n">
        <v>1.336920046435646</v>
      </c>
      <c r="AP1145" s="6" t="n">
        <v>0.1311650547939426</v>
      </c>
      <c r="AQ1145" s="6" t="n">
        <v>0</v>
      </c>
      <c r="AR1145" s="6" t="n">
        <v>0</v>
      </c>
    </row>
    <row r="1146">
      <c r="D1146" t="inlineStr">
        <is>
          <t>Run 834</t>
        </is>
      </c>
      <c r="J1146" s="6" t="n">
        <v>0.6344928912951466</v>
      </c>
      <c r="K1146" s="6" t="n">
        <v>5</v>
      </c>
      <c r="L1146" s="6" t="n">
        <v>-0.9243973675313534</v>
      </c>
      <c r="M1146" s="6" t="n">
        <v>-0.6917170051391472</v>
      </c>
      <c r="N1146" s="6" t="n">
        <v>-1.920813480286365</v>
      </c>
      <c r="O1146" s="6" t="n">
        <v>-2.03371971285566</v>
      </c>
      <c r="P1146" s="6" t="n">
        <v>2.108488056797968</v>
      </c>
      <c r="Q1146" s="6" t="n">
        <v>-0.8586796437451154</v>
      </c>
      <c r="R1146" s="6" t="n">
        <v>-1.660693186056917</v>
      </c>
      <c r="S1146" s="6" t="n">
        <v>1.529470314662416</v>
      </c>
      <c r="T1146" s="6" t="n">
        <v>-0.7924883944374378</v>
      </c>
      <c r="U1146" s="6" t="n">
        <v>-2.533177499032647</v>
      </c>
      <c r="V1146" s="6" t="n">
        <v>0.5910222670367269</v>
      </c>
      <c r="W1146" s="6" t="n">
        <v>-1.702256786537498</v>
      </c>
      <c r="X1146" s="6" t="n">
        <v>2.288468324115959</v>
      </c>
      <c r="Y1146" s="6" t="n">
        <v>0.1542193176439652</v>
      </c>
      <c r="Z1146" s="6" t="n">
        <v>-1.735012990764929</v>
      </c>
      <c r="AA1146" s="6" t="n">
        <v>-1.232046768319396</v>
      </c>
      <c r="AB1146" s="6" t="n">
        <v>-0.05777590785531748</v>
      </c>
      <c r="AC1146" s="6" t="n">
        <v>-0.9570248689942601</v>
      </c>
      <c r="AD1146" s="6" t="n">
        <v>0.665618193899957</v>
      </c>
      <c r="AE1146" s="6" t="n">
        <v>0.8993763783510432</v>
      </c>
      <c r="AF1146" s="6" t="n">
        <v>1.583548032254502</v>
      </c>
      <c r="AG1146" s="6" t="n">
        <v>-3.834665073926346</v>
      </c>
      <c r="AH1146" s="6" t="n">
        <v>0.3265210184907308</v>
      </c>
      <c r="AI1146" s="6" t="n">
        <v>-0.5742924067606671</v>
      </c>
      <c r="AJ1146" s="6" t="n">
        <v>62.72135616787041</v>
      </c>
      <c r="AK1146" s="6" t="n">
        <v>0.09269847990266364</v>
      </c>
      <c r="AL1146" s="6" t="n">
        <v>1.113560660787046</v>
      </c>
      <c r="AN1146" s="6" t="n">
        <v>1.327825289095358</v>
      </c>
      <c r="AO1146" s="6" t="n">
        <v>1.329371126413029</v>
      </c>
      <c r="AP1146" s="6" t="n">
        <v>0.1288051956137152</v>
      </c>
      <c r="AQ1146" s="6" t="n">
        <v>0</v>
      </c>
      <c r="AR1146" s="6" t="n">
        <v>0</v>
      </c>
    </row>
    <row r="1147">
      <c r="D1147" t="inlineStr">
        <is>
          <t>Run 835</t>
        </is>
      </c>
      <c r="J1147" s="6" t="n">
        <v>-1.212391781187838</v>
      </c>
      <c r="K1147" s="6" t="n">
        <v>-4.002985192127805</v>
      </c>
      <c r="L1147" s="6" t="n">
        <v>-1.484285951219375</v>
      </c>
      <c r="M1147" s="6" t="n">
        <v>-5.713619978971297</v>
      </c>
      <c r="N1147" s="6" t="n">
        <v>1.25643134056952</v>
      </c>
      <c r="O1147" s="6" t="n">
        <v>-2.525004196572609</v>
      </c>
      <c r="P1147" s="6" t="n">
        <v>1.465887385819781</v>
      </c>
      <c r="Q1147" s="6" t="n">
        <v>0.1562376171342718</v>
      </c>
      <c r="R1147" s="6" t="n">
        <v>1.602084098406973</v>
      </c>
      <c r="S1147" s="6" t="n">
        <v>0.951369145230837</v>
      </c>
      <c r="T1147" s="6" t="n">
        <v>0.2331430574924823</v>
      </c>
      <c r="U1147" s="6" t="n">
        <v>-0.5406238226057328</v>
      </c>
      <c r="V1147" s="6" t="n">
        <v>1.100539362163754</v>
      </c>
      <c r="W1147" s="6" t="n">
        <v>-3.364171061327935</v>
      </c>
      <c r="X1147" s="6" t="n">
        <v>0.8412461297223508</v>
      </c>
      <c r="Y1147" s="6" t="n">
        <v>-2.280533826427116</v>
      </c>
      <c r="Z1147" s="6" t="n">
        <v>-2.782722470317536</v>
      </c>
      <c r="AA1147" s="6" t="n">
        <v>0.07949329091919095</v>
      </c>
      <c r="AB1147" s="6" t="n">
        <v>-0.1199967366246291</v>
      </c>
      <c r="AC1147" s="6" t="n">
        <v>-1.062248791283586</v>
      </c>
      <c r="AD1147" s="6" t="n">
        <v>-1.25475125231601</v>
      </c>
      <c r="AE1147" s="6" t="n">
        <v>-0.7697705424860259</v>
      </c>
      <c r="AF1147" s="6" t="n">
        <v>0.7869976716835311</v>
      </c>
      <c r="AG1147" s="6" t="n">
        <v>-0.5245741581640172</v>
      </c>
      <c r="AH1147" s="6" t="n">
        <v>4.343114735479518</v>
      </c>
      <c r="AI1147" s="6" t="n">
        <v>2.651495760599758</v>
      </c>
      <c r="AJ1147" s="6" t="n">
        <v>66.98928953985607</v>
      </c>
      <c r="AK1147" s="6" t="n">
        <v>0.103415896106839</v>
      </c>
      <c r="AL1147" s="6" t="n">
        <v>1.034845470198155</v>
      </c>
      <c r="AN1147" s="6" t="n">
        <v>1.280272655078333</v>
      </c>
      <c r="AO1147" s="6" t="n">
        <v>1.294106311629275</v>
      </c>
      <c r="AP1147" s="6" t="n">
        <v>0.1328509342582868</v>
      </c>
      <c r="AQ1147" s="6" t="n">
        <v>0</v>
      </c>
      <c r="AR1147" s="6" t="n">
        <v>0</v>
      </c>
    </row>
    <row r="1148">
      <c r="D1148" t="inlineStr">
        <is>
          <t>Run 836</t>
        </is>
      </c>
      <c r="J1148" s="6" t="n">
        <v>-0.05601971800113004</v>
      </c>
      <c r="K1148" s="6" t="n">
        <v>0.0287784456223859</v>
      </c>
      <c r="L1148" s="6" t="n">
        <v>-1.757637597573777</v>
      </c>
      <c r="M1148" s="6" t="n">
        <v>0.4772697871443334</v>
      </c>
      <c r="N1148" s="6" t="n">
        <v>-0.413391135504605</v>
      </c>
      <c r="O1148" s="6" t="n">
        <v>0.266765679607665</v>
      </c>
      <c r="P1148" s="6" t="n">
        <v>-0.5474234033900003</v>
      </c>
      <c r="Q1148" s="6" t="n">
        <v>0.5944520082958246</v>
      </c>
      <c r="R1148" s="6" t="n">
        <v>-6.01006005932285</v>
      </c>
      <c r="S1148" s="6" t="n">
        <v>0.6695886009285861</v>
      </c>
      <c r="T1148" s="6" t="n">
        <v>2.033485836054816</v>
      </c>
      <c r="U1148" s="6" t="n">
        <v>-2.371205689049809</v>
      </c>
      <c r="V1148" s="6" t="n">
        <v>-0.3712593935466644</v>
      </c>
      <c r="W1148" s="6" t="n">
        <v>0.3671779070268297</v>
      </c>
      <c r="X1148" s="6" t="n">
        <v>2.532376303371312</v>
      </c>
      <c r="Y1148" s="6" t="n">
        <v>1.185740553859668</v>
      </c>
      <c r="Z1148" s="6" t="n">
        <v>2.610172605307117</v>
      </c>
      <c r="AA1148" s="6" t="n">
        <v>-2.476266454930883</v>
      </c>
      <c r="AB1148" s="6" t="n">
        <v>-0.7139832217232522</v>
      </c>
      <c r="AC1148" s="6" t="n">
        <v>1.807180293330542</v>
      </c>
      <c r="AD1148" s="6" t="n">
        <v>0.1971302248541214</v>
      </c>
      <c r="AE1148" s="6" t="n">
        <v>-1.723556682391987</v>
      </c>
      <c r="AF1148" s="6" t="n">
        <v>-1.208374484481303</v>
      </c>
      <c r="AG1148" s="6" t="n">
        <v>-0.3355346217362505</v>
      </c>
      <c r="AH1148" s="6" t="n">
        <v>1.886664799852123</v>
      </c>
      <c r="AI1148" s="6" t="n">
        <v>-1.61263766589796</v>
      </c>
      <c r="AJ1148" s="6" t="n">
        <v>73.94041398672729</v>
      </c>
      <c r="AK1148" s="6" t="n">
        <v>0.1638231499537384</v>
      </c>
      <c r="AL1148" s="6" t="n">
        <v>1.029368693010875</v>
      </c>
      <c r="AN1148" s="6" t="n">
        <v>1.351904454316018</v>
      </c>
      <c r="AO1148" s="6" t="n">
        <v>1.351904454316018</v>
      </c>
      <c r="AP1148" s="6" t="n">
        <v>0.1335503992905926</v>
      </c>
      <c r="AQ1148" s="6" t="n">
        <v>0</v>
      </c>
      <c r="AR1148" s="6" t="n">
        <v>0</v>
      </c>
    </row>
    <row r="1149">
      <c r="D1149" t="inlineStr">
        <is>
          <t>Run 837</t>
        </is>
      </c>
      <c r="J1149" s="6" t="n">
        <v>-2.527405318498336</v>
      </c>
      <c r="K1149" s="6" t="n">
        <v>-0.3815879986886856</v>
      </c>
      <c r="L1149" s="6" t="n">
        <v>1.113197160348117</v>
      </c>
      <c r="M1149" s="6" t="n">
        <v>-2.818632110222506</v>
      </c>
      <c r="N1149" s="6" t="n">
        <v>2.69036216012982</v>
      </c>
      <c r="O1149" s="6" t="n">
        <v>0.9102198023611784</v>
      </c>
      <c r="P1149" s="6" t="n">
        <v>-3.642582117236502</v>
      </c>
      <c r="Q1149" s="6" t="n">
        <v>-2.648013299040924</v>
      </c>
      <c r="R1149" s="6" t="n">
        <v>-0.2642743377978238</v>
      </c>
      <c r="S1149" s="6" t="n">
        <v>2.854879953257747</v>
      </c>
      <c r="T1149" s="6" t="n">
        <v>-1.033727933634681</v>
      </c>
      <c r="U1149" s="6" t="n">
        <v>-1.662157598025469</v>
      </c>
      <c r="V1149" s="6" t="n">
        <v>2.422405344678106</v>
      </c>
      <c r="W1149" s="6" t="n">
        <v>-0.4371672298024241</v>
      </c>
      <c r="X1149" s="6" t="n">
        <v>1.061007595829312</v>
      </c>
      <c r="Y1149" s="6" t="n">
        <v>4.587968488946442</v>
      </c>
      <c r="Z1149" s="6" t="n">
        <v>0.03381729536178943</v>
      </c>
      <c r="AA1149" s="6" t="n">
        <v>-1.201571125189626</v>
      </c>
      <c r="AB1149" s="6" t="n">
        <v>-0.3210301592472615</v>
      </c>
      <c r="AC1149" s="6" t="n">
        <v>1.687649467890968</v>
      </c>
      <c r="AD1149" s="6" t="n">
        <v>-2.872206823942447</v>
      </c>
      <c r="AE1149" s="6" t="n">
        <v>-1.547977207944845</v>
      </c>
      <c r="AF1149" s="6" t="n">
        <v>1.198186861046778</v>
      </c>
      <c r="AG1149" s="6" t="n">
        <v>0.8852910016314374</v>
      </c>
      <c r="AH1149" s="6" t="n">
        <v>-2.039589989090735</v>
      </c>
      <c r="AI1149" s="6" t="n">
        <v>3.579336679371915</v>
      </c>
      <c r="AJ1149" s="6" t="n">
        <v>74.8264802502695</v>
      </c>
      <c r="AK1149" s="6" t="n">
        <v>0.1512460006269288</v>
      </c>
      <c r="AL1149" s="6" t="n">
        <v>1.042527398632447</v>
      </c>
      <c r="AN1149" s="6" t="n">
        <v>1.321113234623149</v>
      </c>
      <c r="AO1149" s="6" t="n">
        <v>1.331072072996458</v>
      </c>
      <c r="AP1149" s="6" t="n">
        <v>0.1320469159695088</v>
      </c>
      <c r="AQ1149" s="6" t="n">
        <v>0</v>
      </c>
      <c r="AR1149" s="6" t="n">
        <v>0</v>
      </c>
    </row>
    <row r="1150">
      <c r="D1150" t="inlineStr">
        <is>
          <t>Run 838</t>
        </is>
      </c>
      <c r="J1150" s="6" t="n">
        <v>2.706722429577558</v>
      </c>
      <c r="K1150" s="6" t="n">
        <v>0.4667784581552681</v>
      </c>
      <c r="L1150" s="6" t="n">
        <v>1.804807077340906</v>
      </c>
      <c r="M1150" s="6" t="n">
        <v>2.32335454325876</v>
      </c>
      <c r="N1150" s="6" t="n">
        <v>2.224570898502396</v>
      </c>
      <c r="O1150" s="6" t="n">
        <v>-1.907592889941061</v>
      </c>
      <c r="P1150" s="6" t="n">
        <v>-1.965244293445894</v>
      </c>
      <c r="Q1150" s="6" t="n">
        <v>-3.892822235657841</v>
      </c>
      <c r="R1150" s="6" t="n">
        <v>-1.217373860502144</v>
      </c>
      <c r="S1150" s="6" t="n">
        <v>-5.066417174970798</v>
      </c>
      <c r="T1150" s="6" t="n">
        <v>0.6572715633303808</v>
      </c>
      <c r="U1150" s="6" t="n">
        <v>-1.783027991862387</v>
      </c>
      <c r="V1150" s="6" t="n">
        <v>0.872039305560293</v>
      </c>
      <c r="W1150" s="6" t="n">
        <v>-0.8004825436804102</v>
      </c>
      <c r="X1150" s="6" t="n">
        <v>-1.478110447866657</v>
      </c>
      <c r="Y1150" s="6" t="n">
        <v>0.3524586127076083</v>
      </c>
      <c r="Z1150" s="6" t="n">
        <v>-0.1514002044474607</v>
      </c>
      <c r="AA1150" s="6" t="n">
        <v>-2.024117195439009</v>
      </c>
      <c r="AB1150" s="6" t="n">
        <v>-2.463523636560154</v>
      </c>
      <c r="AC1150" s="6" t="n">
        <v>-1.017453399009487</v>
      </c>
      <c r="AD1150" s="6" t="n">
        <v>3.423547334782243</v>
      </c>
      <c r="AE1150" s="6" t="n">
        <v>-0.2297346643021781</v>
      </c>
      <c r="AF1150" s="6" t="n">
        <v>-1.779505892759863</v>
      </c>
      <c r="AG1150" s="6" t="n">
        <v>-1.573947782068417</v>
      </c>
      <c r="AH1150" s="6" t="n">
        <v>-1.120838059667072</v>
      </c>
      <c r="AI1150" s="6" t="n">
        <v>0.5688811486404808</v>
      </c>
      <c r="AJ1150" s="6" t="n">
        <v>67.0595706820281</v>
      </c>
      <c r="AK1150" s="6" t="n">
        <v>0.07749018750086031</v>
      </c>
      <c r="AL1150" s="6" t="n">
        <v>1.032383398339308</v>
      </c>
      <c r="AN1150" s="6" t="n">
        <v>1.348355225597916</v>
      </c>
      <c r="AO1150" s="6" t="n">
        <v>1.348539148567858</v>
      </c>
      <c r="AP1150" s="6" t="n">
        <v>0.1340337253966294</v>
      </c>
      <c r="AQ1150" s="6" t="n">
        <v>0</v>
      </c>
      <c r="AR1150" s="6" t="n">
        <v>0</v>
      </c>
    </row>
    <row r="1151">
      <c r="D1151" t="inlineStr">
        <is>
          <t>Run 839</t>
        </is>
      </c>
      <c r="J1151" s="6" t="n">
        <v>2.828744420376439</v>
      </c>
      <c r="K1151" s="6" t="n">
        <v>0.1016409665593066</v>
      </c>
      <c r="L1151" s="6" t="n">
        <v>-3.423594011066958</v>
      </c>
      <c r="M1151" s="6" t="n">
        <v>-4.119107174071695</v>
      </c>
      <c r="N1151" s="6" t="n">
        <v>-0.7055920771515909</v>
      </c>
      <c r="O1151" s="6" t="n">
        <v>0.1962195167667532</v>
      </c>
      <c r="P1151" s="6" t="n">
        <v>2.346596286315234</v>
      </c>
      <c r="Q1151" s="6" t="n">
        <v>0.1935963052122832</v>
      </c>
      <c r="R1151" s="6" t="n">
        <v>2.706694244154812</v>
      </c>
      <c r="S1151" s="6" t="n">
        <v>-3.348883081785164</v>
      </c>
      <c r="T1151" s="6" t="n">
        <v>-0.8394132160138239</v>
      </c>
      <c r="U1151" s="6" t="n">
        <v>4.088356121056252</v>
      </c>
      <c r="V1151" s="6" t="n">
        <v>1.537231503714574</v>
      </c>
      <c r="W1151" s="6" t="n">
        <v>-3.065572503893112</v>
      </c>
      <c r="X1151" s="6" t="n">
        <v>-2.184796585239994</v>
      </c>
      <c r="Y1151" s="6" t="n">
        <v>-0.9740609405645665</v>
      </c>
      <c r="Z1151" s="6" t="n">
        <v>-1.692446487801112</v>
      </c>
      <c r="AA1151" s="6" t="n">
        <v>0.1563527276109845</v>
      </c>
      <c r="AB1151" s="6" t="n">
        <v>2.303013606813566</v>
      </c>
      <c r="AC1151" s="6" t="n">
        <v>-1.84367972282212</v>
      </c>
      <c r="AD1151" s="6" t="n">
        <v>-2.008672771123317</v>
      </c>
      <c r="AE1151" s="6" t="n">
        <v>0.990148463646642</v>
      </c>
      <c r="AF1151" s="6" t="n">
        <v>-1.106852432877846</v>
      </c>
      <c r="AG1151" s="6" t="n">
        <v>-3.1390931965294</v>
      </c>
      <c r="AH1151" s="6" t="n">
        <v>2.567805277921812</v>
      </c>
      <c r="AI1151" s="6" t="n">
        <v>3.411281704916297</v>
      </c>
      <c r="AJ1151" s="6" t="n">
        <v>65.69928166040586</v>
      </c>
      <c r="AK1151" s="6" t="n">
        <v>0.1288599626485434</v>
      </c>
      <c r="AL1151" s="6" t="n">
        <v>1.026615839612147</v>
      </c>
      <c r="AN1151" s="6" t="n">
        <v>1.300647489316169</v>
      </c>
      <c r="AO1151" s="6" t="n">
        <v>1.31147486790625</v>
      </c>
      <c r="AP1151" s="6" t="n">
        <v>0.1333292650370825</v>
      </c>
      <c r="AQ1151" s="6" t="n">
        <v>0</v>
      </c>
      <c r="AR1151" s="6" t="n">
        <v>0</v>
      </c>
    </row>
    <row r="1152">
      <c r="D1152" t="inlineStr">
        <is>
          <t>Run 840</t>
        </is>
      </c>
      <c r="J1152" s="6" t="n">
        <v>-0.8914299781772217</v>
      </c>
      <c r="K1152" s="6" t="n">
        <v>0.2634838910682397</v>
      </c>
      <c r="L1152" s="6" t="n">
        <v>-0.6936465275596838</v>
      </c>
      <c r="M1152" s="6" t="n">
        <v>-3.401929652100824</v>
      </c>
      <c r="N1152" s="6" t="n">
        <v>0.9381065570669347</v>
      </c>
      <c r="O1152" s="6" t="n">
        <v>0.6973062883015051</v>
      </c>
      <c r="P1152" s="6" t="n">
        <v>-2.189078277709632</v>
      </c>
      <c r="Q1152" s="6" t="n">
        <v>1.100424768225989</v>
      </c>
      <c r="R1152" s="6" t="n">
        <v>-0.2569804125229603</v>
      </c>
      <c r="S1152" s="6" t="n">
        <v>1.357531119084926</v>
      </c>
      <c r="T1152" s="6" t="n">
        <v>1.195357167966484</v>
      </c>
      <c r="U1152" s="6" t="n">
        <v>-2.856727365572909</v>
      </c>
      <c r="V1152" s="6" t="n">
        <v>-0.5099235476633623</v>
      </c>
      <c r="W1152" s="6" t="n">
        <v>-2.111071145749644</v>
      </c>
      <c r="X1152" s="6" t="n">
        <v>0.3533178747437201</v>
      </c>
      <c r="Y1152" s="6" t="n">
        <v>1.622278861577303</v>
      </c>
      <c r="Z1152" s="6" t="n">
        <v>1.422183626095086</v>
      </c>
      <c r="AA1152" s="6" t="n">
        <v>-0.5268753039995252</v>
      </c>
      <c r="AB1152" s="6" t="n">
        <v>-1.96111428390471</v>
      </c>
      <c r="AC1152" s="6" t="n">
        <v>-2.200849361499083</v>
      </c>
      <c r="AD1152" s="6" t="n">
        <v>-0.1550138615103451</v>
      </c>
      <c r="AE1152" s="6" t="n">
        <v>-1.27557352456831</v>
      </c>
      <c r="AF1152" s="6" t="n">
        <v>-1.58356253732853</v>
      </c>
      <c r="AG1152" s="6" t="n">
        <v>0.6453097080122362</v>
      </c>
      <c r="AH1152" s="6" t="n">
        <v>-3.133630673076582</v>
      </c>
      <c r="AI1152" s="6" t="n">
        <v>1.881099155138641</v>
      </c>
      <c r="AJ1152" s="6" t="n">
        <v>83.10220404980235</v>
      </c>
      <c r="AK1152" s="6" t="n">
        <v>0.1226927349527341</v>
      </c>
      <c r="AL1152" s="6" t="n">
        <v>1.098031915480727</v>
      </c>
      <c r="AN1152" s="6" t="n">
        <v>1.301995540919758</v>
      </c>
      <c r="AO1152" s="6" t="n">
        <v>1.312808759677181</v>
      </c>
      <c r="AP1152" s="6" t="n">
        <v>0.129403417921919</v>
      </c>
      <c r="AQ1152" s="6" t="n">
        <v>0</v>
      </c>
      <c r="AR1152" s="6" t="n">
        <v>0</v>
      </c>
    </row>
    <row r="1153">
      <c r="D1153" t="inlineStr">
        <is>
          <t>Run 841</t>
        </is>
      </c>
      <c r="J1153" s="6" t="n">
        <v>-1.063964999945309</v>
      </c>
      <c r="K1153" s="6" t="n">
        <v>0.981834580669797</v>
      </c>
      <c r="L1153" s="6" t="n">
        <v>0.7085603217393908</v>
      </c>
      <c r="M1153" s="6" t="n">
        <v>-1.959959028469674</v>
      </c>
      <c r="N1153" s="6" t="n">
        <v>-0.3987102149353194</v>
      </c>
      <c r="O1153" s="6" t="n">
        <v>-0.9466357617027253</v>
      </c>
      <c r="P1153" s="6" t="n">
        <v>-1.305512405080764</v>
      </c>
      <c r="Q1153" s="6" t="n">
        <v>-0.1026147346780482</v>
      </c>
      <c r="R1153" s="6" t="n">
        <v>0.2416149771873307</v>
      </c>
      <c r="S1153" s="6" t="n">
        <v>-0.04384769444097895</v>
      </c>
      <c r="T1153" s="6" t="n">
        <v>-0.1761305083585871</v>
      </c>
      <c r="U1153" s="6" t="n">
        <v>0.4266942872121423</v>
      </c>
      <c r="V1153" s="6" t="n">
        <v>-0.7279117393915747</v>
      </c>
      <c r="W1153" s="6" t="n">
        <v>0.3528079676708179</v>
      </c>
      <c r="X1153" s="6" t="n">
        <v>1.918906383715458</v>
      </c>
      <c r="Y1153" s="6" t="n">
        <v>-2.257332753636313</v>
      </c>
      <c r="Z1153" s="6" t="n">
        <v>1.418634966349289</v>
      </c>
      <c r="AA1153" s="6" t="n">
        <v>0.4335237522329577</v>
      </c>
      <c r="AB1153" s="6" t="n">
        <v>-2.416355586531825</v>
      </c>
      <c r="AC1153" s="6" t="n">
        <v>-0.2692577138482145</v>
      </c>
      <c r="AD1153" s="6" t="n">
        <v>1.755342032185184</v>
      </c>
      <c r="AE1153" s="6" t="n">
        <v>2.111953122434194</v>
      </c>
      <c r="AF1153" s="6" t="n">
        <v>2.677708733112453</v>
      </c>
      <c r="AG1153" s="6" t="n">
        <v>-0.9066712034811863</v>
      </c>
      <c r="AH1153" s="6" t="n">
        <v>-1.478022214982052</v>
      </c>
      <c r="AI1153" s="6" t="n">
        <v>-0.1429329267525749</v>
      </c>
      <c r="AJ1153" s="6" t="n">
        <v>74.95778251958937</v>
      </c>
      <c r="AK1153" s="6" t="n">
        <v>0.1206665865986026</v>
      </c>
      <c r="AL1153" s="6" t="n">
        <v>1.031172781504469</v>
      </c>
      <c r="AN1153" s="6" t="n">
        <v>1.339539925426447</v>
      </c>
      <c r="AO1153" s="6" t="n">
        <v>1.346069639431438</v>
      </c>
      <c r="AP1153" s="6" t="n">
        <v>0.1343704230106219</v>
      </c>
      <c r="AQ1153" s="6" t="n">
        <v>0</v>
      </c>
      <c r="AR1153" s="6" t="n">
        <v>0</v>
      </c>
    </row>
    <row r="1154">
      <c r="D1154" t="inlineStr">
        <is>
          <t>Run 842</t>
        </is>
      </c>
      <c r="J1154" s="6" t="n">
        <v>0.4002352024377962</v>
      </c>
      <c r="K1154" s="6" t="n">
        <v>-0.7078755142790415</v>
      </c>
      <c r="L1154" s="6" t="n">
        <v>0.5382288218165816</v>
      </c>
      <c r="M1154" s="6" t="n">
        <v>0.353748206845712</v>
      </c>
      <c r="N1154" s="6" t="n">
        <v>1.536609290075243</v>
      </c>
      <c r="O1154" s="6" t="n">
        <v>5</v>
      </c>
      <c r="P1154" s="6" t="n">
        <v>3.761027880427429</v>
      </c>
      <c r="Q1154" s="6" t="n">
        <v>-0.6460090313356368</v>
      </c>
      <c r="R1154" s="6" t="n">
        <v>-0.9290005486266552</v>
      </c>
      <c r="S1154" s="6" t="n">
        <v>0.07014166427990633</v>
      </c>
      <c r="T1154" s="6" t="n">
        <v>0.5653318952232659</v>
      </c>
      <c r="U1154" s="6" t="n">
        <v>-1.238340111338894</v>
      </c>
      <c r="V1154" s="6" t="n">
        <v>-1.9465654304211</v>
      </c>
      <c r="W1154" s="6" t="n">
        <v>-2.812054502032162</v>
      </c>
      <c r="X1154" s="6" t="n">
        <v>-0.897620381754194</v>
      </c>
      <c r="Y1154" s="6" t="n">
        <v>1.651966423307328</v>
      </c>
      <c r="Z1154" s="6" t="n">
        <v>0.6593298941562259</v>
      </c>
      <c r="AA1154" s="6" t="n">
        <v>-1.174684238405385</v>
      </c>
      <c r="AB1154" s="6" t="n">
        <v>-3.135659868592182</v>
      </c>
      <c r="AC1154" s="6" t="n">
        <v>2.944351329532338</v>
      </c>
      <c r="AD1154" s="6" t="n">
        <v>-0.0168716366123904</v>
      </c>
      <c r="AE1154" s="6" t="n">
        <v>1.853596845697566</v>
      </c>
      <c r="AF1154" s="6" t="n">
        <v>-0.8862244795870988</v>
      </c>
      <c r="AG1154" s="6" t="n">
        <v>0.547873790127114</v>
      </c>
      <c r="AH1154" s="6" t="n">
        <v>4.161482011431731</v>
      </c>
      <c r="AI1154" s="6" t="n">
        <v>1.743620126591236</v>
      </c>
      <c r="AJ1154" s="6" t="n">
        <v>78.1792934104765</v>
      </c>
      <c r="AK1154" s="6" t="n">
        <v>0.1010170024990377</v>
      </c>
      <c r="AL1154" s="6" t="n">
        <v>1.085858905931806</v>
      </c>
      <c r="AN1154" s="6" t="n">
        <v>1.339105824396679</v>
      </c>
      <c r="AO1154" s="6" t="n">
        <v>1.339144099054612</v>
      </c>
      <c r="AP1154" s="6" t="n">
        <v>0.1307509446222299</v>
      </c>
      <c r="AQ1154" s="6" t="n">
        <v>0</v>
      </c>
      <c r="AR1154" s="6" t="n">
        <v>0</v>
      </c>
    </row>
    <row r="1155">
      <c r="D1155" t="inlineStr">
        <is>
          <t>Run 843</t>
        </is>
      </c>
      <c r="J1155" s="6" t="n">
        <v>-1.983825876430065</v>
      </c>
      <c r="K1155" s="6" t="n">
        <v>-1.274944712953389</v>
      </c>
      <c r="L1155" s="6" t="n">
        <v>1.059197646259272</v>
      </c>
      <c r="M1155" s="6" t="n">
        <v>-1.451605598715462</v>
      </c>
      <c r="N1155" s="6" t="n">
        <v>1.943030659130306</v>
      </c>
      <c r="O1155" s="6" t="n">
        <v>-3.361118312052952</v>
      </c>
      <c r="P1155" s="6" t="n">
        <v>-3.603626411366973</v>
      </c>
      <c r="Q1155" s="6" t="n">
        <v>0.3352453048388638</v>
      </c>
      <c r="R1155" s="6" t="n">
        <v>1.606837658173167</v>
      </c>
      <c r="S1155" s="6" t="n">
        <v>0.5681210604018483</v>
      </c>
      <c r="T1155" s="6" t="n">
        <v>0.8964952732158098</v>
      </c>
      <c r="U1155" s="6" t="n">
        <v>2.041135092286108</v>
      </c>
      <c r="V1155" s="6" t="n">
        <v>0.4929647639878201</v>
      </c>
      <c r="W1155" s="6" t="n">
        <v>3.439615519585659</v>
      </c>
      <c r="X1155" s="6" t="n">
        <v>-0.3051424675138673</v>
      </c>
      <c r="Y1155" s="6" t="n">
        <v>1.49244957558156</v>
      </c>
      <c r="Z1155" s="6" t="n">
        <v>0.3896436534967108</v>
      </c>
      <c r="AA1155" s="6" t="n">
        <v>-2.438794818766507</v>
      </c>
      <c r="AB1155" s="6" t="n">
        <v>-1.552211165701623</v>
      </c>
      <c r="AC1155" s="6" t="n">
        <v>0.01558538283206901</v>
      </c>
      <c r="AD1155" s="6" t="n">
        <v>-2.127156307333819</v>
      </c>
      <c r="AE1155" s="6" t="n">
        <v>-1.285137935324473</v>
      </c>
      <c r="AF1155" s="6" t="n">
        <v>1.0216559940564</v>
      </c>
      <c r="AG1155" s="6" t="n">
        <v>1.909917544154193</v>
      </c>
      <c r="AH1155" s="6" t="n">
        <v>-2.029428041761677</v>
      </c>
      <c r="AI1155" s="6" t="n">
        <v>2.042054924259395</v>
      </c>
      <c r="AJ1155" s="6" t="n">
        <v>82.30422023305599</v>
      </c>
      <c r="AK1155" s="6" t="n">
        <v>0.1763913724181708</v>
      </c>
      <c r="AL1155" s="6" t="n">
        <v>1.044490003893016</v>
      </c>
      <c r="AN1155" s="6" t="n">
        <v>1.341328518705877</v>
      </c>
      <c r="AO1155" s="6" t="n">
        <v>1.344147341183862</v>
      </c>
      <c r="AP1155" s="6" t="n">
        <v>0.1322651947859528</v>
      </c>
      <c r="AQ1155" s="6" t="n">
        <v>0</v>
      </c>
      <c r="AR1155" s="6" t="n">
        <v>0</v>
      </c>
    </row>
    <row r="1156">
      <c r="D1156" t="inlineStr">
        <is>
          <t>Run 844</t>
        </is>
      </c>
      <c r="J1156" s="6" t="n">
        <v>1.80484407396548</v>
      </c>
      <c r="K1156" s="6" t="n">
        <v>0.8700454802640941</v>
      </c>
      <c r="L1156" s="6" t="n">
        <v>0.7664226729158746</v>
      </c>
      <c r="M1156" s="6" t="n">
        <v>0.2458277955616949</v>
      </c>
      <c r="N1156" s="6" t="n">
        <v>-2.452920256468037</v>
      </c>
      <c r="O1156" s="6" t="n">
        <v>1.936488537471899</v>
      </c>
      <c r="P1156" s="6" t="n">
        <v>3.598490151229086</v>
      </c>
      <c r="Q1156" s="6" t="n">
        <v>1.981602839808894</v>
      </c>
      <c r="R1156" s="6" t="n">
        <v>-1.509693437910672</v>
      </c>
      <c r="S1156" s="6" t="n">
        <v>0.6903930206635259</v>
      </c>
      <c r="T1156" s="6" t="n">
        <v>0.4538047412112992</v>
      </c>
      <c r="U1156" s="6" t="n">
        <v>0.1118135022632249</v>
      </c>
      <c r="V1156" s="6" t="n">
        <v>-2.023045189165435</v>
      </c>
      <c r="W1156" s="6" t="n">
        <v>-0.3697481257112062</v>
      </c>
      <c r="X1156" s="6" t="n">
        <v>-0.9135704681570417</v>
      </c>
      <c r="Y1156" s="6" t="n">
        <v>-1.620023425004727</v>
      </c>
      <c r="Z1156" s="6" t="n">
        <v>2.861484249442281</v>
      </c>
      <c r="AA1156" s="6" t="n">
        <v>-5.054301593035093</v>
      </c>
      <c r="AB1156" s="6" t="n">
        <v>-4.101518745001546</v>
      </c>
      <c r="AC1156" s="6" t="n">
        <v>0.7260087244788236</v>
      </c>
      <c r="AD1156" s="6" t="n">
        <v>-0.4471945598689603</v>
      </c>
      <c r="AE1156" s="6" t="n">
        <v>0.4518960705520029</v>
      </c>
      <c r="AF1156" s="6" t="n">
        <v>-1.20453235874117</v>
      </c>
      <c r="AG1156" s="6" t="n">
        <v>1.113860585572509</v>
      </c>
      <c r="AH1156" s="6" t="n">
        <v>-3.529252034347064</v>
      </c>
      <c r="AI1156" s="6" t="n">
        <v>2.676756824430409</v>
      </c>
      <c r="AJ1156" s="6" t="n">
        <v>61.12910170838716</v>
      </c>
      <c r="AK1156" s="6" t="n">
        <v>0.161035208025038</v>
      </c>
      <c r="AL1156" s="6" t="n">
        <v>1.035382849391339</v>
      </c>
      <c r="AN1156" s="6" t="n">
        <v>1.342249251320434</v>
      </c>
      <c r="AO1156" s="6" t="n">
        <v>1.342655215517763</v>
      </c>
      <c r="AP1156" s="6" t="n">
        <v>0.1320685354731691</v>
      </c>
      <c r="AQ1156" s="6" t="n">
        <v>0</v>
      </c>
      <c r="AR1156" s="6" t="n">
        <v>0</v>
      </c>
    </row>
    <row r="1157">
      <c r="D1157" t="inlineStr">
        <is>
          <t>Run 845</t>
        </is>
      </c>
      <c r="J1157" s="6" t="n">
        <v>-0.4638229366251336</v>
      </c>
      <c r="K1157" s="6" t="n">
        <v>-2.508454316265994</v>
      </c>
      <c r="L1157" s="6" t="n">
        <v>-1.95819852423416</v>
      </c>
      <c r="M1157" s="6" t="n">
        <v>-4.145092550005599</v>
      </c>
      <c r="N1157" s="6" t="n">
        <v>0.4729841564607267</v>
      </c>
      <c r="O1157" s="6" t="n">
        <v>-3.085597685852363</v>
      </c>
      <c r="P1157" s="6" t="n">
        <v>-0.5082889167125938</v>
      </c>
      <c r="Q1157" s="6" t="n">
        <v>-4.47761609824493</v>
      </c>
      <c r="R1157" s="6" t="n">
        <v>-0.971717282635207</v>
      </c>
      <c r="S1157" s="6" t="n">
        <v>1.650000164680687</v>
      </c>
      <c r="T1157" s="6" t="n">
        <v>0.9969779215346321</v>
      </c>
      <c r="U1157" s="6" t="n">
        <v>0.7018787377438563</v>
      </c>
      <c r="V1157" s="6" t="n">
        <v>0.2548326796710019</v>
      </c>
      <c r="W1157" s="6" t="n">
        <v>1.246158349222733</v>
      </c>
      <c r="X1157" s="6" t="n">
        <v>-1.177337449755224</v>
      </c>
      <c r="Y1157" s="6" t="n">
        <v>-0.3064586444220196</v>
      </c>
      <c r="Z1157" s="6" t="n">
        <v>2.439802099728711</v>
      </c>
      <c r="AA1157" s="6" t="n">
        <v>-3.082619350881529</v>
      </c>
      <c r="AB1157" s="6" t="n">
        <v>-1.891021697193772</v>
      </c>
      <c r="AC1157" s="6" t="n">
        <v>1.625739872677575</v>
      </c>
      <c r="AD1157" s="6" t="n">
        <v>-0.4683429807189933</v>
      </c>
      <c r="AE1157" s="6" t="n">
        <v>1.529375922010845</v>
      </c>
      <c r="AF1157" s="6" t="n">
        <v>-1.686979954359036</v>
      </c>
      <c r="AG1157" s="6" t="n">
        <v>1.666755439611425</v>
      </c>
      <c r="AH1157" s="6" t="n">
        <v>0.6628342974634945</v>
      </c>
      <c r="AI1157" s="6" t="n">
        <v>3.332501205000276</v>
      </c>
      <c r="AJ1157" s="6" t="n">
        <v>77.839899548487</v>
      </c>
      <c r="AK1157" s="6" t="n">
        <v>0.05447231078480234</v>
      </c>
      <c r="AL1157" s="6" t="n">
        <v>0.9878496038828178</v>
      </c>
      <c r="AN1157" s="6" t="n">
        <v>1.3301913111694</v>
      </c>
      <c r="AO1157" s="6" t="n">
        <v>1.343529328800041</v>
      </c>
      <c r="AP1157" s="6" t="n">
        <v>0.1425220444826217</v>
      </c>
      <c r="AQ1157" s="6" t="n">
        <v>0</v>
      </c>
      <c r="AR1157" s="6" t="n">
        <v>0</v>
      </c>
    </row>
    <row r="1158">
      <c r="D1158" t="inlineStr">
        <is>
          <t>Run 846</t>
        </is>
      </c>
      <c r="J1158" s="6" t="n">
        <v>2.118231655093938</v>
      </c>
      <c r="K1158" s="6" t="n">
        <v>-0.06768601664783645</v>
      </c>
      <c r="L1158" s="6" t="n">
        <v>-0.3214199748495749</v>
      </c>
      <c r="M1158" s="6" t="n">
        <v>1.797857702139548</v>
      </c>
      <c r="N1158" s="6" t="n">
        <v>2.066753963047081</v>
      </c>
      <c r="O1158" s="6" t="n">
        <v>1.490034796438534</v>
      </c>
      <c r="P1158" s="6" t="n">
        <v>1.122058197385445</v>
      </c>
      <c r="Q1158" s="6" t="n">
        <v>-2.11867612214423</v>
      </c>
      <c r="R1158" s="6" t="n">
        <v>-1.587702750985776</v>
      </c>
      <c r="S1158" s="6" t="n">
        <v>-0.5927507786984439</v>
      </c>
      <c r="T1158" s="6" t="n">
        <v>-2.6381280292945</v>
      </c>
      <c r="U1158" s="6" t="n">
        <v>-0.9294469669364983</v>
      </c>
      <c r="V1158" s="6" t="n">
        <v>-1.115825983442213</v>
      </c>
      <c r="W1158" s="6" t="n">
        <v>0.304544788209886</v>
      </c>
      <c r="X1158" s="6" t="n">
        <v>1.04056833974232</v>
      </c>
      <c r="Y1158" s="6" t="n">
        <v>-0.6241440445907533</v>
      </c>
      <c r="Z1158" s="6" t="n">
        <v>-2.198204595397345</v>
      </c>
      <c r="AA1158" s="6" t="n">
        <v>-0.1045886940412052</v>
      </c>
      <c r="AB1158" s="6" t="n">
        <v>2.455223170978922</v>
      </c>
      <c r="AC1158" s="6" t="n">
        <v>0.3543685059847341</v>
      </c>
      <c r="AD1158" s="6" t="n">
        <v>1.392952935091734</v>
      </c>
      <c r="AE1158" s="6" t="n">
        <v>0.5188580487534499</v>
      </c>
      <c r="AF1158" s="6" t="n">
        <v>0.4109649703788663</v>
      </c>
      <c r="AG1158" s="6" t="n">
        <v>-2.06851745143929</v>
      </c>
      <c r="AH1158" s="6" t="n">
        <v>-0.2689192479458041</v>
      </c>
      <c r="AI1158" s="6" t="n">
        <v>-1.281421500435888</v>
      </c>
      <c r="AJ1158" s="6" t="n">
        <v>73.21994511387673</v>
      </c>
      <c r="AK1158" s="6" t="n">
        <v>0.1323108916586449</v>
      </c>
      <c r="AL1158" s="6" t="n">
        <v>1.052567804344578</v>
      </c>
      <c r="AN1158" s="6" t="n">
        <v>1.344321768981644</v>
      </c>
      <c r="AO1158" s="6" t="n">
        <v>1.344424245986699</v>
      </c>
      <c r="AP1158" s="6" t="n">
        <v>0.1316653555108633</v>
      </c>
      <c r="AQ1158" s="6" t="n">
        <v>0</v>
      </c>
      <c r="AR1158" s="6" t="n">
        <v>0</v>
      </c>
    </row>
    <row r="1159">
      <c r="D1159" t="inlineStr">
        <is>
          <t>Run 847</t>
        </is>
      </c>
      <c r="J1159" s="6" t="n">
        <v>-1.6830046312691</v>
      </c>
      <c r="K1159" s="6" t="n">
        <v>-1.27681496564905</v>
      </c>
      <c r="L1159" s="6" t="n">
        <v>-1.468866929952172</v>
      </c>
      <c r="M1159" s="6" t="n">
        <v>-0.6399124368200895</v>
      </c>
      <c r="N1159" s="6" t="n">
        <v>-0.5024462157690013</v>
      </c>
      <c r="O1159" s="6" t="n">
        <v>0.6259591882880479</v>
      </c>
      <c r="P1159" s="6" t="n">
        <v>1.539405088840246</v>
      </c>
      <c r="Q1159" s="6" t="n">
        <v>1.645618355864059</v>
      </c>
      <c r="R1159" s="6" t="n">
        <v>0.215689940391755</v>
      </c>
      <c r="S1159" s="6" t="n">
        <v>0.4394843560944946</v>
      </c>
      <c r="T1159" s="6" t="n">
        <v>-1.654500576993071</v>
      </c>
      <c r="U1159" s="6" t="n">
        <v>3.323789254811067</v>
      </c>
      <c r="V1159" s="6" t="n">
        <v>-1.32990034360515</v>
      </c>
      <c r="W1159" s="6" t="n">
        <v>-1.354258356403022</v>
      </c>
      <c r="X1159" s="6" t="n">
        <v>0.5217632151668326</v>
      </c>
      <c r="Y1159" s="6" t="n">
        <v>4.382883918974692</v>
      </c>
      <c r="Z1159" s="6" t="n">
        <v>-3.332844319534759</v>
      </c>
      <c r="AA1159" s="6" t="n">
        <v>0.3048190727250874</v>
      </c>
      <c r="AB1159" s="6" t="n">
        <v>-0.4048606154778966</v>
      </c>
      <c r="AC1159" s="6" t="n">
        <v>-0.3131664097264389</v>
      </c>
      <c r="AD1159" s="6" t="n">
        <v>-2.960604559911101</v>
      </c>
      <c r="AE1159" s="6" t="n">
        <v>1.161177217968421</v>
      </c>
      <c r="AF1159" s="6" t="n">
        <v>2.387982873448223</v>
      </c>
      <c r="AG1159" s="6" t="n">
        <v>-4.974154442837555</v>
      </c>
      <c r="AH1159" s="6" t="n">
        <v>-0.6531250408404475</v>
      </c>
      <c r="AI1159" s="6" t="n">
        <v>-0.08298594530040418</v>
      </c>
      <c r="AJ1159" s="6" t="n">
        <v>78.30219426360016</v>
      </c>
      <c r="AK1159" s="6" t="n">
        <v>0.09604019106928052</v>
      </c>
      <c r="AL1159" s="6" t="n">
        <v>1.035898817870687</v>
      </c>
      <c r="AN1159" s="6" t="n">
        <v>1.355588397791742</v>
      </c>
      <c r="AO1159" s="6" t="n">
        <v>1.355588397791742</v>
      </c>
      <c r="AP1159" s="6" t="n">
        <v>0.1350944603754624</v>
      </c>
      <c r="AQ1159" s="6" t="n">
        <v>0</v>
      </c>
      <c r="AR1159" s="6" t="n">
        <v>0</v>
      </c>
    </row>
    <row r="1160">
      <c r="D1160" t="inlineStr">
        <is>
          <t>Run 848</t>
        </is>
      </c>
      <c r="J1160" s="6" t="n">
        <v>-5.463767727596822</v>
      </c>
      <c r="K1160" s="6" t="n">
        <v>-1.430145362316833</v>
      </c>
      <c r="L1160" s="6" t="n">
        <v>-0.0630975902679593</v>
      </c>
      <c r="M1160" s="6" t="n">
        <v>0.05442915143456464</v>
      </c>
      <c r="N1160" s="6" t="n">
        <v>-2.102588091375031</v>
      </c>
      <c r="O1160" s="6" t="n">
        <v>-1.239408872659268</v>
      </c>
      <c r="P1160" s="6" t="n">
        <v>0.07891979918848617</v>
      </c>
      <c r="Q1160" s="6" t="n">
        <v>-4.430366853338029</v>
      </c>
      <c r="R1160" s="6" t="n">
        <v>-2.032449708589275</v>
      </c>
      <c r="S1160" s="6" t="n">
        <v>-2.301971784224465</v>
      </c>
      <c r="T1160" s="6" t="n">
        <v>0.4503879342038795</v>
      </c>
      <c r="U1160" s="6" t="n">
        <v>-3.509569027768594</v>
      </c>
      <c r="V1160" s="6" t="n">
        <v>1.833054029946732</v>
      </c>
      <c r="W1160" s="6" t="n">
        <v>-3.838008199528756</v>
      </c>
      <c r="X1160" s="6" t="n">
        <v>0.3592146696242038</v>
      </c>
      <c r="Y1160" s="6" t="n">
        <v>-3.226100626585971</v>
      </c>
      <c r="Z1160" s="6" t="n">
        <v>-1.38085588986207</v>
      </c>
      <c r="AA1160" s="6" t="n">
        <v>-1.136354337640759</v>
      </c>
      <c r="AB1160" s="6" t="n">
        <v>-0.7693908245616808</v>
      </c>
      <c r="AC1160" s="6" t="n">
        <v>-0.7018300603944039</v>
      </c>
      <c r="AD1160" s="6" t="n">
        <v>-0.2481427488919371</v>
      </c>
      <c r="AE1160" s="6" t="n">
        <v>-0.7428788745088801</v>
      </c>
      <c r="AF1160" s="6" t="n">
        <v>-0.3541722297205817</v>
      </c>
      <c r="AG1160" s="6" t="n">
        <v>0.1336639452718559</v>
      </c>
      <c r="AH1160" s="6" t="n">
        <v>-3.113631045012026</v>
      </c>
      <c r="AI1160" s="6" t="n">
        <v>2.587143640671917</v>
      </c>
      <c r="AJ1160" s="6" t="n">
        <v>67.93670118089148</v>
      </c>
      <c r="AK1160" s="6" t="n">
        <v>0.1007605356063872</v>
      </c>
      <c r="AL1160" s="6" t="n">
        <v>1.034047357705055</v>
      </c>
      <c r="AN1160" s="6" t="n">
        <v>1.324355816823341</v>
      </c>
      <c r="AO1160" s="6" t="n">
        <v>1.324355816823341</v>
      </c>
      <c r="AP1160" s="6" t="n">
        <v>0.1330357601793598</v>
      </c>
      <c r="AQ1160" s="6" t="n">
        <v>0</v>
      </c>
      <c r="AR1160" s="6" t="n">
        <v>0</v>
      </c>
    </row>
    <row r="1161">
      <c r="D1161" t="inlineStr">
        <is>
          <t>Run 849</t>
        </is>
      </c>
      <c r="J1161" s="6" t="n">
        <v>0.8919216470989209</v>
      </c>
      <c r="K1161" s="6" t="n">
        <v>-2.969357007292572</v>
      </c>
      <c r="L1161" s="6" t="n">
        <v>1.230637651651741</v>
      </c>
      <c r="M1161" s="6" t="n">
        <v>1.372049987876662</v>
      </c>
      <c r="N1161" s="6" t="n">
        <v>2.563830629520477</v>
      </c>
      <c r="O1161" s="6" t="n">
        <v>2.280515110896716</v>
      </c>
      <c r="P1161" s="6" t="n">
        <v>0.9914667519650732</v>
      </c>
      <c r="Q1161" s="6" t="n">
        <v>0.9952141033286673</v>
      </c>
      <c r="R1161" s="6" t="n">
        <v>0.3903139590540382</v>
      </c>
      <c r="S1161" s="6" t="n">
        <v>-1.689221069812632</v>
      </c>
      <c r="T1161" s="6" t="n">
        <v>-1.65764333707467</v>
      </c>
      <c r="U1161" s="6" t="n">
        <v>1.996496038413988</v>
      </c>
      <c r="V1161" s="6" t="n">
        <v>-1.157241469613272</v>
      </c>
      <c r="W1161" s="6" t="n">
        <v>-1.151204084182536</v>
      </c>
      <c r="X1161" s="6" t="n">
        <v>1.432396452213035</v>
      </c>
      <c r="Y1161" s="6" t="n">
        <v>2.764203113066648</v>
      </c>
      <c r="Z1161" s="6" t="n">
        <v>-2.012284653100492</v>
      </c>
      <c r="AA1161" s="6" t="n">
        <v>-2.43911073451148</v>
      </c>
      <c r="AB1161" s="6" t="n">
        <v>0.3984719067241222</v>
      </c>
      <c r="AC1161" s="6" t="n">
        <v>5</v>
      </c>
      <c r="AD1161" s="6" t="n">
        <v>2.498401944932582</v>
      </c>
      <c r="AE1161" s="6" t="n">
        <v>2.232558437405668</v>
      </c>
      <c r="AF1161" s="6" t="n">
        <v>2.655485262136014</v>
      </c>
      <c r="AG1161" s="6" t="n">
        <v>2.64708541453415</v>
      </c>
      <c r="AH1161" s="6" t="n">
        <v>-0.7451149472481021</v>
      </c>
      <c r="AI1161" s="6" t="n">
        <v>0.7386357105917301</v>
      </c>
      <c r="AJ1161" s="6" t="n">
        <v>62.67474259643858</v>
      </c>
      <c r="AK1161" s="6" t="n">
        <v>0.1399763336727078</v>
      </c>
      <c r="AL1161" s="6" t="n">
        <v>1.045730981887908</v>
      </c>
      <c r="AN1161" s="6" t="n">
        <v>1.340741631984236</v>
      </c>
      <c r="AO1161" s="6" t="n">
        <v>1.340745111796699</v>
      </c>
      <c r="AP1161" s="6" t="n">
        <v>0.1317663151849942</v>
      </c>
      <c r="AQ1161" s="6" t="n">
        <v>0</v>
      </c>
      <c r="AR1161" s="6" t="n">
        <v>0</v>
      </c>
    </row>
    <row r="1162">
      <c r="D1162" t="inlineStr">
        <is>
          <t>Run 850</t>
        </is>
      </c>
      <c r="J1162" s="6" t="n">
        <v>0.4765796585719814</v>
      </c>
      <c r="K1162" s="6" t="n">
        <v>0.007946876085282091</v>
      </c>
      <c r="L1162" s="6" t="n">
        <v>-0.6419240934805074</v>
      </c>
      <c r="M1162" s="6" t="n">
        <v>-1.165950266732394</v>
      </c>
      <c r="N1162" s="6" t="n">
        <v>-0.3420800357182079</v>
      </c>
      <c r="O1162" s="6" t="n">
        <v>0.218966510158687</v>
      </c>
      <c r="P1162" s="6" t="n">
        <v>-1.254615025024328</v>
      </c>
      <c r="Q1162" s="6" t="n">
        <v>-4.602765963304436</v>
      </c>
      <c r="R1162" s="6" t="n">
        <v>1.074690460836243</v>
      </c>
      <c r="S1162" s="6" t="n">
        <v>1.503282085900468</v>
      </c>
      <c r="T1162" s="6" t="n">
        <v>0.3821330310769616</v>
      </c>
      <c r="U1162" s="6" t="n">
        <v>-1.093940436602212</v>
      </c>
      <c r="V1162" s="6" t="n">
        <v>-3.236824023203149</v>
      </c>
      <c r="W1162" s="6" t="n">
        <v>0.1496323741075065</v>
      </c>
      <c r="X1162" s="6" t="n">
        <v>2.083541049577713</v>
      </c>
      <c r="Y1162" s="6" t="n">
        <v>-2.233124382797151</v>
      </c>
      <c r="Z1162" s="6" t="n">
        <v>-2.470777571445733</v>
      </c>
      <c r="AA1162" s="6" t="n">
        <v>-0.8591868178776246</v>
      </c>
      <c r="AB1162" s="6" t="n">
        <v>-0.6941558504851992</v>
      </c>
      <c r="AC1162" s="6" t="n">
        <v>-0.860930157018492</v>
      </c>
      <c r="AD1162" s="6" t="n">
        <v>-3.102803710721338</v>
      </c>
      <c r="AE1162" s="6" t="n">
        <v>1.534472042899005</v>
      </c>
      <c r="AF1162" s="6" t="n">
        <v>-2.159251019312848</v>
      </c>
      <c r="AG1162" s="6" t="n">
        <v>-1.00580015432294</v>
      </c>
      <c r="AH1162" s="6" t="n">
        <v>-0.3208120697971518</v>
      </c>
      <c r="AI1162" s="6" t="n">
        <v>-0.172250687676099</v>
      </c>
      <c r="AJ1162" s="6" t="n">
        <v>70.4542606673477</v>
      </c>
      <c r="AK1162" s="6" t="n">
        <v>0.1543141476381131</v>
      </c>
      <c r="AL1162" s="6" t="n">
        <v>1.071661572924254</v>
      </c>
      <c r="AN1162" s="6" t="n">
        <v>1.33389941518455</v>
      </c>
      <c r="AO1162" s="6" t="n">
        <v>1.334987965423299</v>
      </c>
      <c r="AP1162" s="6" t="n">
        <v>0.1293365805099375</v>
      </c>
      <c r="AQ1162" s="6" t="n">
        <v>0</v>
      </c>
      <c r="AR1162" s="6" t="n">
        <v>0</v>
      </c>
    </row>
    <row r="1163">
      <c r="D1163" t="inlineStr">
        <is>
          <t>Run 851</t>
        </is>
      </c>
      <c r="J1163" s="6" t="n">
        <v>-1.138869554818512</v>
      </c>
      <c r="K1163" s="6" t="n">
        <v>-1.714929394991362</v>
      </c>
      <c r="L1163" s="6" t="n">
        <v>0.3210274634450109</v>
      </c>
      <c r="M1163" s="6" t="n">
        <v>-1.844198642444068</v>
      </c>
      <c r="N1163" s="6" t="n">
        <v>0.9639454607642043</v>
      </c>
      <c r="O1163" s="6" t="n">
        <v>-2.552669052960278</v>
      </c>
      <c r="P1163" s="6" t="n">
        <v>-1.64207037747617</v>
      </c>
      <c r="Q1163" s="6" t="n">
        <v>-0.4714441802346819</v>
      </c>
      <c r="R1163" s="6" t="n">
        <v>0.879616451222748</v>
      </c>
      <c r="S1163" s="6" t="n">
        <v>-2.066297572202971</v>
      </c>
      <c r="T1163" s="6" t="n">
        <v>-1.16796501995688</v>
      </c>
      <c r="U1163" s="6" t="n">
        <v>-0.2196907392676327</v>
      </c>
      <c r="V1163" s="6" t="n">
        <v>4.567897565990916</v>
      </c>
      <c r="W1163" s="6" t="n">
        <v>-3.416662719424443</v>
      </c>
      <c r="X1163" s="6" t="n">
        <v>-1.360437753102039</v>
      </c>
      <c r="Y1163" s="6" t="n">
        <v>-3.089184396504586</v>
      </c>
      <c r="Z1163" s="6" t="n">
        <v>-0.8690018964147951</v>
      </c>
      <c r="AA1163" s="6" t="n">
        <v>-3.125977492423655</v>
      </c>
      <c r="AB1163" s="6" t="n">
        <v>-1.627861001241939</v>
      </c>
      <c r="AC1163" s="6" t="n">
        <v>2.080523142922349</v>
      </c>
      <c r="AD1163" s="6" t="n">
        <v>-1.959789585691908</v>
      </c>
      <c r="AE1163" s="6" t="n">
        <v>-3.337471705597455</v>
      </c>
      <c r="AF1163" s="6" t="n">
        <v>1.266319422369883</v>
      </c>
      <c r="AG1163" s="6" t="n">
        <v>1.569739841495046</v>
      </c>
      <c r="AH1163" s="6" t="n">
        <v>-2.225038895452875</v>
      </c>
      <c r="AI1163" s="6" t="n">
        <v>-1.087001830123108</v>
      </c>
      <c r="AJ1163" s="6" t="n">
        <v>81.91632897157788</v>
      </c>
      <c r="AK1163" s="6" t="n">
        <v>0.09136682015358158</v>
      </c>
      <c r="AL1163" s="6" t="n">
        <v>1.004503684950337</v>
      </c>
      <c r="AN1163" s="6" t="n">
        <v>1.357615826572451</v>
      </c>
      <c r="AO1163" s="6" t="n">
        <v>1.362289931445694</v>
      </c>
      <c r="AP1163" s="6" t="n">
        <v>0.1397658345698964</v>
      </c>
      <c r="AQ1163" s="6" t="n">
        <v>0</v>
      </c>
      <c r="AR1163" s="6" t="n">
        <v>0</v>
      </c>
    </row>
    <row r="1164">
      <c r="D1164" t="inlineStr">
        <is>
          <t>Run 852</t>
        </is>
      </c>
      <c r="J1164" s="6" t="n">
        <v>-1.897358372468216</v>
      </c>
      <c r="K1164" s="6" t="n">
        <v>3.214721736042241</v>
      </c>
      <c r="L1164" s="6" t="n">
        <v>-2.375954536348727</v>
      </c>
      <c r="M1164" s="6" t="n">
        <v>3.346346603955495</v>
      </c>
      <c r="N1164" s="6" t="n">
        <v>0.8079669448952727</v>
      </c>
      <c r="O1164" s="6" t="n">
        <v>0.5340154634658093</v>
      </c>
      <c r="P1164" s="6" t="n">
        <v>-0.1732726212295437</v>
      </c>
      <c r="Q1164" s="6" t="n">
        <v>-2.773374156175642</v>
      </c>
      <c r="R1164" s="6" t="n">
        <v>-1.122136844282441</v>
      </c>
      <c r="S1164" s="6" t="n">
        <v>-2.038165541193255</v>
      </c>
      <c r="T1164" s="6" t="n">
        <v>-1.774562775523641</v>
      </c>
      <c r="U1164" s="6" t="n">
        <v>-1.294177880277623</v>
      </c>
      <c r="V1164" s="6" t="n">
        <v>1.088761920350521</v>
      </c>
      <c r="W1164" s="6" t="n">
        <v>1.449649949380595</v>
      </c>
      <c r="X1164" s="6" t="n">
        <v>-0.03648722829237107</v>
      </c>
      <c r="Y1164" s="6" t="n">
        <v>0.7844241213304153</v>
      </c>
      <c r="Z1164" s="6" t="n">
        <v>0.4866191924153273</v>
      </c>
      <c r="AA1164" s="6" t="n">
        <v>0.6209292633334853</v>
      </c>
      <c r="AB1164" s="6" t="n">
        <v>-3.614451307418712</v>
      </c>
      <c r="AC1164" s="6" t="n">
        <v>0.1887426633716508</v>
      </c>
      <c r="AD1164" s="6" t="n">
        <v>-3.632734941387984</v>
      </c>
      <c r="AE1164" s="6" t="n">
        <v>0.2927537588790438</v>
      </c>
      <c r="AF1164" s="6" t="n">
        <v>-2.987362391683211</v>
      </c>
      <c r="AG1164" s="6" t="n">
        <v>1.419424083691992</v>
      </c>
      <c r="AH1164" s="6" t="n">
        <v>-2.92856247051368</v>
      </c>
      <c r="AI1164" s="6" t="n">
        <v>-0.3099553725541473</v>
      </c>
      <c r="AJ1164" s="6" t="n">
        <v>81.08259131025898</v>
      </c>
      <c r="AK1164" s="6" t="n">
        <v>0.1867236068854681</v>
      </c>
      <c r="AL1164" s="6" t="n">
        <v>1.022281777469302</v>
      </c>
      <c r="AN1164" s="6" t="n">
        <v>1.353753353978466</v>
      </c>
      <c r="AO1164" s="6" t="n">
        <v>1.354508116352031</v>
      </c>
      <c r="AP1164" s="6" t="n">
        <v>0.1343373563043158</v>
      </c>
      <c r="AQ1164" s="6" t="n">
        <v>0</v>
      </c>
      <c r="AR1164" s="6" t="n">
        <v>0</v>
      </c>
    </row>
    <row r="1165">
      <c r="D1165" t="inlineStr">
        <is>
          <t>Run 853</t>
        </is>
      </c>
      <c r="J1165" s="6" t="n">
        <v>4.443984236750289</v>
      </c>
      <c r="K1165" s="6" t="n">
        <v>-2.97462364468262</v>
      </c>
      <c r="L1165" s="6" t="n">
        <v>2.108822200677547</v>
      </c>
      <c r="M1165" s="6" t="n">
        <v>2.6443921891625</v>
      </c>
      <c r="N1165" s="6" t="n">
        <v>-3.3736711165431</v>
      </c>
      <c r="O1165" s="6" t="n">
        <v>-1.32572734032516</v>
      </c>
      <c r="P1165" s="6" t="n">
        <v>0.1108842184678497</v>
      </c>
      <c r="Q1165" s="6" t="n">
        <v>-0.6266434491010472</v>
      </c>
      <c r="R1165" s="6" t="n">
        <v>-0.4947123004430408</v>
      </c>
      <c r="S1165" s="6" t="n">
        <v>2.141078866045032</v>
      </c>
      <c r="T1165" s="6" t="n">
        <v>-0.7628999725103601</v>
      </c>
      <c r="U1165" s="6" t="n">
        <v>0.9835757956798359</v>
      </c>
      <c r="V1165" s="6" t="n">
        <v>4.479091313776459</v>
      </c>
      <c r="W1165" s="6" t="n">
        <v>1.056793112475263</v>
      </c>
      <c r="X1165" s="6" t="n">
        <v>0.687575580077941</v>
      </c>
      <c r="Y1165" s="6" t="n">
        <v>1.549982097119265</v>
      </c>
      <c r="Z1165" s="6" t="n">
        <v>1.081746906833647</v>
      </c>
      <c r="AA1165" s="6" t="n">
        <v>1.054636081240205</v>
      </c>
      <c r="AB1165" s="6" t="n">
        <v>-2.807471752224894</v>
      </c>
      <c r="AC1165" s="6" t="n">
        <v>1.53352574462939</v>
      </c>
      <c r="AD1165" s="6" t="n">
        <v>0.3575989465784939</v>
      </c>
      <c r="AE1165" s="6" t="n">
        <v>-1.600504008703756</v>
      </c>
      <c r="AF1165" s="6" t="n">
        <v>-1.533728719692351</v>
      </c>
      <c r="AG1165" s="6" t="n">
        <v>-2.889170123838388</v>
      </c>
      <c r="AH1165" s="6" t="n">
        <v>1.093561740963347</v>
      </c>
      <c r="AI1165" s="6" t="n">
        <v>-0.2326049258520576</v>
      </c>
      <c r="AJ1165" s="6" t="n">
        <v>78.05275608477639</v>
      </c>
      <c r="AK1165" s="6" t="n">
        <v>0.1350605247343445</v>
      </c>
      <c r="AL1165" s="6" t="n">
        <v>1.079777157443017</v>
      </c>
      <c r="AN1165" s="6" t="n">
        <v>1.337661991425413</v>
      </c>
      <c r="AO1165" s="6" t="n">
        <v>1.338495559779425</v>
      </c>
      <c r="AP1165" s="6" t="n">
        <v>0.1302547061786941</v>
      </c>
      <c r="AQ1165" s="6" t="n">
        <v>0</v>
      </c>
      <c r="AR1165" s="6" t="n">
        <v>0</v>
      </c>
    </row>
    <row r="1166">
      <c r="D1166" t="inlineStr">
        <is>
          <t>Run 854</t>
        </is>
      </c>
      <c r="J1166" s="6" t="n">
        <v>4.453006436516541</v>
      </c>
      <c r="K1166" s="6" t="n">
        <v>-0.03811129009925965</v>
      </c>
      <c r="L1166" s="6" t="n">
        <v>3.259711016744701</v>
      </c>
      <c r="M1166" s="6" t="n">
        <v>1.943814325619674</v>
      </c>
      <c r="N1166" s="6" t="n">
        <v>1.592432859501342</v>
      </c>
      <c r="O1166" s="6" t="n">
        <v>1.114035340897026</v>
      </c>
      <c r="P1166" s="6" t="n">
        <v>0.922856013131042</v>
      </c>
      <c r="Q1166" s="6" t="n">
        <v>-3.574227945095668</v>
      </c>
      <c r="R1166" s="6" t="n">
        <v>-1.227418400004606</v>
      </c>
      <c r="S1166" s="6" t="n">
        <v>2.213365810691923</v>
      </c>
      <c r="T1166" s="6" t="n">
        <v>0.8331806448408737</v>
      </c>
      <c r="U1166" s="6" t="n">
        <v>4.676751530073288</v>
      </c>
      <c r="V1166" s="6" t="n">
        <v>-1.08734698085275</v>
      </c>
      <c r="W1166" s="6" t="n">
        <v>0.7849316799204471</v>
      </c>
      <c r="X1166" s="6" t="n">
        <v>-0.6619663813986952</v>
      </c>
      <c r="Y1166" s="6" t="n">
        <v>-3.642044843953767</v>
      </c>
      <c r="Z1166" s="6" t="n">
        <v>0.08515369843976416</v>
      </c>
      <c r="AA1166" s="6" t="n">
        <v>2.355868045848072</v>
      </c>
      <c r="AB1166" s="6" t="n">
        <v>-2.473319168642619</v>
      </c>
      <c r="AC1166" s="6" t="n">
        <v>-1.135170547153029</v>
      </c>
      <c r="AD1166" s="6" t="n">
        <v>-3.591703847996377</v>
      </c>
      <c r="AE1166" s="6" t="n">
        <v>0.3952431578389866</v>
      </c>
      <c r="AF1166" s="6" t="n">
        <v>2.449036991437966</v>
      </c>
      <c r="AG1166" s="6" t="n">
        <v>-3.050679258770216</v>
      </c>
      <c r="AH1166" s="6" t="n">
        <v>-2.503019212780208</v>
      </c>
      <c r="AI1166" s="6" t="n">
        <v>0.1248989743635769</v>
      </c>
      <c r="AJ1166" s="6" t="n">
        <v>77.2078197817971</v>
      </c>
      <c r="AK1166" s="6" t="n">
        <v>0.124296784157579</v>
      </c>
      <c r="AL1166" s="6" t="n">
        <v>1.016458468388157</v>
      </c>
      <c r="AN1166" s="6" t="n">
        <v>1.358160092750485</v>
      </c>
      <c r="AO1166" s="6" t="n">
        <v>1.35873725705394</v>
      </c>
      <c r="AP1166" s="6" t="n">
        <v>0.1359559328546731</v>
      </c>
      <c r="AQ1166" s="6" t="n">
        <v>0</v>
      </c>
      <c r="AR1166" s="6" t="n">
        <v>0</v>
      </c>
    </row>
    <row r="1167">
      <c r="D1167" t="inlineStr">
        <is>
          <t>Run 855</t>
        </is>
      </c>
      <c r="J1167" s="6" t="n">
        <v>2.040219557568034</v>
      </c>
      <c r="K1167" s="6" t="n">
        <v>-2.61052990433538</v>
      </c>
      <c r="L1167" s="6" t="n">
        <v>-0.261824247973037</v>
      </c>
      <c r="M1167" s="6" t="n">
        <v>2.419160417770852</v>
      </c>
      <c r="N1167" s="6" t="n">
        <v>-0.5062987361697401</v>
      </c>
      <c r="O1167" s="6" t="n">
        <v>-2.520013477817508</v>
      </c>
      <c r="P1167" s="6" t="n">
        <v>3.496280841660674</v>
      </c>
      <c r="Q1167" s="6" t="n">
        <v>-0.1879951638328455</v>
      </c>
      <c r="R1167" s="6" t="n">
        <v>-1.722799133499884</v>
      </c>
      <c r="S1167" s="6" t="n">
        <v>-1.26423290847996</v>
      </c>
      <c r="T1167" s="6" t="n">
        <v>4.346090481808005</v>
      </c>
      <c r="U1167" s="6" t="n">
        <v>3.086976205297516</v>
      </c>
      <c r="V1167" s="6" t="n">
        <v>-0.02743244366974281</v>
      </c>
      <c r="W1167" s="6" t="n">
        <v>0.54171854259026</v>
      </c>
      <c r="X1167" s="6" t="n">
        <v>2.896643620451334</v>
      </c>
      <c r="Y1167" s="6" t="n">
        <v>0.1481677823496477</v>
      </c>
      <c r="Z1167" s="6" t="n">
        <v>-3.212819092856425</v>
      </c>
      <c r="AA1167" s="6" t="n">
        <v>3.575233071323821</v>
      </c>
      <c r="AB1167" s="6" t="n">
        <v>0.5343982556307012</v>
      </c>
      <c r="AC1167" s="6" t="n">
        <v>-5.545665395440779</v>
      </c>
      <c r="AD1167" s="6" t="n">
        <v>2.739532519460059</v>
      </c>
      <c r="AE1167" s="6" t="n">
        <v>0.05183164355039969</v>
      </c>
      <c r="AF1167" s="6" t="n">
        <v>-0.3288798979459328</v>
      </c>
      <c r="AG1167" s="6" t="n">
        <v>3.54312805527689</v>
      </c>
      <c r="AH1167" s="6" t="n">
        <v>-1.178660549691955</v>
      </c>
      <c r="AI1167" s="6" t="n">
        <v>-3.88437659896394</v>
      </c>
      <c r="AJ1167" s="6" t="n">
        <v>68.62821684785764</v>
      </c>
      <c r="AK1167" s="6" t="n">
        <v>0.1572344290909965</v>
      </c>
      <c r="AL1167" s="6" t="n">
        <v>1.060803357201319</v>
      </c>
      <c r="AN1167" s="6" t="n">
        <v>1.33805770757646</v>
      </c>
      <c r="AO1167" s="6" t="n">
        <v>1.338448069198295</v>
      </c>
      <c r="AP1167" s="6" t="n">
        <v>0.1304530625357973</v>
      </c>
      <c r="AQ1167" s="6" t="n">
        <v>0</v>
      </c>
      <c r="AR1167" s="6" t="n">
        <v>0</v>
      </c>
    </row>
    <row r="1168">
      <c r="D1168" t="inlineStr">
        <is>
          <t>Run 856</t>
        </is>
      </c>
      <c r="J1168" s="6" t="n">
        <v>-0.3285418950094688</v>
      </c>
      <c r="K1168" s="6" t="n">
        <v>1.54111750780241</v>
      </c>
      <c r="L1168" s="6" t="n">
        <v>-0.3764047209800605</v>
      </c>
      <c r="M1168" s="6" t="n">
        <v>0.9509096608844817</v>
      </c>
      <c r="N1168" s="6" t="n">
        <v>-3.847371766948319</v>
      </c>
      <c r="O1168" s="6" t="n">
        <v>3.151454135187802</v>
      </c>
      <c r="P1168" s="6" t="n">
        <v>0.8516229709099635</v>
      </c>
      <c r="Q1168" s="6" t="n">
        <v>-4.450564880530314</v>
      </c>
      <c r="R1168" s="6" t="n">
        <v>1.367892230743905</v>
      </c>
      <c r="S1168" s="6" t="n">
        <v>-0.1534219457602069</v>
      </c>
      <c r="T1168" s="6" t="n">
        <v>-2.842286343523742</v>
      </c>
      <c r="U1168" s="6" t="n">
        <v>-3.430750992833159</v>
      </c>
      <c r="V1168" s="6" t="n">
        <v>2.004025757659194</v>
      </c>
      <c r="W1168" s="6" t="n">
        <v>1.356735398539565</v>
      </c>
      <c r="X1168" s="6" t="n">
        <v>-0.5085497301038014</v>
      </c>
      <c r="Y1168" s="6" t="n">
        <v>-1.834595514682302</v>
      </c>
      <c r="Z1168" s="6" t="n">
        <v>-0.5530260540691526</v>
      </c>
      <c r="AA1168" s="6" t="n">
        <v>1.151639572760458</v>
      </c>
      <c r="AB1168" s="6" t="n">
        <v>0.06943735912794569</v>
      </c>
      <c r="AC1168" s="6" t="n">
        <v>-1.543252983738615</v>
      </c>
      <c r="AD1168" s="6" t="n">
        <v>-0.1224589858965448</v>
      </c>
      <c r="AE1168" s="6" t="n">
        <v>0.3069079567223078</v>
      </c>
      <c r="AF1168" s="6" t="n">
        <v>2.773413483539562</v>
      </c>
      <c r="AG1168" s="6" t="n">
        <v>-0.3475966332085702</v>
      </c>
      <c r="AH1168" s="6" t="n">
        <v>1.098111832438009</v>
      </c>
      <c r="AI1168" s="6" t="n">
        <v>-2.617920868330376</v>
      </c>
      <c r="AJ1168" s="6" t="n">
        <v>71.15417315866176</v>
      </c>
      <c r="AK1168" s="6" t="n">
        <v>0.1169561683434711</v>
      </c>
      <c r="AL1168" s="6" t="n">
        <v>1.00373517228536</v>
      </c>
      <c r="AN1168" s="6" t="n">
        <v>1.355219415607531</v>
      </c>
      <c r="AO1168" s="6" t="n">
        <v>1.355219415607531</v>
      </c>
      <c r="AP1168" s="6" t="n">
        <v>0.1373908806466314</v>
      </c>
      <c r="AQ1168" s="6" t="n">
        <v>0</v>
      </c>
      <c r="AR1168" s="6" t="n">
        <v>0</v>
      </c>
    </row>
    <row r="1169">
      <c r="D1169" t="inlineStr">
        <is>
          <t>Run 857</t>
        </is>
      </c>
      <c r="J1169" s="6" t="n">
        <v>2.900967819405169</v>
      </c>
      <c r="K1169" s="6" t="n">
        <v>0.3821014865074118</v>
      </c>
      <c r="L1169" s="6" t="n">
        <v>-1.871883737118612</v>
      </c>
      <c r="M1169" s="6" t="n">
        <v>-1.170491143965462</v>
      </c>
      <c r="N1169" s="6" t="n">
        <v>-1.703326195642468</v>
      </c>
      <c r="O1169" s="6" t="n">
        <v>0.5599018229544256</v>
      </c>
      <c r="P1169" s="6" t="n">
        <v>0.3066167318123127</v>
      </c>
      <c r="Q1169" s="6" t="n">
        <v>-3.600056684087255</v>
      </c>
      <c r="R1169" s="6" t="n">
        <v>1.782828882672828</v>
      </c>
      <c r="S1169" s="6" t="n">
        <v>0.331863353041485</v>
      </c>
      <c r="T1169" s="6" t="n">
        <v>-1.734595887783642</v>
      </c>
      <c r="U1169" s="6" t="n">
        <v>3.239335977075152</v>
      </c>
      <c r="V1169" s="6" t="n">
        <v>-0.1531437780757849</v>
      </c>
      <c r="W1169" s="6" t="n">
        <v>0.8280145435571086</v>
      </c>
      <c r="X1169" s="6" t="n">
        <v>0.670989967417104</v>
      </c>
      <c r="Y1169" s="6" t="n">
        <v>-1.273072216928615</v>
      </c>
      <c r="Z1169" s="6" t="n">
        <v>1.864562618883472</v>
      </c>
      <c r="AA1169" s="6" t="n">
        <v>1.773508061320447</v>
      </c>
      <c r="AB1169" s="6" t="n">
        <v>-3.40127712107066</v>
      </c>
      <c r="AC1169" s="6" t="n">
        <v>1.978574381186645</v>
      </c>
      <c r="AD1169" s="6" t="n">
        <v>1.981089576714886</v>
      </c>
      <c r="AE1169" s="6" t="n">
        <v>-4.178471509652461</v>
      </c>
      <c r="AF1169" s="6" t="n">
        <v>-0.8423526924667071</v>
      </c>
      <c r="AG1169" s="6" t="n">
        <v>-0.1060587821271395</v>
      </c>
      <c r="AH1169" s="6" t="n">
        <v>0.2188957417029492</v>
      </c>
      <c r="AI1169" s="6" t="n">
        <v>-0.3569366641111616</v>
      </c>
      <c r="AJ1169" s="6" t="n">
        <v>73.99197865183351</v>
      </c>
      <c r="AK1169" s="6" t="n">
        <v>0.03279980006530515</v>
      </c>
      <c r="AL1169" s="6" t="n">
        <v>1.079547967406497</v>
      </c>
      <c r="AN1169" s="6" t="n">
        <v>1.340854931810439</v>
      </c>
      <c r="AO1169" s="6" t="n">
        <v>1.343723350202568</v>
      </c>
      <c r="AP1169" s="6" t="n">
        <v>0.132156355217673</v>
      </c>
      <c r="AQ1169" s="6" t="n">
        <v>0</v>
      </c>
      <c r="AR1169" s="6" t="n">
        <v>0</v>
      </c>
    </row>
    <row r="1170">
      <c r="D1170" t="inlineStr">
        <is>
          <t>Run 858</t>
        </is>
      </c>
      <c r="J1170" s="6" t="n">
        <v>-0.9311795029516692</v>
      </c>
      <c r="K1170" s="6" t="n">
        <v>-0.07090749350017914</v>
      </c>
      <c r="L1170" s="6" t="n">
        <v>3.914990289893631</v>
      </c>
      <c r="M1170" s="6" t="n">
        <v>1.73348639368714</v>
      </c>
      <c r="N1170" s="6" t="n">
        <v>-0.2203203790795936</v>
      </c>
      <c r="O1170" s="6" t="n">
        <v>-2.710370177788156</v>
      </c>
      <c r="P1170" s="6" t="n">
        <v>-0.6926683000780823</v>
      </c>
      <c r="Q1170" s="6" t="n">
        <v>1.814923412073179</v>
      </c>
      <c r="R1170" s="6" t="n">
        <v>-0.9743091236563157</v>
      </c>
      <c r="S1170" s="6" t="n">
        <v>1.41966893151851</v>
      </c>
      <c r="T1170" s="6" t="n">
        <v>-1.177469122753657</v>
      </c>
      <c r="U1170" s="6" t="n">
        <v>-1.092009541319919</v>
      </c>
      <c r="V1170" s="6" t="n">
        <v>1.353832768913013</v>
      </c>
      <c r="W1170" s="6" t="n">
        <v>-2.538746242439439</v>
      </c>
      <c r="X1170" s="6" t="n">
        <v>0.411344977955203</v>
      </c>
      <c r="Y1170" s="6" t="n">
        <v>-0.8092907739014507</v>
      </c>
      <c r="Z1170" s="6" t="n">
        <v>-0.1022191958703524</v>
      </c>
      <c r="AA1170" s="6" t="n">
        <v>-0.3387288506037743</v>
      </c>
      <c r="AB1170" s="6" t="n">
        <v>-0.800767616519072</v>
      </c>
      <c r="AC1170" s="6" t="n">
        <v>1.358723713330302</v>
      </c>
      <c r="AD1170" s="6" t="n">
        <v>0.8044875667112323</v>
      </c>
      <c r="AE1170" s="6" t="n">
        <v>-0.6720844800495658</v>
      </c>
      <c r="AF1170" s="6" t="n">
        <v>1.020162391397948</v>
      </c>
      <c r="AG1170" s="6" t="n">
        <v>3.055497762039845</v>
      </c>
      <c r="AH1170" s="6" t="n">
        <v>3.214236629410393</v>
      </c>
      <c r="AI1170" s="6" t="n">
        <v>1.573487233930823</v>
      </c>
      <c r="AJ1170" s="6" t="n">
        <v>68.84031708694391</v>
      </c>
      <c r="AK1170" s="6" t="n">
        <v>0.1008245950531166</v>
      </c>
      <c r="AL1170" s="6" t="n">
        <v>1.034840159228951</v>
      </c>
      <c r="AN1170" s="6" t="n">
        <v>1.349153849542636</v>
      </c>
      <c r="AO1170" s="6" t="n">
        <v>1.34975062623325</v>
      </c>
      <c r="AP1170" s="6" t="n">
        <v>0.1341965451738973</v>
      </c>
      <c r="AQ1170" s="6" t="n">
        <v>0</v>
      </c>
      <c r="AR1170" s="6" t="n">
        <v>0</v>
      </c>
    </row>
    <row r="1171">
      <c r="D1171" t="inlineStr">
        <is>
          <t>Run 859</t>
        </is>
      </c>
      <c r="J1171" s="6" t="n">
        <v>1.579879096418842</v>
      </c>
      <c r="K1171" s="6" t="n">
        <v>0.5440417837820003</v>
      </c>
      <c r="L1171" s="6" t="n">
        <v>-0.04931301486644524</v>
      </c>
      <c r="M1171" s="6" t="n">
        <v>1.37201095896303</v>
      </c>
      <c r="N1171" s="6" t="n">
        <v>0.2029082446269523</v>
      </c>
      <c r="O1171" s="6" t="n">
        <v>1.27768961560464</v>
      </c>
      <c r="P1171" s="6" t="n">
        <v>2.265588761980917</v>
      </c>
      <c r="Q1171" s="6" t="n">
        <v>1.960980239869651</v>
      </c>
      <c r="R1171" s="6" t="n">
        <v>-1.393588710357754</v>
      </c>
      <c r="S1171" s="6" t="n">
        <v>-2.01989206096007</v>
      </c>
      <c r="T1171" s="6" t="n">
        <v>-0.5989989275111326</v>
      </c>
      <c r="U1171" s="6" t="n">
        <v>0.8269479979279815</v>
      </c>
      <c r="V1171" s="6" t="n">
        <v>-3.069982000686979</v>
      </c>
      <c r="W1171" s="6" t="n">
        <v>-1.194988447338353</v>
      </c>
      <c r="X1171" s="6" t="n">
        <v>-0.1911767801556831</v>
      </c>
      <c r="Y1171" s="6" t="n">
        <v>1.080778267824862</v>
      </c>
      <c r="Z1171" s="6" t="n">
        <v>1.004388391933116</v>
      </c>
      <c r="AA1171" s="6" t="n">
        <v>-1.647116445489958</v>
      </c>
      <c r="AB1171" s="6" t="n">
        <v>-1.074850557820536</v>
      </c>
      <c r="AC1171" s="6" t="n">
        <v>1.879582446940791</v>
      </c>
      <c r="AD1171" s="6" t="n">
        <v>-0.744165352478553</v>
      </c>
      <c r="AE1171" s="6" t="n">
        <v>-2.725668412439742</v>
      </c>
      <c r="AF1171" s="6" t="n">
        <v>0.8995717579615673</v>
      </c>
      <c r="AG1171" s="6" t="n">
        <v>2.669134833295131</v>
      </c>
      <c r="AH1171" s="6" t="n">
        <v>-0.06126642552359803</v>
      </c>
      <c r="AI1171" s="6" t="n">
        <v>-4.155162827353998</v>
      </c>
      <c r="AJ1171" s="6" t="n">
        <v>56.42590956569126</v>
      </c>
      <c r="AK1171" s="6" t="n">
        <v>0.1210234290512448</v>
      </c>
      <c r="AL1171" s="6" t="n">
        <v>1.041942709766779</v>
      </c>
      <c r="AN1171" s="6" t="n">
        <v>1.339711426058887</v>
      </c>
      <c r="AO1171" s="6" t="n">
        <v>1.339711426058887</v>
      </c>
      <c r="AP1171" s="6" t="n">
        <v>0.1319982068127141</v>
      </c>
      <c r="AQ1171" s="6" t="n">
        <v>0</v>
      </c>
      <c r="AR1171" s="6" t="n">
        <v>0</v>
      </c>
    </row>
    <row r="1172">
      <c r="D1172" t="inlineStr">
        <is>
          <t>Run 860</t>
        </is>
      </c>
      <c r="J1172" s="6" t="n">
        <v>-1.117693401764364</v>
      </c>
      <c r="K1172" s="6" t="n">
        <v>1.681801927254437</v>
      </c>
      <c r="L1172" s="6" t="n">
        <v>-2.414142857037774</v>
      </c>
      <c r="M1172" s="6" t="n">
        <v>-1.344084925175695</v>
      </c>
      <c r="N1172" s="6" t="n">
        <v>0.9922309989692266</v>
      </c>
      <c r="O1172" s="6" t="n">
        <v>0.7675700001106859</v>
      </c>
      <c r="P1172" s="6" t="n">
        <v>3.372311509734995</v>
      </c>
      <c r="Q1172" s="6" t="n">
        <v>-2.008226135838427</v>
      </c>
      <c r="R1172" s="6" t="n">
        <v>-3.7157421358157</v>
      </c>
      <c r="S1172" s="6" t="n">
        <v>-1.523151015102814</v>
      </c>
      <c r="T1172" s="6" t="n">
        <v>3.371059489418579</v>
      </c>
      <c r="U1172" s="6" t="n">
        <v>0.07150842292866792</v>
      </c>
      <c r="V1172" s="6" t="n">
        <v>1.865364560967251</v>
      </c>
      <c r="W1172" s="6" t="n">
        <v>1.675994991879944</v>
      </c>
      <c r="X1172" s="6" t="n">
        <v>0.1091674753432337</v>
      </c>
      <c r="Y1172" s="6" t="n">
        <v>-1.305113791727455</v>
      </c>
      <c r="Z1172" s="6" t="n">
        <v>-0.1178990734714619</v>
      </c>
      <c r="AA1172" s="6" t="n">
        <v>1.43388887647893</v>
      </c>
      <c r="AB1172" s="6" t="n">
        <v>-1.745503028771249</v>
      </c>
      <c r="AC1172" s="6" t="n">
        <v>0.9524239086568422</v>
      </c>
      <c r="AD1172" s="6" t="n">
        <v>0.01375170626117603</v>
      </c>
      <c r="AE1172" s="6" t="n">
        <v>-1.964197749458589</v>
      </c>
      <c r="AF1172" s="6" t="n">
        <v>-1.242476350164719</v>
      </c>
      <c r="AG1172" s="6" t="n">
        <v>0.1946902806734654</v>
      </c>
      <c r="AH1172" s="6" t="n">
        <v>1.081393286484035</v>
      </c>
      <c r="AI1172" s="6" t="n">
        <v>1.121927854209952</v>
      </c>
      <c r="AJ1172" s="6" t="n">
        <v>66.35000723484252</v>
      </c>
      <c r="AK1172" s="6" t="n">
        <v>0.0900479905303205</v>
      </c>
      <c r="AL1172" s="6" t="n">
        <v>1.044810409930463</v>
      </c>
      <c r="AN1172" s="6" t="n">
        <v>1.341473795101597</v>
      </c>
      <c r="AO1172" s="6" t="n">
        <v>1.344540173097078</v>
      </c>
      <c r="AP1172" s="6" t="n">
        <v>0.1328011497919649</v>
      </c>
      <c r="AQ1172" s="6" t="n">
        <v>0</v>
      </c>
      <c r="AR1172" s="6" t="n">
        <v>0</v>
      </c>
    </row>
    <row r="1173">
      <c r="D1173" t="inlineStr">
        <is>
          <t>Run 861</t>
        </is>
      </c>
      <c r="J1173" s="6" t="n">
        <v>0.4289403760949251</v>
      </c>
      <c r="K1173" s="6" t="n">
        <v>2.517361861823576</v>
      </c>
      <c r="L1173" s="6" t="n">
        <v>-1.170527120352135</v>
      </c>
      <c r="M1173" s="6" t="n">
        <v>-1.349724549313568</v>
      </c>
      <c r="N1173" s="6" t="n">
        <v>0.6921981698860407</v>
      </c>
      <c r="O1173" s="6" t="n">
        <v>-0.411643208280505</v>
      </c>
      <c r="P1173" s="6" t="n">
        <v>-0.1631797166091661</v>
      </c>
      <c r="Q1173" s="6" t="n">
        <v>2.997027639514192</v>
      </c>
      <c r="R1173" s="6" t="n">
        <v>-1.120965073296836</v>
      </c>
      <c r="S1173" s="6" t="n">
        <v>-0.8135536115701758</v>
      </c>
      <c r="T1173" s="6" t="n">
        <v>3.655887020418794</v>
      </c>
      <c r="U1173" s="6" t="n">
        <v>1.381734239616995</v>
      </c>
      <c r="V1173" s="6" t="n">
        <v>-3.822490265610601</v>
      </c>
      <c r="W1173" s="6" t="n">
        <v>-0.1615462584025923</v>
      </c>
      <c r="X1173" s="6" t="n">
        <v>1.772675626403431</v>
      </c>
      <c r="Y1173" s="6" t="n">
        <v>0.9055725151533058</v>
      </c>
      <c r="Z1173" s="6" t="n">
        <v>0.8507298604902379</v>
      </c>
      <c r="AA1173" s="6" t="n">
        <v>2.855759005843921</v>
      </c>
      <c r="AB1173" s="6" t="n">
        <v>2.014168226614702</v>
      </c>
      <c r="AC1173" s="6" t="n">
        <v>5</v>
      </c>
      <c r="AD1173" s="6" t="n">
        <v>2.307794384078399</v>
      </c>
      <c r="AE1173" s="6" t="n">
        <v>-2.256828693677615</v>
      </c>
      <c r="AF1173" s="6" t="n">
        <v>0.8590676990700132</v>
      </c>
      <c r="AG1173" s="6" t="n">
        <v>-2.931580067649964</v>
      </c>
      <c r="AH1173" s="6" t="n">
        <v>-1.358846837557639</v>
      </c>
      <c r="AI1173" s="6" t="n">
        <v>1.227996121465648</v>
      </c>
      <c r="AJ1173" s="6" t="n">
        <v>75.12587444958429</v>
      </c>
      <c r="AK1173" s="6" t="n">
        <v>0.05912081305953601</v>
      </c>
      <c r="AL1173" s="6" t="n">
        <v>1.038703874288774</v>
      </c>
      <c r="AN1173" s="6" t="n">
        <v>1.34941224449852</v>
      </c>
      <c r="AO1173" s="6" t="n">
        <v>1.351159862596743</v>
      </c>
      <c r="AP1173" s="6" t="n">
        <v>0.1351958208567158</v>
      </c>
      <c r="AQ1173" s="6" t="n">
        <v>0</v>
      </c>
      <c r="AR1173" s="6" t="n">
        <v>0</v>
      </c>
    </row>
    <row r="1174">
      <c r="D1174" t="inlineStr">
        <is>
          <t>Run 862</t>
        </is>
      </c>
      <c r="J1174" s="6" t="n">
        <v>2.427573777229865</v>
      </c>
      <c r="K1174" s="6" t="n">
        <v>-0.7243029796242536</v>
      </c>
      <c r="L1174" s="6" t="n">
        <v>-2.824700639111592</v>
      </c>
      <c r="M1174" s="6" t="n">
        <v>-1.976291452121079</v>
      </c>
      <c r="N1174" s="6" t="n">
        <v>1.885769319706814</v>
      </c>
      <c r="O1174" s="6" t="n">
        <v>2.827918001783604</v>
      </c>
      <c r="P1174" s="6" t="n">
        <v>-1.544416841359307</v>
      </c>
      <c r="Q1174" s="6" t="n">
        <v>-3.784398248869134</v>
      </c>
      <c r="R1174" s="6" t="n">
        <v>-3.373779483177517</v>
      </c>
      <c r="S1174" s="6" t="n">
        <v>2.960789004868614</v>
      </c>
      <c r="T1174" s="6" t="n">
        <v>-2.570349579674009</v>
      </c>
      <c r="U1174" s="6" t="n">
        <v>-2.982812749845902</v>
      </c>
      <c r="V1174" s="6" t="n">
        <v>1.44165879475947</v>
      </c>
      <c r="W1174" s="6" t="n">
        <v>2.94766676862635</v>
      </c>
      <c r="X1174" s="6" t="n">
        <v>-0.4891814708889177</v>
      </c>
      <c r="Y1174" s="6" t="n">
        <v>1.848236768006184</v>
      </c>
      <c r="Z1174" s="6" t="n">
        <v>2.536208914177811</v>
      </c>
      <c r="AA1174" s="6" t="n">
        <v>3.807362665857998</v>
      </c>
      <c r="AB1174" s="6" t="n">
        <v>-4.199012927412167</v>
      </c>
      <c r="AC1174" s="6" t="n">
        <v>0.004488771824054136</v>
      </c>
      <c r="AD1174" s="6" t="n">
        <v>-1.114051478573708</v>
      </c>
      <c r="AE1174" s="6" t="n">
        <v>-4.430785010027823</v>
      </c>
      <c r="AF1174" s="6" t="n">
        <v>3.139400778929296</v>
      </c>
      <c r="AG1174" s="6" t="n">
        <v>3.073803755838644</v>
      </c>
      <c r="AH1174" s="6" t="n">
        <v>1.155029114099071</v>
      </c>
      <c r="AI1174" s="6" t="n">
        <v>-2.607559298083382</v>
      </c>
      <c r="AJ1174" s="6" t="n">
        <v>78.44799859858047</v>
      </c>
      <c r="AK1174" s="6" t="n">
        <v>0.0888031533468701</v>
      </c>
      <c r="AL1174" s="6" t="n">
        <v>1.083413760188136</v>
      </c>
      <c r="AN1174" s="6" t="n">
        <v>1.327169936329109</v>
      </c>
      <c r="AO1174" s="6" t="n">
        <v>1.332629554864848</v>
      </c>
      <c r="AP1174" s="6" t="n">
        <v>0.1306040252838693</v>
      </c>
      <c r="AQ1174" s="6" t="n">
        <v>0</v>
      </c>
      <c r="AR1174" s="6" t="n">
        <v>0</v>
      </c>
    </row>
    <row r="1175">
      <c r="D1175" t="inlineStr">
        <is>
          <t>Run 863</t>
        </is>
      </c>
      <c r="J1175" s="6" t="n">
        <v>2.236994222810673</v>
      </c>
      <c r="K1175" s="6" t="n">
        <v>-1.962321538662709</v>
      </c>
      <c r="L1175" s="6" t="n">
        <v>0.5901338266614156</v>
      </c>
      <c r="M1175" s="6" t="n">
        <v>0.2902967219614714</v>
      </c>
      <c r="N1175" s="6" t="n">
        <v>-0.3314723236831834</v>
      </c>
      <c r="O1175" s="6" t="n">
        <v>0.918506937882423</v>
      </c>
      <c r="P1175" s="6" t="n">
        <v>-1.276095812889847</v>
      </c>
      <c r="Q1175" s="6" t="n">
        <v>-2.389758067485559</v>
      </c>
      <c r="R1175" s="6" t="n">
        <v>3.230378912027677</v>
      </c>
      <c r="S1175" s="6" t="n">
        <v>-1.605078666374174</v>
      </c>
      <c r="T1175" s="6" t="n">
        <v>3.399423262756399</v>
      </c>
      <c r="U1175" s="6" t="n">
        <v>-1.075977785091625</v>
      </c>
      <c r="V1175" s="6" t="n">
        <v>-1.149629632357999</v>
      </c>
      <c r="W1175" s="6" t="n">
        <v>-0.707800414930313</v>
      </c>
      <c r="X1175" s="6" t="n">
        <v>0.4435348761089777</v>
      </c>
      <c r="Y1175" s="6" t="n">
        <v>-2.226139924644689</v>
      </c>
      <c r="Z1175" s="6" t="n">
        <v>-2.123036332915855</v>
      </c>
      <c r="AA1175" s="6" t="n">
        <v>-1.539140508432108</v>
      </c>
      <c r="AB1175" s="6" t="n">
        <v>-0.616836711305135</v>
      </c>
      <c r="AC1175" s="6" t="n">
        <v>1.392840390085878</v>
      </c>
      <c r="AD1175" s="6" t="n">
        <v>4.295842186818177</v>
      </c>
      <c r="AE1175" s="6" t="n">
        <v>-0.4087023374252908</v>
      </c>
      <c r="AF1175" s="6" t="n">
        <v>-2.297034453131042</v>
      </c>
      <c r="AG1175" s="6" t="n">
        <v>0.128957867391158</v>
      </c>
      <c r="AH1175" s="6" t="n">
        <v>-0.6968580543993576</v>
      </c>
      <c r="AI1175" s="6" t="n">
        <v>1.899899062680529</v>
      </c>
      <c r="AJ1175" s="6" t="n">
        <v>67.08772701518367</v>
      </c>
      <c r="AK1175" s="6" t="n">
        <v>0.1411699187288231</v>
      </c>
      <c r="AL1175" s="6" t="n">
        <v>1.046163637549635</v>
      </c>
      <c r="AN1175" s="6" t="n">
        <v>1.344133927572254</v>
      </c>
      <c r="AO1175" s="6" t="n">
        <v>1.344722921769277</v>
      </c>
      <c r="AP1175" s="6" t="n">
        <v>0.131741694196532</v>
      </c>
      <c r="AQ1175" s="6" t="n">
        <v>0</v>
      </c>
      <c r="AR1175" s="6" t="n">
        <v>0</v>
      </c>
    </row>
    <row r="1176">
      <c r="D1176" t="inlineStr">
        <is>
          <t>Run 864</t>
        </is>
      </c>
      <c r="J1176" s="6" t="n">
        <v>-0.6584449044382781</v>
      </c>
      <c r="K1176" s="6" t="n">
        <v>-1.277858877203309</v>
      </c>
      <c r="L1176" s="6" t="n">
        <v>0.2432102706364232</v>
      </c>
      <c r="M1176" s="6" t="n">
        <v>-3.16708662363078</v>
      </c>
      <c r="N1176" s="6" t="n">
        <v>-2.412111328218396</v>
      </c>
      <c r="O1176" s="6" t="n">
        <v>-2.781046303419777</v>
      </c>
      <c r="P1176" s="6" t="n">
        <v>-0.220213295966542</v>
      </c>
      <c r="Q1176" s="6" t="n">
        <v>0.04775833695270508</v>
      </c>
      <c r="R1176" s="6" t="n">
        <v>1.697053893997945</v>
      </c>
      <c r="S1176" s="6" t="n">
        <v>-1.365841339467101</v>
      </c>
      <c r="T1176" s="6" t="n">
        <v>-4.871377184369219</v>
      </c>
      <c r="U1176" s="6" t="n">
        <v>-0.8050092348111165</v>
      </c>
      <c r="V1176" s="6" t="n">
        <v>-0.3271969137518662</v>
      </c>
      <c r="W1176" s="6" t="n">
        <v>-2.296692547405981</v>
      </c>
      <c r="X1176" s="6" t="n">
        <v>0.4454639024979666</v>
      </c>
      <c r="Y1176" s="6" t="n">
        <v>-1.217922345818323</v>
      </c>
      <c r="Z1176" s="6" t="n">
        <v>-0.3846429048487395</v>
      </c>
      <c r="AA1176" s="6" t="n">
        <v>0.9127012310099911</v>
      </c>
      <c r="AB1176" s="6" t="n">
        <v>-2.548262222924729</v>
      </c>
      <c r="AC1176" s="6" t="n">
        <v>-1.124392283370043</v>
      </c>
      <c r="AD1176" s="6" t="n">
        <v>-0.4453622935216953</v>
      </c>
      <c r="AE1176" s="6" t="n">
        <v>-0.1059079525123049</v>
      </c>
      <c r="AF1176" s="6" t="n">
        <v>2.980468913283602</v>
      </c>
      <c r="AG1176" s="6" t="n">
        <v>0.9625629822438251</v>
      </c>
      <c r="AH1176" s="6" t="n">
        <v>0.7613111464491152</v>
      </c>
      <c r="AI1176" s="6" t="n">
        <v>-2.561940356335832</v>
      </c>
      <c r="AJ1176" s="6" t="n">
        <v>66.67580268221387</v>
      </c>
      <c r="AK1176" s="6" t="n">
        <v>0.1648539238829484</v>
      </c>
      <c r="AL1176" s="6" t="n">
        <v>1.010671590457546</v>
      </c>
      <c r="AN1176" s="6" t="n">
        <v>1.322319336157871</v>
      </c>
      <c r="AO1176" s="6" t="n">
        <v>1.327164147777125</v>
      </c>
      <c r="AP1176" s="6" t="n">
        <v>0.1350584491177286</v>
      </c>
      <c r="AQ1176" s="6" t="n">
        <v>0</v>
      </c>
      <c r="AR1176" s="6" t="n">
        <v>0</v>
      </c>
    </row>
    <row r="1177">
      <c r="D1177" t="inlineStr">
        <is>
          <t>Run 865</t>
        </is>
      </c>
      <c r="J1177" s="6" t="n">
        <v>2.411970540228042</v>
      </c>
      <c r="K1177" s="6" t="n">
        <v>2.809719110917845</v>
      </c>
      <c r="L1177" s="6" t="n">
        <v>-1.77132109671507</v>
      </c>
      <c r="M1177" s="6" t="n">
        <v>2.558399715717143</v>
      </c>
      <c r="N1177" s="6" t="n">
        <v>2.439606959723437</v>
      </c>
      <c r="O1177" s="6" t="n">
        <v>0.8545211269306213</v>
      </c>
      <c r="P1177" s="6" t="n">
        <v>-4.160619897828299</v>
      </c>
      <c r="Q1177" s="6" t="n">
        <v>1.542912154542029</v>
      </c>
      <c r="R1177" s="6" t="n">
        <v>-1.093351647388574</v>
      </c>
      <c r="S1177" s="6" t="n">
        <v>0.3537550165386626</v>
      </c>
      <c r="T1177" s="6" t="n">
        <v>1.611889671701749</v>
      </c>
      <c r="U1177" s="6" t="n">
        <v>1.113792791200169</v>
      </c>
      <c r="V1177" s="6" t="n">
        <v>-0.06595390952273709</v>
      </c>
      <c r="W1177" s="6" t="n">
        <v>2.920586158244846</v>
      </c>
      <c r="X1177" s="6" t="n">
        <v>-2.798516490518772</v>
      </c>
      <c r="Y1177" s="6" t="n">
        <v>1.36707914125623</v>
      </c>
      <c r="Z1177" s="6" t="n">
        <v>1.775186606539817</v>
      </c>
      <c r="AA1177" s="6" t="n">
        <v>-1.44174852214348</v>
      </c>
      <c r="AB1177" s="6" t="n">
        <v>0.1072010190816305</v>
      </c>
      <c r="AC1177" s="6" t="n">
        <v>-4.745196680031381</v>
      </c>
      <c r="AD1177" s="6" t="n">
        <v>-5.109305333786451</v>
      </c>
      <c r="AE1177" s="6" t="n">
        <v>0.1371542737114176</v>
      </c>
      <c r="AF1177" s="6" t="n">
        <v>2.825650797312049</v>
      </c>
      <c r="AG1177" s="6" t="n">
        <v>1.674016596072641</v>
      </c>
      <c r="AH1177" s="6" t="n">
        <v>0.369410261798165</v>
      </c>
      <c r="AI1177" s="6" t="n">
        <v>0.2632079799536176</v>
      </c>
      <c r="AJ1177" s="6" t="n">
        <v>56.79141237029234</v>
      </c>
      <c r="AK1177" s="6" t="n">
        <v>0.07428712992649186</v>
      </c>
      <c r="AL1177" s="6" t="n">
        <v>0.9938907100002702</v>
      </c>
      <c r="AN1177" s="6" t="n">
        <v>1.347692780554552</v>
      </c>
      <c r="AO1177" s="6" t="n">
        <v>1.347692780554552</v>
      </c>
      <c r="AP1177" s="6" t="n">
        <v>0.1383678228655355</v>
      </c>
      <c r="AQ1177" s="6" t="n">
        <v>0</v>
      </c>
      <c r="AR1177" s="6" t="n">
        <v>0</v>
      </c>
    </row>
    <row r="1178">
      <c r="D1178" t="inlineStr">
        <is>
          <t>Run 866</t>
        </is>
      </c>
      <c r="J1178" s="6" t="n">
        <v>-0.8055214322454243</v>
      </c>
      <c r="K1178" s="6" t="n">
        <v>-0.3047369325581343</v>
      </c>
      <c r="L1178" s="6" t="n">
        <v>0.6170266194434124</v>
      </c>
      <c r="M1178" s="6" t="n">
        <v>-1.226043586066059</v>
      </c>
      <c r="N1178" s="6" t="n">
        <v>-2.162925906255319</v>
      </c>
      <c r="O1178" s="6" t="n">
        <v>-1.917758738587615</v>
      </c>
      <c r="P1178" s="6" t="n">
        <v>-2.777904837341368</v>
      </c>
      <c r="Q1178" s="6" t="n">
        <v>0.4478555662132369</v>
      </c>
      <c r="R1178" s="6" t="n">
        <v>2.382646596069854</v>
      </c>
      <c r="S1178" s="6" t="n">
        <v>-2.285168734769151</v>
      </c>
      <c r="T1178" s="6" t="n">
        <v>-2.686813547330155</v>
      </c>
      <c r="U1178" s="6" t="n">
        <v>-1.055350445454223</v>
      </c>
      <c r="V1178" s="6" t="n">
        <v>1.679784611383857</v>
      </c>
      <c r="W1178" s="6" t="n">
        <v>-0.6372423162354479</v>
      </c>
      <c r="X1178" s="6" t="n">
        <v>-0.7727714056712952</v>
      </c>
      <c r="Y1178" s="6" t="n">
        <v>-1.848008353254095</v>
      </c>
      <c r="Z1178" s="6" t="n">
        <v>-2.91351165005199</v>
      </c>
      <c r="AA1178" s="6" t="n">
        <v>2.126645691604113</v>
      </c>
      <c r="AB1178" s="6" t="n">
        <v>1.873160284208919</v>
      </c>
      <c r="AC1178" s="6" t="n">
        <v>-1.92083751995738</v>
      </c>
      <c r="AD1178" s="6" t="n">
        <v>-0.8468920453643163</v>
      </c>
      <c r="AE1178" s="6" t="n">
        <v>0.6741427157781016</v>
      </c>
      <c r="AF1178" s="6" t="n">
        <v>-2.98724350299463</v>
      </c>
      <c r="AG1178" s="6" t="n">
        <v>0.9752745343467498</v>
      </c>
      <c r="AH1178" s="6" t="n">
        <v>-2.674812215452871</v>
      </c>
      <c r="AI1178" s="6" t="n">
        <v>-1.422817558946528</v>
      </c>
      <c r="AJ1178" s="6" t="n">
        <v>66.47452333982932</v>
      </c>
      <c r="AK1178" s="6" t="n">
        <v>0.1161995261578374</v>
      </c>
      <c r="AL1178" s="6" t="n">
        <v>1.036499182670033</v>
      </c>
      <c r="AN1178" s="6" t="n">
        <v>1.343866788828478</v>
      </c>
      <c r="AO1178" s="6" t="n">
        <v>1.346778167426283</v>
      </c>
      <c r="AP1178" s="6" t="n">
        <v>0.133431590764765</v>
      </c>
      <c r="AQ1178" s="6" t="n">
        <v>0</v>
      </c>
      <c r="AR1178" s="6" t="n">
        <v>0</v>
      </c>
    </row>
    <row r="1179">
      <c r="D1179" t="inlineStr">
        <is>
          <t>Run 867</t>
        </is>
      </c>
      <c r="J1179" s="6" t="n">
        <v>-2.192074194629027</v>
      </c>
      <c r="K1179" s="6" t="n">
        <v>-0.5649781064858842</v>
      </c>
      <c r="L1179" s="6" t="n">
        <v>-0.9421529414876053</v>
      </c>
      <c r="M1179" s="6" t="n">
        <v>-2.847163085071051</v>
      </c>
      <c r="N1179" s="6" t="n">
        <v>0.01686056529957439</v>
      </c>
      <c r="O1179" s="6" t="n">
        <v>1.598023239358813</v>
      </c>
      <c r="P1179" s="6" t="n">
        <v>-0.7207445457078689</v>
      </c>
      <c r="Q1179" s="6" t="n">
        <v>0.5024089700975931</v>
      </c>
      <c r="R1179" s="6" t="n">
        <v>-2.421570907680238</v>
      </c>
      <c r="S1179" s="6" t="n">
        <v>0.4878038450819303</v>
      </c>
      <c r="T1179" s="6" t="n">
        <v>1.148985165024289</v>
      </c>
      <c r="U1179" s="6" t="n">
        <v>0.1128781784755526</v>
      </c>
      <c r="V1179" s="6" t="n">
        <v>0.8143580601867132</v>
      </c>
      <c r="W1179" s="6" t="n">
        <v>-0.1816631243520591</v>
      </c>
      <c r="X1179" s="6" t="n">
        <v>0.5495736918432204</v>
      </c>
      <c r="Y1179" s="6" t="n">
        <v>4.626379346467331</v>
      </c>
      <c r="Z1179" s="6" t="n">
        <v>-1.336962395386794</v>
      </c>
      <c r="AA1179" s="6" t="n">
        <v>-0.9530884569167067</v>
      </c>
      <c r="AB1179" s="6" t="n">
        <v>-1.32581928190691</v>
      </c>
      <c r="AC1179" s="6" t="n">
        <v>-0.3102060029865312</v>
      </c>
      <c r="AD1179" s="6" t="n">
        <v>1.328265175970212</v>
      </c>
      <c r="AE1179" s="6" t="n">
        <v>0.5143073944959373</v>
      </c>
      <c r="AF1179" s="6" t="n">
        <v>-0.3194136346624607</v>
      </c>
      <c r="AG1179" s="6" t="n">
        <v>2.040886881791678</v>
      </c>
      <c r="AH1179" s="6" t="n">
        <v>-4.259416945047594</v>
      </c>
      <c r="AI1179" s="6" t="n">
        <v>3.865921034679334</v>
      </c>
      <c r="AJ1179" s="6" t="n">
        <v>76.13445595190001</v>
      </c>
      <c r="AK1179" s="6" t="n">
        <v>0.09321142050115204</v>
      </c>
      <c r="AL1179" s="6" t="n">
        <v>1.071092570249263</v>
      </c>
      <c r="AN1179" s="6" t="n">
        <v>1.316694567974115</v>
      </c>
      <c r="AO1179" s="6" t="n">
        <v>1.325783563332679</v>
      </c>
      <c r="AP1179" s="6" t="n">
        <v>0.131633132231166</v>
      </c>
      <c r="AQ1179" s="6" t="n">
        <v>0</v>
      </c>
      <c r="AR1179" s="6" t="n">
        <v>0</v>
      </c>
    </row>
    <row r="1180">
      <c r="D1180" t="inlineStr">
        <is>
          <t>Run 868</t>
        </is>
      </c>
      <c r="J1180" s="6" t="n">
        <v>-2.192041610863523</v>
      </c>
      <c r="K1180" s="6" t="n">
        <v>0.2866861934477993</v>
      </c>
      <c r="L1180" s="6" t="n">
        <v>0.2264820177123826</v>
      </c>
      <c r="M1180" s="6" t="n">
        <v>1.823933783607451</v>
      </c>
      <c r="N1180" s="6" t="n">
        <v>-1.433246544886166</v>
      </c>
      <c r="O1180" s="6" t="n">
        <v>-1.844937319672159</v>
      </c>
      <c r="P1180" s="6" t="n">
        <v>1.998411867038548</v>
      </c>
      <c r="Q1180" s="6" t="n">
        <v>-0.3088416218158027</v>
      </c>
      <c r="R1180" s="6" t="n">
        <v>-2.173632615225166</v>
      </c>
      <c r="S1180" s="6" t="n">
        <v>2.437006105356701</v>
      </c>
      <c r="T1180" s="6" t="n">
        <v>-1.520988732320895</v>
      </c>
      <c r="U1180" s="6" t="n">
        <v>1.399033128932519</v>
      </c>
      <c r="V1180" s="6" t="n">
        <v>-1.083905117699131</v>
      </c>
      <c r="W1180" s="6" t="n">
        <v>-0.2317465704624466</v>
      </c>
      <c r="X1180" s="6" t="n">
        <v>-1.101620344943679</v>
      </c>
      <c r="Y1180" s="6" t="n">
        <v>0.4359046785156928</v>
      </c>
      <c r="Z1180" s="6" t="n">
        <v>-1.611131015935289</v>
      </c>
      <c r="AA1180" s="6" t="n">
        <v>-1.365854502536847</v>
      </c>
      <c r="AB1180" s="6" t="n">
        <v>1.383709322435974</v>
      </c>
      <c r="AC1180" s="6" t="n">
        <v>1.511923129439402</v>
      </c>
      <c r="AD1180" s="6" t="n">
        <v>0.8454958865483915</v>
      </c>
      <c r="AE1180" s="6" t="n">
        <v>-1.154242625909474</v>
      </c>
      <c r="AF1180" s="6" t="n">
        <v>-1.648609132519797</v>
      </c>
      <c r="AG1180" s="6" t="n">
        <v>-1.491989737039324</v>
      </c>
      <c r="AH1180" s="6" t="n">
        <v>2.524287716191739</v>
      </c>
      <c r="AI1180" s="6" t="n">
        <v>-1.583226543239154</v>
      </c>
      <c r="AJ1180" s="6" t="n">
        <v>71.73166669543964</v>
      </c>
      <c r="AK1180" s="6" t="n">
        <v>0.09316433377720237</v>
      </c>
      <c r="AL1180" s="6" t="n">
        <v>1.051839596459977</v>
      </c>
      <c r="AN1180" s="6" t="n">
        <v>1.347053895833658</v>
      </c>
      <c r="AO1180" s="6" t="n">
        <v>1.347607407035576</v>
      </c>
      <c r="AP1180" s="6" t="n">
        <v>0.1329730956801035</v>
      </c>
      <c r="AQ1180" s="6" t="n">
        <v>0</v>
      </c>
      <c r="AR1180" s="6" t="n">
        <v>0</v>
      </c>
    </row>
    <row r="1181">
      <c r="D1181" t="inlineStr">
        <is>
          <t>Run 869</t>
        </is>
      </c>
      <c r="J1181" s="6" t="n">
        <v>0.9961714449022528</v>
      </c>
      <c r="K1181" s="6" t="n">
        <v>-0.8785158977667552</v>
      </c>
      <c r="L1181" s="6" t="n">
        <v>1.027416560547266</v>
      </c>
      <c r="M1181" s="6" t="n">
        <v>2.686581973090991</v>
      </c>
      <c r="N1181" s="6" t="n">
        <v>5</v>
      </c>
      <c r="O1181" s="6" t="n">
        <v>1.056265860988324</v>
      </c>
      <c r="P1181" s="6" t="n">
        <v>1.599221602514508</v>
      </c>
      <c r="Q1181" s="6" t="n">
        <v>0.09727094729840408</v>
      </c>
      <c r="R1181" s="6" t="n">
        <v>-0.1364603959035756</v>
      </c>
      <c r="S1181" s="6" t="n">
        <v>-3.179861131639982</v>
      </c>
      <c r="T1181" s="6" t="n">
        <v>-2.753158085803915</v>
      </c>
      <c r="U1181" s="6" t="n">
        <v>1.831218993864254</v>
      </c>
      <c r="V1181" s="6" t="n">
        <v>0.2335866309838238</v>
      </c>
      <c r="W1181" s="6" t="n">
        <v>2.337788680827297</v>
      </c>
      <c r="X1181" s="6" t="n">
        <v>-1.008078678099016</v>
      </c>
      <c r="Y1181" s="6" t="n">
        <v>4.599648323976452</v>
      </c>
      <c r="Z1181" s="6" t="n">
        <v>-4.06378866763132</v>
      </c>
      <c r="AA1181" s="6" t="n">
        <v>1.760050369628092</v>
      </c>
      <c r="AB1181" s="6" t="n">
        <v>-4.940697706940329</v>
      </c>
      <c r="AC1181" s="6" t="n">
        <v>1.304593810690529</v>
      </c>
      <c r="AD1181" s="6" t="n">
        <v>-1.872546909668376</v>
      </c>
      <c r="AE1181" s="6" t="n">
        <v>-1.190512312380334</v>
      </c>
      <c r="AF1181" s="6" t="n">
        <v>-2.030530472823537</v>
      </c>
      <c r="AG1181" s="6" t="n">
        <v>-0.07192634824689076</v>
      </c>
      <c r="AH1181" s="6" t="n">
        <v>1.33227249326547</v>
      </c>
      <c r="AI1181" s="6" t="n">
        <v>1.143409243995426</v>
      </c>
      <c r="AJ1181" s="6" t="n">
        <v>81.48148278369527</v>
      </c>
      <c r="AK1181" s="6" t="n">
        <v>0.1297380590271449</v>
      </c>
      <c r="AL1181" s="6" t="n">
        <v>1.088853154946846</v>
      </c>
      <c r="AN1181" s="6" t="n">
        <v>1.332721480159727</v>
      </c>
      <c r="AO1181" s="6" t="n">
        <v>1.334063450632211</v>
      </c>
      <c r="AP1181" s="6" t="n">
        <v>0.1299612875777179</v>
      </c>
      <c r="AQ1181" s="6" t="n">
        <v>0</v>
      </c>
      <c r="AR1181" s="6" t="n">
        <v>0</v>
      </c>
    </row>
    <row r="1182">
      <c r="D1182" t="inlineStr">
        <is>
          <t>Run 870</t>
        </is>
      </c>
      <c r="J1182" s="6" t="n">
        <v>1.594519809816598</v>
      </c>
      <c r="K1182" s="6" t="n">
        <v>-3.305462369545559</v>
      </c>
      <c r="L1182" s="6" t="n">
        <v>-0.765520788926617</v>
      </c>
      <c r="M1182" s="6" t="n">
        <v>1.625052369389477</v>
      </c>
      <c r="N1182" s="6" t="n">
        <v>-2.804503388982465</v>
      </c>
      <c r="O1182" s="6" t="n">
        <v>-4.233592555546099</v>
      </c>
      <c r="P1182" s="6" t="n">
        <v>4.305833589279884</v>
      </c>
      <c r="Q1182" s="6" t="n">
        <v>-4.206054172414762</v>
      </c>
      <c r="R1182" s="6" t="n">
        <v>2.421406697228905</v>
      </c>
      <c r="S1182" s="6" t="n">
        <v>-2.252468618662951</v>
      </c>
      <c r="T1182" s="6" t="n">
        <v>0.4834056286042251</v>
      </c>
      <c r="U1182" s="6" t="n">
        <v>1.297617674984854</v>
      </c>
      <c r="V1182" s="6" t="n">
        <v>-0.06447899939716374</v>
      </c>
      <c r="W1182" s="6" t="n">
        <v>0.5336478917713244</v>
      </c>
      <c r="X1182" s="6" t="n">
        <v>-3.373890125058986</v>
      </c>
      <c r="Y1182" s="6" t="n">
        <v>-0.8568638438717023</v>
      </c>
      <c r="Z1182" s="6" t="n">
        <v>2.663339317693215</v>
      </c>
      <c r="AA1182" s="6" t="n">
        <v>-0.1540136935507476</v>
      </c>
      <c r="AB1182" s="6" t="n">
        <v>-1.465256797002771</v>
      </c>
      <c r="AC1182" s="6" t="n">
        <v>-1.807334757741889</v>
      </c>
      <c r="AD1182" s="6" t="n">
        <v>1.685116193692656</v>
      </c>
      <c r="AE1182" s="6" t="n">
        <v>-0.7737880890022467</v>
      </c>
      <c r="AF1182" s="6" t="n">
        <v>0.3001841481811959</v>
      </c>
      <c r="AG1182" s="6" t="n">
        <v>-1.040550653228721</v>
      </c>
      <c r="AH1182" s="6" t="n">
        <v>-0.3399522572047722</v>
      </c>
      <c r="AI1182" s="6" t="n">
        <v>0.2835806349911807</v>
      </c>
      <c r="AJ1182" s="6" t="n">
        <v>66.96604904077731</v>
      </c>
      <c r="AK1182" s="6" t="n">
        <v>0.1241095802253887</v>
      </c>
      <c r="AL1182" s="6" t="n">
        <v>1.048931900900744</v>
      </c>
      <c r="AN1182" s="6" t="n">
        <v>1.333637195813505</v>
      </c>
      <c r="AO1182" s="6" t="n">
        <v>1.33805042301941</v>
      </c>
      <c r="AP1182" s="6" t="n">
        <v>0.1316255954485149</v>
      </c>
      <c r="AQ1182" s="6" t="n">
        <v>0</v>
      </c>
      <c r="AR1182" s="6" t="n">
        <v>0</v>
      </c>
    </row>
    <row r="1183">
      <c r="D1183" t="inlineStr">
        <is>
          <t>Run 871</t>
        </is>
      </c>
      <c r="J1183" s="6" t="n">
        <v>-2.1524187652653</v>
      </c>
      <c r="K1183" s="6" t="n">
        <v>-2.140804026232679</v>
      </c>
      <c r="L1183" s="6" t="n">
        <v>0.3048111021625993</v>
      </c>
      <c r="M1183" s="6" t="n">
        <v>0.5842675875841131</v>
      </c>
      <c r="N1183" s="6" t="n">
        <v>-2.719792486358884</v>
      </c>
      <c r="O1183" s="6" t="n">
        <v>-1.322491654309337</v>
      </c>
      <c r="P1183" s="6" t="n">
        <v>2.513630335703303</v>
      </c>
      <c r="Q1183" s="6" t="n">
        <v>0.2297039584985415</v>
      </c>
      <c r="R1183" s="6" t="n">
        <v>-0.9048519664554298</v>
      </c>
      <c r="S1183" s="6" t="n">
        <v>2.722723830618411</v>
      </c>
      <c r="T1183" s="6" t="n">
        <v>2.360098110962351</v>
      </c>
      <c r="U1183" s="6" t="n">
        <v>2.792412659486476</v>
      </c>
      <c r="V1183" s="6" t="n">
        <v>-2.125007607675308</v>
      </c>
      <c r="W1183" s="6" t="n">
        <v>0.5886797751741383</v>
      </c>
      <c r="X1183" s="6" t="n">
        <v>-2.091237139844784</v>
      </c>
      <c r="Y1183" s="6" t="n">
        <v>3.276990908836511</v>
      </c>
      <c r="Z1183" s="6" t="n">
        <v>-0.6551728438567516</v>
      </c>
      <c r="AA1183" s="6" t="n">
        <v>3.331970766780964</v>
      </c>
      <c r="AB1183" s="6" t="n">
        <v>1.035272368474429</v>
      </c>
      <c r="AC1183" s="6" t="n">
        <v>-2.856036190279854</v>
      </c>
      <c r="AD1183" s="6" t="n">
        <v>0.3476409104745955</v>
      </c>
      <c r="AE1183" s="6" t="n">
        <v>-0.218627663987474</v>
      </c>
      <c r="AF1183" s="6" t="n">
        <v>-2.592181639711188</v>
      </c>
      <c r="AG1183" s="6" t="n">
        <v>0.2621222841540101</v>
      </c>
      <c r="AH1183" s="6" t="n">
        <v>3.658762583008744</v>
      </c>
      <c r="AI1183" s="6" t="n">
        <v>0.3665542922688656</v>
      </c>
      <c r="AJ1183" s="6" t="n">
        <v>67.44590455629502</v>
      </c>
      <c r="AK1183" s="6" t="n">
        <v>0.09114985495597067</v>
      </c>
      <c r="AL1183" s="6" t="n">
        <v>1.041671109469506</v>
      </c>
      <c r="AN1183" s="6" t="n">
        <v>1.348949362498803</v>
      </c>
      <c r="AO1183" s="6" t="n">
        <v>1.349218042933293</v>
      </c>
      <c r="AP1183" s="6" t="n">
        <v>0.1336875103550241</v>
      </c>
      <c r="AQ1183" s="6" t="n">
        <v>0</v>
      </c>
      <c r="AR1183" s="6" t="n">
        <v>0</v>
      </c>
    </row>
    <row r="1184">
      <c r="D1184" t="inlineStr">
        <is>
          <t>Run 872</t>
        </is>
      </c>
      <c r="J1184" s="6" t="n">
        <v>1.526651234816034</v>
      </c>
      <c r="K1184" s="6" t="n">
        <v>-2.02295840194369</v>
      </c>
      <c r="L1184" s="6" t="n">
        <v>-2.202432007123858</v>
      </c>
      <c r="M1184" s="6" t="n">
        <v>2.565810892713152</v>
      </c>
      <c r="N1184" s="6" t="n">
        <v>-1.315741210872079</v>
      </c>
      <c r="O1184" s="6" t="n">
        <v>0.07507053883661438</v>
      </c>
      <c r="P1184" s="6" t="n">
        <v>1.297043585048797</v>
      </c>
      <c r="Q1184" s="6" t="n">
        <v>-0.03014796092029285</v>
      </c>
      <c r="R1184" s="6" t="n">
        <v>1.259393469631733</v>
      </c>
      <c r="S1184" s="6" t="n">
        <v>-1.653243198526484</v>
      </c>
      <c r="T1184" s="6" t="n">
        <v>0.2499044447436065</v>
      </c>
      <c r="U1184" s="6" t="n">
        <v>0.3250068065880429</v>
      </c>
      <c r="V1184" s="6" t="n">
        <v>-1.536140223676921</v>
      </c>
      <c r="W1184" s="6" t="n">
        <v>1.545540257930409</v>
      </c>
      <c r="X1184" s="6" t="n">
        <v>1.897164973775737</v>
      </c>
      <c r="Y1184" s="6" t="n">
        <v>-1.540616418468575</v>
      </c>
      <c r="Z1184" s="6" t="n">
        <v>-0.9730019026938106</v>
      </c>
      <c r="AA1184" s="6" t="n">
        <v>1.735293561381842</v>
      </c>
      <c r="AB1184" s="6" t="n">
        <v>-0.3691976804071557</v>
      </c>
      <c r="AC1184" s="6" t="n">
        <v>2.388301530105831</v>
      </c>
      <c r="AD1184" s="6" t="n">
        <v>3.125530212085262</v>
      </c>
      <c r="AE1184" s="6" t="n">
        <v>-1.24110787276465</v>
      </c>
      <c r="AF1184" s="6" t="n">
        <v>2.000706733402731</v>
      </c>
      <c r="AG1184" s="6" t="n">
        <v>-1.000053475046014</v>
      </c>
      <c r="AH1184" s="6" t="n">
        <v>1.617052827734324</v>
      </c>
      <c r="AI1184" s="6" t="n">
        <v>-0.4651657551733419</v>
      </c>
      <c r="AJ1184" s="6" t="n">
        <v>61.23914060442065</v>
      </c>
      <c r="AK1184" s="6" t="n">
        <v>0.1090626801572817</v>
      </c>
      <c r="AL1184" s="6" t="n">
        <v>1.056029480910869</v>
      </c>
      <c r="AN1184" s="6" t="n">
        <v>1.338824466961697</v>
      </c>
      <c r="AO1184" s="6" t="n">
        <v>1.33976007603763</v>
      </c>
      <c r="AP1184" s="6" t="n">
        <v>0.1314048071053466</v>
      </c>
      <c r="AQ1184" s="6" t="n">
        <v>0</v>
      </c>
      <c r="AR1184" s="6" t="n">
        <v>0</v>
      </c>
    </row>
    <row r="1185">
      <c r="D1185" t="inlineStr">
        <is>
          <t>Run 873</t>
        </is>
      </c>
      <c r="J1185" s="6" t="n">
        <v>-0.9582651977010678</v>
      </c>
      <c r="K1185" s="6" t="n">
        <v>-0.2466808172756436</v>
      </c>
      <c r="L1185" s="6" t="n">
        <v>-0.6773413530466238</v>
      </c>
      <c r="M1185" s="6" t="n">
        <v>-0.9671021793668727</v>
      </c>
      <c r="N1185" s="6" t="n">
        <v>-0.7343677384558299</v>
      </c>
      <c r="O1185" s="6" t="n">
        <v>3.648853982187507</v>
      </c>
      <c r="P1185" s="6" t="n">
        <v>2.381420234672976</v>
      </c>
      <c r="Q1185" s="6" t="n">
        <v>1.733514485781544</v>
      </c>
      <c r="R1185" s="6" t="n">
        <v>-3.368306235158745</v>
      </c>
      <c r="S1185" s="6" t="n">
        <v>2.247985091165457</v>
      </c>
      <c r="T1185" s="6" t="n">
        <v>-3.954136595557889</v>
      </c>
      <c r="U1185" s="6" t="n">
        <v>-0.9832239091626692</v>
      </c>
      <c r="V1185" s="6" t="n">
        <v>2.129750777439359</v>
      </c>
      <c r="W1185" s="6" t="n">
        <v>1.194986904580207</v>
      </c>
      <c r="X1185" s="6" t="n">
        <v>0.5389046101611354</v>
      </c>
      <c r="Y1185" s="6" t="n">
        <v>2.044278534581859</v>
      </c>
      <c r="Z1185" s="6" t="n">
        <v>2.046465435255966</v>
      </c>
      <c r="AA1185" s="6" t="n">
        <v>-0.9761340114347088</v>
      </c>
      <c r="AB1185" s="6" t="n">
        <v>-0.6827536781864137</v>
      </c>
      <c r="AC1185" s="6" t="n">
        <v>2.860197717586571</v>
      </c>
      <c r="AD1185" s="6" t="n">
        <v>-0.9816078954135897</v>
      </c>
      <c r="AE1185" s="6" t="n">
        <v>-4.76178192700505</v>
      </c>
      <c r="AF1185" s="6" t="n">
        <v>0.2919155701995986</v>
      </c>
      <c r="AG1185" s="6" t="n">
        <v>-1.195586359406035</v>
      </c>
      <c r="AH1185" s="6" t="n">
        <v>-2.033369091416656</v>
      </c>
      <c r="AI1185" s="6" t="n">
        <v>-4.73357251917365</v>
      </c>
      <c r="AJ1185" s="6" t="n">
        <v>74.98172097324883</v>
      </c>
      <c r="AK1185" s="6" t="n">
        <v>0.1429066142575281</v>
      </c>
      <c r="AL1185" s="6" t="n">
        <v>1.083209982382845</v>
      </c>
      <c r="AN1185" s="6" t="n">
        <v>1.332273978239239</v>
      </c>
      <c r="AO1185" s="6" t="n">
        <v>1.332284873560154</v>
      </c>
      <c r="AP1185" s="6" t="n">
        <v>0.129796729963981</v>
      </c>
      <c r="AQ1185" s="6" t="n">
        <v>0</v>
      </c>
      <c r="AR1185" s="6" t="n">
        <v>0</v>
      </c>
    </row>
    <row r="1186">
      <c r="D1186" t="inlineStr">
        <is>
          <t>Run 874</t>
        </is>
      </c>
      <c r="J1186" s="6" t="n">
        <v>2.088490408741503</v>
      </c>
      <c r="K1186" s="6" t="n">
        <v>-0.1718714298304627</v>
      </c>
      <c r="L1186" s="6" t="n">
        <v>-0.6797544855000958</v>
      </c>
      <c r="M1186" s="6" t="n">
        <v>-1.250456168297385</v>
      </c>
      <c r="N1186" s="6" t="n">
        <v>-1.139381359981355</v>
      </c>
      <c r="O1186" s="6" t="n">
        <v>3.021306730486408</v>
      </c>
      <c r="P1186" s="6" t="n">
        <v>-1.313749070838671</v>
      </c>
      <c r="Q1186" s="6" t="n">
        <v>1.325509938446724</v>
      </c>
      <c r="R1186" s="6" t="n">
        <v>1.207407790757558</v>
      </c>
      <c r="S1186" s="6" t="n">
        <v>-1.390670948687657</v>
      </c>
      <c r="T1186" s="6" t="n">
        <v>-1.603170124349938</v>
      </c>
      <c r="U1186" s="6" t="n">
        <v>-0.8625377650745373</v>
      </c>
      <c r="V1186" s="6" t="n">
        <v>-0.08398219669272941</v>
      </c>
      <c r="W1186" s="6" t="n">
        <v>-0.2459773673986901</v>
      </c>
      <c r="X1186" s="6" t="n">
        <v>2.029961031890719</v>
      </c>
      <c r="Y1186" s="6" t="n">
        <v>-0.8554080909883152</v>
      </c>
      <c r="Z1186" s="6" t="n">
        <v>-2.396562071635663</v>
      </c>
      <c r="AA1186" s="6" t="n">
        <v>1.25687297901379</v>
      </c>
      <c r="AB1186" s="6" t="n">
        <v>-4.121810837226801</v>
      </c>
      <c r="AC1186" s="6" t="n">
        <v>0.9876350104392168</v>
      </c>
      <c r="AD1186" s="6" t="n">
        <v>1.185346385045063</v>
      </c>
      <c r="AE1186" s="6" t="n">
        <v>0.1340971944523445</v>
      </c>
      <c r="AF1186" s="6" t="n">
        <v>0.4181773553517073</v>
      </c>
      <c r="AG1186" s="6" t="n">
        <v>-2.190020623942862</v>
      </c>
      <c r="AH1186" s="6" t="n">
        <v>-2.496871986469383</v>
      </c>
      <c r="AI1186" s="6" t="n">
        <v>-2.052839903304013</v>
      </c>
      <c r="AJ1186" s="6" t="n">
        <v>69.47965943352995</v>
      </c>
      <c r="AK1186" s="6" t="n">
        <v>0.09622756885113046</v>
      </c>
      <c r="AL1186" s="6" t="n">
        <v>1.031100598722288</v>
      </c>
      <c r="AN1186" s="6" t="n">
        <v>1.347983569202562</v>
      </c>
      <c r="AO1186" s="6" t="n">
        <v>1.349233840634379</v>
      </c>
      <c r="AP1186" s="6" t="n">
        <v>0.1346023851591951</v>
      </c>
      <c r="AQ1186" s="6" t="n">
        <v>0</v>
      </c>
      <c r="AR1186" s="6" t="n">
        <v>0</v>
      </c>
    </row>
    <row r="1187">
      <c r="D1187" t="inlineStr">
        <is>
          <t>Run 875</t>
        </is>
      </c>
      <c r="J1187" s="6" t="n">
        <v>-0.07185790615949814</v>
      </c>
      <c r="K1187" s="6" t="n">
        <v>-1.159738817523268</v>
      </c>
      <c r="L1187" s="6" t="n">
        <v>-3.631970652552194</v>
      </c>
      <c r="M1187" s="6" t="n">
        <v>-2.323189885820909</v>
      </c>
      <c r="N1187" s="6" t="n">
        <v>-0.6614905208719276</v>
      </c>
      <c r="O1187" s="6" t="n">
        <v>-1.236412226692581</v>
      </c>
      <c r="P1187" s="6" t="n">
        <v>1.039910582301125</v>
      </c>
      <c r="Q1187" s="6" t="n">
        <v>-0.1764286000424116</v>
      </c>
      <c r="R1187" s="6" t="n">
        <v>1.481338279070688</v>
      </c>
      <c r="S1187" s="6" t="n">
        <v>1.410240054411841</v>
      </c>
      <c r="T1187" s="6" t="n">
        <v>-2.114502752282861</v>
      </c>
      <c r="U1187" s="6" t="n">
        <v>0.4394952593780355</v>
      </c>
      <c r="V1187" s="6" t="n">
        <v>1.235051661806002</v>
      </c>
      <c r="W1187" s="6" t="n">
        <v>0.3803097368145668</v>
      </c>
      <c r="X1187" s="6" t="n">
        <v>-1.764939179464474</v>
      </c>
      <c r="Y1187" s="6" t="n">
        <v>-0.8272178677856491</v>
      </c>
      <c r="Z1187" s="6" t="n">
        <v>2.355162058475692</v>
      </c>
      <c r="AA1187" s="6" t="n">
        <v>-0.04652352848587812</v>
      </c>
      <c r="AB1187" s="6" t="n">
        <v>0.2624735271693643</v>
      </c>
      <c r="AC1187" s="6" t="n">
        <v>-0.7110479839824728</v>
      </c>
      <c r="AD1187" s="6" t="n">
        <v>1.364438067090997</v>
      </c>
      <c r="AE1187" s="6" t="n">
        <v>1.209986173800534</v>
      </c>
      <c r="AF1187" s="6" t="n">
        <v>-0.6406363953577907</v>
      </c>
      <c r="AG1187" s="6" t="n">
        <v>2.320594834609473</v>
      </c>
      <c r="AH1187" s="6" t="n">
        <v>-1.683549613590644</v>
      </c>
      <c r="AI1187" s="6" t="n">
        <v>-3.527560978059397</v>
      </c>
      <c r="AJ1187" s="6" t="n">
        <v>78.29243786214866</v>
      </c>
      <c r="AK1187" s="6" t="n">
        <v>0.1208131718709054</v>
      </c>
      <c r="AL1187" s="6" t="n">
        <v>1.075997819751912</v>
      </c>
      <c r="AN1187" s="6" t="n">
        <v>1.319796307586623</v>
      </c>
      <c r="AO1187" s="6" t="n">
        <v>1.327901528231175</v>
      </c>
      <c r="AP1187" s="6" t="n">
        <v>0.1306901247546641</v>
      </c>
      <c r="AQ1187" s="6" t="n">
        <v>0</v>
      </c>
      <c r="AR1187" s="6" t="n">
        <v>0</v>
      </c>
    </row>
    <row r="1188">
      <c r="D1188" t="inlineStr">
        <is>
          <t>Run 876</t>
        </is>
      </c>
      <c r="J1188" s="6" t="n">
        <v>-0.3851964301794167</v>
      </c>
      <c r="K1188" s="6" t="n">
        <v>-2.446193854341805</v>
      </c>
      <c r="L1188" s="6" t="n">
        <v>-1.082542489632393</v>
      </c>
      <c r="M1188" s="6" t="n">
        <v>0.1422374193105235</v>
      </c>
      <c r="N1188" s="6" t="n">
        <v>2.775100443804217</v>
      </c>
      <c r="O1188" s="6" t="n">
        <v>2.826388664374249</v>
      </c>
      <c r="P1188" s="6" t="n">
        <v>0.0912170413530816</v>
      </c>
      <c r="Q1188" s="6" t="n">
        <v>-0.1785560080100499</v>
      </c>
      <c r="R1188" s="6" t="n">
        <v>-2.748221149973786</v>
      </c>
      <c r="S1188" s="6" t="n">
        <v>1.003509383058289</v>
      </c>
      <c r="T1188" s="6" t="n">
        <v>-3.193192067983656</v>
      </c>
      <c r="U1188" s="6" t="n">
        <v>1.367584820275918</v>
      </c>
      <c r="V1188" s="6" t="n">
        <v>0.5780323268895028</v>
      </c>
      <c r="W1188" s="6" t="n">
        <v>0.8200830926953038</v>
      </c>
      <c r="X1188" s="6" t="n">
        <v>3.910074168088302</v>
      </c>
      <c r="Y1188" s="6" t="n">
        <v>1.39090125350995</v>
      </c>
      <c r="Z1188" s="6" t="n">
        <v>0.07291312814305979</v>
      </c>
      <c r="AA1188" s="6" t="n">
        <v>-0.9018308315712258</v>
      </c>
      <c r="AB1188" s="6" t="n">
        <v>-0.1670648067958965</v>
      </c>
      <c r="AC1188" s="6" t="n">
        <v>-2.00325719589397</v>
      </c>
      <c r="AD1188" s="6" t="n">
        <v>-1.008124330794852</v>
      </c>
      <c r="AE1188" s="6" t="n">
        <v>-0.02116178282866324</v>
      </c>
      <c r="AF1188" s="6" t="n">
        <v>-0.6279801254434043</v>
      </c>
      <c r="AG1188" s="6" t="n">
        <v>-2.75256698111786</v>
      </c>
      <c r="AH1188" s="6" t="n">
        <v>-0.5119942889759135</v>
      </c>
      <c r="AI1188" s="6" t="n">
        <v>0.1465912174968902</v>
      </c>
      <c r="AJ1188" s="6" t="n">
        <v>67.77480859325595</v>
      </c>
      <c r="AK1188" s="6" t="n">
        <v>0.1804725481881437</v>
      </c>
      <c r="AL1188" s="6" t="n">
        <v>1.058842120697312</v>
      </c>
      <c r="AN1188" s="6" t="n">
        <v>1.332790251602873</v>
      </c>
      <c r="AO1188" s="6" t="n">
        <v>1.333449668939427</v>
      </c>
      <c r="AP1188" s="6" t="n">
        <v>0.1301515804500616</v>
      </c>
      <c r="AQ1188" s="6" t="n">
        <v>0</v>
      </c>
      <c r="AR1188" s="6" t="n">
        <v>0</v>
      </c>
    </row>
    <row r="1189">
      <c r="D1189" t="inlineStr">
        <is>
          <t>Run 877</t>
        </is>
      </c>
      <c r="J1189" s="6" t="n">
        <v>1.912708947547267</v>
      </c>
      <c r="K1189" s="6" t="n">
        <v>4.191362051283739</v>
      </c>
      <c r="L1189" s="6" t="n">
        <v>-1.312061684121551</v>
      </c>
      <c r="M1189" s="6" t="n">
        <v>4.066848540074127</v>
      </c>
      <c r="N1189" s="6" t="n">
        <v>-0.6467420413836529</v>
      </c>
      <c r="O1189" s="6" t="n">
        <v>-2.411981628344298</v>
      </c>
      <c r="P1189" s="6" t="n">
        <v>2.528711674680195</v>
      </c>
      <c r="Q1189" s="6" t="n">
        <v>3.520546201975054</v>
      </c>
      <c r="R1189" s="6" t="n">
        <v>2.606589808567513</v>
      </c>
      <c r="S1189" s="6" t="n">
        <v>2.118039452258027</v>
      </c>
      <c r="T1189" s="6" t="n">
        <v>-0.4058657595947014</v>
      </c>
      <c r="U1189" s="6" t="n">
        <v>3.527971027966868</v>
      </c>
      <c r="V1189" s="6" t="n">
        <v>2.695554662268734</v>
      </c>
      <c r="W1189" s="6" t="n">
        <v>-1.738667005679144</v>
      </c>
      <c r="X1189" s="6" t="n">
        <v>3.353733078545262</v>
      </c>
      <c r="Y1189" s="6" t="n">
        <v>-1.350618015382697</v>
      </c>
      <c r="Z1189" s="6" t="n">
        <v>4.659813482011467</v>
      </c>
      <c r="AA1189" s="6" t="n">
        <v>1.189525433000417</v>
      </c>
      <c r="AB1189" s="6" t="n">
        <v>-0.1440430238605873</v>
      </c>
      <c r="AC1189" s="6" t="n">
        <v>0.735428173604933</v>
      </c>
      <c r="AD1189" s="6" t="n">
        <v>0.2761694265767264</v>
      </c>
      <c r="AE1189" s="6" t="n">
        <v>-0.9246121455993002</v>
      </c>
      <c r="AF1189" s="6" t="n">
        <v>-3.437984278901629</v>
      </c>
      <c r="AG1189" s="6" t="n">
        <v>-0.6330247968702762</v>
      </c>
      <c r="AH1189" s="6" t="n">
        <v>1.01528226807515</v>
      </c>
      <c r="AI1189" s="6" t="n">
        <v>0.1205376594722701</v>
      </c>
      <c r="AJ1189" s="6" t="n">
        <v>76.0134468757837</v>
      </c>
      <c r="AK1189" s="6" t="n">
        <v>0.1239590582615561</v>
      </c>
      <c r="AL1189" s="6" t="n">
        <v>1.00345807085398</v>
      </c>
      <c r="AN1189" s="6" t="n">
        <v>1.357322423156593</v>
      </c>
      <c r="AO1189" s="6" t="n">
        <v>1.357322423156593</v>
      </c>
      <c r="AP1189" s="6" t="n">
        <v>0.1385842981983468</v>
      </c>
      <c r="AQ1189" s="6" t="n">
        <v>0</v>
      </c>
      <c r="AR1189" s="6" t="n">
        <v>0</v>
      </c>
    </row>
    <row r="1190">
      <c r="D1190" t="inlineStr">
        <is>
          <t>Run 878</t>
        </is>
      </c>
      <c r="J1190" s="6" t="n">
        <v>-3.859051758790275</v>
      </c>
      <c r="K1190" s="6" t="n">
        <v>0.4662306283180793</v>
      </c>
      <c r="L1190" s="6" t="n">
        <v>-0.382581364401686</v>
      </c>
      <c r="M1190" s="6" t="n">
        <v>-0.3596429932318126</v>
      </c>
      <c r="N1190" s="6" t="n">
        <v>-0.9096823243285512</v>
      </c>
      <c r="O1190" s="6" t="n">
        <v>-1.544221820513304</v>
      </c>
      <c r="P1190" s="6" t="n">
        <v>-1.98157726215726</v>
      </c>
      <c r="Q1190" s="6" t="n">
        <v>-0.1199460557962844</v>
      </c>
      <c r="R1190" s="6" t="n">
        <v>-0.2769159241610551</v>
      </c>
      <c r="S1190" s="6" t="n">
        <v>1.222701006860539</v>
      </c>
      <c r="T1190" s="6" t="n">
        <v>-1.821775052806359</v>
      </c>
      <c r="U1190" s="6" t="n">
        <v>-1.638880164065231</v>
      </c>
      <c r="V1190" s="6" t="n">
        <v>-0.7681925625330142</v>
      </c>
      <c r="W1190" s="6" t="n">
        <v>-2.81823307122556</v>
      </c>
      <c r="X1190" s="6" t="n">
        <v>-1.46988119105862</v>
      </c>
      <c r="Y1190" s="6" t="n">
        <v>2.043166042710381</v>
      </c>
      <c r="Z1190" s="6" t="n">
        <v>-3.748314038330341</v>
      </c>
      <c r="AA1190" s="6" t="n">
        <v>-1.159919125820103</v>
      </c>
      <c r="AB1190" s="6" t="n">
        <v>-0.9761342435910332</v>
      </c>
      <c r="AC1190" s="6" t="n">
        <v>-0.08669119080946981</v>
      </c>
      <c r="AD1190" s="6" t="n">
        <v>0.8106508196160302</v>
      </c>
      <c r="AE1190" s="6" t="n">
        <v>4.627614665965273</v>
      </c>
      <c r="AF1190" s="6" t="n">
        <v>-1.176106558836937</v>
      </c>
      <c r="AG1190" s="6" t="n">
        <v>2.283489223528842</v>
      </c>
      <c r="AH1190" s="6" t="n">
        <v>-0.572335355031909</v>
      </c>
      <c r="AI1190" s="6" t="n">
        <v>3.759999058871634</v>
      </c>
      <c r="AJ1190" s="6" t="n">
        <v>66.95695544143645</v>
      </c>
      <c r="AK1190" s="6" t="n">
        <v>0.1130507669252094</v>
      </c>
      <c r="AL1190" s="6" t="n">
        <v>1.015266985696021</v>
      </c>
      <c r="AN1190" s="6" t="n">
        <v>1.35257975711397</v>
      </c>
      <c r="AO1190" s="6" t="n">
        <v>1.353369590089883</v>
      </c>
      <c r="AP1190" s="6" t="n">
        <v>0.1361677953965232</v>
      </c>
      <c r="AQ1190" s="6" t="n">
        <v>0</v>
      </c>
      <c r="AR1190" s="6" t="n">
        <v>0</v>
      </c>
    </row>
    <row r="1191">
      <c r="D1191" t="inlineStr">
        <is>
          <t>Run 879</t>
        </is>
      </c>
      <c r="J1191" s="6" t="n">
        <v>-0.9276609465955323</v>
      </c>
      <c r="K1191" s="6" t="n">
        <v>-1.781114828307599</v>
      </c>
      <c r="L1191" s="6" t="n">
        <v>-0.2900427717158607</v>
      </c>
      <c r="M1191" s="6" t="n">
        <v>-2.798267256821644</v>
      </c>
      <c r="N1191" s="6" t="n">
        <v>-1.399206520637472</v>
      </c>
      <c r="O1191" s="6" t="n">
        <v>-0.2118885588305268</v>
      </c>
      <c r="P1191" s="6" t="n">
        <v>-0.8995295493658886</v>
      </c>
      <c r="Q1191" s="6" t="n">
        <v>2.787285937816709</v>
      </c>
      <c r="R1191" s="6" t="n">
        <v>-0.7436617993034437</v>
      </c>
      <c r="S1191" s="6" t="n">
        <v>4.078287138674888</v>
      </c>
      <c r="T1191" s="6" t="n">
        <v>-0.7481497348830667</v>
      </c>
      <c r="U1191" s="6" t="n">
        <v>2.688733212256826</v>
      </c>
      <c r="V1191" s="6" t="n">
        <v>0.9010930634266319</v>
      </c>
      <c r="W1191" s="6" t="n">
        <v>-4.728651225469103</v>
      </c>
      <c r="X1191" s="6" t="n">
        <v>4.285886760171683</v>
      </c>
      <c r="Y1191" s="6" t="n">
        <v>1.855426815215831</v>
      </c>
      <c r="Z1191" s="6" t="n">
        <v>-0.8959404943897328</v>
      </c>
      <c r="AA1191" s="6" t="n">
        <v>3.37521342918384</v>
      </c>
      <c r="AB1191" s="6" t="n">
        <v>-1.699401473534705</v>
      </c>
      <c r="AC1191" s="6" t="n">
        <v>-0.4449187132340486</v>
      </c>
      <c r="AD1191" s="6" t="n">
        <v>-1.262540755076816</v>
      </c>
      <c r="AE1191" s="6" t="n">
        <v>1.88486423884673</v>
      </c>
      <c r="AF1191" s="6" t="n">
        <v>-2.211451589358091</v>
      </c>
      <c r="AG1191" s="6" t="n">
        <v>-1.143779379901296</v>
      </c>
      <c r="AH1191" s="6" t="n">
        <v>-1.083841652496927</v>
      </c>
      <c r="AI1191" s="6" t="n">
        <v>-1.292552039020491</v>
      </c>
      <c r="AJ1191" s="6" t="n">
        <v>75.47549832161239</v>
      </c>
      <c r="AK1191" s="6" t="n">
        <v>0.06889418170893392</v>
      </c>
      <c r="AL1191" s="6" t="n">
        <v>1.023031732939712</v>
      </c>
      <c r="AN1191" s="6" t="n">
        <v>1.333684006637421</v>
      </c>
      <c r="AO1191" s="6" t="n">
        <v>1.340860644370108</v>
      </c>
      <c r="AP1191" s="6" t="n">
        <v>0.1366561966552193</v>
      </c>
      <c r="AQ1191" s="6" t="n">
        <v>0</v>
      </c>
      <c r="AR1191" s="6" t="n">
        <v>0</v>
      </c>
    </row>
    <row r="1192">
      <c r="D1192" t="inlineStr">
        <is>
          <t>Run 880</t>
        </is>
      </c>
      <c r="J1192" s="6" t="n">
        <v>3.495610972316308</v>
      </c>
      <c r="K1192" s="6" t="n">
        <v>-2.090916841829417</v>
      </c>
      <c r="L1192" s="6" t="n">
        <v>-1.715142167717169</v>
      </c>
      <c r="M1192" s="6" t="n">
        <v>1.72073998971973</v>
      </c>
      <c r="N1192" s="6" t="n">
        <v>0.7889428507299011</v>
      </c>
      <c r="O1192" s="6" t="n">
        <v>-1.706638684758167</v>
      </c>
      <c r="P1192" s="6" t="n">
        <v>3.396712664289178</v>
      </c>
      <c r="Q1192" s="6" t="n">
        <v>2.919367369219567</v>
      </c>
      <c r="R1192" s="6" t="n">
        <v>0.4256801326307971</v>
      </c>
      <c r="S1192" s="6" t="n">
        <v>0.7319210050378546</v>
      </c>
      <c r="T1192" s="6" t="n">
        <v>1.218875027197605</v>
      </c>
      <c r="U1192" s="6" t="n">
        <v>-3.538994762940562</v>
      </c>
      <c r="V1192" s="6" t="n">
        <v>1.055920450362126</v>
      </c>
      <c r="W1192" s="6" t="n">
        <v>-1.328758827415583</v>
      </c>
      <c r="X1192" s="6" t="n">
        <v>1.101064977431993</v>
      </c>
      <c r="Y1192" s="6" t="n">
        <v>-1.165224492117134</v>
      </c>
      <c r="Z1192" s="6" t="n">
        <v>-1.513449656426815</v>
      </c>
      <c r="AA1192" s="6" t="n">
        <v>1.26454275509929</v>
      </c>
      <c r="AB1192" s="6" t="n">
        <v>-2.052732689986478</v>
      </c>
      <c r="AC1192" s="6" t="n">
        <v>-2.33963300992423</v>
      </c>
      <c r="AD1192" s="6" t="n">
        <v>1.65286818462737</v>
      </c>
      <c r="AE1192" s="6" t="n">
        <v>-2.527643921967987</v>
      </c>
      <c r="AF1192" s="6" t="n">
        <v>-1.823191107461968</v>
      </c>
      <c r="AG1192" s="6" t="n">
        <v>1.435043234611662</v>
      </c>
      <c r="AH1192" s="6" t="n">
        <v>0.7728499300837509</v>
      </c>
      <c r="AI1192" s="6" t="n">
        <v>2.527266498215753</v>
      </c>
      <c r="AJ1192" s="6" t="n">
        <v>74.45223859481689</v>
      </c>
      <c r="AK1192" s="6" t="n">
        <v>0.08748929322435187</v>
      </c>
      <c r="AL1192" s="6" t="n">
        <v>1.071089765589087</v>
      </c>
      <c r="AN1192" s="6" t="n">
        <v>1.343207952770791</v>
      </c>
      <c r="AO1192" s="6" t="n">
        <v>1.343359407695755</v>
      </c>
      <c r="AP1192" s="6" t="n">
        <v>0.1317305062604845</v>
      </c>
      <c r="AQ1192" s="6" t="n">
        <v>0</v>
      </c>
      <c r="AR1192" s="6" t="n">
        <v>0</v>
      </c>
    </row>
    <row r="1193">
      <c r="D1193" t="inlineStr">
        <is>
          <t>Run 881</t>
        </is>
      </c>
      <c r="J1193" s="6" t="n">
        <v>-0.8735440957720449</v>
      </c>
      <c r="K1193" s="6" t="n">
        <v>-0.1097246852022601</v>
      </c>
      <c r="L1193" s="6" t="n">
        <v>-0.9397715955403892</v>
      </c>
      <c r="M1193" s="6" t="n">
        <v>1.56038448568376</v>
      </c>
      <c r="N1193" s="6" t="n">
        <v>1.221147423169034</v>
      </c>
      <c r="O1193" s="6" t="n">
        <v>2.218075216509143</v>
      </c>
      <c r="P1193" s="6" t="n">
        <v>-0.5111985268452589</v>
      </c>
      <c r="Q1193" s="6" t="n">
        <v>0.08109574403154758</v>
      </c>
      <c r="R1193" s="6" t="n">
        <v>1.356052413289457</v>
      </c>
      <c r="S1193" s="6" t="n">
        <v>-1.079251362064278</v>
      </c>
      <c r="T1193" s="6" t="n">
        <v>0.4322551740622752</v>
      </c>
      <c r="U1193" s="6" t="n">
        <v>-0.4904510242655606</v>
      </c>
      <c r="V1193" s="6" t="n">
        <v>-1.711282088617092</v>
      </c>
      <c r="W1193" s="6" t="n">
        <v>0.8427501869706624</v>
      </c>
      <c r="X1193" s="6" t="n">
        <v>0.8209193649080212</v>
      </c>
      <c r="Y1193" s="6" t="n">
        <v>0.8152960951549594</v>
      </c>
      <c r="Z1193" s="6" t="n">
        <v>-2.91781793354806</v>
      </c>
      <c r="AA1193" s="6" t="n">
        <v>-2.74198146858494</v>
      </c>
      <c r="AB1193" s="6" t="n">
        <v>0.3200532054827652</v>
      </c>
      <c r="AC1193" s="6" t="n">
        <v>-1.344656605004835</v>
      </c>
      <c r="AD1193" s="6" t="n">
        <v>2.766020182420043</v>
      </c>
      <c r="AE1193" s="6" t="n">
        <v>1.753369769054479</v>
      </c>
      <c r="AF1193" s="6" t="n">
        <v>0.899722672160707</v>
      </c>
      <c r="AG1193" s="6" t="n">
        <v>-1.992387435418941</v>
      </c>
      <c r="AH1193" s="6" t="n">
        <v>-2.522675601883929</v>
      </c>
      <c r="AI1193" s="6" t="n">
        <v>1.675258542210754</v>
      </c>
      <c r="AJ1193" s="6" t="n">
        <v>73.13871213834288</v>
      </c>
      <c r="AK1193" s="6" t="n">
        <v>0.1611815874804773</v>
      </c>
      <c r="AL1193" s="6" t="n">
        <v>0.9971158392058329</v>
      </c>
      <c r="AN1193" s="6" t="n">
        <v>1.357909604147524</v>
      </c>
      <c r="AO1193" s="6" t="n">
        <v>1.357909604147524</v>
      </c>
      <c r="AP1193" s="6" t="n">
        <v>0.138502267856573</v>
      </c>
      <c r="AQ1193" s="6" t="n">
        <v>0</v>
      </c>
      <c r="AR1193" s="6" t="n">
        <v>0</v>
      </c>
    </row>
    <row r="1194">
      <c r="D1194" t="inlineStr">
        <is>
          <t>Run 882</t>
        </is>
      </c>
      <c r="J1194" s="6" t="n">
        <v>-0.1695064474233154</v>
      </c>
      <c r="K1194" s="6" t="n">
        <v>-0.001351044823363215</v>
      </c>
      <c r="L1194" s="6" t="n">
        <v>-1.950340367035909</v>
      </c>
      <c r="M1194" s="6" t="n">
        <v>0.9459349880111244</v>
      </c>
      <c r="N1194" s="6" t="n">
        <v>4.349668187271062</v>
      </c>
      <c r="O1194" s="6" t="n">
        <v>-0.1351441608805002</v>
      </c>
      <c r="P1194" s="6" t="n">
        <v>0.5359008603107784</v>
      </c>
      <c r="Q1194" s="6" t="n">
        <v>-0.9942871013098371</v>
      </c>
      <c r="R1194" s="6" t="n">
        <v>-1.338116432310309</v>
      </c>
      <c r="S1194" s="6" t="n">
        <v>-2.743149567411263</v>
      </c>
      <c r="T1194" s="6" t="n">
        <v>1.646157638833564</v>
      </c>
      <c r="U1194" s="6" t="n">
        <v>1.199231133911968</v>
      </c>
      <c r="V1194" s="6" t="n">
        <v>-2.032008388199468</v>
      </c>
      <c r="W1194" s="6" t="n">
        <v>0.07317998674572115</v>
      </c>
      <c r="X1194" s="6" t="n">
        <v>4.003656138740204</v>
      </c>
      <c r="Y1194" s="6" t="n">
        <v>-0.4288259094436345</v>
      </c>
      <c r="Z1194" s="6" t="n">
        <v>-1.447321798038282</v>
      </c>
      <c r="AA1194" s="6" t="n">
        <v>1.092287468764188</v>
      </c>
      <c r="AB1194" s="6" t="n">
        <v>-0.6566261435468087</v>
      </c>
      <c r="AC1194" s="6" t="n">
        <v>-0.4396658827291157</v>
      </c>
      <c r="AD1194" s="6" t="n">
        <v>-0.1743079500634547</v>
      </c>
      <c r="AE1194" s="6" t="n">
        <v>2.059909664325996</v>
      </c>
      <c r="AF1194" s="6" t="n">
        <v>2.418796013195785</v>
      </c>
      <c r="AG1194" s="6" t="n">
        <v>-1.670561044750651</v>
      </c>
      <c r="AH1194" s="6" t="n">
        <v>-1.693289984570632</v>
      </c>
      <c r="AI1194" s="6" t="n">
        <v>2.677447285034138</v>
      </c>
      <c r="AJ1194" s="6" t="n">
        <v>70.4204475230592</v>
      </c>
      <c r="AK1194" s="6" t="n">
        <v>0.07261313427849898</v>
      </c>
      <c r="AL1194" s="6" t="n">
        <v>1.06981885220628</v>
      </c>
      <c r="AN1194" s="6" t="n">
        <v>1.342273004432871</v>
      </c>
      <c r="AO1194" s="6" t="n">
        <v>1.343100015969163</v>
      </c>
      <c r="AP1194" s="6" t="n">
        <v>0.1318704021341105</v>
      </c>
      <c r="AQ1194" s="6" t="n">
        <v>0</v>
      </c>
      <c r="AR1194" s="6" t="n">
        <v>0</v>
      </c>
    </row>
    <row r="1195">
      <c r="D1195" t="inlineStr">
        <is>
          <t>Run 883</t>
        </is>
      </c>
      <c r="J1195" s="6" t="n">
        <v>0.2497859684522952</v>
      </c>
      <c r="K1195" s="6" t="n">
        <v>-0.7530824249703141</v>
      </c>
      <c r="L1195" s="6" t="n">
        <v>1.79766177539045</v>
      </c>
      <c r="M1195" s="6" t="n">
        <v>-0.6718380976592733</v>
      </c>
      <c r="N1195" s="6" t="n">
        <v>-2.24228247218578</v>
      </c>
      <c r="O1195" s="6" t="n">
        <v>-1.775732349865785</v>
      </c>
      <c r="P1195" s="6" t="n">
        <v>-0.294864730533109</v>
      </c>
      <c r="Q1195" s="6" t="n">
        <v>0.7704369441303698</v>
      </c>
      <c r="R1195" s="6" t="n">
        <v>0.3295552871446217</v>
      </c>
      <c r="S1195" s="6" t="n">
        <v>-2.910121272728713</v>
      </c>
      <c r="T1195" s="6" t="n">
        <v>2.107830880458667</v>
      </c>
      <c r="U1195" s="6" t="n">
        <v>0.6634470796178092</v>
      </c>
      <c r="V1195" s="6" t="n">
        <v>-0.7054698558060578</v>
      </c>
      <c r="W1195" s="6" t="n">
        <v>-0.115197238908634</v>
      </c>
      <c r="X1195" s="6" t="n">
        <v>-1.572953646220555</v>
      </c>
      <c r="Y1195" s="6" t="n">
        <v>3.283529565489101</v>
      </c>
      <c r="Z1195" s="6" t="n">
        <v>-0.3130357101524692</v>
      </c>
      <c r="AA1195" s="6" t="n">
        <v>0.2375001423972846</v>
      </c>
      <c r="AB1195" s="6" t="n">
        <v>-1.382104121853686</v>
      </c>
      <c r="AC1195" s="6" t="n">
        <v>-2.687805387328293</v>
      </c>
      <c r="AD1195" s="6" t="n">
        <v>-0.7376669634185089</v>
      </c>
      <c r="AE1195" s="6" t="n">
        <v>0.9269391284831588</v>
      </c>
      <c r="AF1195" s="6" t="n">
        <v>-1.662776146003985</v>
      </c>
      <c r="AG1195" s="6" t="n">
        <v>2.11118776530938</v>
      </c>
      <c r="AH1195" s="6" t="n">
        <v>-0.2659807967674476</v>
      </c>
      <c r="AI1195" s="6" t="n">
        <v>1.697803960993655</v>
      </c>
      <c r="AJ1195" s="6" t="n">
        <v>71.10803262741068</v>
      </c>
      <c r="AK1195" s="6" t="n">
        <v>0.09112676464333043</v>
      </c>
      <c r="AL1195" s="6" t="n">
        <v>1.067766552395505</v>
      </c>
      <c r="AN1195" s="6" t="n">
        <v>1.34365351764047</v>
      </c>
      <c r="AO1195" s="6" t="n">
        <v>1.343664263887105</v>
      </c>
      <c r="AP1195" s="6" t="n">
        <v>0.1318686406321735</v>
      </c>
      <c r="AQ1195" s="6" t="n">
        <v>0</v>
      </c>
      <c r="AR1195" s="6" t="n">
        <v>0</v>
      </c>
    </row>
    <row r="1196">
      <c r="D1196" t="inlineStr">
        <is>
          <t>Run 884</t>
        </is>
      </c>
      <c r="J1196" s="6" t="n">
        <v>-1.686197287631833</v>
      </c>
      <c r="K1196" s="6" t="n">
        <v>-3.354875889167287</v>
      </c>
      <c r="L1196" s="6" t="n">
        <v>1.590201468051305</v>
      </c>
      <c r="M1196" s="6" t="n">
        <v>-0.2324456740459529</v>
      </c>
      <c r="N1196" s="6" t="n">
        <v>0.08729688918327363</v>
      </c>
      <c r="O1196" s="6" t="n">
        <v>-2.205819415847953</v>
      </c>
      <c r="P1196" s="6" t="n">
        <v>2.620676366611217</v>
      </c>
      <c r="Q1196" s="6" t="n">
        <v>4.44321954698295</v>
      </c>
      <c r="R1196" s="6" t="n">
        <v>-1.536622507439879</v>
      </c>
      <c r="S1196" s="6" t="n">
        <v>-1.279392495757636</v>
      </c>
      <c r="T1196" s="6" t="n">
        <v>2.105099038866686</v>
      </c>
      <c r="U1196" s="6" t="n">
        <v>0.03638779182349639</v>
      </c>
      <c r="V1196" s="6" t="n">
        <v>2.153949996259317</v>
      </c>
      <c r="W1196" s="6" t="n">
        <v>-2.893850559772989</v>
      </c>
      <c r="X1196" s="6" t="n">
        <v>2.310004713421024</v>
      </c>
      <c r="Y1196" s="6" t="n">
        <v>2.257007641969446</v>
      </c>
      <c r="Z1196" s="6" t="n">
        <v>-1.343539854531314</v>
      </c>
      <c r="AA1196" s="6" t="n">
        <v>3.68065415269159</v>
      </c>
      <c r="AB1196" s="6" t="n">
        <v>-2.74610374684996</v>
      </c>
      <c r="AC1196" s="6" t="n">
        <v>-0.1305298897275954</v>
      </c>
      <c r="AD1196" s="6" t="n">
        <v>0.200187383633545</v>
      </c>
      <c r="AE1196" s="6" t="n">
        <v>0.9207986296069168</v>
      </c>
      <c r="AF1196" s="6" t="n">
        <v>1.20310526519502</v>
      </c>
      <c r="AG1196" s="6" t="n">
        <v>-4.574329072146099</v>
      </c>
      <c r="AH1196" s="6" t="n">
        <v>0.4825505490653048</v>
      </c>
      <c r="AI1196" s="6" t="n">
        <v>-2.274785687428906</v>
      </c>
      <c r="AJ1196" s="6" t="n">
        <v>73.71632026417161</v>
      </c>
      <c r="AK1196" s="6" t="n">
        <v>0.1346482491104384</v>
      </c>
      <c r="AL1196" s="6" t="n">
        <v>1.051663906946786</v>
      </c>
      <c r="AN1196" s="6" t="n">
        <v>1.346698740597515</v>
      </c>
      <c r="AO1196" s="6" t="n">
        <v>1.346709599697583</v>
      </c>
      <c r="AP1196" s="6" t="n">
        <v>0.1321750672603784</v>
      </c>
      <c r="AQ1196" s="6" t="n">
        <v>0</v>
      </c>
      <c r="AR1196" s="6" t="n">
        <v>0</v>
      </c>
    </row>
    <row r="1197">
      <c r="D1197" t="inlineStr">
        <is>
          <t>Run 885</t>
        </is>
      </c>
      <c r="J1197" s="6" t="n">
        <v>0.2208314868733916</v>
      </c>
      <c r="K1197" s="6" t="n">
        <v>-3.217135573289864</v>
      </c>
      <c r="L1197" s="6" t="n">
        <v>-1.76516410999437</v>
      </c>
      <c r="M1197" s="6" t="n">
        <v>-2.816296489336391</v>
      </c>
      <c r="N1197" s="6" t="n">
        <v>0.1556571969499693</v>
      </c>
      <c r="O1197" s="6" t="n">
        <v>-5.83196729972715</v>
      </c>
      <c r="P1197" s="6" t="n">
        <v>-2.861374172196102</v>
      </c>
      <c r="Q1197" s="6" t="n">
        <v>3.330506299335356</v>
      </c>
      <c r="R1197" s="6" t="n">
        <v>-0.3419745141987479</v>
      </c>
      <c r="S1197" s="6" t="n">
        <v>-2.538703145859953</v>
      </c>
      <c r="T1197" s="6" t="n">
        <v>1.337173407618504</v>
      </c>
      <c r="U1197" s="6" t="n">
        <v>3.910380605813623</v>
      </c>
      <c r="V1197" s="6" t="n">
        <v>-3.721204201099672</v>
      </c>
      <c r="W1197" s="6" t="n">
        <v>-2.067766551384533</v>
      </c>
      <c r="X1197" s="6" t="n">
        <v>1.374580489872019</v>
      </c>
      <c r="Y1197" s="6" t="n">
        <v>-2.040194402501149</v>
      </c>
      <c r="Z1197" s="6" t="n">
        <v>4.69824782841284</v>
      </c>
      <c r="AA1197" s="6" t="n">
        <v>0.4815671012827307</v>
      </c>
      <c r="AB1197" s="6" t="n">
        <v>0.9671297645372079</v>
      </c>
      <c r="AC1197" s="6" t="n">
        <v>2.482833668117624</v>
      </c>
      <c r="AD1197" s="6" t="n">
        <v>-2.778177858173956</v>
      </c>
      <c r="AE1197" s="6" t="n">
        <v>0.6083485109293314</v>
      </c>
      <c r="AF1197" s="6" t="n">
        <v>-0.2567092446574434</v>
      </c>
      <c r="AG1197" s="6" t="n">
        <v>-1.988832239912298</v>
      </c>
      <c r="AH1197" s="6" t="n">
        <v>-4.108853714985009</v>
      </c>
      <c r="AI1197" s="6" t="n">
        <v>-3.099799852297253</v>
      </c>
      <c r="AJ1197" s="6" t="n">
        <v>70.26272199100434</v>
      </c>
      <c r="AK1197" s="6" t="n">
        <v>0.1042062728881677</v>
      </c>
      <c r="AL1197" s="6" t="n">
        <v>1.086325306209492</v>
      </c>
      <c r="AN1197" s="6" t="n">
        <v>1.29963031818133</v>
      </c>
      <c r="AO1197" s="6" t="n">
        <v>1.302129986284944</v>
      </c>
      <c r="AP1197" s="6" t="n">
        <v>0.1297468828469396</v>
      </c>
      <c r="AQ1197" s="6" t="n">
        <v>0</v>
      </c>
      <c r="AR1197" s="6" t="n">
        <v>0</v>
      </c>
    </row>
    <row r="1198">
      <c r="D1198" t="inlineStr">
        <is>
          <t>Run 886</t>
        </is>
      </c>
      <c r="J1198" s="6" t="n">
        <v>-1.919036188207992</v>
      </c>
      <c r="K1198" s="6" t="n">
        <v>3.045338630909237</v>
      </c>
      <c r="L1198" s="6" t="n">
        <v>1.145679698599109</v>
      </c>
      <c r="M1198" s="6" t="n">
        <v>0.1458347276647074</v>
      </c>
      <c r="N1198" s="6" t="n">
        <v>1.81828028935766</v>
      </c>
      <c r="O1198" s="6" t="n">
        <v>0.5439440447539848</v>
      </c>
      <c r="P1198" s="6" t="n">
        <v>1.060362203404378</v>
      </c>
      <c r="Q1198" s="6" t="n">
        <v>1.287679462179172</v>
      </c>
      <c r="R1198" s="6" t="n">
        <v>0.4729288276863837</v>
      </c>
      <c r="S1198" s="6" t="n">
        <v>0.1404472403782183</v>
      </c>
      <c r="T1198" s="6" t="n">
        <v>-2.455885815124407</v>
      </c>
      <c r="U1198" s="6" t="n">
        <v>-4.133197307881661</v>
      </c>
      <c r="V1198" s="6" t="n">
        <v>0.6703300473661409</v>
      </c>
      <c r="W1198" s="6" t="n">
        <v>0.6871293273286682</v>
      </c>
      <c r="X1198" s="6" t="n">
        <v>3.503917717114248</v>
      </c>
      <c r="Y1198" s="6" t="n">
        <v>3.545406402959293</v>
      </c>
      <c r="Z1198" s="6" t="n">
        <v>1.45529168056509</v>
      </c>
      <c r="AA1198" s="6" t="n">
        <v>0.2323418579440854</v>
      </c>
      <c r="AB1198" s="6" t="n">
        <v>-1.438947743397084</v>
      </c>
      <c r="AC1198" s="6" t="n">
        <v>0.3500739736937232</v>
      </c>
      <c r="AD1198" s="6" t="n">
        <v>0.2647152774563187</v>
      </c>
      <c r="AE1198" s="6" t="n">
        <v>0.01829794364046956</v>
      </c>
      <c r="AF1198" s="6" t="n">
        <v>1.539326267962706</v>
      </c>
      <c r="AG1198" s="6" t="n">
        <v>1.992876590812653</v>
      </c>
      <c r="AH1198" s="6" t="n">
        <v>-2.172127614067855</v>
      </c>
      <c r="AI1198" s="6" t="n">
        <v>3.275830667451954</v>
      </c>
      <c r="AJ1198" s="6" t="n">
        <v>64.72064648506965</v>
      </c>
      <c r="AK1198" s="6" t="n">
        <v>0.09569659378493392</v>
      </c>
      <c r="AL1198" s="6" t="n">
        <v>1.023824724195775</v>
      </c>
      <c r="AN1198" s="6" t="n">
        <v>1.348339040275394</v>
      </c>
      <c r="AO1198" s="6" t="n">
        <v>1.349098168239831</v>
      </c>
      <c r="AP1198" s="6" t="n">
        <v>0.134863363288758</v>
      </c>
      <c r="AQ1198" s="6" t="n">
        <v>0</v>
      </c>
      <c r="AR1198" s="6" t="n">
        <v>0</v>
      </c>
    </row>
    <row r="1199">
      <c r="D1199" t="inlineStr">
        <is>
          <t>Run 887</t>
        </is>
      </c>
      <c r="J1199" s="6" t="n">
        <v>-1.729331340065246</v>
      </c>
      <c r="K1199" s="6" t="n">
        <v>-1.160706996646071</v>
      </c>
      <c r="L1199" s="6" t="n">
        <v>4.557282231218009</v>
      </c>
      <c r="M1199" s="6" t="n">
        <v>-0.9233115536539321</v>
      </c>
      <c r="N1199" s="6" t="n">
        <v>0.5870688830600417</v>
      </c>
      <c r="O1199" s="6" t="n">
        <v>1.563293426642653</v>
      </c>
      <c r="P1199" s="6" t="n">
        <v>-2.402562641223481</v>
      </c>
      <c r="Q1199" s="6" t="n">
        <v>2.420163781987624</v>
      </c>
      <c r="R1199" s="6" t="n">
        <v>0.5149826274102615</v>
      </c>
      <c r="S1199" s="6" t="n">
        <v>-3.075353508676934</v>
      </c>
      <c r="T1199" s="6" t="n">
        <v>-2.270608395235765</v>
      </c>
      <c r="U1199" s="6" t="n">
        <v>2.438129564974916</v>
      </c>
      <c r="V1199" s="6" t="n">
        <v>2.029178809341083</v>
      </c>
      <c r="W1199" s="6" t="n">
        <v>0.3817903906325046</v>
      </c>
      <c r="X1199" s="6" t="n">
        <v>2.082754953525514</v>
      </c>
      <c r="Y1199" s="6" t="n">
        <v>-3.447431455084802</v>
      </c>
      <c r="Z1199" s="6" t="n">
        <v>1.583331862435636</v>
      </c>
      <c r="AA1199" s="6" t="n">
        <v>-1.501140867672193</v>
      </c>
      <c r="AB1199" s="6" t="n">
        <v>-1.613245466732918</v>
      </c>
      <c r="AC1199" s="6" t="n">
        <v>-1.754364281123398</v>
      </c>
      <c r="AD1199" s="6" t="n">
        <v>-1.809623982152369</v>
      </c>
      <c r="AE1199" s="6" t="n">
        <v>-1.545344940418926</v>
      </c>
      <c r="AF1199" s="6" t="n">
        <v>-0.02826197217688806</v>
      </c>
      <c r="AG1199" s="6" t="n">
        <v>1.67235649619638</v>
      </c>
      <c r="AH1199" s="6" t="n">
        <v>-0.3047320918973576</v>
      </c>
      <c r="AI1199" s="6" t="n">
        <v>3.072213126187108</v>
      </c>
      <c r="AJ1199" s="6" t="n">
        <v>71.72033931436457</v>
      </c>
      <c r="AK1199" s="6" t="n">
        <v>0.1010253690836095</v>
      </c>
      <c r="AL1199" s="6" t="n">
        <v>1.000788588417747</v>
      </c>
      <c r="AN1199" s="6" t="n">
        <v>1.357976031558595</v>
      </c>
      <c r="AO1199" s="6" t="n">
        <v>1.357976031558595</v>
      </c>
      <c r="AP1199" s="6" t="n">
        <v>0.1390007601625074</v>
      </c>
      <c r="AQ1199" s="6" t="n">
        <v>0</v>
      </c>
      <c r="AR1199" s="6" t="n">
        <v>0</v>
      </c>
    </row>
    <row r="1200">
      <c r="D1200" t="inlineStr">
        <is>
          <t>Run 888</t>
        </is>
      </c>
      <c r="J1200" s="6" t="n">
        <v>0.7082537229300443</v>
      </c>
      <c r="K1200" s="6" t="n">
        <v>0.8078318474130517</v>
      </c>
      <c r="L1200" s="6" t="n">
        <v>0.02118446407534</v>
      </c>
      <c r="M1200" s="6" t="n">
        <v>-0.3375616521838687</v>
      </c>
      <c r="N1200" s="6" t="n">
        <v>-0.8898446317463939</v>
      </c>
      <c r="O1200" s="6" t="n">
        <v>-1.227081161936999</v>
      </c>
      <c r="P1200" s="6" t="n">
        <v>2.840906534078064</v>
      </c>
      <c r="Q1200" s="6" t="n">
        <v>2.101091749002509</v>
      </c>
      <c r="R1200" s="6" t="n">
        <v>0.2770185979583198</v>
      </c>
      <c r="S1200" s="6" t="n">
        <v>2.850064307960364</v>
      </c>
      <c r="T1200" s="6" t="n">
        <v>-0.9977035632658565</v>
      </c>
      <c r="U1200" s="6" t="n">
        <v>0.07829995536573651</v>
      </c>
      <c r="V1200" s="6" t="n">
        <v>1.802155165815258</v>
      </c>
      <c r="W1200" s="6" t="n">
        <v>2.944909561187223</v>
      </c>
      <c r="X1200" s="6" t="n">
        <v>0.03761805361014504</v>
      </c>
      <c r="Y1200" s="6" t="n">
        <v>0.7272916486117499</v>
      </c>
      <c r="Z1200" s="6" t="n">
        <v>-1.219677268627027</v>
      </c>
      <c r="AA1200" s="6" t="n">
        <v>1.776933515561949</v>
      </c>
      <c r="AB1200" s="6" t="n">
        <v>-1.718180490285911</v>
      </c>
      <c r="AC1200" s="6" t="n">
        <v>-2.431548754143163</v>
      </c>
      <c r="AD1200" s="6" t="n">
        <v>2.26908866734419</v>
      </c>
      <c r="AE1200" s="6" t="n">
        <v>-2.303919546385273</v>
      </c>
      <c r="AF1200" s="6" t="n">
        <v>2.343004398193187</v>
      </c>
      <c r="AG1200" s="6" t="n">
        <v>-2.271746567727263</v>
      </c>
      <c r="AH1200" s="6" t="n">
        <v>-2.530800352716358</v>
      </c>
      <c r="AI1200" s="6" t="n">
        <v>2.655962089845434</v>
      </c>
      <c r="AJ1200" s="6" t="n">
        <v>69.26300213556411</v>
      </c>
      <c r="AK1200" s="6" t="n">
        <v>0.08902338497161398</v>
      </c>
      <c r="AL1200" s="6" t="n">
        <v>1.079431420673987</v>
      </c>
      <c r="AN1200" s="6" t="n">
        <v>1.33903296566253</v>
      </c>
      <c r="AO1200" s="6" t="n">
        <v>1.340262061300127</v>
      </c>
      <c r="AP1200" s="6" t="n">
        <v>0.1309052510943909</v>
      </c>
      <c r="AQ1200" s="6" t="n">
        <v>0</v>
      </c>
      <c r="AR1200" s="6" t="n">
        <v>0</v>
      </c>
    </row>
    <row r="1201">
      <c r="D1201" t="inlineStr">
        <is>
          <t>Run 889</t>
        </is>
      </c>
      <c r="J1201" s="6" t="n">
        <v>2.553923037179652</v>
      </c>
      <c r="K1201" s="6" t="n">
        <v>-0.7643422936600403</v>
      </c>
      <c r="L1201" s="6" t="n">
        <v>-3.863286907499168</v>
      </c>
      <c r="M1201" s="6" t="n">
        <v>0.4791008827927886</v>
      </c>
      <c r="N1201" s="6" t="n">
        <v>0.03244998331575199</v>
      </c>
      <c r="O1201" s="6" t="n">
        <v>2.883333450387639</v>
      </c>
      <c r="P1201" s="6" t="n">
        <v>-0.7981538546348461</v>
      </c>
      <c r="Q1201" s="6" t="n">
        <v>-0.9192573634101461</v>
      </c>
      <c r="R1201" s="6" t="n">
        <v>-5.023693452889018</v>
      </c>
      <c r="S1201" s="6" t="n">
        <v>0.8518531945593103</v>
      </c>
      <c r="T1201" s="6" t="n">
        <v>-0.1973686075567068</v>
      </c>
      <c r="U1201" s="6" t="n">
        <v>2.642708363200148</v>
      </c>
      <c r="V1201" s="6" t="n">
        <v>-0.7830110290635001</v>
      </c>
      <c r="W1201" s="6" t="n">
        <v>-1.527414140784716</v>
      </c>
      <c r="X1201" s="6" t="n">
        <v>1.385721642256154</v>
      </c>
      <c r="Y1201" s="6" t="n">
        <v>0.9553557487127862</v>
      </c>
      <c r="Z1201" s="6" t="n">
        <v>0.9257573660887776</v>
      </c>
      <c r="AA1201" s="6" t="n">
        <v>-1.408387491645138</v>
      </c>
      <c r="AB1201" s="6" t="n">
        <v>-1.763407502541149</v>
      </c>
      <c r="AC1201" s="6" t="n">
        <v>-2.261136690122837</v>
      </c>
      <c r="AD1201" s="6" t="n">
        <v>0.2083176950278895</v>
      </c>
      <c r="AE1201" s="6" t="n">
        <v>0.4191663084847213</v>
      </c>
      <c r="AF1201" s="6" t="n">
        <v>-0.2184827344433277</v>
      </c>
      <c r="AG1201" s="6" t="n">
        <v>-0.1457744569375667</v>
      </c>
      <c r="AH1201" s="6" t="n">
        <v>0.6813043114678388</v>
      </c>
      <c r="AI1201" s="6" t="n">
        <v>-0.1636876708142249</v>
      </c>
      <c r="AJ1201" s="6" t="n">
        <v>64.0349198784989</v>
      </c>
      <c r="AK1201" s="6" t="n">
        <v>0.08955104169852013</v>
      </c>
      <c r="AL1201" s="6" t="n">
        <v>1.005680928823427</v>
      </c>
      <c r="AN1201" s="6" t="n">
        <v>1.350648454720253</v>
      </c>
      <c r="AO1201" s="6" t="n">
        <v>1.350648454720253</v>
      </c>
      <c r="AP1201" s="6" t="n">
        <v>0.1372232581279666</v>
      </c>
      <c r="AQ1201" s="6" t="n">
        <v>0</v>
      </c>
      <c r="AR1201" s="6" t="n">
        <v>0</v>
      </c>
    </row>
    <row r="1202">
      <c r="D1202" t="inlineStr">
        <is>
          <t>Run 890</t>
        </is>
      </c>
      <c r="J1202" s="6" t="n">
        <v>-1.594837638616171</v>
      </c>
      <c r="K1202" s="6" t="n">
        <v>-1.849712303346876</v>
      </c>
      <c r="L1202" s="6" t="n">
        <v>-1.167631553752196</v>
      </c>
      <c r="M1202" s="6" t="n">
        <v>-2.487446612210022</v>
      </c>
      <c r="N1202" s="6" t="n">
        <v>1.320731880308677</v>
      </c>
      <c r="O1202" s="6" t="n">
        <v>2.028498786058156</v>
      </c>
      <c r="P1202" s="6" t="n">
        <v>3.530442257036412</v>
      </c>
      <c r="Q1202" s="6" t="n">
        <v>-0.8145551228854283</v>
      </c>
      <c r="R1202" s="6" t="n">
        <v>-1.897699219353711</v>
      </c>
      <c r="S1202" s="6" t="n">
        <v>0.9108142128260835</v>
      </c>
      <c r="T1202" s="6" t="n">
        <v>-2.910378062592548</v>
      </c>
      <c r="U1202" s="6" t="n">
        <v>0.2691199116503058</v>
      </c>
      <c r="V1202" s="6" t="n">
        <v>0.2233340484236908</v>
      </c>
      <c r="W1202" s="6" t="n">
        <v>2.347858856500683</v>
      </c>
      <c r="X1202" s="6" t="n">
        <v>-2.294748821853782</v>
      </c>
      <c r="Y1202" s="6" t="n">
        <v>2.238338238255791</v>
      </c>
      <c r="Z1202" s="6" t="n">
        <v>-2.55171733393984</v>
      </c>
      <c r="AA1202" s="6" t="n">
        <v>-1.798574820932466</v>
      </c>
      <c r="AB1202" s="6" t="n">
        <v>-1.766450717842154</v>
      </c>
      <c r="AC1202" s="6" t="n">
        <v>0.2865873417675362</v>
      </c>
      <c r="AD1202" s="6" t="n">
        <v>-0.1731819450296082</v>
      </c>
      <c r="AE1202" s="6" t="n">
        <v>1.812113626651018</v>
      </c>
      <c r="AF1202" s="6" t="n">
        <v>-1.812952436313601</v>
      </c>
      <c r="AG1202" s="6" t="n">
        <v>1.096796943472942</v>
      </c>
      <c r="AH1202" s="6" t="n">
        <v>3.865393979142597</v>
      </c>
      <c r="AI1202" s="6" t="n">
        <v>-0.8409967141157897</v>
      </c>
      <c r="AJ1202" s="6" t="n">
        <v>82.33364466087728</v>
      </c>
      <c r="AK1202" s="6" t="n">
        <v>0.09434005150844732</v>
      </c>
      <c r="AL1202" s="6" t="n">
        <v>1.078010088928482</v>
      </c>
      <c r="AN1202" s="6" t="n">
        <v>1.322098117164091</v>
      </c>
      <c r="AO1202" s="6" t="n">
        <v>1.330405060819385</v>
      </c>
      <c r="AP1202" s="6" t="n">
        <v>0.1314900619815421</v>
      </c>
      <c r="AQ1202" s="6" t="n">
        <v>0</v>
      </c>
      <c r="AR1202" s="6" t="n">
        <v>0</v>
      </c>
    </row>
    <row r="1203">
      <c r="D1203" t="inlineStr">
        <is>
          <t>Run 891</t>
        </is>
      </c>
      <c r="J1203" s="6" t="n">
        <v>-2.611615796509835</v>
      </c>
      <c r="K1203" s="6" t="n">
        <v>-1.400014236949162</v>
      </c>
      <c r="L1203" s="6" t="n">
        <v>-2.704944857556553</v>
      </c>
      <c r="M1203" s="6" t="n">
        <v>1.274293837432731</v>
      </c>
      <c r="N1203" s="6" t="n">
        <v>3.081975244119202</v>
      </c>
      <c r="O1203" s="6" t="n">
        <v>-1.340436554921719</v>
      </c>
      <c r="P1203" s="6" t="n">
        <v>-0.4795937924649368</v>
      </c>
      <c r="Q1203" s="6" t="n">
        <v>-2.046625710089535</v>
      </c>
      <c r="R1203" s="6" t="n">
        <v>1.263364573919596</v>
      </c>
      <c r="S1203" s="6" t="n">
        <v>2.291906875587962</v>
      </c>
      <c r="T1203" s="6" t="n">
        <v>3.886896110498656</v>
      </c>
      <c r="U1203" s="6" t="n">
        <v>1.436538382588986</v>
      </c>
      <c r="V1203" s="6" t="n">
        <v>-0.4236730989952701</v>
      </c>
      <c r="W1203" s="6" t="n">
        <v>-0.831235754897675</v>
      </c>
      <c r="X1203" s="6" t="n">
        <v>1.939142770289127</v>
      </c>
      <c r="Y1203" s="6" t="n">
        <v>1.953412891696762</v>
      </c>
      <c r="Z1203" s="6" t="n">
        <v>-1.030346239084429</v>
      </c>
      <c r="AA1203" s="6" t="n">
        <v>-1.406547740225039</v>
      </c>
      <c r="AB1203" s="6" t="n">
        <v>-1.196118007997413</v>
      </c>
      <c r="AC1203" s="6" t="n">
        <v>0.5613147648705736</v>
      </c>
      <c r="AD1203" s="6" t="n">
        <v>1.972944271776366</v>
      </c>
      <c r="AE1203" s="6" t="n">
        <v>0.167413996429212</v>
      </c>
      <c r="AF1203" s="6" t="n">
        <v>1.721835689946972</v>
      </c>
      <c r="AG1203" s="6" t="n">
        <v>2.024419387961037</v>
      </c>
      <c r="AH1203" s="6" t="n">
        <v>-4.823746968904395</v>
      </c>
      <c r="AI1203" s="6" t="n">
        <v>3.040415963229342</v>
      </c>
      <c r="AJ1203" s="6" t="n">
        <v>77.20409641779587</v>
      </c>
      <c r="AK1203" s="6" t="n">
        <v>0.1509411942774506</v>
      </c>
      <c r="AL1203" s="6" t="n">
        <v>1.063180552454133</v>
      </c>
      <c r="AN1203" s="6" t="n">
        <v>1.341039762742986</v>
      </c>
      <c r="AO1203" s="6" t="n">
        <v>1.342095526456719</v>
      </c>
      <c r="AP1203" s="6" t="n">
        <v>0.1309359438896724</v>
      </c>
      <c r="AQ1203" s="6" t="n">
        <v>0</v>
      </c>
      <c r="AR1203" s="6" t="n">
        <v>0</v>
      </c>
    </row>
    <row r="1204">
      <c r="D1204" t="inlineStr">
        <is>
          <t>Run 892</t>
        </is>
      </c>
      <c r="J1204" s="6" t="n">
        <v>1.548038942916641</v>
      </c>
      <c r="K1204" s="6" t="n">
        <v>-1.957976486629011</v>
      </c>
      <c r="L1204" s="6" t="n">
        <v>-4.83516342132831</v>
      </c>
      <c r="M1204" s="6" t="n">
        <v>1.692467947195198</v>
      </c>
      <c r="N1204" s="6" t="n">
        <v>2.637148007434866</v>
      </c>
      <c r="O1204" s="6" t="n">
        <v>0.4020153868608662</v>
      </c>
      <c r="P1204" s="6" t="n">
        <v>0.1988749955524656</v>
      </c>
      <c r="Q1204" s="6" t="n">
        <v>-2.87407229681526</v>
      </c>
      <c r="R1204" s="6" t="n">
        <v>2.269194452278398</v>
      </c>
      <c r="S1204" s="6" t="n">
        <v>-1.248601030268968</v>
      </c>
      <c r="T1204" s="6" t="n">
        <v>0.8313993670260795</v>
      </c>
      <c r="U1204" s="6" t="n">
        <v>-0.3199676525440632</v>
      </c>
      <c r="V1204" s="6" t="n">
        <v>0.6554209958317873</v>
      </c>
      <c r="W1204" s="6" t="n">
        <v>-0.5582047047786296</v>
      </c>
      <c r="X1204" s="6" t="n">
        <v>1.411416593498314</v>
      </c>
      <c r="Y1204" s="6" t="n">
        <v>1.132149884323348</v>
      </c>
      <c r="Z1204" s="6" t="n">
        <v>-0.2966305775209007</v>
      </c>
      <c r="AA1204" s="6" t="n">
        <v>-3.962901360534435</v>
      </c>
      <c r="AB1204" s="6" t="n">
        <v>-0.7793955767328626</v>
      </c>
      <c r="AC1204" s="6" t="n">
        <v>2.548446300769203</v>
      </c>
      <c r="AD1204" s="6" t="n">
        <v>-1.157367011748801</v>
      </c>
      <c r="AE1204" s="6" t="n">
        <v>0.1234735446378408</v>
      </c>
      <c r="AF1204" s="6" t="n">
        <v>-0.2254922392690155</v>
      </c>
      <c r="AG1204" s="6" t="n">
        <v>1.026255932914994</v>
      </c>
      <c r="AH1204" s="6" t="n">
        <v>1.661745466400939</v>
      </c>
      <c r="AI1204" s="6" t="n">
        <v>1.165895454894273</v>
      </c>
      <c r="AJ1204" s="6" t="n">
        <v>80.52627975575533</v>
      </c>
      <c r="AK1204" s="6" t="n">
        <v>0.008377131277628416</v>
      </c>
      <c r="AL1204" s="6" t="n">
        <v>1.037175552032976</v>
      </c>
      <c r="AN1204" s="6" t="n">
        <v>1.353503061946049</v>
      </c>
      <c r="AO1204" s="6" t="n">
        <v>1.354342164702762</v>
      </c>
      <c r="AP1204" s="6" t="n">
        <v>0.1369431195417588</v>
      </c>
      <c r="AQ1204" s="6" t="n">
        <v>0</v>
      </c>
      <c r="AR1204" s="6" t="n">
        <v>0</v>
      </c>
    </row>
    <row r="1205">
      <c r="D1205" t="inlineStr">
        <is>
          <t>Run 893</t>
        </is>
      </c>
      <c r="J1205" s="6" t="n">
        <v>-0.6203897729105328</v>
      </c>
      <c r="K1205" s="6" t="n">
        <v>0.2727554476702455</v>
      </c>
      <c r="L1205" s="6" t="n">
        <v>1.07137984192997</v>
      </c>
      <c r="M1205" s="6" t="n">
        <v>-0.270908625664485</v>
      </c>
      <c r="N1205" s="6" t="n">
        <v>1.465937018695225</v>
      </c>
      <c r="O1205" s="6" t="n">
        <v>0.8331394613076948</v>
      </c>
      <c r="P1205" s="6" t="n">
        <v>-0.6001011398445527</v>
      </c>
      <c r="Q1205" s="6" t="n">
        <v>3.129204160111577</v>
      </c>
      <c r="R1205" s="6" t="n">
        <v>-1.623738875808775</v>
      </c>
      <c r="S1205" s="6" t="n">
        <v>-0.7973317173980419</v>
      </c>
      <c r="T1205" s="6" t="n">
        <v>-0.3538882374103536</v>
      </c>
      <c r="U1205" s="6" t="n">
        <v>-1.590881340772625</v>
      </c>
      <c r="V1205" s="6" t="n">
        <v>0.2425961185760435</v>
      </c>
      <c r="W1205" s="6" t="n">
        <v>-2.768899912853549</v>
      </c>
      <c r="X1205" s="6" t="n">
        <v>2.830437858422855</v>
      </c>
      <c r="Y1205" s="6" t="n">
        <v>1.50124627586654</v>
      </c>
      <c r="Z1205" s="6" t="n">
        <v>4.567552834401104</v>
      </c>
      <c r="AA1205" s="6" t="n">
        <v>-0.6519814138794154</v>
      </c>
      <c r="AB1205" s="6" t="n">
        <v>1.162844190555384</v>
      </c>
      <c r="AC1205" s="6" t="n">
        <v>0.7805811617460018</v>
      </c>
      <c r="AD1205" s="6" t="n">
        <v>-1.881929197599666</v>
      </c>
      <c r="AE1205" s="6" t="n">
        <v>3.802987872833182</v>
      </c>
      <c r="AF1205" s="6" t="n">
        <v>-1.571814635176792</v>
      </c>
      <c r="AG1205" s="6" t="n">
        <v>0.1634403600024912</v>
      </c>
      <c r="AH1205" s="6" t="n">
        <v>-1.414814617262415</v>
      </c>
      <c r="AI1205" s="6" t="n">
        <v>-1.68757642473046</v>
      </c>
      <c r="AJ1205" s="6" t="n">
        <v>78.0467544868756</v>
      </c>
      <c r="AK1205" s="6" t="n">
        <v>0.1109650578431235</v>
      </c>
      <c r="AL1205" s="6" t="n">
        <v>1.018974921584476</v>
      </c>
      <c r="AN1205" s="6" t="n">
        <v>1.356856680132693</v>
      </c>
      <c r="AO1205" s="6" t="n">
        <v>1.356856680132693</v>
      </c>
      <c r="AP1205" s="6" t="n">
        <v>0.1367740214456928</v>
      </c>
      <c r="AQ1205" s="6" t="n">
        <v>0</v>
      </c>
      <c r="AR1205" s="6" t="n">
        <v>0</v>
      </c>
    </row>
    <row r="1206">
      <c r="D1206" t="inlineStr">
        <is>
          <t>Run 894</t>
        </is>
      </c>
      <c r="J1206" s="6" t="n">
        <v>-0.7040137323247081</v>
      </c>
      <c r="K1206" s="6" t="n">
        <v>-0.1727512812238964</v>
      </c>
      <c r="L1206" s="6" t="n">
        <v>3.435237481609311</v>
      </c>
      <c r="M1206" s="6" t="n">
        <v>3.37942305961194</v>
      </c>
      <c r="N1206" s="6" t="n">
        <v>0.8237341746413946</v>
      </c>
      <c r="O1206" s="6" t="n">
        <v>-3.084050415170321</v>
      </c>
      <c r="P1206" s="6" t="n">
        <v>0.7350186181512826</v>
      </c>
      <c r="Q1206" s="6" t="n">
        <v>-0.1578191089173528</v>
      </c>
      <c r="R1206" s="6" t="n">
        <v>1.229480308832805</v>
      </c>
      <c r="S1206" s="6" t="n">
        <v>-3.03175337936915</v>
      </c>
      <c r="T1206" s="6" t="n">
        <v>-1.255171315601087</v>
      </c>
      <c r="U1206" s="6" t="n">
        <v>1.996358505561496</v>
      </c>
      <c r="V1206" s="6" t="n">
        <v>3.791283302298515</v>
      </c>
      <c r="W1206" s="6" t="n">
        <v>4.77041371554994</v>
      </c>
      <c r="X1206" s="6" t="n">
        <v>0.05041676338231873</v>
      </c>
      <c r="Y1206" s="6" t="n">
        <v>-1.500707249143437</v>
      </c>
      <c r="Z1206" s="6" t="n">
        <v>-0.451088414783737</v>
      </c>
      <c r="AA1206" s="6" t="n">
        <v>3.820228537858683</v>
      </c>
      <c r="AB1206" s="6" t="n">
        <v>0.1795637533458881</v>
      </c>
      <c r="AC1206" s="6" t="n">
        <v>1.633548339445922</v>
      </c>
      <c r="AD1206" s="6" t="n">
        <v>0.497502439338268</v>
      </c>
      <c r="AE1206" s="6" t="n">
        <v>-2.220268953993624</v>
      </c>
      <c r="AF1206" s="6" t="n">
        <v>2.00971625264545</v>
      </c>
      <c r="AG1206" s="6" t="n">
        <v>2.056997318254293</v>
      </c>
      <c r="AH1206" s="6" t="n">
        <v>-2.411723353104459</v>
      </c>
      <c r="AI1206" s="6" t="n">
        <v>0.7573417514683533</v>
      </c>
      <c r="AJ1206" s="6" t="n">
        <v>76.296938564789</v>
      </c>
      <c r="AK1206" s="6" t="n">
        <v>0.0522692225360112</v>
      </c>
      <c r="AL1206" s="6" t="n">
        <v>1.024131787417171</v>
      </c>
      <c r="AN1206" s="6" t="n">
        <v>1.355571353577791</v>
      </c>
      <c r="AO1206" s="6" t="n">
        <v>1.355571353577791</v>
      </c>
      <c r="AP1206" s="6" t="n">
        <v>0.1371916547442595</v>
      </c>
      <c r="AQ1206" s="6" t="n">
        <v>0</v>
      </c>
      <c r="AR1206" s="6" t="n">
        <v>0</v>
      </c>
    </row>
    <row r="1207">
      <c r="D1207" t="inlineStr">
        <is>
          <t>Run 895</t>
        </is>
      </c>
      <c r="J1207" s="6" t="n">
        <v>2.188199592681181</v>
      </c>
      <c r="K1207" s="6" t="n">
        <v>-2.498298595089281</v>
      </c>
      <c r="L1207" s="6" t="n">
        <v>-2.698436596914264</v>
      </c>
      <c r="M1207" s="6" t="n">
        <v>1.376500909894794</v>
      </c>
      <c r="N1207" s="6" t="n">
        <v>4.786609035901522</v>
      </c>
      <c r="O1207" s="6" t="n">
        <v>0.9817111070439691</v>
      </c>
      <c r="P1207" s="6" t="n">
        <v>0.4551004620534546</v>
      </c>
      <c r="Q1207" s="6" t="n">
        <v>0.0633312539213991</v>
      </c>
      <c r="R1207" s="6" t="n">
        <v>-0.3287109350436406</v>
      </c>
      <c r="S1207" s="6" t="n">
        <v>0.3848553539178044</v>
      </c>
      <c r="T1207" s="6" t="n">
        <v>-3.018623865422974</v>
      </c>
      <c r="U1207" s="6" t="n">
        <v>0.6638776741909503</v>
      </c>
      <c r="V1207" s="6" t="n">
        <v>-3.378716333998386</v>
      </c>
      <c r="W1207" s="6" t="n">
        <v>2.57121937871156</v>
      </c>
      <c r="X1207" s="6" t="n">
        <v>-2.335441654519728</v>
      </c>
      <c r="Y1207" s="6" t="n">
        <v>1.615108712075508</v>
      </c>
      <c r="Z1207" s="6" t="n">
        <v>-2.152956670803387</v>
      </c>
      <c r="AA1207" s="6" t="n">
        <v>-2.446873634583295</v>
      </c>
      <c r="AB1207" s="6" t="n">
        <v>2.880106734337148</v>
      </c>
      <c r="AC1207" s="6" t="n">
        <v>-2.972686071960031</v>
      </c>
      <c r="AD1207" s="6" t="n">
        <v>1.943207883852735</v>
      </c>
      <c r="AE1207" s="6" t="n">
        <v>0.3405563814209947</v>
      </c>
      <c r="AF1207" s="6" t="n">
        <v>1.967628834993776</v>
      </c>
      <c r="AG1207" s="6" t="n">
        <v>-1.065874995461045</v>
      </c>
      <c r="AH1207" s="6" t="n">
        <v>-2.242220463528115</v>
      </c>
      <c r="AI1207" s="6" t="n">
        <v>1.168334767730522</v>
      </c>
      <c r="AJ1207" s="6" t="n">
        <v>77.19953441005309</v>
      </c>
      <c r="AK1207" s="6" t="n">
        <v>0.08836311285064702</v>
      </c>
      <c r="AL1207" s="6" t="n">
        <v>1.04413025734189</v>
      </c>
      <c r="AN1207" s="6" t="n">
        <v>1.351852510382111</v>
      </c>
      <c r="AO1207" s="6" t="n">
        <v>1.351852510382111</v>
      </c>
      <c r="AP1207" s="6" t="n">
        <v>0.1343231406016722</v>
      </c>
      <c r="AQ1207" s="6" t="n">
        <v>0</v>
      </c>
      <c r="AR1207" s="6" t="n">
        <v>0</v>
      </c>
    </row>
    <row r="1208">
      <c r="D1208" t="inlineStr">
        <is>
          <t>Run 896</t>
        </is>
      </c>
      <c r="J1208" s="6" t="n">
        <v>-2.128082620225997</v>
      </c>
      <c r="K1208" s="6" t="n">
        <v>1.97631017731384</v>
      </c>
      <c r="L1208" s="6" t="n">
        <v>-2.753784084010795</v>
      </c>
      <c r="M1208" s="6" t="n">
        <v>-2.314765568158439</v>
      </c>
      <c r="N1208" s="6" t="n">
        <v>2.348260068483399</v>
      </c>
      <c r="O1208" s="6" t="n">
        <v>-3.270417103538134</v>
      </c>
      <c r="P1208" s="6" t="n">
        <v>3.244377204226204</v>
      </c>
      <c r="Q1208" s="6" t="n">
        <v>0.7209588133471783</v>
      </c>
      <c r="R1208" s="6" t="n">
        <v>1.990937649443413</v>
      </c>
      <c r="S1208" s="6" t="n">
        <v>0.5295648275539496</v>
      </c>
      <c r="T1208" s="6" t="n">
        <v>0.3821664021720111</v>
      </c>
      <c r="U1208" s="6" t="n">
        <v>0.4286008832154252</v>
      </c>
      <c r="V1208" s="6" t="n">
        <v>2.552162021846756</v>
      </c>
      <c r="W1208" s="6" t="n">
        <v>-4.12330318876583</v>
      </c>
      <c r="X1208" s="6" t="n">
        <v>1.817499900203344</v>
      </c>
      <c r="Y1208" s="6" t="n">
        <v>-4.283155876133803</v>
      </c>
      <c r="Z1208" s="6" t="n">
        <v>0.1316463019431371</v>
      </c>
      <c r="AA1208" s="6" t="n">
        <v>0.9431747731097142</v>
      </c>
      <c r="AB1208" s="6" t="n">
        <v>0.2103601129874367</v>
      </c>
      <c r="AC1208" s="6" t="n">
        <v>-1.121583116694957</v>
      </c>
      <c r="AD1208" s="6" t="n">
        <v>-0.4299326554613284</v>
      </c>
      <c r="AE1208" s="6" t="n">
        <v>-1.929913611168824</v>
      </c>
      <c r="AF1208" s="6" t="n">
        <v>-0.1144052992350043</v>
      </c>
      <c r="AG1208" s="6" t="n">
        <v>-1.319837904965499</v>
      </c>
      <c r="AH1208" s="6" t="n">
        <v>2.342335230519959</v>
      </c>
      <c r="AI1208" s="6" t="n">
        <v>3.025229640594946</v>
      </c>
      <c r="AJ1208" s="6" t="n">
        <v>73.77322561326648</v>
      </c>
      <c r="AK1208" s="6" t="n">
        <v>0.1241610432525978</v>
      </c>
      <c r="AL1208" s="6" t="n">
        <v>1.071642082817993</v>
      </c>
      <c r="AN1208" s="6" t="n">
        <v>1.321443655855753</v>
      </c>
      <c r="AO1208" s="6" t="n">
        <v>1.328482491846045</v>
      </c>
      <c r="AP1208" s="6" t="n">
        <v>0.1304988065363805</v>
      </c>
      <c r="AQ1208" s="6" t="n">
        <v>0</v>
      </c>
      <c r="AR1208" s="6" t="n">
        <v>0</v>
      </c>
    </row>
    <row r="1209">
      <c r="D1209" t="inlineStr">
        <is>
          <t>Run 897</t>
        </is>
      </c>
      <c r="J1209" s="6" t="n">
        <v>-0.6820090654646029</v>
      </c>
      <c r="K1209" s="6" t="n">
        <v>5</v>
      </c>
      <c r="L1209" s="6" t="n">
        <v>-1.230161925696644</v>
      </c>
      <c r="M1209" s="6" t="n">
        <v>-1.356072494263465</v>
      </c>
      <c r="N1209" s="6" t="n">
        <v>0.0466012140302724</v>
      </c>
      <c r="O1209" s="6" t="n">
        <v>-1.647238439009245</v>
      </c>
      <c r="P1209" s="6" t="n">
        <v>0.8658166348416521</v>
      </c>
      <c r="Q1209" s="6" t="n">
        <v>-0.05621983042937766</v>
      </c>
      <c r="R1209" s="6" t="n">
        <v>1.849781993583957</v>
      </c>
      <c r="S1209" s="6" t="n">
        <v>0.205865569388736</v>
      </c>
      <c r="T1209" s="6" t="n">
        <v>2.476826692470004</v>
      </c>
      <c r="U1209" s="6" t="n">
        <v>-3.997831124726677</v>
      </c>
      <c r="V1209" s="6" t="n">
        <v>-0.376172103725221</v>
      </c>
      <c r="W1209" s="6" t="n">
        <v>-6.344995046267975</v>
      </c>
      <c r="X1209" s="6" t="n">
        <v>-0.6645995502818325</v>
      </c>
      <c r="Y1209" s="6" t="n">
        <v>-0.7242316865980178</v>
      </c>
      <c r="Z1209" s="6" t="n">
        <v>2.116284363016886</v>
      </c>
      <c r="AA1209" s="6" t="n">
        <v>2.971281901090213</v>
      </c>
      <c r="AB1209" s="6" t="n">
        <v>-3.423709985666776</v>
      </c>
      <c r="AC1209" s="6" t="n">
        <v>0.2473849452203583</v>
      </c>
      <c r="AD1209" s="6" t="n">
        <v>-2.090335118962216</v>
      </c>
      <c r="AE1209" s="6" t="n">
        <v>-0.5966264258953299</v>
      </c>
      <c r="AF1209" s="6" t="n">
        <v>0.8613809540681978</v>
      </c>
      <c r="AG1209" s="6" t="n">
        <v>0.6105780088117686</v>
      </c>
      <c r="AH1209" s="6" t="n">
        <v>-1.707580525532412</v>
      </c>
      <c r="AI1209" s="6" t="n">
        <v>0.3525579021876742</v>
      </c>
      <c r="AJ1209" s="6" t="n">
        <v>82.36107002986606</v>
      </c>
      <c r="AK1209" s="6" t="n">
        <v>0.1144005443302146</v>
      </c>
      <c r="AL1209" s="6" t="n">
        <v>1.060365734817259</v>
      </c>
      <c r="AN1209" s="6" t="n">
        <v>1.341696815567649</v>
      </c>
      <c r="AO1209" s="6" t="n">
        <v>1.344702357072173</v>
      </c>
      <c r="AP1209" s="6" t="n">
        <v>0.1320895949606727</v>
      </c>
      <c r="AQ1209" s="6" t="n">
        <v>0</v>
      </c>
      <c r="AR1209" s="6" t="n">
        <v>0</v>
      </c>
    </row>
    <row r="1210">
      <c r="D1210" t="inlineStr">
        <is>
          <t>Run 898</t>
        </is>
      </c>
      <c r="J1210" s="6" t="n">
        <v>-0.4024733814721912</v>
      </c>
      <c r="K1210" s="6" t="n">
        <v>-0.8662254702269827</v>
      </c>
      <c r="L1210" s="6" t="n">
        <v>2.7780042489132</v>
      </c>
      <c r="M1210" s="6" t="n">
        <v>1.521627392776446</v>
      </c>
      <c r="N1210" s="6" t="n">
        <v>-2.197538051361716</v>
      </c>
      <c r="O1210" s="6" t="n">
        <v>-2.021079257316915</v>
      </c>
      <c r="P1210" s="6" t="n">
        <v>-2.152334549486596</v>
      </c>
      <c r="Q1210" s="6" t="n">
        <v>-2.16984458443281</v>
      </c>
      <c r="R1210" s="6" t="n">
        <v>-0.5442653635081568</v>
      </c>
      <c r="S1210" s="6" t="n">
        <v>3.985640272785735</v>
      </c>
      <c r="T1210" s="6" t="n">
        <v>1.840856471805534</v>
      </c>
      <c r="U1210" s="6" t="n">
        <v>0.9186049612717175</v>
      </c>
      <c r="V1210" s="6" t="n">
        <v>-2.54647112861379</v>
      </c>
      <c r="W1210" s="6" t="n">
        <v>1.647944157618897</v>
      </c>
      <c r="X1210" s="6" t="n">
        <v>-3.445796743950827</v>
      </c>
      <c r="Y1210" s="6" t="n">
        <v>-0.7800942283610666</v>
      </c>
      <c r="Z1210" s="6" t="n">
        <v>-0.7658870152763297</v>
      </c>
      <c r="AA1210" s="6" t="n">
        <v>1.033036406490369</v>
      </c>
      <c r="AB1210" s="6" t="n">
        <v>1.472120064039728</v>
      </c>
      <c r="AC1210" s="6" t="n">
        <v>1.027967492840225</v>
      </c>
      <c r="AD1210" s="6" t="n">
        <v>-2.409984691662259</v>
      </c>
      <c r="AE1210" s="6" t="n">
        <v>1.911176712139206</v>
      </c>
      <c r="AF1210" s="6" t="n">
        <v>1.180113460828531</v>
      </c>
      <c r="AG1210" s="6" t="n">
        <v>-4.534416412430801</v>
      </c>
      <c r="AH1210" s="6" t="n">
        <v>-1.083446592891655</v>
      </c>
      <c r="AI1210" s="6" t="n">
        <v>-2.862820269074917</v>
      </c>
      <c r="AJ1210" s="6" t="n">
        <v>65.8108823175707</v>
      </c>
      <c r="AK1210" s="6" t="n">
        <v>0.1674493893841275</v>
      </c>
      <c r="AL1210" s="6" t="n">
        <v>1.080741440800847</v>
      </c>
      <c r="AN1210" s="6" t="n">
        <v>1.332235992496216</v>
      </c>
      <c r="AO1210" s="6" t="n">
        <v>1.332582797852241</v>
      </c>
      <c r="AP1210" s="6" t="n">
        <v>0.1286760846917586</v>
      </c>
      <c r="AQ1210" s="6" t="n">
        <v>0</v>
      </c>
      <c r="AR1210" s="6" t="n">
        <v>0</v>
      </c>
    </row>
    <row r="1211">
      <c r="D1211" t="inlineStr">
        <is>
          <t>Run 899</t>
        </is>
      </c>
      <c r="J1211" s="6" t="n">
        <v>1.34499428439731</v>
      </c>
      <c r="K1211" s="6" t="n">
        <v>-2.703386651532986</v>
      </c>
      <c r="L1211" s="6" t="n">
        <v>0.2983800721551559</v>
      </c>
      <c r="M1211" s="6" t="n">
        <v>-2.302874365193067</v>
      </c>
      <c r="N1211" s="6" t="n">
        <v>-0.04209102930164658</v>
      </c>
      <c r="O1211" s="6" t="n">
        <v>-2.462787791416544</v>
      </c>
      <c r="P1211" s="6" t="n">
        <v>-2.202944026590259</v>
      </c>
      <c r="Q1211" s="6" t="n">
        <v>-1.964375432022794</v>
      </c>
      <c r="R1211" s="6" t="n">
        <v>3.694715733854236</v>
      </c>
      <c r="S1211" s="6" t="n">
        <v>-1.16847755985163</v>
      </c>
      <c r="T1211" s="6" t="n">
        <v>-3.51599120402915</v>
      </c>
      <c r="U1211" s="6" t="n">
        <v>-1.160277960469253</v>
      </c>
      <c r="V1211" s="6" t="n">
        <v>0.9264562014973643</v>
      </c>
      <c r="W1211" s="6" t="n">
        <v>0.5941573345888806</v>
      </c>
      <c r="X1211" s="6" t="n">
        <v>0.2251228656807585</v>
      </c>
      <c r="Y1211" s="6" t="n">
        <v>-0.1141542210264941</v>
      </c>
      <c r="Z1211" s="6" t="n">
        <v>-3.924044247281098</v>
      </c>
      <c r="AA1211" s="6" t="n">
        <v>-3.431136679987461</v>
      </c>
      <c r="AB1211" s="6" t="n">
        <v>-0.5644711688527866</v>
      </c>
      <c r="AC1211" s="6" t="n">
        <v>-0.3844411625673488</v>
      </c>
      <c r="AD1211" s="6" t="n">
        <v>-3.751849330554349</v>
      </c>
      <c r="AE1211" s="6" t="n">
        <v>-0.2312985032601168</v>
      </c>
      <c r="AF1211" s="6" t="n">
        <v>-0.7934572791483705</v>
      </c>
      <c r="AG1211" s="6" t="n">
        <v>1.170774740849947</v>
      </c>
      <c r="AH1211" s="6" t="n">
        <v>0.1786279022004316</v>
      </c>
      <c r="AI1211" s="6" t="n">
        <v>-4.756632872421957</v>
      </c>
      <c r="AJ1211" s="6" t="n">
        <v>76.96090096938286</v>
      </c>
      <c r="AK1211" s="6" t="n">
        <v>0.1199364321085594</v>
      </c>
      <c r="AL1211" s="6" t="n">
        <v>1.032715592178128</v>
      </c>
      <c r="AN1211" s="6" t="n">
        <v>1.334917991530693</v>
      </c>
      <c r="AO1211" s="6" t="n">
        <v>1.343167640655722</v>
      </c>
      <c r="AP1211" s="6" t="n">
        <v>0.1343905102595199</v>
      </c>
      <c r="AQ1211" s="6" t="n">
        <v>0</v>
      </c>
      <c r="AR1211" s="6" t="n">
        <v>0</v>
      </c>
    </row>
    <row r="1212">
      <c r="D1212" t="inlineStr">
        <is>
          <t>Run 900</t>
        </is>
      </c>
      <c r="J1212" s="6" t="n">
        <v>2.304987776188663</v>
      </c>
      <c r="K1212" s="6" t="n">
        <v>-1.660139160824187</v>
      </c>
      <c r="L1212" s="6" t="n">
        <v>-3.199263548310982</v>
      </c>
      <c r="M1212" s="6" t="n">
        <v>3.558006081445359</v>
      </c>
      <c r="N1212" s="6" t="n">
        <v>-3.508538514720214</v>
      </c>
      <c r="O1212" s="6" t="n">
        <v>-0.9518464842903599</v>
      </c>
      <c r="P1212" s="6" t="n">
        <v>-0.2653207082634761</v>
      </c>
      <c r="Q1212" s="6" t="n">
        <v>0.8614293167228337</v>
      </c>
      <c r="R1212" s="6" t="n">
        <v>0.9121480341395451</v>
      </c>
      <c r="S1212" s="6" t="n">
        <v>-4.374699319996175</v>
      </c>
      <c r="T1212" s="6" t="n">
        <v>1.459140303767914</v>
      </c>
      <c r="U1212" s="6" t="n">
        <v>2.957255583354803</v>
      </c>
      <c r="V1212" s="6" t="n">
        <v>-0.0472712661292212</v>
      </c>
      <c r="W1212" s="6" t="n">
        <v>4.307306967553006</v>
      </c>
      <c r="X1212" s="6" t="n">
        <v>-1.558340705707599</v>
      </c>
      <c r="Y1212" s="6" t="n">
        <v>1.192469346084802</v>
      </c>
      <c r="Z1212" s="6" t="n">
        <v>-3.913586957618101</v>
      </c>
      <c r="AA1212" s="6" t="n">
        <v>1.555654687975687</v>
      </c>
      <c r="AB1212" s="6" t="n">
        <v>2.384934451965019</v>
      </c>
      <c r="AC1212" s="6" t="n">
        <v>-1.639053181351519</v>
      </c>
      <c r="AD1212" s="6" t="n">
        <v>-4.9568450624861</v>
      </c>
      <c r="AE1212" s="6" t="n">
        <v>-1.20155355093605</v>
      </c>
      <c r="AF1212" s="6" t="n">
        <v>1.631927545704653</v>
      </c>
      <c r="AG1212" s="6" t="n">
        <v>-0.6031290977814255</v>
      </c>
      <c r="AH1212" s="6" t="n">
        <v>2.871948146534574</v>
      </c>
      <c r="AI1212" s="6" t="n">
        <v>1.654342615954623</v>
      </c>
      <c r="AJ1212" s="6" t="n">
        <v>61.6679188270084</v>
      </c>
      <c r="AK1212" s="6" t="n">
        <v>0.102273461140079</v>
      </c>
      <c r="AL1212" s="6" t="n">
        <v>1.054462589325746</v>
      </c>
      <c r="AN1212" s="6" t="n">
        <v>1.338274309974288</v>
      </c>
      <c r="AO1212" s="6" t="n">
        <v>1.340052549181671</v>
      </c>
      <c r="AP1212" s="6" t="n">
        <v>0.1318280294235568</v>
      </c>
      <c r="AQ1212" s="6" t="n">
        <v>0</v>
      </c>
      <c r="AR1212" s="6" t="n">
        <v>0</v>
      </c>
    </row>
    <row r="1213">
      <c r="D1213" t="inlineStr">
        <is>
          <t>Run 901</t>
        </is>
      </c>
      <c r="J1213" s="6" t="n">
        <v>0.3189478834740277</v>
      </c>
      <c r="K1213" s="6" t="n">
        <v>-2.481042322617417</v>
      </c>
      <c r="L1213" s="6" t="n">
        <v>-2.4173991983712</v>
      </c>
      <c r="M1213" s="6" t="n">
        <v>1.116566380268127</v>
      </c>
      <c r="N1213" s="6" t="n">
        <v>-0.4306779615904461</v>
      </c>
      <c r="O1213" s="6" t="n">
        <v>0.1412525831951316</v>
      </c>
      <c r="P1213" s="6" t="n">
        <v>-1.047358132465998</v>
      </c>
      <c r="Q1213" s="6" t="n">
        <v>0.7734403848106151</v>
      </c>
      <c r="R1213" s="6" t="n">
        <v>-0.5610913504943714</v>
      </c>
      <c r="S1213" s="6" t="n">
        <v>-2.36221680966102</v>
      </c>
      <c r="T1213" s="6" t="n">
        <v>-1.115119040041949</v>
      </c>
      <c r="U1213" s="6" t="n">
        <v>-2.653201223856947</v>
      </c>
      <c r="V1213" s="6" t="n">
        <v>1.114215044712306</v>
      </c>
      <c r="W1213" s="6" t="n">
        <v>-0.8094608439307273</v>
      </c>
      <c r="X1213" s="6" t="n">
        <v>2.388776415468558</v>
      </c>
      <c r="Y1213" s="6" t="n">
        <v>1.397661241825621</v>
      </c>
      <c r="Z1213" s="6" t="n">
        <v>-2.045914896124722</v>
      </c>
      <c r="AA1213" s="6" t="n">
        <v>2.186911618167702</v>
      </c>
      <c r="AB1213" s="6" t="n">
        <v>-2.822644126401427</v>
      </c>
      <c r="AC1213" s="6" t="n">
        <v>0.4777224133931124</v>
      </c>
      <c r="AD1213" s="6" t="n">
        <v>-2.623608238901661</v>
      </c>
      <c r="AE1213" s="6" t="n">
        <v>0.5824238280497568</v>
      </c>
      <c r="AF1213" s="6" t="n">
        <v>2.2545626886634</v>
      </c>
      <c r="AG1213" s="6" t="n">
        <v>2.179982155825866</v>
      </c>
      <c r="AH1213" s="6" t="n">
        <v>0.3831846494665956</v>
      </c>
      <c r="AI1213" s="6" t="n">
        <v>-2.713624222687584</v>
      </c>
      <c r="AJ1213" s="6" t="n">
        <v>70.3674468196114</v>
      </c>
      <c r="AK1213" s="6" t="n">
        <v>0.1500331866053567</v>
      </c>
      <c r="AL1213" s="6" t="n">
        <v>1.065731915916281</v>
      </c>
      <c r="AN1213" s="6" t="n">
        <v>1.33778870353849</v>
      </c>
      <c r="AO1213" s="6" t="n">
        <v>1.337804819356101</v>
      </c>
      <c r="AP1213" s="6" t="n">
        <v>0.1306326223974823</v>
      </c>
      <c r="AQ1213" s="6" t="n">
        <v>0</v>
      </c>
      <c r="AR1213" s="6" t="n">
        <v>0</v>
      </c>
    </row>
    <row r="1214">
      <c r="D1214" t="inlineStr">
        <is>
          <t>Run 902</t>
        </is>
      </c>
      <c r="J1214" s="6" t="n">
        <v>0.5588817484489118</v>
      </c>
      <c r="K1214" s="6" t="n">
        <v>-0.2320017025258176</v>
      </c>
      <c r="L1214" s="6" t="n">
        <v>-3.788108705401274</v>
      </c>
      <c r="M1214" s="6" t="n">
        <v>3.086613837973132</v>
      </c>
      <c r="N1214" s="6" t="n">
        <v>1.368711384104114</v>
      </c>
      <c r="O1214" s="6" t="n">
        <v>-0.09883829696279202</v>
      </c>
      <c r="P1214" s="6" t="n">
        <v>-2.144249814287394</v>
      </c>
      <c r="Q1214" s="6" t="n">
        <v>2.333997048670244</v>
      </c>
      <c r="R1214" s="6" t="n">
        <v>-0.6129365727476945</v>
      </c>
      <c r="S1214" s="6" t="n">
        <v>1.690311105480457</v>
      </c>
      <c r="T1214" s="6" t="n">
        <v>-1.148505671085086</v>
      </c>
      <c r="U1214" s="6" t="n">
        <v>1.378060653975123</v>
      </c>
      <c r="V1214" s="6" t="n">
        <v>0.4197432505254374</v>
      </c>
      <c r="W1214" s="6" t="n">
        <v>-1.292590506640966</v>
      </c>
      <c r="X1214" s="6" t="n">
        <v>-3.039911101328374</v>
      </c>
      <c r="Y1214" s="6" t="n">
        <v>-0.2835571234783439</v>
      </c>
      <c r="Z1214" s="6" t="n">
        <v>-0.8905955056120872</v>
      </c>
      <c r="AA1214" s="6" t="n">
        <v>-0.7598383053910999</v>
      </c>
      <c r="AB1214" s="6" t="n">
        <v>-1.501119132284532</v>
      </c>
      <c r="AC1214" s="6" t="n">
        <v>-1.183894635395994</v>
      </c>
      <c r="AD1214" s="6" t="n">
        <v>2.069434331765517</v>
      </c>
      <c r="AE1214" s="6" t="n">
        <v>-4.25786484614546</v>
      </c>
      <c r="AF1214" s="6" t="n">
        <v>1.008791790404907</v>
      </c>
      <c r="AG1214" s="6" t="n">
        <v>1.072819286202603</v>
      </c>
      <c r="AH1214" s="6" t="n">
        <v>0.8593884226953988</v>
      </c>
      <c r="AI1214" s="6" t="n">
        <v>-2.275119502910812</v>
      </c>
      <c r="AJ1214" s="6" t="n">
        <v>71.87549999791943</v>
      </c>
      <c r="AK1214" s="6" t="n">
        <v>0.1207288621922836</v>
      </c>
      <c r="AL1214" s="6" t="n">
        <v>1.041139976975076</v>
      </c>
      <c r="AN1214" s="6" t="n">
        <v>1.346934317538815</v>
      </c>
      <c r="AO1214" s="6" t="n">
        <v>1.347482699108692</v>
      </c>
      <c r="AP1214" s="6" t="n">
        <v>0.1333780600963331</v>
      </c>
      <c r="AQ1214" s="6" t="n">
        <v>0</v>
      </c>
      <c r="AR1214" s="6" t="n">
        <v>0</v>
      </c>
    </row>
    <row r="1215">
      <c r="D1215" t="inlineStr">
        <is>
          <t>Run 903</t>
        </is>
      </c>
      <c r="J1215" s="6" t="n">
        <v>3.762832429077708</v>
      </c>
      <c r="K1215" s="6" t="n">
        <v>-0.1216523871402165</v>
      </c>
      <c r="L1215" s="6" t="n">
        <v>2.387390344268598</v>
      </c>
      <c r="M1215" s="6" t="n">
        <v>-0.05522398092653191</v>
      </c>
      <c r="N1215" s="6" t="n">
        <v>-0.7175254770435743</v>
      </c>
      <c r="O1215" s="6" t="n">
        <v>-1.958645803319147</v>
      </c>
      <c r="P1215" s="6" t="n">
        <v>-0.237780160820379</v>
      </c>
      <c r="Q1215" s="6" t="n">
        <v>1.383373572534659</v>
      </c>
      <c r="R1215" s="6" t="n">
        <v>0.5396982640985768</v>
      </c>
      <c r="S1215" s="6" t="n">
        <v>1.19974834491965</v>
      </c>
      <c r="T1215" s="6" t="n">
        <v>0.3238420136348531</v>
      </c>
      <c r="U1215" s="6" t="n">
        <v>0.5992625245804615</v>
      </c>
      <c r="V1215" s="6" t="n">
        <v>-2.558656221639533</v>
      </c>
      <c r="W1215" s="6" t="n">
        <v>-0.7579587608148782</v>
      </c>
      <c r="X1215" s="6" t="n">
        <v>2.260270636781955</v>
      </c>
      <c r="Y1215" s="6" t="n">
        <v>3.342171933445542</v>
      </c>
      <c r="Z1215" s="6" t="n">
        <v>1.434493252817181</v>
      </c>
      <c r="AA1215" s="6" t="n">
        <v>-1.702465789767351</v>
      </c>
      <c r="AB1215" s="6" t="n">
        <v>2.193891405598595</v>
      </c>
      <c r="AC1215" s="6" t="n">
        <v>-0.2019655907247364</v>
      </c>
      <c r="AD1215" s="6" t="n">
        <v>0.308153251571992</v>
      </c>
      <c r="AE1215" s="6" t="n">
        <v>2.987388737519584</v>
      </c>
      <c r="AF1215" s="6" t="n">
        <v>-1.276108502283727</v>
      </c>
      <c r="AG1215" s="6" t="n">
        <v>2.138599250722741</v>
      </c>
      <c r="AH1215" s="6" t="n">
        <v>0.8792666743651807</v>
      </c>
      <c r="AI1215" s="6" t="n">
        <v>1.41368262563398</v>
      </c>
      <c r="AJ1215" s="6" t="n">
        <v>80.35108344849377</v>
      </c>
      <c r="AK1215" s="6" t="n">
        <v>0.06927766831546506</v>
      </c>
      <c r="AL1215" s="6" t="n">
        <v>1.087749283061287</v>
      </c>
      <c r="AN1215" s="6" t="n">
        <v>1.343627471079776</v>
      </c>
      <c r="AO1215" s="6" t="n">
        <v>1.344267419283484</v>
      </c>
      <c r="AP1215" s="6" t="n">
        <v>0.1317602163727888</v>
      </c>
      <c r="AQ1215" s="6" t="n">
        <v>0</v>
      </c>
      <c r="AR1215" s="6" t="n">
        <v>0</v>
      </c>
    </row>
    <row r="1216">
      <c r="D1216" t="inlineStr">
        <is>
          <t>Run 904</t>
        </is>
      </c>
      <c r="J1216" s="6" t="n">
        <v>-0.4889015847325284</v>
      </c>
      <c r="K1216" s="6" t="n">
        <v>0.3180973308795096</v>
      </c>
      <c r="L1216" s="6" t="n">
        <v>0.311665479900392</v>
      </c>
      <c r="M1216" s="6" t="n">
        <v>-2.099007243244706</v>
      </c>
      <c r="N1216" s="6" t="n">
        <v>-1.429294488181844</v>
      </c>
      <c r="O1216" s="6" t="n">
        <v>-0.3608290645288182</v>
      </c>
      <c r="P1216" s="6" t="n">
        <v>1.445270676074652</v>
      </c>
      <c r="Q1216" s="6" t="n">
        <v>-0.582794741926475</v>
      </c>
      <c r="R1216" s="6" t="n">
        <v>1.073309389950384</v>
      </c>
      <c r="S1216" s="6" t="n">
        <v>0.7582246778337652</v>
      </c>
      <c r="T1216" s="6" t="n">
        <v>-0.4604399938566344</v>
      </c>
      <c r="U1216" s="6" t="n">
        <v>-2.427305015223319</v>
      </c>
      <c r="V1216" s="6" t="n">
        <v>-1.862573733481307</v>
      </c>
      <c r="W1216" s="6" t="n">
        <v>-0.9786084628635232</v>
      </c>
      <c r="X1216" s="6" t="n">
        <v>1.837394856653845</v>
      </c>
      <c r="Y1216" s="6" t="n">
        <v>0.4674409238627751</v>
      </c>
      <c r="Z1216" s="6" t="n">
        <v>-2.881866082295205</v>
      </c>
      <c r="AA1216" s="6" t="n">
        <v>2.093024419816884</v>
      </c>
      <c r="AB1216" s="6" t="n">
        <v>-0.7709353578179459</v>
      </c>
      <c r="AC1216" s="6" t="n">
        <v>-1.90230391737532</v>
      </c>
      <c r="AD1216" s="6" t="n">
        <v>0.5469750096224482</v>
      </c>
      <c r="AE1216" s="6" t="n">
        <v>-2.213984167014205</v>
      </c>
      <c r="AF1216" s="6" t="n">
        <v>-0.03537440496737765</v>
      </c>
      <c r="AG1216" s="6" t="n">
        <v>0.8517984699705172</v>
      </c>
      <c r="AH1216" s="6" t="n">
        <v>-0.7143272741251658</v>
      </c>
      <c r="AI1216" s="6" t="n">
        <v>-2.986355610795814</v>
      </c>
      <c r="AJ1216" s="6" t="n">
        <v>75.13851580667561</v>
      </c>
      <c r="AK1216" s="6" t="n">
        <v>0.1196367268938634</v>
      </c>
      <c r="AL1216" s="6" t="n">
        <v>1.060177156534545</v>
      </c>
      <c r="AN1216" s="6" t="n">
        <v>1.328465663475653</v>
      </c>
      <c r="AO1216" s="6" t="n">
        <v>1.334066558051802</v>
      </c>
      <c r="AP1216" s="6" t="n">
        <v>0.1315664521709876</v>
      </c>
      <c r="AQ1216" s="6" t="n">
        <v>0</v>
      </c>
      <c r="AR1216" s="6" t="n">
        <v>0</v>
      </c>
    </row>
    <row r="1217">
      <c r="D1217" t="inlineStr">
        <is>
          <t>Run 905</t>
        </is>
      </c>
      <c r="J1217" s="6" t="n">
        <v>-1.013158045939998</v>
      </c>
      <c r="K1217" s="6" t="n">
        <v>-1.188845524692924</v>
      </c>
      <c r="L1217" s="6" t="n">
        <v>-2.725060738515823</v>
      </c>
      <c r="M1217" s="6" t="n">
        <v>-2.328660557070572</v>
      </c>
      <c r="N1217" s="6" t="n">
        <v>2.361100343634631</v>
      </c>
      <c r="O1217" s="6" t="n">
        <v>-0.3941331199073282</v>
      </c>
      <c r="P1217" s="6" t="n">
        <v>-1.628123263448128</v>
      </c>
      <c r="Q1217" s="6" t="n">
        <v>0.4852716253638306</v>
      </c>
      <c r="R1217" s="6" t="n">
        <v>0.8831348091396209</v>
      </c>
      <c r="S1217" s="6" t="n">
        <v>-2.444466581969065</v>
      </c>
      <c r="T1217" s="6" t="n">
        <v>-1.889420249685326</v>
      </c>
      <c r="U1217" s="6" t="n">
        <v>-3.249868260665466</v>
      </c>
      <c r="V1217" s="6" t="n">
        <v>4.731588651268215</v>
      </c>
      <c r="W1217" s="6" t="n">
        <v>-4.285596275493367</v>
      </c>
      <c r="X1217" s="6" t="n">
        <v>-4.165321521247016</v>
      </c>
      <c r="Y1217" s="6" t="n">
        <v>2.682324579883378</v>
      </c>
      <c r="Z1217" s="6" t="n">
        <v>-0.7179636935155925</v>
      </c>
      <c r="AA1217" s="6" t="n">
        <v>0.9652637733181328</v>
      </c>
      <c r="AB1217" s="6" t="n">
        <v>-1.471095226676734</v>
      </c>
      <c r="AC1217" s="6" t="n">
        <v>-0.4973172412190566</v>
      </c>
      <c r="AD1217" s="6" t="n">
        <v>0.5879015999416036</v>
      </c>
      <c r="AE1217" s="6" t="n">
        <v>-0.5115126503881706</v>
      </c>
      <c r="AF1217" s="6" t="n">
        <v>-3.088043400841856</v>
      </c>
      <c r="AG1217" s="6" t="n">
        <v>2.606840143943971</v>
      </c>
      <c r="AH1217" s="6" t="n">
        <v>3.546572625041429</v>
      </c>
      <c r="AI1217" s="6" t="n">
        <v>-0.8075050814862358</v>
      </c>
      <c r="AJ1217" s="6" t="n">
        <v>78.04787066068121</v>
      </c>
      <c r="AK1217" s="6" t="n">
        <v>0.1020881068329847</v>
      </c>
      <c r="AL1217" s="6" t="n">
        <v>1.055757221763074</v>
      </c>
      <c r="AN1217" s="6" t="n">
        <v>1.328641910188516</v>
      </c>
      <c r="AO1217" s="6" t="n">
        <v>1.336184744319344</v>
      </c>
      <c r="AP1217" s="6" t="n">
        <v>0.1327636945834895</v>
      </c>
      <c r="AQ1217" s="6" t="n">
        <v>0</v>
      </c>
      <c r="AR1217" s="6" t="n">
        <v>0</v>
      </c>
    </row>
    <row r="1218">
      <c r="D1218" t="inlineStr">
        <is>
          <t>Run 906</t>
        </is>
      </c>
      <c r="J1218" s="6" t="n">
        <v>2.708758956464905</v>
      </c>
      <c r="K1218" s="6" t="n">
        <v>2.201637575073936</v>
      </c>
      <c r="L1218" s="6" t="n">
        <v>2.780034321206962</v>
      </c>
      <c r="M1218" s="6" t="n">
        <v>-2.717440465465073</v>
      </c>
      <c r="N1218" s="6" t="n">
        <v>-0.6732011417625247</v>
      </c>
      <c r="O1218" s="6" t="n">
        <v>2.184160225978484</v>
      </c>
      <c r="P1218" s="6" t="n">
        <v>0.3272245700277182</v>
      </c>
      <c r="Q1218" s="6" t="n">
        <v>-2.023649224245518</v>
      </c>
      <c r="R1218" s="6" t="n">
        <v>4.909770347586927</v>
      </c>
      <c r="S1218" s="6" t="n">
        <v>2.841457295365216</v>
      </c>
      <c r="T1218" s="6" t="n">
        <v>0.3251095502347469</v>
      </c>
      <c r="U1218" s="6" t="n">
        <v>1.460257162998897</v>
      </c>
      <c r="V1218" s="6" t="n">
        <v>3.15494938604143</v>
      </c>
      <c r="W1218" s="6" t="n">
        <v>-3.09161817814967</v>
      </c>
      <c r="X1218" s="6" t="n">
        <v>-3.197366455558478</v>
      </c>
      <c r="Y1218" s="6" t="n">
        <v>-2.54071318433176</v>
      </c>
      <c r="Z1218" s="6" t="n">
        <v>-0.4794055111919838</v>
      </c>
      <c r="AA1218" s="6" t="n">
        <v>-0.2999849312622034</v>
      </c>
      <c r="AB1218" s="6" t="n">
        <v>3.336646564303389</v>
      </c>
      <c r="AC1218" s="6" t="n">
        <v>-1.530021888124805</v>
      </c>
      <c r="AD1218" s="6" t="n">
        <v>2.191156323168659</v>
      </c>
      <c r="AE1218" s="6" t="n">
        <v>-1.867422616357425</v>
      </c>
      <c r="AF1218" s="6" t="n">
        <v>-0.5260595951625048</v>
      </c>
      <c r="AG1218" s="6" t="n">
        <v>-0.7563670190998162</v>
      </c>
      <c r="AH1218" s="6" t="n">
        <v>-0.7529792435159235</v>
      </c>
      <c r="AI1218" s="6" t="n">
        <v>0.6008322567708571</v>
      </c>
      <c r="AJ1218" s="6" t="n">
        <v>74.78423609956626</v>
      </c>
      <c r="AK1218" s="6" t="n">
        <v>0.204636893487069</v>
      </c>
      <c r="AL1218" s="6" t="n">
        <v>1.043776127985786</v>
      </c>
      <c r="AN1218" s="6" t="n">
        <v>1.31871125432872</v>
      </c>
      <c r="AO1218" s="6" t="n">
        <v>1.326101620337765</v>
      </c>
      <c r="AP1218" s="6" t="n">
        <v>0.13053623830784</v>
      </c>
      <c r="AQ1218" s="6" t="n">
        <v>0</v>
      </c>
      <c r="AR1218" s="6" t="n">
        <v>0</v>
      </c>
    </row>
    <row r="1219">
      <c r="D1219" t="inlineStr">
        <is>
          <t>Run 907</t>
        </is>
      </c>
      <c r="J1219" s="6" t="n">
        <v>-0.6697775470373165</v>
      </c>
      <c r="K1219" s="6" t="n">
        <v>-0.7819565574949875</v>
      </c>
      <c r="L1219" s="6" t="n">
        <v>-0.7246977109852863</v>
      </c>
      <c r="M1219" s="6" t="n">
        <v>-1.527535398332857</v>
      </c>
      <c r="N1219" s="6" t="n">
        <v>-0.2582148006612414</v>
      </c>
      <c r="O1219" s="6" t="n">
        <v>0.08957857318761134</v>
      </c>
      <c r="P1219" s="6" t="n">
        <v>-4.349262367774418</v>
      </c>
      <c r="Q1219" s="6" t="n">
        <v>-0.723530008761593</v>
      </c>
      <c r="R1219" s="6" t="n">
        <v>0.782860751310997</v>
      </c>
      <c r="S1219" s="6" t="n">
        <v>2.489586096973679</v>
      </c>
      <c r="T1219" s="6" t="n">
        <v>0.903502845051961</v>
      </c>
      <c r="U1219" s="6" t="n">
        <v>1.376232155275388</v>
      </c>
      <c r="V1219" s="6" t="n">
        <v>-0.4432322585638545</v>
      </c>
      <c r="W1219" s="6" t="n">
        <v>0.4025831929853809</v>
      </c>
      <c r="X1219" s="6" t="n">
        <v>1.160181939840474</v>
      </c>
      <c r="Y1219" s="6" t="n">
        <v>-0.2321547474354999</v>
      </c>
      <c r="Z1219" s="6" t="n">
        <v>1.543633616694657</v>
      </c>
      <c r="AA1219" s="6" t="n">
        <v>-0.8449691703257444</v>
      </c>
      <c r="AB1219" s="6" t="n">
        <v>-1.566688080977917</v>
      </c>
      <c r="AC1219" s="6" t="n">
        <v>0.2642866257557203</v>
      </c>
      <c r="AD1219" s="6" t="n">
        <v>-2.87365581660071</v>
      </c>
      <c r="AE1219" s="6" t="n">
        <v>4.675090651335431</v>
      </c>
      <c r="AF1219" s="6" t="n">
        <v>-1.662553683563696</v>
      </c>
      <c r="AG1219" s="6" t="n">
        <v>-0.2865006213111684</v>
      </c>
      <c r="AH1219" s="6" t="n">
        <v>4.972983875926717</v>
      </c>
      <c r="AI1219" s="6" t="n">
        <v>1.26430934038809</v>
      </c>
      <c r="AJ1219" s="6" t="n">
        <v>75.26827437341376</v>
      </c>
      <c r="AK1219" s="6" t="n">
        <v>0.1379227041030214</v>
      </c>
      <c r="AL1219" s="6" t="n">
        <v>1.060355412433743</v>
      </c>
      <c r="AN1219" s="6" t="n">
        <v>1.335367158659099</v>
      </c>
      <c r="AO1219" s="6" t="n">
        <v>1.339044326538977</v>
      </c>
      <c r="AP1219" s="6" t="n">
        <v>0.1312134087829196</v>
      </c>
      <c r="AQ1219" s="6" t="n">
        <v>0</v>
      </c>
      <c r="AR1219" s="6" t="n">
        <v>0</v>
      </c>
    </row>
    <row r="1220">
      <c r="D1220" t="inlineStr">
        <is>
          <t>Run 908</t>
        </is>
      </c>
      <c r="J1220" s="6" t="n">
        <v>-0.03604675132129954</v>
      </c>
      <c r="K1220" s="6" t="n">
        <v>0.9134999121417688</v>
      </c>
      <c r="L1220" s="6" t="n">
        <v>0.8889377530171735</v>
      </c>
      <c r="M1220" s="6" t="n">
        <v>0.6810845122042759</v>
      </c>
      <c r="N1220" s="6" t="n">
        <v>1.74488048991245</v>
      </c>
      <c r="O1220" s="6" t="n">
        <v>-0.7365647857725041</v>
      </c>
      <c r="P1220" s="6" t="n">
        <v>-1.496506107322492</v>
      </c>
      <c r="Q1220" s="6" t="n">
        <v>-0.6853934879690129</v>
      </c>
      <c r="R1220" s="6" t="n">
        <v>-2.972843357139938</v>
      </c>
      <c r="S1220" s="6" t="n">
        <v>-1.039405018467481</v>
      </c>
      <c r="T1220" s="6" t="n">
        <v>-0.2430891502736618</v>
      </c>
      <c r="U1220" s="6" t="n">
        <v>3.085351698359804</v>
      </c>
      <c r="V1220" s="6" t="n">
        <v>0.6382786062987057</v>
      </c>
      <c r="W1220" s="6" t="n">
        <v>1.952608664743749</v>
      </c>
      <c r="X1220" s="6" t="n">
        <v>-0.6590479455997191</v>
      </c>
      <c r="Y1220" s="6" t="n">
        <v>-0.9767209826552672</v>
      </c>
      <c r="Z1220" s="6" t="n">
        <v>0.06021793820726459</v>
      </c>
      <c r="AA1220" s="6" t="n">
        <v>0.3845102625469847</v>
      </c>
      <c r="AB1220" s="6" t="n">
        <v>1.16489685926482</v>
      </c>
      <c r="AC1220" s="6" t="n">
        <v>0.5512475365456667</v>
      </c>
      <c r="AD1220" s="6" t="n">
        <v>-0.2632459360951435</v>
      </c>
      <c r="AE1220" s="6" t="n">
        <v>0.09896134163196384</v>
      </c>
      <c r="AF1220" s="6" t="n">
        <v>3.441163806349917</v>
      </c>
      <c r="AG1220" s="6" t="n">
        <v>0.6323345112447408</v>
      </c>
      <c r="AH1220" s="6" t="n">
        <v>2.274738789774377</v>
      </c>
      <c r="AI1220" s="6" t="n">
        <v>2.756310861116543</v>
      </c>
      <c r="AJ1220" s="6" t="n">
        <v>76.41996381908402</v>
      </c>
      <c r="AK1220" s="6" t="n">
        <v>0.1263159534337356</v>
      </c>
      <c r="AL1220" s="6" t="n">
        <v>1.002693122227035</v>
      </c>
      <c r="AN1220" s="6" t="n">
        <v>1.357995864765836</v>
      </c>
      <c r="AO1220" s="6" t="n">
        <v>1.357995864765836</v>
      </c>
      <c r="AP1220" s="6" t="n">
        <v>0.1385640212625963</v>
      </c>
      <c r="AQ1220" s="6" t="n">
        <v>0</v>
      </c>
      <c r="AR1220" s="6" t="n">
        <v>0</v>
      </c>
    </row>
    <row r="1221">
      <c r="D1221" t="inlineStr">
        <is>
          <t>Run 909</t>
        </is>
      </c>
      <c r="J1221" s="6" t="n">
        <v>-0.6106789145972875</v>
      </c>
      <c r="K1221" s="6" t="n">
        <v>1.411689917455844</v>
      </c>
      <c r="L1221" s="6" t="n">
        <v>2.937280433315594</v>
      </c>
      <c r="M1221" s="6" t="n">
        <v>-0.9165168662414697</v>
      </c>
      <c r="N1221" s="6" t="n">
        <v>4.598936811553414</v>
      </c>
      <c r="O1221" s="6" t="n">
        <v>1.783929713994778</v>
      </c>
      <c r="P1221" s="6" t="n">
        <v>-0.04054861652049113</v>
      </c>
      <c r="Q1221" s="6" t="n">
        <v>2.342423379288698</v>
      </c>
      <c r="R1221" s="6" t="n">
        <v>-0.9162162412019952</v>
      </c>
      <c r="S1221" s="6" t="n">
        <v>-0.8128211370521878</v>
      </c>
      <c r="T1221" s="6" t="n">
        <v>-0.01628333792359839</v>
      </c>
      <c r="U1221" s="6" t="n">
        <v>0.2547112778022516</v>
      </c>
      <c r="V1221" s="6" t="n">
        <v>-0.6797310721447003</v>
      </c>
      <c r="W1221" s="6" t="n">
        <v>2.112682662034076</v>
      </c>
      <c r="X1221" s="6" t="n">
        <v>-0.5481397265285016</v>
      </c>
      <c r="Y1221" s="6" t="n">
        <v>1.122929897678781</v>
      </c>
      <c r="Z1221" s="6" t="n">
        <v>-1.153716777690622</v>
      </c>
      <c r="AA1221" s="6" t="n">
        <v>0.3547482065035819</v>
      </c>
      <c r="AB1221" s="6" t="n">
        <v>-0.6475605653101308</v>
      </c>
      <c r="AC1221" s="6" t="n">
        <v>2.758405196682217</v>
      </c>
      <c r="AD1221" s="6" t="n">
        <v>-1.051610713277612</v>
      </c>
      <c r="AE1221" s="6" t="n">
        <v>-0.04314691378218152</v>
      </c>
      <c r="AF1221" s="6" t="n">
        <v>1.232384965833092</v>
      </c>
      <c r="AG1221" s="6" t="n">
        <v>-0.4594368031703819</v>
      </c>
      <c r="AH1221" s="6" t="n">
        <v>-0.1633965231492369</v>
      </c>
      <c r="AI1221" s="6" t="n">
        <v>-6.164013281733291</v>
      </c>
      <c r="AJ1221" s="6" t="n">
        <v>76.84806345507505</v>
      </c>
      <c r="AK1221" s="6" t="n">
        <v>0.05458898773323402</v>
      </c>
      <c r="AL1221" s="6" t="n">
        <v>1.019984414620572</v>
      </c>
      <c r="AN1221" s="6" t="n">
        <v>1.35642367181831</v>
      </c>
      <c r="AO1221" s="6" t="n">
        <v>1.35642367181831</v>
      </c>
      <c r="AP1221" s="6" t="n">
        <v>0.1378623843818298</v>
      </c>
      <c r="AQ1221" s="6" t="n">
        <v>0</v>
      </c>
      <c r="AR1221" s="6" t="n">
        <v>0</v>
      </c>
    </row>
    <row r="1222">
      <c r="D1222" t="inlineStr">
        <is>
          <t>Run 910</t>
        </is>
      </c>
      <c r="J1222" s="6" t="n">
        <v>2.2860097550956</v>
      </c>
      <c r="K1222" s="6" t="n">
        <v>-0.9450278019762719</v>
      </c>
      <c r="L1222" s="6" t="n">
        <v>1.899295930193465</v>
      </c>
      <c r="M1222" s="6" t="n">
        <v>-2.929579604608609</v>
      </c>
      <c r="N1222" s="6" t="n">
        <v>1.679372140664708</v>
      </c>
      <c r="O1222" s="6" t="n">
        <v>2.103005394965889</v>
      </c>
      <c r="P1222" s="6" t="n">
        <v>2.137469312934254</v>
      </c>
      <c r="Q1222" s="6" t="n">
        <v>-3.778962298465775</v>
      </c>
      <c r="R1222" s="6" t="n">
        <v>-0.6502548286020398</v>
      </c>
      <c r="S1222" s="6" t="n">
        <v>4.211908793885163</v>
      </c>
      <c r="T1222" s="6" t="n">
        <v>-0.4102987646582441</v>
      </c>
      <c r="U1222" s="6" t="n">
        <v>-1.352303492495325</v>
      </c>
      <c r="V1222" s="6" t="n">
        <v>1.21624384346997</v>
      </c>
      <c r="W1222" s="6" t="n">
        <v>0.6925701848102626</v>
      </c>
      <c r="X1222" s="6" t="n">
        <v>2.185053392261294</v>
      </c>
      <c r="Y1222" s="6" t="n">
        <v>0.01449753968586801</v>
      </c>
      <c r="Z1222" s="6" t="n">
        <v>0.1762445116786543</v>
      </c>
      <c r="AA1222" s="6" t="n">
        <v>-4.547250848759977</v>
      </c>
      <c r="AB1222" s="6" t="n">
        <v>3.578406657755538</v>
      </c>
      <c r="AC1222" s="6" t="n">
        <v>0.5149517941522936</v>
      </c>
      <c r="AD1222" s="6" t="n">
        <v>0.5597322362822192</v>
      </c>
      <c r="AE1222" s="6" t="n">
        <v>-1.155470863465611</v>
      </c>
      <c r="AF1222" s="6" t="n">
        <v>2.112878192011155</v>
      </c>
      <c r="AG1222" s="6" t="n">
        <v>2.28051803279832</v>
      </c>
      <c r="AH1222" s="6" t="n">
        <v>0.3204344983838347</v>
      </c>
      <c r="AI1222" s="6" t="n">
        <v>2.931139161774849</v>
      </c>
      <c r="AJ1222" s="6" t="n">
        <v>71.54765952728026</v>
      </c>
      <c r="AK1222" s="6" t="n">
        <v>0.1120055009606377</v>
      </c>
      <c r="AL1222" s="6" t="n">
        <v>0.993356761516492</v>
      </c>
      <c r="AN1222" s="6" t="n">
        <v>1.338540870007369</v>
      </c>
      <c r="AO1222" s="6" t="n">
        <v>1.350834385226173</v>
      </c>
      <c r="AP1222" s="6" t="n">
        <v>0.1393016553637528</v>
      </c>
      <c r="AQ1222" s="6" t="n">
        <v>0</v>
      </c>
      <c r="AR1222" s="6" t="n">
        <v>0</v>
      </c>
    </row>
    <row r="1223">
      <c r="D1223" t="inlineStr">
        <is>
          <t>Run 911</t>
        </is>
      </c>
      <c r="J1223" s="6" t="n">
        <v>0.300500547199706</v>
      </c>
      <c r="K1223" s="6" t="n">
        <v>-2.036515587238724</v>
      </c>
      <c r="L1223" s="6" t="n">
        <v>2.248914322734041</v>
      </c>
      <c r="M1223" s="6" t="n">
        <v>0.3152325166739317</v>
      </c>
      <c r="N1223" s="6" t="n">
        <v>-0.1013096915757336</v>
      </c>
      <c r="O1223" s="6" t="n">
        <v>-0.827746720282608</v>
      </c>
      <c r="P1223" s="6" t="n">
        <v>-0.6973053013300502</v>
      </c>
      <c r="Q1223" s="6" t="n">
        <v>1.254587758154116</v>
      </c>
      <c r="R1223" s="6" t="n">
        <v>-0.4060866973992687</v>
      </c>
      <c r="S1223" s="6" t="n">
        <v>1.218977849745843</v>
      </c>
      <c r="T1223" s="6" t="n">
        <v>-1.777612890309997</v>
      </c>
      <c r="U1223" s="6" t="n">
        <v>-0.1514422115355759</v>
      </c>
      <c r="V1223" s="6" t="n">
        <v>0.4312193217424253</v>
      </c>
      <c r="W1223" s="6" t="n">
        <v>0.4841912638502477</v>
      </c>
      <c r="X1223" s="6" t="n">
        <v>-0.3723236591984233</v>
      </c>
      <c r="Y1223" s="6" t="n">
        <v>-3.539358223409705</v>
      </c>
      <c r="Z1223" s="6" t="n">
        <v>-0.6796703288228985</v>
      </c>
      <c r="AA1223" s="6" t="n">
        <v>-2.781763633116657</v>
      </c>
      <c r="AB1223" s="6" t="n">
        <v>-1.137881835580465</v>
      </c>
      <c r="AC1223" s="6" t="n">
        <v>2.596913907873706</v>
      </c>
      <c r="AD1223" s="6" t="n">
        <v>0.6920293810754632</v>
      </c>
      <c r="AE1223" s="6" t="n">
        <v>1.938120588114165</v>
      </c>
      <c r="AF1223" s="6" t="n">
        <v>0.2446022977911529</v>
      </c>
      <c r="AG1223" s="6" t="n">
        <v>3.739060035419266</v>
      </c>
      <c r="AH1223" s="6" t="n">
        <v>-0.5350399661672784</v>
      </c>
      <c r="AI1223" s="6" t="n">
        <v>-0.02943750427315106</v>
      </c>
      <c r="AJ1223" s="6" t="n">
        <v>74.84542400972703</v>
      </c>
      <c r="AK1223" s="6" t="n">
        <v>0.1235132690570686</v>
      </c>
      <c r="AL1223" s="6" t="n">
        <v>1.034434180895947</v>
      </c>
      <c r="AN1223" s="6" t="n">
        <v>1.351398422359122</v>
      </c>
      <c r="AO1223" s="6" t="n">
        <v>1.351398422359122</v>
      </c>
      <c r="AP1223" s="6" t="n">
        <v>0.134130216554657</v>
      </c>
      <c r="AQ1223" s="6" t="n">
        <v>0</v>
      </c>
      <c r="AR1223" s="6" t="n">
        <v>0</v>
      </c>
    </row>
    <row r="1224">
      <c r="D1224" t="inlineStr">
        <is>
          <t>Run 912</t>
        </is>
      </c>
      <c r="J1224" s="6" t="n">
        <v>3.496877379321769</v>
      </c>
      <c r="K1224" s="6" t="n">
        <v>-0.6732758677584387</v>
      </c>
      <c r="L1224" s="6" t="n">
        <v>1.57848107650287</v>
      </c>
      <c r="M1224" s="6" t="n">
        <v>-3.389335304761152</v>
      </c>
      <c r="N1224" s="6" t="n">
        <v>4.922553925234038</v>
      </c>
      <c r="O1224" s="6" t="n">
        <v>-1.063444936153094</v>
      </c>
      <c r="P1224" s="6" t="n">
        <v>-2.094693766467743</v>
      </c>
      <c r="Q1224" s="6" t="n">
        <v>-1.83556660107602</v>
      </c>
      <c r="R1224" s="6" t="n">
        <v>-1.665565852415263</v>
      </c>
      <c r="S1224" s="6" t="n">
        <v>2.804930794777357</v>
      </c>
      <c r="T1224" s="6" t="n">
        <v>-2.135102028856554</v>
      </c>
      <c r="U1224" s="6" t="n">
        <v>2.198741726537354</v>
      </c>
      <c r="V1224" s="6" t="n">
        <v>-1.280196875880822</v>
      </c>
      <c r="W1224" s="6" t="n">
        <v>-0.2317578316425487</v>
      </c>
      <c r="X1224" s="6" t="n">
        <v>2.983450404603808</v>
      </c>
      <c r="Y1224" s="6" t="n">
        <v>-4.915565728054326</v>
      </c>
      <c r="Z1224" s="6" t="n">
        <v>0.5648773721103165</v>
      </c>
      <c r="AA1224" s="6" t="n">
        <v>2.019248206185358</v>
      </c>
      <c r="AB1224" s="6" t="n">
        <v>0.1252011411153818</v>
      </c>
      <c r="AC1224" s="6" t="n">
        <v>4.112664822130044</v>
      </c>
      <c r="AD1224" s="6" t="n">
        <v>2.355196735039016</v>
      </c>
      <c r="AE1224" s="6" t="n">
        <v>-0.09680334200047748</v>
      </c>
      <c r="AF1224" s="6" t="n">
        <v>0.1627490859985197</v>
      </c>
      <c r="AG1224" s="6" t="n">
        <v>3.973715356515715</v>
      </c>
      <c r="AH1224" s="6" t="n">
        <v>-1.793626588279151</v>
      </c>
      <c r="AI1224" s="6" t="n">
        <v>0.3777821005073188</v>
      </c>
      <c r="AJ1224" s="6" t="n">
        <v>77.48862052692431</v>
      </c>
      <c r="AK1224" s="6" t="n">
        <v>0.146858284501215</v>
      </c>
      <c r="AL1224" s="6" t="n">
        <v>1.078648123413814</v>
      </c>
      <c r="AN1224" s="6" t="n">
        <v>1.303775508697748</v>
      </c>
      <c r="AO1224" s="6" t="n">
        <v>1.315597857616517</v>
      </c>
      <c r="AP1224" s="6" t="n">
        <v>0.1292783127644997</v>
      </c>
      <c r="AQ1224" s="6" t="n">
        <v>0</v>
      </c>
      <c r="AR1224" s="6" t="n">
        <v>0</v>
      </c>
    </row>
    <row r="1225">
      <c r="D1225" t="inlineStr">
        <is>
          <t>Run 913</t>
        </is>
      </c>
      <c r="J1225" s="6" t="n">
        <v>-0.3911138497011453</v>
      </c>
      <c r="K1225" s="6" t="n">
        <v>-1.422384252340709</v>
      </c>
      <c r="L1225" s="6" t="n">
        <v>1.982215056021761</v>
      </c>
      <c r="M1225" s="6" t="n">
        <v>0.9624891295617294</v>
      </c>
      <c r="N1225" s="6" t="n">
        <v>-3.392120193868449</v>
      </c>
      <c r="O1225" s="6" t="n">
        <v>1.879316003666326</v>
      </c>
      <c r="P1225" s="6" t="n">
        <v>-0.4235308006682661</v>
      </c>
      <c r="Q1225" s="6" t="n">
        <v>2.831138216855429</v>
      </c>
      <c r="R1225" s="6" t="n">
        <v>1.178020843485024</v>
      </c>
      <c r="S1225" s="6" t="n">
        <v>1.918800566353299</v>
      </c>
      <c r="T1225" s="6" t="n">
        <v>4.610341766960214</v>
      </c>
      <c r="U1225" s="6" t="n">
        <v>2.239611511493044</v>
      </c>
      <c r="V1225" s="6" t="n">
        <v>0.492259420898534</v>
      </c>
      <c r="W1225" s="6" t="n">
        <v>-2.173781009295825</v>
      </c>
      <c r="X1225" s="6" t="n">
        <v>1.947115495878907</v>
      </c>
      <c r="Y1225" s="6" t="n">
        <v>4.312221369036853</v>
      </c>
      <c r="Z1225" s="6" t="n">
        <v>-1.975878062322617</v>
      </c>
      <c r="AA1225" s="6" t="n">
        <v>3.491305982002972</v>
      </c>
      <c r="AB1225" s="6" t="n">
        <v>0.6865875883121475</v>
      </c>
      <c r="AC1225" s="6" t="n">
        <v>-1.869239032583964</v>
      </c>
      <c r="AD1225" s="6" t="n">
        <v>-0.250124608420333</v>
      </c>
      <c r="AE1225" s="6" t="n">
        <v>0.2952511427907437</v>
      </c>
      <c r="AF1225" s="6" t="n">
        <v>0.4977448757930813</v>
      </c>
      <c r="AG1225" s="6" t="n">
        <v>0.5832166900037986</v>
      </c>
      <c r="AH1225" s="6" t="n">
        <v>1.726291699924526</v>
      </c>
      <c r="AI1225" s="6" t="n">
        <v>-0.05041187688687741</v>
      </c>
      <c r="AJ1225" s="6" t="n">
        <v>65.75895654420248</v>
      </c>
      <c r="AK1225" s="6" t="n">
        <v>0.1496380346803772</v>
      </c>
      <c r="AL1225" s="6" t="n">
        <v>1.010786431571982</v>
      </c>
      <c r="AN1225" s="6" t="n">
        <v>1.350935609131072</v>
      </c>
      <c r="AO1225" s="6" t="n">
        <v>1.350935609131072</v>
      </c>
      <c r="AP1225" s="6" t="n">
        <v>0.1357452731792767</v>
      </c>
      <c r="AQ1225" s="6" t="n">
        <v>0</v>
      </c>
      <c r="AR1225" s="6" t="n">
        <v>0</v>
      </c>
    </row>
    <row r="1226">
      <c r="D1226" t="inlineStr">
        <is>
          <t>Run 914</t>
        </is>
      </c>
      <c r="J1226" s="6" t="n">
        <v>3.367987701602674</v>
      </c>
      <c r="K1226" s="6" t="n">
        <v>1.862159142906784</v>
      </c>
      <c r="L1226" s="6" t="n">
        <v>1.069114865472735</v>
      </c>
      <c r="M1226" s="6" t="n">
        <v>0.6341520082101827</v>
      </c>
      <c r="N1226" s="6" t="n">
        <v>-1.615153676306137</v>
      </c>
      <c r="O1226" s="6" t="n">
        <v>-3.283636491639554</v>
      </c>
      <c r="P1226" s="6" t="n">
        <v>1.041079599038349</v>
      </c>
      <c r="Q1226" s="6" t="n">
        <v>-1.423667995168439</v>
      </c>
      <c r="R1226" s="6" t="n">
        <v>0.9075521703060307</v>
      </c>
      <c r="S1226" s="6" t="n">
        <v>1.472568600538454</v>
      </c>
      <c r="T1226" s="6" t="n">
        <v>-1.094620803122459</v>
      </c>
      <c r="U1226" s="6" t="n">
        <v>2.944691114729277</v>
      </c>
      <c r="V1226" s="6" t="n">
        <v>0.1764224086807414</v>
      </c>
      <c r="W1226" s="6" t="n">
        <v>1.438814366927864</v>
      </c>
      <c r="X1226" s="6" t="n">
        <v>0.2727897807540646</v>
      </c>
      <c r="Y1226" s="6" t="n">
        <v>-0.196966656432813</v>
      </c>
      <c r="Z1226" s="6" t="n">
        <v>0.432243225167954</v>
      </c>
      <c r="AA1226" s="6" t="n">
        <v>-0.5279298514821711</v>
      </c>
      <c r="AB1226" s="6" t="n">
        <v>2.433832917697449</v>
      </c>
      <c r="AC1226" s="6" t="n">
        <v>0.7568125624170293</v>
      </c>
      <c r="AD1226" s="6" t="n">
        <v>-1.466414748963654</v>
      </c>
      <c r="AE1226" s="6" t="n">
        <v>1.468219333475906</v>
      </c>
      <c r="AF1226" s="6" t="n">
        <v>0.04603107575504986</v>
      </c>
      <c r="AG1226" s="6" t="n">
        <v>-1.981976002364543</v>
      </c>
      <c r="AH1226" s="6" t="n">
        <v>1.425538463931332</v>
      </c>
      <c r="AI1226" s="6" t="n">
        <v>-2.308379591503135</v>
      </c>
      <c r="AJ1226" s="6" t="n">
        <v>62.24637444525659</v>
      </c>
      <c r="AK1226" s="6" t="n">
        <v>0.1477292121043497</v>
      </c>
      <c r="AL1226" s="6" t="n">
        <v>1.034423187888057</v>
      </c>
      <c r="AN1226" s="6" t="n">
        <v>1.343488897518464</v>
      </c>
      <c r="AO1226" s="6" t="n">
        <v>1.343527445896646</v>
      </c>
      <c r="AP1226" s="6" t="n">
        <v>0.1323239799729278</v>
      </c>
      <c r="AQ1226" s="6" t="n">
        <v>0</v>
      </c>
      <c r="AR1226" s="6" t="n">
        <v>0</v>
      </c>
    </row>
    <row r="1227">
      <c r="D1227" t="inlineStr">
        <is>
          <t>Run 915</t>
        </is>
      </c>
      <c r="J1227" s="6" t="n">
        <v>0.6425034597677798</v>
      </c>
      <c r="K1227" s="6" t="n">
        <v>3.514073903638764</v>
      </c>
      <c r="L1227" s="6" t="n">
        <v>1.604755478065437</v>
      </c>
      <c r="M1227" s="6" t="n">
        <v>2.473349534867461</v>
      </c>
      <c r="N1227" s="6" t="n">
        <v>0.3426970131069924</v>
      </c>
      <c r="O1227" s="6" t="n">
        <v>1.78783818661782</v>
      </c>
      <c r="P1227" s="6" t="n">
        <v>1.983522734988305</v>
      </c>
      <c r="Q1227" s="6" t="n">
        <v>1.979134710961254</v>
      </c>
      <c r="R1227" s="6" t="n">
        <v>0.0207416731869772</v>
      </c>
      <c r="S1227" s="6" t="n">
        <v>1.587933040630703</v>
      </c>
      <c r="T1227" s="6" t="n">
        <v>1.47316213003434</v>
      </c>
      <c r="U1227" s="6" t="n">
        <v>-0.559703366889715</v>
      </c>
      <c r="V1227" s="6" t="n">
        <v>-2.141720276465764</v>
      </c>
      <c r="W1227" s="6" t="n">
        <v>2.225083274297042</v>
      </c>
      <c r="X1227" s="6" t="n">
        <v>1.927299350662044</v>
      </c>
      <c r="Y1227" s="6" t="n">
        <v>3.075926066959272</v>
      </c>
      <c r="Z1227" s="6" t="n">
        <v>0.5825906263934716</v>
      </c>
      <c r="AA1227" s="6" t="n">
        <v>2.089440254527962</v>
      </c>
      <c r="AB1227" s="6" t="n">
        <v>-1.613312448929658</v>
      </c>
      <c r="AC1227" s="6" t="n">
        <v>-0.6574297094131496</v>
      </c>
      <c r="AD1227" s="6" t="n">
        <v>-0.2624214451472674</v>
      </c>
      <c r="AE1227" s="6" t="n">
        <v>-2.495953696028264</v>
      </c>
      <c r="AF1227" s="6" t="n">
        <v>-0.1775641875221577</v>
      </c>
      <c r="AG1227" s="6" t="n">
        <v>3.202105173062366</v>
      </c>
      <c r="AH1227" s="6" t="n">
        <v>-1.374713103207581</v>
      </c>
      <c r="AI1227" s="6" t="n">
        <v>-1.271357383963543</v>
      </c>
      <c r="AJ1227" s="6" t="n">
        <v>79.80881698282968</v>
      </c>
      <c r="AK1227" s="6" t="n">
        <v>0.1260982122257431</v>
      </c>
      <c r="AL1227" s="6" t="n">
        <v>1.057118735849162</v>
      </c>
      <c r="AN1227" s="6" t="n">
        <v>1.345496366677341</v>
      </c>
      <c r="AO1227" s="6" t="n">
        <v>1.345627739823115</v>
      </c>
      <c r="AP1227" s="6" t="n">
        <v>0.1321794214336144</v>
      </c>
      <c r="AQ1227" s="6" t="n">
        <v>0</v>
      </c>
      <c r="AR1227" s="6" t="n">
        <v>0</v>
      </c>
    </row>
    <row r="1228">
      <c r="D1228" t="inlineStr">
        <is>
          <t>Run 916</t>
        </is>
      </c>
      <c r="J1228" s="6" t="n">
        <v>-1.270494524927289</v>
      </c>
      <c r="K1228" s="6" t="n">
        <v>-1.128220619936404</v>
      </c>
      <c r="L1228" s="6" t="n">
        <v>0.1907128424143574</v>
      </c>
      <c r="M1228" s="6" t="n">
        <v>-1.419492238953593</v>
      </c>
      <c r="N1228" s="6" t="n">
        <v>-0.07268722862973244</v>
      </c>
      <c r="O1228" s="6" t="n">
        <v>-1.07323706571703</v>
      </c>
      <c r="P1228" s="6" t="n">
        <v>-0.2028091680088691</v>
      </c>
      <c r="Q1228" s="6" t="n">
        <v>-6.016345002907393</v>
      </c>
      <c r="R1228" s="6" t="n">
        <v>0.2390778177324546</v>
      </c>
      <c r="S1228" s="6" t="n">
        <v>0.08202796284578201</v>
      </c>
      <c r="T1228" s="6" t="n">
        <v>-1.450357845298129</v>
      </c>
      <c r="U1228" s="6" t="n">
        <v>0.4859096590027042</v>
      </c>
      <c r="V1228" s="6" t="n">
        <v>3.033250244484859</v>
      </c>
      <c r="W1228" s="6" t="n">
        <v>-1.286575889176591</v>
      </c>
      <c r="X1228" s="6" t="n">
        <v>2.239878352199573</v>
      </c>
      <c r="Y1228" s="6" t="n">
        <v>2.689501156078632</v>
      </c>
      <c r="Z1228" s="6" t="n">
        <v>0.3277061219496012</v>
      </c>
      <c r="AA1228" s="6" t="n">
        <v>-1.872240026532094</v>
      </c>
      <c r="AB1228" s="6" t="n">
        <v>-0.3036146637655007</v>
      </c>
      <c r="AC1228" s="6" t="n">
        <v>2.267885240919986</v>
      </c>
      <c r="AD1228" s="6" t="n">
        <v>-3.675487265350331</v>
      </c>
      <c r="AE1228" s="6" t="n">
        <v>1.120817185545949</v>
      </c>
      <c r="AF1228" s="6" t="n">
        <v>-0.2375110038047663</v>
      </c>
      <c r="AG1228" s="6" t="n">
        <v>-3.58029614907874</v>
      </c>
      <c r="AH1228" s="6" t="n">
        <v>-0.4410220928148469</v>
      </c>
      <c r="AI1228" s="6" t="n">
        <v>1.100600819163015</v>
      </c>
      <c r="AJ1228" s="6" t="n">
        <v>74.85670389802733</v>
      </c>
      <c r="AK1228" s="6" t="n">
        <v>0.13949196874705</v>
      </c>
      <c r="AL1228" s="6" t="n">
        <v>1.07803846966146</v>
      </c>
      <c r="AN1228" s="6" t="n">
        <v>1.320996953682958</v>
      </c>
      <c r="AO1228" s="6" t="n">
        <v>1.334526976557431</v>
      </c>
      <c r="AP1228" s="6" t="n">
        <v>0.1294277214046649</v>
      </c>
      <c r="AQ1228" s="6" t="n">
        <v>0</v>
      </c>
      <c r="AR1228" s="6" t="n">
        <v>0</v>
      </c>
    </row>
    <row r="1229">
      <c r="D1229" t="inlineStr">
        <is>
          <t>Run 917</t>
        </is>
      </c>
      <c r="J1229" s="6" t="n">
        <v>1.85673721133598</v>
      </c>
      <c r="K1229" s="6" t="n">
        <v>-0.2564290801532877</v>
      </c>
      <c r="L1229" s="6" t="n">
        <v>-1.466925526814377</v>
      </c>
      <c r="M1229" s="6" t="n">
        <v>0.4144710278909732</v>
      </c>
      <c r="N1229" s="6" t="n">
        <v>2.45328179327144</v>
      </c>
      <c r="O1229" s="6" t="n">
        <v>1.388208407546356</v>
      </c>
      <c r="P1229" s="6" t="n">
        <v>3.292108930903794</v>
      </c>
      <c r="Q1229" s="6" t="n">
        <v>2.677544714612662</v>
      </c>
      <c r="R1229" s="6" t="n">
        <v>-0.6062954436853472</v>
      </c>
      <c r="S1229" s="6" t="n">
        <v>0.1688225772096681</v>
      </c>
      <c r="T1229" s="6" t="n">
        <v>-0.8777316864902447</v>
      </c>
      <c r="U1229" s="6" t="n">
        <v>3.90616737852143</v>
      </c>
      <c r="V1229" s="6" t="n">
        <v>-0.8372805296135971</v>
      </c>
      <c r="W1229" s="6" t="n">
        <v>3.179141561012719</v>
      </c>
      <c r="X1229" s="6" t="n">
        <v>0.6058962132530086</v>
      </c>
      <c r="Y1229" s="6" t="n">
        <v>-2.907454446237814</v>
      </c>
      <c r="Z1229" s="6" t="n">
        <v>-2.926939008113176</v>
      </c>
      <c r="AA1229" s="6" t="n">
        <v>-1.512872886400269</v>
      </c>
      <c r="AB1229" s="6" t="n">
        <v>3.122987815742488</v>
      </c>
      <c r="AC1229" s="6" t="n">
        <v>0.7402730090945128</v>
      </c>
      <c r="AD1229" s="6" t="n">
        <v>0.066079694492175</v>
      </c>
      <c r="AE1229" s="6" t="n">
        <v>-1.001775883373138</v>
      </c>
      <c r="AF1229" s="6" t="n">
        <v>-3.505530829257737</v>
      </c>
      <c r="AG1229" s="6" t="n">
        <v>0.3929092907947981</v>
      </c>
      <c r="AH1229" s="6" t="n">
        <v>0.1627879853385155</v>
      </c>
      <c r="AI1229" s="6" t="n">
        <v>0.3980840504952678</v>
      </c>
      <c r="AJ1229" s="6" t="n">
        <v>76.21141983522116</v>
      </c>
      <c r="AK1229" s="6" t="n">
        <v>0.03994347756513691</v>
      </c>
      <c r="AL1229" s="6" t="n">
        <v>1.029092179378587</v>
      </c>
      <c r="AN1229" s="6" t="n">
        <v>1.3535112418848</v>
      </c>
      <c r="AO1229" s="6" t="n">
        <v>1.3535112418848</v>
      </c>
      <c r="AP1229" s="6" t="n">
        <v>0.1368258155503027</v>
      </c>
      <c r="AQ1229" s="6" t="n">
        <v>0</v>
      </c>
      <c r="AR1229" s="6" t="n">
        <v>0</v>
      </c>
    </row>
    <row r="1230">
      <c r="D1230" t="inlineStr">
        <is>
          <t>Run 918</t>
        </is>
      </c>
      <c r="J1230" s="6" t="n">
        <v>3.340618979490763</v>
      </c>
      <c r="K1230" s="6" t="n">
        <v>2.986587392282622</v>
      </c>
      <c r="L1230" s="6" t="n">
        <v>-0.4670325319970881</v>
      </c>
      <c r="M1230" s="6" t="n">
        <v>0.8712462740815835</v>
      </c>
      <c r="N1230" s="6" t="n">
        <v>-0.4822047197616612</v>
      </c>
      <c r="O1230" s="6" t="n">
        <v>-1.022801391275175</v>
      </c>
      <c r="P1230" s="6" t="n">
        <v>-2.797677452371529</v>
      </c>
      <c r="Q1230" s="6" t="n">
        <v>-4.137210093294539</v>
      </c>
      <c r="R1230" s="6" t="n">
        <v>-2.724321854165492</v>
      </c>
      <c r="S1230" s="6" t="n">
        <v>-1.595236188802859</v>
      </c>
      <c r="T1230" s="6" t="n">
        <v>-1.936860475791192</v>
      </c>
      <c r="U1230" s="6" t="n">
        <v>-0.1491758210214744</v>
      </c>
      <c r="V1230" s="6" t="n">
        <v>5</v>
      </c>
      <c r="W1230" s="6" t="n">
        <v>-1.629710559620277</v>
      </c>
      <c r="X1230" s="6" t="n">
        <v>1.693540622065313</v>
      </c>
      <c r="Y1230" s="6" t="n">
        <v>1.427960879578754</v>
      </c>
      <c r="Z1230" s="6" t="n">
        <v>2.955240456561023</v>
      </c>
      <c r="AA1230" s="6" t="n">
        <v>-1.041678805673925</v>
      </c>
      <c r="AB1230" s="6" t="n">
        <v>-1.423515777009611</v>
      </c>
      <c r="AC1230" s="6" t="n">
        <v>4.542613632659436</v>
      </c>
      <c r="AD1230" s="6" t="n">
        <v>1.01492467843298</v>
      </c>
      <c r="AE1230" s="6" t="n">
        <v>-1.676440664559602</v>
      </c>
      <c r="AF1230" s="6" t="n">
        <v>4.460337389584487</v>
      </c>
      <c r="AG1230" s="6" t="n">
        <v>-1.965786090545946</v>
      </c>
      <c r="AH1230" s="6" t="n">
        <v>-1.547963107868982</v>
      </c>
      <c r="AI1230" s="6" t="n">
        <v>-3.834079366919194</v>
      </c>
      <c r="AJ1230" s="6" t="n">
        <v>64.56410598941551</v>
      </c>
      <c r="AK1230" s="6" t="n">
        <v>0.1243041809948994</v>
      </c>
      <c r="AL1230" s="6" t="n">
        <v>1.006913376530731</v>
      </c>
      <c r="AN1230" s="6" t="n">
        <v>1.351686395834357</v>
      </c>
      <c r="AO1230" s="6" t="n">
        <v>1.351686395834357</v>
      </c>
      <c r="AP1230" s="6" t="n">
        <v>0.136084640121374</v>
      </c>
      <c r="AQ1230" s="6" t="n">
        <v>0</v>
      </c>
      <c r="AR1230" s="6" t="n">
        <v>0</v>
      </c>
    </row>
    <row r="1231">
      <c r="D1231" t="inlineStr">
        <is>
          <t>Run 919</t>
        </is>
      </c>
      <c r="J1231" s="6" t="n">
        <v>1.525990839744945</v>
      </c>
      <c r="K1231" s="6" t="n">
        <v>-1.085441687813493</v>
      </c>
      <c r="L1231" s="6" t="n">
        <v>-1.087338063548021</v>
      </c>
      <c r="M1231" s="6" t="n">
        <v>-0.5192690683062081</v>
      </c>
      <c r="N1231" s="6" t="n">
        <v>-0.7015770989803854</v>
      </c>
      <c r="O1231" s="6" t="n">
        <v>-1.434089176989186</v>
      </c>
      <c r="P1231" s="6" t="n">
        <v>2.006726815053741</v>
      </c>
      <c r="Q1231" s="6" t="n">
        <v>-2.450000075580672</v>
      </c>
      <c r="R1231" s="6" t="n">
        <v>-3.390553508299887</v>
      </c>
      <c r="S1231" s="6" t="n">
        <v>1.980911705110914</v>
      </c>
      <c r="T1231" s="6" t="n">
        <v>1.254777970763874</v>
      </c>
      <c r="U1231" s="6" t="n">
        <v>3.109879004571446</v>
      </c>
      <c r="V1231" s="6" t="n">
        <v>-0.8060918298557859</v>
      </c>
      <c r="W1231" s="6" t="n">
        <v>-0.2013486048961161</v>
      </c>
      <c r="X1231" s="6" t="n">
        <v>-0.814610096321351</v>
      </c>
      <c r="Y1231" s="6" t="n">
        <v>-0.6028459366518333</v>
      </c>
      <c r="Z1231" s="6" t="n">
        <v>2.858801595912529</v>
      </c>
      <c r="AA1231" s="6" t="n">
        <v>-1.924167720929304</v>
      </c>
      <c r="AB1231" s="6" t="n">
        <v>0.7641847206505771</v>
      </c>
      <c r="AC1231" s="6" t="n">
        <v>-0.01770730835607654</v>
      </c>
      <c r="AD1231" s="6" t="n">
        <v>-3.454836589487454</v>
      </c>
      <c r="AE1231" s="6" t="n">
        <v>3.731787567091016</v>
      </c>
      <c r="AF1231" s="6" t="n">
        <v>-1.320130491885704</v>
      </c>
      <c r="AG1231" s="6" t="n">
        <v>0.5234241109271921</v>
      </c>
      <c r="AH1231" s="6" t="n">
        <v>1.814885736073435</v>
      </c>
      <c r="AI1231" s="6" t="n">
        <v>0.1540309005608717</v>
      </c>
      <c r="AJ1231" s="6" t="n">
        <v>80.11988071712724</v>
      </c>
      <c r="AK1231" s="6" t="n">
        <v>0.1597152599036452</v>
      </c>
      <c r="AL1231" s="6" t="n">
        <v>1.057142036043891</v>
      </c>
      <c r="AN1231" s="6" t="n">
        <v>1.343878330495279</v>
      </c>
      <c r="AO1231" s="6" t="n">
        <v>1.345132780079762</v>
      </c>
      <c r="AP1231" s="6" t="n">
        <v>0.1310824564031427</v>
      </c>
      <c r="AQ1231" s="6" t="n">
        <v>0</v>
      </c>
      <c r="AR1231" s="6" t="n">
        <v>0</v>
      </c>
    </row>
    <row r="1232">
      <c r="D1232" t="inlineStr">
        <is>
          <t>Run 920</t>
        </is>
      </c>
      <c r="J1232" s="6" t="n">
        <v>2.676301694646242</v>
      </c>
      <c r="K1232" s="6" t="n">
        <v>0.1863601054991156</v>
      </c>
      <c r="L1232" s="6" t="n">
        <v>-2.078653837870686</v>
      </c>
      <c r="M1232" s="6" t="n">
        <v>3.625233439306891</v>
      </c>
      <c r="N1232" s="6" t="n">
        <v>-0.9394150035366009</v>
      </c>
      <c r="O1232" s="6" t="n">
        <v>-1.202722412372309</v>
      </c>
      <c r="P1232" s="6" t="n">
        <v>-0.6575173689275343</v>
      </c>
      <c r="Q1232" s="6" t="n">
        <v>3.35846274807973</v>
      </c>
      <c r="R1232" s="6" t="n">
        <v>0.1812550222705932</v>
      </c>
      <c r="S1232" s="6" t="n">
        <v>-0.5241178279729093</v>
      </c>
      <c r="T1232" s="6" t="n">
        <v>-0.8327647202474194</v>
      </c>
      <c r="U1232" s="6" t="n">
        <v>1.00823379937947</v>
      </c>
      <c r="V1232" s="6" t="n">
        <v>2.943980122454813</v>
      </c>
      <c r="W1232" s="6" t="n">
        <v>-0.1673810309579691</v>
      </c>
      <c r="X1232" s="6" t="n">
        <v>2.139395946982694</v>
      </c>
      <c r="Y1232" s="6" t="n">
        <v>0.1223630413324526</v>
      </c>
      <c r="Z1232" s="6" t="n">
        <v>-2.28455348723501</v>
      </c>
      <c r="AA1232" s="6" t="n">
        <v>1.846366394447006</v>
      </c>
      <c r="AB1232" s="6" t="n">
        <v>1.222964127025399</v>
      </c>
      <c r="AC1232" s="6" t="n">
        <v>-0.4453817472695402</v>
      </c>
      <c r="AD1232" s="6" t="n">
        <v>-1.343512640513184</v>
      </c>
      <c r="AE1232" s="6" t="n">
        <v>1.477195814580567</v>
      </c>
      <c r="AF1232" s="6" t="n">
        <v>-1.306259039572633</v>
      </c>
      <c r="AG1232" s="6" t="n">
        <v>0.3686986558695823</v>
      </c>
      <c r="AH1232" s="6" t="n">
        <v>-3.382562337455489</v>
      </c>
      <c r="AI1232" s="6" t="n">
        <v>-0.6604309006651201</v>
      </c>
      <c r="AJ1232" s="6" t="n">
        <v>73.7335558967505</v>
      </c>
      <c r="AK1232" s="6" t="n">
        <v>0.1320309326585884</v>
      </c>
      <c r="AL1232" s="6" t="n">
        <v>1.057503684507131</v>
      </c>
      <c r="AN1232" s="6" t="n">
        <v>1.341111427282306</v>
      </c>
      <c r="AO1232" s="6" t="n">
        <v>1.342026328907794</v>
      </c>
      <c r="AP1232" s="6" t="n">
        <v>0.1317368604899943</v>
      </c>
      <c r="AQ1232" s="6" t="n">
        <v>0</v>
      </c>
      <c r="AR1232" s="6" t="n">
        <v>0</v>
      </c>
    </row>
    <row r="1233">
      <c r="D1233" t="inlineStr">
        <is>
          <t>Run 921</t>
        </is>
      </c>
      <c r="J1233" s="6" t="n">
        <v>0.7817278161264908</v>
      </c>
      <c r="K1233" s="6" t="n">
        <v>2.13985052917297</v>
      </c>
      <c r="L1233" s="6" t="n">
        <v>-1.063596628342357</v>
      </c>
      <c r="M1233" s="6" t="n">
        <v>-4.00646862605302</v>
      </c>
      <c r="N1233" s="6" t="n">
        <v>4.769434804824834</v>
      </c>
      <c r="O1233" s="6" t="n">
        <v>3.319551426724092</v>
      </c>
      <c r="P1233" s="6" t="n">
        <v>2.292828696935696</v>
      </c>
      <c r="Q1233" s="6" t="n">
        <v>0.1590986927871902</v>
      </c>
      <c r="R1233" s="6" t="n">
        <v>-0.9796845642832135</v>
      </c>
      <c r="S1233" s="6" t="n">
        <v>2.152195099506765</v>
      </c>
      <c r="T1233" s="6" t="n">
        <v>-2.306074720288862</v>
      </c>
      <c r="U1233" s="6" t="n">
        <v>-1.987270341698572</v>
      </c>
      <c r="V1233" s="6" t="n">
        <v>-2.790727595675405</v>
      </c>
      <c r="W1233" s="6" t="n">
        <v>-1.730392299959079</v>
      </c>
      <c r="X1233" s="6" t="n">
        <v>-1.972378928615418</v>
      </c>
      <c r="Y1233" s="6" t="n">
        <v>-1.679679491520149</v>
      </c>
      <c r="Z1233" s="6" t="n">
        <v>-3.436302274008582</v>
      </c>
      <c r="AA1233" s="6" t="n">
        <v>2.193352475176722</v>
      </c>
      <c r="AB1233" s="6" t="n">
        <v>-4.745708884953574</v>
      </c>
      <c r="AC1233" s="6" t="n">
        <v>0.8019103201611881</v>
      </c>
      <c r="AD1233" s="6" t="n">
        <v>-0.09295525625987766</v>
      </c>
      <c r="AE1233" s="6" t="n">
        <v>0.5182425638832819</v>
      </c>
      <c r="AF1233" s="6" t="n">
        <v>-0.2263431444659477</v>
      </c>
      <c r="AG1233" s="6" t="n">
        <v>-0.5688449486353089</v>
      </c>
      <c r="AH1233" s="6" t="n">
        <v>1.730005331213911</v>
      </c>
      <c r="AI1233" s="6" t="n">
        <v>3.393785302275206</v>
      </c>
      <c r="AJ1233" s="6" t="n">
        <v>61.32371360588605</v>
      </c>
      <c r="AK1233" s="6" t="n">
        <v>0.08671098117234212</v>
      </c>
      <c r="AL1233" s="6" t="n">
        <v>1.052522537554427</v>
      </c>
      <c r="AN1233" s="6" t="n">
        <v>1.299672608539063</v>
      </c>
      <c r="AO1233" s="6" t="n">
        <v>1.315444466694744</v>
      </c>
      <c r="AP1233" s="6" t="n">
        <v>0.1315972146036371</v>
      </c>
      <c r="AQ1233" s="6" t="n">
        <v>0</v>
      </c>
      <c r="AR1233" s="6" t="n">
        <v>0</v>
      </c>
    </row>
    <row r="1234">
      <c r="D1234" t="inlineStr">
        <is>
          <t>Run 922</t>
        </is>
      </c>
      <c r="J1234" s="6" t="n">
        <v>-0.06151754124992803</v>
      </c>
      <c r="K1234" s="6" t="n">
        <v>0.159270874577198</v>
      </c>
      <c r="L1234" s="6" t="n">
        <v>-1.315682771747551</v>
      </c>
      <c r="M1234" s="6" t="n">
        <v>-0.06534220600403991</v>
      </c>
      <c r="N1234" s="6" t="n">
        <v>-3.107375035165957</v>
      </c>
      <c r="O1234" s="6" t="n">
        <v>2.430561823321727</v>
      </c>
      <c r="P1234" s="6" t="n">
        <v>-0.9590644134873121</v>
      </c>
      <c r="Q1234" s="6" t="n">
        <v>0.2378805371682785</v>
      </c>
      <c r="R1234" s="6" t="n">
        <v>0.894018187032151</v>
      </c>
      <c r="S1234" s="6" t="n">
        <v>0.120738255684801</v>
      </c>
      <c r="T1234" s="6" t="n">
        <v>2.851388431465466</v>
      </c>
      <c r="U1234" s="6" t="n">
        <v>-0.2514312806095744</v>
      </c>
      <c r="V1234" s="6" t="n">
        <v>2.035423543606015</v>
      </c>
      <c r="W1234" s="6" t="n">
        <v>1.207184853504239</v>
      </c>
      <c r="X1234" s="6" t="n">
        <v>2.993910747956641</v>
      </c>
      <c r="Y1234" s="6" t="n">
        <v>1.255262130476495</v>
      </c>
      <c r="Z1234" s="6" t="n">
        <v>-4.275226220906624</v>
      </c>
      <c r="AA1234" s="6" t="n">
        <v>-2.152616589482221</v>
      </c>
      <c r="AB1234" s="6" t="n">
        <v>-1.870260628590351</v>
      </c>
      <c r="AC1234" s="6" t="n">
        <v>3.395610760275872</v>
      </c>
      <c r="AD1234" s="6" t="n">
        <v>1.251400156841321</v>
      </c>
      <c r="AE1234" s="6" t="n">
        <v>2.122890378809391</v>
      </c>
      <c r="AF1234" s="6" t="n">
        <v>0.005527869838016951</v>
      </c>
      <c r="AG1234" s="6" t="n">
        <v>-1.101312526297045</v>
      </c>
      <c r="AH1234" s="6" t="n">
        <v>0.9259064780560076</v>
      </c>
      <c r="AI1234" s="6" t="n">
        <v>-3.0608430189806</v>
      </c>
      <c r="AJ1234" s="6" t="n">
        <v>77.19329742968809</v>
      </c>
      <c r="AK1234" s="6" t="n">
        <v>0.1497952395639466</v>
      </c>
      <c r="AL1234" s="6" t="n">
        <v>1.03692310642373</v>
      </c>
      <c r="AN1234" s="6" t="n">
        <v>1.351353055006528</v>
      </c>
      <c r="AO1234" s="6" t="n">
        <v>1.351939382673989</v>
      </c>
      <c r="AP1234" s="6" t="n">
        <v>0.1334968922728147</v>
      </c>
      <c r="AQ1234" s="6" t="n">
        <v>0</v>
      </c>
      <c r="AR1234" s="6" t="n">
        <v>0</v>
      </c>
    </row>
    <row r="1235">
      <c r="D1235" t="inlineStr">
        <is>
          <t>Run 923</t>
        </is>
      </c>
      <c r="J1235" s="6" t="n">
        <v>2.366653769942856</v>
      </c>
      <c r="K1235" s="6" t="n">
        <v>-1.406277096185767</v>
      </c>
      <c r="L1235" s="6" t="n">
        <v>-0.9107977238194738</v>
      </c>
      <c r="M1235" s="6" t="n">
        <v>1.027624348679335</v>
      </c>
      <c r="N1235" s="6" t="n">
        <v>5</v>
      </c>
      <c r="O1235" s="6" t="n">
        <v>-1.249109873150988</v>
      </c>
      <c r="P1235" s="6" t="n">
        <v>0.959504304311169</v>
      </c>
      <c r="Q1235" s="6" t="n">
        <v>-0.3352100476325484</v>
      </c>
      <c r="R1235" s="6" t="n">
        <v>0.3542503891057002</v>
      </c>
      <c r="S1235" s="6" t="n">
        <v>-1.182910877384623</v>
      </c>
      <c r="T1235" s="6" t="n">
        <v>-2.747498154151709</v>
      </c>
      <c r="U1235" s="6" t="n">
        <v>1.30754071011798</v>
      </c>
      <c r="V1235" s="6" t="n">
        <v>-3.679441786025329</v>
      </c>
      <c r="W1235" s="6" t="n">
        <v>-0.8728177257954732</v>
      </c>
      <c r="X1235" s="6" t="n">
        <v>4.11780623035814</v>
      </c>
      <c r="Y1235" s="6" t="n">
        <v>1.073402678986278</v>
      </c>
      <c r="Z1235" s="6" t="n">
        <v>0.1629968832521312</v>
      </c>
      <c r="AA1235" s="6" t="n">
        <v>1.011130308210068</v>
      </c>
      <c r="AB1235" s="6" t="n">
        <v>-1.179287039767512</v>
      </c>
      <c r="AC1235" s="6" t="n">
        <v>-0.4249199355429401</v>
      </c>
      <c r="AD1235" s="6" t="n">
        <v>-0.6515212992442468</v>
      </c>
      <c r="AE1235" s="6" t="n">
        <v>2.405281549892587</v>
      </c>
      <c r="AF1235" s="6" t="n">
        <v>1.83283538805431</v>
      </c>
      <c r="AG1235" s="6" t="n">
        <v>-0.2647603038432902</v>
      </c>
      <c r="AH1235" s="6" t="n">
        <v>-1.076100782345915</v>
      </c>
      <c r="AI1235" s="6" t="n">
        <v>-0.02540743346652757</v>
      </c>
      <c r="AJ1235" s="6" t="n">
        <v>59.27415185397291</v>
      </c>
      <c r="AK1235" s="6" t="n">
        <v>0.1135908768329132</v>
      </c>
      <c r="AL1235" s="6" t="n">
        <v>1.02283161674041</v>
      </c>
      <c r="AN1235" s="6" t="n">
        <v>1.344815336319865</v>
      </c>
      <c r="AO1235" s="6" t="n">
        <v>1.344815336319865</v>
      </c>
      <c r="AP1235" s="6" t="n">
        <v>0.1342463647391278</v>
      </c>
      <c r="AQ1235" s="6" t="n">
        <v>0</v>
      </c>
      <c r="AR1235" s="6" t="n">
        <v>0</v>
      </c>
    </row>
    <row r="1236">
      <c r="D1236" t="inlineStr">
        <is>
          <t>Run 924</t>
        </is>
      </c>
      <c r="J1236" s="6" t="n">
        <v>-5.747040948614795</v>
      </c>
      <c r="K1236" s="6" t="n">
        <v>-1.069621197308286</v>
      </c>
      <c r="L1236" s="6" t="n">
        <v>1.094089185123168</v>
      </c>
      <c r="M1236" s="6" t="n">
        <v>-0.8638543819621493</v>
      </c>
      <c r="N1236" s="6" t="n">
        <v>1.94725834520236</v>
      </c>
      <c r="O1236" s="6" t="n">
        <v>0.5744147921534557</v>
      </c>
      <c r="P1236" s="6" t="n">
        <v>0.1562482131360207</v>
      </c>
      <c r="Q1236" s="6" t="n">
        <v>0.5969747242375619</v>
      </c>
      <c r="R1236" s="6" t="n">
        <v>-0.9354766973761093</v>
      </c>
      <c r="S1236" s="6" t="n">
        <v>0.1286837335065864</v>
      </c>
      <c r="T1236" s="6" t="n">
        <v>0.9878593295433197</v>
      </c>
      <c r="U1236" s="6" t="n">
        <v>1.053215648389931</v>
      </c>
      <c r="V1236" s="6" t="n">
        <v>-1.139344270383614</v>
      </c>
      <c r="W1236" s="6" t="n">
        <v>-3.144549580702927</v>
      </c>
      <c r="X1236" s="6" t="n">
        <v>-1.113195386991141</v>
      </c>
      <c r="Y1236" s="6" t="n">
        <v>-0.6666006028629619</v>
      </c>
      <c r="Z1236" s="6" t="n">
        <v>-0.04859451209627964</v>
      </c>
      <c r="AA1236" s="6" t="n">
        <v>-0.6443219688615395</v>
      </c>
      <c r="AB1236" s="6" t="n">
        <v>-1.026828941515597</v>
      </c>
      <c r="AC1236" s="6" t="n">
        <v>-0.973464359545683</v>
      </c>
      <c r="AD1236" s="6" t="n">
        <v>-1.3051864774316</v>
      </c>
      <c r="AE1236" s="6" t="n">
        <v>1.354259986093316</v>
      </c>
      <c r="AF1236" s="6" t="n">
        <v>-2.793698476074906</v>
      </c>
      <c r="AG1236" s="6" t="n">
        <v>-0.7532934236865378</v>
      </c>
      <c r="AH1236" s="6" t="n">
        <v>2.834741620550274</v>
      </c>
      <c r="AI1236" s="6" t="n">
        <v>-0.8410855552078695</v>
      </c>
      <c r="AJ1236" s="6" t="n">
        <v>70.73938934558203</v>
      </c>
      <c r="AK1236" s="6" t="n">
        <v>0.08796775079477967</v>
      </c>
      <c r="AL1236" s="6" t="n">
        <v>1.052864538912146</v>
      </c>
      <c r="AN1236" s="6" t="n">
        <v>1.317592073316513</v>
      </c>
      <c r="AO1236" s="6" t="n">
        <v>1.317592073316513</v>
      </c>
      <c r="AP1236" s="6" t="n">
        <v>0.1324104997599542</v>
      </c>
      <c r="AQ1236" s="6" t="n">
        <v>0</v>
      </c>
      <c r="AR1236" s="6" t="n">
        <v>0</v>
      </c>
    </row>
    <row r="1237">
      <c r="D1237" t="inlineStr">
        <is>
          <t>Run 925</t>
        </is>
      </c>
      <c r="J1237" s="6" t="n">
        <v>-1.003447707831528</v>
      </c>
      <c r="K1237" s="6" t="n">
        <v>-5.671920308730031</v>
      </c>
      <c r="L1237" s="6" t="n">
        <v>1.742297131800926</v>
      </c>
      <c r="M1237" s="6" t="n">
        <v>2.380867487606303</v>
      </c>
      <c r="N1237" s="6" t="n">
        <v>-0.253190618964755</v>
      </c>
      <c r="O1237" s="6" t="n">
        <v>-2.983120646932</v>
      </c>
      <c r="P1237" s="6" t="n">
        <v>-1.655111216448542</v>
      </c>
      <c r="Q1237" s="6" t="n">
        <v>-2.65829807572971</v>
      </c>
      <c r="R1237" s="6" t="n">
        <v>0.4454594566379447</v>
      </c>
      <c r="S1237" s="6" t="n">
        <v>-0.7418940851704046</v>
      </c>
      <c r="T1237" s="6" t="n">
        <v>-1.290940135984454</v>
      </c>
      <c r="U1237" s="6" t="n">
        <v>-3.83477530826439</v>
      </c>
      <c r="V1237" s="6" t="n">
        <v>-1.791543730074353</v>
      </c>
      <c r="W1237" s="6" t="n">
        <v>1.886728446031695</v>
      </c>
      <c r="X1237" s="6" t="n">
        <v>0.650783890650474</v>
      </c>
      <c r="Y1237" s="6" t="n">
        <v>-1.530649147892043</v>
      </c>
      <c r="Z1237" s="6" t="n">
        <v>0.1294734705779516</v>
      </c>
      <c r="AA1237" s="6" t="n">
        <v>-0.9203868187321654</v>
      </c>
      <c r="AB1237" s="6" t="n">
        <v>-0.7286327994734842</v>
      </c>
      <c r="AC1237" s="6" t="n">
        <v>-0.7897847855866714</v>
      </c>
      <c r="AD1237" s="6" t="n">
        <v>0.9349086243326127</v>
      </c>
      <c r="AE1237" s="6" t="n">
        <v>1.356243717246193</v>
      </c>
      <c r="AF1237" s="6" t="n">
        <v>-2.740675238989073</v>
      </c>
      <c r="AG1237" s="6" t="n">
        <v>-3.036378187787913</v>
      </c>
      <c r="AH1237" s="6" t="n">
        <v>-2.925382757636867</v>
      </c>
      <c r="AI1237" s="6" t="n">
        <v>-2.442809089178717</v>
      </c>
      <c r="AJ1237" s="6" t="n">
        <v>75.33726357362379</v>
      </c>
      <c r="AK1237" s="6" t="n">
        <v>0.04148070154624306</v>
      </c>
      <c r="AL1237" s="6" t="n">
        <v>1.070857064669867</v>
      </c>
      <c r="AN1237" s="6" t="n">
        <v>1.313752008353741</v>
      </c>
      <c r="AO1237" s="6" t="n">
        <v>1.326512901969894</v>
      </c>
      <c r="AP1237" s="6" t="n">
        <v>0.132105777562198</v>
      </c>
      <c r="AQ1237" s="6" t="n">
        <v>0</v>
      </c>
      <c r="AR1237" s="6" t="n">
        <v>0</v>
      </c>
    </row>
    <row r="1238">
      <c r="D1238" t="inlineStr">
        <is>
          <t>Run 926</t>
        </is>
      </c>
      <c r="J1238" s="6" t="n">
        <v>4.142550663536911</v>
      </c>
      <c r="K1238" s="6" t="n">
        <v>2.290273740231465</v>
      </c>
      <c r="L1238" s="6" t="n">
        <v>2.734142956678582</v>
      </c>
      <c r="M1238" s="6" t="n">
        <v>-0.5760374361246482</v>
      </c>
      <c r="N1238" s="6" t="n">
        <v>-0.2222992301967746</v>
      </c>
      <c r="O1238" s="6" t="n">
        <v>1.287073156837072</v>
      </c>
      <c r="P1238" s="6" t="n">
        <v>0.6953629388311359</v>
      </c>
      <c r="Q1238" s="6" t="n">
        <v>-0.4822003740179392</v>
      </c>
      <c r="R1238" s="6" t="n">
        <v>-0.1029477606108469</v>
      </c>
      <c r="S1238" s="6" t="n">
        <v>4.168167346754897</v>
      </c>
      <c r="T1238" s="6" t="n">
        <v>-0.3913837639485072</v>
      </c>
      <c r="U1238" s="6" t="n">
        <v>1.851651900068576</v>
      </c>
      <c r="V1238" s="6" t="n">
        <v>1.100335817593422</v>
      </c>
      <c r="W1238" s="6" t="n">
        <v>2.76858823203834</v>
      </c>
      <c r="X1238" s="6" t="n">
        <v>-1.134482132486754</v>
      </c>
      <c r="Y1238" s="6" t="n">
        <v>-1.368558769572958</v>
      </c>
      <c r="Z1238" s="6" t="n">
        <v>2.07257233691191</v>
      </c>
      <c r="AA1238" s="6" t="n">
        <v>-1.975044625786402</v>
      </c>
      <c r="AB1238" s="6" t="n">
        <v>1.695852003137727</v>
      </c>
      <c r="AC1238" s="6" t="n">
        <v>0.6864532634170369</v>
      </c>
      <c r="AD1238" s="6" t="n">
        <v>-0.9121360895770992</v>
      </c>
      <c r="AE1238" s="6" t="n">
        <v>1.193060007667413</v>
      </c>
      <c r="AF1238" s="6" t="n">
        <v>1.177690269706746</v>
      </c>
      <c r="AG1238" s="6" t="n">
        <v>1.757096721231822</v>
      </c>
      <c r="AH1238" s="6" t="n">
        <v>2.63849897231818</v>
      </c>
      <c r="AI1238" s="6" t="n">
        <v>-2.098499734391813</v>
      </c>
      <c r="AJ1238" s="6" t="n">
        <v>75.73149637549818</v>
      </c>
      <c r="AK1238" s="6" t="n">
        <v>0.1870254366645306</v>
      </c>
      <c r="AL1238" s="6" t="n">
        <v>1.086697365590811</v>
      </c>
      <c r="AN1238" s="6" t="n">
        <v>1.324160280878497</v>
      </c>
      <c r="AO1238" s="6" t="n">
        <v>1.324908477105751</v>
      </c>
      <c r="AP1238" s="6" t="n">
        <v>0.1282677703673493</v>
      </c>
      <c r="AQ1238" s="6" t="n">
        <v>0</v>
      </c>
      <c r="AR1238" s="6" t="n">
        <v>0</v>
      </c>
    </row>
    <row r="1239">
      <c r="D1239" t="inlineStr">
        <is>
          <t>Run 927</t>
        </is>
      </c>
      <c r="J1239" s="6" t="n">
        <v>-1.559499270064793</v>
      </c>
      <c r="K1239" s="6" t="n">
        <v>2.252417158654524</v>
      </c>
      <c r="L1239" s="6" t="n">
        <v>-0.7960470251642319</v>
      </c>
      <c r="M1239" s="6" t="n">
        <v>-2.822632601382348</v>
      </c>
      <c r="N1239" s="6" t="n">
        <v>0.2682878687526754</v>
      </c>
      <c r="O1239" s="6" t="n">
        <v>-3.307319676414547</v>
      </c>
      <c r="P1239" s="6" t="n">
        <v>-0.331786481470953</v>
      </c>
      <c r="Q1239" s="6" t="n">
        <v>1.503255934116409</v>
      </c>
      <c r="R1239" s="6" t="n">
        <v>1.299110602423097</v>
      </c>
      <c r="S1239" s="6" t="n">
        <v>-1.402149842630663</v>
      </c>
      <c r="T1239" s="6" t="n">
        <v>1.947123944091855</v>
      </c>
      <c r="U1239" s="6" t="n">
        <v>-0.2821403130312321</v>
      </c>
      <c r="V1239" s="6" t="n">
        <v>1.906648325064862</v>
      </c>
      <c r="W1239" s="6" t="n">
        <v>-0.7884784883777037</v>
      </c>
      <c r="X1239" s="6" t="n">
        <v>0.6492306879335744</v>
      </c>
      <c r="Y1239" s="6" t="n">
        <v>0.5452410397683646</v>
      </c>
      <c r="Z1239" s="6" t="n">
        <v>0.4746962193137288</v>
      </c>
      <c r="AA1239" s="6" t="n">
        <v>-0.4893288895022193</v>
      </c>
      <c r="AB1239" s="6" t="n">
        <v>1.965870240109719</v>
      </c>
      <c r="AC1239" s="6" t="n">
        <v>1.079382806170658</v>
      </c>
      <c r="AD1239" s="6" t="n">
        <v>-3.201617028029086</v>
      </c>
      <c r="AE1239" s="6" t="n">
        <v>-3.401504120864923</v>
      </c>
      <c r="AF1239" s="6" t="n">
        <v>-2.874872685086287</v>
      </c>
      <c r="AG1239" s="6" t="n">
        <v>1.835035222858024</v>
      </c>
      <c r="AH1239" s="6" t="n">
        <v>0.9526163908688769</v>
      </c>
      <c r="AI1239" s="6" t="n">
        <v>4.155826288517698</v>
      </c>
      <c r="AJ1239" s="6" t="n">
        <v>76.46513615527699</v>
      </c>
      <c r="AK1239" s="6" t="n">
        <v>0.1025318504474588</v>
      </c>
      <c r="AL1239" s="6" t="n">
        <v>1.072011523461277</v>
      </c>
      <c r="AN1239" s="6" t="n">
        <v>1.316305662122172</v>
      </c>
      <c r="AO1239" s="6" t="n">
        <v>1.325807138062672</v>
      </c>
      <c r="AP1239" s="6" t="n">
        <v>0.1313409198097956</v>
      </c>
      <c r="AQ1239" s="6" t="n">
        <v>0</v>
      </c>
      <c r="AR1239" s="6" t="n">
        <v>0</v>
      </c>
    </row>
    <row r="1240">
      <c r="D1240" t="inlineStr">
        <is>
          <t>Run 928</t>
        </is>
      </c>
      <c r="J1240" s="6" t="n">
        <v>1.058765306526995</v>
      </c>
      <c r="K1240" s="6" t="n">
        <v>2.578893468000286</v>
      </c>
      <c r="L1240" s="6" t="n">
        <v>0.3378784301600689</v>
      </c>
      <c r="M1240" s="6" t="n">
        <v>-1.835829197635672</v>
      </c>
      <c r="N1240" s="6" t="n">
        <v>-3.503755992335936</v>
      </c>
      <c r="O1240" s="6" t="n">
        <v>1.414524406285462</v>
      </c>
      <c r="P1240" s="6" t="n">
        <v>4.352717257702474</v>
      </c>
      <c r="Q1240" s="6" t="n">
        <v>0.3355974192523494</v>
      </c>
      <c r="R1240" s="6" t="n">
        <v>-0.8335728972573551</v>
      </c>
      <c r="S1240" s="6" t="n">
        <v>2.669234787606594</v>
      </c>
      <c r="T1240" s="6" t="n">
        <v>-2.635739675257421</v>
      </c>
      <c r="U1240" s="6" t="n">
        <v>0.2325432447091998</v>
      </c>
      <c r="V1240" s="6" t="n">
        <v>0.5232539835160975</v>
      </c>
      <c r="W1240" s="6" t="n">
        <v>-0.9933284845573658</v>
      </c>
      <c r="X1240" s="6" t="n">
        <v>0.4287130101482717</v>
      </c>
      <c r="Y1240" s="6" t="n">
        <v>2.188945428055215</v>
      </c>
      <c r="Z1240" s="6" t="n">
        <v>0.4937801935997261</v>
      </c>
      <c r="AA1240" s="6" t="n">
        <v>-0.5472818047416849</v>
      </c>
      <c r="AB1240" s="6" t="n">
        <v>1.219809531732384</v>
      </c>
      <c r="AC1240" s="6" t="n">
        <v>0.8195854506522124</v>
      </c>
      <c r="AD1240" s="6" t="n">
        <v>-3.209384228017512</v>
      </c>
      <c r="AE1240" s="6" t="n">
        <v>-0.9262065689723062</v>
      </c>
      <c r="AF1240" s="6" t="n">
        <v>-2.049070805756313</v>
      </c>
      <c r="AG1240" s="6" t="n">
        <v>-0.3407786459146456</v>
      </c>
      <c r="AH1240" s="6" t="n">
        <v>1.008793434759852</v>
      </c>
      <c r="AI1240" s="6" t="n">
        <v>0.4626432314334268</v>
      </c>
      <c r="AJ1240" s="6" t="n">
        <v>75.93685189897403</v>
      </c>
      <c r="AK1240" s="6" t="n">
        <v>0.1531295264844597</v>
      </c>
      <c r="AL1240" s="6" t="n">
        <v>1.073052187987728</v>
      </c>
      <c r="AN1240" s="6" t="n">
        <v>1.326778090362135</v>
      </c>
      <c r="AO1240" s="6" t="n">
        <v>1.327677314294828</v>
      </c>
      <c r="AP1240" s="6" t="n">
        <v>0.1299365497153116</v>
      </c>
      <c r="AQ1240" s="6" t="n">
        <v>0</v>
      </c>
      <c r="AR1240" s="6" t="n">
        <v>0</v>
      </c>
    </row>
    <row r="1241">
      <c r="D1241" t="inlineStr">
        <is>
          <t>Run 929</t>
        </is>
      </c>
      <c r="J1241" s="6" t="n">
        <v>-1.168416080194098</v>
      </c>
      <c r="K1241" s="6" t="n">
        <v>-2.783135613431706</v>
      </c>
      <c r="L1241" s="6" t="n">
        <v>-0.4386715159770934</v>
      </c>
      <c r="M1241" s="6" t="n">
        <v>4.043146354874586</v>
      </c>
      <c r="N1241" s="6" t="n">
        <v>-0.03594590574958301</v>
      </c>
      <c r="O1241" s="6" t="n">
        <v>1.041783226621465</v>
      </c>
      <c r="P1241" s="6" t="n">
        <v>-1.436348475434328</v>
      </c>
      <c r="Q1241" s="6" t="n">
        <v>-0.5631692254362195</v>
      </c>
      <c r="R1241" s="6" t="n">
        <v>-1.61318892015456</v>
      </c>
      <c r="S1241" s="6" t="n">
        <v>1.305619823559257</v>
      </c>
      <c r="T1241" s="6" t="n">
        <v>0.216348084814005</v>
      </c>
      <c r="U1241" s="6" t="n">
        <v>1.503941700709808</v>
      </c>
      <c r="V1241" s="6" t="n">
        <v>-0.960194442768901</v>
      </c>
      <c r="W1241" s="6" t="n">
        <v>-1.64714144249155</v>
      </c>
      <c r="X1241" s="6" t="n">
        <v>0.2402918811187609</v>
      </c>
      <c r="Y1241" s="6" t="n">
        <v>0.3502583131399835</v>
      </c>
      <c r="Z1241" s="6" t="n">
        <v>-1.463668184822795</v>
      </c>
      <c r="AA1241" s="6" t="n">
        <v>0.3316182704131821</v>
      </c>
      <c r="AB1241" s="6" t="n">
        <v>-0.6976529171106126</v>
      </c>
      <c r="AC1241" s="6" t="n">
        <v>0.1812367382322939</v>
      </c>
      <c r="AD1241" s="6" t="n">
        <v>2.325417603014942</v>
      </c>
      <c r="AE1241" s="6" t="n">
        <v>-2.41503402333318</v>
      </c>
      <c r="AF1241" s="6" t="n">
        <v>-3.031763161635314</v>
      </c>
      <c r="AG1241" s="6" t="n">
        <v>2.701185182381696</v>
      </c>
      <c r="AH1241" s="6" t="n">
        <v>-0.7357812606074767</v>
      </c>
      <c r="AI1241" s="6" t="n">
        <v>1.086770693732528</v>
      </c>
      <c r="AJ1241" s="6" t="n">
        <v>80.13536261944526</v>
      </c>
      <c r="AK1241" s="6" t="n">
        <v>0.1278881523775</v>
      </c>
      <c r="AL1241" s="6" t="n">
        <v>1.038012699170167</v>
      </c>
      <c r="AN1241" s="6" t="n">
        <v>1.350632345953916</v>
      </c>
      <c r="AO1241" s="6" t="n">
        <v>1.351734772740316</v>
      </c>
      <c r="AP1241" s="6" t="n">
        <v>0.1341000426867137</v>
      </c>
      <c r="AQ1241" s="6" t="n">
        <v>0</v>
      </c>
      <c r="AR1241" s="6" t="n">
        <v>0</v>
      </c>
    </row>
    <row r="1242">
      <c r="D1242" t="inlineStr">
        <is>
          <t>Run 930</t>
        </is>
      </c>
      <c r="J1242" s="6" t="n">
        <v>-0.2647770407936085</v>
      </c>
      <c r="K1242" s="6" t="n">
        <v>1.046730961507675</v>
      </c>
      <c r="L1242" s="6" t="n">
        <v>-2.560124320549513</v>
      </c>
      <c r="M1242" s="6" t="n">
        <v>-2.406446748837543</v>
      </c>
      <c r="N1242" s="6" t="n">
        <v>-1.859790354607983</v>
      </c>
      <c r="O1242" s="6" t="n">
        <v>1.5044591018978</v>
      </c>
      <c r="P1242" s="6" t="n">
        <v>3.198129531691629</v>
      </c>
      <c r="Q1242" s="6" t="n">
        <v>-0.2959097314234211</v>
      </c>
      <c r="R1242" s="6" t="n">
        <v>-0.1873242206848923</v>
      </c>
      <c r="S1242" s="6" t="n">
        <v>4.606962964610038</v>
      </c>
      <c r="T1242" s="6" t="n">
        <v>-0.09852054629472154</v>
      </c>
      <c r="U1242" s="6" t="n">
        <v>4.195182041636522</v>
      </c>
      <c r="V1242" s="6" t="n">
        <v>-1.395829802392793</v>
      </c>
      <c r="W1242" s="6" t="n">
        <v>-0.9373057659826346</v>
      </c>
      <c r="X1242" s="6" t="n">
        <v>-0.8125290913267214</v>
      </c>
      <c r="Y1242" s="6" t="n">
        <v>-1.962318248347168</v>
      </c>
      <c r="Z1242" s="6" t="n">
        <v>-1.199774933705555</v>
      </c>
      <c r="AA1242" s="6" t="n">
        <v>1.618908657266496</v>
      </c>
      <c r="AB1242" s="6" t="n">
        <v>1.190881858663976</v>
      </c>
      <c r="AC1242" s="6" t="n">
        <v>-2.690885522846354</v>
      </c>
      <c r="AD1242" s="6" t="n">
        <v>0.8209572728543151</v>
      </c>
      <c r="AE1242" s="6" t="n">
        <v>-3.423001165020831</v>
      </c>
      <c r="AF1242" s="6" t="n">
        <v>-0.6434853905270462</v>
      </c>
      <c r="AG1242" s="6" t="n">
        <v>-2.215518989677506</v>
      </c>
      <c r="AH1242" s="6" t="n">
        <v>2.435725847035508</v>
      </c>
      <c r="AI1242" s="6" t="n">
        <v>-2.288299844992925</v>
      </c>
      <c r="AJ1242" s="6" t="n">
        <v>74.89868566642613</v>
      </c>
      <c r="AK1242" s="6" t="n">
        <v>0.07866716344270236</v>
      </c>
      <c r="AL1242" s="6" t="n">
        <v>1.009011842676689</v>
      </c>
      <c r="AN1242" s="6" t="n">
        <v>1.343838215104049</v>
      </c>
      <c r="AO1242" s="6" t="n">
        <v>1.350071334651243</v>
      </c>
      <c r="AP1242" s="6" t="n">
        <v>0.1381687630930628</v>
      </c>
      <c r="AQ1242" s="6" t="n">
        <v>0</v>
      </c>
      <c r="AR1242" s="6" t="n">
        <v>0</v>
      </c>
    </row>
    <row r="1243">
      <c r="D1243" t="inlineStr">
        <is>
          <t>Run 931</t>
        </is>
      </c>
      <c r="J1243" s="6" t="n">
        <v>-1.928005887858535</v>
      </c>
      <c r="K1243" s="6" t="n">
        <v>4.487856594887918</v>
      </c>
      <c r="L1243" s="6" t="n">
        <v>1.659779923546316</v>
      </c>
      <c r="M1243" s="6" t="n">
        <v>-2.943546529275401</v>
      </c>
      <c r="N1243" s="6" t="n">
        <v>-1.310819362895592</v>
      </c>
      <c r="O1243" s="6" t="n">
        <v>1.305777474324345</v>
      </c>
      <c r="P1243" s="6" t="n">
        <v>-1.983569894299207</v>
      </c>
      <c r="Q1243" s="6" t="n">
        <v>-2.107915697870143</v>
      </c>
      <c r="R1243" s="6" t="n">
        <v>-0.3857682733631554</v>
      </c>
      <c r="S1243" s="6" t="n">
        <v>-0.1644625991422045</v>
      </c>
      <c r="T1243" s="6" t="n">
        <v>-0.4910825699368153</v>
      </c>
      <c r="U1243" s="6" t="n">
        <v>2.616062712865399</v>
      </c>
      <c r="V1243" s="6" t="n">
        <v>-1.441860923549673</v>
      </c>
      <c r="W1243" s="6" t="n">
        <v>-0.6039556501311802</v>
      </c>
      <c r="X1243" s="6" t="n">
        <v>3.892206573356868</v>
      </c>
      <c r="Y1243" s="6" t="n">
        <v>0.4031694724453982</v>
      </c>
      <c r="Z1243" s="6" t="n">
        <v>-2.417771394151395</v>
      </c>
      <c r="AA1243" s="6" t="n">
        <v>3.076779887352463</v>
      </c>
      <c r="AB1243" s="6" t="n">
        <v>-1.688706634161876</v>
      </c>
      <c r="AC1243" s="6" t="n">
        <v>0.5604840123777884</v>
      </c>
      <c r="AD1243" s="6" t="n">
        <v>-3.328061942109108</v>
      </c>
      <c r="AE1243" s="6" t="n">
        <v>1.799685017382924</v>
      </c>
      <c r="AF1243" s="6" t="n">
        <v>-1.2772823582368</v>
      </c>
      <c r="AG1243" s="6" t="n">
        <v>-2.314186485960939</v>
      </c>
      <c r="AH1243" s="6" t="n">
        <v>0.3109518062725726</v>
      </c>
      <c r="AI1243" s="6" t="n">
        <v>1.988079290883571</v>
      </c>
      <c r="AJ1243" s="6" t="n">
        <v>61.61786992655784</v>
      </c>
      <c r="AK1243" s="6" t="n">
        <v>0.12435820875679</v>
      </c>
      <c r="AL1243" s="6" t="n">
        <v>1.055233129799316</v>
      </c>
      <c r="AN1243" s="6" t="n">
        <v>1.312227118761745</v>
      </c>
      <c r="AO1243" s="6" t="n">
        <v>1.318916486280222</v>
      </c>
      <c r="AP1243" s="6" t="n">
        <v>0.1307089789888706</v>
      </c>
      <c r="AQ1243" s="6" t="n">
        <v>0</v>
      </c>
      <c r="AR1243" s="6" t="n">
        <v>0</v>
      </c>
    </row>
    <row r="1244">
      <c r="D1244" t="inlineStr">
        <is>
          <t>Run 932</t>
        </is>
      </c>
      <c r="J1244" s="6" t="n">
        <v>1.517745394363164</v>
      </c>
      <c r="K1244" s="6" t="n">
        <v>1.399493109553237</v>
      </c>
      <c r="L1244" s="6" t="n">
        <v>-1.905069439044101</v>
      </c>
      <c r="M1244" s="6" t="n">
        <v>-1.379469856870901</v>
      </c>
      <c r="N1244" s="6" t="n">
        <v>-0.05312634848269636</v>
      </c>
      <c r="O1244" s="6" t="n">
        <v>1.206596946921526</v>
      </c>
      <c r="P1244" s="6" t="n">
        <v>0.06025777311367804</v>
      </c>
      <c r="Q1244" s="6" t="n">
        <v>-2.29311660988346</v>
      </c>
      <c r="R1244" s="6" t="n">
        <v>-2.032151267102658</v>
      </c>
      <c r="S1244" s="6" t="n">
        <v>-2.198030217407933</v>
      </c>
      <c r="T1244" s="6" t="n">
        <v>-2.477273666720857</v>
      </c>
      <c r="U1244" s="6" t="n">
        <v>-2.589627209039852</v>
      </c>
      <c r="V1244" s="6" t="n">
        <v>2.410033666369215</v>
      </c>
      <c r="W1244" s="6" t="n">
        <v>1.356774128124571</v>
      </c>
      <c r="X1244" s="6" t="n">
        <v>-3.174706958448106</v>
      </c>
      <c r="Y1244" s="6" t="n">
        <v>1.594882301276697</v>
      </c>
      <c r="Z1244" s="6" t="n">
        <v>-0.3564953309594631</v>
      </c>
      <c r="AA1244" s="6" t="n">
        <v>0.5057972922082637</v>
      </c>
      <c r="AB1244" s="6" t="n">
        <v>-4.513866654844291</v>
      </c>
      <c r="AC1244" s="6" t="n">
        <v>2.44243441966587</v>
      </c>
      <c r="AD1244" s="6" t="n">
        <v>-1.31917710269244</v>
      </c>
      <c r="AE1244" s="6" t="n">
        <v>1.206591766768365</v>
      </c>
      <c r="AF1244" s="6" t="n">
        <v>-0.6656178267604138</v>
      </c>
      <c r="AG1244" s="6" t="n">
        <v>-4.670685971675637</v>
      </c>
      <c r="AH1244" s="6" t="n">
        <v>-2.349727833691535</v>
      </c>
      <c r="AI1244" s="6" t="n">
        <v>2.86299993384322</v>
      </c>
      <c r="AJ1244" s="6" t="n">
        <v>65.33074864594781</v>
      </c>
      <c r="AK1244" s="6" t="n">
        <v>0.07123057555253964</v>
      </c>
      <c r="AL1244" s="6" t="n">
        <v>1.062066050162166</v>
      </c>
      <c r="AN1244" s="6" t="n">
        <v>1.336951204462388</v>
      </c>
      <c r="AO1244" s="6" t="n">
        <v>1.340283097051466</v>
      </c>
      <c r="AP1244" s="6" t="n">
        <v>0.1316942988862543</v>
      </c>
      <c r="AQ1244" s="6" t="n">
        <v>0</v>
      </c>
      <c r="AR1244" s="6" t="n">
        <v>0</v>
      </c>
    </row>
    <row r="1245">
      <c r="D1245" t="inlineStr">
        <is>
          <t>Run 933</t>
        </is>
      </c>
      <c r="J1245" s="6" t="n">
        <v>-5.397806826624121</v>
      </c>
      <c r="K1245" s="6" t="n">
        <v>4.042259589194416</v>
      </c>
      <c r="L1245" s="6" t="n">
        <v>0.1292806142814132</v>
      </c>
      <c r="M1245" s="6" t="n">
        <v>0.4944817083910934</v>
      </c>
      <c r="N1245" s="6" t="n">
        <v>-1.087364819127469</v>
      </c>
      <c r="O1245" s="6" t="n">
        <v>0.1186431813314194</v>
      </c>
      <c r="P1245" s="6" t="n">
        <v>-0.03897077223512949</v>
      </c>
      <c r="Q1245" s="6" t="n">
        <v>2.687407636161037</v>
      </c>
      <c r="R1245" s="6" t="n">
        <v>2.394515639746416</v>
      </c>
      <c r="S1245" s="6" t="n">
        <v>-3.615469258452336</v>
      </c>
      <c r="T1245" s="6" t="n">
        <v>-3.221421609412797</v>
      </c>
      <c r="U1245" s="6" t="n">
        <v>-1.607306546556849</v>
      </c>
      <c r="V1245" s="6" t="n">
        <v>-1.560010273005179</v>
      </c>
      <c r="W1245" s="6" t="n">
        <v>2.178637130029844</v>
      </c>
      <c r="X1245" s="6" t="n">
        <v>3.772944848357899</v>
      </c>
      <c r="Y1245" s="6" t="n">
        <v>0.1046290495676623</v>
      </c>
      <c r="Z1245" s="6" t="n">
        <v>1.978880649997668</v>
      </c>
      <c r="AA1245" s="6" t="n">
        <v>0.7051195520747974</v>
      </c>
      <c r="AB1245" s="6" t="n">
        <v>-1.915317182404886</v>
      </c>
      <c r="AC1245" s="6" t="n">
        <v>-0.8459496487331569</v>
      </c>
      <c r="AD1245" s="6" t="n">
        <v>-2.080448316127852</v>
      </c>
      <c r="AE1245" s="6" t="n">
        <v>-1.494119132573286</v>
      </c>
      <c r="AF1245" s="6" t="n">
        <v>2.946793236882154</v>
      </c>
      <c r="AG1245" s="6" t="n">
        <v>0.759115770899276</v>
      </c>
      <c r="AH1245" s="6" t="n">
        <v>-1.213527892292976</v>
      </c>
      <c r="AI1245" s="6" t="n">
        <v>-0.1168934105339759</v>
      </c>
      <c r="AJ1245" s="6" t="n">
        <v>80.74712838582792</v>
      </c>
      <c r="AK1245" s="6" t="n">
        <v>0.1845461113466961</v>
      </c>
      <c r="AL1245" s="6" t="n">
        <v>1.070106294623099</v>
      </c>
      <c r="AN1245" s="6" t="n">
        <v>1.325132954437061</v>
      </c>
      <c r="AO1245" s="6" t="n">
        <v>1.325132954437061</v>
      </c>
      <c r="AP1245" s="6" t="n">
        <v>0.1294592225664495</v>
      </c>
      <c r="AQ1245" s="6" t="n">
        <v>0</v>
      </c>
      <c r="AR1245" s="6" t="n">
        <v>0</v>
      </c>
    </row>
    <row r="1246">
      <c r="D1246" t="inlineStr">
        <is>
          <t>Run 934</t>
        </is>
      </c>
      <c r="J1246" s="6" t="n">
        <v>-3.724151627305788</v>
      </c>
      <c r="K1246" s="6" t="n">
        <v>-0.6943903400039634</v>
      </c>
      <c r="L1246" s="6" t="n">
        <v>-1.995913509146006</v>
      </c>
      <c r="M1246" s="6" t="n">
        <v>-0.958498195725048</v>
      </c>
      <c r="N1246" s="6" t="n">
        <v>-0.1032757533957405</v>
      </c>
      <c r="O1246" s="6" t="n">
        <v>0.8443212483301104</v>
      </c>
      <c r="P1246" s="6" t="n">
        <v>1.31346233810284</v>
      </c>
      <c r="Q1246" s="6" t="n">
        <v>0.5911680382103861</v>
      </c>
      <c r="R1246" s="6" t="n">
        <v>2.987331674617792</v>
      </c>
      <c r="S1246" s="6" t="n">
        <v>-0.2846990963142966</v>
      </c>
      <c r="T1246" s="6" t="n">
        <v>0.2084011116950147</v>
      </c>
      <c r="U1246" s="6" t="n">
        <v>2.670755371779871</v>
      </c>
      <c r="V1246" s="6" t="n">
        <v>0.8389021850851688</v>
      </c>
      <c r="W1246" s="6" t="n">
        <v>-1.86364226726122</v>
      </c>
      <c r="X1246" s="6" t="n">
        <v>-3.762229760586904</v>
      </c>
      <c r="Y1246" s="6" t="n">
        <v>-0.5886997244210703</v>
      </c>
      <c r="Z1246" s="6" t="n">
        <v>2.103461600579566</v>
      </c>
      <c r="AA1246" s="6" t="n">
        <v>3.999967126742656</v>
      </c>
      <c r="AB1246" s="6" t="n">
        <v>1.443171543249048</v>
      </c>
      <c r="AC1246" s="6" t="n">
        <v>-1.499982066377991</v>
      </c>
      <c r="AD1246" s="6" t="n">
        <v>4.252465740262116</v>
      </c>
      <c r="AE1246" s="6" t="n">
        <v>2.365820117755035</v>
      </c>
      <c r="AF1246" s="6" t="n">
        <v>0.0332438592943984</v>
      </c>
      <c r="AG1246" s="6" t="n">
        <v>0.598930056482079</v>
      </c>
      <c r="AH1246" s="6" t="n">
        <v>1.041641248067636</v>
      </c>
      <c r="AI1246" s="6" t="n">
        <v>-0.2790111439482617</v>
      </c>
      <c r="AJ1246" s="6" t="n">
        <v>76.94881670350067</v>
      </c>
      <c r="AK1246" s="6" t="n">
        <v>0.1422066183473827</v>
      </c>
      <c r="AL1246" s="6" t="n">
        <v>1.044698061261806</v>
      </c>
      <c r="AN1246" s="6" t="n">
        <v>1.347430045940623</v>
      </c>
      <c r="AO1246" s="6" t="n">
        <v>1.348857908514538</v>
      </c>
      <c r="AP1246" s="6" t="n">
        <v>0.1329031888891474</v>
      </c>
      <c r="AQ1246" s="6" t="n">
        <v>0</v>
      </c>
      <c r="AR1246" s="6" t="n">
        <v>0</v>
      </c>
    </row>
    <row r="1247">
      <c r="D1247" t="inlineStr">
        <is>
          <t>Run 935</t>
        </is>
      </c>
      <c r="J1247" s="6" t="n">
        <v>-1.244397134045214</v>
      </c>
      <c r="K1247" s="6" t="n">
        <v>2.444221627775169</v>
      </c>
      <c r="L1247" s="6" t="n">
        <v>2.844433792804816</v>
      </c>
      <c r="M1247" s="6" t="n">
        <v>3.46574308752427</v>
      </c>
      <c r="N1247" s="6" t="n">
        <v>-0.309043043484993</v>
      </c>
      <c r="O1247" s="6" t="n">
        <v>0.1366212993664358</v>
      </c>
      <c r="P1247" s="6" t="n">
        <v>-2.660398174371402</v>
      </c>
      <c r="Q1247" s="6" t="n">
        <v>0.7838137050236318</v>
      </c>
      <c r="R1247" s="6" t="n">
        <v>-0.9894500365386132</v>
      </c>
      <c r="S1247" s="6" t="n">
        <v>-0.2248500683355418</v>
      </c>
      <c r="T1247" s="6" t="n">
        <v>1.600666500610505</v>
      </c>
      <c r="U1247" s="6" t="n">
        <v>0.09254110163338594</v>
      </c>
      <c r="V1247" s="6" t="n">
        <v>-0.8904839161379455</v>
      </c>
      <c r="W1247" s="6" t="n">
        <v>-3.568548728173664</v>
      </c>
      <c r="X1247" s="6" t="n">
        <v>-4.547183090844157</v>
      </c>
      <c r="Y1247" s="6" t="n">
        <v>-3.773078528887298</v>
      </c>
      <c r="Z1247" s="6" t="n">
        <v>-2.660651678416538</v>
      </c>
      <c r="AA1247" s="6" t="n">
        <v>-0.903707758018118</v>
      </c>
      <c r="AB1247" s="6" t="n">
        <v>-4.676973439583931</v>
      </c>
      <c r="AC1247" s="6" t="n">
        <v>1.103748782832487</v>
      </c>
      <c r="AD1247" s="6" t="n">
        <v>-0.3178049739352327</v>
      </c>
      <c r="AE1247" s="6" t="n">
        <v>-0.6886400461669447</v>
      </c>
      <c r="AF1247" s="6" t="n">
        <v>0.5167286526297439</v>
      </c>
      <c r="AG1247" s="6" t="n">
        <v>0.5396002047122286</v>
      </c>
      <c r="AH1247" s="6" t="n">
        <v>2.451597303823721</v>
      </c>
      <c r="AI1247" s="6" t="n">
        <v>0.3905411099635243</v>
      </c>
      <c r="AJ1247" s="6" t="n">
        <v>67.34867928343019</v>
      </c>
      <c r="AK1247" s="6" t="n">
        <v>0.106619695679854</v>
      </c>
      <c r="AL1247" s="6" t="n">
        <v>1.060487198805073</v>
      </c>
      <c r="AN1247" s="6" t="n">
        <v>1.339434879580936</v>
      </c>
      <c r="AO1247" s="6" t="n">
        <v>1.340138881589923</v>
      </c>
      <c r="AP1247" s="6" t="n">
        <v>0.1313948588996076</v>
      </c>
      <c r="AQ1247" s="6" t="n">
        <v>0</v>
      </c>
      <c r="AR1247" s="6" t="n">
        <v>0</v>
      </c>
    </row>
    <row r="1248">
      <c r="D1248" t="inlineStr">
        <is>
          <t>Run 936</t>
        </is>
      </c>
      <c r="J1248" s="6" t="n">
        <v>-0.2028033693549254</v>
      </c>
      <c r="K1248" s="6" t="n">
        <v>-0.4099462523099254</v>
      </c>
      <c r="L1248" s="6" t="n">
        <v>-1.585531187535582</v>
      </c>
      <c r="M1248" s="6" t="n">
        <v>2.350495628721136</v>
      </c>
      <c r="N1248" s="6" t="n">
        <v>-2.34995113729338</v>
      </c>
      <c r="O1248" s="6" t="n">
        <v>1.579937624959693</v>
      </c>
      <c r="P1248" s="6" t="n">
        <v>-0.681292785970989</v>
      </c>
      <c r="Q1248" s="6" t="n">
        <v>0.2587878268243834</v>
      </c>
      <c r="R1248" s="6" t="n">
        <v>0.6036970466321631</v>
      </c>
      <c r="S1248" s="6" t="n">
        <v>-0.6172356115480114</v>
      </c>
      <c r="T1248" s="6" t="n">
        <v>1.825483334832822</v>
      </c>
      <c r="U1248" s="6" t="n">
        <v>0.431006157739074</v>
      </c>
      <c r="V1248" s="6" t="n">
        <v>2.38091873615722</v>
      </c>
      <c r="W1248" s="6" t="n">
        <v>3.14801746315321</v>
      </c>
      <c r="X1248" s="6" t="n">
        <v>3.346537357893672</v>
      </c>
      <c r="Y1248" s="6" t="n">
        <v>-0.0197150867876215</v>
      </c>
      <c r="Z1248" s="6" t="n">
        <v>0.657690777141817</v>
      </c>
      <c r="AA1248" s="6" t="n">
        <v>-0.8670627523879926</v>
      </c>
      <c r="AB1248" s="6" t="n">
        <v>1.617435385017807</v>
      </c>
      <c r="AC1248" s="6" t="n">
        <v>-3.207314253725257</v>
      </c>
      <c r="AD1248" s="6" t="n">
        <v>3.215365571474484</v>
      </c>
      <c r="AE1248" s="6" t="n">
        <v>2.731386792077161</v>
      </c>
      <c r="AF1248" s="6" t="n">
        <v>-2.683598050167133</v>
      </c>
      <c r="AG1248" s="6" t="n">
        <v>1.301866095052323</v>
      </c>
      <c r="AH1248" s="6" t="n">
        <v>2.40228843314515</v>
      </c>
      <c r="AI1248" s="6" t="n">
        <v>-0.3436348488253439</v>
      </c>
      <c r="AJ1248" s="6" t="n">
        <v>81.61128318450362</v>
      </c>
      <c r="AK1248" s="6" t="n">
        <v>0.1558625517237713</v>
      </c>
      <c r="AL1248" s="6" t="n">
        <v>0.9871223055816545</v>
      </c>
      <c r="AN1248" s="6" t="n">
        <v>1.364018969467558</v>
      </c>
      <c r="AO1248" s="6" t="n">
        <v>1.364018969467558</v>
      </c>
      <c r="AP1248" s="6" t="n">
        <v>0.1419541797297389</v>
      </c>
      <c r="AQ1248" s="6" t="n">
        <v>0</v>
      </c>
      <c r="AR1248" s="6" t="n">
        <v>0</v>
      </c>
    </row>
    <row r="1249">
      <c r="D1249" t="inlineStr">
        <is>
          <t>Run 937</t>
        </is>
      </c>
      <c r="J1249" s="6" t="n">
        <v>-2.650659916591227</v>
      </c>
      <c r="K1249" s="6" t="n">
        <v>2.961716015737866</v>
      </c>
      <c r="L1249" s="6" t="n">
        <v>-2.572429073206685</v>
      </c>
      <c r="M1249" s="6" t="n">
        <v>4.059162768037299</v>
      </c>
      <c r="N1249" s="6" t="n">
        <v>2.74512470817843</v>
      </c>
      <c r="O1249" s="6" t="n">
        <v>1.412096412326417</v>
      </c>
      <c r="P1249" s="6" t="n">
        <v>1.569994031755119</v>
      </c>
      <c r="Q1249" s="6" t="n">
        <v>0.1609368923500557</v>
      </c>
      <c r="R1249" s="6" t="n">
        <v>-0.3243266347572232</v>
      </c>
      <c r="S1249" s="6" t="n">
        <v>-0.8029077563266137</v>
      </c>
      <c r="T1249" s="6" t="n">
        <v>-1.495249457179466</v>
      </c>
      <c r="U1249" s="6" t="n">
        <v>2.872091443556333</v>
      </c>
      <c r="V1249" s="6" t="n">
        <v>-3.719649740567157</v>
      </c>
      <c r="W1249" s="6" t="n">
        <v>-0.1098866485031114</v>
      </c>
      <c r="X1249" s="6" t="n">
        <v>3.085618246025261</v>
      </c>
      <c r="Y1249" s="6" t="n">
        <v>0.7414968585954073</v>
      </c>
      <c r="Z1249" s="6" t="n">
        <v>0.7693683769126529</v>
      </c>
      <c r="AA1249" s="6" t="n">
        <v>2.325323807188032</v>
      </c>
      <c r="AB1249" s="6" t="n">
        <v>-0.3523527406211046</v>
      </c>
      <c r="AC1249" s="6" t="n">
        <v>1.50242028060351</v>
      </c>
      <c r="AD1249" s="6" t="n">
        <v>1.892397417720595</v>
      </c>
      <c r="AE1249" s="6" t="n">
        <v>1.369081257441287</v>
      </c>
      <c r="AF1249" s="6" t="n">
        <v>-1.113291963008922</v>
      </c>
      <c r="AG1249" s="6" t="n">
        <v>-3.543494687993213</v>
      </c>
      <c r="AH1249" s="6" t="n">
        <v>0.933339233155814</v>
      </c>
      <c r="AI1249" s="6" t="n">
        <v>-1.824707085641718</v>
      </c>
      <c r="AJ1249" s="6" t="n">
        <v>71.55516342538992</v>
      </c>
      <c r="AK1249" s="6" t="n">
        <v>0.1129337472488872</v>
      </c>
      <c r="AL1249" s="6" t="n">
        <v>1.056961594084131</v>
      </c>
      <c r="AN1249" s="6" t="n">
        <v>1.340908314793045</v>
      </c>
      <c r="AO1249" s="6" t="n">
        <v>1.341499872556089</v>
      </c>
      <c r="AP1249" s="6" t="n">
        <v>0.1319655653623705</v>
      </c>
      <c r="AQ1249" s="6" t="n">
        <v>0</v>
      </c>
      <c r="AR1249" s="6" t="n">
        <v>0</v>
      </c>
    </row>
    <row r="1250">
      <c r="D1250" t="inlineStr">
        <is>
          <t>Run 938</t>
        </is>
      </c>
      <c r="J1250" s="6" t="n">
        <v>1.371054163380333</v>
      </c>
      <c r="K1250" s="6" t="n">
        <v>-0.06044264532514447</v>
      </c>
      <c r="L1250" s="6" t="n">
        <v>-1.895582208262363</v>
      </c>
      <c r="M1250" s="6" t="n">
        <v>3.886994423431938</v>
      </c>
      <c r="N1250" s="6" t="n">
        <v>-2.471818101460803</v>
      </c>
      <c r="O1250" s="6" t="n">
        <v>0.7930309227128678</v>
      </c>
      <c r="P1250" s="6" t="n">
        <v>1.863156501407388</v>
      </c>
      <c r="Q1250" s="6" t="n">
        <v>2.887862646014237</v>
      </c>
      <c r="R1250" s="6" t="n">
        <v>-0.6263660820937463</v>
      </c>
      <c r="S1250" s="6" t="n">
        <v>1.170473361428055</v>
      </c>
      <c r="T1250" s="6" t="n">
        <v>-1.702518935395739</v>
      </c>
      <c r="U1250" s="6" t="n">
        <v>-0.6509596035559833</v>
      </c>
      <c r="V1250" s="6" t="n">
        <v>-2.898164608364075</v>
      </c>
      <c r="W1250" s="6" t="n">
        <v>-2.485003229780584</v>
      </c>
      <c r="X1250" s="6" t="n">
        <v>-2.777424828892604</v>
      </c>
      <c r="Y1250" s="6" t="n">
        <v>-1.248433467323969</v>
      </c>
      <c r="Z1250" s="6" t="n">
        <v>1.070528995822859</v>
      </c>
      <c r="AA1250" s="6" t="n">
        <v>2.648804136805114</v>
      </c>
      <c r="AB1250" s="6" t="n">
        <v>5</v>
      </c>
      <c r="AC1250" s="6" t="n">
        <v>0.9496970888083448</v>
      </c>
      <c r="AD1250" s="6" t="n">
        <v>-0.2715495378000917</v>
      </c>
      <c r="AE1250" s="6" t="n">
        <v>0.8837743218110451</v>
      </c>
      <c r="AF1250" s="6" t="n">
        <v>2.86787745571949</v>
      </c>
      <c r="AG1250" s="6" t="n">
        <v>1.091149232744199</v>
      </c>
      <c r="AH1250" s="6" t="n">
        <v>2.309611368376904</v>
      </c>
      <c r="AI1250" s="6" t="n">
        <v>4.1766061797108</v>
      </c>
      <c r="AJ1250" s="6" t="n">
        <v>77.519969325763</v>
      </c>
      <c r="AK1250" s="6" t="n">
        <v>0.1504600441572911</v>
      </c>
      <c r="AL1250" s="6" t="n">
        <v>1.062374336131017</v>
      </c>
      <c r="AN1250" s="6" t="n">
        <v>1.339507635671619</v>
      </c>
      <c r="AO1250" s="6" t="n">
        <v>1.340167377817091</v>
      </c>
      <c r="AP1250" s="6" t="n">
        <v>0.1310812129026991</v>
      </c>
      <c r="AQ1250" s="6" t="n">
        <v>0</v>
      </c>
      <c r="AR1250" s="6" t="n">
        <v>0</v>
      </c>
    </row>
    <row r="1251">
      <c r="D1251" t="inlineStr">
        <is>
          <t>Run 939</t>
        </is>
      </c>
      <c r="J1251" s="6" t="n">
        <v>0.09501832787818469</v>
      </c>
      <c r="K1251" s="6" t="n">
        <v>0.5264634620488792</v>
      </c>
      <c r="L1251" s="6" t="n">
        <v>-1.434814437991558</v>
      </c>
      <c r="M1251" s="6" t="n">
        <v>-1.88296173203854</v>
      </c>
      <c r="N1251" s="6" t="n">
        <v>-0.3144183568502719</v>
      </c>
      <c r="O1251" s="6" t="n">
        <v>3.269563003366737</v>
      </c>
      <c r="P1251" s="6" t="n">
        <v>-0.1940776926203783</v>
      </c>
      <c r="Q1251" s="6" t="n">
        <v>-2.096151450980613</v>
      </c>
      <c r="R1251" s="6" t="n">
        <v>2.543861182433965</v>
      </c>
      <c r="S1251" s="6" t="n">
        <v>-1.670607671216152</v>
      </c>
      <c r="T1251" s="6" t="n">
        <v>-1.155539533453727</v>
      </c>
      <c r="U1251" s="6" t="n">
        <v>0.3611816560403075</v>
      </c>
      <c r="V1251" s="6" t="n">
        <v>-3.384543250522148</v>
      </c>
      <c r="W1251" s="6" t="n">
        <v>-0.05825478790240188</v>
      </c>
      <c r="X1251" s="6" t="n">
        <v>-3.131012737153709</v>
      </c>
      <c r="Y1251" s="6" t="n">
        <v>-1.430194352168645</v>
      </c>
      <c r="Z1251" s="6" t="n">
        <v>-3.242242190014051</v>
      </c>
      <c r="AA1251" s="6" t="n">
        <v>1.688494127410271</v>
      </c>
      <c r="AB1251" s="6" t="n">
        <v>-2.985004193371171</v>
      </c>
      <c r="AC1251" s="6" t="n">
        <v>1.100765151930921</v>
      </c>
      <c r="AD1251" s="6" t="n">
        <v>1.640800239348136</v>
      </c>
      <c r="AE1251" s="6" t="n">
        <v>0.05604032900377981</v>
      </c>
      <c r="AF1251" s="6" t="n">
        <v>2.890954488816541</v>
      </c>
      <c r="AG1251" s="6" t="n">
        <v>0.5195916669804468</v>
      </c>
      <c r="AH1251" s="6" t="n">
        <v>2.726973536714783</v>
      </c>
      <c r="AI1251" s="6" t="n">
        <v>-1.097777739432217</v>
      </c>
      <c r="AJ1251" s="6" t="n">
        <v>70.65482361719758</v>
      </c>
      <c r="AK1251" s="6" t="n">
        <v>0.1139755003947575</v>
      </c>
      <c r="AL1251" s="6" t="n">
        <v>1.034976192083361</v>
      </c>
      <c r="AN1251" s="6" t="n">
        <v>1.337797514411456</v>
      </c>
      <c r="AO1251" s="6" t="n">
        <v>1.343867425446737</v>
      </c>
      <c r="AP1251" s="6" t="n">
        <v>0.1336406779584048</v>
      </c>
      <c r="AQ1251" s="6" t="n">
        <v>0</v>
      </c>
      <c r="AR1251" s="6" t="n">
        <v>0</v>
      </c>
    </row>
    <row r="1252">
      <c r="D1252" t="inlineStr">
        <is>
          <t>Run 940</t>
        </is>
      </c>
      <c r="J1252" s="6" t="n">
        <v>3.369598858510356</v>
      </c>
      <c r="K1252" s="6" t="n">
        <v>-2.230918573389615</v>
      </c>
      <c r="L1252" s="6" t="n">
        <v>2.471795835116893</v>
      </c>
      <c r="M1252" s="6" t="n">
        <v>-4.491822840079151</v>
      </c>
      <c r="N1252" s="6" t="n">
        <v>2.232881283535396</v>
      </c>
      <c r="O1252" s="6" t="n">
        <v>0.6324819100201257</v>
      </c>
      <c r="P1252" s="6" t="n">
        <v>-0.4744155807820783</v>
      </c>
      <c r="Q1252" s="6" t="n">
        <v>-1.264963924943127</v>
      </c>
      <c r="R1252" s="6" t="n">
        <v>1.489858998435094</v>
      </c>
      <c r="S1252" s="6" t="n">
        <v>-0.9363809390895861</v>
      </c>
      <c r="T1252" s="6" t="n">
        <v>-2.299266803683182</v>
      </c>
      <c r="U1252" s="6" t="n">
        <v>-0.946467929873308</v>
      </c>
      <c r="V1252" s="6" t="n">
        <v>-2.286862126125743</v>
      </c>
      <c r="W1252" s="6" t="n">
        <v>-1.360551202056155</v>
      </c>
      <c r="X1252" s="6" t="n">
        <v>-2.711762737881676</v>
      </c>
      <c r="Y1252" s="6" t="n">
        <v>0.56990719667862</v>
      </c>
      <c r="Z1252" s="6" t="n">
        <v>-0.1519302289878374</v>
      </c>
      <c r="AA1252" s="6" t="n">
        <v>-1.924842502815558</v>
      </c>
      <c r="AB1252" s="6" t="n">
        <v>-0.6784501421114207</v>
      </c>
      <c r="AC1252" s="6" t="n">
        <v>1.793515357747092</v>
      </c>
      <c r="AD1252" s="6" t="n">
        <v>-0.1275474002278839</v>
      </c>
      <c r="AE1252" s="6" t="n">
        <v>4.256934870810269</v>
      </c>
      <c r="AF1252" s="6" t="n">
        <v>-1.020845569375137</v>
      </c>
      <c r="AG1252" s="6" t="n">
        <v>1.209901944993309</v>
      </c>
      <c r="AH1252" s="6" t="n">
        <v>0.9022748632653331</v>
      </c>
      <c r="AI1252" s="6" t="n">
        <v>1.119953735852684</v>
      </c>
      <c r="AJ1252" s="6" t="n">
        <v>77.0665852861035</v>
      </c>
      <c r="AK1252" s="6" t="n">
        <v>0.1265441113658556</v>
      </c>
      <c r="AL1252" s="6" t="n">
        <v>1.023260796289127</v>
      </c>
      <c r="AN1252" s="6" t="n">
        <v>1.305574791267909</v>
      </c>
      <c r="AO1252" s="6" t="n">
        <v>1.321168861178394</v>
      </c>
      <c r="AP1252" s="6" t="n">
        <v>0.1350573765302099</v>
      </c>
      <c r="AQ1252" s="6" t="n">
        <v>0</v>
      </c>
      <c r="AR1252" s="6" t="n">
        <v>0</v>
      </c>
    </row>
    <row r="1253">
      <c r="D1253" t="inlineStr">
        <is>
          <t>Run 941</t>
        </is>
      </c>
      <c r="J1253" s="6" t="n">
        <v>-2.777311941359063</v>
      </c>
      <c r="K1253" s="6" t="n">
        <v>2.311705395910344</v>
      </c>
      <c r="L1253" s="6" t="n">
        <v>-1.259634269814553</v>
      </c>
      <c r="M1253" s="6" t="n">
        <v>-0.09695378845162378</v>
      </c>
      <c r="N1253" s="6" t="n">
        <v>-0.1377725533532897</v>
      </c>
      <c r="O1253" s="6" t="n">
        <v>-1.176343561340897</v>
      </c>
      <c r="P1253" s="6" t="n">
        <v>3.140222967265775</v>
      </c>
      <c r="Q1253" s="6" t="n">
        <v>0.1353996485466012</v>
      </c>
      <c r="R1253" s="6" t="n">
        <v>0.8346919930356214</v>
      </c>
      <c r="S1253" s="6" t="n">
        <v>0.3541508615047878</v>
      </c>
      <c r="T1253" s="6" t="n">
        <v>-1.245468965165444</v>
      </c>
      <c r="U1253" s="6" t="n">
        <v>0.2818382105899786</v>
      </c>
      <c r="V1253" s="6" t="n">
        <v>2.627200774611892</v>
      </c>
      <c r="W1253" s="6" t="n">
        <v>-3.146721018183676</v>
      </c>
      <c r="X1253" s="6" t="n">
        <v>3.405134568343856</v>
      </c>
      <c r="Y1253" s="6" t="n">
        <v>-0.7348312592024162</v>
      </c>
      <c r="Z1253" s="6" t="n">
        <v>-0.0834909294091747</v>
      </c>
      <c r="AA1253" s="6" t="n">
        <v>1.733934188025354</v>
      </c>
      <c r="AB1253" s="6" t="n">
        <v>1.924238003706479</v>
      </c>
      <c r="AC1253" s="6" t="n">
        <v>-0.5038713945675025</v>
      </c>
      <c r="AD1253" s="6" t="n">
        <v>-2.99436342636581</v>
      </c>
      <c r="AE1253" s="6" t="n">
        <v>1.530803763571018</v>
      </c>
      <c r="AF1253" s="6" t="n">
        <v>-0.9933472101996176</v>
      </c>
      <c r="AG1253" s="6" t="n">
        <v>-2.001186452275829</v>
      </c>
      <c r="AH1253" s="6" t="n">
        <v>1.465011400364449</v>
      </c>
      <c r="AI1253" s="6" t="n">
        <v>-0.135578260986703</v>
      </c>
      <c r="AJ1253" s="6" t="n">
        <v>71.70808654416052</v>
      </c>
      <c r="AK1253" s="6" t="n">
        <v>0.08068392036193187</v>
      </c>
      <c r="AL1253" s="6" t="n">
        <v>1.089884306535415</v>
      </c>
      <c r="AN1253" s="6" t="n">
        <v>1.337180975549519</v>
      </c>
      <c r="AO1253" s="6" t="n">
        <v>1.338510875851156</v>
      </c>
      <c r="AP1253" s="6" t="n">
        <v>0.1307172920663081</v>
      </c>
      <c r="AQ1253" s="6" t="n">
        <v>0</v>
      </c>
      <c r="AR1253" s="6" t="n">
        <v>0</v>
      </c>
    </row>
    <row r="1254">
      <c r="D1254" t="inlineStr">
        <is>
          <t>Run 942</t>
        </is>
      </c>
      <c r="J1254" s="6" t="n">
        <v>-3.159083454585033</v>
      </c>
      <c r="K1254" s="6" t="n">
        <v>-1.777557726249742</v>
      </c>
      <c r="L1254" s="6" t="n">
        <v>-0.5842153339663051</v>
      </c>
      <c r="M1254" s="6" t="n">
        <v>-0.489765506971286</v>
      </c>
      <c r="N1254" s="6" t="n">
        <v>1.051784700301486</v>
      </c>
      <c r="O1254" s="6" t="n">
        <v>1.637596305996665</v>
      </c>
      <c r="P1254" s="6" t="n">
        <v>-0.4909420567067331</v>
      </c>
      <c r="Q1254" s="6" t="n">
        <v>1.086502005732414</v>
      </c>
      <c r="R1254" s="6" t="n">
        <v>0.08111266570186505</v>
      </c>
      <c r="S1254" s="6" t="n">
        <v>0.8383655367315962</v>
      </c>
      <c r="T1254" s="6" t="n">
        <v>2.625370815255362</v>
      </c>
      <c r="U1254" s="6" t="n">
        <v>2.435213092464997</v>
      </c>
      <c r="V1254" s="6" t="n">
        <v>-1.787406726064583</v>
      </c>
      <c r="W1254" s="6" t="n">
        <v>-0.6088821071109827</v>
      </c>
      <c r="X1254" s="6" t="n">
        <v>1.55705419296123</v>
      </c>
      <c r="Y1254" s="6" t="n">
        <v>1.672564879133631</v>
      </c>
      <c r="Z1254" s="6" t="n">
        <v>2.605224907129553</v>
      </c>
      <c r="AA1254" s="6" t="n">
        <v>1.652372639743885</v>
      </c>
      <c r="AB1254" s="6" t="n">
        <v>-0.4229084953990163</v>
      </c>
      <c r="AC1254" s="6" t="n">
        <v>-0.123071188296126</v>
      </c>
      <c r="AD1254" s="6" t="n">
        <v>-3.659078844308461</v>
      </c>
      <c r="AE1254" s="6" t="n">
        <v>0.3427389184102286</v>
      </c>
      <c r="AF1254" s="6" t="n">
        <v>-1.316627688838172</v>
      </c>
      <c r="AG1254" s="6" t="n">
        <v>-1.03589308058988</v>
      </c>
      <c r="AH1254" s="6" t="n">
        <v>-1.01548379305083</v>
      </c>
      <c r="AI1254" s="6" t="n">
        <v>0.7475573467354893</v>
      </c>
      <c r="AJ1254" s="6" t="n">
        <v>78.07897995623337</v>
      </c>
      <c r="AK1254" s="6" t="n">
        <v>0.02920434287003264</v>
      </c>
      <c r="AL1254" s="6" t="n">
        <v>1.065615380804441</v>
      </c>
      <c r="AN1254" s="6" t="n">
        <v>1.352388267650857</v>
      </c>
      <c r="AO1254" s="6" t="n">
        <v>1.352592587912312</v>
      </c>
      <c r="AP1254" s="6" t="n">
        <v>0.1341169117433312</v>
      </c>
      <c r="AQ1254" s="6" t="n">
        <v>0</v>
      </c>
      <c r="AR1254" s="6" t="n">
        <v>0</v>
      </c>
    </row>
    <row r="1255">
      <c r="D1255" t="inlineStr">
        <is>
          <t>Run 943</t>
        </is>
      </c>
      <c r="J1255" s="6" t="n">
        <v>-0.990338377593353</v>
      </c>
      <c r="K1255" s="6" t="n">
        <v>-1.708476922007632</v>
      </c>
      <c r="L1255" s="6" t="n">
        <v>2.124032442976202</v>
      </c>
      <c r="M1255" s="6" t="n">
        <v>-1.481167511131094</v>
      </c>
      <c r="N1255" s="6" t="n">
        <v>1.895215533518094</v>
      </c>
      <c r="O1255" s="6" t="n">
        <v>1.917110430655478</v>
      </c>
      <c r="P1255" s="6" t="n">
        <v>2.336886340003105</v>
      </c>
      <c r="Q1255" s="6" t="n">
        <v>0.8660684972673254</v>
      </c>
      <c r="R1255" s="6" t="n">
        <v>1.829155049000346</v>
      </c>
      <c r="S1255" s="6" t="n">
        <v>0.1173417725672514</v>
      </c>
      <c r="T1255" s="6" t="n">
        <v>0.288229719971833</v>
      </c>
      <c r="U1255" s="6" t="n">
        <v>1.489770634614652</v>
      </c>
      <c r="V1255" s="6" t="n">
        <v>1.229950536575151</v>
      </c>
      <c r="W1255" s="6" t="n">
        <v>0.9325702905770183</v>
      </c>
      <c r="X1255" s="6" t="n">
        <v>0.9909107018937686</v>
      </c>
      <c r="Y1255" s="6" t="n">
        <v>1.472513019192139</v>
      </c>
      <c r="Z1255" s="6" t="n">
        <v>2.450434181725268</v>
      </c>
      <c r="AA1255" s="6" t="n">
        <v>-0.03128520281989539</v>
      </c>
      <c r="AB1255" s="6" t="n">
        <v>0.5399847428060618</v>
      </c>
      <c r="AC1255" s="6" t="n">
        <v>3.76661119284108</v>
      </c>
      <c r="AD1255" s="6" t="n">
        <v>-0.06451227883000837</v>
      </c>
      <c r="AE1255" s="6" t="n">
        <v>-0.9378027374707566</v>
      </c>
      <c r="AF1255" s="6" t="n">
        <v>0.1220563780040293</v>
      </c>
      <c r="AG1255" s="6" t="n">
        <v>2.447793581647305</v>
      </c>
      <c r="AH1255" s="6" t="n">
        <v>-3.591942514516876</v>
      </c>
      <c r="AI1255" s="6" t="n">
        <v>-0.4846530899024513</v>
      </c>
      <c r="AJ1255" s="6" t="n">
        <v>82.67996095910316</v>
      </c>
      <c r="AK1255" s="6" t="n">
        <v>0.08655448296021884</v>
      </c>
      <c r="AL1255" s="6" t="n">
        <v>1.040238957230326</v>
      </c>
      <c r="AN1255" s="6" t="n">
        <v>1.349219725062759</v>
      </c>
      <c r="AO1255" s="6" t="n">
        <v>1.352818863204639</v>
      </c>
      <c r="AP1255" s="6" t="n">
        <v>0.1351148912705142</v>
      </c>
      <c r="AQ1255" s="6" t="n">
        <v>0</v>
      </c>
      <c r="AR1255" s="6" t="n">
        <v>0</v>
      </c>
    </row>
    <row r="1256">
      <c r="D1256" t="inlineStr">
        <is>
          <t>Run 944</t>
        </is>
      </c>
      <c r="J1256" s="6" t="n">
        <v>-1.700741298961599</v>
      </c>
      <c r="K1256" s="6" t="n">
        <v>0.8629671402176914</v>
      </c>
      <c r="L1256" s="6" t="n">
        <v>0.4233796610711573</v>
      </c>
      <c r="M1256" s="6" t="n">
        <v>-4.071700825195042</v>
      </c>
      <c r="N1256" s="6" t="n">
        <v>1.860791036578896</v>
      </c>
      <c r="O1256" s="6" t="n">
        <v>-0.2408717229769571</v>
      </c>
      <c r="P1256" s="6" t="n">
        <v>-0.3261528781666684</v>
      </c>
      <c r="Q1256" s="6" t="n">
        <v>-0.3601584036873786</v>
      </c>
      <c r="R1256" s="6" t="n">
        <v>-0.402213078024528</v>
      </c>
      <c r="S1256" s="6" t="n">
        <v>-2.865988071714947</v>
      </c>
      <c r="T1256" s="6" t="n">
        <v>1.712747792563745</v>
      </c>
      <c r="U1256" s="6" t="n">
        <v>-0.900103452515588</v>
      </c>
      <c r="V1256" s="6" t="n">
        <v>-2.060698149194853</v>
      </c>
      <c r="W1256" s="6" t="n">
        <v>-2.20875121219937</v>
      </c>
      <c r="X1256" s="6" t="n">
        <v>1.877078312840883</v>
      </c>
      <c r="Y1256" s="6" t="n">
        <v>-0.6272380816867289</v>
      </c>
      <c r="Z1256" s="6" t="n">
        <v>0.3573390087175869</v>
      </c>
      <c r="AA1256" s="6" t="n">
        <v>-0.5872970678219326</v>
      </c>
      <c r="AB1256" s="6" t="n">
        <v>-2.793288915187111</v>
      </c>
      <c r="AC1256" s="6" t="n">
        <v>0.5783016632211565</v>
      </c>
      <c r="AD1256" s="6" t="n">
        <v>-2.745954580345175</v>
      </c>
      <c r="AE1256" s="6" t="n">
        <v>-1.253075300544389</v>
      </c>
      <c r="AF1256" s="6" t="n">
        <v>1.025513542314479</v>
      </c>
      <c r="AG1256" s="6" t="n">
        <v>0.8212141472935902</v>
      </c>
      <c r="AH1256" s="6" t="n">
        <v>0.1902174058143553</v>
      </c>
      <c r="AI1256" s="6" t="n">
        <v>1.34551142431177</v>
      </c>
      <c r="AJ1256" s="6" t="n">
        <v>78.59297633467827</v>
      </c>
      <c r="AK1256" s="6" t="n">
        <v>0.1663734061778181</v>
      </c>
      <c r="AL1256" s="6" t="n">
        <v>1.053030968030296</v>
      </c>
      <c r="AN1256" s="6" t="n">
        <v>1.299907261236743</v>
      </c>
      <c r="AO1256" s="6" t="n">
        <v>1.313511969271939</v>
      </c>
      <c r="AP1256" s="6" t="n">
        <v>0.1310205370529197</v>
      </c>
      <c r="AQ1256" s="6" t="n">
        <v>0</v>
      </c>
      <c r="AR1256" s="6" t="n">
        <v>0</v>
      </c>
    </row>
    <row r="1257">
      <c r="D1257" t="inlineStr">
        <is>
          <t>Run 945</t>
        </is>
      </c>
      <c r="J1257" s="6" t="n">
        <v>-3.658288319277266</v>
      </c>
      <c r="K1257" s="6" t="n">
        <v>-1.075373360184154</v>
      </c>
      <c r="L1257" s="6" t="n">
        <v>-3.662621409266608</v>
      </c>
      <c r="M1257" s="6" t="n">
        <v>-0.8010654289579324</v>
      </c>
      <c r="N1257" s="6" t="n">
        <v>0.6989973717570523</v>
      </c>
      <c r="O1257" s="6" t="n">
        <v>2.657609889532197</v>
      </c>
      <c r="P1257" s="6" t="n">
        <v>-3.347026627230747</v>
      </c>
      <c r="Q1257" s="6" t="n">
        <v>-1.447592968577422</v>
      </c>
      <c r="R1257" s="6" t="n">
        <v>-2.135173730891619</v>
      </c>
      <c r="S1257" s="6" t="n">
        <v>0.01617419882235272</v>
      </c>
      <c r="T1257" s="6" t="n">
        <v>-3.378758731784135</v>
      </c>
      <c r="U1257" s="6" t="n">
        <v>-3.699178647646493</v>
      </c>
      <c r="V1257" s="6" t="n">
        <v>-0.5161328947827807</v>
      </c>
      <c r="W1257" s="6" t="n">
        <v>5</v>
      </c>
      <c r="X1257" s="6" t="n">
        <v>1.859227427382828</v>
      </c>
      <c r="Y1257" s="6" t="n">
        <v>1.766188332371395</v>
      </c>
      <c r="Z1257" s="6" t="n">
        <v>-1.855677931378279</v>
      </c>
      <c r="AA1257" s="6" t="n">
        <v>-0.2141982600845713</v>
      </c>
      <c r="AB1257" s="6" t="n">
        <v>0.7856591974954745</v>
      </c>
      <c r="AC1257" s="6" t="n">
        <v>0.4725146901028658</v>
      </c>
      <c r="AD1257" s="6" t="n">
        <v>-0.4618617523511521</v>
      </c>
      <c r="AE1257" s="6" t="n">
        <v>1.842089900520588</v>
      </c>
      <c r="AF1257" s="6" t="n">
        <v>0.7872364694790791</v>
      </c>
      <c r="AG1257" s="6" t="n">
        <v>5</v>
      </c>
      <c r="AH1257" s="6" t="n">
        <v>-0.4856708616112536</v>
      </c>
      <c r="AI1257" s="6" t="n">
        <v>0.1842423958525575</v>
      </c>
      <c r="AJ1257" s="6" t="n">
        <v>80.63899242070072</v>
      </c>
      <c r="AK1257" s="6" t="n">
        <v>0.130593462245995</v>
      </c>
      <c r="AL1257" s="6" t="n">
        <v>1.023352701720191</v>
      </c>
      <c r="AN1257" s="6" t="n">
        <v>1.359504320497745</v>
      </c>
      <c r="AO1257" s="6" t="n">
        <v>1.36012431337959</v>
      </c>
      <c r="AP1257" s="6" t="n">
        <v>0.1357054700571783</v>
      </c>
      <c r="AQ1257" s="6" t="n">
        <v>0</v>
      </c>
      <c r="AR1257" s="6" t="n">
        <v>0</v>
      </c>
    </row>
    <row r="1258">
      <c r="D1258" t="inlineStr">
        <is>
          <t>Run 946</t>
        </is>
      </c>
      <c r="J1258" s="6" t="n">
        <v>0.1751848947887611</v>
      </c>
      <c r="K1258" s="6" t="n">
        <v>0.8104502158138862</v>
      </c>
      <c r="L1258" s="6" t="n">
        <v>-1.514772426377986</v>
      </c>
      <c r="M1258" s="6" t="n">
        <v>-0.234772544766744</v>
      </c>
      <c r="N1258" s="6" t="n">
        <v>-0.2235884496211244</v>
      </c>
      <c r="O1258" s="6" t="n">
        <v>-2.116586264192341</v>
      </c>
      <c r="P1258" s="6" t="n">
        <v>0.4533607734167341</v>
      </c>
      <c r="Q1258" s="6" t="n">
        <v>-2.375367140532431</v>
      </c>
      <c r="R1258" s="6" t="n">
        <v>5</v>
      </c>
      <c r="S1258" s="6" t="n">
        <v>1.855914466217129</v>
      </c>
      <c r="T1258" s="6" t="n">
        <v>-0.8553964818093912</v>
      </c>
      <c r="U1258" s="6" t="n">
        <v>-0.2600423903856185</v>
      </c>
      <c r="V1258" s="6" t="n">
        <v>-5.483847215712692</v>
      </c>
      <c r="W1258" s="6" t="n">
        <v>1.409920285207874</v>
      </c>
      <c r="X1258" s="6" t="n">
        <v>2.790708061931477</v>
      </c>
      <c r="Y1258" s="6" t="n">
        <v>-0.9998229522250759</v>
      </c>
      <c r="Z1258" s="6" t="n">
        <v>1.573965854931423</v>
      </c>
      <c r="AA1258" s="6" t="n">
        <v>0.2821357060484876</v>
      </c>
      <c r="AB1258" s="6" t="n">
        <v>2.187787832704788</v>
      </c>
      <c r="AC1258" s="6" t="n">
        <v>-0.2584215900624068</v>
      </c>
      <c r="AD1258" s="6" t="n">
        <v>0.4035400933247994</v>
      </c>
      <c r="AE1258" s="6" t="n">
        <v>1.095708986882764</v>
      </c>
      <c r="AF1258" s="6" t="n">
        <v>-2.383642463261974</v>
      </c>
      <c r="AG1258" s="6" t="n">
        <v>-1.49679610385704</v>
      </c>
      <c r="AH1258" s="6" t="n">
        <v>-0.3457119249262867</v>
      </c>
      <c r="AI1258" s="6" t="n">
        <v>-2.763731498934838</v>
      </c>
      <c r="AJ1258" s="6" t="n">
        <v>62.18272727848758</v>
      </c>
      <c r="AK1258" s="6" t="n">
        <v>0.04626231419392438</v>
      </c>
      <c r="AL1258" s="6" t="n">
        <v>1.08257686826707</v>
      </c>
      <c r="AN1258" s="6" t="n">
        <v>1.338336329073865</v>
      </c>
      <c r="AO1258" s="6" t="n">
        <v>1.338684888950118</v>
      </c>
      <c r="AP1258" s="6" t="n">
        <v>0.1310047603033518</v>
      </c>
      <c r="AQ1258" s="6" t="n">
        <v>0</v>
      </c>
      <c r="AR1258" s="6" t="n">
        <v>0</v>
      </c>
    </row>
    <row r="1259">
      <c r="D1259" t="inlineStr">
        <is>
          <t>Run 947</t>
        </is>
      </c>
      <c r="J1259" s="6" t="n">
        <v>1.296591695070241</v>
      </c>
      <c r="K1259" s="6" t="n">
        <v>-0.8983340219234074</v>
      </c>
      <c r="L1259" s="6" t="n">
        <v>0.0461433810993719</v>
      </c>
      <c r="M1259" s="6" t="n">
        <v>0.1053544444069986</v>
      </c>
      <c r="N1259" s="6" t="n">
        <v>-1.649375254095116</v>
      </c>
      <c r="O1259" s="6" t="n">
        <v>1.195959480479026</v>
      </c>
      <c r="P1259" s="6" t="n">
        <v>-0.1157898931623841</v>
      </c>
      <c r="Q1259" s="6" t="n">
        <v>0.2021106281136247</v>
      </c>
      <c r="R1259" s="6" t="n">
        <v>-2.013776606497087</v>
      </c>
      <c r="S1259" s="6" t="n">
        <v>-2.310661787170465</v>
      </c>
      <c r="T1259" s="6" t="n">
        <v>0.0793993227255072</v>
      </c>
      <c r="U1259" s="6" t="n">
        <v>-0.2479169055075237</v>
      </c>
      <c r="V1259" s="6" t="n">
        <v>-2.230456929158022</v>
      </c>
      <c r="W1259" s="6" t="n">
        <v>-0.3611151577894909</v>
      </c>
      <c r="X1259" s="6" t="n">
        <v>-0.2635663351719589</v>
      </c>
      <c r="Y1259" s="6" t="n">
        <v>-1.483852347434075</v>
      </c>
      <c r="Z1259" s="6" t="n">
        <v>0.3529429887321847</v>
      </c>
      <c r="AA1259" s="6" t="n">
        <v>1.307054626270255</v>
      </c>
      <c r="AB1259" s="6" t="n">
        <v>-1.042079367196111</v>
      </c>
      <c r="AC1259" s="6" t="n">
        <v>0.4902494321945374</v>
      </c>
      <c r="AD1259" s="6" t="n">
        <v>0.3440363315918289</v>
      </c>
      <c r="AE1259" s="6" t="n">
        <v>0.5995508049414892</v>
      </c>
      <c r="AF1259" s="6" t="n">
        <v>-1.960642092250063</v>
      </c>
      <c r="AG1259" s="6" t="n">
        <v>1.121626417940717</v>
      </c>
      <c r="AH1259" s="6" t="n">
        <v>-0.3503422371749426</v>
      </c>
      <c r="AI1259" s="6" t="n">
        <v>0.441017243285048</v>
      </c>
      <c r="AJ1259" s="6" t="n">
        <v>56.65328862702013</v>
      </c>
      <c r="AK1259" s="6" t="n">
        <v>0.1579168388115104</v>
      </c>
      <c r="AL1259" s="6" t="n">
        <v>1.06635493560964</v>
      </c>
      <c r="AN1259" s="6" t="n">
        <v>1.329873153455564</v>
      </c>
      <c r="AO1259" s="6" t="n">
        <v>1.329876926539759</v>
      </c>
      <c r="AP1259" s="6" t="n">
        <v>0.1296551852967357</v>
      </c>
      <c r="AQ1259" s="6" t="n">
        <v>0</v>
      </c>
      <c r="AR1259" s="6" t="n">
        <v>0</v>
      </c>
    </row>
    <row r="1260">
      <c r="D1260" t="inlineStr">
        <is>
          <t>Run 948</t>
        </is>
      </c>
      <c r="J1260" s="6" t="n">
        <v>1.465196891661885</v>
      </c>
      <c r="K1260" s="6" t="n">
        <v>-2.82043511635679</v>
      </c>
      <c r="L1260" s="6" t="n">
        <v>-0.01606845707802033</v>
      </c>
      <c r="M1260" s="6" t="n">
        <v>-3.269753116124874</v>
      </c>
      <c r="N1260" s="6" t="n">
        <v>3.143658822060367</v>
      </c>
      <c r="O1260" s="6" t="n">
        <v>-1.422721671399411</v>
      </c>
      <c r="P1260" s="6" t="n">
        <v>4.434635652971926</v>
      </c>
      <c r="Q1260" s="6" t="n">
        <v>3.342565640522848</v>
      </c>
      <c r="R1260" s="6" t="n">
        <v>-1.945301569414928</v>
      </c>
      <c r="S1260" s="6" t="n">
        <v>-2.130183139019416</v>
      </c>
      <c r="T1260" s="6" t="n">
        <v>-2.589035633607935</v>
      </c>
      <c r="U1260" s="6" t="n">
        <v>0.25937709399938</v>
      </c>
      <c r="V1260" s="6" t="n">
        <v>1.27096420228179</v>
      </c>
      <c r="W1260" s="6" t="n">
        <v>2.395964846775012</v>
      </c>
      <c r="X1260" s="6" t="n">
        <v>-0.3416057235176554</v>
      </c>
      <c r="Y1260" s="6" t="n">
        <v>-1.291841632416861</v>
      </c>
      <c r="Z1260" s="6" t="n">
        <v>3.207939718114353</v>
      </c>
      <c r="AA1260" s="6" t="n">
        <v>-2.974409292197268</v>
      </c>
      <c r="AB1260" s="6" t="n">
        <v>-1.2471122093793</v>
      </c>
      <c r="AC1260" s="6" t="n">
        <v>-1.090513779120199</v>
      </c>
      <c r="AD1260" s="6" t="n">
        <v>1.484166051017266</v>
      </c>
      <c r="AE1260" s="6" t="n">
        <v>-1.646075787995026</v>
      </c>
      <c r="AF1260" s="6" t="n">
        <v>0.6531737631287787</v>
      </c>
      <c r="AG1260" s="6" t="n">
        <v>-0.7978111521752659</v>
      </c>
      <c r="AH1260" s="6" t="n">
        <v>0.6315894182865146</v>
      </c>
      <c r="AI1260" s="6" t="n">
        <v>-2.170994642017201</v>
      </c>
      <c r="AJ1260" s="6" t="n">
        <v>74.38676210129883</v>
      </c>
      <c r="AK1260" s="6" t="n">
        <v>0.1458340007845661</v>
      </c>
      <c r="AL1260" s="6" t="n">
        <v>1.063665600133962</v>
      </c>
      <c r="AN1260" s="6" t="n">
        <v>1.308548053843377</v>
      </c>
      <c r="AO1260" s="6" t="n">
        <v>1.320423300924129</v>
      </c>
      <c r="AP1260" s="6" t="n">
        <v>0.1306919551845015</v>
      </c>
      <c r="AQ1260" s="6" t="n">
        <v>0</v>
      </c>
      <c r="AR1260" s="6" t="n">
        <v>0</v>
      </c>
    </row>
    <row r="1261">
      <c r="D1261" t="inlineStr">
        <is>
          <t>Run 949</t>
        </is>
      </c>
      <c r="J1261" s="6" t="n">
        <v>1.958584267391056</v>
      </c>
      <c r="K1261" s="6" t="n">
        <v>0.6070022532132631</v>
      </c>
      <c r="L1261" s="6" t="n">
        <v>0.5810048365422122</v>
      </c>
      <c r="M1261" s="6" t="n">
        <v>0.5818883375811001</v>
      </c>
      <c r="N1261" s="6" t="n">
        <v>0.8521226332155489</v>
      </c>
      <c r="O1261" s="6" t="n">
        <v>1.215258659235578</v>
      </c>
      <c r="P1261" s="6" t="n">
        <v>0.8280882782986975</v>
      </c>
      <c r="Q1261" s="6" t="n">
        <v>-1.447355890251969</v>
      </c>
      <c r="R1261" s="6" t="n">
        <v>-1.695348954457059</v>
      </c>
      <c r="S1261" s="6" t="n">
        <v>0.1334856273458351</v>
      </c>
      <c r="T1261" s="6" t="n">
        <v>2.305428865552706</v>
      </c>
      <c r="U1261" s="6" t="n">
        <v>-0.793387278634422</v>
      </c>
      <c r="V1261" s="6" t="n">
        <v>-0.8532453720001353</v>
      </c>
      <c r="W1261" s="6" t="n">
        <v>-1.554242356113924</v>
      </c>
      <c r="X1261" s="6" t="n">
        <v>-0.4598503431257169</v>
      </c>
      <c r="Y1261" s="6" t="n">
        <v>1.360358620853209</v>
      </c>
      <c r="Z1261" s="6" t="n">
        <v>0.431845515661191</v>
      </c>
      <c r="AA1261" s="6" t="n">
        <v>-0.3068267878097852</v>
      </c>
      <c r="AB1261" s="6" t="n">
        <v>0.3022933836565092</v>
      </c>
      <c r="AC1261" s="6" t="n">
        <v>4.073012442984227</v>
      </c>
      <c r="AD1261" s="6" t="n">
        <v>1.044170696309827</v>
      </c>
      <c r="AE1261" s="6" t="n">
        <v>1.019685475206616</v>
      </c>
      <c r="AF1261" s="6" t="n">
        <v>0.9858574769726084</v>
      </c>
      <c r="AG1261" s="6" t="n">
        <v>-0.3219824862255227</v>
      </c>
      <c r="AH1261" s="6" t="n">
        <v>2.616534202027038</v>
      </c>
      <c r="AI1261" s="6" t="n">
        <v>1.117029822134478</v>
      </c>
      <c r="AJ1261" s="6" t="n">
        <v>78.72391609959149</v>
      </c>
      <c r="AK1261" s="6" t="n">
        <v>0.1694412294692611</v>
      </c>
      <c r="AL1261" s="6" t="n">
        <v>1.076323775458692</v>
      </c>
      <c r="AN1261" s="6" t="n">
        <v>1.331358955711158</v>
      </c>
      <c r="AO1261" s="6" t="n">
        <v>1.331969349222699</v>
      </c>
      <c r="AP1261" s="6" t="n">
        <v>0.1293520266627801</v>
      </c>
      <c r="AQ1261" s="6" t="n">
        <v>0</v>
      </c>
      <c r="AR1261" s="6" t="n">
        <v>0</v>
      </c>
    </row>
    <row r="1262">
      <c r="D1262" t="inlineStr">
        <is>
          <t>Run 950</t>
        </is>
      </c>
      <c r="J1262" s="6" t="n">
        <v>2.210239598107182</v>
      </c>
      <c r="K1262" s="6" t="n">
        <v>1.353333451322002</v>
      </c>
      <c r="L1262" s="6" t="n">
        <v>-2.443657686192018</v>
      </c>
      <c r="M1262" s="6" t="n">
        <v>4.723640385163128</v>
      </c>
      <c r="N1262" s="6" t="n">
        <v>-2.422277223439339</v>
      </c>
      <c r="O1262" s="6" t="n">
        <v>2.644794845090551</v>
      </c>
      <c r="P1262" s="6" t="n">
        <v>-4.312537163383449</v>
      </c>
      <c r="Q1262" s="6" t="n">
        <v>0.9291827738885529</v>
      </c>
      <c r="R1262" s="6" t="n">
        <v>-1.70567726604095</v>
      </c>
      <c r="S1262" s="6" t="n">
        <v>-0.7333509204382097</v>
      </c>
      <c r="T1262" s="6" t="n">
        <v>-1.898021381643153</v>
      </c>
      <c r="U1262" s="6" t="n">
        <v>-0.7265750758766316</v>
      </c>
      <c r="V1262" s="6" t="n">
        <v>0.1605549075330932</v>
      </c>
      <c r="W1262" s="6" t="n">
        <v>2.561451722472628</v>
      </c>
      <c r="X1262" s="6" t="n">
        <v>-0.1458458993475927</v>
      </c>
      <c r="Y1262" s="6" t="n">
        <v>-1.340664395336301</v>
      </c>
      <c r="Z1262" s="6" t="n">
        <v>0.3905923743706916</v>
      </c>
      <c r="AA1262" s="6" t="n">
        <v>-1.930698286214072</v>
      </c>
      <c r="AB1262" s="6" t="n">
        <v>-1.567733690626429</v>
      </c>
      <c r="AC1262" s="6" t="n">
        <v>0.2133728826777027</v>
      </c>
      <c r="AD1262" s="6" t="n">
        <v>1.358164209233139</v>
      </c>
      <c r="AE1262" s="6" t="n">
        <v>1.999323376340928</v>
      </c>
      <c r="AF1262" s="6" t="n">
        <v>-0.26166173777865</v>
      </c>
      <c r="AG1262" s="6" t="n">
        <v>-0.3151727193945142</v>
      </c>
      <c r="AH1262" s="6" t="n">
        <v>-4.445073430590426</v>
      </c>
      <c r="AI1262" s="6" t="n">
        <v>-1.436393978854801</v>
      </c>
      <c r="AJ1262" s="6" t="n">
        <v>71.75973507604701</v>
      </c>
      <c r="AK1262" s="6" t="n">
        <v>0.100655938338401</v>
      </c>
      <c r="AL1262" s="6" t="n">
        <v>1.024557101865599</v>
      </c>
      <c r="AN1262" s="6" t="n">
        <v>1.351793964019236</v>
      </c>
      <c r="AO1262" s="6" t="n">
        <v>1.351793964019236</v>
      </c>
      <c r="AP1262" s="6" t="n">
        <v>0.1354792542081725</v>
      </c>
      <c r="AQ1262" s="6" t="n">
        <v>0</v>
      </c>
      <c r="AR1262" s="6" t="n">
        <v>0</v>
      </c>
    </row>
    <row r="1263">
      <c r="D1263" t="inlineStr">
        <is>
          <t>Run 951</t>
        </is>
      </c>
      <c r="J1263" s="6" t="n">
        <v>2.085355433703517</v>
      </c>
      <c r="K1263" s="6" t="n">
        <v>-2.229806006080965</v>
      </c>
      <c r="L1263" s="6" t="n">
        <v>-1.133504556099875</v>
      </c>
      <c r="M1263" s="6" t="n">
        <v>0.3093459787290901</v>
      </c>
      <c r="N1263" s="6" t="n">
        <v>-1.083634375079754</v>
      </c>
      <c r="O1263" s="6" t="n">
        <v>3.61832590511047</v>
      </c>
      <c r="P1263" s="6" t="n">
        <v>0.0242345868285044</v>
      </c>
      <c r="Q1263" s="6" t="n">
        <v>-3.318274027875541</v>
      </c>
      <c r="R1263" s="6" t="n">
        <v>-2.753430904178142</v>
      </c>
      <c r="S1263" s="6" t="n">
        <v>1.771755976651759</v>
      </c>
      <c r="T1263" s="6" t="n">
        <v>0.598056736563513</v>
      </c>
      <c r="U1263" s="6" t="n">
        <v>-0.2275794097594241</v>
      </c>
      <c r="V1263" s="6" t="n">
        <v>0.6438240279803318</v>
      </c>
      <c r="W1263" s="6" t="n">
        <v>-3.253840115816744</v>
      </c>
      <c r="X1263" s="6" t="n">
        <v>1.060928349572501</v>
      </c>
      <c r="Y1263" s="6" t="n">
        <v>-1.239453094651812</v>
      </c>
      <c r="Z1263" s="6" t="n">
        <v>0.3025844816613795</v>
      </c>
      <c r="AA1263" s="6" t="n">
        <v>-0.7347978967176023</v>
      </c>
      <c r="AB1263" s="6" t="n">
        <v>1.546688112042639</v>
      </c>
      <c r="AC1263" s="6" t="n">
        <v>2.154181330210056</v>
      </c>
      <c r="AD1263" s="6" t="n">
        <v>1.124106554341227</v>
      </c>
      <c r="AE1263" s="6" t="n">
        <v>-0.8836259354586151</v>
      </c>
      <c r="AF1263" s="6" t="n">
        <v>2.266538212031196</v>
      </c>
      <c r="AG1263" s="6" t="n">
        <v>0.2522883515435735</v>
      </c>
      <c r="AH1263" s="6" t="n">
        <v>0.1164971494350163</v>
      </c>
      <c r="AI1263" s="6" t="n">
        <v>0.8032028404578566</v>
      </c>
      <c r="AJ1263" s="6" t="n">
        <v>56.37795470957585</v>
      </c>
      <c r="AK1263" s="6" t="n">
        <v>0.1543843257703044</v>
      </c>
      <c r="AL1263" s="6" t="n">
        <v>1.109671255466101</v>
      </c>
      <c r="AN1263" s="6" t="n">
        <v>1.316467678222206</v>
      </c>
      <c r="AO1263" s="6" t="n">
        <v>1.316963474661914</v>
      </c>
      <c r="AP1263" s="6" t="n">
        <v>0.1272669239004581</v>
      </c>
      <c r="AQ1263" s="6" t="n">
        <v>0</v>
      </c>
      <c r="AR1263" s="6" t="n">
        <v>0</v>
      </c>
    </row>
    <row r="1264">
      <c r="D1264" t="inlineStr">
        <is>
          <t>Run 952</t>
        </is>
      </c>
      <c r="J1264" s="6" t="n">
        <v>3.244124068053338</v>
      </c>
      <c r="K1264" s="6" t="n">
        <v>1.706615746199878</v>
      </c>
      <c r="L1264" s="6" t="n">
        <v>-0.3642685168411763</v>
      </c>
      <c r="M1264" s="6" t="n">
        <v>-1.206500360268624</v>
      </c>
      <c r="N1264" s="6" t="n">
        <v>-2.257081793094189</v>
      </c>
      <c r="O1264" s="6" t="n">
        <v>-1.129131229683614</v>
      </c>
      <c r="P1264" s="6" t="n">
        <v>-0.3245666931368685</v>
      </c>
      <c r="Q1264" s="6" t="n">
        <v>2.463033189414903</v>
      </c>
      <c r="R1264" s="6" t="n">
        <v>1.549991454519034</v>
      </c>
      <c r="S1264" s="6" t="n">
        <v>-1.216732379146151</v>
      </c>
      <c r="T1264" s="6" t="n">
        <v>0.9389051920575527</v>
      </c>
      <c r="U1264" s="6" t="n">
        <v>-0.1663472884187851</v>
      </c>
      <c r="V1264" s="6" t="n">
        <v>-4.11355670379977</v>
      </c>
      <c r="W1264" s="6" t="n">
        <v>1.149188384350687</v>
      </c>
      <c r="X1264" s="6" t="n">
        <v>4.171288716051839</v>
      </c>
      <c r="Y1264" s="6" t="n">
        <v>-2.349892002170154</v>
      </c>
      <c r="Z1264" s="6" t="n">
        <v>-2.248797800026217</v>
      </c>
      <c r="AA1264" s="6" t="n">
        <v>-0.8115261855597318</v>
      </c>
      <c r="AB1264" s="6" t="n">
        <v>-2.826406235676762</v>
      </c>
      <c r="AC1264" s="6" t="n">
        <v>-0.6741999595798716</v>
      </c>
      <c r="AD1264" s="6" t="n">
        <v>-2.459378693634296</v>
      </c>
      <c r="AE1264" s="6" t="n">
        <v>2.392119363060774</v>
      </c>
      <c r="AF1264" s="6" t="n">
        <v>0.1687207136798458</v>
      </c>
      <c r="AG1264" s="6" t="n">
        <v>-1.859678245366023</v>
      </c>
      <c r="AH1264" s="6" t="n">
        <v>-1.538527945511846</v>
      </c>
      <c r="AI1264" s="6" t="n">
        <v>1.097687648465653</v>
      </c>
      <c r="AJ1264" s="6" t="n">
        <v>83.07606825338023</v>
      </c>
      <c r="AK1264" s="6" t="n">
        <v>0.07648413746695723</v>
      </c>
      <c r="AL1264" s="6" t="n">
        <v>1.017810686768143</v>
      </c>
      <c r="AN1264" s="6" t="n">
        <v>1.361591753898193</v>
      </c>
      <c r="AO1264" s="6" t="n">
        <v>1.361727984506475</v>
      </c>
      <c r="AP1264" s="6" t="n">
        <v>0.1382609142241258</v>
      </c>
      <c r="AQ1264" s="6" t="n">
        <v>0</v>
      </c>
      <c r="AR1264" s="6" t="n">
        <v>0</v>
      </c>
    </row>
    <row r="1265">
      <c r="D1265" t="inlineStr">
        <is>
          <t>Run 953</t>
        </is>
      </c>
      <c r="J1265" s="6" t="n">
        <v>0.4399573114988614</v>
      </c>
      <c r="K1265" s="6" t="n">
        <v>-3.69685810374946</v>
      </c>
      <c r="L1265" s="6" t="n">
        <v>0.3292984773694381</v>
      </c>
      <c r="M1265" s="6" t="n">
        <v>-1.271472354954109</v>
      </c>
      <c r="N1265" s="6" t="n">
        <v>-1.179598589342768</v>
      </c>
      <c r="O1265" s="6" t="n">
        <v>1.64482561238357</v>
      </c>
      <c r="P1265" s="6" t="n">
        <v>-2.291245671503367</v>
      </c>
      <c r="Q1265" s="6" t="n">
        <v>0.7388881454639979</v>
      </c>
      <c r="R1265" s="6" t="n">
        <v>-1.04076295570584</v>
      </c>
      <c r="S1265" s="6" t="n">
        <v>0.7298152388217576</v>
      </c>
      <c r="T1265" s="6" t="n">
        <v>-2.671101160647148</v>
      </c>
      <c r="U1265" s="6" t="n">
        <v>-3.047274973251191</v>
      </c>
      <c r="V1265" s="6" t="n">
        <v>1.813403370743603</v>
      </c>
      <c r="W1265" s="6" t="n">
        <v>3.406430229307098</v>
      </c>
      <c r="X1265" s="6" t="n">
        <v>-2.3834258699486</v>
      </c>
      <c r="Y1265" s="6" t="n">
        <v>-3.563211233971053</v>
      </c>
      <c r="Z1265" s="6" t="n">
        <v>2.4567065932296</v>
      </c>
      <c r="AA1265" s="6" t="n">
        <v>2.364636268138733</v>
      </c>
      <c r="AB1265" s="6" t="n">
        <v>-3.422474910216658</v>
      </c>
      <c r="AC1265" s="6" t="n">
        <v>-0.3825776461964061</v>
      </c>
      <c r="AD1265" s="6" t="n">
        <v>-2.095195745872894</v>
      </c>
      <c r="AE1265" s="6" t="n">
        <v>-1.614592494795954</v>
      </c>
      <c r="AF1265" s="6" t="n">
        <v>1.481063711531632</v>
      </c>
      <c r="AG1265" s="6" t="n">
        <v>0.2173217135476601</v>
      </c>
      <c r="AH1265" s="6" t="n">
        <v>-1.681550620871427</v>
      </c>
      <c r="AI1265" s="6" t="n">
        <v>-1.561484017820534</v>
      </c>
      <c r="AJ1265" s="6" t="n">
        <v>72.72080334518651</v>
      </c>
      <c r="AK1265" s="6" t="n">
        <v>0.1055688436981927</v>
      </c>
      <c r="AL1265" s="6" t="n">
        <v>1.056342630545759</v>
      </c>
      <c r="AN1265" s="6" t="n">
        <v>1.340736042409058</v>
      </c>
      <c r="AO1265" s="6" t="n">
        <v>1.343790895090631</v>
      </c>
      <c r="AP1265" s="6" t="n">
        <v>0.1321041570192032</v>
      </c>
      <c r="AQ1265" s="6" t="n">
        <v>0</v>
      </c>
      <c r="AR1265" s="6" t="n">
        <v>0</v>
      </c>
    </row>
    <row r="1266">
      <c r="D1266" t="inlineStr">
        <is>
          <t>Run 954</t>
        </is>
      </c>
      <c r="J1266" s="6" t="n">
        <v>-2.639142490324828</v>
      </c>
      <c r="K1266" s="6" t="n">
        <v>-0.3750495197314067</v>
      </c>
      <c r="L1266" s="6" t="n">
        <v>2.811412203845752</v>
      </c>
      <c r="M1266" s="6" t="n">
        <v>-3.904771035156015</v>
      </c>
      <c r="N1266" s="6" t="n">
        <v>-0.9458200887734466</v>
      </c>
      <c r="O1266" s="6" t="n">
        <v>1.356165099020965</v>
      </c>
      <c r="P1266" s="6" t="n">
        <v>0.378531239499839</v>
      </c>
      <c r="Q1266" s="6" t="n">
        <v>-0.651944831170584</v>
      </c>
      <c r="R1266" s="6" t="n">
        <v>3.185917841968557</v>
      </c>
      <c r="S1266" s="6" t="n">
        <v>-3.522577750202632</v>
      </c>
      <c r="T1266" s="6" t="n">
        <v>-0.1290953802926208</v>
      </c>
      <c r="U1266" s="6" t="n">
        <v>0.8806187154876876</v>
      </c>
      <c r="V1266" s="6" t="n">
        <v>0.1619404800520443</v>
      </c>
      <c r="W1266" s="6" t="n">
        <v>1.322187721854804</v>
      </c>
      <c r="X1266" s="6" t="n">
        <v>1.861275095816877</v>
      </c>
      <c r="Y1266" s="6" t="n">
        <v>-3.15928625668281</v>
      </c>
      <c r="Z1266" s="6" t="n">
        <v>1.454023254506647</v>
      </c>
      <c r="AA1266" s="6" t="n">
        <v>0.3713290611938347</v>
      </c>
      <c r="AB1266" s="6" t="n">
        <v>1.226562231253925</v>
      </c>
      <c r="AC1266" s="6" t="n">
        <v>-1.200720826426205</v>
      </c>
      <c r="AD1266" s="6" t="n">
        <v>1.660458620407409</v>
      </c>
      <c r="AE1266" s="6" t="n">
        <v>-4.017621927324527</v>
      </c>
      <c r="AF1266" s="6" t="n">
        <v>0.9625932992132974</v>
      </c>
      <c r="AG1266" s="6" t="n">
        <v>2.219656392694184</v>
      </c>
      <c r="AH1266" s="6" t="n">
        <v>-1.751998276687533</v>
      </c>
      <c r="AI1266" s="6" t="n">
        <v>0.1332787014679853</v>
      </c>
      <c r="AJ1266" s="6" t="n">
        <v>77.16340546288018</v>
      </c>
      <c r="AK1266" s="6" t="n">
        <v>0.1350660138361221</v>
      </c>
      <c r="AL1266" s="6" t="n">
        <v>1.054816866372013</v>
      </c>
      <c r="AN1266" s="6" t="n">
        <v>1.303477864566732</v>
      </c>
      <c r="AO1266" s="6" t="n">
        <v>1.311124397301605</v>
      </c>
      <c r="AP1266" s="6" t="n">
        <v>0.1313086712350592</v>
      </c>
      <c r="AQ1266" s="6" t="n">
        <v>0</v>
      </c>
      <c r="AR1266" s="6" t="n">
        <v>0</v>
      </c>
    </row>
    <row r="1267">
      <c r="D1267" t="inlineStr">
        <is>
          <t>Run 955</t>
        </is>
      </c>
      <c r="J1267" s="6" t="n">
        <v>1.396893716152737</v>
      </c>
      <c r="K1267" s="6" t="n">
        <v>-0.8423270488876452</v>
      </c>
      <c r="L1267" s="6" t="n">
        <v>2.29691514866009</v>
      </c>
      <c r="M1267" s="6" t="n">
        <v>2.55216901240397</v>
      </c>
      <c r="N1267" s="6" t="n">
        <v>-0.1664261981479726</v>
      </c>
      <c r="O1267" s="6" t="n">
        <v>-2.95530826698005</v>
      </c>
      <c r="P1267" s="6" t="n">
        <v>-0.05888059980397224</v>
      </c>
      <c r="Q1267" s="6" t="n">
        <v>-1.769216183513204</v>
      </c>
      <c r="R1267" s="6" t="n">
        <v>2.189345545607096</v>
      </c>
      <c r="S1267" s="6" t="n">
        <v>-0.2770347429081625</v>
      </c>
      <c r="T1267" s="6" t="n">
        <v>-2.161101902282145</v>
      </c>
      <c r="U1267" s="6" t="n">
        <v>0.153372242204151</v>
      </c>
      <c r="V1267" s="6" t="n">
        <v>-0.04729760079254716</v>
      </c>
      <c r="W1267" s="6" t="n">
        <v>0.4307443746502869</v>
      </c>
      <c r="X1267" s="6" t="n">
        <v>3.868199107385772</v>
      </c>
      <c r="Y1267" s="6" t="n">
        <v>-2.154521730462498</v>
      </c>
      <c r="Z1267" s="6" t="n">
        <v>-0.4334576147295791</v>
      </c>
      <c r="AA1267" s="6" t="n">
        <v>1.33679584796778</v>
      </c>
      <c r="AB1267" s="6" t="n">
        <v>1.092038829101277</v>
      </c>
      <c r="AC1267" s="6" t="n">
        <v>0.6716742282161204</v>
      </c>
      <c r="AD1267" s="6" t="n">
        <v>-0.8992955319484668</v>
      </c>
      <c r="AE1267" s="6" t="n">
        <v>-2.129649785008947</v>
      </c>
      <c r="AF1267" s="6" t="n">
        <v>-4.25284074781743</v>
      </c>
      <c r="AG1267" s="6" t="n">
        <v>-2.172100037611697</v>
      </c>
      <c r="AH1267" s="6" t="n">
        <v>0.6229984495352155</v>
      </c>
      <c r="AI1267" s="6" t="n">
        <v>2.348683794655928</v>
      </c>
      <c r="AJ1267" s="6" t="n">
        <v>82.15152889496686</v>
      </c>
      <c r="AK1267" s="6" t="n">
        <v>0.1021897135277369</v>
      </c>
      <c r="AL1267" s="6" t="n">
        <v>1.037223713608158</v>
      </c>
      <c r="AN1267" s="6" t="n">
        <v>1.354267366650664</v>
      </c>
      <c r="AO1267" s="6" t="n">
        <v>1.354267366650664</v>
      </c>
      <c r="AP1267" s="6" t="n">
        <v>0.1347297253835547</v>
      </c>
      <c r="AQ1267" s="6" t="n">
        <v>0</v>
      </c>
      <c r="AR1267" s="6" t="n">
        <v>0</v>
      </c>
    </row>
    <row r="1268">
      <c r="D1268" t="inlineStr">
        <is>
          <t>Run 956</t>
        </is>
      </c>
      <c r="J1268" s="6" t="n">
        <v>-0.892567722762739</v>
      </c>
      <c r="K1268" s="6" t="n">
        <v>2.585157295415639</v>
      </c>
      <c r="L1268" s="6" t="n">
        <v>-4.008424538561223</v>
      </c>
      <c r="M1268" s="6" t="n">
        <v>1.099339806642248</v>
      </c>
      <c r="N1268" s="6" t="n">
        <v>0.3181292050993484</v>
      </c>
      <c r="O1268" s="6" t="n">
        <v>-0.8038006977227246</v>
      </c>
      <c r="P1268" s="6" t="n">
        <v>-0.1763770802806039</v>
      </c>
      <c r="Q1268" s="6" t="n">
        <v>-6.616161188242928</v>
      </c>
      <c r="R1268" s="6" t="n">
        <v>-2.570009848314524</v>
      </c>
      <c r="S1268" s="6" t="n">
        <v>-0.969472977825399</v>
      </c>
      <c r="T1268" s="6" t="n">
        <v>0.3299854932439383</v>
      </c>
      <c r="U1268" s="6" t="n">
        <v>0.2955749938626526</v>
      </c>
      <c r="V1268" s="6" t="n">
        <v>-0.8738473916595118</v>
      </c>
      <c r="W1268" s="6" t="n">
        <v>2.681110906911434</v>
      </c>
      <c r="X1268" s="6" t="n">
        <v>1.23179448273606</v>
      </c>
      <c r="Y1268" s="6" t="n">
        <v>0.06341318877078111</v>
      </c>
      <c r="Z1268" s="6" t="n">
        <v>-1.474939711225007</v>
      </c>
      <c r="AA1268" s="6" t="n">
        <v>-2.298971133417545</v>
      </c>
      <c r="AB1268" s="6" t="n">
        <v>-3.954131673761669</v>
      </c>
      <c r="AC1268" s="6" t="n">
        <v>-1.262733552401858</v>
      </c>
      <c r="AD1268" s="6" t="n">
        <v>-3.598481030326087</v>
      </c>
      <c r="AE1268" s="6" t="n">
        <v>-0.5205869527366642</v>
      </c>
      <c r="AF1268" s="6" t="n">
        <v>2.897863327860775</v>
      </c>
      <c r="AG1268" s="6" t="n">
        <v>-1.862012408042133</v>
      </c>
      <c r="AH1268" s="6" t="n">
        <v>-1.623715990667406</v>
      </c>
      <c r="AI1268" s="6" t="n">
        <v>0.9146331309615592</v>
      </c>
      <c r="AJ1268" s="6" t="n">
        <v>77.02299618914644</v>
      </c>
      <c r="AK1268" s="6" t="n">
        <v>0.17495318594752</v>
      </c>
      <c r="AL1268" s="6" t="n">
        <v>1.108118181543044</v>
      </c>
      <c r="AN1268" s="6" t="n">
        <v>1.29147012215257</v>
      </c>
      <c r="AO1268" s="6" t="n">
        <v>1.301657181212654</v>
      </c>
      <c r="AP1268" s="6" t="n">
        <v>0.1268974582590019</v>
      </c>
      <c r="AQ1268" s="6" t="n">
        <v>0</v>
      </c>
      <c r="AR1268" s="6" t="n">
        <v>0</v>
      </c>
    </row>
    <row r="1269">
      <c r="D1269" t="inlineStr">
        <is>
          <t>Run 957</t>
        </is>
      </c>
      <c r="J1269" s="6" t="n">
        <v>2.47407739860286</v>
      </c>
      <c r="K1269" s="6" t="n">
        <v>3.572965855958214</v>
      </c>
      <c r="L1269" s="6" t="n">
        <v>-2.171494709832464</v>
      </c>
      <c r="M1269" s="6" t="n">
        <v>1.359357401950602</v>
      </c>
      <c r="N1269" s="6" t="n">
        <v>0.7701536889965276</v>
      </c>
      <c r="O1269" s="6" t="n">
        <v>0.3022638008913703</v>
      </c>
      <c r="P1269" s="6" t="n">
        <v>0.08384641273024171</v>
      </c>
      <c r="Q1269" s="6" t="n">
        <v>5</v>
      </c>
      <c r="R1269" s="6" t="n">
        <v>1.770542522183989</v>
      </c>
      <c r="S1269" s="6" t="n">
        <v>1.989926306489427</v>
      </c>
      <c r="T1269" s="6" t="n">
        <v>0.455837331355305</v>
      </c>
      <c r="U1269" s="6" t="n">
        <v>-1.438060276112201</v>
      </c>
      <c r="V1269" s="6" t="n">
        <v>4.244849851699613</v>
      </c>
      <c r="W1269" s="6" t="n">
        <v>2.113241100884131</v>
      </c>
      <c r="X1269" s="6" t="n">
        <v>2.426005903641672</v>
      </c>
      <c r="Y1269" s="6" t="n">
        <v>-1.498481302132401</v>
      </c>
      <c r="Z1269" s="6" t="n">
        <v>3.190198860105498</v>
      </c>
      <c r="AA1269" s="6" t="n">
        <v>1.897149051440919</v>
      </c>
      <c r="AB1269" s="6" t="n">
        <v>-0.1641789364624872</v>
      </c>
      <c r="AC1269" s="6" t="n">
        <v>-1.005249977714481</v>
      </c>
      <c r="AD1269" s="6" t="n">
        <v>-0.101187085792165</v>
      </c>
      <c r="AE1269" s="6" t="n">
        <v>0.6113591621975494</v>
      </c>
      <c r="AF1269" s="6" t="n">
        <v>-2.415167037948944</v>
      </c>
      <c r="AG1269" s="6" t="n">
        <v>0.4781610765871033</v>
      </c>
      <c r="AH1269" s="6" t="n">
        <v>4.834456408136083</v>
      </c>
      <c r="AI1269" s="6" t="n">
        <v>0.3330514133167842</v>
      </c>
      <c r="AJ1269" s="6" t="n">
        <v>77.89831201080342</v>
      </c>
      <c r="AK1269" s="6" t="n">
        <v>0.06265743705495506</v>
      </c>
      <c r="AL1269" s="6" t="n">
        <v>1.09174871879411</v>
      </c>
      <c r="AN1269" s="6" t="n">
        <v>1.341223943518586</v>
      </c>
      <c r="AO1269" s="6" t="n">
        <v>1.341231081289912</v>
      </c>
      <c r="AP1269" s="6" t="n">
        <v>0.1313179926091703</v>
      </c>
      <c r="AQ1269" s="6" t="n">
        <v>0</v>
      </c>
      <c r="AR1269" s="6" t="n">
        <v>0</v>
      </c>
    </row>
    <row r="1270">
      <c r="D1270" t="inlineStr">
        <is>
          <t>Run 958</t>
        </is>
      </c>
      <c r="J1270" s="6" t="n">
        <v>1.93128027547281</v>
      </c>
      <c r="K1270" s="6" t="n">
        <v>1.141576247094678</v>
      </c>
      <c r="L1270" s="6" t="n">
        <v>0.05106352652581679</v>
      </c>
      <c r="M1270" s="6" t="n">
        <v>0.9940359951732298</v>
      </c>
      <c r="N1270" s="6" t="n">
        <v>3.220384162978862</v>
      </c>
      <c r="O1270" s="6" t="n">
        <v>-2.757451578628184</v>
      </c>
      <c r="P1270" s="6" t="n">
        <v>1.438417202570246</v>
      </c>
      <c r="Q1270" s="6" t="n">
        <v>0.4703548284142585</v>
      </c>
      <c r="R1270" s="6" t="n">
        <v>0.4474607011348727</v>
      </c>
      <c r="S1270" s="6" t="n">
        <v>4.208758468900361</v>
      </c>
      <c r="T1270" s="6" t="n">
        <v>-3.267527187106784</v>
      </c>
      <c r="U1270" s="6" t="n">
        <v>-0.6368009130056816</v>
      </c>
      <c r="V1270" s="6" t="n">
        <v>-0.08716633421906014</v>
      </c>
      <c r="W1270" s="6" t="n">
        <v>-2.132013247763354</v>
      </c>
      <c r="X1270" s="6" t="n">
        <v>-0.7549886857567799</v>
      </c>
      <c r="Y1270" s="6" t="n">
        <v>-3.114955935373329</v>
      </c>
      <c r="Z1270" s="6" t="n">
        <v>-2.922597964410443</v>
      </c>
      <c r="AA1270" s="6" t="n">
        <v>2.796780604633328</v>
      </c>
      <c r="AB1270" s="6" t="n">
        <v>-0.8583859017051336</v>
      </c>
      <c r="AC1270" s="6" t="n">
        <v>-0.1760041105022226</v>
      </c>
      <c r="AD1270" s="6" t="n">
        <v>2.956003595639201</v>
      </c>
      <c r="AE1270" s="6" t="n">
        <v>-1.282946290741929</v>
      </c>
      <c r="AF1270" s="6" t="n">
        <v>-1.720692713757944</v>
      </c>
      <c r="AG1270" s="6" t="n">
        <v>4.54887253026094</v>
      </c>
      <c r="AH1270" s="6" t="n">
        <v>2.731396926434397</v>
      </c>
      <c r="AI1270" s="6" t="n">
        <v>2.307540627899972</v>
      </c>
      <c r="AJ1270" s="6" t="n">
        <v>75.73390221046589</v>
      </c>
      <c r="AK1270" s="6" t="n">
        <v>0.08050244312073804</v>
      </c>
      <c r="AL1270" s="6" t="n">
        <v>1.016505158287334</v>
      </c>
      <c r="AN1270" s="6" t="n">
        <v>1.355181597157298</v>
      </c>
      <c r="AO1270" s="6" t="n">
        <v>1.355181597157298</v>
      </c>
      <c r="AP1270" s="6" t="n">
        <v>0.1374050309769584</v>
      </c>
      <c r="AQ1270" s="6" t="n">
        <v>0</v>
      </c>
      <c r="AR1270" s="6" t="n">
        <v>0</v>
      </c>
    </row>
    <row r="1271">
      <c r="D1271" t="inlineStr">
        <is>
          <t>Run 959</t>
        </is>
      </c>
      <c r="J1271" s="6" t="n">
        <v>1.974104112696578</v>
      </c>
      <c r="K1271" s="6" t="n">
        <v>1.49517639275073</v>
      </c>
      <c r="L1271" s="6" t="n">
        <v>-0.6144890608247356</v>
      </c>
      <c r="M1271" s="6" t="n">
        <v>-0.07705110359900585</v>
      </c>
      <c r="N1271" s="6" t="n">
        <v>1.026120091103958</v>
      </c>
      <c r="O1271" s="6" t="n">
        <v>0.02057010098873819</v>
      </c>
      <c r="P1271" s="6" t="n">
        <v>-0.6255591991092991</v>
      </c>
      <c r="Q1271" s="6" t="n">
        <v>4.230828278114958</v>
      </c>
      <c r="R1271" s="6" t="n">
        <v>0.3469880536340643</v>
      </c>
      <c r="S1271" s="6" t="n">
        <v>3.547913189861552</v>
      </c>
      <c r="T1271" s="6" t="n">
        <v>-1.856340402241805</v>
      </c>
      <c r="U1271" s="6" t="n">
        <v>-1.713958226627532</v>
      </c>
      <c r="V1271" s="6" t="n">
        <v>-0.8785009485429225</v>
      </c>
      <c r="W1271" s="6" t="n">
        <v>1.42853130077714</v>
      </c>
      <c r="X1271" s="6" t="n">
        <v>-1.360714333450251</v>
      </c>
      <c r="Y1271" s="6" t="n">
        <v>0.438512683840752</v>
      </c>
      <c r="Z1271" s="6" t="n">
        <v>-1.301187293800026</v>
      </c>
      <c r="AA1271" s="6" t="n">
        <v>-0.2464502614066843</v>
      </c>
      <c r="AB1271" s="6" t="n">
        <v>-5.226762042350952</v>
      </c>
      <c r="AC1271" s="6" t="n">
        <v>-0.3532140204598117</v>
      </c>
      <c r="AD1271" s="6" t="n">
        <v>0.4760806460140006</v>
      </c>
      <c r="AE1271" s="6" t="n">
        <v>0.3377840915506299</v>
      </c>
      <c r="AF1271" s="6" t="n">
        <v>0.7718715756114395</v>
      </c>
      <c r="AG1271" s="6" t="n">
        <v>2.163883528738975</v>
      </c>
      <c r="AH1271" s="6" t="n">
        <v>-2.927818702903243</v>
      </c>
      <c r="AI1271" s="6" t="n">
        <v>-2.34008562819453</v>
      </c>
      <c r="AJ1271" s="6" t="n">
        <v>72.21203953328859</v>
      </c>
      <c r="AK1271" s="6" t="n">
        <v>0.1324686148515284</v>
      </c>
      <c r="AL1271" s="6" t="n">
        <v>1.090560164482903</v>
      </c>
      <c r="AN1271" s="6" t="n">
        <v>1.331306415845617</v>
      </c>
      <c r="AO1271" s="6" t="n">
        <v>1.331604735135511</v>
      </c>
      <c r="AP1271" s="6" t="n">
        <v>0.1294243224150629</v>
      </c>
      <c r="AQ1271" s="6" t="n">
        <v>0</v>
      </c>
      <c r="AR1271" s="6" t="n">
        <v>0</v>
      </c>
    </row>
    <row r="1272">
      <c r="D1272" t="inlineStr">
        <is>
          <t>Run 960</t>
        </is>
      </c>
      <c r="J1272" s="6" t="n">
        <v>2.498042448406363</v>
      </c>
      <c r="K1272" s="6" t="n">
        <v>0.3516661882429225</v>
      </c>
      <c r="L1272" s="6" t="n">
        <v>-3.349411467948122</v>
      </c>
      <c r="M1272" s="6" t="n">
        <v>-3.781383891582789</v>
      </c>
      <c r="N1272" s="6" t="n">
        <v>-3.491214535056667</v>
      </c>
      <c r="O1272" s="6" t="n">
        <v>-2.956620622633678</v>
      </c>
      <c r="P1272" s="6" t="n">
        <v>-1.75234571673735</v>
      </c>
      <c r="Q1272" s="6" t="n">
        <v>1.148526347751946</v>
      </c>
      <c r="R1272" s="6" t="n">
        <v>-1.194622387430329</v>
      </c>
      <c r="S1272" s="6" t="n">
        <v>0.8631189979566857</v>
      </c>
      <c r="T1272" s="6" t="n">
        <v>-0.9097001112054142</v>
      </c>
      <c r="U1272" s="6" t="n">
        <v>1.558844450344965</v>
      </c>
      <c r="V1272" s="6" t="n">
        <v>-0.3227193514897547</v>
      </c>
      <c r="W1272" s="6" t="n">
        <v>-0.594155628750473</v>
      </c>
      <c r="X1272" s="6" t="n">
        <v>-3.311105087064564</v>
      </c>
      <c r="Y1272" s="6" t="n">
        <v>1.990455926740364</v>
      </c>
      <c r="Z1272" s="6" t="n">
        <v>0.406976132160066</v>
      </c>
      <c r="AA1272" s="6" t="n">
        <v>2.404056050268084</v>
      </c>
      <c r="AB1272" s="6" t="n">
        <v>0.4554886430610071</v>
      </c>
      <c r="AC1272" s="6" t="n">
        <v>0.4677491124900896</v>
      </c>
      <c r="AD1272" s="6" t="n">
        <v>-0.8113508982997164</v>
      </c>
      <c r="AE1272" s="6" t="n">
        <v>1.963499387707249</v>
      </c>
      <c r="AF1272" s="6" t="n">
        <v>-2.055518904000158</v>
      </c>
      <c r="AG1272" s="6" t="n">
        <v>-1.027548902338073</v>
      </c>
      <c r="AH1272" s="6" t="n">
        <v>-0.005272064370189727</v>
      </c>
      <c r="AI1272" s="6" t="n">
        <v>1.716611949304638</v>
      </c>
      <c r="AJ1272" s="6" t="n">
        <v>65.86771069693741</v>
      </c>
      <c r="AK1272" s="6" t="n">
        <v>0.1202542644663688</v>
      </c>
      <c r="AL1272" s="6" t="n">
        <v>1.020536960397699</v>
      </c>
      <c r="AN1272" s="6" t="n">
        <v>1.308771886794771</v>
      </c>
      <c r="AO1272" s="6" t="n">
        <v>1.31261413443955</v>
      </c>
      <c r="AP1272" s="6" t="n">
        <v>0.1345104679957103</v>
      </c>
      <c r="AQ1272" s="6" t="n">
        <v>0</v>
      </c>
      <c r="AR1272" s="6" t="n">
        <v>0</v>
      </c>
    </row>
    <row r="1273">
      <c r="D1273" t="inlineStr">
        <is>
          <t>Run 961</t>
        </is>
      </c>
      <c r="J1273" s="6" t="n">
        <v>-3.165905244910207</v>
      </c>
      <c r="K1273" s="6" t="n">
        <v>-1.960166791847325</v>
      </c>
      <c r="L1273" s="6" t="n">
        <v>-0.7356967277433847</v>
      </c>
      <c r="M1273" s="6" t="n">
        <v>-2.192741138339253</v>
      </c>
      <c r="N1273" s="6" t="n">
        <v>3.128659682275853</v>
      </c>
      <c r="O1273" s="6" t="n">
        <v>2.1337382793141</v>
      </c>
      <c r="P1273" s="6" t="n">
        <v>1.253498645206935</v>
      </c>
      <c r="Q1273" s="6" t="n">
        <v>-1.058666077142169</v>
      </c>
      <c r="R1273" s="6" t="n">
        <v>1.982766718884838</v>
      </c>
      <c r="S1273" s="6" t="n">
        <v>-2.426321873688347</v>
      </c>
      <c r="T1273" s="6" t="n">
        <v>-2.150493952105105</v>
      </c>
      <c r="U1273" s="6" t="n">
        <v>0.2603818165846284</v>
      </c>
      <c r="V1273" s="6" t="n">
        <v>-2.65304071953529</v>
      </c>
      <c r="W1273" s="6" t="n">
        <v>-1.995278850936354</v>
      </c>
      <c r="X1273" s="6" t="n">
        <v>0.5557466745873888</v>
      </c>
      <c r="Y1273" s="6" t="n">
        <v>3.986571164296339</v>
      </c>
      <c r="Z1273" s="6" t="n">
        <v>-0.8545573964506347</v>
      </c>
      <c r="AA1273" s="6" t="n">
        <v>-0.3054159610425738</v>
      </c>
      <c r="AB1273" s="6" t="n">
        <v>-0.1468028092751433</v>
      </c>
      <c r="AC1273" s="6" t="n">
        <v>-2.064805714910728</v>
      </c>
      <c r="AD1273" s="6" t="n">
        <v>0.4808256922588738</v>
      </c>
      <c r="AE1273" s="6" t="n">
        <v>0.2375245263488036</v>
      </c>
      <c r="AF1273" s="6" t="n">
        <v>-1.565305659969728</v>
      </c>
      <c r="AG1273" s="6" t="n">
        <v>-1.380788104385855</v>
      </c>
      <c r="AH1273" s="6" t="n">
        <v>-3.712472383244369</v>
      </c>
      <c r="AI1273" s="6" t="n">
        <v>4.235571295120876</v>
      </c>
      <c r="AJ1273" s="6" t="n">
        <v>70.57743610108521</v>
      </c>
      <c r="AK1273" s="6" t="n">
        <v>0.1660503220498746</v>
      </c>
      <c r="AL1273" s="6" t="n">
        <v>1.056624839384172</v>
      </c>
      <c r="AN1273" s="6" t="n">
        <v>1.323536550446961</v>
      </c>
      <c r="AO1273" s="6" t="n">
        <v>1.32971720295187</v>
      </c>
      <c r="AP1273" s="6" t="n">
        <v>0.1306796581745214</v>
      </c>
      <c r="AQ1273" s="6" t="n">
        <v>0</v>
      </c>
      <c r="AR1273" s="6" t="n">
        <v>0</v>
      </c>
    </row>
    <row r="1274">
      <c r="D1274" t="inlineStr">
        <is>
          <t>Run 962</t>
        </is>
      </c>
      <c r="J1274" s="6" t="n">
        <v>-1.849483019733519</v>
      </c>
      <c r="K1274" s="6" t="n">
        <v>-3.528671070714372</v>
      </c>
      <c r="L1274" s="6" t="n">
        <v>0.5215866212479781</v>
      </c>
      <c r="M1274" s="6" t="n">
        <v>1.808172595799061</v>
      </c>
      <c r="N1274" s="6" t="n">
        <v>0.1219893790345356</v>
      </c>
      <c r="O1274" s="6" t="n">
        <v>1.132334649145056</v>
      </c>
      <c r="P1274" s="6" t="n">
        <v>4.354613958646494</v>
      </c>
      <c r="Q1274" s="6" t="n">
        <v>-0.7819708140422784</v>
      </c>
      <c r="R1274" s="6" t="n">
        <v>-0.6786066752573221</v>
      </c>
      <c r="S1274" s="6" t="n">
        <v>-0.1798199023516847</v>
      </c>
      <c r="T1274" s="6" t="n">
        <v>1.852201569827312</v>
      </c>
      <c r="U1274" s="6" t="n">
        <v>3.531582696541485</v>
      </c>
      <c r="V1274" s="6" t="n">
        <v>-0.4433979499689965</v>
      </c>
      <c r="W1274" s="6" t="n">
        <v>2.564609626897008</v>
      </c>
      <c r="X1274" s="6" t="n">
        <v>-0.2158442634871278</v>
      </c>
      <c r="Y1274" s="6" t="n">
        <v>0.5225129626421535</v>
      </c>
      <c r="Z1274" s="6" t="n">
        <v>-3.943910655550179</v>
      </c>
      <c r="AA1274" s="6" t="n">
        <v>-1.149672923720812</v>
      </c>
      <c r="AB1274" s="6" t="n">
        <v>2.185922002252999</v>
      </c>
      <c r="AC1274" s="6" t="n">
        <v>-0.5721599220757242</v>
      </c>
      <c r="AD1274" s="6" t="n">
        <v>1.352904927016823</v>
      </c>
      <c r="AE1274" s="6" t="n">
        <v>1.415772618801642</v>
      </c>
      <c r="AF1274" s="6" t="n">
        <v>2.712236844119841</v>
      </c>
      <c r="AG1274" s="6" t="n">
        <v>-0.8558389699864559</v>
      </c>
      <c r="AH1274" s="6" t="n">
        <v>-5.676050320967704</v>
      </c>
      <c r="AI1274" s="6" t="n">
        <v>-3.70026993588204</v>
      </c>
      <c r="AJ1274" s="6" t="n">
        <v>77.59143230178067</v>
      </c>
      <c r="AK1274" s="6" t="n">
        <v>0.06868821224272774</v>
      </c>
      <c r="AL1274" s="6" t="n">
        <v>1.065605712817661</v>
      </c>
      <c r="AN1274" s="6" t="n">
        <v>1.345192769255595</v>
      </c>
      <c r="AO1274" s="6" t="n">
        <v>1.347253720477219</v>
      </c>
      <c r="AP1274" s="6" t="n">
        <v>0.1327199816302827</v>
      </c>
      <c r="AQ1274" s="6" t="n">
        <v>0</v>
      </c>
      <c r="AR1274" s="6" t="n">
        <v>0</v>
      </c>
    </row>
    <row r="1275">
      <c r="D1275" t="inlineStr">
        <is>
          <t>Run 963</t>
        </is>
      </c>
      <c r="J1275" s="6" t="n">
        <v>-3.012799132512517</v>
      </c>
      <c r="K1275" s="6" t="n">
        <v>-3.432469508554847</v>
      </c>
      <c r="L1275" s="6" t="n">
        <v>0.1398780105712488</v>
      </c>
      <c r="M1275" s="6" t="n">
        <v>0.9737545278087573</v>
      </c>
      <c r="N1275" s="6" t="n">
        <v>-2.230050013236388</v>
      </c>
      <c r="O1275" s="6" t="n">
        <v>-2.715559775332858</v>
      </c>
      <c r="P1275" s="6" t="n">
        <v>-1.616989567577263</v>
      </c>
      <c r="Q1275" s="6" t="n">
        <v>-1.474838798900804</v>
      </c>
      <c r="R1275" s="6" t="n">
        <v>2.470976567178</v>
      </c>
      <c r="S1275" s="6" t="n">
        <v>1.077471919255915</v>
      </c>
      <c r="T1275" s="6" t="n">
        <v>1.270803736492713</v>
      </c>
      <c r="U1275" s="6" t="n">
        <v>0.7065464034925263</v>
      </c>
      <c r="V1275" s="6" t="n">
        <v>-1.72141966918337</v>
      </c>
      <c r="W1275" s="6" t="n">
        <v>-0.9965872626839868</v>
      </c>
      <c r="X1275" s="6" t="n">
        <v>1.919598293619917</v>
      </c>
      <c r="Y1275" s="6" t="n">
        <v>0.683685577760541</v>
      </c>
      <c r="Z1275" s="6" t="n">
        <v>0.2627119411133644</v>
      </c>
      <c r="AA1275" s="6" t="n">
        <v>-0.9076877681773952</v>
      </c>
      <c r="AB1275" s="6" t="n">
        <v>-0.1394562693263056</v>
      </c>
      <c r="AC1275" s="6" t="n">
        <v>0.9776544811499533</v>
      </c>
      <c r="AD1275" s="6" t="n">
        <v>0.8528196514157108</v>
      </c>
      <c r="AE1275" s="6" t="n">
        <v>-4.574998796914809</v>
      </c>
      <c r="AF1275" s="6" t="n">
        <v>-1.548844776267491</v>
      </c>
      <c r="AG1275" s="6" t="n">
        <v>0.9203676791743611</v>
      </c>
      <c r="AH1275" s="6" t="n">
        <v>1.857342747504783</v>
      </c>
      <c r="AI1275" s="6" t="n">
        <v>-0.5748763645142696</v>
      </c>
      <c r="AJ1275" s="6" t="n">
        <v>66.93130672865594</v>
      </c>
      <c r="AK1275" s="6" t="n">
        <v>0.07420329340937581</v>
      </c>
      <c r="AL1275" s="6" t="n">
        <v>1.062808336946614</v>
      </c>
      <c r="AN1275" s="6" t="n">
        <v>1.342450591766859</v>
      </c>
      <c r="AO1275" s="6" t="n">
        <v>1.344148308172391</v>
      </c>
      <c r="AP1275" s="6" t="n">
        <v>0.1322244636259193</v>
      </c>
      <c r="AQ1275" s="6" t="n">
        <v>0</v>
      </c>
      <c r="AR1275" s="6" t="n">
        <v>0</v>
      </c>
    </row>
    <row r="1276">
      <c r="D1276" t="inlineStr">
        <is>
          <t>Run 964</t>
        </is>
      </c>
      <c r="J1276" s="6" t="n">
        <v>-0.5892949728753759</v>
      </c>
      <c r="K1276" s="6" t="n">
        <v>-1.852226838670938</v>
      </c>
      <c r="L1276" s="6" t="n">
        <v>1.470222798102805</v>
      </c>
      <c r="M1276" s="6" t="n">
        <v>-0.212862798640846</v>
      </c>
      <c r="N1276" s="6" t="n">
        <v>-1.741939170168813</v>
      </c>
      <c r="O1276" s="6" t="n">
        <v>-1.182083209826195</v>
      </c>
      <c r="P1276" s="6" t="n">
        <v>-1.617799470118223</v>
      </c>
      <c r="Q1276" s="6" t="n">
        <v>0.05633066027063915</v>
      </c>
      <c r="R1276" s="6" t="n">
        <v>0.9634658639170515</v>
      </c>
      <c r="S1276" s="6" t="n">
        <v>-1.526817159639944</v>
      </c>
      <c r="T1276" s="6" t="n">
        <v>-1.017545375179777</v>
      </c>
      <c r="U1276" s="6" t="n">
        <v>1.54438737689333</v>
      </c>
      <c r="V1276" s="6" t="n">
        <v>1.555404131684518</v>
      </c>
      <c r="W1276" s="6" t="n">
        <v>-0.1171963531428669</v>
      </c>
      <c r="X1276" s="6" t="n">
        <v>0.0302006287843376</v>
      </c>
      <c r="Y1276" s="6" t="n">
        <v>-0.03761113295569529</v>
      </c>
      <c r="Z1276" s="6" t="n">
        <v>0.4786261497720395</v>
      </c>
      <c r="AA1276" s="6" t="n">
        <v>0.3292986678155294</v>
      </c>
      <c r="AB1276" s="6" t="n">
        <v>0.5720556404730284</v>
      </c>
      <c r="AC1276" s="6" t="n">
        <v>0.235305933835526</v>
      </c>
      <c r="AD1276" s="6" t="n">
        <v>-2.10174387648304</v>
      </c>
      <c r="AE1276" s="6" t="n">
        <v>2.954033287405156</v>
      </c>
      <c r="AF1276" s="6" t="n">
        <v>-0.01036580471815824</v>
      </c>
      <c r="AG1276" s="6" t="n">
        <v>-2.861953560867812</v>
      </c>
      <c r="AH1276" s="6" t="n">
        <v>-0.1626387804228239</v>
      </c>
      <c r="AI1276" s="6" t="n">
        <v>2.829733015731345</v>
      </c>
      <c r="AJ1276" s="6" t="n">
        <v>72.3044113589315</v>
      </c>
      <c r="AK1276" s="6" t="n">
        <v>0.1394219644442236</v>
      </c>
      <c r="AL1276" s="6" t="n">
        <v>1.061360314281595</v>
      </c>
      <c r="AN1276" s="6" t="n">
        <v>1.34309480424355</v>
      </c>
      <c r="AO1276" s="6" t="n">
        <v>1.34315810015382</v>
      </c>
      <c r="AP1276" s="6" t="n">
        <v>0.1311845690190225</v>
      </c>
      <c r="AQ1276" s="6" t="n">
        <v>0</v>
      </c>
      <c r="AR1276" s="6" t="n">
        <v>0</v>
      </c>
    </row>
    <row r="1277">
      <c r="D1277" t="inlineStr">
        <is>
          <t>Run 965</t>
        </is>
      </c>
      <c r="J1277" s="6" t="n">
        <v>-3.320890622875872</v>
      </c>
      <c r="K1277" s="6" t="n">
        <v>-2.348569656481723</v>
      </c>
      <c r="L1277" s="6" t="n">
        <v>3.890903903087723</v>
      </c>
      <c r="M1277" s="6" t="n">
        <v>0.3724417315398832</v>
      </c>
      <c r="N1277" s="6" t="n">
        <v>0.7227196475273204</v>
      </c>
      <c r="O1277" s="6" t="n">
        <v>1.985826867433567</v>
      </c>
      <c r="P1277" s="6" t="n">
        <v>-0.846913588888746</v>
      </c>
      <c r="Q1277" s="6" t="n">
        <v>-1.879079495002303</v>
      </c>
      <c r="R1277" s="6" t="n">
        <v>-1.495943837520945</v>
      </c>
      <c r="S1277" s="6" t="n">
        <v>0.5136385125596978</v>
      </c>
      <c r="T1277" s="6" t="n">
        <v>4.443751739591978</v>
      </c>
      <c r="U1277" s="6" t="n">
        <v>1.62152795853602</v>
      </c>
      <c r="V1277" s="6" t="n">
        <v>1.690990799891173</v>
      </c>
      <c r="W1277" s="6" t="n">
        <v>-1.577649510751795</v>
      </c>
      <c r="X1277" s="6" t="n">
        <v>-0.299929503460042</v>
      </c>
      <c r="Y1277" s="6" t="n">
        <v>3.850990618470775</v>
      </c>
      <c r="Z1277" s="6" t="n">
        <v>-1.638113397572913</v>
      </c>
      <c r="AA1277" s="6" t="n">
        <v>0.751820222026522</v>
      </c>
      <c r="AB1277" s="6" t="n">
        <v>0.6117175617820321</v>
      </c>
      <c r="AC1277" s="6" t="n">
        <v>0.7696046790300335</v>
      </c>
      <c r="AD1277" s="6" t="n">
        <v>-1.642469143610219</v>
      </c>
      <c r="AE1277" s="6" t="n">
        <v>0.07085552031031921</v>
      </c>
      <c r="AF1277" s="6" t="n">
        <v>0.3669811103233631</v>
      </c>
      <c r="AG1277" s="6" t="n">
        <v>-0.486936092864039</v>
      </c>
      <c r="AH1277" s="6" t="n">
        <v>-1.153075687323185</v>
      </c>
      <c r="AI1277" s="6" t="n">
        <v>-2.964753754551647</v>
      </c>
      <c r="AJ1277" s="6" t="n">
        <v>69.97754953335608</v>
      </c>
      <c r="AK1277" s="6" t="n">
        <v>0.1388512148559781</v>
      </c>
      <c r="AL1277" s="6" t="n">
        <v>1.054840541509218</v>
      </c>
      <c r="AN1277" s="6" t="n">
        <v>1.340218887497451</v>
      </c>
      <c r="AO1277" s="6" t="n">
        <v>1.34082714400216</v>
      </c>
      <c r="AP1277" s="6" t="n">
        <v>0.1313978423876408</v>
      </c>
      <c r="AQ1277" s="6" t="n">
        <v>0</v>
      </c>
      <c r="AR1277" s="6" t="n">
        <v>0</v>
      </c>
    </row>
    <row r="1278">
      <c r="D1278" t="inlineStr">
        <is>
          <t>Run 966</t>
        </is>
      </c>
      <c r="J1278" s="6" t="n">
        <v>1.09120514310705</v>
      </c>
      <c r="K1278" s="6" t="n">
        <v>0.9618569593513958</v>
      </c>
      <c r="L1278" s="6" t="n">
        <v>-2.310111468161984</v>
      </c>
      <c r="M1278" s="6" t="n">
        <v>1.539595457392826</v>
      </c>
      <c r="N1278" s="6" t="n">
        <v>2.030891842053157</v>
      </c>
      <c r="O1278" s="6" t="n">
        <v>-0.5273729548518726</v>
      </c>
      <c r="P1278" s="6" t="n">
        <v>-2.327756179832011</v>
      </c>
      <c r="Q1278" s="6" t="n">
        <v>-0.9885517275022542</v>
      </c>
      <c r="R1278" s="6" t="n">
        <v>0.224384453569155</v>
      </c>
      <c r="S1278" s="6" t="n">
        <v>-1.051076267355157</v>
      </c>
      <c r="T1278" s="6" t="n">
        <v>1.858097276282097</v>
      </c>
      <c r="U1278" s="6" t="n">
        <v>0.9111154246342607</v>
      </c>
      <c r="V1278" s="6" t="n">
        <v>-2.329528658560607</v>
      </c>
      <c r="W1278" s="6" t="n">
        <v>-1.038040583977733</v>
      </c>
      <c r="X1278" s="6" t="n">
        <v>0.7481326822981147</v>
      </c>
      <c r="Y1278" s="6" t="n">
        <v>-3.380267455814339</v>
      </c>
      <c r="Z1278" s="6" t="n">
        <v>-1.629449903764174</v>
      </c>
      <c r="AA1278" s="6" t="n">
        <v>-0.760035578070532</v>
      </c>
      <c r="AB1278" s="6" t="n">
        <v>0.4450104727762635</v>
      </c>
      <c r="AC1278" s="6" t="n">
        <v>0.6410534734975905</v>
      </c>
      <c r="AD1278" s="6" t="n">
        <v>1.943428231480123</v>
      </c>
      <c r="AE1278" s="6" t="n">
        <v>-1.103693717931075</v>
      </c>
      <c r="AF1278" s="6" t="n">
        <v>1.839207346115</v>
      </c>
      <c r="AG1278" s="6" t="n">
        <v>-1.051085174358694</v>
      </c>
      <c r="AH1278" s="6" t="n">
        <v>2.116112493216107</v>
      </c>
      <c r="AI1278" s="6" t="n">
        <v>-0.5076276741258795</v>
      </c>
      <c r="AJ1278" s="6" t="n">
        <v>74.09706918851244</v>
      </c>
      <c r="AK1278" s="6" t="n">
        <v>0.05294093679550987</v>
      </c>
      <c r="AL1278" s="6" t="n">
        <v>1.130943413734288</v>
      </c>
      <c r="AN1278" s="6" t="n">
        <v>1.329701889475432</v>
      </c>
      <c r="AO1278" s="6" t="n">
        <v>1.330209951204189</v>
      </c>
      <c r="AP1278" s="6" t="n">
        <v>0.1295493796046006</v>
      </c>
      <c r="AQ1278" s="6" t="n">
        <v>0</v>
      </c>
      <c r="AR1278" s="6" t="n">
        <v>0</v>
      </c>
    </row>
    <row r="1279">
      <c r="D1279" t="inlineStr">
        <is>
          <t>Run 967</t>
        </is>
      </c>
      <c r="J1279" s="6" t="n">
        <v>3.121937352680843</v>
      </c>
      <c r="K1279" s="6" t="n">
        <v>1.956281045802884</v>
      </c>
      <c r="L1279" s="6" t="n">
        <v>0.761398574562359</v>
      </c>
      <c r="M1279" s="6" t="n">
        <v>-1.623971044151184</v>
      </c>
      <c r="N1279" s="6" t="n">
        <v>0.3997277148687563</v>
      </c>
      <c r="O1279" s="6" t="n">
        <v>-1.254561474881225</v>
      </c>
      <c r="P1279" s="6" t="n">
        <v>-2.182042276468661</v>
      </c>
      <c r="Q1279" s="6" t="n">
        <v>1.041169693682258</v>
      </c>
      <c r="R1279" s="6" t="n">
        <v>0.9412230267871718</v>
      </c>
      <c r="S1279" s="6" t="n">
        <v>-2.732621119660667</v>
      </c>
      <c r="T1279" s="6" t="n">
        <v>-1.292968064833082</v>
      </c>
      <c r="U1279" s="6" t="n">
        <v>-1.779710804228396</v>
      </c>
      <c r="V1279" s="6" t="n">
        <v>-1.76556707838648</v>
      </c>
      <c r="W1279" s="6" t="n">
        <v>0.0821535449413353</v>
      </c>
      <c r="X1279" s="6" t="n">
        <v>-0.5800296539407374</v>
      </c>
      <c r="Y1279" s="6" t="n">
        <v>-1.062650954883162</v>
      </c>
      <c r="Z1279" s="6" t="n">
        <v>3.075520350275347</v>
      </c>
      <c r="AA1279" s="6" t="n">
        <v>2.277436224801851</v>
      </c>
      <c r="AB1279" s="6" t="n">
        <v>-0.1186192542847986</v>
      </c>
      <c r="AC1279" s="6" t="n">
        <v>0.01682122365401117</v>
      </c>
      <c r="AD1279" s="6" t="n">
        <v>-4.116394716929325</v>
      </c>
      <c r="AE1279" s="6" t="n">
        <v>-1.987196747273136</v>
      </c>
      <c r="AF1279" s="6" t="n">
        <v>-1.142662248842797</v>
      </c>
      <c r="AG1279" s="6" t="n">
        <v>-1.937728368410277</v>
      </c>
      <c r="AH1279" s="6" t="n">
        <v>1.849536595007241</v>
      </c>
      <c r="AI1279" s="6" t="n">
        <v>-2.129968403412345</v>
      </c>
      <c r="AJ1279" s="6" t="n">
        <v>67.76087195534706</v>
      </c>
      <c r="AK1279" s="6" t="n">
        <v>0.1751608385936864</v>
      </c>
      <c r="AL1279" s="6" t="n">
        <v>1.067730030882116</v>
      </c>
      <c r="AN1279" s="6" t="n">
        <v>1.327260337567106</v>
      </c>
      <c r="AO1279" s="6" t="n">
        <v>1.330965547213741</v>
      </c>
      <c r="AP1279" s="6" t="n">
        <v>0.1295591361145794</v>
      </c>
      <c r="AQ1279" s="6" t="n">
        <v>0</v>
      </c>
      <c r="AR1279" s="6" t="n">
        <v>0</v>
      </c>
    </row>
    <row r="1280">
      <c r="D1280" t="inlineStr">
        <is>
          <t>Run 968</t>
        </is>
      </c>
      <c r="J1280" s="6" t="n">
        <v>-0.6151802927169456</v>
      </c>
      <c r="K1280" s="6" t="n">
        <v>0.649117441117122</v>
      </c>
      <c r="L1280" s="6" t="n">
        <v>5</v>
      </c>
      <c r="M1280" s="6" t="n">
        <v>-3.32913974848471</v>
      </c>
      <c r="N1280" s="6" t="n">
        <v>2.754134617691706</v>
      </c>
      <c r="O1280" s="6" t="n">
        <v>-0.2891733305870561</v>
      </c>
      <c r="P1280" s="6" t="n">
        <v>-0.8636946178003247</v>
      </c>
      <c r="Q1280" s="6" t="n">
        <v>1.330272020561476</v>
      </c>
      <c r="R1280" s="6" t="n">
        <v>-1.775861464407595</v>
      </c>
      <c r="S1280" s="6" t="n">
        <v>0.09742814127495475</v>
      </c>
      <c r="T1280" s="6" t="n">
        <v>0.5134861672096632</v>
      </c>
      <c r="U1280" s="6" t="n">
        <v>-0.2328269886732949</v>
      </c>
      <c r="V1280" s="6" t="n">
        <v>-1.33927304528748</v>
      </c>
      <c r="W1280" s="6" t="n">
        <v>-3.288623682756406</v>
      </c>
      <c r="X1280" s="6" t="n">
        <v>1.324743075213496</v>
      </c>
      <c r="Y1280" s="6" t="n">
        <v>-1.24811815761912</v>
      </c>
      <c r="Z1280" s="6" t="n">
        <v>1.678857101218428</v>
      </c>
      <c r="AA1280" s="6" t="n">
        <v>0.491079008306374</v>
      </c>
      <c r="AB1280" s="6" t="n">
        <v>-1.545157090969498</v>
      </c>
      <c r="AC1280" s="6" t="n">
        <v>-0.04734996213699976</v>
      </c>
      <c r="AD1280" s="6" t="n">
        <v>-0.9921531119263977</v>
      </c>
      <c r="AE1280" s="6" t="n">
        <v>2.016173168513763</v>
      </c>
      <c r="AF1280" s="6" t="n">
        <v>-1.217739359827914</v>
      </c>
      <c r="AG1280" s="6" t="n">
        <v>-3.166721920193348</v>
      </c>
      <c r="AH1280" s="6" t="n">
        <v>-2.059855022239365</v>
      </c>
      <c r="AI1280" s="6" t="n">
        <v>-1.643557234934788</v>
      </c>
      <c r="AJ1280" s="6" t="n">
        <v>71.82394790819208</v>
      </c>
      <c r="AK1280" s="6" t="n">
        <v>0.08525065396365498</v>
      </c>
      <c r="AL1280" s="6" t="n">
        <v>1.068038061928025</v>
      </c>
      <c r="AN1280" s="6" t="n">
        <v>1.309469779132889</v>
      </c>
      <c r="AO1280" s="6" t="n">
        <v>1.322051153081837</v>
      </c>
      <c r="AP1280" s="6" t="n">
        <v>0.1315623998281977</v>
      </c>
      <c r="AQ1280" s="6" t="n">
        <v>0</v>
      </c>
      <c r="AR1280" s="6" t="n">
        <v>0</v>
      </c>
    </row>
    <row r="1281">
      <c r="D1281" t="inlineStr">
        <is>
          <t>Run 969</t>
        </is>
      </c>
      <c r="J1281" s="6" t="n">
        <v>-1.525058794925248</v>
      </c>
      <c r="K1281" s="6" t="n">
        <v>-0.690525300478702</v>
      </c>
      <c r="L1281" s="6" t="n">
        <v>0.8428546673137213</v>
      </c>
      <c r="M1281" s="6" t="n">
        <v>1.320603688688808</v>
      </c>
      <c r="N1281" s="6" t="n">
        <v>-1.981046044808634</v>
      </c>
      <c r="O1281" s="6" t="n">
        <v>-0.1221118660172337</v>
      </c>
      <c r="P1281" s="6" t="n">
        <v>0.2252732702740313</v>
      </c>
      <c r="Q1281" s="6" t="n">
        <v>1.26030035815816</v>
      </c>
      <c r="R1281" s="6" t="n">
        <v>-0.2657152990747509</v>
      </c>
      <c r="S1281" s="6" t="n">
        <v>-0.2752306604629646</v>
      </c>
      <c r="T1281" s="6" t="n">
        <v>1.72756128512293</v>
      </c>
      <c r="U1281" s="6" t="n">
        <v>0.5223986314378269</v>
      </c>
      <c r="V1281" s="6" t="n">
        <v>0.5949547646168002</v>
      </c>
      <c r="W1281" s="6" t="n">
        <v>0.2471868644595416</v>
      </c>
      <c r="X1281" s="6" t="n">
        <v>1.065628593296994</v>
      </c>
      <c r="Y1281" s="6" t="n">
        <v>0.4587222783697961</v>
      </c>
      <c r="Z1281" s="6" t="n">
        <v>-4.581036592933601</v>
      </c>
      <c r="AA1281" s="6" t="n">
        <v>-1.290909050625992</v>
      </c>
      <c r="AB1281" s="6" t="n">
        <v>0.480636294837539</v>
      </c>
      <c r="AC1281" s="6" t="n">
        <v>4.031302500056492</v>
      </c>
      <c r="AD1281" s="6" t="n">
        <v>0.6510628688637948</v>
      </c>
      <c r="AE1281" s="6" t="n">
        <v>-0.07928651376842849</v>
      </c>
      <c r="AF1281" s="6" t="n">
        <v>-1.124492890087459</v>
      </c>
      <c r="AG1281" s="6" t="n">
        <v>2.665295371944416</v>
      </c>
      <c r="AH1281" s="6" t="n">
        <v>-2.753447475711203</v>
      </c>
      <c r="AI1281" s="6" t="n">
        <v>-0.4741354527219999</v>
      </c>
      <c r="AJ1281" s="6" t="n">
        <v>59.73567858200413</v>
      </c>
      <c r="AK1281" s="6" t="n">
        <v>0.07934830388911215</v>
      </c>
      <c r="AL1281" s="6" t="n">
        <v>1.082994349276933</v>
      </c>
      <c r="AN1281" s="6" t="n">
        <v>1.335201816820974</v>
      </c>
      <c r="AO1281" s="6" t="n">
        <v>1.335253094450112</v>
      </c>
      <c r="AP1281" s="6" t="n">
        <v>0.1304873481428991</v>
      </c>
      <c r="AQ1281" s="6" t="n">
        <v>0</v>
      </c>
      <c r="AR1281" s="6" t="n">
        <v>0</v>
      </c>
    </row>
    <row r="1282">
      <c r="D1282" t="inlineStr">
        <is>
          <t>Run 970</t>
        </is>
      </c>
      <c r="J1282" s="6" t="n">
        <v>3.861365935614308</v>
      </c>
      <c r="K1282" s="6" t="n">
        <v>0.2504948719892141</v>
      </c>
      <c r="L1282" s="6" t="n">
        <v>5</v>
      </c>
      <c r="M1282" s="6" t="n">
        <v>-1.752497166401341</v>
      </c>
      <c r="N1282" s="6" t="n">
        <v>1.082866124348398</v>
      </c>
      <c r="O1282" s="6" t="n">
        <v>-2.121624828709205</v>
      </c>
      <c r="P1282" s="6" t="n">
        <v>-6.953551746704692</v>
      </c>
      <c r="Q1282" s="6" t="n">
        <v>2.664308936219326</v>
      </c>
      <c r="R1282" s="6" t="n">
        <v>-1.226365341827126</v>
      </c>
      <c r="S1282" s="6" t="n">
        <v>1.310520422375222</v>
      </c>
      <c r="T1282" s="6" t="n">
        <v>1.265376185417402</v>
      </c>
      <c r="U1282" s="6" t="n">
        <v>0.9157454338726126</v>
      </c>
      <c r="V1282" s="6" t="n">
        <v>-2.287959341130274</v>
      </c>
      <c r="W1282" s="6" t="n">
        <v>0.6865973484730957</v>
      </c>
      <c r="X1282" s="6" t="n">
        <v>-0.9838623894802937</v>
      </c>
      <c r="Y1282" s="6" t="n">
        <v>1.090621393355425</v>
      </c>
      <c r="Z1282" s="6" t="n">
        <v>-2.831495928180682</v>
      </c>
      <c r="AA1282" s="6" t="n">
        <v>-2.075105252214931</v>
      </c>
      <c r="AB1282" s="6" t="n">
        <v>-0.6286713586989394</v>
      </c>
      <c r="AC1282" s="6" t="n">
        <v>5</v>
      </c>
      <c r="AD1282" s="6" t="n">
        <v>-2.598000922006106</v>
      </c>
      <c r="AE1282" s="6" t="n">
        <v>1.222324119183853</v>
      </c>
      <c r="AF1282" s="6" t="n">
        <v>2.778151254900464</v>
      </c>
      <c r="AG1282" s="6" t="n">
        <v>-0.3401197650730554</v>
      </c>
      <c r="AH1282" s="6" t="n">
        <v>-0.1494537045085012</v>
      </c>
      <c r="AI1282" s="6" t="n">
        <v>-0.4572049280225606</v>
      </c>
      <c r="AJ1282" s="6" t="n">
        <v>76.98613748373796</v>
      </c>
      <c r="AK1282" s="6" t="n">
        <v>0.1649843793608148</v>
      </c>
      <c r="AL1282" s="6" t="n">
        <v>1.077387065152297</v>
      </c>
      <c r="AN1282" s="6" t="n">
        <v>1.312254813724519</v>
      </c>
      <c r="AO1282" s="6" t="n">
        <v>1.321937024286958</v>
      </c>
      <c r="AP1282" s="6" t="n">
        <v>0.1292615281873452</v>
      </c>
      <c r="AQ1282" s="6" t="n">
        <v>0</v>
      </c>
      <c r="AR1282" s="6" t="n">
        <v>0</v>
      </c>
    </row>
    <row r="1283">
      <c r="D1283" t="inlineStr">
        <is>
          <t>Run 971</t>
        </is>
      </c>
      <c r="J1283" s="6" t="n">
        <v>2.333387746551307</v>
      </c>
      <c r="K1283" s="6" t="n">
        <v>2.347073824195612</v>
      </c>
      <c r="L1283" s="6" t="n">
        <v>-1.993027885810546</v>
      </c>
      <c r="M1283" s="6" t="n">
        <v>-3.576912892443299</v>
      </c>
      <c r="N1283" s="6" t="n">
        <v>-0.1858940268630134</v>
      </c>
      <c r="O1283" s="6" t="n">
        <v>-0.4694275634254668</v>
      </c>
      <c r="P1283" s="6" t="n">
        <v>0.703676866903598</v>
      </c>
      <c r="Q1283" s="6" t="n">
        <v>0.5949548355250881</v>
      </c>
      <c r="R1283" s="6" t="n">
        <v>3.093836436489948</v>
      </c>
      <c r="S1283" s="6" t="n">
        <v>-2.059004193383168</v>
      </c>
      <c r="T1283" s="6" t="n">
        <v>-3.813869500354782</v>
      </c>
      <c r="U1283" s="6" t="n">
        <v>2.781094790184348</v>
      </c>
      <c r="V1283" s="6" t="n">
        <v>2.557791475612721</v>
      </c>
      <c r="W1283" s="6" t="n">
        <v>1.932936765591047</v>
      </c>
      <c r="X1283" s="6" t="n">
        <v>2.759991218209933</v>
      </c>
      <c r="Y1283" s="6" t="n">
        <v>-0.7376600432368554</v>
      </c>
      <c r="Z1283" s="6" t="n">
        <v>0.1980903921731611</v>
      </c>
      <c r="AA1283" s="6" t="n">
        <v>0.4716623567575413</v>
      </c>
      <c r="AB1283" s="6" t="n">
        <v>3.125239273166704</v>
      </c>
      <c r="AC1283" s="6" t="n">
        <v>0.02846052883655601</v>
      </c>
      <c r="AD1283" s="6" t="n">
        <v>-2.620625443988197</v>
      </c>
      <c r="AE1283" s="6" t="n">
        <v>-1.696086821441349</v>
      </c>
      <c r="AF1283" s="6" t="n">
        <v>2.793747617144242</v>
      </c>
      <c r="AG1283" s="6" t="n">
        <v>-3.006479849813572</v>
      </c>
      <c r="AH1283" s="6" t="n">
        <v>-2.065246158360053</v>
      </c>
      <c r="AI1283" s="6" t="n">
        <v>1.825928380058365</v>
      </c>
      <c r="AJ1283" s="6" t="n">
        <v>68.48071832606242</v>
      </c>
      <c r="AK1283" s="6" t="n">
        <v>0.1119442634466597</v>
      </c>
      <c r="AL1283" s="6" t="n">
        <v>1.057295477760575</v>
      </c>
      <c r="AN1283" s="6" t="n">
        <v>1.305919666806032</v>
      </c>
      <c r="AO1283" s="6" t="n">
        <v>1.315281018847078</v>
      </c>
      <c r="AP1283" s="6" t="n">
        <v>0.1313235303317759</v>
      </c>
      <c r="AQ1283" s="6" t="n">
        <v>0</v>
      </c>
      <c r="AR1283" s="6" t="n">
        <v>0</v>
      </c>
    </row>
    <row r="1284">
      <c r="D1284" t="inlineStr">
        <is>
          <t>Run 972</t>
        </is>
      </c>
      <c r="J1284" s="6" t="n">
        <v>-0.9119456174063471</v>
      </c>
      <c r="K1284" s="6" t="n">
        <v>1.064545673156869</v>
      </c>
      <c r="L1284" s="6" t="n">
        <v>0.7097644467876797</v>
      </c>
      <c r="M1284" s="6" t="n">
        <v>3.246156116939066</v>
      </c>
      <c r="N1284" s="6" t="n">
        <v>2.786826036447158</v>
      </c>
      <c r="O1284" s="6" t="n">
        <v>-1.95513297496119</v>
      </c>
      <c r="P1284" s="6" t="n">
        <v>-1.508619090889517</v>
      </c>
      <c r="Q1284" s="6" t="n">
        <v>-0.6105295832849114</v>
      </c>
      <c r="R1284" s="6" t="n">
        <v>-1.979851197381749</v>
      </c>
      <c r="S1284" s="6" t="n">
        <v>1.564248838385918</v>
      </c>
      <c r="T1284" s="6" t="n">
        <v>-0.1472826732518446</v>
      </c>
      <c r="U1284" s="6" t="n">
        <v>-0.7377532346066701</v>
      </c>
      <c r="V1284" s="6" t="n">
        <v>0.6871066975814109</v>
      </c>
      <c r="W1284" s="6" t="n">
        <v>-0.8145447096595956</v>
      </c>
      <c r="X1284" s="6" t="n">
        <v>1.025393419892739</v>
      </c>
      <c r="Y1284" s="6" t="n">
        <v>-0.4590156360310298</v>
      </c>
      <c r="Z1284" s="6" t="n">
        <v>-2.616336610047843</v>
      </c>
      <c r="AA1284" s="6" t="n">
        <v>-0.3846656345564136</v>
      </c>
      <c r="AB1284" s="6" t="n">
        <v>2.662261163804125</v>
      </c>
      <c r="AC1284" s="6" t="n">
        <v>-2.662688952000207</v>
      </c>
      <c r="AD1284" s="6" t="n">
        <v>-2.911449883150401</v>
      </c>
      <c r="AE1284" s="6" t="n">
        <v>-2.980410679524716</v>
      </c>
      <c r="AF1284" s="6" t="n">
        <v>-0.2788437358261916</v>
      </c>
      <c r="AG1284" s="6" t="n">
        <v>0.4535686872961042</v>
      </c>
      <c r="AH1284" s="6" t="n">
        <v>-1.686715710319526</v>
      </c>
      <c r="AI1284" s="6" t="n">
        <v>-0.1788082466473475</v>
      </c>
      <c r="AJ1284" s="6" t="n">
        <v>68.58619111586256</v>
      </c>
      <c r="AK1284" s="6" t="n">
        <v>0.1594922528046562</v>
      </c>
      <c r="AL1284" s="6" t="n">
        <v>1.076591596840053</v>
      </c>
      <c r="AN1284" s="6" t="n">
        <v>1.331458377951469</v>
      </c>
      <c r="AO1284" s="6" t="n">
        <v>1.331918413540402</v>
      </c>
      <c r="AP1284" s="6" t="n">
        <v>0.1292891261504471</v>
      </c>
      <c r="AQ1284" s="6" t="n">
        <v>0</v>
      </c>
      <c r="AR1284" s="6" t="n">
        <v>0</v>
      </c>
    </row>
    <row r="1285">
      <c r="D1285" t="inlineStr">
        <is>
          <t>Run 973</t>
        </is>
      </c>
      <c r="J1285" s="6" t="n">
        <v>-1.053870436560377</v>
      </c>
      <c r="K1285" s="6" t="n">
        <v>-0.4001328934262847</v>
      </c>
      <c r="L1285" s="6" t="n">
        <v>-1.805296289682796</v>
      </c>
      <c r="M1285" s="6" t="n">
        <v>-0.6199147608862494</v>
      </c>
      <c r="N1285" s="6" t="n">
        <v>-5.123595108834905</v>
      </c>
      <c r="O1285" s="6" t="n">
        <v>-0.7387518610707671</v>
      </c>
      <c r="P1285" s="6" t="n">
        <v>-0.9151806279051066</v>
      </c>
      <c r="Q1285" s="6" t="n">
        <v>-2.632918313068487</v>
      </c>
      <c r="R1285" s="6" t="n">
        <v>-1.480250972753624</v>
      </c>
      <c r="S1285" s="6" t="n">
        <v>-1.433308433638958</v>
      </c>
      <c r="T1285" s="6" t="n">
        <v>-0.08916889800123998</v>
      </c>
      <c r="U1285" s="6" t="n">
        <v>-1.461983335531846</v>
      </c>
      <c r="V1285" s="6" t="n">
        <v>-0.2929270087587652</v>
      </c>
      <c r="W1285" s="6" t="n">
        <v>3.964296283178841</v>
      </c>
      <c r="X1285" s="6" t="n">
        <v>0.1726492620349896</v>
      </c>
      <c r="Y1285" s="6" t="n">
        <v>-1.161707485402326</v>
      </c>
      <c r="Z1285" s="6" t="n">
        <v>-2.496598434219977</v>
      </c>
      <c r="AA1285" s="6" t="n">
        <v>-0.9652691924740419</v>
      </c>
      <c r="AB1285" s="6" t="n">
        <v>-3.471229606976572</v>
      </c>
      <c r="AC1285" s="6" t="n">
        <v>1.265792895121814</v>
      </c>
      <c r="AD1285" s="6" t="n">
        <v>2.73889682822043</v>
      </c>
      <c r="AE1285" s="6" t="n">
        <v>0.9264843119608807</v>
      </c>
      <c r="AF1285" s="6" t="n">
        <v>1.405324439478693</v>
      </c>
      <c r="AG1285" s="6" t="n">
        <v>0.07780929330449368</v>
      </c>
      <c r="AH1285" s="6" t="n">
        <v>-2.184115763945083</v>
      </c>
      <c r="AI1285" s="6" t="n">
        <v>-0.5767505030155597</v>
      </c>
      <c r="AJ1285" s="6" t="n">
        <v>77.26144328662036</v>
      </c>
      <c r="AK1285" s="6" t="n">
        <v>0.1722883862621775</v>
      </c>
      <c r="AL1285" s="6" t="n">
        <v>1.058511971086424</v>
      </c>
      <c r="AN1285" s="6" t="n">
        <v>1.328821002293155</v>
      </c>
      <c r="AO1285" s="6" t="n">
        <v>1.333807634827618</v>
      </c>
      <c r="AP1285" s="6" t="n">
        <v>0.1304193677607609</v>
      </c>
      <c r="AQ1285" s="6" t="n">
        <v>0</v>
      </c>
      <c r="AR1285" s="6" t="n">
        <v>0</v>
      </c>
    </row>
    <row r="1286">
      <c r="D1286" t="inlineStr">
        <is>
          <t>Run 974</t>
        </is>
      </c>
      <c r="J1286" s="6" t="n">
        <v>-1.794539531586197</v>
      </c>
      <c r="K1286" s="6" t="n">
        <v>1.062649687627715</v>
      </c>
      <c r="L1286" s="6" t="n">
        <v>-1.051613624955851</v>
      </c>
      <c r="M1286" s="6" t="n">
        <v>3.611095054670504</v>
      </c>
      <c r="N1286" s="6" t="n">
        <v>2.981048769967789</v>
      </c>
      <c r="O1286" s="6" t="n">
        <v>-0.8395185759056938</v>
      </c>
      <c r="P1286" s="6" t="n">
        <v>-1.681796243758559</v>
      </c>
      <c r="Q1286" s="6" t="n">
        <v>0.09632438585010593</v>
      </c>
      <c r="R1286" s="6" t="n">
        <v>1.655412834619397</v>
      </c>
      <c r="S1286" s="6" t="n">
        <v>1.536946278706688</v>
      </c>
      <c r="T1286" s="6" t="n">
        <v>2.507717007037602</v>
      </c>
      <c r="U1286" s="6" t="n">
        <v>0.855123109143785</v>
      </c>
      <c r="V1286" s="6" t="n">
        <v>1.582000424446655</v>
      </c>
      <c r="W1286" s="6" t="n">
        <v>0.667210854319925</v>
      </c>
      <c r="X1286" s="6" t="n">
        <v>0.2030434818939949</v>
      </c>
      <c r="Y1286" s="6" t="n">
        <v>-0.07562678001894171</v>
      </c>
      <c r="Z1286" s="6" t="n">
        <v>-0.07459215636597734</v>
      </c>
      <c r="AA1286" s="6" t="n">
        <v>1.007947077695699</v>
      </c>
      <c r="AB1286" s="6" t="n">
        <v>-1.004206637655885</v>
      </c>
      <c r="AC1286" s="6" t="n">
        <v>-3.717134109637252</v>
      </c>
      <c r="AD1286" s="6" t="n">
        <v>-3.013380412072626</v>
      </c>
      <c r="AE1286" s="6" t="n">
        <v>-0.880995770498328</v>
      </c>
      <c r="AF1286" s="6" t="n">
        <v>0.8008329833434835</v>
      </c>
      <c r="AG1286" s="6" t="n">
        <v>1.077468803609072</v>
      </c>
      <c r="AH1286" s="6" t="n">
        <v>-0.5356145952181453</v>
      </c>
      <c r="AI1286" s="6" t="n">
        <v>-2.981685386052067</v>
      </c>
      <c r="AJ1286" s="6" t="n">
        <v>73.47546720254749</v>
      </c>
      <c r="AK1286" s="6" t="n">
        <v>0.08982006356326261</v>
      </c>
      <c r="AL1286" s="6" t="n">
        <v>1.008044341034193</v>
      </c>
      <c r="AN1286" s="6" t="n">
        <v>1.357856714816705</v>
      </c>
      <c r="AO1286" s="6" t="n">
        <v>1.357856714816705</v>
      </c>
      <c r="AP1286" s="6" t="n">
        <v>0.138208106920552</v>
      </c>
      <c r="AQ1286" s="6" t="n">
        <v>0</v>
      </c>
      <c r="AR1286" s="6" t="n">
        <v>0</v>
      </c>
    </row>
    <row r="1287">
      <c r="D1287" t="inlineStr">
        <is>
          <t>Run 975</t>
        </is>
      </c>
      <c r="J1287" s="6" t="n">
        <v>0.2815125766194548</v>
      </c>
      <c r="K1287" s="6" t="n">
        <v>0.790511109718225</v>
      </c>
      <c r="L1287" s="6" t="n">
        <v>-1.664466387446463</v>
      </c>
      <c r="M1287" s="6" t="n">
        <v>1.245563743165779</v>
      </c>
      <c r="N1287" s="6" t="n">
        <v>-1.004663292308492</v>
      </c>
      <c r="O1287" s="6" t="n">
        <v>-2.04164621564063</v>
      </c>
      <c r="P1287" s="6" t="n">
        <v>-1.084124953958187</v>
      </c>
      <c r="Q1287" s="6" t="n">
        <v>-2.768466585293105</v>
      </c>
      <c r="R1287" s="6" t="n">
        <v>-1.86649589440476</v>
      </c>
      <c r="S1287" s="6" t="n">
        <v>-0.4920498984581913</v>
      </c>
      <c r="T1287" s="6" t="n">
        <v>-1.289579243959227</v>
      </c>
      <c r="U1287" s="6" t="n">
        <v>-1.246030683066355</v>
      </c>
      <c r="V1287" s="6" t="n">
        <v>-0.3189899043642699</v>
      </c>
      <c r="W1287" s="6" t="n">
        <v>-0.8431718059494998</v>
      </c>
      <c r="X1287" s="6" t="n">
        <v>0.7331781236030299</v>
      </c>
      <c r="Y1287" s="6" t="n">
        <v>0.4446567399267854</v>
      </c>
      <c r="Z1287" s="6" t="n">
        <v>2.528347313206278</v>
      </c>
      <c r="AA1287" s="6" t="n">
        <v>-1.544526060308233</v>
      </c>
      <c r="AB1287" s="6" t="n">
        <v>0.6929441784839433</v>
      </c>
      <c r="AC1287" s="6" t="n">
        <v>4.876433752426403</v>
      </c>
      <c r="AD1287" s="6" t="n">
        <v>1.661598699969533</v>
      </c>
      <c r="AE1287" s="6" t="n">
        <v>2.708655279490166</v>
      </c>
      <c r="AF1287" s="6" t="n">
        <v>0.6455650479264446</v>
      </c>
      <c r="AG1287" s="6" t="n">
        <v>1.939663902570375</v>
      </c>
      <c r="AH1287" s="6" t="n">
        <v>-0.1648682563479303</v>
      </c>
      <c r="AI1287" s="6" t="n">
        <v>4.339661895738087</v>
      </c>
      <c r="AJ1287" s="6" t="n">
        <v>80.11145880528701</v>
      </c>
      <c r="AK1287" s="6" t="n">
        <v>0.1160744841383784</v>
      </c>
      <c r="AL1287" s="6" t="n">
        <v>1.034149174494584</v>
      </c>
      <c r="AN1287" s="6" t="n">
        <v>1.354300243214805</v>
      </c>
      <c r="AO1287" s="6" t="n">
        <v>1.354300243214805</v>
      </c>
      <c r="AP1287" s="6" t="n">
        <v>0.134559791038328</v>
      </c>
      <c r="AQ1287" s="6" t="n">
        <v>0</v>
      </c>
      <c r="AR1287" s="6" t="n">
        <v>0</v>
      </c>
    </row>
    <row r="1288">
      <c r="D1288" t="inlineStr">
        <is>
          <t>Run 976</t>
        </is>
      </c>
      <c r="J1288" s="6" t="n">
        <v>-1.462581013318068</v>
      </c>
      <c r="K1288" s="6" t="n">
        <v>1.43491266136107</v>
      </c>
      <c r="L1288" s="6" t="n">
        <v>1.686088099352863</v>
      </c>
      <c r="M1288" s="6" t="n">
        <v>-0.01965828947203846</v>
      </c>
      <c r="N1288" s="6" t="n">
        <v>-4.64537726042292</v>
      </c>
      <c r="O1288" s="6" t="n">
        <v>1.653416153937221</v>
      </c>
      <c r="P1288" s="6" t="n">
        <v>-0.3554072302443728</v>
      </c>
      <c r="Q1288" s="6" t="n">
        <v>-0.08735146809338004</v>
      </c>
      <c r="R1288" s="6" t="n">
        <v>-3.685233186537937</v>
      </c>
      <c r="S1288" s="6" t="n">
        <v>-0.2525337513381508</v>
      </c>
      <c r="T1288" s="6" t="n">
        <v>-3.448380548870267</v>
      </c>
      <c r="U1288" s="6" t="n">
        <v>4.183384132254663</v>
      </c>
      <c r="V1288" s="6" t="n">
        <v>0.07519617905478922</v>
      </c>
      <c r="W1288" s="6" t="n">
        <v>2.623852570318249</v>
      </c>
      <c r="X1288" s="6" t="n">
        <v>4.67438297105117</v>
      </c>
      <c r="Y1288" s="6" t="n">
        <v>2.655565287352825</v>
      </c>
      <c r="Z1288" s="6" t="n">
        <v>-2.613420923034713</v>
      </c>
      <c r="AA1288" s="6" t="n">
        <v>3.274468970607474</v>
      </c>
      <c r="AB1288" s="6" t="n">
        <v>2.231747099560606</v>
      </c>
      <c r="AC1288" s="6" t="n">
        <v>1.110423282016062</v>
      </c>
      <c r="AD1288" s="6" t="n">
        <v>0.818388631579762</v>
      </c>
      <c r="AE1288" s="6" t="n">
        <v>-2.964448049461181</v>
      </c>
      <c r="AF1288" s="6" t="n">
        <v>3.187283656420444</v>
      </c>
      <c r="AG1288" s="6" t="n">
        <v>0.1275388819972497</v>
      </c>
      <c r="AH1288" s="6" t="n">
        <v>-1.689146171364563</v>
      </c>
      <c r="AI1288" s="6" t="n">
        <v>1.511070940466272</v>
      </c>
      <c r="AJ1288" s="6" t="n">
        <v>73.97211822791952</v>
      </c>
      <c r="AK1288" s="6" t="n">
        <v>0.0990559617122387</v>
      </c>
      <c r="AL1288" s="6" t="n">
        <v>1.096757971232619</v>
      </c>
      <c r="AN1288" s="6" t="n">
        <v>1.331455483550728</v>
      </c>
      <c r="AO1288" s="6" t="n">
        <v>1.331954990175006</v>
      </c>
      <c r="AP1288" s="6" t="n">
        <v>0.1299820896449962</v>
      </c>
      <c r="AQ1288" s="6" t="n">
        <v>0</v>
      </c>
      <c r="AR1288" s="6" t="n">
        <v>0</v>
      </c>
    </row>
    <row r="1289">
      <c r="D1289" t="inlineStr">
        <is>
          <t>Run 977</t>
        </is>
      </c>
      <c r="J1289" s="6" t="n">
        <v>-2.49068094390281</v>
      </c>
      <c r="K1289" s="6" t="n">
        <v>1.732145470205185</v>
      </c>
      <c r="L1289" s="6" t="n">
        <v>-1.834507169475909</v>
      </c>
      <c r="M1289" s="6" t="n">
        <v>0.2738854923293143</v>
      </c>
      <c r="N1289" s="6" t="n">
        <v>-1.42073786382382</v>
      </c>
      <c r="O1289" s="6" t="n">
        <v>0.1451000960684447</v>
      </c>
      <c r="P1289" s="6" t="n">
        <v>-1.386662384455225</v>
      </c>
      <c r="Q1289" s="6" t="n">
        <v>-3.227919798607167</v>
      </c>
      <c r="R1289" s="6" t="n">
        <v>-2.010306495438788</v>
      </c>
      <c r="S1289" s="6" t="n">
        <v>-0.03059083397725351</v>
      </c>
      <c r="T1289" s="6" t="n">
        <v>0.4197615231588761</v>
      </c>
      <c r="U1289" s="6" t="n">
        <v>-1.482727192020302</v>
      </c>
      <c r="V1289" s="6" t="n">
        <v>-3.922448846934844</v>
      </c>
      <c r="W1289" s="6" t="n">
        <v>0.2318651906212616</v>
      </c>
      <c r="X1289" s="6" t="n">
        <v>-1.893634198152105</v>
      </c>
      <c r="Y1289" s="6" t="n">
        <v>0.453245308889851</v>
      </c>
      <c r="Z1289" s="6" t="n">
        <v>-0.7880305367886076</v>
      </c>
      <c r="AA1289" s="6" t="n">
        <v>-0.6011708766753346</v>
      </c>
      <c r="AB1289" s="6" t="n">
        <v>-2.195370776597831</v>
      </c>
      <c r="AC1289" s="6" t="n">
        <v>0.6137493985842195</v>
      </c>
      <c r="AD1289" s="6" t="n">
        <v>0.4832365602754917</v>
      </c>
      <c r="AE1289" s="6" t="n">
        <v>-3.440649138525324</v>
      </c>
      <c r="AF1289" s="6" t="n">
        <v>1.272615869805754</v>
      </c>
      <c r="AG1289" s="6" t="n">
        <v>-2.300122011899628</v>
      </c>
      <c r="AH1289" s="6" t="n">
        <v>0.06967379126234044</v>
      </c>
      <c r="AI1289" s="6" t="n">
        <v>-0.4685946057359819</v>
      </c>
      <c r="AJ1289" s="6" t="n">
        <v>77.798880044889</v>
      </c>
      <c r="AK1289" s="6" t="n">
        <v>0.09990188748833385</v>
      </c>
      <c r="AL1289" s="6" t="n">
        <v>1.047669884045806</v>
      </c>
      <c r="AN1289" s="6" t="n">
        <v>1.349780051647172</v>
      </c>
      <c r="AO1289" s="6" t="n">
        <v>1.35076752788627</v>
      </c>
      <c r="AP1289" s="6" t="n">
        <v>0.1333228360683334</v>
      </c>
      <c r="AQ1289" s="6" t="n">
        <v>0</v>
      </c>
      <c r="AR1289" s="6" t="n">
        <v>0</v>
      </c>
    </row>
    <row r="1290">
      <c r="D1290" t="inlineStr">
        <is>
          <t>Run 978</t>
        </is>
      </c>
      <c r="J1290" s="6" t="n">
        <v>-2.515020112517509</v>
      </c>
      <c r="K1290" s="6" t="n">
        <v>1.183253141723829</v>
      </c>
      <c r="L1290" s="6" t="n">
        <v>-0.8853080488712662</v>
      </c>
      <c r="M1290" s="6" t="n">
        <v>4.997168864075495</v>
      </c>
      <c r="N1290" s="6" t="n">
        <v>-0.7387313305439899</v>
      </c>
      <c r="O1290" s="6" t="n">
        <v>0.23056827822479</v>
      </c>
      <c r="P1290" s="6" t="n">
        <v>1.427822888925533</v>
      </c>
      <c r="Q1290" s="6" t="n">
        <v>-3.137510397026287</v>
      </c>
      <c r="R1290" s="6" t="n">
        <v>-0.718630114377238</v>
      </c>
      <c r="S1290" s="6" t="n">
        <v>1.191453394204478</v>
      </c>
      <c r="T1290" s="6" t="n">
        <v>0.5589603480866205</v>
      </c>
      <c r="U1290" s="6" t="n">
        <v>-1.877092939123382</v>
      </c>
      <c r="V1290" s="6" t="n">
        <v>-0.2515809985012389</v>
      </c>
      <c r="W1290" s="6" t="n">
        <v>1.95189276436496</v>
      </c>
      <c r="X1290" s="6" t="n">
        <v>-1.115596136613031</v>
      </c>
      <c r="Y1290" s="6" t="n">
        <v>1.761726069750803</v>
      </c>
      <c r="Z1290" s="6" t="n">
        <v>1.304603526336783</v>
      </c>
      <c r="AA1290" s="6" t="n">
        <v>1.063705572110876</v>
      </c>
      <c r="AB1290" s="6" t="n">
        <v>1.912492254686118</v>
      </c>
      <c r="AC1290" s="6" t="n">
        <v>-2.322188085186697</v>
      </c>
      <c r="AD1290" s="6" t="n">
        <v>-2.432632743724669</v>
      </c>
      <c r="AE1290" s="6" t="n">
        <v>-1.111784821475916</v>
      </c>
      <c r="AF1290" s="6" t="n">
        <v>-1.509439509983906</v>
      </c>
      <c r="AG1290" s="6" t="n">
        <v>0.4649228286725647</v>
      </c>
      <c r="AH1290" s="6" t="n">
        <v>-0.4560083001129699</v>
      </c>
      <c r="AI1290" s="6" t="n">
        <v>-4.443441291591927</v>
      </c>
      <c r="AJ1290" s="6" t="n">
        <v>73.97112191499777</v>
      </c>
      <c r="AK1290" s="6" t="n">
        <v>0.05274004806473792</v>
      </c>
      <c r="AL1290" s="6" t="n">
        <v>1.008516102634776</v>
      </c>
      <c r="AN1290" s="6" t="n">
        <v>1.358863927905645</v>
      </c>
      <c r="AO1290" s="6" t="n">
        <v>1.35919627098251</v>
      </c>
      <c r="AP1290" s="6" t="n">
        <v>0.1387076397929133</v>
      </c>
      <c r="AQ1290" s="6" t="n">
        <v>0</v>
      </c>
      <c r="AR1290" s="6" t="n">
        <v>0</v>
      </c>
    </row>
    <row r="1291">
      <c r="D1291" t="inlineStr">
        <is>
          <t>Run 979</t>
        </is>
      </c>
      <c r="J1291" s="6" t="n">
        <v>-4.036979471587251</v>
      </c>
      <c r="K1291" s="6" t="n">
        <v>-1.032052782383685</v>
      </c>
      <c r="L1291" s="6" t="n">
        <v>1.618016198973573</v>
      </c>
      <c r="M1291" s="6" t="n">
        <v>-1.191237479759624</v>
      </c>
      <c r="N1291" s="6" t="n">
        <v>0.2786167230169512</v>
      </c>
      <c r="O1291" s="6" t="n">
        <v>-2.294437642674557</v>
      </c>
      <c r="P1291" s="6" t="n">
        <v>0.6835739483760284</v>
      </c>
      <c r="Q1291" s="6" t="n">
        <v>-2.601228259481168</v>
      </c>
      <c r="R1291" s="6" t="n">
        <v>1.029054523260013</v>
      </c>
      <c r="S1291" s="6" t="n">
        <v>0.4692547450607607</v>
      </c>
      <c r="T1291" s="6" t="n">
        <v>1.538967740261179</v>
      </c>
      <c r="U1291" s="6" t="n">
        <v>1.648078015276342</v>
      </c>
      <c r="V1291" s="6" t="n">
        <v>5</v>
      </c>
      <c r="W1291" s="6" t="n">
        <v>-2.470838005107544</v>
      </c>
      <c r="X1291" s="6" t="n">
        <v>-3.176221843917305</v>
      </c>
      <c r="Y1291" s="6" t="n">
        <v>2.277735736901999</v>
      </c>
      <c r="Z1291" s="6" t="n">
        <v>0.7005396376817551</v>
      </c>
      <c r="AA1291" s="6" t="n">
        <v>3.013324814172182</v>
      </c>
      <c r="AB1291" s="6" t="n">
        <v>-2.830850508155453</v>
      </c>
      <c r="AC1291" s="6" t="n">
        <v>0.08225043053700296</v>
      </c>
      <c r="AD1291" s="6" t="n">
        <v>-3.66976242379597</v>
      </c>
      <c r="AE1291" s="6" t="n">
        <v>-0.8725818867788553</v>
      </c>
      <c r="AF1291" s="6" t="n">
        <v>-1.152931366973385</v>
      </c>
      <c r="AG1291" s="6" t="n">
        <v>1.365179177375374</v>
      </c>
      <c r="AH1291" s="6" t="n">
        <v>2.093677650232712</v>
      </c>
      <c r="AI1291" s="6" t="n">
        <v>2.383164639658611</v>
      </c>
      <c r="AJ1291" s="6" t="n">
        <v>73.72992030618406</v>
      </c>
      <c r="AK1291" s="6" t="n">
        <v>0.1396481296277242</v>
      </c>
      <c r="AL1291" s="6" t="n">
        <v>1.054099389763987</v>
      </c>
      <c r="AN1291" s="6" t="n">
        <v>1.340568802057355</v>
      </c>
      <c r="AO1291" s="6" t="n">
        <v>1.342761474225479</v>
      </c>
      <c r="AP1291" s="6" t="n">
        <v>0.1315980928058882</v>
      </c>
      <c r="AQ1291" s="6" t="n">
        <v>0</v>
      </c>
      <c r="AR1291" s="6" t="n">
        <v>0</v>
      </c>
    </row>
    <row r="1292">
      <c r="D1292" t="inlineStr">
        <is>
          <t>Run 980</t>
        </is>
      </c>
      <c r="J1292" s="6" t="n">
        <v>-1.526409154986956</v>
      </c>
      <c r="K1292" s="6" t="n">
        <v>0.1818106980466698</v>
      </c>
      <c r="L1292" s="6" t="n">
        <v>0.02658304878776579</v>
      </c>
      <c r="M1292" s="6" t="n">
        <v>1.385222715752849</v>
      </c>
      <c r="N1292" s="6" t="n">
        <v>-0.9835513953358842</v>
      </c>
      <c r="O1292" s="6" t="n">
        <v>-0.9686667322450329</v>
      </c>
      <c r="P1292" s="6" t="n">
        <v>1.615573767315035</v>
      </c>
      <c r="Q1292" s="6" t="n">
        <v>5</v>
      </c>
      <c r="R1292" s="6" t="n">
        <v>-0.4902374961315524</v>
      </c>
      <c r="S1292" s="6" t="n">
        <v>0.3975933607111115</v>
      </c>
      <c r="T1292" s="6" t="n">
        <v>-1.334544491705316</v>
      </c>
      <c r="U1292" s="6" t="n">
        <v>0.26081669192973</v>
      </c>
      <c r="V1292" s="6" t="n">
        <v>-0.8839147904881731</v>
      </c>
      <c r="W1292" s="6" t="n">
        <v>-2.823604357008544</v>
      </c>
      <c r="X1292" s="6" t="n">
        <v>2.958647383543272</v>
      </c>
      <c r="Y1292" s="6" t="n">
        <v>-1.516374915834738</v>
      </c>
      <c r="Z1292" s="6" t="n">
        <v>-0.4167759635352736</v>
      </c>
      <c r="AA1292" s="6" t="n">
        <v>0.986847594512799</v>
      </c>
      <c r="AB1292" s="6" t="n">
        <v>-0.03170572599959313</v>
      </c>
      <c r="AC1292" s="6" t="n">
        <v>0.7265733050859925</v>
      </c>
      <c r="AD1292" s="6" t="n">
        <v>1.022710694761043</v>
      </c>
      <c r="AE1292" s="6" t="n">
        <v>2.298760962514578</v>
      </c>
      <c r="AF1292" s="6" t="n">
        <v>0.1904409051032251</v>
      </c>
      <c r="AG1292" s="6" t="n">
        <v>0.1668385884562444</v>
      </c>
      <c r="AH1292" s="6" t="n">
        <v>1.647268362409964</v>
      </c>
      <c r="AI1292" s="6" t="n">
        <v>1.981629432149125</v>
      </c>
      <c r="AJ1292" s="6" t="n">
        <v>58.19360376302006</v>
      </c>
      <c r="AK1292" s="6" t="n">
        <v>0.2212966474308858</v>
      </c>
      <c r="AL1292" s="6" t="n">
        <v>1.090339277768924</v>
      </c>
      <c r="AN1292" s="6" t="n">
        <v>1.318303523248799</v>
      </c>
      <c r="AO1292" s="6" t="n">
        <v>1.319945441118546</v>
      </c>
      <c r="AP1292" s="6" t="n">
        <v>0.1271620321416331</v>
      </c>
      <c r="AQ1292" s="6" t="n">
        <v>0</v>
      </c>
      <c r="AR1292" s="6" t="n">
        <v>0</v>
      </c>
    </row>
    <row r="1293">
      <c r="D1293" t="inlineStr">
        <is>
          <t>Run 981</t>
        </is>
      </c>
      <c r="J1293" s="6" t="n">
        <v>-1.769841773628082</v>
      </c>
      <c r="K1293" s="6" t="n">
        <v>-1.125671476756256</v>
      </c>
      <c r="L1293" s="6" t="n">
        <v>2.130277624829729</v>
      </c>
      <c r="M1293" s="6" t="n">
        <v>4.407934693649351</v>
      </c>
      <c r="N1293" s="6" t="n">
        <v>-3.170381726318939</v>
      </c>
      <c r="O1293" s="6" t="n">
        <v>-2.544747954700931</v>
      </c>
      <c r="P1293" s="6" t="n">
        <v>2.318408438017654</v>
      </c>
      <c r="Q1293" s="6" t="n">
        <v>1.321113161520433</v>
      </c>
      <c r="R1293" s="6" t="n">
        <v>-2.027322422354167</v>
      </c>
      <c r="S1293" s="6" t="n">
        <v>-2.560652497709774</v>
      </c>
      <c r="T1293" s="6" t="n">
        <v>-0.9597553628243735</v>
      </c>
      <c r="U1293" s="6" t="n">
        <v>-2.845462295492589</v>
      </c>
      <c r="V1293" s="6" t="n">
        <v>0.4707808044210865</v>
      </c>
      <c r="W1293" s="6" t="n">
        <v>-1.722240147554179</v>
      </c>
      <c r="X1293" s="6" t="n">
        <v>-1.48095939314302</v>
      </c>
      <c r="Y1293" s="6" t="n">
        <v>-2.210151301298033</v>
      </c>
      <c r="Z1293" s="6" t="n">
        <v>1.381613520277075</v>
      </c>
      <c r="AA1293" s="6" t="n">
        <v>1.400944742380121</v>
      </c>
      <c r="AB1293" s="6" t="n">
        <v>1.545154124576293</v>
      </c>
      <c r="AC1293" s="6" t="n">
        <v>-1.48777444815116</v>
      </c>
      <c r="AD1293" s="6" t="n">
        <v>-1.646782145560709</v>
      </c>
      <c r="AE1293" s="6" t="n">
        <v>0.7246066884270547</v>
      </c>
      <c r="AF1293" s="6" t="n">
        <v>1.197515222839038</v>
      </c>
      <c r="AG1293" s="6" t="n">
        <v>3.086201345253628</v>
      </c>
      <c r="AH1293" s="6" t="n">
        <v>-0.8315396764281605</v>
      </c>
      <c r="AI1293" s="6" t="n">
        <v>-0.3609776077291714</v>
      </c>
      <c r="AJ1293" s="6" t="n">
        <v>70.30002581674698</v>
      </c>
      <c r="AK1293" s="6" t="n">
        <v>0.08531637772725495</v>
      </c>
      <c r="AL1293" s="6" t="n">
        <v>1.051945841271092</v>
      </c>
      <c r="AN1293" s="6" t="n">
        <v>1.343390384660061</v>
      </c>
      <c r="AO1293" s="6" t="n">
        <v>1.345054666442501</v>
      </c>
      <c r="AP1293" s="6" t="n">
        <v>0.133040761993843</v>
      </c>
      <c r="AQ1293" s="6" t="n">
        <v>0</v>
      </c>
      <c r="AR1293" s="6" t="n">
        <v>0</v>
      </c>
    </row>
    <row r="1294">
      <c r="D1294" t="inlineStr">
        <is>
          <t>Run 982</t>
        </is>
      </c>
      <c r="J1294" s="6" t="n">
        <v>2.12240832480651</v>
      </c>
      <c r="K1294" s="6" t="n">
        <v>3.381727066961896</v>
      </c>
      <c r="L1294" s="6" t="n">
        <v>-4.833034418419588</v>
      </c>
      <c r="M1294" s="6" t="n">
        <v>-0.8384797117242524</v>
      </c>
      <c r="N1294" s="6" t="n">
        <v>-0.07697902007870075</v>
      </c>
      <c r="O1294" s="6" t="n">
        <v>-2.201590519664788</v>
      </c>
      <c r="P1294" s="6" t="n">
        <v>-0.1562534596266594</v>
      </c>
      <c r="Q1294" s="6" t="n">
        <v>0.09475210498777697</v>
      </c>
      <c r="R1294" s="6" t="n">
        <v>-3.394670524721199</v>
      </c>
      <c r="S1294" s="6" t="n">
        <v>0.2907852145396466</v>
      </c>
      <c r="T1294" s="6" t="n">
        <v>-1.353114910723296</v>
      </c>
      <c r="U1294" s="6" t="n">
        <v>-0.6040718334608756</v>
      </c>
      <c r="V1294" s="6" t="n">
        <v>-0.08857267986707758</v>
      </c>
      <c r="W1294" s="6" t="n">
        <v>0.5110059327178003</v>
      </c>
      <c r="X1294" s="6" t="n">
        <v>0.5721206643660149</v>
      </c>
      <c r="Y1294" s="6" t="n">
        <v>2.575546757754044</v>
      </c>
      <c r="Z1294" s="6" t="n">
        <v>3.568769138667518</v>
      </c>
      <c r="AA1294" s="6" t="n">
        <v>-4.566063639299273</v>
      </c>
      <c r="AB1294" s="6" t="n">
        <v>-0.6669306539665113</v>
      </c>
      <c r="AC1294" s="6" t="n">
        <v>-0.4189609306156113</v>
      </c>
      <c r="AD1294" s="6" t="n">
        <v>2.058727157134461</v>
      </c>
      <c r="AE1294" s="6" t="n">
        <v>-1.741843758482297</v>
      </c>
      <c r="AF1294" s="6" t="n">
        <v>1.783152278892715</v>
      </c>
      <c r="AG1294" s="6" t="n">
        <v>-1.2386782638634</v>
      </c>
      <c r="AH1294" s="6" t="n">
        <v>-0.01821495866578483</v>
      </c>
      <c r="AI1294" s="6" t="n">
        <v>-1.624227857624941</v>
      </c>
      <c r="AJ1294" s="6" t="n">
        <v>68.05815842355914</v>
      </c>
      <c r="AK1294" s="6" t="n">
        <v>0.1537265298782441</v>
      </c>
      <c r="AL1294" s="6" t="n">
        <v>1.103571695970727</v>
      </c>
      <c r="AN1294" s="6" t="n">
        <v>1.323258157613478</v>
      </c>
      <c r="AO1294" s="6" t="n">
        <v>1.324948914596189</v>
      </c>
      <c r="AP1294" s="6" t="n">
        <v>0.1280387031101596</v>
      </c>
      <c r="AQ1294" s="6" t="n">
        <v>0</v>
      </c>
      <c r="AR1294" s="6" t="n">
        <v>0</v>
      </c>
    </row>
    <row r="1295">
      <c r="D1295" t="inlineStr">
        <is>
          <t>Run 983</t>
        </is>
      </c>
      <c r="J1295" s="6" t="n">
        <v>-1.729789794137723</v>
      </c>
      <c r="K1295" s="6" t="n">
        <v>-1.66606536237634</v>
      </c>
      <c r="L1295" s="6" t="n">
        <v>0.9070001496141992</v>
      </c>
      <c r="M1295" s="6" t="n">
        <v>-1.099832606457199</v>
      </c>
      <c r="N1295" s="6" t="n">
        <v>-2.093763413409667</v>
      </c>
      <c r="O1295" s="6" t="n">
        <v>-4.089633702331256</v>
      </c>
      <c r="P1295" s="6" t="n">
        <v>-0.08505446288262826</v>
      </c>
      <c r="Q1295" s="6" t="n">
        <v>-0.09686986845726267</v>
      </c>
      <c r="R1295" s="6" t="n">
        <v>2.79330857462172</v>
      </c>
      <c r="S1295" s="6" t="n">
        <v>-0.9668552284307946</v>
      </c>
      <c r="T1295" s="6" t="n">
        <v>-0.9647982676574559</v>
      </c>
      <c r="U1295" s="6" t="n">
        <v>1.246614407238423</v>
      </c>
      <c r="V1295" s="6" t="n">
        <v>-2.876023470929379</v>
      </c>
      <c r="W1295" s="6" t="n">
        <v>-3.244674685657086</v>
      </c>
      <c r="X1295" s="6" t="n">
        <v>1.719806981527622</v>
      </c>
      <c r="Y1295" s="6" t="n">
        <v>5</v>
      </c>
      <c r="Z1295" s="6" t="n">
        <v>0.6477322746382039</v>
      </c>
      <c r="AA1295" s="6" t="n">
        <v>-0.05927176086459339</v>
      </c>
      <c r="AB1295" s="6" t="n">
        <v>-0.03152762595292232</v>
      </c>
      <c r="AC1295" s="6" t="n">
        <v>1.194199011232427</v>
      </c>
      <c r="AD1295" s="6" t="n">
        <v>1.22516708158916</v>
      </c>
      <c r="AE1295" s="6" t="n">
        <v>-0.6716544082328255</v>
      </c>
      <c r="AF1295" s="6" t="n">
        <v>-1.497100623917191</v>
      </c>
      <c r="AG1295" s="6" t="n">
        <v>0.9903131137094294</v>
      </c>
      <c r="AH1295" s="6" t="n">
        <v>0.2342156544320871</v>
      </c>
      <c r="AI1295" s="6" t="n">
        <v>0.2397956951436498</v>
      </c>
      <c r="AJ1295" s="6" t="n">
        <v>71.45139808735588</v>
      </c>
      <c r="AK1295" s="6" t="n">
        <v>0.1043724038520551</v>
      </c>
      <c r="AL1295" s="6" t="n">
        <v>1.017955433169528</v>
      </c>
      <c r="AN1295" s="6" t="n">
        <v>1.35497551813374</v>
      </c>
      <c r="AO1295" s="6" t="n">
        <v>1.355004362764293</v>
      </c>
      <c r="AP1295" s="6" t="n">
        <v>0.1363146804640943</v>
      </c>
      <c r="AQ1295" s="6" t="n">
        <v>0</v>
      </c>
      <c r="AR1295" s="6" t="n">
        <v>0</v>
      </c>
    </row>
    <row r="1296">
      <c r="D1296" t="inlineStr">
        <is>
          <t>Run 984</t>
        </is>
      </c>
      <c r="J1296" s="6" t="n">
        <v>-0.05873498509057271</v>
      </c>
      <c r="K1296" s="6" t="n">
        <v>-2.688439565447999</v>
      </c>
      <c r="L1296" s="6" t="n">
        <v>-1.419207093832885</v>
      </c>
      <c r="M1296" s="6" t="n">
        <v>2.948203419614484</v>
      </c>
      <c r="N1296" s="6" t="n">
        <v>5</v>
      </c>
      <c r="O1296" s="6" t="n">
        <v>-3.454845192471995</v>
      </c>
      <c r="P1296" s="6" t="n">
        <v>-1.323640820738082</v>
      </c>
      <c r="Q1296" s="6" t="n">
        <v>0.1603446173152639</v>
      </c>
      <c r="R1296" s="6" t="n">
        <v>2.900738059351027</v>
      </c>
      <c r="S1296" s="6" t="n">
        <v>-0.701232458221547</v>
      </c>
      <c r="T1296" s="6" t="n">
        <v>-3.224625548521499</v>
      </c>
      <c r="U1296" s="6" t="n">
        <v>-1.619294448051188</v>
      </c>
      <c r="V1296" s="6" t="n">
        <v>-0.1176330083928129</v>
      </c>
      <c r="W1296" s="6" t="n">
        <v>-0.0693449775896325</v>
      </c>
      <c r="X1296" s="6" t="n">
        <v>-0.6269418589829219</v>
      </c>
      <c r="Y1296" s="6" t="n">
        <v>0.935501166966732</v>
      </c>
      <c r="Z1296" s="6" t="n">
        <v>-0.7056062556290152</v>
      </c>
      <c r="AA1296" s="6" t="n">
        <v>-0.5857091811612225</v>
      </c>
      <c r="AB1296" s="6" t="n">
        <v>1.271899677512377</v>
      </c>
      <c r="AC1296" s="6" t="n">
        <v>-0.2353444218965557</v>
      </c>
      <c r="AD1296" s="6" t="n">
        <v>-2.247987552973634</v>
      </c>
      <c r="AE1296" s="6" t="n">
        <v>-1.001769171953304</v>
      </c>
      <c r="AF1296" s="6" t="n">
        <v>-2.065788318714748</v>
      </c>
      <c r="AG1296" s="6" t="n">
        <v>1.49832154566889</v>
      </c>
      <c r="AH1296" s="6" t="n">
        <v>-0.5126895113429661</v>
      </c>
      <c r="AI1296" s="6" t="n">
        <v>0.3292297986223386</v>
      </c>
      <c r="AJ1296" s="6" t="n">
        <v>77.50814226684298</v>
      </c>
      <c r="AK1296" s="6" t="n">
        <v>0.1439257673012263</v>
      </c>
      <c r="AL1296" s="6" t="n">
        <v>1.033721591520165</v>
      </c>
      <c r="AN1296" s="6" t="n">
        <v>1.351055394757523</v>
      </c>
      <c r="AO1296" s="6" t="n">
        <v>1.351150292869087</v>
      </c>
      <c r="AP1296" s="6" t="n">
        <v>0.1340858937285423</v>
      </c>
      <c r="AQ1296" s="6" t="n">
        <v>0</v>
      </c>
      <c r="AR1296" s="6" t="n">
        <v>0</v>
      </c>
    </row>
    <row r="1297">
      <c r="D1297" t="inlineStr">
        <is>
          <t>Run 985</t>
        </is>
      </c>
      <c r="J1297" s="6" t="n">
        <v>0.5929850287096288</v>
      </c>
      <c r="K1297" s="6" t="n">
        <v>-1.913774534825151</v>
      </c>
      <c r="L1297" s="6" t="n">
        <v>-0.06353268408064354</v>
      </c>
      <c r="M1297" s="6" t="n">
        <v>0.5847774827057305</v>
      </c>
      <c r="N1297" s="6" t="n">
        <v>2.426460972009925</v>
      </c>
      <c r="O1297" s="6" t="n">
        <v>2.950712918600302</v>
      </c>
      <c r="P1297" s="6" t="n">
        <v>-0.9021557031215562</v>
      </c>
      <c r="Q1297" s="6" t="n">
        <v>-2.683210927088302</v>
      </c>
      <c r="R1297" s="6" t="n">
        <v>3.874308160496643</v>
      </c>
      <c r="S1297" s="6" t="n">
        <v>3.045859638445999</v>
      </c>
      <c r="T1297" s="6" t="n">
        <v>-3.959166790514797</v>
      </c>
      <c r="U1297" s="6" t="n">
        <v>-0.09318474365567064</v>
      </c>
      <c r="V1297" s="6" t="n">
        <v>-1.82492545286342</v>
      </c>
      <c r="W1297" s="6" t="n">
        <v>0.814351299625794</v>
      </c>
      <c r="X1297" s="6" t="n">
        <v>0.7538782893065316</v>
      </c>
      <c r="Y1297" s="6" t="n">
        <v>5</v>
      </c>
      <c r="Z1297" s="6" t="n">
        <v>0.447669127686957</v>
      </c>
      <c r="AA1297" s="6" t="n">
        <v>2.067590542051429</v>
      </c>
      <c r="AB1297" s="6" t="n">
        <v>-1.779957784468135</v>
      </c>
      <c r="AC1297" s="6" t="n">
        <v>2.555819984217936</v>
      </c>
      <c r="AD1297" s="6" t="n">
        <v>-4.952177964988553</v>
      </c>
      <c r="AE1297" s="6" t="n">
        <v>1.088421069998861</v>
      </c>
      <c r="AF1297" s="6" t="n">
        <v>1.819473633035078</v>
      </c>
      <c r="AG1297" s="6" t="n">
        <v>0.9128596546521113</v>
      </c>
      <c r="AH1297" s="6" t="n">
        <v>3.87772070722861</v>
      </c>
      <c r="AI1297" s="6" t="n">
        <v>-0.7784209345874235</v>
      </c>
      <c r="AJ1297" s="6" t="n">
        <v>67.22096493551697</v>
      </c>
      <c r="AK1297" s="6" t="n">
        <v>0.08195592190855699</v>
      </c>
      <c r="AL1297" s="6" t="n">
        <v>1.045874973908855</v>
      </c>
      <c r="AN1297" s="6" t="n">
        <v>1.345604769249462</v>
      </c>
      <c r="AO1297" s="6" t="n">
        <v>1.345604769249462</v>
      </c>
      <c r="AP1297" s="6" t="n">
        <v>0.1331655373129371</v>
      </c>
      <c r="AQ1297" s="6" t="n">
        <v>0</v>
      </c>
      <c r="AR1297" s="6" t="n">
        <v>0</v>
      </c>
    </row>
    <row r="1298">
      <c r="D1298" t="inlineStr">
        <is>
          <t>Run 986</t>
        </is>
      </c>
      <c r="J1298" s="6" t="n">
        <v>-2.734610754371381</v>
      </c>
      <c r="K1298" s="6" t="n">
        <v>0.1599190401077108</v>
      </c>
      <c r="L1298" s="6" t="n">
        <v>1.980818870019028</v>
      </c>
      <c r="M1298" s="6" t="n">
        <v>1.514954709732311</v>
      </c>
      <c r="N1298" s="6" t="n">
        <v>-1.453400555763882</v>
      </c>
      <c r="O1298" s="6" t="n">
        <v>0.7143051354467431</v>
      </c>
      <c r="P1298" s="6" t="n">
        <v>-0.1198645238485872</v>
      </c>
      <c r="Q1298" s="6" t="n">
        <v>-0.2732580380763006</v>
      </c>
      <c r="R1298" s="6" t="n">
        <v>-2.468666203369416</v>
      </c>
      <c r="S1298" s="6" t="n">
        <v>1.38269160627873</v>
      </c>
      <c r="T1298" s="6" t="n">
        <v>-0.3743197752082795</v>
      </c>
      <c r="U1298" s="6" t="n">
        <v>0.9738532688567598</v>
      </c>
      <c r="V1298" s="6" t="n">
        <v>-0.7669752948843251</v>
      </c>
      <c r="W1298" s="6" t="n">
        <v>-2.991202592211887</v>
      </c>
      <c r="X1298" s="6" t="n">
        <v>-0.5053781804818853</v>
      </c>
      <c r="Y1298" s="6" t="n">
        <v>2.599135890433065</v>
      </c>
      <c r="Z1298" s="6" t="n">
        <v>1.280710827610402</v>
      </c>
      <c r="AA1298" s="6" t="n">
        <v>-1.657360016504607</v>
      </c>
      <c r="AB1298" s="6" t="n">
        <v>0.1559408386030164</v>
      </c>
      <c r="AC1298" s="6" t="n">
        <v>2.38473088082986</v>
      </c>
      <c r="AD1298" s="6" t="n">
        <v>-0.003709925583786087</v>
      </c>
      <c r="AE1298" s="6" t="n">
        <v>0.5174608305790667</v>
      </c>
      <c r="AF1298" s="6" t="n">
        <v>0.2721717204978825</v>
      </c>
      <c r="AG1298" s="6" t="n">
        <v>-1.883147914040699</v>
      </c>
      <c r="AH1298" s="6" t="n">
        <v>0.1647730071186639</v>
      </c>
      <c r="AI1298" s="6" t="n">
        <v>0.1132806928063163</v>
      </c>
      <c r="AJ1298" s="6" t="n">
        <v>61.82880574851269</v>
      </c>
      <c r="AK1298" s="6" t="n">
        <v>0.2133655694862449</v>
      </c>
      <c r="AL1298" s="6" t="n">
        <v>1.038662899774324</v>
      </c>
      <c r="AN1298" s="6" t="n">
        <v>1.337968787470654</v>
      </c>
      <c r="AO1298" s="6" t="n">
        <v>1.33803917356002</v>
      </c>
      <c r="AP1298" s="6" t="n">
        <v>0.1308134425259522</v>
      </c>
      <c r="AQ1298" s="6" t="n">
        <v>0</v>
      </c>
      <c r="AR1298" s="6" t="n">
        <v>0</v>
      </c>
    </row>
    <row r="1299">
      <c r="D1299" t="inlineStr">
        <is>
          <t>Run 987</t>
        </is>
      </c>
      <c r="J1299" s="6" t="n">
        <v>-0.364420610509467</v>
      </c>
      <c r="K1299" s="6" t="n">
        <v>1.31688159060226</v>
      </c>
      <c r="L1299" s="6" t="n">
        <v>-2.397713134232677</v>
      </c>
      <c r="M1299" s="6" t="n">
        <v>-0.5983291561287438</v>
      </c>
      <c r="N1299" s="6" t="n">
        <v>-1.676089083498146</v>
      </c>
      <c r="O1299" s="6" t="n">
        <v>-0.7070773104840323</v>
      </c>
      <c r="P1299" s="6" t="n">
        <v>0.7591065063638843</v>
      </c>
      <c r="Q1299" s="6" t="n">
        <v>-3.299454861429253</v>
      </c>
      <c r="R1299" s="6" t="n">
        <v>4.615896213190982</v>
      </c>
      <c r="S1299" s="6" t="n">
        <v>-0.5318811059190668</v>
      </c>
      <c r="T1299" s="6" t="n">
        <v>1.778094893604242</v>
      </c>
      <c r="U1299" s="6" t="n">
        <v>-0.01236855662205753</v>
      </c>
      <c r="V1299" s="6" t="n">
        <v>-1.43588738585525</v>
      </c>
      <c r="W1299" s="6" t="n">
        <v>-1.629339807731462</v>
      </c>
      <c r="X1299" s="6" t="n">
        <v>0.2102035891323321</v>
      </c>
      <c r="Y1299" s="6" t="n">
        <v>-4.803869335438882</v>
      </c>
      <c r="Z1299" s="6" t="n">
        <v>0.4645703362869069</v>
      </c>
      <c r="AA1299" s="6" t="n">
        <v>0.9135749682017474</v>
      </c>
      <c r="AB1299" s="6" t="n">
        <v>0.652150223404567</v>
      </c>
      <c r="AC1299" s="6" t="n">
        <v>0.9380542071512337</v>
      </c>
      <c r="AD1299" s="6" t="n">
        <v>-1.203061105571063</v>
      </c>
      <c r="AE1299" s="6" t="n">
        <v>1.482046014999071</v>
      </c>
      <c r="AF1299" s="6" t="n">
        <v>-5.015139077138254</v>
      </c>
      <c r="AG1299" s="6" t="n">
        <v>2.783264398229589</v>
      </c>
      <c r="AH1299" s="6" t="n">
        <v>1.544391626915527</v>
      </c>
      <c r="AI1299" s="6" t="n">
        <v>0.2457904579837811</v>
      </c>
      <c r="AJ1299" s="6" t="n">
        <v>58.63512064222736</v>
      </c>
      <c r="AK1299" s="6" t="n">
        <v>0</v>
      </c>
      <c r="AL1299" s="6" t="n">
        <v>1.051298319664242</v>
      </c>
      <c r="AN1299" s="6" t="n">
        <v>1.341937456070171</v>
      </c>
      <c r="AO1299" s="6" t="n">
        <v>1.342334681986104</v>
      </c>
      <c r="AP1299" s="6" t="n">
        <v>0.1333791627647824</v>
      </c>
      <c r="AQ1299" s="6" t="n">
        <v>0</v>
      </c>
      <c r="AR1299" s="6" t="n">
        <v>0</v>
      </c>
    </row>
    <row r="1300">
      <c r="D1300" t="inlineStr">
        <is>
          <t>Run 988</t>
        </is>
      </c>
      <c r="J1300" s="6" t="n">
        <v>0.3175090098327251</v>
      </c>
      <c r="K1300" s="6" t="n">
        <v>1.717686815872537</v>
      </c>
      <c r="L1300" s="6" t="n">
        <v>-4.389803226151752</v>
      </c>
      <c r="M1300" s="6" t="n">
        <v>-2.021591304126658</v>
      </c>
      <c r="N1300" s="6" t="n">
        <v>0.7069526161521755</v>
      </c>
      <c r="O1300" s="6" t="n">
        <v>-4.433153637333029</v>
      </c>
      <c r="P1300" s="6" t="n">
        <v>2.274385529916957</v>
      </c>
      <c r="Q1300" s="6" t="n">
        <v>1.382590708552771</v>
      </c>
      <c r="R1300" s="6" t="n">
        <v>1.079603581273309</v>
      </c>
      <c r="S1300" s="6" t="n">
        <v>-1.380954941889041</v>
      </c>
      <c r="T1300" s="6" t="n">
        <v>-0.3257803273194866</v>
      </c>
      <c r="U1300" s="6" t="n">
        <v>-1.442573842539685</v>
      </c>
      <c r="V1300" s="6" t="n">
        <v>0.2591217947883888</v>
      </c>
      <c r="W1300" s="6" t="n">
        <v>-1.279662475772939</v>
      </c>
      <c r="X1300" s="6" t="n">
        <v>0.6047838501651898</v>
      </c>
      <c r="Y1300" s="6" t="n">
        <v>-0.4865321353494366</v>
      </c>
      <c r="Z1300" s="6" t="n">
        <v>-2.307213304195435</v>
      </c>
      <c r="AA1300" s="6" t="n">
        <v>-0.8849738522005767</v>
      </c>
      <c r="AB1300" s="6" t="n">
        <v>-2.470365986791491</v>
      </c>
      <c r="AC1300" s="6" t="n">
        <v>-0.8284215442611885</v>
      </c>
      <c r="AD1300" s="6" t="n">
        <v>0.01100750669138955</v>
      </c>
      <c r="AE1300" s="6" t="n">
        <v>2.233029231090049</v>
      </c>
      <c r="AF1300" s="6" t="n">
        <v>-3.666560987642489</v>
      </c>
      <c r="AG1300" s="6" t="n">
        <v>3.566143139004677</v>
      </c>
      <c r="AH1300" s="6" t="n">
        <v>-4.475916192369633</v>
      </c>
      <c r="AI1300" s="6" t="n">
        <v>1.74335267673199</v>
      </c>
      <c r="AJ1300" s="6" t="n">
        <v>73.05763388150633</v>
      </c>
      <c r="AK1300" s="6" t="n">
        <v>0.03812290022760581</v>
      </c>
      <c r="AL1300" s="6" t="n">
        <v>1.061963617502842</v>
      </c>
      <c r="AN1300" s="6" t="n">
        <v>1.329693332675657</v>
      </c>
      <c r="AO1300" s="6" t="n">
        <v>1.335249898785166</v>
      </c>
      <c r="AP1300" s="6" t="n">
        <v>0.1331821567549224</v>
      </c>
      <c r="AQ1300" s="6" t="n">
        <v>0</v>
      </c>
      <c r="AR1300" s="6" t="n">
        <v>0</v>
      </c>
    </row>
    <row r="1301">
      <c r="D1301" t="inlineStr">
        <is>
          <t>Run 989</t>
        </is>
      </c>
      <c r="J1301" s="6" t="n">
        <v>-1.57794308331713</v>
      </c>
      <c r="K1301" s="6" t="n">
        <v>-1.339066278773275</v>
      </c>
      <c r="L1301" s="6" t="n">
        <v>2.166146702959775</v>
      </c>
      <c r="M1301" s="6" t="n">
        <v>-0.3990295478717806</v>
      </c>
      <c r="N1301" s="6" t="n">
        <v>-3.257722454677882</v>
      </c>
      <c r="O1301" s="6" t="n">
        <v>-0.2681170178287361</v>
      </c>
      <c r="P1301" s="6" t="n">
        <v>3.086986274013624</v>
      </c>
      <c r="Q1301" s="6" t="n">
        <v>-1.247313975518299</v>
      </c>
      <c r="R1301" s="6" t="n">
        <v>-4.50006677934289</v>
      </c>
      <c r="S1301" s="6" t="n">
        <v>4.200891914789112</v>
      </c>
      <c r="T1301" s="6" t="n">
        <v>2.854688639115195</v>
      </c>
      <c r="U1301" s="6" t="n">
        <v>0.4856606717298247</v>
      </c>
      <c r="V1301" s="6" t="n">
        <v>-1.685280944790812</v>
      </c>
      <c r="W1301" s="6" t="n">
        <v>-1.238098647806741</v>
      </c>
      <c r="X1301" s="6" t="n">
        <v>0.08078613156639727</v>
      </c>
      <c r="Y1301" s="6" t="n">
        <v>-4.50730880807578</v>
      </c>
      <c r="Z1301" s="6" t="n">
        <v>3.312449435701396</v>
      </c>
      <c r="AA1301" s="6" t="n">
        <v>2.943188317282955</v>
      </c>
      <c r="AB1301" s="6" t="n">
        <v>-3.978331060247689</v>
      </c>
      <c r="AC1301" s="6" t="n">
        <v>3.502846605197295</v>
      </c>
      <c r="AD1301" s="6" t="n">
        <v>1.465379677050491</v>
      </c>
      <c r="AE1301" s="6" t="n">
        <v>-1.10099567515879</v>
      </c>
      <c r="AF1301" s="6" t="n">
        <v>2.106832435731046</v>
      </c>
      <c r="AG1301" s="6" t="n">
        <v>-0.1417468982507371</v>
      </c>
      <c r="AH1301" s="6" t="n">
        <v>0.6956917862364791</v>
      </c>
      <c r="AI1301" s="6" t="n">
        <v>0.07966798012011106</v>
      </c>
      <c r="AJ1301" s="6" t="n">
        <v>78.94166609992951</v>
      </c>
      <c r="AK1301" s="6" t="n">
        <v>0.1138886513364515</v>
      </c>
      <c r="AL1301" s="6" t="n">
        <v>1.081253685793027</v>
      </c>
      <c r="AN1301" s="6" t="n">
        <v>1.337601844235828</v>
      </c>
      <c r="AO1301" s="6" t="n">
        <v>1.338818909280822</v>
      </c>
      <c r="AP1301" s="6" t="n">
        <v>0.1304838326504227</v>
      </c>
      <c r="AQ1301" s="6" t="n">
        <v>0</v>
      </c>
      <c r="AR1301" s="6" t="n">
        <v>0</v>
      </c>
    </row>
    <row r="1302">
      <c r="D1302" t="inlineStr">
        <is>
          <t>Run 990</t>
        </is>
      </c>
      <c r="J1302" s="6" t="n">
        <v>-1.587969759705848</v>
      </c>
      <c r="K1302" s="6" t="n">
        <v>-3.768744425046613</v>
      </c>
      <c r="L1302" s="6" t="n">
        <v>-2.070659398025033</v>
      </c>
      <c r="M1302" s="6" t="n">
        <v>0.8679388358445849</v>
      </c>
      <c r="N1302" s="6" t="n">
        <v>0.2353172871148037</v>
      </c>
      <c r="O1302" s="6" t="n">
        <v>0.1810413146188115</v>
      </c>
      <c r="P1302" s="6" t="n">
        <v>-2.158599925110355</v>
      </c>
      <c r="Q1302" s="6" t="n">
        <v>-1.551312770186338</v>
      </c>
      <c r="R1302" s="6" t="n">
        <v>-2.960017814504239</v>
      </c>
      <c r="S1302" s="6" t="n">
        <v>-0.2924865342704822</v>
      </c>
      <c r="T1302" s="6" t="n">
        <v>1.722069477677353</v>
      </c>
      <c r="U1302" s="6" t="n">
        <v>3.860869666009785</v>
      </c>
      <c r="V1302" s="6" t="n">
        <v>-0.1634864038164528</v>
      </c>
      <c r="W1302" s="6" t="n">
        <v>-2.977788231764062</v>
      </c>
      <c r="X1302" s="6" t="n">
        <v>-5.843929992242882</v>
      </c>
      <c r="Y1302" s="6" t="n">
        <v>0.7028918910486485</v>
      </c>
      <c r="Z1302" s="6" t="n">
        <v>0.5703399049835448</v>
      </c>
      <c r="AA1302" s="6" t="n">
        <v>0.08066586245865084</v>
      </c>
      <c r="AB1302" s="6" t="n">
        <v>-0.04557990503775199</v>
      </c>
      <c r="AC1302" s="6" t="n">
        <v>1.401455360353985</v>
      </c>
      <c r="AD1302" s="6" t="n">
        <v>0.8638592709366625</v>
      </c>
      <c r="AE1302" s="6" t="n">
        <v>0.5944497584768684</v>
      </c>
      <c r="AF1302" s="6" t="n">
        <v>0.3716112552180316</v>
      </c>
      <c r="AG1302" s="6" t="n">
        <v>4.096390398358176</v>
      </c>
      <c r="AH1302" s="6" t="n">
        <v>-1.598970895062142</v>
      </c>
      <c r="AI1302" s="6" t="n">
        <v>0.3245484308125164</v>
      </c>
      <c r="AJ1302" s="6" t="n">
        <v>68.1087581482217</v>
      </c>
      <c r="AK1302" s="6" t="n">
        <v>0.1325467849846522</v>
      </c>
      <c r="AL1302" s="6" t="n">
        <v>1.073943264173536</v>
      </c>
      <c r="AN1302" s="6" t="n">
        <v>1.335615811516261</v>
      </c>
      <c r="AO1302" s="6" t="n">
        <v>1.336031458972816</v>
      </c>
      <c r="AP1302" s="6" t="n">
        <v>0.1299962376549997</v>
      </c>
      <c r="AQ1302" s="6" t="n">
        <v>0</v>
      </c>
      <c r="AR1302" s="6" t="n">
        <v>0</v>
      </c>
    </row>
    <row r="1303">
      <c r="D1303" t="inlineStr">
        <is>
          <t>Run 991</t>
        </is>
      </c>
      <c r="J1303" s="6" t="n">
        <v>2.084985997137974</v>
      </c>
      <c r="K1303" s="6" t="n">
        <v>0.3803695577179292</v>
      </c>
      <c r="L1303" s="6" t="n">
        <v>-1.304659891301548</v>
      </c>
      <c r="M1303" s="6" t="n">
        <v>-0.4896545200730839</v>
      </c>
      <c r="N1303" s="6" t="n">
        <v>1.949844396125745</v>
      </c>
      <c r="O1303" s="6" t="n">
        <v>-1.607560478837686</v>
      </c>
      <c r="P1303" s="6" t="n">
        <v>-1.936014601571993</v>
      </c>
      <c r="Q1303" s="6" t="n">
        <v>-3.872932312728294</v>
      </c>
      <c r="R1303" s="6" t="n">
        <v>1.468092128762961</v>
      </c>
      <c r="S1303" s="6" t="n">
        <v>-1.61028529833838</v>
      </c>
      <c r="T1303" s="6" t="n">
        <v>-0.04968269648677162</v>
      </c>
      <c r="U1303" s="6" t="n">
        <v>2.873312345576316</v>
      </c>
      <c r="V1303" s="6" t="n">
        <v>-4.353567913622005</v>
      </c>
      <c r="W1303" s="6" t="n">
        <v>1.584289889667225</v>
      </c>
      <c r="X1303" s="6" t="n">
        <v>0.07863476681334705</v>
      </c>
      <c r="Y1303" s="6" t="n">
        <v>0.8705905539425609</v>
      </c>
      <c r="Z1303" s="6" t="n">
        <v>2.543252756233253</v>
      </c>
      <c r="AA1303" s="6" t="n">
        <v>-4.45283460349347</v>
      </c>
      <c r="AB1303" s="6" t="n">
        <v>0.08174917227420515</v>
      </c>
      <c r="AC1303" s="6" t="n">
        <v>-1.121086550910368</v>
      </c>
      <c r="AD1303" s="6" t="n">
        <v>-0.809759355354106</v>
      </c>
      <c r="AE1303" s="6" t="n">
        <v>-3.190887717496707</v>
      </c>
      <c r="AF1303" s="6" t="n">
        <v>2.949117821430504</v>
      </c>
      <c r="AG1303" s="6" t="n">
        <v>0.9326239786877096</v>
      </c>
      <c r="AH1303" s="6" t="n">
        <v>2.694624693523446</v>
      </c>
      <c r="AI1303" s="6" t="n">
        <v>-0.5190285799882942</v>
      </c>
      <c r="AJ1303" s="6" t="n">
        <v>60.18037602348803</v>
      </c>
      <c r="AK1303" s="6" t="n">
        <v>0.05253298292419691</v>
      </c>
      <c r="AL1303" s="6" t="n">
        <v>1.042517247551815</v>
      </c>
      <c r="AN1303" s="6" t="n">
        <v>1.342425778749707</v>
      </c>
      <c r="AO1303" s="6" t="n">
        <v>1.342562123494454</v>
      </c>
      <c r="AP1303" s="6" t="n">
        <v>0.1331721920489824</v>
      </c>
      <c r="AQ1303" s="6" t="n">
        <v>0</v>
      </c>
      <c r="AR1303" s="6" t="n">
        <v>0</v>
      </c>
    </row>
    <row r="1304">
      <c r="D1304" t="inlineStr">
        <is>
          <t>Run 992</t>
        </is>
      </c>
      <c r="J1304" s="6" t="n">
        <v>-2.629612079885419</v>
      </c>
      <c r="K1304" s="6" t="n">
        <v>1.578974083780203</v>
      </c>
      <c r="L1304" s="6" t="n">
        <v>-1.910635246446336</v>
      </c>
      <c r="M1304" s="6" t="n">
        <v>1.891436600921627</v>
      </c>
      <c r="N1304" s="6" t="n">
        <v>-0.9706586027186294</v>
      </c>
      <c r="O1304" s="6" t="n">
        <v>1.993189203764933</v>
      </c>
      <c r="P1304" s="6" t="n">
        <v>1.469982071837953</v>
      </c>
      <c r="Q1304" s="6" t="n">
        <v>-1.681392292863248</v>
      </c>
      <c r="R1304" s="6" t="n">
        <v>-1.731235835974447</v>
      </c>
      <c r="S1304" s="6" t="n">
        <v>2.828391037855364</v>
      </c>
      <c r="T1304" s="6" t="n">
        <v>-0.2176207090900231</v>
      </c>
      <c r="U1304" s="6" t="n">
        <v>0.9777188330705252</v>
      </c>
      <c r="V1304" s="6" t="n">
        <v>-0.5092338707779969</v>
      </c>
      <c r="W1304" s="6" t="n">
        <v>0.5479352013385554</v>
      </c>
      <c r="X1304" s="6" t="n">
        <v>-2.426957863812737</v>
      </c>
      <c r="Y1304" s="6" t="n">
        <v>0.7371385350869678</v>
      </c>
      <c r="Z1304" s="6" t="n">
        <v>0.3455425465155099</v>
      </c>
      <c r="AA1304" s="6" t="n">
        <v>2.932798611501737</v>
      </c>
      <c r="AB1304" s="6" t="n">
        <v>4.177874211912494</v>
      </c>
      <c r="AC1304" s="6" t="n">
        <v>-4.983939436546544</v>
      </c>
      <c r="AD1304" s="6" t="n">
        <v>-0.5311910667439238</v>
      </c>
      <c r="AE1304" s="6" t="n">
        <v>-1.879885347543223</v>
      </c>
      <c r="AF1304" s="6" t="n">
        <v>0.2201929160716281</v>
      </c>
      <c r="AG1304" s="6" t="n">
        <v>0.8548158151222611</v>
      </c>
      <c r="AH1304" s="6" t="n">
        <v>-1.505166803319366</v>
      </c>
      <c r="AI1304" s="6" t="n">
        <v>-2.61342662552417</v>
      </c>
      <c r="AJ1304" s="6" t="n">
        <v>68.69487112680447</v>
      </c>
      <c r="AK1304" s="6" t="n">
        <v>0.1978775146748309</v>
      </c>
      <c r="AL1304" s="6" t="n">
        <v>1.091026302950656</v>
      </c>
      <c r="AN1304" s="6" t="n">
        <v>1.31845603250516</v>
      </c>
      <c r="AO1304" s="6" t="n">
        <v>1.319267619749827</v>
      </c>
      <c r="AP1304" s="6" t="n">
        <v>0.1275119565566866</v>
      </c>
      <c r="AQ1304" s="6" t="n">
        <v>0</v>
      </c>
      <c r="AR1304" s="6" t="n">
        <v>0</v>
      </c>
    </row>
    <row r="1305">
      <c r="D1305" t="inlineStr">
        <is>
          <t>Run 993</t>
        </is>
      </c>
      <c r="J1305" s="6" t="n">
        <v>0.7783968995334463</v>
      </c>
      <c r="K1305" s="6" t="n">
        <v>-0.5177966455832602</v>
      </c>
      <c r="L1305" s="6" t="n">
        <v>0.3399637512226571</v>
      </c>
      <c r="M1305" s="6" t="n">
        <v>-0.366924776023767</v>
      </c>
      <c r="N1305" s="6" t="n">
        <v>-0.02377801901337294</v>
      </c>
      <c r="O1305" s="6" t="n">
        <v>-1.000417888428965</v>
      </c>
      <c r="P1305" s="6" t="n">
        <v>1.902288904117409</v>
      </c>
      <c r="Q1305" s="6" t="n">
        <v>0.9208336599780851</v>
      </c>
      <c r="R1305" s="6" t="n">
        <v>2.283910347232053</v>
      </c>
      <c r="S1305" s="6" t="n">
        <v>-4.755459922716721</v>
      </c>
      <c r="T1305" s="6" t="n">
        <v>-3.401696293161363</v>
      </c>
      <c r="U1305" s="6" t="n">
        <v>-0.8336829040927031</v>
      </c>
      <c r="V1305" s="6" t="n">
        <v>-0.4310176286756343</v>
      </c>
      <c r="W1305" s="6" t="n">
        <v>-0.9866654926033465</v>
      </c>
      <c r="X1305" s="6" t="n">
        <v>-2.691095052697211</v>
      </c>
      <c r="Y1305" s="6" t="n">
        <v>-1.947339870686064</v>
      </c>
      <c r="Z1305" s="6" t="n">
        <v>0.07321268064354219</v>
      </c>
      <c r="AA1305" s="6" t="n">
        <v>-1.716556796870564</v>
      </c>
      <c r="AB1305" s="6" t="n">
        <v>-0.8969523608029045</v>
      </c>
      <c r="AC1305" s="6" t="n">
        <v>0.1535597753069249</v>
      </c>
      <c r="AD1305" s="6" t="n">
        <v>2.131454860208054</v>
      </c>
      <c r="AE1305" s="6" t="n">
        <v>-0.8061610364978762</v>
      </c>
      <c r="AF1305" s="6" t="n">
        <v>3.085342357982767</v>
      </c>
      <c r="AG1305" s="6" t="n">
        <v>-1.54761849766274</v>
      </c>
      <c r="AH1305" s="6" t="n">
        <v>1.118197426756817</v>
      </c>
      <c r="AI1305" s="6" t="n">
        <v>-1.513237661488332</v>
      </c>
      <c r="AJ1305" s="6" t="n">
        <v>78.10431175521502</v>
      </c>
      <c r="AK1305" s="6" t="n">
        <v>0.195153009929317</v>
      </c>
      <c r="AL1305" s="6" t="n">
        <v>1.040131512262459</v>
      </c>
      <c r="AN1305" s="6" t="n">
        <v>1.346679261329156</v>
      </c>
      <c r="AO1305" s="6" t="n">
        <v>1.347745754651057</v>
      </c>
      <c r="AP1305" s="6" t="n">
        <v>0.1318488779790245</v>
      </c>
      <c r="AQ1305" s="6" t="n">
        <v>0</v>
      </c>
      <c r="AR1305" s="6" t="n">
        <v>0</v>
      </c>
    </row>
    <row r="1306">
      <c r="D1306" t="inlineStr">
        <is>
          <t>Run 994</t>
        </is>
      </c>
      <c r="J1306" s="6" t="n">
        <v>0.4053006486719922</v>
      </c>
      <c r="K1306" s="6" t="n">
        <v>1.428310628881502</v>
      </c>
      <c r="L1306" s="6" t="n">
        <v>-0.2226793486407502</v>
      </c>
      <c r="M1306" s="6" t="n">
        <v>2.366005367719387</v>
      </c>
      <c r="N1306" s="6" t="n">
        <v>-0.9489770232786884</v>
      </c>
      <c r="O1306" s="6" t="n">
        <v>2.205955907216876</v>
      </c>
      <c r="P1306" s="6" t="n">
        <v>-5.210233569452488</v>
      </c>
      <c r="Q1306" s="6" t="n">
        <v>-0.4865117864497699</v>
      </c>
      <c r="R1306" s="6" t="n">
        <v>0.2375333709712802</v>
      </c>
      <c r="S1306" s="6" t="n">
        <v>-1.318437440507032</v>
      </c>
      <c r="T1306" s="6" t="n">
        <v>-0.3890871150042854</v>
      </c>
      <c r="U1306" s="6" t="n">
        <v>-1.890625532393229</v>
      </c>
      <c r="V1306" s="6" t="n">
        <v>-1.957596379927219</v>
      </c>
      <c r="W1306" s="6" t="n">
        <v>-2.65593501527828</v>
      </c>
      <c r="X1306" s="6" t="n">
        <v>-2.491087728568179</v>
      </c>
      <c r="Y1306" s="6" t="n">
        <v>2.186641376874708</v>
      </c>
      <c r="Z1306" s="6" t="n">
        <v>-0.4717223331126617</v>
      </c>
      <c r="AA1306" s="6" t="n">
        <v>3.113997938546134</v>
      </c>
      <c r="AB1306" s="6" t="n">
        <v>-0.4058625372799662</v>
      </c>
      <c r="AC1306" s="6" t="n">
        <v>-0.08473932107281827</v>
      </c>
      <c r="AD1306" s="6" t="n">
        <v>-2.095261382912564</v>
      </c>
      <c r="AE1306" s="6" t="n">
        <v>1.471754227844127</v>
      </c>
      <c r="AF1306" s="6" t="n">
        <v>-0.8718481819835973</v>
      </c>
      <c r="AG1306" s="6" t="n">
        <v>-1.863513384107729</v>
      </c>
      <c r="AH1306" s="6" t="n">
        <v>0.6634228460242583</v>
      </c>
      <c r="AI1306" s="6" t="n">
        <v>-3.112399174937683</v>
      </c>
      <c r="AJ1306" s="6" t="n">
        <v>71.18668818319891</v>
      </c>
      <c r="AK1306" s="6" t="n">
        <v>0.04860291507100034</v>
      </c>
      <c r="AL1306" s="6" t="n">
        <v>1.037071885647445</v>
      </c>
      <c r="AN1306" s="6" t="n">
        <v>1.349419088852084</v>
      </c>
      <c r="AO1306" s="6" t="n">
        <v>1.349419088852084</v>
      </c>
      <c r="AP1306" s="6" t="n">
        <v>0.1349618632322078</v>
      </c>
      <c r="AQ1306" s="6" t="n">
        <v>0</v>
      </c>
      <c r="AR1306" s="6" t="n">
        <v>0</v>
      </c>
    </row>
    <row r="1307">
      <c r="D1307" t="inlineStr">
        <is>
          <t>Run 995</t>
        </is>
      </c>
      <c r="J1307" s="6" t="n">
        <v>-0.7101499123540163</v>
      </c>
      <c r="K1307" s="6" t="n">
        <v>-1.602227517900461</v>
      </c>
      <c r="L1307" s="6" t="n">
        <v>0.5856037501313831</v>
      </c>
      <c r="M1307" s="6" t="n">
        <v>2.067765768223488</v>
      </c>
      <c r="N1307" s="6" t="n">
        <v>-0.1202765900227217</v>
      </c>
      <c r="O1307" s="6" t="n">
        <v>-3.34628422114739</v>
      </c>
      <c r="P1307" s="6" t="n">
        <v>0.7234543335188396</v>
      </c>
      <c r="Q1307" s="6" t="n">
        <v>-0.8429765755024499</v>
      </c>
      <c r="R1307" s="6" t="n">
        <v>-2.422491346882153</v>
      </c>
      <c r="S1307" s="6" t="n">
        <v>-1.007372237465735</v>
      </c>
      <c r="T1307" s="6" t="n">
        <v>-0.937367459013111</v>
      </c>
      <c r="U1307" s="6" t="n">
        <v>0.6705458511272938</v>
      </c>
      <c r="V1307" s="6" t="n">
        <v>1.307718975580899</v>
      </c>
      <c r="W1307" s="6" t="n">
        <v>2.171967357169815</v>
      </c>
      <c r="X1307" s="6" t="n">
        <v>-3.010150534948087</v>
      </c>
      <c r="Y1307" s="6" t="n">
        <v>0.5806189028460281</v>
      </c>
      <c r="Z1307" s="6" t="n">
        <v>2.141981267980918</v>
      </c>
      <c r="AA1307" s="6" t="n">
        <v>-1.708134896349168</v>
      </c>
      <c r="AB1307" s="6" t="n">
        <v>-2.322908696937319</v>
      </c>
      <c r="AC1307" s="6" t="n">
        <v>-0.35946504154443</v>
      </c>
      <c r="AD1307" s="6" t="n">
        <v>-0.3449858522215065</v>
      </c>
      <c r="AE1307" s="6" t="n">
        <v>-0.412277730367026</v>
      </c>
      <c r="AF1307" s="6" t="n">
        <v>2.366211378295328</v>
      </c>
      <c r="AG1307" s="6" t="n">
        <v>0.7619457566847485</v>
      </c>
      <c r="AH1307" s="6" t="n">
        <v>-1.155964690746329</v>
      </c>
      <c r="AI1307" s="6" t="n">
        <v>-1.244933355335927</v>
      </c>
      <c r="AJ1307" s="6" t="n">
        <v>78.59902729838085</v>
      </c>
      <c r="AK1307" s="6" t="n">
        <v>0.008489191881701968</v>
      </c>
      <c r="AL1307" s="6" t="n">
        <v>1.06461655657513</v>
      </c>
      <c r="AN1307" s="6" t="n">
        <v>1.350822176190328</v>
      </c>
      <c r="AO1307" s="6" t="n">
        <v>1.350822176190328</v>
      </c>
      <c r="AP1307" s="6" t="n">
        <v>0.1345198648599018</v>
      </c>
      <c r="AQ1307" s="6" t="n">
        <v>0</v>
      </c>
      <c r="AR1307" s="6" t="n">
        <v>0</v>
      </c>
    </row>
    <row r="1308">
      <c r="D1308" t="inlineStr">
        <is>
          <t>Run 996</t>
        </is>
      </c>
      <c r="J1308" s="6" t="n">
        <v>-0.4640731533128912</v>
      </c>
      <c r="K1308" s="6" t="n">
        <v>-1.812042050196247</v>
      </c>
      <c r="L1308" s="6" t="n">
        <v>-0.8590328295500091</v>
      </c>
      <c r="M1308" s="6" t="n">
        <v>0.9634651576014759</v>
      </c>
      <c r="N1308" s="6" t="n">
        <v>-2.866690930918516</v>
      </c>
      <c r="O1308" s="6" t="n">
        <v>3.810659143489506</v>
      </c>
      <c r="P1308" s="6" t="n">
        <v>-1.572761369702489</v>
      </c>
      <c r="Q1308" s="6" t="n">
        <v>-0.3630884981895218</v>
      </c>
      <c r="R1308" s="6" t="n">
        <v>1.138468134389592</v>
      </c>
      <c r="S1308" s="6" t="n">
        <v>-0.04746638302201187</v>
      </c>
      <c r="T1308" s="6" t="n">
        <v>0.7866294595317174</v>
      </c>
      <c r="U1308" s="6" t="n">
        <v>-1.037185773662938</v>
      </c>
      <c r="V1308" s="6" t="n">
        <v>0.7442765181751152</v>
      </c>
      <c r="W1308" s="6" t="n">
        <v>1.112821039317589</v>
      </c>
      <c r="X1308" s="6" t="n">
        <v>1.836878467094332</v>
      </c>
      <c r="Y1308" s="6" t="n">
        <v>-0.751329037720724</v>
      </c>
      <c r="Z1308" s="6" t="n">
        <v>2.710954257429813</v>
      </c>
      <c r="AA1308" s="6" t="n">
        <v>1.685266384189459</v>
      </c>
      <c r="AB1308" s="6" t="n">
        <v>-0.2322023558116764</v>
      </c>
      <c r="AC1308" s="6" t="n">
        <v>-2.917622922313086</v>
      </c>
      <c r="AD1308" s="6" t="n">
        <v>3.347078184344388</v>
      </c>
      <c r="AE1308" s="6" t="n">
        <v>-0.5037578537369014</v>
      </c>
      <c r="AF1308" s="6" t="n">
        <v>-0.3325169242167947</v>
      </c>
      <c r="AG1308" s="6" t="n">
        <v>0.8770152051503852</v>
      </c>
      <c r="AH1308" s="6" t="n">
        <v>-0.4288056572839505</v>
      </c>
      <c r="AI1308" s="6" t="n">
        <v>-0.856475635182143</v>
      </c>
      <c r="AJ1308" s="6" t="n">
        <v>75.95297274946823</v>
      </c>
      <c r="AK1308" s="6" t="n">
        <v>0.06151972497357709</v>
      </c>
      <c r="AL1308" s="6" t="n">
        <v>1.065925125588409</v>
      </c>
      <c r="AN1308" s="6" t="n">
        <v>1.348152944113352</v>
      </c>
      <c r="AO1308" s="6" t="n">
        <v>1.348719051216666</v>
      </c>
      <c r="AP1308" s="6" t="n">
        <v>0.1329271571567248</v>
      </c>
      <c r="AQ1308" s="6" t="n">
        <v>0</v>
      </c>
      <c r="AR1308" s="6" t="n">
        <v>0</v>
      </c>
    </row>
    <row r="1309">
      <c r="D1309" t="inlineStr">
        <is>
          <t>Run 997</t>
        </is>
      </c>
      <c r="J1309" s="6" t="n">
        <v>-2.592347827469621</v>
      </c>
      <c r="K1309" s="6" t="n">
        <v>5</v>
      </c>
      <c r="L1309" s="6" t="n">
        <v>-1.368892029062649</v>
      </c>
      <c r="M1309" s="6" t="n">
        <v>0.2012865762737099</v>
      </c>
      <c r="N1309" s="6" t="n">
        <v>2.100205747906479</v>
      </c>
      <c r="O1309" s="6" t="n">
        <v>-2.888255795419393</v>
      </c>
      <c r="P1309" s="6" t="n">
        <v>1.242712286717102</v>
      </c>
      <c r="Q1309" s="6" t="n">
        <v>0.7948800200744662</v>
      </c>
      <c r="R1309" s="6" t="n">
        <v>1.122511984293108</v>
      </c>
      <c r="S1309" s="6" t="n">
        <v>0.4466973202188601</v>
      </c>
      <c r="T1309" s="6" t="n">
        <v>-1.479782074864419</v>
      </c>
      <c r="U1309" s="6" t="n">
        <v>-3.055999815174421</v>
      </c>
      <c r="V1309" s="6" t="n">
        <v>2.516119379287765</v>
      </c>
      <c r="W1309" s="6" t="n">
        <v>-4.388482060030041</v>
      </c>
      <c r="X1309" s="6" t="n">
        <v>-0.2676759423091932</v>
      </c>
      <c r="Y1309" s="6" t="n">
        <v>2.04828080800905</v>
      </c>
      <c r="Z1309" s="6" t="n">
        <v>-2.468154474918993</v>
      </c>
      <c r="AA1309" s="6" t="n">
        <v>-0.2153953340489871</v>
      </c>
      <c r="AB1309" s="6" t="n">
        <v>-0.3726009711341339</v>
      </c>
      <c r="AC1309" s="6" t="n">
        <v>1.1989856011894</v>
      </c>
      <c r="AD1309" s="6" t="n">
        <v>0.5883782940658255</v>
      </c>
      <c r="AE1309" s="6" t="n">
        <v>0.499076723982229</v>
      </c>
      <c r="AF1309" s="6" t="n">
        <v>-1.634387760507743</v>
      </c>
      <c r="AG1309" s="6" t="n">
        <v>1.457035508781247</v>
      </c>
      <c r="AH1309" s="6" t="n">
        <v>2.046204928097365</v>
      </c>
      <c r="AI1309" s="6" t="n">
        <v>-0.1970049861616196</v>
      </c>
      <c r="AJ1309" s="6" t="n">
        <v>77.91363112655181</v>
      </c>
      <c r="AK1309" s="6" t="n">
        <v>0.1889195992900973</v>
      </c>
      <c r="AL1309" s="6" t="n">
        <v>1.094172065562488</v>
      </c>
      <c r="AN1309" s="6" t="n">
        <v>1.326284175386389</v>
      </c>
      <c r="AO1309" s="6" t="n">
        <v>1.327640964264401</v>
      </c>
      <c r="AP1309" s="6" t="n">
        <v>0.1280536138368976</v>
      </c>
      <c r="AQ1309" s="6" t="n">
        <v>0</v>
      </c>
      <c r="AR1309" s="6" t="n">
        <v>0</v>
      </c>
    </row>
    <row r="1310">
      <c r="D1310" t="inlineStr">
        <is>
          <t>Run 998</t>
        </is>
      </c>
      <c r="J1310" s="6" t="n">
        <v>-2.445581361074648</v>
      </c>
      <c r="K1310" s="6" t="n">
        <v>0.1801846259431414</v>
      </c>
      <c r="L1310" s="6" t="n">
        <v>2.552909289162233</v>
      </c>
      <c r="M1310" s="6" t="n">
        <v>-1.421719304742122</v>
      </c>
      <c r="N1310" s="6" t="n">
        <v>-0.7473867633303258</v>
      </c>
      <c r="O1310" s="6" t="n">
        <v>2.697420228224993</v>
      </c>
      <c r="P1310" s="6" t="n">
        <v>2.257627556444991</v>
      </c>
      <c r="Q1310" s="6" t="n">
        <v>-2.762302006491631</v>
      </c>
      <c r="R1310" s="6" t="n">
        <v>2.064469643317318</v>
      </c>
      <c r="S1310" s="6" t="n">
        <v>-2.160325980949923</v>
      </c>
      <c r="T1310" s="6" t="n">
        <v>-0.8520149395732322</v>
      </c>
      <c r="U1310" s="6" t="n">
        <v>-0.2893176123668319</v>
      </c>
      <c r="V1310" s="6" t="n">
        <v>-1.997339924345024</v>
      </c>
      <c r="W1310" s="6" t="n">
        <v>-0.8497352324782675</v>
      </c>
      <c r="X1310" s="6" t="n">
        <v>-2.626965138478867</v>
      </c>
      <c r="Y1310" s="6" t="n">
        <v>1.077252124703424</v>
      </c>
      <c r="Z1310" s="6" t="n">
        <v>3.711394833579252</v>
      </c>
      <c r="AA1310" s="6" t="n">
        <v>2.864810923618629</v>
      </c>
      <c r="AB1310" s="6" t="n">
        <v>2.622723095088385</v>
      </c>
      <c r="AC1310" s="6" t="n">
        <v>0.5248039051230219</v>
      </c>
      <c r="AD1310" s="6" t="n">
        <v>-2.362615537774145</v>
      </c>
      <c r="AE1310" s="6" t="n">
        <v>-2.614788655992935</v>
      </c>
      <c r="AF1310" s="6" t="n">
        <v>-1.576637718701325</v>
      </c>
      <c r="AG1310" s="6" t="n">
        <v>-0.6175274588024748</v>
      </c>
      <c r="AH1310" s="6" t="n">
        <v>0.3790902939149541</v>
      </c>
      <c r="AI1310" s="6" t="n">
        <v>2.874633164132105</v>
      </c>
      <c r="AJ1310" s="6" t="n">
        <v>72.06542493379773</v>
      </c>
      <c r="AK1310" s="6" t="n">
        <v>0.07688190803504681</v>
      </c>
      <c r="AL1310" s="6" t="n">
        <v>1.041776931972811</v>
      </c>
      <c r="AN1310" s="6" t="n">
        <v>1.344916178945166</v>
      </c>
      <c r="AO1310" s="6" t="n">
        <v>1.348540580768816</v>
      </c>
      <c r="AP1310" s="6" t="n">
        <v>0.1340366073514098</v>
      </c>
      <c r="AQ1310" s="6" t="n">
        <v>0</v>
      </c>
      <c r="AR1310" s="6" t="n">
        <v>0</v>
      </c>
    </row>
    <row r="1311">
      <c r="D1311" t="inlineStr">
        <is>
          <t>Run 999</t>
        </is>
      </c>
      <c r="J1311" s="6" t="n">
        <v>-1.546173037637315</v>
      </c>
      <c r="K1311" s="6" t="n">
        <v>2.268364960092787</v>
      </c>
      <c r="L1311" s="6" t="n">
        <v>0.6712163721871198</v>
      </c>
      <c r="M1311" s="6" t="n">
        <v>-5.759421697811487</v>
      </c>
      <c r="N1311" s="6" t="n">
        <v>-2.559318478588104</v>
      </c>
      <c r="O1311" s="6" t="n">
        <v>-0.9348896455731278</v>
      </c>
      <c r="P1311" s="6" t="n">
        <v>-0.03514929370412902</v>
      </c>
      <c r="Q1311" s="6" t="n">
        <v>-0.201802150490228</v>
      </c>
      <c r="R1311" s="6" t="n">
        <v>0.5803081977023039</v>
      </c>
      <c r="S1311" s="6" t="n">
        <v>-0.06711286451365289</v>
      </c>
      <c r="T1311" s="6" t="n">
        <v>1.512218651120678</v>
      </c>
      <c r="U1311" s="6" t="n">
        <v>0.9611317385653753</v>
      </c>
      <c r="V1311" s="6" t="n">
        <v>3.04436408357549</v>
      </c>
      <c r="W1311" s="6" t="n">
        <v>0.5804679882667113</v>
      </c>
      <c r="X1311" s="6" t="n">
        <v>0.3041089105009384</v>
      </c>
      <c r="Y1311" s="6" t="n">
        <v>-1.5985361464295</v>
      </c>
      <c r="Z1311" s="6" t="n">
        <v>1.294732276685697</v>
      </c>
      <c r="AA1311" s="6" t="n">
        <v>-2.703618981656308</v>
      </c>
      <c r="AB1311" s="6" t="n">
        <v>2.23919088279755</v>
      </c>
      <c r="AC1311" s="6" t="n">
        <v>3.942057001018308</v>
      </c>
      <c r="AD1311" s="6" t="n">
        <v>1.436032179180001</v>
      </c>
      <c r="AE1311" s="6" t="n">
        <v>-1.98591360754182</v>
      </c>
      <c r="AF1311" s="6" t="n">
        <v>0.2857391285386231</v>
      </c>
      <c r="AG1311" s="6" t="n">
        <v>1.064669474926991</v>
      </c>
      <c r="AH1311" s="6" t="n">
        <v>2.432878764646485</v>
      </c>
      <c r="AI1311" s="6" t="n">
        <v>-1.064619615744803</v>
      </c>
      <c r="AJ1311" s="6" t="n">
        <v>62.45615604317771</v>
      </c>
      <c r="AK1311" s="6" t="n">
        <v>0.1452249385170049</v>
      </c>
      <c r="AL1311" s="6" t="n">
        <v>1.078143735688095</v>
      </c>
      <c r="AN1311" s="6" t="n">
        <v>1.266106328484886</v>
      </c>
      <c r="AO1311" s="6" t="n">
        <v>1.26964020646408</v>
      </c>
      <c r="AP1311" s="6" t="n">
        <v>0.1283226495236203</v>
      </c>
      <c r="AQ1311" s="6" t="n">
        <v>0</v>
      </c>
      <c r="AR1311" s="6" t="n">
        <v>0</v>
      </c>
    </row>
    <row r="1312">
      <c r="D1312" t="inlineStr">
        <is>
          <t>Run 1000</t>
        </is>
      </c>
      <c r="J1312" s="6" t="n">
        <v>-2.120437104788753</v>
      </c>
      <c r="K1312" s="6" t="n">
        <v>-3.344837218299385</v>
      </c>
      <c r="L1312" s="6" t="n">
        <v>-0.7213518648466849</v>
      </c>
      <c r="M1312" s="6" t="n">
        <v>1.245753747522199</v>
      </c>
      <c r="N1312" s="6" t="n">
        <v>2.404608577244002</v>
      </c>
      <c r="O1312" s="6" t="n">
        <v>-0.8182763010573062</v>
      </c>
      <c r="P1312" s="6" t="n">
        <v>3.920607328471599</v>
      </c>
      <c r="Q1312" s="6" t="n">
        <v>0.6435538706424982</v>
      </c>
      <c r="R1312" s="6" t="n">
        <v>-4.077676553647614</v>
      </c>
      <c r="S1312" s="6" t="n">
        <v>-2.916499529323234</v>
      </c>
      <c r="T1312" s="6" t="n">
        <v>-2.733326554335196</v>
      </c>
      <c r="U1312" s="6" t="n">
        <v>-1.18922072888853</v>
      </c>
      <c r="V1312" s="6" t="n">
        <v>0.2079115008051343</v>
      </c>
      <c r="W1312" s="6" t="n">
        <v>4.403989540263767</v>
      </c>
      <c r="X1312" s="6" t="n">
        <v>-0.6213732334491963</v>
      </c>
      <c r="Y1312" s="6" t="n">
        <v>-0.9375309057303887</v>
      </c>
      <c r="Z1312" s="6" t="n">
        <v>-0.788268148665749</v>
      </c>
      <c r="AA1312" s="6" t="n">
        <v>3.291825270036747</v>
      </c>
      <c r="AB1312" s="6" t="n">
        <v>-1.719473515958066</v>
      </c>
      <c r="AC1312" s="6" t="n">
        <v>-0.7282360454661948</v>
      </c>
      <c r="AD1312" s="6" t="n">
        <v>-0.5899270316898965</v>
      </c>
      <c r="AE1312" s="6" t="n">
        <v>-0.05759786331330598</v>
      </c>
      <c r="AF1312" s="6" t="n">
        <v>0.5553863871515402</v>
      </c>
      <c r="AG1312" s="6" t="n">
        <v>-1.185914041179444</v>
      </c>
      <c r="AH1312" s="6" t="n">
        <v>-0.9445457595900347</v>
      </c>
      <c r="AI1312" s="6" t="n">
        <v>1.710151077622349</v>
      </c>
      <c r="AJ1312" s="6" t="n">
        <v>77.91957977293019</v>
      </c>
      <c r="AK1312" s="6" t="n">
        <v>0.03917103063264142</v>
      </c>
      <c r="AL1312" s="6" t="n">
        <v>1.000002278791023</v>
      </c>
      <c r="AN1312" s="6" t="n">
        <v>1.362398496799127</v>
      </c>
      <c r="AO1312" s="6" t="n">
        <v>1.362398496799127</v>
      </c>
      <c r="AP1312" s="6" t="n">
        <v>0.1414655800097195</v>
      </c>
      <c r="AQ1312" s="6" t="n">
        <v>0</v>
      </c>
      <c r="AR1312" s="6" t="n">
        <v>0</v>
      </c>
    </row>
    <row r="1314">
      <c r="B1314" s="2" t="inlineStr">
        <is>
          <t>ECA test limits (OECD Arrangement, 2018 commitments) and constants for the appended rows</t>
        </is>
      </c>
    </row>
    <row r="1315">
      <c r="D1315" t="inlineStr">
        <is>
          <t>ECA limit: repayment term from COD</t>
        </is>
      </c>
      <c r="E1315" t="inlineStr">
        <is>
          <t>years</t>
        </is>
      </c>
      <c r="F1315" s="7" t="n">
        <v>14</v>
      </c>
    </row>
    <row r="1316">
      <c r="D1316" t="inlineStr">
        <is>
          <t>ECA limit: weighted average life from COD</t>
        </is>
      </c>
      <c r="E1316" t="inlineStr">
        <is>
          <t>years</t>
        </is>
      </c>
      <c r="F1316" s="7" t="n">
        <v>7.25</v>
      </c>
    </row>
    <row r="1317">
      <c r="D1317" t="inlineStr">
        <is>
          <t>ECA limit: largest installment</t>
        </is>
      </c>
      <c r="E1317" t="inlineStr">
        <is>
          <t>% of principal</t>
        </is>
      </c>
      <c r="F1317" s="7" t="n">
        <v>25</v>
      </c>
    </row>
    <row r="1318">
      <c r="D1318" t="inlineStr">
        <is>
          <t>ECA limit: months from COD to first repayment (and window for the minimum share)</t>
        </is>
      </c>
      <c r="E1318" t="inlineStr">
        <is>
          <t>months</t>
        </is>
      </c>
      <c r="F1318" s="7" t="n">
        <v>24</v>
      </c>
    </row>
    <row r="1319">
      <c r="D1319" t="inlineStr">
        <is>
          <t>ECA limit: minimum share repaid within the window</t>
        </is>
      </c>
      <c r="E1319" t="inlineStr">
        <is>
          <t>% of principal</t>
        </is>
      </c>
      <c r="F1319" s="7" t="n">
        <v>2</v>
      </c>
    </row>
    <row r="1320">
      <c r="D1320" t="inlineStr">
        <is>
          <t>Days per year for life measures</t>
        </is>
      </c>
      <c r="E1320" t="inlineStr">
        <is>
          <t>days</t>
        </is>
      </c>
      <c r="F1320" s="7" t="n">
        <v>365.25</v>
      </c>
    </row>
    <row r="1321">
      <c r="D1321" t="inlineStr">
        <is>
          <t>Monte Carlo: operating years with an availability shock</t>
        </is>
      </c>
      <c r="E1321" t="inlineStr">
        <is>
          <t>years</t>
        </is>
      </c>
      <c r="F1321" s="7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5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Time: semiannual operating timeline (monthly timeline on the Construction sheet)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Key dates (scenario-dependent)</t>
        </is>
      </c>
    </row>
    <row r="8">
      <c r="D8" t="inlineStr">
        <is>
          <t>Commercial operation date</t>
        </is>
      </c>
      <c r="E8" t="inlineStr">
        <is>
          <t>date</t>
        </is>
      </c>
      <c r="F8" s="10">
        <f>IF(Inputs!$F$34&lt;&gt;1,Inputs!$F$191,EDATE(Inputs!$F$190,Inputs!$F$35))</f>
        <v/>
      </c>
    </row>
    <row r="9">
      <c r="D9" t="inlineStr">
        <is>
          <t>PPA term</t>
        </is>
      </c>
      <c r="E9" t="inlineStr">
        <is>
          <t>months</t>
        </is>
      </c>
      <c r="F9" s="9">
        <f>Inputs!$F$210*12</f>
        <v/>
      </c>
    </row>
    <row r="10">
      <c r="D10" t="inlineStr">
        <is>
          <t>PPA expiry</t>
        </is>
      </c>
      <c r="E10" t="inlineStr">
        <is>
          <t>date</t>
        </is>
      </c>
      <c r="F10" s="10">
        <f>EDATE(Time!$F$8,Time!$F$9)-1</f>
        <v/>
      </c>
    </row>
    <row r="11">
      <c r="D11" t="inlineStr">
        <is>
          <t>Construction months (NTP to COD)</t>
        </is>
      </c>
      <c r="E11" t="inlineStr">
        <is>
          <t>months</t>
        </is>
      </c>
      <c r="F11" s="9">
        <f>(YEAR(Time!$F$8)-YEAR(Inputs!$F$188))*12+MONTH(Time!$F$8)-MONTH(Inputs!$F$188)</f>
        <v/>
      </c>
    </row>
    <row r="12">
      <c r="D12" t="inlineStr">
        <is>
          <t>Period containing COD (period number)</t>
        </is>
      </c>
      <c r="E12" t="inlineStr">
        <is>
          <t>index</t>
        </is>
      </c>
      <c r="F12" s="9">
        <f>MATCH($F$8,$J$22:$BN$22,1)</f>
        <v/>
      </c>
    </row>
    <row r="13">
      <c r="D13" t="inlineStr">
        <is>
          <t>First debt service period</t>
        </is>
      </c>
      <c r="E13" t="inlineStr">
        <is>
          <t>index</t>
        </is>
      </c>
      <c r="F13" s="9">
        <f>Time!$F$12+1</f>
        <v/>
      </c>
    </row>
    <row r="14">
      <c r="D14" t="inlineStr">
        <is>
          <t>Last month of the funding period (month number)</t>
        </is>
      </c>
      <c r="E14" t="inlineStr">
        <is>
          <t>index</t>
        </is>
      </c>
      <c r="F14" s="9">
        <f>MATCH(INDEX($J$23:$BN$23,1,$F$12),Construction!$J$10:$BJ$10,0)</f>
        <v/>
      </c>
    </row>
    <row r="15">
      <c r="D15" t="inlineStr">
        <is>
          <t>Last operating period (period number)</t>
        </is>
      </c>
      <c r="E15" t="inlineStr">
        <is>
          <t>index</t>
        </is>
      </c>
      <c r="F15" s="9">
        <f>SUMPRODUCT($J$37:$BN$37,$J$20:$BN$20)</f>
        <v/>
      </c>
    </row>
    <row r="16">
      <c r="D16" t="inlineStr">
        <is>
          <t>FC FX drift per year (Kessara / US CPI expectations; Monte Carlo draw when active)</t>
        </is>
      </c>
      <c r="E16" t="inlineStr">
        <is>
          <t>factor</t>
        </is>
      </c>
      <c r="F16" s="11">
        <f>IF(Inputs!$F$312=1,INDEX(Inputs!$AL$313:$AL$1312,Inputs!$F$311),(1+Inputs!$F$213/100)/(1+Inputs!$F$214/100))</f>
        <v/>
      </c>
    </row>
    <row r="17">
      <c r="D17" t="inlineStr">
        <is>
          <t>Refinancing period (period number)</t>
        </is>
      </c>
      <c r="E17" t="inlineStr">
        <is>
          <t>index</t>
        </is>
      </c>
      <c r="F17" s="9">
        <f>MATCH(Inputs!$F$205,$J$23:$BN$23,0)</f>
        <v/>
      </c>
    </row>
    <row r="18">
      <c r="D18" t="inlineStr">
        <is>
          <t>Deferral period (period number)</t>
        </is>
      </c>
      <c r="E18" t="inlineStr">
        <is>
          <t>index</t>
        </is>
      </c>
      <c r="F18" s="9">
        <f>MATCH(Inputs!$F$200,$J$23:$BN$23,0)</f>
        <v/>
      </c>
    </row>
    <row r="19">
      <c r="B19" s="2" t="inlineStr">
        <is>
          <t>Semiannual timeline</t>
        </is>
      </c>
    </row>
    <row r="20">
      <c r="D20" t="inlineStr">
        <is>
          <t>Period number</t>
        </is>
      </c>
      <c r="E20" t="inlineStr">
        <is>
          <t>index</t>
        </is>
      </c>
      <c r="J20" s="9">
        <f>I20+1</f>
        <v/>
      </c>
      <c r="K20" s="9">
        <f>J20+1</f>
        <v/>
      </c>
      <c r="L20" s="9">
        <f>K20+1</f>
        <v/>
      </c>
      <c r="M20" s="9">
        <f>L20+1</f>
        <v/>
      </c>
      <c r="N20" s="9">
        <f>M20+1</f>
        <v/>
      </c>
      <c r="O20" s="9">
        <f>N20+1</f>
        <v/>
      </c>
      <c r="P20" s="9">
        <f>O20+1</f>
        <v/>
      </c>
      <c r="Q20" s="9">
        <f>P20+1</f>
        <v/>
      </c>
      <c r="R20" s="9">
        <f>Q20+1</f>
        <v/>
      </c>
      <c r="S20" s="9">
        <f>R20+1</f>
        <v/>
      </c>
      <c r="T20" s="9">
        <f>S20+1</f>
        <v/>
      </c>
      <c r="U20" s="9">
        <f>T20+1</f>
        <v/>
      </c>
      <c r="V20" s="9">
        <f>U20+1</f>
        <v/>
      </c>
      <c r="W20" s="9">
        <f>V20+1</f>
        <v/>
      </c>
      <c r="X20" s="9">
        <f>W20+1</f>
        <v/>
      </c>
      <c r="Y20" s="9">
        <f>X20+1</f>
        <v/>
      </c>
      <c r="Z20" s="9">
        <f>Y20+1</f>
        <v/>
      </c>
      <c r="AA20" s="9">
        <f>Z20+1</f>
        <v/>
      </c>
      <c r="AB20" s="9">
        <f>AA20+1</f>
        <v/>
      </c>
      <c r="AC20" s="9">
        <f>AB20+1</f>
        <v/>
      </c>
      <c r="AD20" s="9">
        <f>AC20+1</f>
        <v/>
      </c>
      <c r="AE20" s="9">
        <f>AD20+1</f>
        <v/>
      </c>
      <c r="AF20" s="9">
        <f>AE20+1</f>
        <v/>
      </c>
      <c r="AG20" s="9">
        <f>AF20+1</f>
        <v/>
      </c>
      <c r="AH20" s="9">
        <f>AG20+1</f>
        <v/>
      </c>
      <c r="AI20" s="9">
        <f>AH20+1</f>
        <v/>
      </c>
      <c r="AJ20" s="9">
        <f>AI20+1</f>
        <v/>
      </c>
      <c r="AK20" s="9">
        <f>AJ20+1</f>
        <v/>
      </c>
      <c r="AL20" s="9">
        <f>AK20+1</f>
        <v/>
      </c>
      <c r="AM20" s="9">
        <f>AL20+1</f>
        <v/>
      </c>
      <c r="AN20" s="9">
        <f>AM20+1</f>
        <v/>
      </c>
      <c r="AO20" s="9">
        <f>AN20+1</f>
        <v/>
      </c>
      <c r="AP20" s="9">
        <f>AO20+1</f>
        <v/>
      </c>
      <c r="AQ20" s="9">
        <f>AP20+1</f>
        <v/>
      </c>
      <c r="AR20" s="9">
        <f>AQ20+1</f>
        <v/>
      </c>
      <c r="AS20" s="9">
        <f>AR20+1</f>
        <v/>
      </c>
      <c r="AT20" s="9">
        <f>AS20+1</f>
        <v/>
      </c>
      <c r="AU20" s="9">
        <f>AT20+1</f>
        <v/>
      </c>
      <c r="AV20" s="9">
        <f>AU20+1</f>
        <v/>
      </c>
      <c r="AW20" s="9">
        <f>AV20+1</f>
        <v/>
      </c>
      <c r="AX20" s="9">
        <f>AW20+1</f>
        <v/>
      </c>
      <c r="AY20" s="9">
        <f>AX20+1</f>
        <v/>
      </c>
      <c r="AZ20" s="9">
        <f>AY20+1</f>
        <v/>
      </c>
      <c r="BA20" s="9">
        <f>AZ20+1</f>
        <v/>
      </c>
      <c r="BB20" s="9">
        <f>BA20+1</f>
        <v/>
      </c>
      <c r="BC20" s="9">
        <f>BB20+1</f>
        <v/>
      </c>
      <c r="BD20" s="9">
        <f>BC20+1</f>
        <v/>
      </c>
      <c r="BE20" s="9">
        <f>BD20+1</f>
        <v/>
      </c>
      <c r="BF20" s="9">
        <f>BE20+1</f>
        <v/>
      </c>
      <c r="BG20" s="9">
        <f>BF20+1</f>
        <v/>
      </c>
      <c r="BH20" s="9">
        <f>BG20+1</f>
        <v/>
      </c>
      <c r="BI20" s="9">
        <f>BH20+1</f>
        <v/>
      </c>
      <c r="BJ20" s="9">
        <f>BI20+1</f>
        <v/>
      </c>
      <c r="BK20" s="9">
        <f>BJ20+1</f>
        <v/>
      </c>
      <c r="BL20" s="9">
        <f>BK20+1</f>
        <v/>
      </c>
      <c r="BM20" s="9">
        <f>BL20+1</f>
        <v/>
      </c>
      <c r="BN20" s="9">
        <f>BM20+1</f>
        <v/>
      </c>
    </row>
    <row r="21">
      <c r="D21" t="inlineStr">
        <is>
          <t>Months per period</t>
        </is>
      </c>
      <c r="E21" t="inlineStr">
        <is>
          <t>months</t>
        </is>
      </c>
      <c r="J21" s="12">
        <f>Inputs!$F$226</f>
        <v/>
      </c>
      <c r="K21" s="12">
        <f>Inputs!$F$226</f>
        <v/>
      </c>
      <c r="L21" s="12">
        <f>Inputs!$F$226</f>
        <v/>
      </c>
      <c r="M21" s="12">
        <f>Inputs!$F$226</f>
        <v/>
      </c>
      <c r="N21" s="12">
        <f>Inputs!$F$226</f>
        <v/>
      </c>
      <c r="O21" s="12">
        <f>Inputs!$F$226</f>
        <v/>
      </c>
      <c r="P21" s="12">
        <f>Inputs!$F$226</f>
        <v/>
      </c>
      <c r="Q21" s="12">
        <f>Inputs!$F$226</f>
        <v/>
      </c>
      <c r="R21" s="12">
        <f>Inputs!$F$226</f>
        <v/>
      </c>
      <c r="S21" s="12">
        <f>Inputs!$F$226</f>
        <v/>
      </c>
      <c r="T21" s="12">
        <f>Inputs!$F$226</f>
        <v/>
      </c>
      <c r="U21" s="12">
        <f>Inputs!$F$226</f>
        <v/>
      </c>
      <c r="V21" s="12">
        <f>Inputs!$F$226</f>
        <v/>
      </c>
      <c r="W21" s="12">
        <f>Inputs!$F$226</f>
        <v/>
      </c>
      <c r="X21" s="12">
        <f>Inputs!$F$226</f>
        <v/>
      </c>
      <c r="Y21" s="12">
        <f>Inputs!$F$226</f>
        <v/>
      </c>
      <c r="Z21" s="12">
        <f>Inputs!$F$226</f>
        <v/>
      </c>
      <c r="AA21" s="12">
        <f>Inputs!$F$226</f>
        <v/>
      </c>
      <c r="AB21" s="12">
        <f>Inputs!$F$226</f>
        <v/>
      </c>
      <c r="AC21" s="12">
        <f>Inputs!$F$226</f>
        <v/>
      </c>
      <c r="AD21" s="12">
        <f>Inputs!$F$226</f>
        <v/>
      </c>
      <c r="AE21" s="12">
        <f>Inputs!$F$226</f>
        <v/>
      </c>
      <c r="AF21" s="12">
        <f>Inputs!$F$226</f>
        <v/>
      </c>
      <c r="AG21" s="12">
        <f>Inputs!$F$226</f>
        <v/>
      </c>
      <c r="AH21" s="12">
        <f>Inputs!$F$226</f>
        <v/>
      </c>
      <c r="AI21" s="12">
        <f>Inputs!$F$226</f>
        <v/>
      </c>
      <c r="AJ21" s="12">
        <f>Inputs!$F$226</f>
        <v/>
      </c>
      <c r="AK21" s="12">
        <f>Inputs!$F$226</f>
        <v/>
      </c>
      <c r="AL21" s="12">
        <f>Inputs!$F$226</f>
        <v/>
      </c>
      <c r="AM21" s="12">
        <f>Inputs!$F$226</f>
        <v/>
      </c>
      <c r="AN21" s="12">
        <f>Inputs!$F$226</f>
        <v/>
      </c>
      <c r="AO21" s="12">
        <f>Inputs!$F$226</f>
        <v/>
      </c>
      <c r="AP21" s="12">
        <f>Inputs!$F$226</f>
        <v/>
      </c>
      <c r="AQ21" s="12">
        <f>Inputs!$F$226</f>
        <v/>
      </c>
      <c r="AR21" s="12">
        <f>Inputs!$F$226</f>
        <v/>
      </c>
      <c r="AS21" s="12">
        <f>Inputs!$F$226</f>
        <v/>
      </c>
      <c r="AT21" s="12">
        <f>Inputs!$F$226</f>
        <v/>
      </c>
      <c r="AU21" s="12">
        <f>Inputs!$F$226</f>
        <v/>
      </c>
      <c r="AV21" s="12">
        <f>Inputs!$F$226</f>
        <v/>
      </c>
      <c r="AW21" s="12">
        <f>Inputs!$F$226</f>
        <v/>
      </c>
      <c r="AX21" s="12">
        <f>Inputs!$F$226</f>
        <v/>
      </c>
      <c r="AY21" s="12">
        <f>Inputs!$F$226</f>
        <v/>
      </c>
      <c r="AZ21" s="12">
        <f>Inputs!$F$226</f>
        <v/>
      </c>
      <c r="BA21" s="12">
        <f>Inputs!$F$226</f>
        <v/>
      </c>
      <c r="BB21" s="12">
        <f>Inputs!$F$226</f>
        <v/>
      </c>
      <c r="BC21" s="12">
        <f>Inputs!$F$226</f>
        <v/>
      </c>
      <c r="BD21" s="12">
        <f>Inputs!$F$226</f>
        <v/>
      </c>
      <c r="BE21" s="12">
        <f>Inputs!$F$226</f>
        <v/>
      </c>
      <c r="BF21" s="12">
        <f>Inputs!$F$226</f>
        <v/>
      </c>
      <c r="BG21" s="12">
        <f>Inputs!$F$226</f>
        <v/>
      </c>
      <c r="BH21" s="12">
        <f>Inputs!$F$226</f>
        <v/>
      </c>
      <c r="BI21" s="12">
        <f>Inputs!$F$226</f>
        <v/>
      </c>
      <c r="BJ21" s="12">
        <f>Inputs!$F$226</f>
        <v/>
      </c>
      <c r="BK21" s="12">
        <f>Inputs!$F$226</f>
        <v/>
      </c>
      <c r="BL21" s="12">
        <f>Inputs!$F$226</f>
        <v/>
      </c>
      <c r="BM21" s="12">
        <f>Inputs!$F$226</f>
        <v/>
      </c>
      <c r="BN21" s="12">
        <f>Inputs!$F$226</f>
        <v/>
      </c>
    </row>
    <row r="22">
      <c r="D22" t="inlineStr">
        <is>
          <t>Period start</t>
        </is>
      </c>
      <c r="E22" t="inlineStr">
        <is>
          <t>date</t>
        </is>
      </c>
      <c r="J22" s="10">
        <f>IF(J20=1,Inputs!$F$189,EDATE(I22,J21))</f>
        <v/>
      </c>
      <c r="K22" s="10">
        <f>IF(K20=1,Inputs!$F$189,EDATE(J22,K21))</f>
        <v/>
      </c>
      <c r="L22" s="10">
        <f>IF(L20=1,Inputs!$F$189,EDATE(K22,L21))</f>
        <v/>
      </c>
      <c r="M22" s="10">
        <f>IF(M20=1,Inputs!$F$189,EDATE(L22,M21))</f>
        <v/>
      </c>
      <c r="N22" s="10">
        <f>IF(N20=1,Inputs!$F$189,EDATE(M22,N21))</f>
        <v/>
      </c>
      <c r="O22" s="10">
        <f>IF(O20=1,Inputs!$F$189,EDATE(N22,O21))</f>
        <v/>
      </c>
      <c r="P22" s="10">
        <f>IF(P20=1,Inputs!$F$189,EDATE(O22,P21))</f>
        <v/>
      </c>
      <c r="Q22" s="10">
        <f>IF(Q20=1,Inputs!$F$189,EDATE(P22,Q21))</f>
        <v/>
      </c>
      <c r="R22" s="10">
        <f>IF(R20=1,Inputs!$F$189,EDATE(Q22,R21))</f>
        <v/>
      </c>
      <c r="S22" s="10">
        <f>IF(S20=1,Inputs!$F$189,EDATE(R22,S21))</f>
        <v/>
      </c>
      <c r="T22" s="10">
        <f>IF(T20=1,Inputs!$F$189,EDATE(S22,T21))</f>
        <v/>
      </c>
      <c r="U22" s="10">
        <f>IF(U20=1,Inputs!$F$189,EDATE(T22,U21))</f>
        <v/>
      </c>
      <c r="V22" s="10">
        <f>IF(V20=1,Inputs!$F$189,EDATE(U22,V21))</f>
        <v/>
      </c>
      <c r="W22" s="10">
        <f>IF(W20=1,Inputs!$F$189,EDATE(V22,W21))</f>
        <v/>
      </c>
      <c r="X22" s="10">
        <f>IF(X20=1,Inputs!$F$189,EDATE(W22,X21))</f>
        <v/>
      </c>
      <c r="Y22" s="10">
        <f>IF(Y20=1,Inputs!$F$189,EDATE(X22,Y21))</f>
        <v/>
      </c>
      <c r="Z22" s="10">
        <f>IF(Z20=1,Inputs!$F$189,EDATE(Y22,Z21))</f>
        <v/>
      </c>
      <c r="AA22" s="10">
        <f>IF(AA20=1,Inputs!$F$189,EDATE(Z22,AA21))</f>
        <v/>
      </c>
      <c r="AB22" s="10">
        <f>IF(AB20=1,Inputs!$F$189,EDATE(AA22,AB21))</f>
        <v/>
      </c>
      <c r="AC22" s="10">
        <f>IF(AC20=1,Inputs!$F$189,EDATE(AB22,AC21))</f>
        <v/>
      </c>
      <c r="AD22" s="10">
        <f>IF(AD20=1,Inputs!$F$189,EDATE(AC22,AD21))</f>
        <v/>
      </c>
      <c r="AE22" s="10">
        <f>IF(AE20=1,Inputs!$F$189,EDATE(AD22,AE21))</f>
        <v/>
      </c>
      <c r="AF22" s="10">
        <f>IF(AF20=1,Inputs!$F$189,EDATE(AE22,AF21))</f>
        <v/>
      </c>
      <c r="AG22" s="10">
        <f>IF(AG20=1,Inputs!$F$189,EDATE(AF22,AG21))</f>
        <v/>
      </c>
      <c r="AH22" s="10">
        <f>IF(AH20=1,Inputs!$F$189,EDATE(AG22,AH21))</f>
        <v/>
      </c>
      <c r="AI22" s="10">
        <f>IF(AI20=1,Inputs!$F$189,EDATE(AH22,AI21))</f>
        <v/>
      </c>
      <c r="AJ22" s="10">
        <f>IF(AJ20=1,Inputs!$F$189,EDATE(AI22,AJ21))</f>
        <v/>
      </c>
      <c r="AK22" s="10">
        <f>IF(AK20=1,Inputs!$F$189,EDATE(AJ22,AK21))</f>
        <v/>
      </c>
      <c r="AL22" s="10">
        <f>IF(AL20=1,Inputs!$F$189,EDATE(AK22,AL21))</f>
        <v/>
      </c>
      <c r="AM22" s="10">
        <f>IF(AM20=1,Inputs!$F$189,EDATE(AL22,AM21))</f>
        <v/>
      </c>
      <c r="AN22" s="10">
        <f>IF(AN20=1,Inputs!$F$189,EDATE(AM22,AN21))</f>
        <v/>
      </c>
      <c r="AO22" s="10">
        <f>IF(AO20=1,Inputs!$F$189,EDATE(AN22,AO21))</f>
        <v/>
      </c>
      <c r="AP22" s="10">
        <f>IF(AP20=1,Inputs!$F$189,EDATE(AO22,AP21))</f>
        <v/>
      </c>
      <c r="AQ22" s="10">
        <f>IF(AQ20=1,Inputs!$F$189,EDATE(AP22,AQ21))</f>
        <v/>
      </c>
      <c r="AR22" s="10">
        <f>IF(AR20=1,Inputs!$F$189,EDATE(AQ22,AR21))</f>
        <v/>
      </c>
      <c r="AS22" s="10">
        <f>IF(AS20=1,Inputs!$F$189,EDATE(AR22,AS21))</f>
        <v/>
      </c>
      <c r="AT22" s="10">
        <f>IF(AT20=1,Inputs!$F$189,EDATE(AS22,AT21))</f>
        <v/>
      </c>
      <c r="AU22" s="10">
        <f>IF(AU20=1,Inputs!$F$189,EDATE(AT22,AU21))</f>
        <v/>
      </c>
      <c r="AV22" s="10">
        <f>IF(AV20=1,Inputs!$F$189,EDATE(AU22,AV21))</f>
        <v/>
      </c>
      <c r="AW22" s="10">
        <f>IF(AW20=1,Inputs!$F$189,EDATE(AV22,AW21))</f>
        <v/>
      </c>
      <c r="AX22" s="10">
        <f>IF(AX20=1,Inputs!$F$189,EDATE(AW22,AX21))</f>
        <v/>
      </c>
      <c r="AY22" s="10">
        <f>IF(AY20=1,Inputs!$F$189,EDATE(AX22,AY21))</f>
        <v/>
      </c>
      <c r="AZ22" s="10">
        <f>IF(AZ20=1,Inputs!$F$189,EDATE(AY22,AZ21))</f>
        <v/>
      </c>
      <c r="BA22" s="10">
        <f>IF(BA20=1,Inputs!$F$189,EDATE(AZ22,BA21))</f>
        <v/>
      </c>
      <c r="BB22" s="10">
        <f>IF(BB20=1,Inputs!$F$189,EDATE(BA22,BB21))</f>
        <v/>
      </c>
      <c r="BC22" s="10">
        <f>IF(BC20=1,Inputs!$F$189,EDATE(BB22,BC21))</f>
        <v/>
      </c>
      <c r="BD22" s="10">
        <f>IF(BD20=1,Inputs!$F$189,EDATE(BC22,BD21))</f>
        <v/>
      </c>
      <c r="BE22" s="10">
        <f>IF(BE20=1,Inputs!$F$189,EDATE(BD22,BE21))</f>
        <v/>
      </c>
      <c r="BF22" s="10">
        <f>IF(BF20=1,Inputs!$F$189,EDATE(BE22,BF21))</f>
        <v/>
      </c>
      <c r="BG22" s="10">
        <f>IF(BG20=1,Inputs!$F$189,EDATE(BF22,BG21))</f>
        <v/>
      </c>
      <c r="BH22" s="10">
        <f>IF(BH20=1,Inputs!$F$189,EDATE(BG22,BH21))</f>
        <v/>
      </c>
      <c r="BI22" s="10">
        <f>IF(BI20=1,Inputs!$F$189,EDATE(BH22,BI21))</f>
        <v/>
      </c>
      <c r="BJ22" s="10">
        <f>IF(BJ20=1,Inputs!$F$189,EDATE(BI22,BJ21))</f>
        <v/>
      </c>
      <c r="BK22" s="10">
        <f>IF(BK20=1,Inputs!$F$189,EDATE(BJ22,BK21))</f>
        <v/>
      </c>
      <c r="BL22" s="10">
        <f>IF(BL20=1,Inputs!$F$189,EDATE(BK22,BL21))</f>
        <v/>
      </c>
      <c r="BM22" s="10">
        <f>IF(BM20=1,Inputs!$F$189,EDATE(BL22,BM21))</f>
        <v/>
      </c>
      <c r="BN22" s="10">
        <f>IF(BN20=1,Inputs!$F$189,EDATE(BM22,BN21))</f>
        <v/>
      </c>
    </row>
    <row r="23">
      <c r="D23" t="inlineStr">
        <is>
          <t>Period end</t>
        </is>
      </c>
      <c r="E23" t="inlineStr">
        <is>
          <t>date</t>
        </is>
      </c>
      <c r="J23" s="10">
        <f>EOMONTH(J22,J21-1)</f>
        <v/>
      </c>
      <c r="K23" s="10">
        <f>EOMONTH(K22,K21-1)</f>
        <v/>
      </c>
      <c r="L23" s="10">
        <f>EOMONTH(L22,L21-1)</f>
        <v/>
      </c>
      <c r="M23" s="10">
        <f>EOMONTH(M22,M21-1)</f>
        <v/>
      </c>
      <c r="N23" s="10">
        <f>EOMONTH(N22,N21-1)</f>
        <v/>
      </c>
      <c r="O23" s="10">
        <f>EOMONTH(O22,O21-1)</f>
        <v/>
      </c>
      <c r="P23" s="10">
        <f>EOMONTH(P22,P21-1)</f>
        <v/>
      </c>
      <c r="Q23" s="10">
        <f>EOMONTH(Q22,Q21-1)</f>
        <v/>
      </c>
      <c r="R23" s="10">
        <f>EOMONTH(R22,R21-1)</f>
        <v/>
      </c>
      <c r="S23" s="10">
        <f>EOMONTH(S22,S21-1)</f>
        <v/>
      </c>
      <c r="T23" s="10">
        <f>EOMONTH(T22,T21-1)</f>
        <v/>
      </c>
      <c r="U23" s="10">
        <f>EOMONTH(U22,U21-1)</f>
        <v/>
      </c>
      <c r="V23" s="10">
        <f>EOMONTH(V22,V21-1)</f>
        <v/>
      </c>
      <c r="W23" s="10">
        <f>EOMONTH(W22,W21-1)</f>
        <v/>
      </c>
      <c r="X23" s="10">
        <f>EOMONTH(X22,X21-1)</f>
        <v/>
      </c>
      <c r="Y23" s="10">
        <f>EOMONTH(Y22,Y21-1)</f>
        <v/>
      </c>
      <c r="Z23" s="10">
        <f>EOMONTH(Z22,Z21-1)</f>
        <v/>
      </c>
      <c r="AA23" s="10">
        <f>EOMONTH(AA22,AA21-1)</f>
        <v/>
      </c>
      <c r="AB23" s="10">
        <f>EOMONTH(AB22,AB21-1)</f>
        <v/>
      </c>
      <c r="AC23" s="10">
        <f>EOMONTH(AC22,AC21-1)</f>
        <v/>
      </c>
      <c r="AD23" s="10">
        <f>EOMONTH(AD22,AD21-1)</f>
        <v/>
      </c>
      <c r="AE23" s="10">
        <f>EOMONTH(AE22,AE21-1)</f>
        <v/>
      </c>
      <c r="AF23" s="10">
        <f>EOMONTH(AF22,AF21-1)</f>
        <v/>
      </c>
      <c r="AG23" s="10">
        <f>EOMONTH(AG22,AG21-1)</f>
        <v/>
      </c>
      <c r="AH23" s="10">
        <f>EOMONTH(AH22,AH21-1)</f>
        <v/>
      </c>
      <c r="AI23" s="10">
        <f>EOMONTH(AI22,AI21-1)</f>
        <v/>
      </c>
      <c r="AJ23" s="10">
        <f>EOMONTH(AJ22,AJ21-1)</f>
        <v/>
      </c>
      <c r="AK23" s="10">
        <f>EOMONTH(AK22,AK21-1)</f>
        <v/>
      </c>
      <c r="AL23" s="10">
        <f>EOMONTH(AL22,AL21-1)</f>
        <v/>
      </c>
      <c r="AM23" s="10">
        <f>EOMONTH(AM22,AM21-1)</f>
        <v/>
      </c>
      <c r="AN23" s="10">
        <f>EOMONTH(AN22,AN21-1)</f>
        <v/>
      </c>
      <c r="AO23" s="10">
        <f>EOMONTH(AO22,AO21-1)</f>
        <v/>
      </c>
      <c r="AP23" s="10">
        <f>EOMONTH(AP22,AP21-1)</f>
        <v/>
      </c>
      <c r="AQ23" s="10">
        <f>EOMONTH(AQ22,AQ21-1)</f>
        <v/>
      </c>
      <c r="AR23" s="10">
        <f>EOMONTH(AR22,AR21-1)</f>
        <v/>
      </c>
      <c r="AS23" s="10">
        <f>EOMONTH(AS22,AS21-1)</f>
        <v/>
      </c>
      <c r="AT23" s="10">
        <f>EOMONTH(AT22,AT21-1)</f>
        <v/>
      </c>
      <c r="AU23" s="10">
        <f>EOMONTH(AU22,AU21-1)</f>
        <v/>
      </c>
      <c r="AV23" s="10">
        <f>EOMONTH(AV22,AV21-1)</f>
        <v/>
      </c>
      <c r="AW23" s="10">
        <f>EOMONTH(AW22,AW21-1)</f>
        <v/>
      </c>
      <c r="AX23" s="10">
        <f>EOMONTH(AX22,AX21-1)</f>
        <v/>
      </c>
      <c r="AY23" s="10">
        <f>EOMONTH(AY22,AY21-1)</f>
        <v/>
      </c>
      <c r="AZ23" s="10">
        <f>EOMONTH(AZ22,AZ21-1)</f>
        <v/>
      </c>
      <c r="BA23" s="10">
        <f>EOMONTH(BA22,BA21-1)</f>
        <v/>
      </c>
      <c r="BB23" s="10">
        <f>EOMONTH(BB22,BB21-1)</f>
        <v/>
      </c>
      <c r="BC23" s="10">
        <f>EOMONTH(BC22,BC21-1)</f>
        <v/>
      </c>
      <c r="BD23" s="10">
        <f>EOMONTH(BD22,BD21-1)</f>
        <v/>
      </c>
      <c r="BE23" s="10">
        <f>EOMONTH(BE22,BE21-1)</f>
        <v/>
      </c>
      <c r="BF23" s="10">
        <f>EOMONTH(BF22,BF21-1)</f>
        <v/>
      </c>
      <c r="BG23" s="10">
        <f>EOMONTH(BG22,BG21-1)</f>
        <v/>
      </c>
      <c r="BH23" s="10">
        <f>EOMONTH(BH22,BH21-1)</f>
        <v/>
      </c>
      <c r="BI23" s="10">
        <f>EOMONTH(BI22,BI21-1)</f>
        <v/>
      </c>
      <c r="BJ23" s="10">
        <f>EOMONTH(BJ22,BJ21-1)</f>
        <v/>
      </c>
      <c r="BK23" s="10">
        <f>EOMONTH(BK22,BK21-1)</f>
        <v/>
      </c>
      <c r="BL23" s="10">
        <f>EOMONTH(BL22,BL21-1)</f>
        <v/>
      </c>
      <c r="BM23" s="10">
        <f>EOMONTH(BM22,BM21-1)</f>
        <v/>
      </c>
      <c r="BN23" s="10">
        <f>EOMONTH(BN22,BN21-1)</f>
        <v/>
      </c>
    </row>
    <row r="24">
      <c r="D24" t="inlineStr">
        <is>
          <t>Year fraction 30/360 (months / 12)</t>
        </is>
      </c>
      <c r="E24" t="inlineStr">
        <is>
          <t>factor</t>
        </is>
      </c>
      <c r="J24" s="3">
        <f>J21/12</f>
        <v/>
      </c>
      <c r="K24" s="3">
        <f>K21/12</f>
        <v/>
      </c>
      <c r="L24" s="3">
        <f>L21/12</f>
        <v/>
      </c>
      <c r="M24" s="3">
        <f>M21/12</f>
        <v/>
      </c>
      <c r="N24" s="3">
        <f>N21/12</f>
        <v/>
      </c>
      <c r="O24" s="3">
        <f>O21/12</f>
        <v/>
      </c>
      <c r="P24" s="3">
        <f>P21/12</f>
        <v/>
      </c>
      <c r="Q24" s="3">
        <f>Q21/12</f>
        <v/>
      </c>
      <c r="R24" s="3">
        <f>R21/12</f>
        <v/>
      </c>
      <c r="S24" s="3">
        <f>S21/12</f>
        <v/>
      </c>
      <c r="T24" s="3">
        <f>T21/12</f>
        <v/>
      </c>
      <c r="U24" s="3">
        <f>U21/12</f>
        <v/>
      </c>
      <c r="V24" s="3">
        <f>V21/12</f>
        <v/>
      </c>
      <c r="W24" s="3">
        <f>W21/12</f>
        <v/>
      </c>
      <c r="X24" s="3">
        <f>X21/12</f>
        <v/>
      </c>
      <c r="Y24" s="3">
        <f>Y21/12</f>
        <v/>
      </c>
      <c r="Z24" s="3">
        <f>Z21/12</f>
        <v/>
      </c>
      <c r="AA24" s="3">
        <f>AA21/12</f>
        <v/>
      </c>
      <c r="AB24" s="3">
        <f>AB21/12</f>
        <v/>
      </c>
      <c r="AC24" s="3">
        <f>AC21/12</f>
        <v/>
      </c>
      <c r="AD24" s="3">
        <f>AD21/12</f>
        <v/>
      </c>
      <c r="AE24" s="3">
        <f>AE21/12</f>
        <v/>
      </c>
      <c r="AF24" s="3">
        <f>AF21/12</f>
        <v/>
      </c>
      <c r="AG24" s="3">
        <f>AG21/12</f>
        <v/>
      </c>
      <c r="AH24" s="3">
        <f>AH21/12</f>
        <v/>
      </c>
      <c r="AI24" s="3">
        <f>AI21/12</f>
        <v/>
      </c>
      <c r="AJ24" s="3">
        <f>AJ21/12</f>
        <v/>
      </c>
      <c r="AK24" s="3">
        <f>AK21/12</f>
        <v/>
      </c>
      <c r="AL24" s="3">
        <f>AL21/12</f>
        <v/>
      </c>
      <c r="AM24" s="3">
        <f>AM21/12</f>
        <v/>
      </c>
      <c r="AN24" s="3">
        <f>AN21/12</f>
        <v/>
      </c>
      <c r="AO24" s="3">
        <f>AO21/12</f>
        <v/>
      </c>
      <c r="AP24" s="3">
        <f>AP21/12</f>
        <v/>
      </c>
      <c r="AQ24" s="3">
        <f>AQ21/12</f>
        <v/>
      </c>
      <c r="AR24" s="3">
        <f>AR21/12</f>
        <v/>
      </c>
      <c r="AS24" s="3">
        <f>AS21/12</f>
        <v/>
      </c>
      <c r="AT24" s="3">
        <f>AT21/12</f>
        <v/>
      </c>
      <c r="AU24" s="3">
        <f>AU21/12</f>
        <v/>
      </c>
      <c r="AV24" s="3">
        <f>AV21/12</f>
        <v/>
      </c>
      <c r="AW24" s="3">
        <f>AW21/12</f>
        <v/>
      </c>
      <c r="AX24" s="3">
        <f>AX21/12</f>
        <v/>
      </c>
      <c r="AY24" s="3">
        <f>AY21/12</f>
        <v/>
      </c>
      <c r="AZ24" s="3">
        <f>AZ21/12</f>
        <v/>
      </c>
      <c r="BA24" s="3">
        <f>BA21/12</f>
        <v/>
      </c>
      <c r="BB24" s="3">
        <f>BB21/12</f>
        <v/>
      </c>
      <c r="BC24" s="3">
        <f>BC21/12</f>
        <v/>
      </c>
      <c r="BD24" s="3">
        <f>BD21/12</f>
        <v/>
      </c>
      <c r="BE24" s="3">
        <f>BE21/12</f>
        <v/>
      </c>
      <c r="BF24" s="3">
        <f>BF21/12</f>
        <v/>
      </c>
      <c r="BG24" s="3">
        <f>BG21/12</f>
        <v/>
      </c>
      <c r="BH24" s="3">
        <f>BH21/12</f>
        <v/>
      </c>
      <c r="BI24" s="3">
        <f>BI21/12</f>
        <v/>
      </c>
      <c r="BJ24" s="3">
        <f>BJ21/12</f>
        <v/>
      </c>
      <c r="BK24" s="3">
        <f>BK21/12</f>
        <v/>
      </c>
      <c r="BL24" s="3">
        <f>BL21/12</f>
        <v/>
      </c>
      <c r="BM24" s="3">
        <f>BM21/12</f>
        <v/>
      </c>
      <c r="BN24" s="3">
        <f>BN21/12</f>
        <v/>
      </c>
    </row>
    <row r="25">
      <c r="D25" t="inlineStr">
        <is>
          <t>Days in period</t>
        </is>
      </c>
      <c r="E25" t="inlineStr">
        <is>
          <t>days</t>
        </is>
      </c>
      <c r="J25" s="9">
        <f>J23-J22+1</f>
        <v/>
      </c>
      <c r="K25" s="9">
        <f>K23-K22+1</f>
        <v/>
      </c>
      <c r="L25" s="9">
        <f>L23-L22+1</f>
        <v/>
      </c>
      <c r="M25" s="9">
        <f>M23-M22+1</f>
        <v/>
      </c>
      <c r="N25" s="9">
        <f>N23-N22+1</f>
        <v/>
      </c>
      <c r="O25" s="9">
        <f>O23-O22+1</f>
        <v/>
      </c>
      <c r="P25" s="9">
        <f>P23-P22+1</f>
        <v/>
      </c>
      <c r="Q25" s="9">
        <f>Q23-Q22+1</f>
        <v/>
      </c>
      <c r="R25" s="9">
        <f>R23-R22+1</f>
        <v/>
      </c>
      <c r="S25" s="9">
        <f>S23-S22+1</f>
        <v/>
      </c>
      <c r="T25" s="9">
        <f>T23-T22+1</f>
        <v/>
      </c>
      <c r="U25" s="9">
        <f>U23-U22+1</f>
        <v/>
      </c>
      <c r="V25" s="9">
        <f>V23-V22+1</f>
        <v/>
      </c>
      <c r="W25" s="9">
        <f>W23-W22+1</f>
        <v/>
      </c>
      <c r="X25" s="9">
        <f>X23-X22+1</f>
        <v/>
      </c>
      <c r="Y25" s="9">
        <f>Y23-Y22+1</f>
        <v/>
      </c>
      <c r="Z25" s="9">
        <f>Z23-Z22+1</f>
        <v/>
      </c>
      <c r="AA25" s="9">
        <f>AA23-AA22+1</f>
        <v/>
      </c>
      <c r="AB25" s="9">
        <f>AB23-AB22+1</f>
        <v/>
      </c>
      <c r="AC25" s="9">
        <f>AC23-AC22+1</f>
        <v/>
      </c>
      <c r="AD25" s="9">
        <f>AD23-AD22+1</f>
        <v/>
      </c>
      <c r="AE25" s="9">
        <f>AE23-AE22+1</f>
        <v/>
      </c>
      <c r="AF25" s="9">
        <f>AF23-AF22+1</f>
        <v/>
      </c>
      <c r="AG25" s="9">
        <f>AG23-AG22+1</f>
        <v/>
      </c>
      <c r="AH25" s="9">
        <f>AH23-AH22+1</f>
        <v/>
      </c>
      <c r="AI25" s="9">
        <f>AI23-AI22+1</f>
        <v/>
      </c>
      <c r="AJ25" s="9">
        <f>AJ23-AJ22+1</f>
        <v/>
      </c>
      <c r="AK25" s="9">
        <f>AK23-AK22+1</f>
        <v/>
      </c>
      <c r="AL25" s="9">
        <f>AL23-AL22+1</f>
        <v/>
      </c>
      <c r="AM25" s="9">
        <f>AM23-AM22+1</f>
        <v/>
      </c>
      <c r="AN25" s="9">
        <f>AN23-AN22+1</f>
        <v/>
      </c>
      <c r="AO25" s="9">
        <f>AO23-AO22+1</f>
        <v/>
      </c>
      <c r="AP25" s="9">
        <f>AP23-AP22+1</f>
        <v/>
      </c>
      <c r="AQ25" s="9">
        <f>AQ23-AQ22+1</f>
        <v/>
      </c>
      <c r="AR25" s="9">
        <f>AR23-AR22+1</f>
        <v/>
      </c>
      <c r="AS25" s="9">
        <f>AS23-AS22+1</f>
        <v/>
      </c>
      <c r="AT25" s="9">
        <f>AT23-AT22+1</f>
        <v/>
      </c>
      <c r="AU25" s="9">
        <f>AU23-AU22+1</f>
        <v/>
      </c>
      <c r="AV25" s="9">
        <f>AV23-AV22+1</f>
        <v/>
      </c>
      <c r="AW25" s="9">
        <f>AW23-AW22+1</f>
        <v/>
      </c>
      <c r="AX25" s="9">
        <f>AX23-AX22+1</f>
        <v/>
      </c>
      <c r="AY25" s="9">
        <f>AY23-AY22+1</f>
        <v/>
      </c>
      <c r="AZ25" s="9">
        <f>AZ23-AZ22+1</f>
        <v/>
      </c>
      <c r="BA25" s="9">
        <f>BA23-BA22+1</f>
        <v/>
      </c>
      <c r="BB25" s="9">
        <f>BB23-BB22+1</f>
        <v/>
      </c>
      <c r="BC25" s="9">
        <f>BC23-BC22+1</f>
        <v/>
      </c>
      <c r="BD25" s="9">
        <f>BD23-BD22+1</f>
        <v/>
      </c>
      <c r="BE25" s="9">
        <f>BE23-BE22+1</f>
        <v/>
      </c>
      <c r="BF25" s="9">
        <f>BF23-BF22+1</f>
        <v/>
      </c>
      <c r="BG25" s="9">
        <f>BG23-BG22+1</f>
        <v/>
      </c>
      <c r="BH25" s="9">
        <f>BH23-BH22+1</f>
        <v/>
      </c>
      <c r="BI25" s="9">
        <f>BI23-BI22+1</f>
        <v/>
      </c>
      <c r="BJ25" s="9">
        <f>BJ23-BJ22+1</f>
        <v/>
      </c>
      <c r="BK25" s="9">
        <f>BK23-BK22+1</f>
        <v/>
      </c>
      <c r="BL25" s="9">
        <f>BL23-BL22+1</f>
        <v/>
      </c>
      <c r="BM25" s="9">
        <f>BM23-BM22+1</f>
        <v/>
      </c>
      <c r="BN25" s="9">
        <f>BN23-BN22+1</f>
        <v/>
      </c>
    </row>
    <row r="26">
      <c r="D26" t="inlineStr">
        <is>
          <t>Calendar year</t>
        </is>
      </c>
      <c r="E26" t="inlineStr">
        <is>
          <t>year</t>
        </is>
      </c>
      <c r="J26" s="9">
        <f>YEAR(J22)</f>
        <v/>
      </c>
      <c r="K26" s="9">
        <f>YEAR(K22)</f>
        <v/>
      </c>
      <c r="L26" s="9">
        <f>YEAR(L22)</f>
        <v/>
      </c>
      <c r="M26" s="9">
        <f>YEAR(M22)</f>
        <v/>
      </c>
      <c r="N26" s="9">
        <f>YEAR(N22)</f>
        <v/>
      </c>
      <c r="O26" s="9">
        <f>YEAR(O22)</f>
        <v/>
      </c>
      <c r="P26" s="9">
        <f>YEAR(P22)</f>
        <v/>
      </c>
      <c r="Q26" s="9">
        <f>YEAR(Q22)</f>
        <v/>
      </c>
      <c r="R26" s="9">
        <f>YEAR(R22)</f>
        <v/>
      </c>
      <c r="S26" s="9">
        <f>YEAR(S22)</f>
        <v/>
      </c>
      <c r="T26" s="9">
        <f>YEAR(T22)</f>
        <v/>
      </c>
      <c r="U26" s="9">
        <f>YEAR(U22)</f>
        <v/>
      </c>
      <c r="V26" s="9">
        <f>YEAR(V22)</f>
        <v/>
      </c>
      <c r="W26" s="9">
        <f>YEAR(W22)</f>
        <v/>
      </c>
      <c r="X26" s="9">
        <f>YEAR(X22)</f>
        <v/>
      </c>
      <c r="Y26" s="9">
        <f>YEAR(Y22)</f>
        <v/>
      </c>
      <c r="Z26" s="9">
        <f>YEAR(Z22)</f>
        <v/>
      </c>
      <c r="AA26" s="9">
        <f>YEAR(AA22)</f>
        <v/>
      </c>
      <c r="AB26" s="9">
        <f>YEAR(AB22)</f>
        <v/>
      </c>
      <c r="AC26" s="9">
        <f>YEAR(AC22)</f>
        <v/>
      </c>
      <c r="AD26" s="9">
        <f>YEAR(AD22)</f>
        <v/>
      </c>
      <c r="AE26" s="9">
        <f>YEAR(AE22)</f>
        <v/>
      </c>
      <c r="AF26" s="9">
        <f>YEAR(AF22)</f>
        <v/>
      </c>
      <c r="AG26" s="9">
        <f>YEAR(AG22)</f>
        <v/>
      </c>
      <c r="AH26" s="9">
        <f>YEAR(AH22)</f>
        <v/>
      </c>
      <c r="AI26" s="9">
        <f>YEAR(AI22)</f>
        <v/>
      </c>
      <c r="AJ26" s="9">
        <f>YEAR(AJ22)</f>
        <v/>
      </c>
      <c r="AK26" s="9">
        <f>YEAR(AK22)</f>
        <v/>
      </c>
      <c r="AL26" s="9">
        <f>YEAR(AL22)</f>
        <v/>
      </c>
      <c r="AM26" s="9">
        <f>YEAR(AM22)</f>
        <v/>
      </c>
      <c r="AN26" s="9">
        <f>YEAR(AN22)</f>
        <v/>
      </c>
      <c r="AO26" s="9">
        <f>YEAR(AO22)</f>
        <v/>
      </c>
      <c r="AP26" s="9">
        <f>YEAR(AP22)</f>
        <v/>
      </c>
      <c r="AQ26" s="9">
        <f>YEAR(AQ22)</f>
        <v/>
      </c>
      <c r="AR26" s="9">
        <f>YEAR(AR22)</f>
        <v/>
      </c>
      <c r="AS26" s="9">
        <f>YEAR(AS22)</f>
        <v/>
      </c>
      <c r="AT26" s="9">
        <f>YEAR(AT22)</f>
        <v/>
      </c>
      <c r="AU26" s="9">
        <f>YEAR(AU22)</f>
        <v/>
      </c>
      <c r="AV26" s="9">
        <f>YEAR(AV22)</f>
        <v/>
      </c>
      <c r="AW26" s="9">
        <f>YEAR(AW22)</f>
        <v/>
      </c>
      <c r="AX26" s="9">
        <f>YEAR(AX22)</f>
        <v/>
      </c>
      <c r="AY26" s="9">
        <f>YEAR(AY22)</f>
        <v/>
      </c>
      <c r="AZ26" s="9">
        <f>YEAR(AZ22)</f>
        <v/>
      </c>
      <c r="BA26" s="9">
        <f>YEAR(BA22)</f>
        <v/>
      </c>
      <c r="BB26" s="9">
        <f>YEAR(BB22)</f>
        <v/>
      </c>
      <c r="BC26" s="9">
        <f>YEAR(BC22)</f>
        <v/>
      </c>
      <c r="BD26" s="9">
        <f>YEAR(BD22)</f>
        <v/>
      </c>
      <c r="BE26" s="9">
        <f>YEAR(BE22)</f>
        <v/>
      </c>
      <c r="BF26" s="9">
        <f>YEAR(BF22)</f>
        <v/>
      </c>
      <c r="BG26" s="9">
        <f>YEAR(BG22)</f>
        <v/>
      </c>
      <c r="BH26" s="9">
        <f>YEAR(BH22)</f>
        <v/>
      </c>
      <c r="BI26" s="9">
        <f>YEAR(BI22)</f>
        <v/>
      </c>
      <c r="BJ26" s="9">
        <f>YEAR(BJ22)</f>
        <v/>
      </c>
      <c r="BK26" s="9">
        <f>YEAR(BK22)</f>
        <v/>
      </c>
      <c r="BL26" s="9">
        <f>YEAR(BL22)</f>
        <v/>
      </c>
      <c r="BM26" s="9">
        <f>YEAR(BM22)</f>
        <v/>
      </c>
      <c r="BN26" s="9">
        <f>YEAR(BN22)</f>
        <v/>
      </c>
    </row>
    <row r="27">
      <c r="D27" t="inlineStr">
        <is>
          <t>Flag_FirstHalf (Jan-Jun)</t>
        </is>
      </c>
      <c r="E27" t="inlineStr">
        <is>
          <t>flag</t>
        </is>
      </c>
      <c r="J27" s="9">
        <f>IF(MONTH(J22)=1,1,0)</f>
        <v/>
      </c>
      <c r="K27" s="9">
        <f>IF(MONTH(K22)=1,1,0)</f>
        <v/>
      </c>
      <c r="L27" s="9">
        <f>IF(MONTH(L22)=1,1,0)</f>
        <v/>
      </c>
      <c r="M27" s="9">
        <f>IF(MONTH(M22)=1,1,0)</f>
        <v/>
      </c>
      <c r="N27" s="9">
        <f>IF(MONTH(N22)=1,1,0)</f>
        <v/>
      </c>
      <c r="O27" s="9">
        <f>IF(MONTH(O22)=1,1,0)</f>
        <v/>
      </c>
      <c r="P27" s="9">
        <f>IF(MONTH(P22)=1,1,0)</f>
        <v/>
      </c>
      <c r="Q27" s="9">
        <f>IF(MONTH(Q22)=1,1,0)</f>
        <v/>
      </c>
      <c r="R27" s="9">
        <f>IF(MONTH(R22)=1,1,0)</f>
        <v/>
      </c>
      <c r="S27" s="9">
        <f>IF(MONTH(S22)=1,1,0)</f>
        <v/>
      </c>
      <c r="T27" s="9">
        <f>IF(MONTH(T22)=1,1,0)</f>
        <v/>
      </c>
      <c r="U27" s="9">
        <f>IF(MONTH(U22)=1,1,0)</f>
        <v/>
      </c>
      <c r="V27" s="9">
        <f>IF(MONTH(V22)=1,1,0)</f>
        <v/>
      </c>
      <c r="W27" s="9">
        <f>IF(MONTH(W22)=1,1,0)</f>
        <v/>
      </c>
      <c r="X27" s="9">
        <f>IF(MONTH(X22)=1,1,0)</f>
        <v/>
      </c>
      <c r="Y27" s="9">
        <f>IF(MONTH(Y22)=1,1,0)</f>
        <v/>
      </c>
      <c r="Z27" s="9">
        <f>IF(MONTH(Z22)=1,1,0)</f>
        <v/>
      </c>
      <c r="AA27" s="9">
        <f>IF(MONTH(AA22)=1,1,0)</f>
        <v/>
      </c>
      <c r="AB27" s="9">
        <f>IF(MONTH(AB22)=1,1,0)</f>
        <v/>
      </c>
      <c r="AC27" s="9">
        <f>IF(MONTH(AC22)=1,1,0)</f>
        <v/>
      </c>
      <c r="AD27" s="9">
        <f>IF(MONTH(AD22)=1,1,0)</f>
        <v/>
      </c>
      <c r="AE27" s="9">
        <f>IF(MONTH(AE22)=1,1,0)</f>
        <v/>
      </c>
      <c r="AF27" s="9">
        <f>IF(MONTH(AF22)=1,1,0)</f>
        <v/>
      </c>
      <c r="AG27" s="9">
        <f>IF(MONTH(AG22)=1,1,0)</f>
        <v/>
      </c>
      <c r="AH27" s="9">
        <f>IF(MONTH(AH22)=1,1,0)</f>
        <v/>
      </c>
      <c r="AI27" s="9">
        <f>IF(MONTH(AI22)=1,1,0)</f>
        <v/>
      </c>
      <c r="AJ27" s="9">
        <f>IF(MONTH(AJ22)=1,1,0)</f>
        <v/>
      </c>
      <c r="AK27" s="9">
        <f>IF(MONTH(AK22)=1,1,0)</f>
        <v/>
      </c>
      <c r="AL27" s="9">
        <f>IF(MONTH(AL22)=1,1,0)</f>
        <v/>
      </c>
      <c r="AM27" s="9">
        <f>IF(MONTH(AM22)=1,1,0)</f>
        <v/>
      </c>
      <c r="AN27" s="9">
        <f>IF(MONTH(AN22)=1,1,0)</f>
        <v/>
      </c>
      <c r="AO27" s="9">
        <f>IF(MONTH(AO22)=1,1,0)</f>
        <v/>
      </c>
      <c r="AP27" s="9">
        <f>IF(MONTH(AP22)=1,1,0)</f>
        <v/>
      </c>
      <c r="AQ27" s="9">
        <f>IF(MONTH(AQ22)=1,1,0)</f>
        <v/>
      </c>
      <c r="AR27" s="9">
        <f>IF(MONTH(AR22)=1,1,0)</f>
        <v/>
      </c>
      <c r="AS27" s="9">
        <f>IF(MONTH(AS22)=1,1,0)</f>
        <v/>
      </c>
      <c r="AT27" s="9">
        <f>IF(MONTH(AT22)=1,1,0)</f>
        <v/>
      </c>
      <c r="AU27" s="9">
        <f>IF(MONTH(AU22)=1,1,0)</f>
        <v/>
      </c>
      <c r="AV27" s="9">
        <f>IF(MONTH(AV22)=1,1,0)</f>
        <v/>
      </c>
      <c r="AW27" s="9">
        <f>IF(MONTH(AW22)=1,1,0)</f>
        <v/>
      </c>
      <c r="AX27" s="9">
        <f>IF(MONTH(AX22)=1,1,0)</f>
        <v/>
      </c>
      <c r="AY27" s="9">
        <f>IF(MONTH(AY22)=1,1,0)</f>
        <v/>
      </c>
      <c r="AZ27" s="9">
        <f>IF(MONTH(AZ22)=1,1,0)</f>
        <v/>
      </c>
      <c r="BA27" s="9">
        <f>IF(MONTH(BA22)=1,1,0)</f>
        <v/>
      </c>
      <c r="BB27" s="9">
        <f>IF(MONTH(BB22)=1,1,0)</f>
        <v/>
      </c>
      <c r="BC27" s="9">
        <f>IF(MONTH(BC22)=1,1,0)</f>
        <v/>
      </c>
      <c r="BD27" s="9">
        <f>IF(MONTH(BD22)=1,1,0)</f>
        <v/>
      </c>
      <c r="BE27" s="9">
        <f>IF(MONTH(BE22)=1,1,0)</f>
        <v/>
      </c>
      <c r="BF27" s="9">
        <f>IF(MONTH(BF22)=1,1,0)</f>
        <v/>
      </c>
      <c r="BG27" s="9">
        <f>IF(MONTH(BG22)=1,1,0)</f>
        <v/>
      </c>
      <c r="BH27" s="9">
        <f>IF(MONTH(BH22)=1,1,0)</f>
        <v/>
      </c>
      <c r="BI27" s="9">
        <f>IF(MONTH(BI22)=1,1,0)</f>
        <v/>
      </c>
      <c r="BJ27" s="9">
        <f>IF(MONTH(BJ22)=1,1,0)</f>
        <v/>
      </c>
      <c r="BK27" s="9">
        <f>IF(MONTH(BK22)=1,1,0)</f>
        <v/>
      </c>
      <c r="BL27" s="9">
        <f>IF(MONTH(BL22)=1,1,0)</f>
        <v/>
      </c>
      <c r="BM27" s="9">
        <f>IF(MONTH(BM22)=1,1,0)</f>
        <v/>
      </c>
      <c r="BN27" s="9">
        <f>IF(MONTH(BN22)=1,1,0)</f>
        <v/>
      </c>
    </row>
    <row r="28">
      <c r="D28" t="inlineStr">
        <is>
          <t>Operations start in period</t>
        </is>
      </c>
      <c r="E28" t="inlineStr">
        <is>
          <t>date</t>
        </is>
      </c>
      <c r="J28" s="10">
        <f>MAX(J22,$F$8)</f>
        <v/>
      </c>
      <c r="K28" s="10">
        <f>MAX(K22,$F$8)</f>
        <v/>
      </c>
      <c r="L28" s="10">
        <f>MAX(L22,$F$8)</f>
        <v/>
      </c>
      <c r="M28" s="10">
        <f>MAX(M22,$F$8)</f>
        <v/>
      </c>
      <c r="N28" s="10">
        <f>MAX(N22,$F$8)</f>
        <v/>
      </c>
      <c r="O28" s="10">
        <f>MAX(O22,$F$8)</f>
        <v/>
      </c>
      <c r="P28" s="10">
        <f>MAX(P22,$F$8)</f>
        <v/>
      </c>
      <c r="Q28" s="10">
        <f>MAX(Q22,$F$8)</f>
        <v/>
      </c>
      <c r="R28" s="10">
        <f>MAX(R22,$F$8)</f>
        <v/>
      </c>
      <c r="S28" s="10">
        <f>MAX(S22,$F$8)</f>
        <v/>
      </c>
      <c r="T28" s="10">
        <f>MAX(T22,$F$8)</f>
        <v/>
      </c>
      <c r="U28" s="10">
        <f>MAX(U22,$F$8)</f>
        <v/>
      </c>
      <c r="V28" s="10">
        <f>MAX(V22,$F$8)</f>
        <v/>
      </c>
      <c r="W28" s="10">
        <f>MAX(W22,$F$8)</f>
        <v/>
      </c>
      <c r="X28" s="10">
        <f>MAX(X22,$F$8)</f>
        <v/>
      </c>
      <c r="Y28" s="10">
        <f>MAX(Y22,$F$8)</f>
        <v/>
      </c>
      <c r="Z28" s="10">
        <f>MAX(Z22,$F$8)</f>
        <v/>
      </c>
      <c r="AA28" s="10">
        <f>MAX(AA22,$F$8)</f>
        <v/>
      </c>
      <c r="AB28" s="10">
        <f>MAX(AB22,$F$8)</f>
        <v/>
      </c>
      <c r="AC28" s="10">
        <f>MAX(AC22,$F$8)</f>
        <v/>
      </c>
      <c r="AD28" s="10">
        <f>MAX(AD22,$F$8)</f>
        <v/>
      </c>
      <c r="AE28" s="10">
        <f>MAX(AE22,$F$8)</f>
        <v/>
      </c>
      <c r="AF28" s="10">
        <f>MAX(AF22,$F$8)</f>
        <v/>
      </c>
      <c r="AG28" s="10">
        <f>MAX(AG22,$F$8)</f>
        <v/>
      </c>
      <c r="AH28" s="10">
        <f>MAX(AH22,$F$8)</f>
        <v/>
      </c>
      <c r="AI28" s="10">
        <f>MAX(AI22,$F$8)</f>
        <v/>
      </c>
      <c r="AJ28" s="10">
        <f>MAX(AJ22,$F$8)</f>
        <v/>
      </c>
      <c r="AK28" s="10">
        <f>MAX(AK22,$F$8)</f>
        <v/>
      </c>
      <c r="AL28" s="10">
        <f>MAX(AL22,$F$8)</f>
        <v/>
      </c>
      <c r="AM28" s="10">
        <f>MAX(AM22,$F$8)</f>
        <v/>
      </c>
      <c r="AN28" s="10">
        <f>MAX(AN22,$F$8)</f>
        <v/>
      </c>
      <c r="AO28" s="10">
        <f>MAX(AO22,$F$8)</f>
        <v/>
      </c>
      <c r="AP28" s="10">
        <f>MAX(AP22,$F$8)</f>
        <v/>
      </c>
      <c r="AQ28" s="10">
        <f>MAX(AQ22,$F$8)</f>
        <v/>
      </c>
      <c r="AR28" s="10">
        <f>MAX(AR22,$F$8)</f>
        <v/>
      </c>
      <c r="AS28" s="10">
        <f>MAX(AS22,$F$8)</f>
        <v/>
      </c>
      <c r="AT28" s="10">
        <f>MAX(AT22,$F$8)</f>
        <v/>
      </c>
      <c r="AU28" s="10">
        <f>MAX(AU22,$F$8)</f>
        <v/>
      </c>
      <c r="AV28" s="10">
        <f>MAX(AV22,$F$8)</f>
        <v/>
      </c>
      <c r="AW28" s="10">
        <f>MAX(AW22,$F$8)</f>
        <v/>
      </c>
      <c r="AX28" s="10">
        <f>MAX(AX22,$F$8)</f>
        <v/>
      </c>
      <c r="AY28" s="10">
        <f>MAX(AY22,$F$8)</f>
        <v/>
      </c>
      <c r="AZ28" s="10">
        <f>MAX(AZ22,$F$8)</f>
        <v/>
      </c>
      <c r="BA28" s="10">
        <f>MAX(BA22,$F$8)</f>
        <v/>
      </c>
      <c r="BB28" s="10">
        <f>MAX(BB22,$F$8)</f>
        <v/>
      </c>
      <c r="BC28" s="10">
        <f>MAX(BC22,$F$8)</f>
        <v/>
      </c>
      <c r="BD28" s="10">
        <f>MAX(BD22,$F$8)</f>
        <v/>
      </c>
      <c r="BE28" s="10">
        <f>MAX(BE22,$F$8)</f>
        <v/>
      </c>
      <c r="BF28" s="10">
        <f>MAX(BF22,$F$8)</f>
        <v/>
      </c>
      <c r="BG28" s="10">
        <f>MAX(BG22,$F$8)</f>
        <v/>
      </c>
      <c r="BH28" s="10">
        <f>MAX(BH22,$F$8)</f>
        <v/>
      </c>
      <c r="BI28" s="10">
        <f>MAX(BI22,$F$8)</f>
        <v/>
      </c>
      <c r="BJ28" s="10">
        <f>MAX(BJ22,$F$8)</f>
        <v/>
      </c>
      <c r="BK28" s="10">
        <f>MAX(BK22,$F$8)</f>
        <v/>
      </c>
      <c r="BL28" s="10">
        <f>MAX(BL22,$F$8)</f>
        <v/>
      </c>
      <c r="BM28" s="10">
        <f>MAX(BM22,$F$8)</f>
        <v/>
      </c>
      <c r="BN28" s="10">
        <f>MAX(BN22,$F$8)</f>
        <v/>
      </c>
    </row>
    <row r="29">
      <c r="D29" t="inlineStr">
        <is>
          <t>Operations end in period</t>
        </is>
      </c>
      <c r="E29" t="inlineStr">
        <is>
          <t>date</t>
        </is>
      </c>
      <c r="J29" s="10">
        <f>MIN(J23,$F$10)</f>
        <v/>
      </c>
      <c r="K29" s="10">
        <f>MIN(K23,$F$10)</f>
        <v/>
      </c>
      <c r="L29" s="10">
        <f>MIN(L23,$F$10)</f>
        <v/>
      </c>
      <c r="M29" s="10">
        <f>MIN(M23,$F$10)</f>
        <v/>
      </c>
      <c r="N29" s="10">
        <f>MIN(N23,$F$10)</f>
        <v/>
      </c>
      <c r="O29" s="10">
        <f>MIN(O23,$F$10)</f>
        <v/>
      </c>
      <c r="P29" s="10">
        <f>MIN(P23,$F$10)</f>
        <v/>
      </c>
      <c r="Q29" s="10">
        <f>MIN(Q23,$F$10)</f>
        <v/>
      </c>
      <c r="R29" s="10">
        <f>MIN(R23,$F$10)</f>
        <v/>
      </c>
      <c r="S29" s="10">
        <f>MIN(S23,$F$10)</f>
        <v/>
      </c>
      <c r="T29" s="10">
        <f>MIN(T23,$F$10)</f>
        <v/>
      </c>
      <c r="U29" s="10">
        <f>MIN(U23,$F$10)</f>
        <v/>
      </c>
      <c r="V29" s="10">
        <f>MIN(V23,$F$10)</f>
        <v/>
      </c>
      <c r="W29" s="10">
        <f>MIN(W23,$F$10)</f>
        <v/>
      </c>
      <c r="X29" s="10">
        <f>MIN(X23,$F$10)</f>
        <v/>
      </c>
      <c r="Y29" s="10">
        <f>MIN(Y23,$F$10)</f>
        <v/>
      </c>
      <c r="Z29" s="10">
        <f>MIN(Z23,$F$10)</f>
        <v/>
      </c>
      <c r="AA29" s="10">
        <f>MIN(AA23,$F$10)</f>
        <v/>
      </c>
      <c r="AB29" s="10">
        <f>MIN(AB23,$F$10)</f>
        <v/>
      </c>
      <c r="AC29" s="10">
        <f>MIN(AC23,$F$10)</f>
        <v/>
      </c>
      <c r="AD29" s="10">
        <f>MIN(AD23,$F$10)</f>
        <v/>
      </c>
      <c r="AE29" s="10">
        <f>MIN(AE23,$F$10)</f>
        <v/>
      </c>
      <c r="AF29" s="10">
        <f>MIN(AF23,$F$10)</f>
        <v/>
      </c>
      <c r="AG29" s="10">
        <f>MIN(AG23,$F$10)</f>
        <v/>
      </c>
      <c r="AH29" s="10">
        <f>MIN(AH23,$F$10)</f>
        <v/>
      </c>
      <c r="AI29" s="10">
        <f>MIN(AI23,$F$10)</f>
        <v/>
      </c>
      <c r="AJ29" s="10">
        <f>MIN(AJ23,$F$10)</f>
        <v/>
      </c>
      <c r="AK29" s="10">
        <f>MIN(AK23,$F$10)</f>
        <v/>
      </c>
      <c r="AL29" s="10">
        <f>MIN(AL23,$F$10)</f>
        <v/>
      </c>
      <c r="AM29" s="10">
        <f>MIN(AM23,$F$10)</f>
        <v/>
      </c>
      <c r="AN29" s="10">
        <f>MIN(AN23,$F$10)</f>
        <v/>
      </c>
      <c r="AO29" s="10">
        <f>MIN(AO23,$F$10)</f>
        <v/>
      </c>
      <c r="AP29" s="10">
        <f>MIN(AP23,$F$10)</f>
        <v/>
      </c>
      <c r="AQ29" s="10">
        <f>MIN(AQ23,$F$10)</f>
        <v/>
      </c>
      <c r="AR29" s="10">
        <f>MIN(AR23,$F$10)</f>
        <v/>
      </c>
      <c r="AS29" s="10">
        <f>MIN(AS23,$F$10)</f>
        <v/>
      </c>
      <c r="AT29" s="10">
        <f>MIN(AT23,$F$10)</f>
        <v/>
      </c>
      <c r="AU29" s="10">
        <f>MIN(AU23,$F$10)</f>
        <v/>
      </c>
      <c r="AV29" s="10">
        <f>MIN(AV23,$F$10)</f>
        <v/>
      </c>
      <c r="AW29" s="10">
        <f>MIN(AW23,$F$10)</f>
        <v/>
      </c>
      <c r="AX29" s="10">
        <f>MIN(AX23,$F$10)</f>
        <v/>
      </c>
      <c r="AY29" s="10">
        <f>MIN(AY23,$F$10)</f>
        <v/>
      </c>
      <c r="AZ29" s="10">
        <f>MIN(AZ23,$F$10)</f>
        <v/>
      </c>
      <c r="BA29" s="10">
        <f>MIN(BA23,$F$10)</f>
        <v/>
      </c>
      <c r="BB29" s="10">
        <f>MIN(BB23,$F$10)</f>
        <v/>
      </c>
      <c r="BC29" s="10">
        <f>MIN(BC23,$F$10)</f>
        <v/>
      </c>
      <c r="BD29" s="10">
        <f>MIN(BD23,$F$10)</f>
        <v/>
      </c>
      <c r="BE29" s="10">
        <f>MIN(BE23,$F$10)</f>
        <v/>
      </c>
      <c r="BF29" s="10">
        <f>MIN(BF23,$F$10)</f>
        <v/>
      </c>
      <c r="BG29" s="10">
        <f>MIN(BG23,$F$10)</f>
        <v/>
      </c>
      <c r="BH29" s="10">
        <f>MIN(BH23,$F$10)</f>
        <v/>
      </c>
      <c r="BI29" s="10">
        <f>MIN(BI23,$F$10)</f>
        <v/>
      </c>
      <c r="BJ29" s="10">
        <f>MIN(BJ23,$F$10)</f>
        <v/>
      </c>
      <c r="BK29" s="10">
        <f>MIN(BK23,$F$10)</f>
        <v/>
      </c>
      <c r="BL29" s="10">
        <f>MIN(BL23,$F$10)</f>
        <v/>
      </c>
      <c r="BM29" s="10">
        <f>MIN(BM23,$F$10)</f>
        <v/>
      </c>
      <c r="BN29" s="10">
        <f>MIN(BN23,$F$10)</f>
        <v/>
      </c>
    </row>
    <row r="30">
      <c r="D30" t="inlineStr">
        <is>
          <t>Operating months in period</t>
        </is>
      </c>
      <c r="E30" t="inlineStr">
        <is>
          <t>months</t>
        </is>
      </c>
      <c r="J30" s="9">
        <f>IF(J29&gt;=J28,(YEAR(J29)-YEAR(J28))*12+MONTH(J29)-MONTH(J28)+1,0)</f>
        <v/>
      </c>
      <c r="K30" s="9">
        <f>IF(K29&gt;=K28,(YEAR(K29)-YEAR(K28))*12+MONTH(K29)-MONTH(K28)+1,0)</f>
        <v/>
      </c>
      <c r="L30" s="9">
        <f>IF(L29&gt;=L28,(YEAR(L29)-YEAR(L28))*12+MONTH(L29)-MONTH(L28)+1,0)</f>
        <v/>
      </c>
      <c r="M30" s="9">
        <f>IF(M29&gt;=M28,(YEAR(M29)-YEAR(M28))*12+MONTH(M29)-MONTH(M28)+1,0)</f>
        <v/>
      </c>
      <c r="N30" s="9">
        <f>IF(N29&gt;=N28,(YEAR(N29)-YEAR(N28))*12+MONTH(N29)-MONTH(N28)+1,0)</f>
        <v/>
      </c>
      <c r="O30" s="9">
        <f>IF(O29&gt;=O28,(YEAR(O29)-YEAR(O28))*12+MONTH(O29)-MONTH(O28)+1,0)</f>
        <v/>
      </c>
      <c r="P30" s="9">
        <f>IF(P29&gt;=P28,(YEAR(P29)-YEAR(P28))*12+MONTH(P29)-MONTH(P28)+1,0)</f>
        <v/>
      </c>
      <c r="Q30" s="9">
        <f>IF(Q29&gt;=Q28,(YEAR(Q29)-YEAR(Q28))*12+MONTH(Q29)-MONTH(Q28)+1,0)</f>
        <v/>
      </c>
      <c r="R30" s="9">
        <f>IF(R29&gt;=R28,(YEAR(R29)-YEAR(R28))*12+MONTH(R29)-MONTH(R28)+1,0)</f>
        <v/>
      </c>
      <c r="S30" s="9">
        <f>IF(S29&gt;=S28,(YEAR(S29)-YEAR(S28))*12+MONTH(S29)-MONTH(S28)+1,0)</f>
        <v/>
      </c>
      <c r="T30" s="9">
        <f>IF(T29&gt;=T28,(YEAR(T29)-YEAR(T28))*12+MONTH(T29)-MONTH(T28)+1,0)</f>
        <v/>
      </c>
      <c r="U30" s="9">
        <f>IF(U29&gt;=U28,(YEAR(U29)-YEAR(U28))*12+MONTH(U29)-MONTH(U28)+1,0)</f>
        <v/>
      </c>
      <c r="V30" s="9">
        <f>IF(V29&gt;=V28,(YEAR(V29)-YEAR(V28))*12+MONTH(V29)-MONTH(V28)+1,0)</f>
        <v/>
      </c>
      <c r="W30" s="9">
        <f>IF(W29&gt;=W28,(YEAR(W29)-YEAR(W28))*12+MONTH(W29)-MONTH(W28)+1,0)</f>
        <v/>
      </c>
      <c r="X30" s="9">
        <f>IF(X29&gt;=X28,(YEAR(X29)-YEAR(X28))*12+MONTH(X29)-MONTH(X28)+1,0)</f>
        <v/>
      </c>
      <c r="Y30" s="9">
        <f>IF(Y29&gt;=Y28,(YEAR(Y29)-YEAR(Y28))*12+MONTH(Y29)-MONTH(Y28)+1,0)</f>
        <v/>
      </c>
      <c r="Z30" s="9">
        <f>IF(Z29&gt;=Z28,(YEAR(Z29)-YEAR(Z28))*12+MONTH(Z29)-MONTH(Z28)+1,0)</f>
        <v/>
      </c>
      <c r="AA30" s="9">
        <f>IF(AA29&gt;=AA28,(YEAR(AA29)-YEAR(AA28))*12+MONTH(AA29)-MONTH(AA28)+1,0)</f>
        <v/>
      </c>
      <c r="AB30" s="9">
        <f>IF(AB29&gt;=AB28,(YEAR(AB29)-YEAR(AB28))*12+MONTH(AB29)-MONTH(AB28)+1,0)</f>
        <v/>
      </c>
      <c r="AC30" s="9">
        <f>IF(AC29&gt;=AC28,(YEAR(AC29)-YEAR(AC28))*12+MONTH(AC29)-MONTH(AC28)+1,0)</f>
        <v/>
      </c>
      <c r="AD30" s="9">
        <f>IF(AD29&gt;=AD28,(YEAR(AD29)-YEAR(AD28))*12+MONTH(AD29)-MONTH(AD28)+1,0)</f>
        <v/>
      </c>
      <c r="AE30" s="9">
        <f>IF(AE29&gt;=AE28,(YEAR(AE29)-YEAR(AE28))*12+MONTH(AE29)-MONTH(AE28)+1,0)</f>
        <v/>
      </c>
      <c r="AF30" s="9">
        <f>IF(AF29&gt;=AF28,(YEAR(AF29)-YEAR(AF28))*12+MONTH(AF29)-MONTH(AF28)+1,0)</f>
        <v/>
      </c>
      <c r="AG30" s="9">
        <f>IF(AG29&gt;=AG28,(YEAR(AG29)-YEAR(AG28))*12+MONTH(AG29)-MONTH(AG28)+1,0)</f>
        <v/>
      </c>
      <c r="AH30" s="9">
        <f>IF(AH29&gt;=AH28,(YEAR(AH29)-YEAR(AH28))*12+MONTH(AH29)-MONTH(AH28)+1,0)</f>
        <v/>
      </c>
      <c r="AI30" s="9">
        <f>IF(AI29&gt;=AI28,(YEAR(AI29)-YEAR(AI28))*12+MONTH(AI29)-MONTH(AI28)+1,0)</f>
        <v/>
      </c>
      <c r="AJ30" s="9">
        <f>IF(AJ29&gt;=AJ28,(YEAR(AJ29)-YEAR(AJ28))*12+MONTH(AJ29)-MONTH(AJ28)+1,0)</f>
        <v/>
      </c>
      <c r="AK30" s="9">
        <f>IF(AK29&gt;=AK28,(YEAR(AK29)-YEAR(AK28))*12+MONTH(AK29)-MONTH(AK28)+1,0)</f>
        <v/>
      </c>
      <c r="AL30" s="9">
        <f>IF(AL29&gt;=AL28,(YEAR(AL29)-YEAR(AL28))*12+MONTH(AL29)-MONTH(AL28)+1,0)</f>
        <v/>
      </c>
      <c r="AM30" s="9">
        <f>IF(AM29&gt;=AM28,(YEAR(AM29)-YEAR(AM28))*12+MONTH(AM29)-MONTH(AM28)+1,0)</f>
        <v/>
      </c>
      <c r="AN30" s="9">
        <f>IF(AN29&gt;=AN28,(YEAR(AN29)-YEAR(AN28))*12+MONTH(AN29)-MONTH(AN28)+1,0)</f>
        <v/>
      </c>
      <c r="AO30" s="9">
        <f>IF(AO29&gt;=AO28,(YEAR(AO29)-YEAR(AO28))*12+MONTH(AO29)-MONTH(AO28)+1,0)</f>
        <v/>
      </c>
      <c r="AP30" s="9">
        <f>IF(AP29&gt;=AP28,(YEAR(AP29)-YEAR(AP28))*12+MONTH(AP29)-MONTH(AP28)+1,0)</f>
        <v/>
      </c>
      <c r="AQ30" s="9">
        <f>IF(AQ29&gt;=AQ28,(YEAR(AQ29)-YEAR(AQ28))*12+MONTH(AQ29)-MONTH(AQ28)+1,0)</f>
        <v/>
      </c>
      <c r="AR30" s="9">
        <f>IF(AR29&gt;=AR28,(YEAR(AR29)-YEAR(AR28))*12+MONTH(AR29)-MONTH(AR28)+1,0)</f>
        <v/>
      </c>
      <c r="AS30" s="9">
        <f>IF(AS29&gt;=AS28,(YEAR(AS29)-YEAR(AS28))*12+MONTH(AS29)-MONTH(AS28)+1,0)</f>
        <v/>
      </c>
      <c r="AT30" s="9">
        <f>IF(AT29&gt;=AT28,(YEAR(AT29)-YEAR(AT28))*12+MONTH(AT29)-MONTH(AT28)+1,0)</f>
        <v/>
      </c>
      <c r="AU30" s="9">
        <f>IF(AU29&gt;=AU28,(YEAR(AU29)-YEAR(AU28))*12+MONTH(AU29)-MONTH(AU28)+1,0)</f>
        <v/>
      </c>
      <c r="AV30" s="9">
        <f>IF(AV29&gt;=AV28,(YEAR(AV29)-YEAR(AV28))*12+MONTH(AV29)-MONTH(AV28)+1,0)</f>
        <v/>
      </c>
      <c r="AW30" s="9">
        <f>IF(AW29&gt;=AW28,(YEAR(AW29)-YEAR(AW28))*12+MONTH(AW29)-MONTH(AW28)+1,0)</f>
        <v/>
      </c>
      <c r="AX30" s="9">
        <f>IF(AX29&gt;=AX28,(YEAR(AX29)-YEAR(AX28))*12+MONTH(AX29)-MONTH(AX28)+1,0)</f>
        <v/>
      </c>
      <c r="AY30" s="9">
        <f>IF(AY29&gt;=AY28,(YEAR(AY29)-YEAR(AY28))*12+MONTH(AY29)-MONTH(AY28)+1,0)</f>
        <v/>
      </c>
      <c r="AZ30" s="9">
        <f>IF(AZ29&gt;=AZ28,(YEAR(AZ29)-YEAR(AZ28))*12+MONTH(AZ29)-MONTH(AZ28)+1,0)</f>
        <v/>
      </c>
      <c r="BA30" s="9">
        <f>IF(BA29&gt;=BA28,(YEAR(BA29)-YEAR(BA28))*12+MONTH(BA29)-MONTH(BA28)+1,0)</f>
        <v/>
      </c>
      <c r="BB30" s="9">
        <f>IF(BB29&gt;=BB28,(YEAR(BB29)-YEAR(BB28))*12+MONTH(BB29)-MONTH(BB28)+1,0)</f>
        <v/>
      </c>
      <c r="BC30" s="9">
        <f>IF(BC29&gt;=BC28,(YEAR(BC29)-YEAR(BC28))*12+MONTH(BC29)-MONTH(BC28)+1,0)</f>
        <v/>
      </c>
      <c r="BD30" s="9">
        <f>IF(BD29&gt;=BD28,(YEAR(BD29)-YEAR(BD28))*12+MONTH(BD29)-MONTH(BD28)+1,0)</f>
        <v/>
      </c>
      <c r="BE30" s="9">
        <f>IF(BE29&gt;=BE28,(YEAR(BE29)-YEAR(BE28))*12+MONTH(BE29)-MONTH(BE28)+1,0)</f>
        <v/>
      </c>
      <c r="BF30" s="9">
        <f>IF(BF29&gt;=BF28,(YEAR(BF29)-YEAR(BF28))*12+MONTH(BF29)-MONTH(BF28)+1,0)</f>
        <v/>
      </c>
      <c r="BG30" s="9">
        <f>IF(BG29&gt;=BG28,(YEAR(BG29)-YEAR(BG28))*12+MONTH(BG29)-MONTH(BG28)+1,0)</f>
        <v/>
      </c>
      <c r="BH30" s="9">
        <f>IF(BH29&gt;=BH28,(YEAR(BH29)-YEAR(BH28))*12+MONTH(BH29)-MONTH(BH28)+1,0)</f>
        <v/>
      </c>
      <c r="BI30" s="9">
        <f>IF(BI29&gt;=BI28,(YEAR(BI29)-YEAR(BI28))*12+MONTH(BI29)-MONTH(BI28)+1,0)</f>
        <v/>
      </c>
      <c r="BJ30" s="9">
        <f>IF(BJ29&gt;=BJ28,(YEAR(BJ29)-YEAR(BJ28))*12+MONTH(BJ29)-MONTH(BJ28)+1,0)</f>
        <v/>
      </c>
      <c r="BK30" s="9">
        <f>IF(BK29&gt;=BK28,(YEAR(BK29)-YEAR(BK28))*12+MONTH(BK29)-MONTH(BK28)+1,0)</f>
        <v/>
      </c>
      <c r="BL30" s="9">
        <f>IF(BL29&gt;=BL28,(YEAR(BL29)-YEAR(BL28))*12+MONTH(BL29)-MONTH(BL28)+1,0)</f>
        <v/>
      </c>
      <c r="BM30" s="9">
        <f>IF(BM29&gt;=BM28,(YEAR(BM29)-YEAR(BM28))*12+MONTH(BM29)-MONTH(BM28)+1,0)</f>
        <v/>
      </c>
      <c r="BN30" s="9">
        <f>IF(BN29&gt;=BN28,(YEAR(BN29)-YEAR(BN28))*12+MONTH(BN29)-MONTH(BN28)+1,0)</f>
        <v/>
      </c>
    </row>
    <row r="31">
      <c r="D31" t="inlineStr">
        <is>
          <t>Operating days in period</t>
        </is>
      </c>
      <c r="E31" t="inlineStr">
        <is>
          <t>days</t>
        </is>
      </c>
      <c r="J31" s="9">
        <f>IF(J29&gt;=J28,J29-J28+1,0)</f>
        <v/>
      </c>
      <c r="K31" s="9">
        <f>IF(K29&gt;=K28,K29-K28+1,0)</f>
        <v/>
      </c>
      <c r="L31" s="9">
        <f>IF(L29&gt;=L28,L29-L28+1,0)</f>
        <v/>
      </c>
      <c r="M31" s="9">
        <f>IF(M29&gt;=M28,M29-M28+1,0)</f>
        <v/>
      </c>
      <c r="N31" s="9">
        <f>IF(N29&gt;=N28,N29-N28+1,0)</f>
        <v/>
      </c>
      <c r="O31" s="9">
        <f>IF(O29&gt;=O28,O29-O28+1,0)</f>
        <v/>
      </c>
      <c r="P31" s="9">
        <f>IF(P29&gt;=P28,P29-P28+1,0)</f>
        <v/>
      </c>
      <c r="Q31" s="9">
        <f>IF(Q29&gt;=Q28,Q29-Q28+1,0)</f>
        <v/>
      </c>
      <c r="R31" s="9">
        <f>IF(R29&gt;=R28,R29-R28+1,0)</f>
        <v/>
      </c>
      <c r="S31" s="9">
        <f>IF(S29&gt;=S28,S29-S28+1,0)</f>
        <v/>
      </c>
      <c r="T31" s="9">
        <f>IF(T29&gt;=T28,T29-T28+1,0)</f>
        <v/>
      </c>
      <c r="U31" s="9">
        <f>IF(U29&gt;=U28,U29-U28+1,0)</f>
        <v/>
      </c>
      <c r="V31" s="9">
        <f>IF(V29&gt;=V28,V29-V28+1,0)</f>
        <v/>
      </c>
      <c r="W31" s="9">
        <f>IF(W29&gt;=W28,W29-W28+1,0)</f>
        <v/>
      </c>
      <c r="X31" s="9">
        <f>IF(X29&gt;=X28,X29-X28+1,0)</f>
        <v/>
      </c>
      <c r="Y31" s="9">
        <f>IF(Y29&gt;=Y28,Y29-Y28+1,0)</f>
        <v/>
      </c>
      <c r="Z31" s="9">
        <f>IF(Z29&gt;=Z28,Z29-Z28+1,0)</f>
        <v/>
      </c>
      <c r="AA31" s="9">
        <f>IF(AA29&gt;=AA28,AA29-AA28+1,0)</f>
        <v/>
      </c>
      <c r="AB31" s="9">
        <f>IF(AB29&gt;=AB28,AB29-AB28+1,0)</f>
        <v/>
      </c>
      <c r="AC31" s="9">
        <f>IF(AC29&gt;=AC28,AC29-AC28+1,0)</f>
        <v/>
      </c>
      <c r="AD31" s="9">
        <f>IF(AD29&gt;=AD28,AD29-AD28+1,0)</f>
        <v/>
      </c>
      <c r="AE31" s="9">
        <f>IF(AE29&gt;=AE28,AE29-AE28+1,0)</f>
        <v/>
      </c>
      <c r="AF31" s="9">
        <f>IF(AF29&gt;=AF28,AF29-AF28+1,0)</f>
        <v/>
      </c>
      <c r="AG31" s="9">
        <f>IF(AG29&gt;=AG28,AG29-AG28+1,0)</f>
        <v/>
      </c>
      <c r="AH31" s="9">
        <f>IF(AH29&gt;=AH28,AH29-AH28+1,0)</f>
        <v/>
      </c>
      <c r="AI31" s="9">
        <f>IF(AI29&gt;=AI28,AI29-AI28+1,0)</f>
        <v/>
      </c>
      <c r="AJ31" s="9">
        <f>IF(AJ29&gt;=AJ28,AJ29-AJ28+1,0)</f>
        <v/>
      </c>
      <c r="AK31" s="9">
        <f>IF(AK29&gt;=AK28,AK29-AK28+1,0)</f>
        <v/>
      </c>
      <c r="AL31" s="9">
        <f>IF(AL29&gt;=AL28,AL29-AL28+1,0)</f>
        <v/>
      </c>
      <c r="AM31" s="9">
        <f>IF(AM29&gt;=AM28,AM29-AM28+1,0)</f>
        <v/>
      </c>
      <c r="AN31" s="9">
        <f>IF(AN29&gt;=AN28,AN29-AN28+1,0)</f>
        <v/>
      </c>
      <c r="AO31" s="9">
        <f>IF(AO29&gt;=AO28,AO29-AO28+1,0)</f>
        <v/>
      </c>
      <c r="AP31" s="9">
        <f>IF(AP29&gt;=AP28,AP29-AP28+1,0)</f>
        <v/>
      </c>
      <c r="AQ31" s="9">
        <f>IF(AQ29&gt;=AQ28,AQ29-AQ28+1,0)</f>
        <v/>
      </c>
      <c r="AR31" s="9">
        <f>IF(AR29&gt;=AR28,AR29-AR28+1,0)</f>
        <v/>
      </c>
      <c r="AS31" s="9">
        <f>IF(AS29&gt;=AS28,AS29-AS28+1,0)</f>
        <v/>
      </c>
      <c r="AT31" s="9">
        <f>IF(AT29&gt;=AT28,AT29-AT28+1,0)</f>
        <v/>
      </c>
      <c r="AU31" s="9">
        <f>IF(AU29&gt;=AU28,AU29-AU28+1,0)</f>
        <v/>
      </c>
      <c r="AV31" s="9">
        <f>IF(AV29&gt;=AV28,AV29-AV28+1,0)</f>
        <v/>
      </c>
      <c r="AW31" s="9">
        <f>IF(AW29&gt;=AW28,AW29-AW28+1,0)</f>
        <v/>
      </c>
      <c r="AX31" s="9">
        <f>IF(AX29&gt;=AX28,AX29-AX28+1,0)</f>
        <v/>
      </c>
      <c r="AY31" s="9">
        <f>IF(AY29&gt;=AY28,AY29-AY28+1,0)</f>
        <v/>
      </c>
      <c r="AZ31" s="9">
        <f>IF(AZ29&gt;=AZ28,AZ29-AZ28+1,0)</f>
        <v/>
      </c>
      <c r="BA31" s="9">
        <f>IF(BA29&gt;=BA28,BA29-BA28+1,0)</f>
        <v/>
      </c>
      <c r="BB31" s="9">
        <f>IF(BB29&gt;=BB28,BB29-BB28+1,0)</f>
        <v/>
      </c>
      <c r="BC31" s="9">
        <f>IF(BC29&gt;=BC28,BC29-BC28+1,0)</f>
        <v/>
      </c>
      <c r="BD31" s="9">
        <f>IF(BD29&gt;=BD28,BD29-BD28+1,0)</f>
        <v/>
      </c>
      <c r="BE31" s="9">
        <f>IF(BE29&gt;=BE28,BE29-BE28+1,0)</f>
        <v/>
      </c>
      <c r="BF31" s="9">
        <f>IF(BF29&gt;=BF28,BF29-BF28+1,0)</f>
        <v/>
      </c>
      <c r="BG31" s="9">
        <f>IF(BG29&gt;=BG28,BG29-BG28+1,0)</f>
        <v/>
      </c>
      <c r="BH31" s="9">
        <f>IF(BH29&gt;=BH28,BH29-BH28+1,0)</f>
        <v/>
      </c>
      <c r="BI31" s="9">
        <f>IF(BI29&gt;=BI28,BI29-BI28+1,0)</f>
        <v/>
      </c>
      <c r="BJ31" s="9">
        <f>IF(BJ29&gt;=BJ28,BJ29-BJ28+1,0)</f>
        <v/>
      </c>
      <c r="BK31" s="9">
        <f>IF(BK29&gt;=BK28,BK29-BK28+1,0)</f>
        <v/>
      </c>
      <c r="BL31" s="9">
        <f>IF(BL29&gt;=BL28,BL29-BL28+1,0)</f>
        <v/>
      </c>
      <c r="BM31" s="9">
        <f>IF(BM29&gt;=BM28,BM29-BM28+1,0)</f>
        <v/>
      </c>
      <c r="BN31" s="9">
        <f>IF(BN29&gt;=BN28,BN29-BN28+1,0)</f>
        <v/>
      </c>
    </row>
    <row r="32">
      <c r="D32" t="inlineStr">
        <is>
          <t>Operating months elapsed at period start</t>
        </is>
      </c>
      <c r="E32" t="inlineStr">
        <is>
          <t>months</t>
        </is>
      </c>
      <c r="J32" s="9">
        <f>MIN(MAX((YEAR(J22)-YEAR($F$8))*12+MONTH(J22)-MONTH($F$8),0),$F$9)</f>
        <v/>
      </c>
      <c r="K32" s="9">
        <f>MIN(MAX((YEAR(K22)-YEAR($F$8))*12+MONTH(K22)-MONTH($F$8),0),$F$9)</f>
        <v/>
      </c>
      <c r="L32" s="9">
        <f>MIN(MAX((YEAR(L22)-YEAR($F$8))*12+MONTH(L22)-MONTH($F$8),0),$F$9)</f>
        <v/>
      </c>
      <c r="M32" s="9">
        <f>MIN(MAX((YEAR(M22)-YEAR($F$8))*12+MONTH(M22)-MONTH($F$8),0),$F$9)</f>
        <v/>
      </c>
      <c r="N32" s="9">
        <f>MIN(MAX((YEAR(N22)-YEAR($F$8))*12+MONTH(N22)-MONTH($F$8),0),$F$9)</f>
        <v/>
      </c>
      <c r="O32" s="9">
        <f>MIN(MAX((YEAR(O22)-YEAR($F$8))*12+MONTH(O22)-MONTH($F$8),0),$F$9)</f>
        <v/>
      </c>
      <c r="P32" s="9">
        <f>MIN(MAX((YEAR(P22)-YEAR($F$8))*12+MONTH(P22)-MONTH($F$8),0),$F$9)</f>
        <v/>
      </c>
      <c r="Q32" s="9">
        <f>MIN(MAX((YEAR(Q22)-YEAR($F$8))*12+MONTH(Q22)-MONTH($F$8),0),$F$9)</f>
        <v/>
      </c>
      <c r="R32" s="9">
        <f>MIN(MAX((YEAR(R22)-YEAR($F$8))*12+MONTH(R22)-MONTH($F$8),0),$F$9)</f>
        <v/>
      </c>
      <c r="S32" s="9">
        <f>MIN(MAX((YEAR(S22)-YEAR($F$8))*12+MONTH(S22)-MONTH($F$8),0),$F$9)</f>
        <v/>
      </c>
      <c r="T32" s="9">
        <f>MIN(MAX((YEAR(T22)-YEAR($F$8))*12+MONTH(T22)-MONTH($F$8),0),$F$9)</f>
        <v/>
      </c>
      <c r="U32" s="9">
        <f>MIN(MAX((YEAR(U22)-YEAR($F$8))*12+MONTH(U22)-MONTH($F$8),0),$F$9)</f>
        <v/>
      </c>
      <c r="V32" s="9">
        <f>MIN(MAX((YEAR(V22)-YEAR($F$8))*12+MONTH(V22)-MONTH($F$8),0),$F$9)</f>
        <v/>
      </c>
      <c r="W32" s="9">
        <f>MIN(MAX((YEAR(W22)-YEAR($F$8))*12+MONTH(W22)-MONTH($F$8),0),$F$9)</f>
        <v/>
      </c>
      <c r="X32" s="9">
        <f>MIN(MAX((YEAR(X22)-YEAR($F$8))*12+MONTH(X22)-MONTH($F$8),0),$F$9)</f>
        <v/>
      </c>
      <c r="Y32" s="9">
        <f>MIN(MAX((YEAR(Y22)-YEAR($F$8))*12+MONTH(Y22)-MONTH($F$8),0),$F$9)</f>
        <v/>
      </c>
      <c r="Z32" s="9">
        <f>MIN(MAX((YEAR(Z22)-YEAR($F$8))*12+MONTH(Z22)-MONTH($F$8),0),$F$9)</f>
        <v/>
      </c>
      <c r="AA32" s="9">
        <f>MIN(MAX((YEAR(AA22)-YEAR($F$8))*12+MONTH(AA22)-MONTH($F$8),0),$F$9)</f>
        <v/>
      </c>
      <c r="AB32" s="9">
        <f>MIN(MAX((YEAR(AB22)-YEAR($F$8))*12+MONTH(AB22)-MONTH($F$8),0),$F$9)</f>
        <v/>
      </c>
      <c r="AC32" s="9">
        <f>MIN(MAX((YEAR(AC22)-YEAR($F$8))*12+MONTH(AC22)-MONTH($F$8),0),$F$9)</f>
        <v/>
      </c>
      <c r="AD32" s="9">
        <f>MIN(MAX((YEAR(AD22)-YEAR($F$8))*12+MONTH(AD22)-MONTH($F$8),0),$F$9)</f>
        <v/>
      </c>
      <c r="AE32" s="9">
        <f>MIN(MAX((YEAR(AE22)-YEAR($F$8))*12+MONTH(AE22)-MONTH($F$8),0),$F$9)</f>
        <v/>
      </c>
      <c r="AF32" s="9">
        <f>MIN(MAX((YEAR(AF22)-YEAR($F$8))*12+MONTH(AF22)-MONTH($F$8),0),$F$9)</f>
        <v/>
      </c>
      <c r="AG32" s="9">
        <f>MIN(MAX((YEAR(AG22)-YEAR($F$8))*12+MONTH(AG22)-MONTH($F$8),0),$F$9)</f>
        <v/>
      </c>
      <c r="AH32" s="9">
        <f>MIN(MAX((YEAR(AH22)-YEAR($F$8))*12+MONTH(AH22)-MONTH($F$8),0),$F$9)</f>
        <v/>
      </c>
      <c r="AI32" s="9">
        <f>MIN(MAX((YEAR(AI22)-YEAR($F$8))*12+MONTH(AI22)-MONTH($F$8),0),$F$9)</f>
        <v/>
      </c>
      <c r="AJ32" s="9">
        <f>MIN(MAX((YEAR(AJ22)-YEAR($F$8))*12+MONTH(AJ22)-MONTH($F$8),0),$F$9)</f>
        <v/>
      </c>
      <c r="AK32" s="9">
        <f>MIN(MAX((YEAR(AK22)-YEAR($F$8))*12+MONTH(AK22)-MONTH($F$8),0),$F$9)</f>
        <v/>
      </c>
      <c r="AL32" s="9">
        <f>MIN(MAX((YEAR(AL22)-YEAR($F$8))*12+MONTH(AL22)-MONTH($F$8),0),$F$9)</f>
        <v/>
      </c>
      <c r="AM32" s="9">
        <f>MIN(MAX((YEAR(AM22)-YEAR($F$8))*12+MONTH(AM22)-MONTH($F$8),0),$F$9)</f>
        <v/>
      </c>
      <c r="AN32" s="9">
        <f>MIN(MAX((YEAR(AN22)-YEAR($F$8))*12+MONTH(AN22)-MONTH($F$8),0),$F$9)</f>
        <v/>
      </c>
      <c r="AO32" s="9">
        <f>MIN(MAX((YEAR(AO22)-YEAR($F$8))*12+MONTH(AO22)-MONTH($F$8),0),$F$9)</f>
        <v/>
      </c>
      <c r="AP32" s="9">
        <f>MIN(MAX((YEAR(AP22)-YEAR($F$8))*12+MONTH(AP22)-MONTH($F$8),0),$F$9)</f>
        <v/>
      </c>
      <c r="AQ32" s="9">
        <f>MIN(MAX((YEAR(AQ22)-YEAR($F$8))*12+MONTH(AQ22)-MONTH($F$8),0),$F$9)</f>
        <v/>
      </c>
      <c r="AR32" s="9">
        <f>MIN(MAX((YEAR(AR22)-YEAR($F$8))*12+MONTH(AR22)-MONTH($F$8),0),$F$9)</f>
        <v/>
      </c>
      <c r="AS32" s="9">
        <f>MIN(MAX((YEAR(AS22)-YEAR($F$8))*12+MONTH(AS22)-MONTH($F$8),0),$F$9)</f>
        <v/>
      </c>
      <c r="AT32" s="9">
        <f>MIN(MAX((YEAR(AT22)-YEAR($F$8))*12+MONTH(AT22)-MONTH($F$8),0),$F$9)</f>
        <v/>
      </c>
      <c r="AU32" s="9">
        <f>MIN(MAX((YEAR(AU22)-YEAR($F$8))*12+MONTH(AU22)-MONTH($F$8),0),$F$9)</f>
        <v/>
      </c>
      <c r="AV32" s="9">
        <f>MIN(MAX((YEAR(AV22)-YEAR($F$8))*12+MONTH(AV22)-MONTH($F$8),0),$F$9)</f>
        <v/>
      </c>
      <c r="AW32" s="9">
        <f>MIN(MAX((YEAR(AW22)-YEAR($F$8))*12+MONTH(AW22)-MONTH($F$8),0),$F$9)</f>
        <v/>
      </c>
      <c r="AX32" s="9">
        <f>MIN(MAX((YEAR(AX22)-YEAR($F$8))*12+MONTH(AX22)-MONTH($F$8),0),$F$9)</f>
        <v/>
      </c>
      <c r="AY32" s="9">
        <f>MIN(MAX((YEAR(AY22)-YEAR($F$8))*12+MONTH(AY22)-MONTH($F$8),0),$F$9)</f>
        <v/>
      </c>
      <c r="AZ32" s="9">
        <f>MIN(MAX((YEAR(AZ22)-YEAR($F$8))*12+MONTH(AZ22)-MONTH($F$8),0),$F$9)</f>
        <v/>
      </c>
      <c r="BA32" s="9">
        <f>MIN(MAX((YEAR(BA22)-YEAR($F$8))*12+MONTH(BA22)-MONTH($F$8),0),$F$9)</f>
        <v/>
      </c>
      <c r="BB32" s="9">
        <f>MIN(MAX((YEAR(BB22)-YEAR($F$8))*12+MONTH(BB22)-MONTH($F$8),0),$F$9)</f>
        <v/>
      </c>
      <c r="BC32" s="9">
        <f>MIN(MAX((YEAR(BC22)-YEAR($F$8))*12+MONTH(BC22)-MONTH($F$8),0),$F$9)</f>
        <v/>
      </c>
      <c r="BD32" s="9">
        <f>MIN(MAX((YEAR(BD22)-YEAR($F$8))*12+MONTH(BD22)-MONTH($F$8),0),$F$9)</f>
        <v/>
      </c>
      <c r="BE32" s="9">
        <f>MIN(MAX((YEAR(BE22)-YEAR($F$8))*12+MONTH(BE22)-MONTH($F$8),0),$F$9)</f>
        <v/>
      </c>
      <c r="BF32" s="9">
        <f>MIN(MAX((YEAR(BF22)-YEAR($F$8))*12+MONTH(BF22)-MONTH($F$8),0),$F$9)</f>
        <v/>
      </c>
      <c r="BG32" s="9">
        <f>MIN(MAX((YEAR(BG22)-YEAR($F$8))*12+MONTH(BG22)-MONTH($F$8),0),$F$9)</f>
        <v/>
      </c>
      <c r="BH32" s="9">
        <f>MIN(MAX((YEAR(BH22)-YEAR($F$8))*12+MONTH(BH22)-MONTH($F$8),0),$F$9)</f>
        <v/>
      </c>
      <c r="BI32" s="9">
        <f>MIN(MAX((YEAR(BI22)-YEAR($F$8))*12+MONTH(BI22)-MONTH($F$8),0),$F$9)</f>
        <v/>
      </c>
      <c r="BJ32" s="9">
        <f>MIN(MAX((YEAR(BJ22)-YEAR($F$8))*12+MONTH(BJ22)-MONTH($F$8),0),$F$9)</f>
        <v/>
      </c>
      <c r="BK32" s="9">
        <f>MIN(MAX((YEAR(BK22)-YEAR($F$8))*12+MONTH(BK22)-MONTH($F$8),0),$F$9)</f>
        <v/>
      </c>
      <c r="BL32" s="9">
        <f>MIN(MAX((YEAR(BL22)-YEAR($F$8))*12+MONTH(BL22)-MONTH($F$8),0),$F$9)</f>
        <v/>
      </c>
      <c r="BM32" s="9">
        <f>MIN(MAX((YEAR(BM22)-YEAR($F$8))*12+MONTH(BM22)-MONTH($F$8),0),$F$9)</f>
        <v/>
      </c>
      <c r="BN32" s="9">
        <f>MIN(MAX((YEAR(BN22)-YEAR($F$8))*12+MONTH(BN22)-MONTH($F$8),0),$F$9)</f>
        <v/>
      </c>
    </row>
    <row r="33">
      <c r="D33" t="inlineStr">
        <is>
          <t>Operating months elapsed at period end</t>
        </is>
      </c>
      <c r="E33" t="inlineStr">
        <is>
          <t>months</t>
        </is>
      </c>
      <c r="J33" s="9">
        <f>J32+J30</f>
        <v/>
      </c>
      <c r="K33" s="9">
        <f>K32+K30</f>
        <v/>
      </c>
      <c r="L33" s="9">
        <f>L32+L30</f>
        <v/>
      </c>
      <c r="M33" s="9">
        <f>M32+M30</f>
        <v/>
      </c>
      <c r="N33" s="9">
        <f>N32+N30</f>
        <v/>
      </c>
      <c r="O33" s="9">
        <f>O32+O30</f>
        <v/>
      </c>
      <c r="P33" s="9">
        <f>P32+P30</f>
        <v/>
      </c>
      <c r="Q33" s="9">
        <f>Q32+Q30</f>
        <v/>
      </c>
      <c r="R33" s="9">
        <f>R32+R30</f>
        <v/>
      </c>
      <c r="S33" s="9">
        <f>S32+S30</f>
        <v/>
      </c>
      <c r="T33" s="9">
        <f>T32+T30</f>
        <v/>
      </c>
      <c r="U33" s="9">
        <f>U32+U30</f>
        <v/>
      </c>
      <c r="V33" s="9">
        <f>V32+V30</f>
        <v/>
      </c>
      <c r="W33" s="9">
        <f>W32+W30</f>
        <v/>
      </c>
      <c r="X33" s="9">
        <f>X32+X30</f>
        <v/>
      </c>
      <c r="Y33" s="9">
        <f>Y32+Y30</f>
        <v/>
      </c>
      <c r="Z33" s="9">
        <f>Z32+Z30</f>
        <v/>
      </c>
      <c r="AA33" s="9">
        <f>AA32+AA30</f>
        <v/>
      </c>
      <c r="AB33" s="9">
        <f>AB32+AB30</f>
        <v/>
      </c>
      <c r="AC33" s="9">
        <f>AC32+AC30</f>
        <v/>
      </c>
      <c r="AD33" s="9">
        <f>AD32+AD30</f>
        <v/>
      </c>
      <c r="AE33" s="9">
        <f>AE32+AE30</f>
        <v/>
      </c>
      <c r="AF33" s="9">
        <f>AF32+AF30</f>
        <v/>
      </c>
      <c r="AG33" s="9">
        <f>AG32+AG30</f>
        <v/>
      </c>
      <c r="AH33" s="9">
        <f>AH32+AH30</f>
        <v/>
      </c>
      <c r="AI33" s="9">
        <f>AI32+AI30</f>
        <v/>
      </c>
      <c r="AJ33" s="9">
        <f>AJ32+AJ30</f>
        <v/>
      </c>
      <c r="AK33" s="9">
        <f>AK32+AK30</f>
        <v/>
      </c>
      <c r="AL33" s="9">
        <f>AL32+AL30</f>
        <v/>
      </c>
      <c r="AM33" s="9">
        <f>AM32+AM30</f>
        <v/>
      </c>
      <c r="AN33" s="9">
        <f>AN32+AN30</f>
        <v/>
      </c>
      <c r="AO33" s="9">
        <f>AO32+AO30</f>
        <v/>
      </c>
      <c r="AP33" s="9">
        <f>AP32+AP30</f>
        <v/>
      </c>
      <c r="AQ33" s="9">
        <f>AQ32+AQ30</f>
        <v/>
      </c>
      <c r="AR33" s="9">
        <f>AR32+AR30</f>
        <v/>
      </c>
      <c r="AS33" s="9">
        <f>AS32+AS30</f>
        <v/>
      </c>
      <c r="AT33" s="9">
        <f>AT32+AT30</f>
        <v/>
      </c>
      <c r="AU33" s="9">
        <f>AU32+AU30</f>
        <v/>
      </c>
      <c r="AV33" s="9">
        <f>AV32+AV30</f>
        <v/>
      </c>
      <c r="AW33" s="9">
        <f>AW32+AW30</f>
        <v/>
      </c>
      <c r="AX33" s="9">
        <f>AX32+AX30</f>
        <v/>
      </c>
      <c r="AY33" s="9">
        <f>AY32+AY30</f>
        <v/>
      </c>
      <c r="AZ33" s="9">
        <f>AZ32+AZ30</f>
        <v/>
      </c>
      <c r="BA33" s="9">
        <f>BA32+BA30</f>
        <v/>
      </c>
      <c r="BB33" s="9">
        <f>BB32+BB30</f>
        <v/>
      </c>
      <c r="BC33" s="9">
        <f>BC32+BC30</f>
        <v/>
      </c>
      <c r="BD33" s="9">
        <f>BD32+BD30</f>
        <v/>
      </c>
      <c r="BE33" s="9">
        <f>BE32+BE30</f>
        <v/>
      </c>
      <c r="BF33" s="9">
        <f>BF32+BF30</f>
        <v/>
      </c>
      <c r="BG33" s="9">
        <f>BG32+BG30</f>
        <v/>
      </c>
      <c r="BH33" s="9">
        <f>BH32+BH30</f>
        <v/>
      </c>
      <c r="BI33" s="9">
        <f>BI32+BI30</f>
        <v/>
      </c>
      <c r="BJ33" s="9">
        <f>BJ32+BJ30</f>
        <v/>
      </c>
      <c r="BK33" s="9">
        <f>BK32+BK30</f>
        <v/>
      </c>
      <c r="BL33" s="9">
        <f>BL32+BL30</f>
        <v/>
      </c>
      <c r="BM33" s="9">
        <f>BM32+BM30</f>
        <v/>
      </c>
      <c r="BN33" s="9">
        <f>BN32+BN30</f>
        <v/>
      </c>
    </row>
    <row r="34">
      <c r="D34" t="inlineStr">
        <is>
          <t>Flag_CODPeriod</t>
        </is>
      </c>
      <c r="E34" t="inlineStr">
        <is>
          <t>flag</t>
        </is>
      </c>
      <c r="J34" s="9">
        <f>IF(J20=$F$12,1,0)</f>
        <v/>
      </c>
      <c r="K34" s="9">
        <f>IF(K20=$F$12,1,0)</f>
        <v/>
      </c>
      <c r="L34" s="9">
        <f>IF(L20=$F$12,1,0)</f>
        <v/>
      </c>
      <c r="M34" s="9">
        <f>IF(M20=$F$12,1,0)</f>
        <v/>
      </c>
      <c r="N34" s="9">
        <f>IF(N20=$F$12,1,0)</f>
        <v/>
      </c>
      <c r="O34" s="9">
        <f>IF(O20=$F$12,1,0)</f>
        <v/>
      </c>
      <c r="P34" s="9">
        <f>IF(P20=$F$12,1,0)</f>
        <v/>
      </c>
      <c r="Q34" s="9">
        <f>IF(Q20=$F$12,1,0)</f>
        <v/>
      </c>
      <c r="R34" s="9">
        <f>IF(R20=$F$12,1,0)</f>
        <v/>
      </c>
      <c r="S34" s="9">
        <f>IF(S20=$F$12,1,0)</f>
        <v/>
      </c>
      <c r="T34" s="9">
        <f>IF(T20=$F$12,1,0)</f>
        <v/>
      </c>
      <c r="U34" s="9">
        <f>IF(U20=$F$12,1,0)</f>
        <v/>
      </c>
      <c r="V34" s="9">
        <f>IF(V20=$F$12,1,0)</f>
        <v/>
      </c>
      <c r="W34" s="9">
        <f>IF(W20=$F$12,1,0)</f>
        <v/>
      </c>
      <c r="X34" s="9">
        <f>IF(X20=$F$12,1,0)</f>
        <v/>
      </c>
      <c r="Y34" s="9">
        <f>IF(Y20=$F$12,1,0)</f>
        <v/>
      </c>
      <c r="Z34" s="9">
        <f>IF(Z20=$F$12,1,0)</f>
        <v/>
      </c>
      <c r="AA34" s="9">
        <f>IF(AA20=$F$12,1,0)</f>
        <v/>
      </c>
      <c r="AB34" s="9">
        <f>IF(AB20=$F$12,1,0)</f>
        <v/>
      </c>
      <c r="AC34" s="9">
        <f>IF(AC20=$F$12,1,0)</f>
        <v/>
      </c>
      <c r="AD34" s="9">
        <f>IF(AD20=$F$12,1,0)</f>
        <v/>
      </c>
      <c r="AE34" s="9">
        <f>IF(AE20=$F$12,1,0)</f>
        <v/>
      </c>
      <c r="AF34" s="9">
        <f>IF(AF20=$F$12,1,0)</f>
        <v/>
      </c>
      <c r="AG34" s="9">
        <f>IF(AG20=$F$12,1,0)</f>
        <v/>
      </c>
      <c r="AH34" s="9">
        <f>IF(AH20=$F$12,1,0)</f>
        <v/>
      </c>
      <c r="AI34" s="9">
        <f>IF(AI20=$F$12,1,0)</f>
        <v/>
      </c>
      <c r="AJ34" s="9">
        <f>IF(AJ20=$F$12,1,0)</f>
        <v/>
      </c>
      <c r="AK34" s="9">
        <f>IF(AK20=$F$12,1,0)</f>
        <v/>
      </c>
      <c r="AL34" s="9">
        <f>IF(AL20=$F$12,1,0)</f>
        <v/>
      </c>
      <c r="AM34" s="9">
        <f>IF(AM20=$F$12,1,0)</f>
        <v/>
      </c>
      <c r="AN34" s="9">
        <f>IF(AN20=$F$12,1,0)</f>
        <v/>
      </c>
      <c r="AO34" s="9">
        <f>IF(AO20=$F$12,1,0)</f>
        <v/>
      </c>
      <c r="AP34" s="9">
        <f>IF(AP20=$F$12,1,0)</f>
        <v/>
      </c>
      <c r="AQ34" s="9">
        <f>IF(AQ20=$F$12,1,0)</f>
        <v/>
      </c>
      <c r="AR34" s="9">
        <f>IF(AR20=$F$12,1,0)</f>
        <v/>
      </c>
      <c r="AS34" s="9">
        <f>IF(AS20=$F$12,1,0)</f>
        <v/>
      </c>
      <c r="AT34" s="9">
        <f>IF(AT20=$F$12,1,0)</f>
        <v/>
      </c>
      <c r="AU34" s="9">
        <f>IF(AU20=$F$12,1,0)</f>
        <v/>
      </c>
      <c r="AV34" s="9">
        <f>IF(AV20=$F$12,1,0)</f>
        <v/>
      </c>
      <c r="AW34" s="9">
        <f>IF(AW20=$F$12,1,0)</f>
        <v/>
      </c>
      <c r="AX34" s="9">
        <f>IF(AX20=$F$12,1,0)</f>
        <v/>
      </c>
      <c r="AY34" s="9">
        <f>IF(AY20=$F$12,1,0)</f>
        <v/>
      </c>
      <c r="AZ34" s="9">
        <f>IF(AZ20=$F$12,1,0)</f>
        <v/>
      </c>
      <c r="BA34" s="9">
        <f>IF(BA20=$F$12,1,0)</f>
        <v/>
      </c>
      <c r="BB34" s="9">
        <f>IF(BB20=$F$12,1,0)</f>
        <v/>
      </c>
      <c r="BC34" s="9">
        <f>IF(BC20=$F$12,1,0)</f>
        <v/>
      </c>
      <c r="BD34" s="9">
        <f>IF(BD20=$F$12,1,0)</f>
        <v/>
      </c>
      <c r="BE34" s="9">
        <f>IF(BE20=$F$12,1,0)</f>
        <v/>
      </c>
      <c r="BF34" s="9">
        <f>IF(BF20=$F$12,1,0)</f>
        <v/>
      </c>
      <c r="BG34" s="9">
        <f>IF(BG20=$F$12,1,0)</f>
        <v/>
      </c>
      <c r="BH34" s="9">
        <f>IF(BH20=$F$12,1,0)</f>
        <v/>
      </c>
      <c r="BI34" s="9">
        <f>IF(BI20=$F$12,1,0)</f>
        <v/>
      </c>
      <c r="BJ34" s="9">
        <f>IF(BJ20=$F$12,1,0)</f>
        <v/>
      </c>
      <c r="BK34" s="9">
        <f>IF(BK20=$F$12,1,0)</f>
        <v/>
      </c>
      <c r="BL34" s="9">
        <f>IF(BL20=$F$12,1,0)</f>
        <v/>
      </c>
      <c r="BM34" s="9">
        <f>IF(BM20=$F$12,1,0)</f>
        <v/>
      </c>
      <c r="BN34" s="9">
        <f>IF(BN20=$F$12,1,0)</f>
        <v/>
      </c>
    </row>
    <row r="35">
      <c r="D35" t="inlineStr">
        <is>
          <t>Flag_DebtService (after COD period)</t>
        </is>
      </c>
      <c r="E35" t="inlineStr">
        <is>
          <t>flag</t>
        </is>
      </c>
      <c r="J35" s="9">
        <f>IF(J20&gt;$F$12,1,0)</f>
        <v/>
      </c>
      <c r="K35" s="9">
        <f>IF(K20&gt;$F$12,1,0)</f>
        <v/>
      </c>
      <c r="L35" s="9">
        <f>IF(L20&gt;$F$12,1,0)</f>
        <v/>
      </c>
      <c r="M35" s="9">
        <f>IF(M20&gt;$F$12,1,0)</f>
        <v/>
      </c>
      <c r="N35" s="9">
        <f>IF(N20&gt;$F$12,1,0)</f>
        <v/>
      </c>
      <c r="O35" s="9">
        <f>IF(O20&gt;$F$12,1,0)</f>
        <v/>
      </c>
      <c r="P35" s="9">
        <f>IF(P20&gt;$F$12,1,0)</f>
        <v/>
      </c>
      <c r="Q35" s="9">
        <f>IF(Q20&gt;$F$12,1,0)</f>
        <v/>
      </c>
      <c r="R35" s="9">
        <f>IF(R20&gt;$F$12,1,0)</f>
        <v/>
      </c>
      <c r="S35" s="9">
        <f>IF(S20&gt;$F$12,1,0)</f>
        <v/>
      </c>
      <c r="T35" s="9">
        <f>IF(T20&gt;$F$12,1,0)</f>
        <v/>
      </c>
      <c r="U35" s="9">
        <f>IF(U20&gt;$F$12,1,0)</f>
        <v/>
      </c>
      <c r="V35" s="9">
        <f>IF(V20&gt;$F$12,1,0)</f>
        <v/>
      </c>
      <c r="W35" s="9">
        <f>IF(W20&gt;$F$12,1,0)</f>
        <v/>
      </c>
      <c r="X35" s="9">
        <f>IF(X20&gt;$F$12,1,0)</f>
        <v/>
      </c>
      <c r="Y35" s="9">
        <f>IF(Y20&gt;$F$12,1,0)</f>
        <v/>
      </c>
      <c r="Z35" s="9">
        <f>IF(Z20&gt;$F$12,1,0)</f>
        <v/>
      </c>
      <c r="AA35" s="9">
        <f>IF(AA20&gt;$F$12,1,0)</f>
        <v/>
      </c>
      <c r="AB35" s="9">
        <f>IF(AB20&gt;$F$12,1,0)</f>
        <v/>
      </c>
      <c r="AC35" s="9">
        <f>IF(AC20&gt;$F$12,1,0)</f>
        <v/>
      </c>
      <c r="AD35" s="9">
        <f>IF(AD20&gt;$F$12,1,0)</f>
        <v/>
      </c>
      <c r="AE35" s="9">
        <f>IF(AE20&gt;$F$12,1,0)</f>
        <v/>
      </c>
      <c r="AF35" s="9">
        <f>IF(AF20&gt;$F$12,1,0)</f>
        <v/>
      </c>
      <c r="AG35" s="9">
        <f>IF(AG20&gt;$F$12,1,0)</f>
        <v/>
      </c>
      <c r="AH35" s="9">
        <f>IF(AH20&gt;$F$12,1,0)</f>
        <v/>
      </c>
      <c r="AI35" s="9">
        <f>IF(AI20&gt;$F$12,1,0)</f>
        <v/>
      </c>
      <c r="AJ35" s="9">
        <f>IF(AJ20&gt;$F$12,1,0)</f>
        <v/>
      </c>
      <c r="AK35" s="9">
        <f>IF(AK20&gt;$F$12,1,0)</f>
        <v/>
      </c>
      <c r="AL35" s="9">
        <f>IF(AL20&gt;$F$12,1,0)</f>
        <v/>
      </c>
      <c r="AM35" s="9">
        <f>IF(AM20&gt;$F$12,1,0)</f>
        <v/>
      </c>
      <c r="AN35" s="9">
        <f>IF(AN20&gt;$F$12,1,0)</f>
        <v/>
      </c>
      <c r="AO35" s="9">
        <f>IF(AO20&gt;$F$12,1,0)</f>
        <v/>
      </c>
      <c r="AP35" s="9">
        <f>IF(AP20&gt;$F$12,1,0)</f>
        <v/>
      </c>
      <c r="AQ35" s="9">
        <f>IF(AQ20&gt;$F$12,1,0)</f>
        <v/>
      </c>
      <c r="AR35" s="9">
        <f>IF(AR20&gt;$F$12,1,0)</f>
        <v/>
      </c>
      <c r="AS35" s="9">
        <f>IF(AS20&gt;$F$12,1,0)</f>
        <v/>
      </c>
      <c r="AT35" s="9">
        <f>IF(AT20&gt;$F$12,1,0)</f>
        <v/>
      </c>
      <c r="AU35" s="9">
        <f>IF(AU20&gt;$F$12,1,0)</f>
        <v/>
      </c>
      <c r="AV35" s="9">
        <f>IF(AV20&gt;$F$12,1,0)</f>
        <v/>
      </c>
      <c r="AW35" s="9">
        <f>IF(AW20&gt;$F$12,1,0)</f>
        <v/>
      </c>
      <c r="AX35" s="9">
        <f>IF(AX20&gt;$F$12,1,0)</f>
        <v/>
      </c>
      <c r="AY35" s="9">
        <f>IF(AY20&gt;$F$12,1,0)</f>
        <v/>
      </c>
      <c r="AZ35" s="9">
        <f>IF(AZ20&gt;$F$12,1,0)</f>
        <v/>
      </c>
      <c r="BA35" s="9">
        <f>IF(BA20&gt;$F$12,1,0)</f>
        <v/>
      </c>
      <c r="BB35" s="9">
        <f>IF(BB20&gt;$F$12,1,0)</f>
        <v/>
      </c>
      <c r="BC35" s="9">
        <f>IF(BC20&gt;$F$12,1,0)</f>
        <v/>
      </c>
      <c r="BD35" s="9">
        <f>IF(BD20&gt;$F$12,1,0)</f>
        <v/>
      </c>
      <c r="BE35" s="9">
        <f>IF(BE20&gt;$F$12,1,0)</f>
        <v/>
      </c>
      <c r="BF35" s="9">
        <f>IF(BF20&gt;$F$12,1,0)</f>
        <v/>
      </c>
      <c r="BG35" s="9">
        <f>IF(BG20&gt;$F$12,1,0)</f>
        <v/>
      </c>
      <c r="BH35" s="9">
        <f>IF(BH20&gt;$F$12,1,0)</f>
        <v/>
      </c>
      <c r="BI35" s="9">
        <f>IF(BI20&gt;$F$12,1,0)</f>
        <v/>
      </c>
      <c r="BJ35" s="9">
        <f>IF(BJ20&gt;$F$12,1,0)</f>
        <v/>
      </c>
      <c r="BK35" s="9">
        <f>IF(BK20&gt;$F$12,1,0)</f>
        <v/>
      </c>
      <c r="BL35" s="9">
        <f>IF(BL20&gt;$F$12,1,0)</f>
        <v/>
      </c>
      <c r="BM35" s="9">
        <f>IF(BM20&gt;$F$12,1,0)</f>
        <v/>
      </c>
      <c r="BN35" s="9">
        <f>IF(BN20&gt;$F$12,1,0)</f>
        <v/>
      </c>
    </row>
    <row r="36">
      <c r="D36" t="inlineStr">
        <is>
          <t>Flag_Operations</t>
        </is>
      </c>
      <c r="E36" t="inlineStr">
        <is>
          <t>flag</t>
        </is>
      </c>
      <c r="J36" s="9">
        <f>IF(J30&gt;0,1,0)</f>
        <v/>
      </c>
      <c r="K36" s="9">
        <f>IF(K30&gt;0,1,0)</f>
        <v/>
      </c>
      <c r="L36" s="9">
        <f>IF(L30&gt;0,1,0)</f>
        <v/>
      </c>
      <c r="M36" s="9">
        <f>IF(M30&gt;0,1,0)</f>
        <v/>
      </c>
      <c r="N36" s="9">
        <f>IF(N30&gt;0,1,0)</f>
        <v/>
      </c>
      <c r="O36" s="9">
        <f>IF(O30&gt;0,1,0)</f>
        <v/>
      </c>
      <c r="P36" s="9">
        <f>IF(P30&gt;0,1,0)</f>
        <v/>
      </c>
      <c r="Q36" s="9">
        <f>IF(Q30&gt;0,1,0)</f>
        <v/>
      </c>
      <c r="R36" s="9">
        <f>IF(R30&gt;0,1,0)</f>
        <v/>
      </c>
      <c r="S36" s="9">
        <f>IF(S30&gt;0,1,0)</f>
        <v/>
      </c>
      <c r="T36" s="9">
        <f>IF(T30&gt;0,1,0)</f>
        <v/>
      </c>
      <c r="U36" s="9">
        <f>IF(U30&gt;0,1,0)</f>
        <v/>
      </c>
      <c r="V36" s="9">
        <f>IF(V30&gt;0,1,0)</f>
        <v/>
      </c>
      <c r="W36" s="9">
        <f>IF(W30&gt;0,1,0)</f>
        <v/>
      </c>
      <c r="X36" s="9">
        <f>IF(X30&gt;0,1,0)</f>
        <v/>
      </c>
      <c r="Y36" s="9">
        <f>IF(Y30&gt;0,1,0)</f>
        <v/>
      </c>
      <c r="Z36" s="9">
        <f>IF(Z30&gt;0,1,0)</f>
        <v/>
      </c>
      <c r="AA36" s="9">
        <f>IF(AA30&gt;0,1,0)</f>
        <v/>
      </c>
      <c r="AB36" s="9">
        <f>IF(AB30&gt;0,1,0)</f>
        <v/>
      </c>
      <c r="AC36" s="9">
        <f>IF(AC30&gt;0,1,0)</f>
        <v/>
      </c>
      <c r="AD36" s="9">
        <f>IF(AD30&gt;0,1,0)</f>
        <v/>
      </c>
      <c r="AE36" s="9">
        <f>IF(AE30&gt;0,1,0)</f>
        <v/>
      </c>
      <c r="AF36" s="9">
        <f>IF(AF30&gt;0,1,0)</f>
        <v/>
      </c>
      <c r="AG36" s="9">
        <f>IF(AG30&gt;0,1,0)</f>
        <v/>
      </c>
      <c r="AH36" s="9">
        <f>IF(AH30&gt;0,1,0)</f>
        <v/>
      </c>
      <c r="AI36" s="9">
        <f>IF(AI30&gt;0,1,0)</f>
        <v/>
      </c>
      <c r="AJ36" s="9">
        <f>IF(AJ30&gt;0,1,0)</f>
        <v/>
      </c>
      <c r="AK36" s="9">
        <f>IF(AK30&gt;0,1,0)</f>
        <v/>
      </c>
      <c r="AL36" s="9">
        <f>IF(AL30&gt;0,1,0)</f>
        <v/>
      </c>
      <c r="AM36" s="9">
        <f>IF(AM30&gt;0,1,0)</f>
        <v/>
      </c>
      <c r="AN36" s="9">
        <f>IF(AN30&gt;0,1,0)</f>
        <v/>
      </c>
      <c r="AO36" s="9">
        <f>IF(AO30&gt;0,1,0)</f>
        <v/>
      </c>
      <c r="AP36" s="9">
        <f>IF(AP30&gt;0,1,0)</f>
        <v/>
      </c>
      <c r="AQ36" s="9">
        <f>IF(AQ30&gt;0,1,0)</f>
        <v/>
      </c>
      <c r="AR36" s="9">
        <f>IF(AR30&gt;0,1,0)</f>
        <v/>
      </c>
      <c r="AS36" s="9">
        <f>IF(AS30&gt;0,1,0)</f>
        <v/>
      </c>
      <c r="AT36" s="9">
        <f>IF(AT30&gt;0,1,0)</f>
        <v/>
      </c>
      <c r="AU36" s="9">
        <f>IF(AU30&gt;0,1,0)</f>
        <v/>
      </c>
      <c r="AV36" s="9">
        <f>IF(AV30&gt;0,1,0)</f>
        <v/>
      </c>
      <c r="AW36" s="9">
        <f>IF(AW30&gt;0,1,0)</f>
        <v/>
      </c>
      <c r="AX36" s="9">
        <f>IF(AX30&gt;0,1,0)</f>
        <v/>
      </c>
      <c r="AY36" s="9">
        <f>IF(AY30&gt;0,1,0)</f>
        <v/>
      </c>
      <c r="AZ36" s="9">
        <f>IF(AZ30&gt;0,1,0)</f>
        <v/>
      </c>
      <c r="BA36" s="9">
        <f>IF(BA30&gt;0,1,0)</f>
        <v/>
      </c>
      <c r="BB36" s="9">
        <f>IF(BB30&gt;0,1,0)</f>
        <v/>
      </c>
      <c r="BC36" s="9">
        <f>IF(BC30&gt;0,1,0)</f>
        <v/>
      </c>
      <c r="BD36" s="9">
        <f>IF(BD30&gt;0,1,0)</f>
        <v/>
      </c>
      <c r="BE36" s="9">
        <f>IF(BE30&gt;0,1,0)</f>
        <v/>
      </c>
      <c r="BF36" s="9">
        <f>IF(BF30&gt;0,1,0)</f>
        <v/>
      </c>
      <c r="BG36" s="9">
        <f>IF(BG30&gt;0,1,0)</f>
        <v/>
      </c>
      <c r="BH36" s="9">
        <f>IF(BH30&gt;0,1,0)</f>
        <v/>
      </c>
      <c r="BI36" s="9">
        <f>IF(BI30&gt;0,1,0)</f>
        <v/>
      </c>
      <c r="BJ36" s="9">
        <f>IF(BJ30&gt;0,1,0)</f>
        <v/>
      </c>
      <c r="BK36" s="9">
        <f>IF(BK30&gt;0,1,0)</f>
        <v/>
      </c>
      <c r="BL36" s="9">
        <f>IF(BL30&gt;0,1,0)</f>
        <v/>
      </c>
      <c r="BM36" s="9">
        <f>IF(BM30&gt;0,1,0)</f>
        <v/>
      </c>
      <c r="BN36" s="9">
        <f>IF(BN30&gt;0,1,0)</f>
        <v/>
      </c>
    </row>
    <row r="37">
      <c r="D37" t="inlineStr">
        <is>
          <t>Flag_LastOperatingPeriod</t>
        </is>
      </c>
      <c r="E37" t="inlineStr">
        <is>
          <t>flag</t>
        </is>
      </c>
      <c r="J37" s="9">
        <f>IF(AND(J30&gt;0,K30=0),1,0)</f>
        <v/>
      </c>
      <c r="K37" s="9">
        <f>IF(AND(K30&gt;0,L30=0),1,0)</f>
        <v/>
      </c>
      <c r="L37" s="9">
        <f>IF(AND(L30&gt;0,M30=0),1,0)</f>
        <v/>
      </c>
      <c r="M37" s="9">
        <f>IF(AND(M30&gt;0,N30=0),1,0)</f>
        <v/>
      </c>
      <c r="N37" s="9">
        <f>IF(AND(N30&gt;0,O30=0),1,0)</f>
        <v/>
      </c>
      <c r="O37" s="9">
        <f>IF(AND(O30&gt;0,P30=0),1,0)</f>
        <v/>
      </c>
      <c r="P37" s="9">
        <f>IF(AND(P30&gt;0,Q30=0),1,0)</f>
        <v/>
      </c>
      <c r="Q37" s="9">
        <f>IF(AND(Q30&gt;0,R30=0),1,0)</f>
        <v/>
      </c>
      <c r="R37" s="9">
        <f>IF(AND(R30&gt;0,S30=0),1,0)</f>
        <v/>
      </c>
      <c r="S37" s="9">
        <f>IF(AND(S30&gt;0,T30=0),1,0)</f>
        <v/>
      </c>
      <c r="T37" s="9">
        <f>IF(AND(T30&gt;0,U30=0),1,0)</f>
        <v/>
      </c>
      <c r="U37" s="9">
        <f>IF(AND(U30&gt;0,V30=0),1,0)</f>
        <v/>
      </c>
      <c r="V37" s="9">
        <f>IF(AND(V30&gt;0,W30=0),1,0)</f>
        <v/>
      </c>
      <c r="W37" s="9">
        <f>IF(AND(W30&gt;0,X30=0),1,0)</f>
        <v/>
      </c>
      <c r="X37" s="9">
        <f>IF(AND(X30&gt;0,Y30=0),1,0)</f>
        <v/>
      </c>
      <c r="Y37" s="9">
        <f>IF(AND(Y30&gt;0,Z30=0),1,0)</f>
        <v/>
      </c>
      <c r="Z37" s="9">
        <f>IF(AND(Z30&gt;0,AA30=0),1,0)</f>
        <v/>
      </c>
      <c r="AA37" s="9">
        <f>IF(AND(AA30&gt;0,AB30=0),1,0)</f>
        <v/>
      </c>
      <c r="AB37" s="9">
        <f>IF(AND(AB30&gt;0,AC30=0),1,0)</f>
        <v/>
      </c>
      <c r="AC37" s="9">
        <f>IF(AND(AC30&gt;0,AD30=0),1,0)</f>
        <v/>
      </c>
      <c r="AD37" s="9">
        <f>IF(AND(AD30&gt;0,AE30=0),1,0)</f>
        <v/>
      </c>
      <c r="AE37" s="9">
        <f>IF(AND(AE30&gt;0,AF30=0),1,0)</f>
        <v/>
      </c>
      <c r="AF37" s="9">
        <f>IF(AND(AF30&gt;0,AG30=0),1,0)</f>
        <v/>
      </c>
      <c r="AG37" s="9">
        <f>IF(AND(AG30&gt;0,AH30=0),1,0)</f>
        <v/>
      </c>
      <c r="AH37" s="9">
        <f>IF(AND(AH30&gt;0,AI30=0),1,0)</f>
        <v/>
      </c>
      <c r="AI37" s="9">
        <f>IF(AND(AI30&gt;0,AJ30=0),1,0)</f>
        <v/>
      </c>
      <c r="AJ37" s="9">
        <f>IF(AND(AJ30&gt;0,AK30=0),1,0)</f>
        <v/>
      </c>
      <c r="AK37" s="9">
        <f>IF(AND(AK30&gt;0,AL30=0),1,0)</f>
        <v/>
      </c>
      <c r="AL37" s="9">
        <f>IF(AND(AL30&gt;0,AM30=0),1,0)</f>
        <v/>
      </c>
      <c r="AM37" s="9">
        <f>IF(AND(AM30&gt;0,AN30=0),1,0)</f>
        <v/>
      </c>
      <c r="AN37" s="9">
        <f>IF(AND(AN30&gt;0,AO30=0),1,0)</f>
        <v/>
      </c>
      <c r="AO37" s="9">
        <f>IF(AND(AO30&gt;0,AP30=0),1,0)</f>
        <v/>
      </c>
      <c r="AP37" s="9">
        <f>IF(AND(AP30&gt;0,AQ30=0),1,0)</f>
        <v/>
      </c>
      <c r="AQ37" s="9">
        <f>IF(AND(AQ30&gt;0,AR30=0),1,0)</f>
        <v/>
      </c>
      <c r="AR37" s="9">
        <f>IF(AND(AR30&gt;0,AS30=0),1,0)</f>
        <v/>
      </c>
      <c r="AS37" s="9">
        <f>IF(AND(AS30&gt;0,AT30=0),1,0)</f>
        <v/>
      </c>
      <c r="AT37" s="9">
        <f>IF(AND(AT30&gt;0,AU30=0),1,0)</f>
        <v/>
      </c>
      <c r="AU37" s="9">
        <f>IF(AND(AU30&gt;0,AV30=0),1,0)</f>
        <v/>
      </c>
      <c r="AV37" s="9">
        <f>IF(AND(AV30&gt;0,AW30=0),1,0)</f>
        <v/>
      </c>
      <c r="AW37" s="9">
        <f>IF(AND(AW30&gt;0,AX30=0),1,0)</f>
        <v/>
      </c>
      <c r="AX37" s="9">
        <f>IF(AND(AX30&gt;0,AY30=0),1,0)</f>
        <v/>
      </c>
      <c r="AY37" s="9">
        <f>IF(AND(AY30&gt;0,AZ30=0),1,0)</f>
        <v/>
      </c>
      <c r="AZ37" s="9">
        <f>IF(AND(AZ30&gt;0,BA30=0),1,0)</f>
        <v/>
      </c>
      <c r="BA37" s="9">
        <f>IF(AND(BA30&gt;0,BB30=0),1,0)</f>
        <v/>
      </c>
      <c r="BB37" s="9">
        <f>IF(AND(BB30&gt;0,BC30=0),1,0)</f>
        <v/>
      </c>
      <c r="BC37" s="9">
        <f>IF(AND(BC30&gt;0,BD30=0),1,0)</f>
        <v/>
      </c>
      <c r="BD37" s="9">
        <f>IF(AND(BD30&gt;0,BE30=0),1,0)</f>
        <v/>
      </c>
      <c r="BE37" s="9">
        <f>IF(AND(BE30&gt;0,BF30=0),1,0)</f>
        <v/>
      </c>
      <c r="BF37" s="9">
        <f>IF(AND(BF30&gt;0,BG30=0),1,0)</f>
        <v/>
      </c>
      <c r="BG37" s="9">
        <f>IF(AND(BG30&gt;0,BH30=0),1,0)</f>
        <v/>
      </c>
      <c r="BH37" s="9">
        <f>IF(AND(BH30&gt;0,BI30=0),1,0)</f>
        <v/>
      </c>
      <c r="BI37" s="9">
        <f>IF(AND(BI30&gt;0,BJ30=0),1,0)</f>
        <v/>
      </c>
      <c r="BJ37" s="9">
        <f>IF(AND(BJ30&gt;0,BK30=0),1,0)</f>
        <v/>
      </c>
      <c r="BK37" s="9">
        <f>IF(AND(BK30&gt;0,BL30=0),1,0)</f>
        <v/>
      </c>
      <c r="BL37" s="9">
        <f>IF(AND(BL30&gt;0,BM30=0),1,0)</f>
        <v/>
      </c>
      <c r="BM37" s="9">
        <f>IF(AND(BM30&gt;0,BN30=0),1,0)</f>
        <v/>
      </c>
      <c r="BN37" s="9">
        <f>IF(AND(BN30&gt;0,BO30=0),1,0)</f>
        <v/>
      </c>
    </row>
    <row r="38">
      <c r="D38" t="inlineStr">
        <is>
          <t>Flag_ShockPeriods</t>
        </is>
      </c>
      <c r="E38" t="inlineStr">
        <is>
          <t>flag</t>
        </is>
      </c>
      <c r="J38" s="9">
        <f>IF(AND(J22&gt;=Inputs!$F$193,J22&lt;EDATE(Inputs!$F$193,Inputs!$F$211)),1,0)</f>
        <v/>
      </c>
      <c r="K38" s="9">
        <f>IF(AND(K22&gt;=Inputs!$F$193,K22&lt;EDATE(Inputs!$F$193,Inputs!$F$211)),1,0)</f>
        <v/>
      </c>
      <c r="L38" s="9">
        <f>IF(AND(L22&gt;=Inputs!$F$193,L22&lt;EDATE(Inputs!$F$193,Inputs!$F$211)),1,0)</f>
        <v/>
      </c>
      <c r="M38" s="9">
        <f>IF(AND(M22&gt;=Inputs!$F$193,M22&lt;EDATE(Inputs!$F$193,Inputs!$F$211)),1,0)</f>
        <v/>
      </c>
      <c r="N38" s="9">
        <f>IF(AND(N22&gt;=Inputs!$F$193,N22&lt;EDATE(Inputs!$F$193,Inputs!$F$211)),1,0)</f>
        <v/>
      </c>
      <c r="O38" s="9">
        <f>IF(AND(O22&gt;=Inputs!$F$193,O22&lt;EDATE(Inputs!$F$193,Inputs!$F$211)),1,0)</f>
        <v/>
      </c>
      <c r="P38" s="9">
        <f>IF(AND(P22&gt;=Inputs!$F$193,P22&lt;EDATE(Inputs!$F$193,Inputs!$F$211)),1,0)</f>
        <v/>
      </c>
      <c r="Q38" s="9">
        <f>IF(AND(Q22&gt;=Inputs!$F$193,Q22&lt;EDATE(Inputs!$F$193,Inputs!$F$211)),1,0)</f>
        <v/>
      </c>
      <c r="R38" s="9">
        <f>IF(AND(R22&gt;=Inputs!$F$193,R22&lt;EDATE(Inputs!$F$193,Inputs!$F$211)),1,0)</f>
        <v/>
      </c>
      <c r="S38" s="9">
        <f>IF(AND(S22&gt;=Inputs!$F$193,S22&lt;EDATE(Inputs!$F$193,Inputs!$F$211)),1,0)</f>
        <v/>
      </c>
      <c r="T38" s="9">
        <f>IF(AND(T22&gt;=Inputs!$F$193,T22&lt;EDATE(Inputs!$F$193,Inputs!$F$211)),1,0)</f>
        <v/>
      </c>
      <c r="U38" s="9">
        <f>IF(AND(U22&gt;=Inputs!$F$193,U22&lt;EDATE(Inputs!$F$193,Inputs!$F$211)),1,0)</f>
        <v/>
      </c>
      <c r="V38" s="9">
        <f>IF(AND(V22&gt;=Inputs!$F$193,V22&lt;EDATE(Inputs!$F$193,Inputs!$F$211)),1,0)</f>
        <v/>
      </c>
      <c r="W38" s="9">
        <f>IF(AND(W22&gt;=Inputs!$F$193,W22&lt;EDATE(Inputs!$F$193,Inputs!$F$211)),1,0)</f>
        <v/>
      </c>
      <c r="X38" s="9">
        <f>IF(AND(X22&gt;=Inputs!$F$193,X22&lt;EDATE(Inputs!$F$193,Inputs!$F$211)),1,0)</f>
        <v/>
      </c>
      <c r="Y38" s="9">
        <f>IF(AND(Y22&gt;=Inputs!$F$193,Y22&lt;EDATE(Inputs!$F$193,Inputs!$F$211)),1,0)</f>
        <v/>
      </c>
      <c r="Z38" s="9">
        <f>IF(AND(Z22&gt;=Inputs!$F$193,Z22&lt;EDATE(Inputs!$F$193,Inputs!$F$211)),1,0)</f>
        <v/>
      </c>
      <c r="AA38" s="9">
        <f>IF(AND(AA22&gt;=Inputs!$F$193,AA22&lt;EDATE(Inputs!$F$193,Inputs!$F$211)),1,0)</f>
        <v/>
      </c>
      <c r="AB38" s="9">
        <f>IF(AND(AB22&gt;=Inputs!$F$193,AB22&lt;EDATE(Inputs!$F$193,Inputs!$F$211)),1,0)</f>
        <v/>
      </c>
      <c r="AC38" s="9">
        <f>IF(AND(AC22&gt;=Inputs!$F$193,AC22&lt;EDATE(Inputs!$F$193,Inputs!$F$211)),1,0)</f>
        <v/>
      </c>
      <c r="AD38" s="9">
        <f>IF(AND(AD22&gt;=Inputs!$F$193,AD22&lt;EDATE(Inputs!$F$193,Inputs!$F$211)),1,0)</f>
        <v/>
      </c>
      <c r="AE38" s="9">
        <f>IF(AND(AE22&gt;=Inputs!$F$193,AE22&lt;EDATE(Inputs!$F$193,Inputs!$F$211)),1,0)</f>
        <v/>
      </c>
      <c r="AF38" s="9">
        <f>IF(AND(AF22&gt;=Inputs!$F$193,AF22&lt;EDATE(Inputs!$F$193,Inputs!$F$211)),1,0)</f>
        <v/>
      </c>
      <c r="AG38" s="9">
        <f>IF(AND(AG22&gt;=Inputs!$F$193,AG22&lt;EDATE(Inputs!$F$193,Inputs!$F$211)),1,0)</f>
        <v/>
      </c>
      <c r="AH38" s="9">
        <f>IF(AND(AH22&gt;=Inputs!$F$193,AH22&lt;EDATE(Inputs!$F$193,Inputs!$F$211)),1,0)</f>
        <v/>
      </c>
      <c r="AI38" s="9">
        <f>IF(AND(AI22&gt;=Inputs!$F$193,AI22&lt;EDATE(Inputs!$F$193,Inputs!$F$211)),1,0)</f>
        <v/>
      </c>
      <c r="AJ38" s="9">
        <f>IF(AND(AJ22&gt;=Inputs!$F$193,AJ22&lt;EDATE(Inputs!$F$193,Inputs!$F$211)),1,0)</f>
        <v/>
      </c>
      <c r="AK38" s="9">
        <f>IF(AND(AK22&gt;=Inputs!$F$193,AK22&lt;EDATE(Inputs!$F$193,Inputs!$F$211)),1,0)</f>
        <v/>
      </c>
      <c r="AL38" s="9">
        <f>IF(AND(AL22&gt;=Inputs!$F$193,AL22&lt;EDATE(Inputs!$F$193,Inputs!$F$211)),1,0)</f>
        <v/>
      </c>
      <c r="AM38" s="9">
        <f>IF(AND(AM22&gt;=Inputs!$F$193,AM22&lt;EDATE(Inputs!$F$193,Inputs!$F$211)),1,0)</f>
        <v/>
      </c>
      <c r="AN38" s="9">
        <f>IF(AND(AN22&gt;=Inputs!$F$193,AN22&lt;EDATE(Inputs!$F$193,Inputs!$F$211)),1,0)</f>
        <v/>
      </c>
      <c r="AO38" s="9">
        <f>IF(AND(AO22&gt;=Inputs!$F$193,AO22&lt;EDATE(Inputs!$F$193,Inputs!$F$211)),1,0)</f>
        <v/>
      </c>
      <c r="AP38" s="9">
        <f>IF(AND(AP22&gt;=Inputs!$F$193,AP22&lt;EDATE(Inputs!$F$193,Inputs!$F$211)),1,0)</f>
        <v/>
      </c>
      <c r="AQ38" s="9">
        <f>IF(AND(AQ22&gt;=Inputs!$F$193,AQ22&lt;EDATE(Inputs!$F$193,Inputs!$F$211)),1,0)</f>
        <v/>
      </c>
      <c r="AR38" s="9">
        <f>IF(AND(AR22&gt;=Inputs!$F$193,AR22&lt;EDATE(Inputs!$F$193,Inputs!$F$211)),1,0)</f>
        <v/>
      </c>
      <c r="AS38" s="9">
        <f>IF(AND(AS22&gt;=Inputs!$F$193,AS22&lt;EDATE(Inputs!$F$193,Inputs!$F$211)),1,0)</f>
        <v/>
      </c>
      <c r="AT38" s="9">
        <f>IF(AND(AT22&gt;=Inputs!$F$193,AT22&lt;EDATE(Inputs!$F$193,Inputs!$F$211)),1,0)</f>
        <v/>
      </c>
      <c r="AU38" s="9">
        <f>IF(AND(AU22&gt;=Inputs!$F$193,AU22&lt;EDATE(Inputs!$F$193,Inputs!$F$211)),1,0)</f>
        <v/>
      </c>
      <c r="AV38" s="9">
        <f>IF(AND(AV22&gt;=Inputs!$F$193,AV22&lt;EDATE(Inputs!$F$193,Inputs!$F$211)),1,0)</f>
        <v/>
      </c>
      <c r="AW38" s="9">
        <f>IF(AND(AW22&gt;=Inputs!$F$193,AW22&lt;EDATE(Inputs!$F$193,Inputs!$F$211)),1,0)</f>
        <v/>
      </c>
      <c r="AX38" s="9">
        <f>IF(AND(AX22&gt;=Inputs!$F$193,AX22&lt;EDATE(Inputs!$F$193,Inputs!$F$211)),1,0)</f>
        <v/>
      </c>
      <c r="AY38" s="9">
        <f>IF(AND(AY22&gt;=Inputs!$F$193,AY22&lt;EDATE(Inputs!$F$193,Inputs!$F$211)),1,0)</f>
        <v/>
      </c>
      <c r="AZ38" s="9">
        <f>IF(AND(AZ22&gt;=Inputs!$F$193,AZ22&lt;EDATE(Inputs!$F$193,Inputs!$F$211)),1,0)</f>
        <v/>
      </c>
      <c r="BA38" s="9">
        <f>IF(AND(BA22&gt;=Inputs!$F$193,BA22&lt;EDATE(Inputs!$F$193,Inputs!$F$211)),1,0)</f>
        <v/>
      </c>
      <c r="BB38" s="9">
        <f>IF(AND(BB22&gt;=Inputs!$F$193,BB22&lt;EDATE(Inputs!$F$193,Inputs!$F$211)),1,0)</f>
        <v/>
      </c>
      <c r="BC38" s="9">
        <f>IF(AND(BC22&gt;=Inputs!$F$193,BC22&lt;EDATE(Inputs!$F$193,Inputs!$F$211)),1,0)</f>
        <v/>
      </c>
      <c r="BD38" s="9">
        <f>IF(AND(BD22&gt;=Inputs!$F$193,BD22&lt;EDATE(Inputs!$F$193,Inputs!$F$211)),1,0)</f>
        <v/>
      </c>
      <c r="BE38" s="9">
        <f>IF(AND(BE22&gt;=Inputs!$F$193,BE22&lt;EDATE(Inputs!$F$193,Inputs!$F$211)),1,0)</f>
        <v/>
      </c>
      <c r="BF38" s="9">
        <f>IF(AND(BF22&gt;=Inputs!$F$193,BF22&lt;EDATE(Inputs!$F$193,Inputs!$F$211)),1,0)</f>
        <v/>
      </c>
      <c r="BG38" s="9">
        <f>IF(AND(BG22&gt;=Inputs!$F$193,BG22&lt;EDATE(Inputs!$F$193,Inputs!$F$211)),1,0)</f>
        <v/>
      </c>
      <c r="BH38" s="9">
        <f>IF(AND(BH22&gt;=Inputs!$F$193,BH22&lt;EDATE(Inputs!$F$193,Inputs!$F$211)),1,0)</f>
        <v/>
      </c>
      <c r="BI38" s="9">
        <f>IF(AND(BI22&gt;=Inputs!$F$193,BI22&lt;EDATE(Inputs!$F$193,Inputs!$F$211)),1,0)</f>
        <v/>
      </c>
      <c r="BJ38" s="9">
        <f>IF(AND(BJ22&gt;=Inputs!$F$193,BJ22&lt;EDATE(Inputs!$F$193,Inputs!$F$211)),1,0)</f>
        <v/>
      </c>
      <c r="BK38" s="9">
        <f>IF(AND(BK22&gt;=Inputs!$F$193,BK22&lt;EDATE(Inputs!$F$193,Inputs!$F$211)),1,0)</f>
        <v/>
      </c>
      <c r="BL38" s="9">
        <f>IF(AND(BL22&gt;=Inputs!$F$193,BL22&lt;EDATE(Inputs!$F$193,Inputs!$F$211)),1,0)</f>
        <v/>
      </c>
      <c r="BM38" s="9">
        <f>IF(AND(BM22&gt;=Inputs!$F$193,BM22&lt;EDATE(Inputs!$F$193,Inputs!$F$211)),1,0)</f>
        <v/>
      </c>
      <c r="BN38" s="9">
        <f>IF(AND(BN22&gt;=Inputs!$F$193,BN22&lt;EDATE(Inputs!$F$193,Inputs!$F$211)),1,0)</f>
        <v/>
      </c>
    </row>
    <row r="39">
      <c r="D39" t="inlineStr">
        <is>
          <t>Flag_FromShockStart</t>
        </is>
      </c>
      <c r="E39" t="inlineStr">
        <is>
          <t>flag</t>
        </is>
      </c>
      <c r="J39" s="9">
        <f>IF(J22&gt;=Inputs!$F$193,1,0)</f>
        <v/>
      </c>
      <c r="K39" s="9">
        <f>IF(K22&gt;=Inputs!$F$193,1,0)</f>
        <v/>
      </c>
      <c r="L39" s="9">
        <f>IF(L22&gt;=Inputs!$F$193,1,0)</f>
        <v/>
      </c>
      <c r="M39" s="9">
        <f>IF(M22&gt;=Inputs!$F$193,1,0)</f>
        <v/>
      </c>
      <c r="N39" s="9">
        <f>IF(N22&gt;=Inputs!$F$193,1,0)</f>
        <v/>
      </c>
      <c r="O39" s="9">
        <f>IF(O22&gt;=Inputs!$F$193,1,0)</f>
        <v/>
      </c>
      <c r="P39" s="9">
        <f>IF(P22&gt;=Inputs!$F$193,1,0)</f>
        <v/>
      </c>
      <c r="Q39" s="9">
        <f>IF(Q22&gt;=Inputs!$F$193,1,0)</f>
        <v/>
      </c>
      <c r="R39" s="9">
        <f>IF(R22&gt;=Inputs!$F$193,1,0)</f>
        <v/>
      </c>
      <c r="S39" s="9">
        <f>IF(S22&gt;=Inputs!$F$193,1,0)</f>
        <v/>
      </c>
      <c r="T39" s="9">
        <f>IF(T22&gt;=Inputs!$F$193,1,0)</f>
        <v/>
      </c>
      <c r="U39" s="9">
        <f>IF(U22&gt;=Inputs!$F$193,1,0)</f>
        <v/>
      </c>
      <c r="V39" s="9">
        <f>IF(V22&gt;=Inputs!$F$193,1,0)</f>
        <v/>
      </c>
      <c r="W39" s="9">
        <f>IF(W22&gt;=Inputs!$F$193,1,0)</f>
        <v/>
      </c>
      <c r="X39" s="9">
        <f>IF(X22&gt;=Inputs!$F$193,1,0)</f>
        <v/>
      </c>
      <c r="Y39" s="9">
        <f>IF(Y22&gt;=Inputs!$F$193,1,0)</f>
        <v/>
      </c>
      <c r="Z39" s="9">
        <f>IF(Z22&gt;=Inputs!$F$193,1,0)</f>
        <v/>
      </c>
      <c r="AA39" s="9">
        <f>IF(AA22&gt;=Inputs!$F$193,1,0)</f>
        <v/>
      </c>
      <c r="AB39" s="9">
        <f>IF(AB22&gt;=Inputs!$F$193,1,0)</f>
        <v/>
      </c>
      <c r="AC39" s="9">
        <f>IF(AC22&gt;=Inputs!$F$193,1,0)</f>
        <v/>
      </c>
      <c r="AD39" s="9">
        <f>IF(AD22&gt;=Inputs!$F$193,1,0)</f>
        <v/>
      </c>
      <c r="AE39" s="9">
        <f>IF(AE22&gt;=Inputs!$F$193,1,0)</f>
        <v/>
      </c>
      <c r="AF39" s="9">
        <f>IF(AF22&gt;=Inputs!$F$193,1,0)</f>
        <v/>
      </c>
      <c r="AG39" s="9">
        <f>IF(AG22&gt;=Inputs!$F$193,1,0)</f>
        <v/>
      </c>
      <c r="AH39" s="9">
        <f>IF(AH22&gt;=Inputs!$F$193,1,0)</f>
        <v/>
      </c>
      <c r="AI39" s="9">
        <f>IF(AI22&gt;=Inputs!$F$193,1,0)</f>
        <v/>
      </c>
      <c r="AJ39" s="9">
        <f>IF(AJ22&gt;=Inputs!$F$193,1,0)</f>
        <v/>
      </c>
      <c r="AK39" s="9">
        <f>IF(AK22&gt;=Inputs!$F$193,1,0)</f>
        <v/>
      </c>
      <c r="AL39" s="9">
        <f>IF(AL22&gt;=Inputs!$F$193,1,0)</f>
        <v/>
      </c>
      <c r="AM39" s="9">
        <f>IF(AM22&gt;=Inputs!$F$193,1,0)</f>
        <v/>
      </c>
      <c r="AN39" s="9">
        <f>IF(AN22&gt;=Inputs!$F$193,1,0)</f>
        <v/>
      </c>
      <c r="AO39" s="9">
        <f>IF(AO22&gt;=Inputs!$F$193,1,0)</f>
        <v/>
      </c>
      <c r="AP39" s="9">
        <f>IF(AP22&gt;=Inputs!$F$193,1,0)</f>
        <v/>
      </c>
      <c r="AQ39" s="9">
        <f>IF(AQ22&gt;=Inputs!$F$193,1,0)</f>
        <v/>
      </c>
      <c r="AR39" s="9">
        <f>IF(AR22&gt;=Inputs!$F$193,1,0)</f>
        <v/>
      </c>
      <c r="AS39" s="9">
        <f>IF(AS22&gt;=Inputs!$F$193,1,0)</f>
        <v/>
      </c>
      <c r="AT39" s="9">
        <f>IF(AT22&gt;=Inputs!$F$193,1,0)</f>
        <v/>
      </c>
      <c r="AU39" s="9">
        <f>IF(AU22&gt;=Inputs!$F$193,1,0)</f>
        <v/>
      </c>
      <c r="AV39" s="9">
        <f>IF(AV22&gt;=Inputs!$F$193,1,0)</f>
        <v/>
      </c>
      <c r="AW39" s="9">
        <f>IF(AW22&gt;=Inputs!$F$193,1,0)</f>
        <v/>
      </c>
      <c r="AX39" s="9">
        <f>IF(AX22&gt;=Inputs!$F$193,1,0)</f>
        <v/>
      </c>
      <c r="AY39" s="9">
        <f>IF(AY22&gt;=Inputs!$F$193,1,0)</f>
        <v/>
      </c>
      <c r="AZ39" s="9">
        <f>IF(AZ22&gt;=Inputs!$F$193,1,0)</f>
        <v/>
      </c>
      <c r="BA39" s="9">
        <f>IF(BA22&gt;=Inputs!$F$193,1,0)</f>
        <v/>
      </c>
      <c r="BB39" s="9">
        <f>IF(BB22&gt;=Inputs!$F$193,1,0)</f>
        <v/>
      </c>
      <c r="BC39" s="9">
        <f>IF(BC22&gt;=Inputs!$F$193,1,0)</f>
        <v/>
      </c>
      <c r="BD39" s="9">
        <f>IF(BD22&gt;=Inputs!$F$193,1,0)</f>
        <v/>
      </c>
      <c r="BE39" s="9">
        <f>IF(BE22&gt;=Inputs!$F$193,1,0)</f>
        <v/>
      </c>
      <c r="BF39" s="9">
        <f>IF(BF22&gt;=Inputs!$F$193,1,0)</f>
        <v/>
      </c>
      <c r="BG39" s="9">
        <f>IF(BG22&gt;=Inputs!$F$193,1,0)</f>
        <v/>
      </c>
      <c r="BH39" s="9">
        <f>IF(BH22&gt;=Inputs!$F$193,1,0)</f>
        <v/>
      </c>
      <c r="BI39" s="9">
        <f>IF(BI22&gt;=Inputs!$F$193,1,0)</f>
        <v/>
      </c>
      <c r="BJ39" s="9">
        <f>IF(BJ22&gt;=Inputs!$F$193,1,0)</f>
        <v/>
      </c>
      <c r="BK39" s="9">
        <f>IF(BK22&gt;=Inputs!$F$193,1,0)</f>
        <v/>
      </c>
      <c r="BL39" s="9">
        <f>IF(BL22&gt;=Inputs!$F$193,1,0)</f>
        <v/>
      </c>
      <c r="BM39" s="9">
        <f>IF(BM22&gt;=Inputs!$F$193,1,0)</f>
        <v/>
      </c>
      <c r="BN39" s="9">
        <f>IF(BN22&gt;=Inputs!$F$193,1,0)</f>
        <v/>
      </c>
    </row>
    <row r="40">
      <c r="D40" t="inlineStr">
        <is>
          <t>Flag_TermSOFR</t>
        </is>
      </c>
      <c r="E40" t="inlineStr">
        <is>
          <t>flag</t>
        </is>
      </c>
      <c r="J40" s="9">
        <f>IF(J22&gt;=Inputs!$F$196,1,0)</f>
        <v/>
      </c>
      <c r="K40" s="9">
        <f>IF(K22&gt;=Inputs!$F$196,1,0)</f>
        <v/>
      </c>
      <c r="L40" s="9">
        <f>IF(L22&gt;=Inputs!$F$196,1,0)</f>
        <v/>
      </c>
      <c r="M40" s="9">
        <f>IF(M22&gt;=Inputs!$F$196,1,0)</f>
        <v/>
      </c>
      <c r="N40" s="9">
        <f>IF(N22&gt;=Inputs!$F$196,1,0)</f>
        <v/>
      </c>
      <c r="O40" s="9">
        <f>IF(O22&gt;=Inputs!$F$196,1,0)</f>
        <v/>
      </c>
      <c r="P40" s="9">
        <f>IF(P22&gt;=Inputs!$F$196,1,0)</f>
        <v/>
      </c>
      <c r="Q40" s="9">
        <f>IF(Q22&gt;=Inputs!$F$196,1,0)</f>
        <v/>
      </c>
      <c r="R40" s="9">
        <f>IF(R22&gt;=Inputs!$F$196,1,0)</f>
        <v/>
      </c>
      <c r="S40" s="9">
        <f>IF(S22&gt;=Inputs!$F$196,1,0)</f>
        <v/>
      </c>
      <c r="T40" s="9">
        <f>IF(T22&gt;=Inputs!$F$196,1,0)</f>
        <v/>
      </c>
      <c r="U40" s="9">
        <f>IF(U22&gt;=Inputs!$F$196,1,0)</f>
        <v/>
      </c>
      <c r="V40" s="9">
        <f>IF(V22&gt;=Inputs!$F$196,1,0)</f>
        <v/>
      </c>
      <c r="W40" s="9">
        <f>IF(W22&gt;=Inputs!$F$196,1,0)</f>
        <v/>
      </c>
      <c r="X40" s="9">
        <f>IF(X22&gt;=Inputs!$F$196,1,0)</f>
        <v/>
      </c>
      <c r="Y40" s="9">
        <f>IF(Y22&gt;=Inputs!$F$196,1,0)</f>
        <v/>
      </c>
      <c r="Z40" s="9">
        <f>IF(Z22&gt;=Inputs!$F$196,1,0)</f>
        <v/>
      </c>
      <c r="AA40" s="9">
        <f>IF(AA22&gt;=Inputs!$F$196,1,0)</f>
        <v/>
      </c>
      <c r="AB40" s="9">
        <f>IF(AB22&gt;=Inputs!$F$196,1,0)</f>
        <v/>
      </c>
      <c r="AC40" s="9">
        <f>IF(AC22&gt;=Inputs!$F$196,1,0)</f>
        <v/>
      </c>
      <c r="AD40" s="9">
        <f>IF(AD22&gt;=Inputs!$F$196,1,0)</f>
        <v/>
      </c>
      <c r="AE40" s="9">
        <f>IF(AE22&gt;=Inputs!$F$196,1,0)</f>
        <v/>
      </c>
      <c r="AF40" s="9">
        <f>IF(AF22&gt;=Inputs!$F$196,1,0)</f>
        <v/>
      </c>
      <c r="AG40" s="9">
        <f>IF(AG22&gt;=Inputs!$F$196,1,0)</f>
        <v/>
      </c>
      <c r="AH40" s="9">
        <f>IF(AH22&gt;=Inputs!$F$196,1,0)</f>
        <v/>
      </c>
      <c r="AI40" s="9">
        <f>IF(AI22&gt;=Inputs!$F$196,1,0)</f>
        <v/>
      </c>
      <c r="AJ40" s="9">
        <f>IF(AJ22&gt;=Inputs!$F$196,1,0)</f>
        <v/>
      </c>
      <c r="AK40" s="9">
        <f>IF(AK22&gt;=Inputs!$F$196,1,0)</f>
        <v/>
      </c>
      <c r="AL40" s="9">
        <f>IF(AL22&gt;=Inputs!$F$196,1,0)</f>
        <v/>
      </c>
      <c r="AM40" s="9">
        <f>IF(AM22&gt;=Inputs!$F$196,1,0)</f>
        <v/>
      </c>
      <c r="AN40" s="9">
        <f>IF(AN22&gt;=Inputs!$F$196,1,0)</f>
        <v/>
      </c>
      <c r="AO40" s="9">
        <f>IF(AO22&gt;=Inputs!$F$196,1,0)</f>
        <v/>
      </c>
      <c r="AP40" s="9">
        <f>IF(AP22&gt;=Inputs!$F$196,1,0)</f>
        <v/>
      </c>
      <c r="AQ40" s="9">
        <f>IF(AQ22&gt;=Inputs!$F$196,1,0)</f>
        <v/>
      </c>
      <c r="AR40" s="9">
        <f>IF(AR22&gt;=Inputs!$F$196,1,0)</f>
        <v/>
      </c>
      <c r="AS40" s="9">
        <f>IF(AS22&gt;=Inputs!$F$196,1,0)</f>
        <v/>
      </c>
      <c r="AT40" s="9">
        <f>IF(AT22&gt;=Inputs!$F$196,1,0)</f>
        <v/>
      </c>
      <c r="AU40" s="9">
        <f>IF(AU22&gt;=Inputs!$F$196,1,0)</f>
        <v/>
      </c>
      <c r="AV40" s="9">
        <f>IF(AV22&gt;=Inputs!$F$196,1,0)</f>
        <v/>
      </c>
      <c r="AW40" s="9">
        <f>IF(AW22&gt;=Inputs!$F$196,1,0)</f>
        <v/>
      </c>
      <c r="AX40" s="9">
        <f>IF(AX22&gt;=Inputs!$F$196,1,0)</f>
        <v/>
      </c>
      <c r="AY40" s="9">
        <f>IF(AY22&gt;=Inputs!$F$196,1,0)</f>
        <v/>
      </c>
      <c r="AZ40" s="9">
        <f>IF(AZ22&gt;=Inputs!$F$196,1,0)</f>
        <v/>
      </c>
      <c r="BA40" s="9">
        <f>IF(BA22&gt;=Inputs!$F$196,1,0)</f>
        <v/>
      </c>
      <c r="BB40" s="9">
        <f>IF(BB22&gt;=Inputs!$F$196,1,0)</f>
        <v/>
      </c>
      <c r="BC40" s="9">
        <f>IF(BC22&gt;=Inputs!$F$196,1,0)</f>
        <v/>
      </c>
      <c r="BD40" s="9">
        <f>IF(BD22&gt;=Inputs!$F$196,1,0)</f>
        <v/>
      </c>
      <c r="BE40" s="9">
        <f>IF(BE22&gt;=Inputs!$F$196,1,0)</f>
        <v/>
      </c>
      <c r="BF40" s="9">
        <f>IF(BF22&gt;=Inputs!$F$196,1,0)</f>
        <v/>
      </c>
      <c r="BG40" s="9">
        <f>IF(BG22&gt;=Inputs!$F$196,1,0)</f>
        <v/>
      </c>
      <c r="BH40" s="9">
        <f>IF(BH22&gt;=Inputs!$F$196,1,0)</f>
        <v/>
      </c>
      <c r="BI40" s="9">
        <f>IF(BI22&gt;=Inputs!$F$196,1,0)</f>
        <v/>
      </c>
      <c r="BJ40" s="9">
        <f>IF(BJ22&gt;=Inputs!$F$196,1,0)</f>
        <v/>
      </c>
      <c r="BK40" s="9">
        <f>IF(BK22&gt;=Inputs!$F$196,1,0)</f>
        <v/>
      </c>
      <c r="BL40" s="9">
        <f>IF(BL22&gt;=Inputs!$F$196,1,0)</f>
        <v/>
      </c>
      <c r="BM40" s="9">
        <f>IF(BM22&gt;=Inputs!$F$196,1,0)</f>
        <v/>
      </c>
      <c r="BN40" s="9">
        <f>IF(BN22&gt;=Inputs!$F$196,1,0)</f>
        <v/>
      </c>
    </row>
    <row r="41">
      <c r="D41" t="inlineStr">
        <is>
          <t>Flag_InsuranceStepUp</t>
        </is>
      </c>
      <c r="E41" t="inlineStr">
        <is>
          <t>flag</t>
        </is>
      </c>
      <c r="J41" s="9">
        <f>IF(J22&gt;=Inputs!$F$195,1,0)</f>
        <v/>
      </c>
      <c r="K41" s="9">
        <f>IF(K22&gt;=Inputs!$F$195,1,0)</f>
        <v/>
      </c>
      <c r="L41" s="9">
        <f>IF(L22&gt;=Inputs!$F$195,1,0)</f>
        <v/>
      </c>
      <c r="M41" s="9">
        <f>IF(M22&gt;=Inputs!$F$195,1,0)</f>
        <v/>
      </c>
      <c r="N41" s="9">
        <f>IF(N22&gt;=Inputs!$F$195,1,0)</f>
        <v/>
      </c>
      <c r="O41" s="9">
        <f>IF(O22&gt;=Inputs!$F$195,1,0)</f>
        <v/>
      </c>
      <c r="P41" s="9">
        <f>IF(P22&gt;=Inputs!$F$195,1,0)</f>
        <v/>
      </c>
      <c r="Q41" s="9">
        <f>IF(Q22&gt;=Inputs!$F$195,1,0)</f>
        <v/>
      </c>
      <c r="R41" s="9">
        <f>IF(R22&gt;=Inputs!$F$195,1,0)</f>
        <v/>
      </c>
      <c r="S41" s="9">
        <f>IF(S22&gt;=Inputs!$F$195,1,0)</f>
        <v/>
      </c>
      <c r="T41" s="9">
        <f>IF(T22&gt;=Inputs!$F$195,1,0)</f>
        <v/>
      </c>
      <c r="U41" s="9">
        <f>IF(U22&gt;=Inputs!$F$195,1,0)</f>
        <v/>
      </c>
      <c r="V41" s="9">
        <f>IF(V22&gt;=Inputs!$F$195,1,0)</f>
        <v/>
      </c>
      <c r="W41" s="9">
        <f>IF(W22&gt;=Inputs!$F$195,1,0)</f>
        <v/>
      </c>
      <c r="X41" s="9">
        <f>IF(X22&gt;=Inputs!$F$195,1,0)</f>
        <v/>
      </c>
      <c r="Y41" s="9">
        <f>IF(Y22&gt;=Inputs!$F$195,1,0)</f>
        <v/>
      </c>
      <c r="Z41" s="9">
        <f>IF(Z22&gt;=Inputs!$F$195,1,0)</f>
        <v/>
      </c>
      <c r="AA41" s="9">
        <f>IF(AA22&gt;=Inputs!$F$195,1,0)</f>
        <v/>
      </c>
      <c r="AB41" s="9">
        <f>IF(AB22&gt;=Inputs!$F$195,1,0)</f>
        <v/>
      </c>
      <c r="AC41" s="9">
        <f>IF(AC22&gt;=Inputs!$F$195,1,0)</f>
        <v/>
      </c>
      <c r="AD41" s="9">
        <f>IF(AD22&gt;=Inputs!$F$195,1,0)</f>
        <v/>
      </c>
      <c r="AE41" s="9">
        <f>IF(AE22&gt;=Inputs!$F$195,1,0)</f>
        <v/>
      </c>
      <c r="AF41" s="9">
        <f>IF(AF22&gt;=Inputs!$F$195,1,0)</f>
        <v/>
      </c>
      <c r="AG41" s="9">
        <f>IF(AG22&gt;=Inputs!$F$195,1,0)</f>
        <v/>
      </c>
      <c r="AH41" s="9">
        <f>IF(AH22&gt;=Inputs!$F$195,1,0)</f>
        <v/>
      </c>
      <c r="AI41" s="9">
        <f>IF(AI22&gt;=Inputs!$F$195,1,0)</f>
        <v/>
      </c>
      <c r="AJ41" s="9">
        <f>IF(AJ22&gt;=Inputs!$F$195,1,0)</f>
        <v/>
      </c>
      <c r="AK41" s="9">
        <f>IF(AK22&gt;=Inputs!$F$195,1,0)</f>
        <v/>
      </c>
      <c r="AL41" s="9">
        <f>IF(AL22&gt;=Inputs!$F$195,1,0)</f>
        <v/>
      </c>
      <c r="AM41" s="9">
        <f>IF(AM22&gt;=Inputs!$F$195,1,0)</f>
        <v/>
      </c>
      <c r="AN41" s="9">
        <f>IF(AN22&gt;=Inputs!$F$195,1,0)</f>
        <v/>
      </c>
      <c r="AO41" s="9">
        <f>IF(AO22&gt;=Inputs!$F$195,1,0)</f>
        <v/>
      </c>
      <c r="AP41" s="9">
        <f>IF(AP22&gt;=Inputs!$F$195,1,0)</f>
        <v/>
      </c>
      <c r="AQ41" s="9">
        <f>IF(AQ22&gt;=Inputs!$F$195,1,0)</f>
        <v/>
      </c>
      <c r="AR41" s="9">
        <f>IF(AR22&gt;=Inputs!$F$195,1,0)</f>
        <v/>
      </c>
      <c r="AS41" s="9">
        <f>IF(AS22&gt;=Inputs!$F$195,1,0)</f>
        <v/>
      </c>
      <c r="AT41" s="9">
        <f>IF(AT22&gt;=Inputs!$F$195,1,0)</f>
        <v/>
      </c>
      <c r="AU41" s="9">
        <f>IF(AU22&gt;=Inputs!$F$195,1,0)</f>
        <v/>
      </c>
      <c r="AV41" s="9">
        <f>IF(AV22&gt;=Inputs!$F$195,1,0)</f>
        <v/>
      </c>
      <c r="AW41" s="9">
        <f>IF(AW22&gt;=Inputs!$F$195,1,0)</f>
        <v/>
      </c>
      <c r="AX41" s="9">
        <f>IF(AX22&gt;=Inputs!$F$195,1,0)</f>
        <v/>
      </c>
      <c r="AY41" s="9">
        <f>IF(AY22&gt;=Inputs!$F$195,1,0)</f>
        <v/>
      </c>
      <c r="AZ41" s="9">
        <f>IF(AZ22&gt;=Inputs!$F$195,1,0)</f>
        <v/>
      </c>
      <c r="BA41" s="9">
        <f>IF(BA22&gt;=Inputs!$F$195,1,0)</f>
        <v/>
      </c>
      <c r="BB41" s="9">
        <f>IF(BB22&gt;=Inputs!$F$195,1,0)</f>
        <v/>
      </c>
      <c r="BC41" s="9">
        <f>IF(BC22&gt;=Inputs!$F$195,1,0)</f>
        <v/>
      </c>
      <c r="BD41" s="9">
        <f>IF(BD22&gt;=Inputs!$F$195,1,0)</f>
        <v/>
      </c>
      <c r="BE41" s="9">
        <f>IF(BE22&gt;=Inputs!$F$195,1,0)</f>
        <v/>
      </c>
      <c r="BF41" s="9">
        <f>IF(BF22&gt;=Inputs!$F$195,1,0)</f>
        <v/>
      </c>
      <c r="BG41" s="9">
        <f>IF(BG22&gt;=Inputs!$F$195,1,0)</f>
        <v/>
      </c>
      <c r="BH41" s="9">
        <f>IF(BH22&gt;=Inputs!$F$195,1,0)</f>
        <v/>
      </c>
      <c r="BI41" s="9">
        <f>IF(BI22&gt;=Inputs!$F$195,1,0)</f>
        <v/>
      </c>
      <c r="BJ41" s="9">
        <f>IF(BJ22&gt;=Inputs!$F$195,1,0)</f>
        <v/>
      </c>
      <c r="BK41" s="9">
        <f>IF(BK22&gt;=Inputs!$F$195,1,0)</f>
        <v/>
      </c>
      <c r="BL41" s="9">
        <f>IF(BL22&gt;=Inputs!$F$195,1,0)</f>
        <v/>
      </c>
      <c r="BM41" s="9">
        <f>IF(BM22&gt;=Inputs!$F$195,1,0)</f>
        <v/>
      </c>
      <c r="BN41" s="9">
        <f>IF(BN22&gt;=Inputs!$F$195,1,0)</f>
        <v/>
      </c>
    </row>
    <row r="42">
      <c r="D42" t="inlineStr">
        <is>
          <t>Flag_LDPrepayment</t>
        </is>
      </c>
      <c r="E42" t="inlineStr">
        <is>
          <t>flag</t>
        </is>
      </c>
      <c r="J42" s="9">
        <f>Inputs!$F$48*IF(J23=Inputs!$F$198,1,0)</f>
        <v/>
      </c>
      <c r="K42" s="9">
        <f>Inputs!$F$48*IF(K23=Inputs!$F$198,1,0)</f>
        <v/>
      </c>
      <c r="L42" s="9">
        <f>Inputs!$F$48*IF(L23=Inputs!$F$198,1,0)</f>
        <v/>
      </c>
      <c r="M42" s="9">
        <f>Inputs!$F$48*IF(M23=Inputs!$F$198,1,0)</f>
        <v/>
      </c>
      <c r="N42" s="9">
        <f>Inputs!$F$48*IF(N23=Inputs!$F$198,1,0)</f>
        <v/>
      </c>
      <c r="O42" s="9">
        <f>Inputs!$F$48*IF(O23=Inputs!$F$198,1,0)</f>
        <v/>
      </c>
      <c r="P42" s="9">
        <f>Inputs!$F$48*IF(P23=Inputs!$F$198,1,0)</f>
        <v/>
      </c>
      <c r="Q42" s="9">
        <f>Inputs!$F$48*IF(Q23=Inputs!$F$198,1,0)</f>
        <v/>
      </c>
      <c r="R42" s="9">
        <f>Inputs!$F$48*IF(R23=Inputs!$F$198,1,0)</f>
        <v/>
      </c>
      <c r="S42" s="9">
        <f>Inputs!$F$48*IF(S23=Inputs!$F$198,1,0)</f>
        <v/>
      </c>
      <c r="T42" s="9">
        <f>Inputs!$F$48*IF(T23=Inputs!$F$198,1,0)</f>
        <v/>
      </c>
      <c r="U42" s="9">
        <f>Inputs!$F$48*IF(U23=Inputs!$F$198,1,0)</f>
        <v/>
      </c>
      <c r="V42" s="9">
        <f>Inputs!$F$48*IF(V23=Inputs!$F$198,1,0)</f>
        <v/>
      </c>
      <c r="W42" s="9">
        <f>Inputs!$F$48*IF(W23=Inputs!$F$198,1,0)</f>
        <v/>
      </c>
      <c r="X42" s="9">
        <f>Inputs!$F$48*IF(X23=Inputs!$F$198,1,0)</f>
        <v/>
      </c>
      <c r="Y42" s="9">
        <f>Inputs!$F$48*IF(Y23=Inputs!$F$198,1,0)</f>
        <v/>
      </c>
      <c r="Z42" s="9">
        <f>Inputs!$F$48*IF(Z23=Inputs!$F$198,1,0)</f>
        <v/>
      </c>
      <c r="AA42" s="9">
        <f>Inputs!$F$48*IF(AA23=Inputs!$F$198,1,0)</f>
        <v/>
      </c>
      <c r="AB42" s="9">
        <f>Inputs!$F$48*IF(AB23=Inputs!$F$198,1,0)</f>
        <v/>
      </c>
      <c r="AC42" s="9">
        <f>Inputs!$F$48*IF(AC23=Inputs!$F$198,1,0)</f>
        <v/>
      </c>
      <c r="AD42" s="9">
        <f>Inputs!$F$48*IF(AD23=Inputs!$F$198,1,0)</f>
        <v/>
      </c>
      <c r="AE42" s="9">
        <f>Inputs!$F$48*IF(AE23=Inputs!$F$198,1,0)</f>
        <v/>
      </c>
      <c r="AF42" s="9">
        <f>Inputs!$F$48*IF(AF23=Inputs!$F$198,1,0)</f>
        <v/>
      </c>
      <c r="AG42" s="9">
        <f>Inputs!$F$48*IF(AG23=Inputs!$F$198,1,0)</f>
        <v/>
      </c>
      <c r="AH42" s="9">
        <f>Inputs!$F$48*IF(AH23=Inputs!$F$198,1,0)</f>
        <v/>
      </c>
      <c r="AI42" s="9">
        <f>Inputs!$F$48*IF(AI23=Inputs!$F$198,1,0)</f>
        <v/>
      </c>
      <c r="AJ42" s="9">
        <f>Inputs!$F$48*IF(AJ23=Inputs!$F$198,1,0)</f>
        <v/>
      </c>
      <c r="AK42" s="9">
        <f>Inputs!$F$48*IF(AK23=Inputs!$F$198,1,0)</f>
        <v/>
      </c>
      <c r="AL42" s="9">
        <f>Inputs!$F$48*IF(AL23=Inputs!$F$198,1,0)</f>
        <v/>
      </c>
      <c r="AM42" s="9">
        <f>Inputs!$F$48*IF(AM23=Inputs!$F$198,1,0)</f>
        <v/>
      </c>
      <c r="AN42" s="9">
        <f>Inputs!$F$48*IF(AN23=Inputs!$F$198,1,0)</f>
        <v/>
      </c>
      <c r="AO42" s="9">
        <f>Inputs!$F$48*IF(AO23=Inputs!$F$198,1,0)</f>
        <v/>
      </c>
      <c r="AP42" s="9">
        <f>Inputs!$F$48*IF(AP23=Inputs!$F$198,1,0)</f>
        <v/>
      </c>
      <c r="AQ42" s="9">
        <f>Inputs!$F$48*IF(AQ23=Inputs!$F$198,1,0)</f>
        <v/>
      </c>
      <c r="AR42" s="9">
        <f>Inputs!$F$48*IF(AR23=Inputs!$F$198,1,0)</f>
        <v/>
      </c>
      <c r="AS42" s="9">
        <f>Inputs!$F$48*IF(AS23=Inputs!$F$198,1,0)</f>
        <v/>
      </c>
      <c r="AT42" s="9">
        <f>Inputs!$F$48*IF(AT23=Inputs!$F$198,1,0)</f>
        <v/>
      </c>
      <c r="AU42" s="9">
        <f>Inputs!$F$48*IF(AU23=Inputs!$F$198,1,0)</f>
        <v/>
      </c>
      <c r="AV42" s="9">
        <f>Inputs!$F$48*IF(AV23=Inputs!$F$198,1,0)</f>
        <v/>
      </c>
      <c r="AW42" s="9">
        <f>Inputs!$F$48*IF(AW23=Inputs!$F$198,1,0)</f>
        <v/>
      </c>
      <c r="AX42" s="9">
        <f>Inputs!$F$48*IF(AX23=Inputs!$F$198,1,0)</f>
        <v/>
      </c>
      <c r="AY42" s="9">
        <f>Inputs!$F$48*IF(AY23=Inputs!$F$198,1,0)</f>
        <v/>
      </c>
      <c r="AZ42" s="9">
        <f>Inputs!$F$48*IF(AZ23=Inputs!$F$198,1,0)</f>
        <v/>
      </c>
      <c r="BA42" s="9">
        <f>Inputs!$F$48*IF(BA23=Inputs!$F$198,1,0)</f>
        <v/>
      </c>
      <c r="BB42" s="9">
        <f>Inputs!$F$48*IF(BB23=Inputs!$F$198,1,0)</f>
        <v/>
      </c>
      <c r="BC42" s="9">
        <f>Inputs!$F$48*IF(BC23=Inputs!$F$198,1,0)</f>
        <v/>
      </c>
      <c r="BD42" s="9">
        <f>Inputs!$F$48*IF(BD23=Inputs!$F$198,1,0)</f>
        <v/>
      </c>
      <c r="BE42" s="9">
        <f>Inputs!$F$48*IF(BE23=Inputs!$F$198,1,0)</f>
        <v/>
      </c>
      <c r="BF42" s="9">
        <f>Inputs!$F$48*IF(BF23=Inputs!$F$198,1,0)</f>
        <v/>
      </c>
      <c r="BG42" s="9">
        <f>Inputs!$F$48*IF(BG23=Inputs!$F$198,1,0)</f>
        <v/>
      </c>
      <c r="BH42" s="9">
        <f>Inputs!$F$48*IF(BH23=Inputs!$F$198,1,0)</f>
        <v/>
      </c>
      <c r="BI42" s="9">
        <f>Inputs!$F$48*IF(BI23=Inputs!$F$198,1,0)</f>
        <v/>
      </c>
      <c r="BJ42" s="9">
        <f>Inputs!$F$48*IF(BJ23=Inputs!$F$198,1,0)</f>
        <v/>
      </c>
      <c r="BK42" s="9">
        <f>Inputs!$F$48*IF(BK23=Inputs!$F$198,1,0)</f>
        <v/>
      </c>
      <c r="BL42" s="9">
        <f>Inputs!$F$48*IF(BL23=Inputs!$F$198,1,0)</f>
        <v/>
      </c>
      <c r="BM42" s="9">
        <f>Inputs!$F$48*IF(BM23=Inputs!$F$198,1,0)</f>
        <v/>
      </c>
      <c r="BN42" s="9">
        <f>Inputs!$F$48*IF(BN23=Inputs!$F$198,1,0)</f>
        <v/>
      </c>
    </row>
    <row r="43">
      <c r="D43" t="inlineStr">
        <is>
          <t>Flag_WaiverDeferral</t>
        </is>
      </c>
      <c r="E43" t="inlineStr">
        <is>
          <t>flag</t>
        </is>
      </c>
      <c r="J43" s="9">
        <f>Inputs!$F$49*IF(J23=Inputs!$F$200,1,0)</f>
        <v/>
      </c>
      <c r="K43" s="9">
        <f>Inputs!$F$49*IF(K23=Inputs!$F$200,1,0)</f>
        <v/>
      </c>
      <c r="L43" s="9">
        <f>Inputs!$F$49*IF(L23=Inputs!$F$200,1,0)</f>
        <v/>
      </c>
      <c r="M43" s="9">
        <f>Inputs!$F$49*IF(M23=Inputs!$F$200,1,0)</f>
        <v/>
      </c>
      <c r="N43" s="9">
        <f>Inputs!$F$49*IF(N23=Inputs!$F$200,1,0)</f>
        <v/>
      </c>
      <c r="O43" s="9">
        <f>Inputs!$F$49*IF(O23=Inputs!$F$200,1,0)</f>
        <v/>
      </c>
      <c r="P43" s="9">
        <f>Inputs!$F$49*IF(P23=Inputs!$F$200,1,0)</f>
        <v/>
      </c>
      <c r="Q43" s="9">
        <f>Inputs!$F$49*IF(Q23=Inputs!$F$200,1,0)</f>
        <v/>
      </c>
      <c r="R43" s="9">
        <f>Inputs!$F$49*IF(R23=Inputs!$F$200,1,0)</f>
        <v/>
      </c>
      <c r="S43" s="9">
        <f>Inputs!$F$49*IF(S23=Inputs!$F$200,1,0)</f>
        <v/>
      </c>
      <c r="T43" s="9">
        <f>Inputs!$F$49*IF(T23=Inputs!$F$200,1,0)</f>
        <v/>
      </c>
      <c r="U43" s="9">
        <f>Inputs!$F$49*IF(U23=Inputs!$F$200,1,0)</f>
        <v/>
      </c>
      <c r="V43" s="9">
        <f>Inputs!$F$49*IF(V23=Inputs!$F$200,1,0)</f>
        <v/>
      </c>
      <c r="W43" s="9">
        <f>Inputs!$F$49*IF(W23=Inputs!$F$200,1,0)</f>
        <v/>
      </c>
      <c r="X43" s="9">
        <f>Inputs!$F$49*IF(X23=Inputs!$F$200,1,0)</f>
        <v/>
      </c>
      <c r="Y43" s="9">
        <f>Inputs!$F$49*IF(Y23=Inputs!$F$200,1,0)</f>
        <v/>
      </c>
      <c r="Z43" s="9">
        <f>Inputs!$F$49*IF(Z23=Inputs!$F$200,1,0)</f>
        <v/>
      </c>
      <c r="AA43" s="9">
        <f>Inputs!$F$49*IF(AA23=Inputs!$F$200,1,0)</f>
        <v/>
      </c>
      <c r="AB43" s="9">
        <f>Inputs!$F$49*IF(AB23=Inputs!$F$200,1,0)</f>
        <v/>
      </c>
      <c r="AC43" s="9">
        <f>Inputs!$F$49*IF(AC23=Inputs!$F$200,1,0)</f>
        <v/>
      </c>
      <c r="AD43" s="9">
        <f>Inputs!$F$49*IF(AD23=Inputs!$F$200,1,0)</f>
        <v/>
      </c>
      <c r="AE43" s="9">
        <f>Inputs!$F$49*IF(AE23=Inputs!$F$200,1,0)</f>
        <v/>
      </c>
      <c r="AF43" s="9">
        <f>Inputs!$F$49*IF(AF23=Inputs!$F$200,1,0)</f>
        <v/>
      </c>
      <c r="AG43" s="9">
        <f>Inputs!$F$49*IF(AG23=Inputs!$F$200,1,0)</f>
        <v/>
      </c>
      <c r="AH43" s="9">
        <f>Inputs!$F$49*IF(AH23=Inputs!$F$200,1,0)</f>
        <v/>
      </c>
      <c r="AI43" s="9">
        <f>Inputs!$F$49*IF(AI23=Inputs!$F$200,1,0)</f>
        <v/>
      </c>
      <c r="AJ43" s="9">
        <f>Inputs!$F$49*IF(AJ23=Inputs!$F$200,1,0)</f>
        <v/>
      </c>
      <c r="AK43" s="9">
        <f>Inputs!$F$49*IF(AK23=Inputs!$F$200,1,0)</f>
        <v/>
      </c>
      <c r="AL43" s="9">
        <f>Inputs!$F$49*IF(AL23=Inputs!$F$200,1,0)</f>
        <v/>
      </c>
      <c r="AM43" s="9">
        <f>Inputs!$F$49*IF(AM23=Inputs!$F$200,1,0)</f>
        <v/>
      </c>
      <c r="AN43" s="9">
        <f>Inputs!$F$49*IF(AN23=Inputs!$F$200,1,0)</f>
        <v/>
      </c>
      <c r="AO43" s="9">
        <f>Inputs!$F$49*IF(AO23=Inputs!$F$200,1,0)</f>
        <v/>
      </c>
      <c r="AP43" s="9">
        <f>Inputs!$F$49*IF(AP23=Inputs!$F$200,1,0)</f>
        <v/>
      </c>
      <c r="AQ43" s="9">
        <f>Inputs!$F$49*IF(AQ23=Inputs!$F$200,1,0)</f>
        <v/>
      </c>
      <c r="AR43" s="9">
        <f>Inputs!$F$49*IF(AR23=Inputs!$F$200,1,0)</f>
        <v/>
      </c>
      <c r="AS43" s="9">
        <f>Inputs!$F$49*IF(AS23=Inputs!$F$200,1,0)</f>
        <v/>
      </c>
      <c r="AT43" s="9">
        <f>Inputs!$F$49*IF(AT23=Inputs!$F$200,1,0)</f>
        <v/>
      </c>
      <c r="AU43" s="9">
        <f>Inputs!$F$49*IF(AU23=Inputs!$F$200,1,0)</f>
        <v/>
      </c>
      <c r="AV43" s="9">
        <f>Inputs!$F$49*IF(AV23=Inputs!$F$200,1,0)</f>
        <v/>
      </c>
      <c r="AW43" s="9">
        <f>Inputs!$F$49*IF(AW23=Inputs!$F$200,1,0)</f>
        <v/>
      </c>
      <c r="AX43" s="9">
        <f>Inputs!$F$49*IF(AX23=Inputs!$F$200,1,0)</f>
        <v/>
      </c>
      <c r="AY43" s="9">
        <f>Inputs!$F$49*IF(AY23=Inputs!$F$200,1,0)</f>
        <v/>
      </c>
      <c r="AZ43" s="9">
        <f>Inputs!$F$49*IF(AZ23=Inputs!$F$200,1,0)</f>
        <v/>
      </c>
      <c r="BA43" s="9">
        <f>Inputs!$F$49*IF(BA23=Inputs!$F$200,1,0)</f>
        <v/>
      </c>
      <c r="BB43" s="9">
        <f>Inputs!$F$49*IF(BB23=Inputs!$F$200,1,0)</f>
        <v/>
      </c>
      <c r="BC43" s="9">
        <f>Inputs!$F$49*IF(BC23=Inputs!$F$200,1,0)</f>
        <v/>
      </c>
      <c r="BD43" s="9">
        <f>Inputs!$F$49*IF(BD23=Inputs!$F$200,1,0)</f>
        <v/>
      </c>
      <c r="BE43" s="9">
        <f>Inputs!$F$49*IF(BE23=Inputs!$F$200,1,0)</f>
        <v/>
      </c>
      <c r="BF43" s="9">
        <f>Inputs!$F$49*IF(BF23=Inputs!$F$200,1,0)</f>
        <v/>
      </c>
      <c r="BG43" s="9">
        <f>Inputs!$F$49*IF(BG23=Inputs!$F$200,1,0)</f>
        <v/>
      </c>
      <c r="BH43" s="9">
        <f>Inputs!$F$49*IF(BH23=Inputs!$F$200,1,0)</f>
        <v/>
      </c>
      <c r="BI43" s="9">
        <f>Inputs!$F$49*IF(BI23=Inputs!$F$200,1,0)</f>
        <v/>
      </c>
      <c r="BJ43" s="9">
        <f>Inputs!$F$49*IF(BJ23=Inputs!$F$200,1,0)</f>
        <v/>
      </c>
      <c r="BK43" s="9">
        <f>Inputs!$F$49*IF(BK23=Inputs!$F$200,1,0)</f>
        <v/>
      </c>
      <c r="BL43" s="9">
        <f>Inputs!$F$49*IF(BL23=Inputs!$F$200,1,0)</f>
        <v/>
      </c>
      <c r="BM43" s="9">
        <f>Inputs!$F$49*IF(BM23=Inputs!$F$200,1,0)</f>
        <v/>
      </c>
      <c r="BN43" s="9">
        <f>Inputs!$F$49*IF(BN23=Inputs!$F$200,1,0)</f>
        <v/>
      </c>
    </row>
    <row r="44">
      <c r="D44" t="inlineStr">
        <is>
          <t>Flag_MarginUplift</t>
        </is>
      </c>
      <c r="E44" t="inlineStr">
        <is>
          <t>flag</t>
        </is>
      </c>
      <c r="J44" s="9">
        <f>Inputs!$F$49*IF(AND(J22&gt;=Inputs!$F$201,J23&lt;=Inputs!$F$202),1,0)</f>
        <v/>
      </c>
      <c r="K44" s="9">
        <f>Inputs!$F$49*IF(AND(K22&gt;=Inputs!$F$201,K23&lt;=Inputs!$F$202),1,0)</f>
        <v/>
      </c>
      <c r="L44" s="9">
        <f>Inputs!$F$49*IF(AND(L22&gt;=Inputs!$F$201,L23&lt;=Inputs!$F$202),1,0)</f>
        <v/>
      </c>
      <c r="M44" s="9">
        <f>Inputs!$F$49*IF(AND(M22&gt;=Inputs!$F$201,M23&lt;=Inputs!$F$202),1,0)</f>
        <v/>
      </c>
      <c r="N44" s="9">
        <f>Inputs!$F$49*IF(AND(N22&gt;=Inputs!$F$201,N23&lt;=Inputs!$F$202),1,0)</f>
        <v/>
      </c>
      <c r="O44" s="9">
        <f>Inputs!$F$49*IF(AND(O22&gt;=Inputs!$F$201,O23&lt;=Inputs!$F$202),1,0)</f>
        <v/>
      </c>
      <c r="P44" s="9">
        <f>Inputs!$F$49*IF(AND(P22&gt;=Inputs!$F$201,P23&lt;=Inputs!$F$202),1,0)</f>
        <v/>
      </c>
      <c r="Q44" s="9">
        <f>Inputs!$F$49*IF(AND(Q22&gt;=Inputs!$F$201,Q23&lt;=Inputs!$F$202),1,0)</f>
        <v/>
      </c>
      <c r="R44" s="9">
        <f>Inputs!$F$49*IF(AND(R22&gt;=Inputs!$F$201,R23&lt;=Inputs!$F$202),1,0)</f>
        <v/>
      </c>
      <c r="S44" s="9">
        <f>Inputs!$F$49*IF(AND(S22&gt;=Inputs!$F$201,S23&lt;=Inputs!$F$202),1,0)</f>
        <v/>
      </c>
      <c r="T44" s="9">
        <f>Inputs!$F$49*IF(AND(T22&gt;=Inputs!$F$201,T23&lt;=Inputs!$F$202),1,0)</f>
        <v/>
      </c>
      <c r="U44" s="9">
        <f>Inputs!$F$49*IF(AND(U22&gt;=Inputs!$F$201,U23&lt;=Inputs!$F$202),1,0)</f>
        <v/>
      </c>
      <c r="V44" s="9">
        <f>Inputs!$F$49*IF(AND(V22&gt;=Inputs!$F$201,V23&lt;=Inputs!$F$202),1,0)</f>
        <v/>
      </c>
      <c r="W44" s="9">
        <f>Inputs!$F$49*IF(AND(W22&gt;=Inputs!$F$201,W23&lt;=Inputs!$F$202),1,0)</f>
        <v/>
      </c>
      <c r="X44" s="9">
        <f>Inputs!$F$49*IF(AND(X22&gt;=Inputs!$F$201,X23&lt;=Inputs!$F$202),1,0)</f>
        <v/>
      </c>
      <c r="Y44" s="9">
        <f>Inputs!$F$49*IF(AND(Y22&gt;=Inputs!$F$201,Y23&lt;=Inputs!$F$202),1,0)</f>
        <v/>
      </c>
      <c r="Z44" s="9">
        <f>Inputs!$F$49*IF(AND(Z22&gt;=Inputs!$F$201,Z23&lt;=Inputs!$F$202),1,0)</f>
        <v/>
      </c>
      <c r="AA44" s="9">
        <f>Inputs!$F$49*IF(AND(AA22&gt;=Inputs!$F$201,AA23&lt;=Inputs!$F$202),1,0)</f>
        <v/>
      </c>
      <c r="AB44" s="9">
        <f>Inputs!$F$49*IF(AND(AB22&gt;=Inputs!$F$201,AB23&lt;=Inputs!$F$202),1,0)</f>
        <v/>
      </c>
      <c r="AC44" s="9">
        <f>Inputs!$F$49*IF(AND(AC22&gt;=Inputs!$F$201,AC23&lt;=Inputs!$F$202),1,0)</f>
        <v/>
      </c>
      <c r="AD44" s="9">
        <f>Inputs!$F$49*IF(AND(AD22&gt;=Inputs!$F$201,AD23&lt;=Inputs!$F$202),1,0)</f>
        <v/>
      </c>
      <c r="AE44" s="9">
        <f>Inputs!$F$49*IF(AND(AE22&gt;=Inputs!$F$201,AE23&lt;=Inputs!$F$202),1,0)</f>
        <v/>
      </c>
      <c r="AF44" s="9">
        <f>Inputs!$F$49*IF(AND(AF22&gt;=Inputs!$F$201,AF23&lt;=Inputs!$F$202),1,0)</f>
        <v/>
      </c>
      <c r="AG44" s="9">
        <f>Inputs!$F$49*IF(AND(AG22&gt;=Inputs!$F$201,AG23&lt;=Inputs!$F$202),1,0)</f>
        <v/>
      </c>
      <c r="AH44" s="9">
        <f>Inputs!$F$49*IF(AND(AH22&gt;=Inputs!$F$201,AH23&lt;=Inputs!$F$202),1,0)</f>
        <v/>
      </c>
      <c r="AI44" s="9">
        <f>Inputs!$F$49*IF(AND(AI22&gt;=Inputs!$F$201,AI23&lt;=Inputs!$F$202),1,0)</f>
        <v/>
      </c>
      <c r="AJ44" s="9">
        <f>Inputs!$F$49*IF(AND(AJ22&gt;=Inputs!$F$201,AJ23&lt;=Inputs!$F$202),1,0)</f>
        <v/>
      </c>
      <c r="AK44" s="9">
        <f>Inputs!$F$49*IF(AND(AK22&gt;=Inputs!$F$201,AK23&lt;=Inputs!$F$202),1,0)</f>
        <v/>
      </c>
      <c r="AL44" s="9">
        <f>Inputs!$F$49*IF(AND(AL22&gt;=Inputs!$F$201,AL23&lt;=Inputs!$F$202),1,0)</f>
        <v/>
      </c>
      <c r="AM44" s="9">
        <f>Inputs!$F$49*IF(AND(AM22&gt;=Inputs!$F$201,AM23&lt;=Inputs!$F$202),1,0)</f>
        <v/>
      </c>
      <c r="AN44" s="9">
        <f>Inputs!$F$49*IF(AND(AN22&gt;=Inputs!$F$201,AN23&lt;=Inputs!$F$202),1,0)</f>
        <v/>
      </c>
      <c r="AO44" s="9">
        <f>Inputs!$F$49*IF(AND(AO22&gt;=Inputs!$F$201,AO23&lt;=Inputs!$F$202),1,0)</f>
        <v/>
      </c>
      <c r="AP44" s="9">
        <f>Inputs!$F$49*IF(AND(AP22&gt;=Inputs!$F$201,AP23&lt;=Inputs!$F$202),1,0)</f>
        <v/>
      </c>
      <c r="AQ44" s="9">
        <f>Inputs!$F$49*IF(AND(AQ22&gt;=Inputs!$F$201,AQ23&lt;=Inputs!$F$202),1,0)</f>
        <v/>
      </c>
      <c r="AR44" s="9">
        <f>Inputs!$F$49*IF(AND(AR22&gt;=Inputs!$F$201,AR23&lt;=Inputs!$F$202),1,0)</f>
        <v/>
      </c>
      <c r="AS44" s="9">
        <f>Inputs!$F$49*IF(AND(AS22&gt;=Inputs!$F$201,AS23&lt;=Inputs!$F$202),1,0)</f>
        <v/>
      </c>
      <c r="AT44" s="9">
        <f>Inputs!$F$49*IF(AND(AT22&gt;=Inputs!$F$201,AT23&lt;=Inputs!$F$202),1,0)</f>
        <v/>
      </c>
      <c r="AU44" s="9">
        <f>Inputs!$F$49*IF(AND(AU22&gt;=Inputs!$F$201,AU23&lt;=Inputs!$F$202),1,0)</f>
        <v/>
      </c>
      <c r="AV44" s="9">
        <f>Inputs!$F$49*IF(AND(AV22&gt;=Inputs!$F$201,AV23&lt;=Inputs!$F$202),1,0)</f>
        <v/>
      </c>
      <c r="AW44" s="9">
        <f>Inputs!$F$49*IF(AND(AW22&gt;=Inputs!$F$201,AW23&lt;=Inputs!$F$202),1,0)</f>
        <v/>
      </c>
      <c r="AX44" s="9">
        <f>Inputs!$F$49*IF(AND(AX22&gt;=Inputs!$F$201,AX23&lt;=Inputs!$F$202),1,0)</f>
        <v/>
      </c>
      <c r="AY44" s="9">
        <f>Inputs!$F$49*IF(AND(AY22&gt;=Inputs!$F$201,AY23&lt;=Inputs!$F$202),1,0)</f>
        <v/>
      </c>
      <c r="AZ44" s="9">
        <f>Inputs!$F$49*IF(AND(AZ22&gt;=Inputs!$F$201,AZ23&lt;=Inputs!$F$202),1,0)</f>
        <v/>
      </c>
      <c r="BA44" s="9">
        <f>Inputs!$F$49*IF(AND(BA22&gt;=Inputs!$F$201,BA23&lt;=Inputs!$F$202),1,0)</f>
        <v/>
      </c>
      <c r="BB44" s="9">
        <f>Inputs!$F$49*IF(AND(BB22&gt;=Inputs!$F$201,BB23&lt;=Inputs!$F$202),1,0)</f>
        <v/>
      </c>
      <c r="BC44" s="9">
        <f>Inputs!$F$49*IF(AND(BC22&gt;=Inputs!$F$201,BC23&lt;=Inputs!$F$202),1,0)</f>
        <v/>
      </c>
      <c r="BD44" s="9">
        <f>Inputs!$F$49*IF(AND(BD22&gt;=Inputs!$F$201,BD23&lt;=Inputs!$F$202),1,0)</f>
        <v/>
      </c>
      <c r="BE44" s="9">
        <f>Inputs!$F$49*IF(AND(BE22&gt;=Inputs!$F$201,BE23&lt;=Inputs!$F$202),1,0)</f>
        <v/>
      </c>
      <c r="BF44" s="9">
        <f>Inputs!$F$49*IF(AND(BF22&gt;=Inputs!$F$201,BF23&lt;=Inputs!$F$202),1,0)</f>
        <v/>
      </c>
      <c r="BG44" s="9">
        <f>Inputs!$F$49*IF(AND(BG22&gt;=Inputs!$F$201,BG23&lt;=Inputs!$F$202),1,0)</f>
        <v/>
      </c>
      <c r="BH44" s="9">
        <f>Inputs!$F$49*IF(AND(BH22&gt;=Inputs!$F$201,BH23&lt;=Inputs!$F$202),1,0)</f>
        <v/>
      </c>
      <c r="BI44" s="9">
        <f>Inputs!$F$49*IF(AND(BI22&gt;=Inputs!$F$201,BI23&lt;=Inputs!$F$202),1,0)</f>
        <v/>
      </c>
      <c r="BJ44" s="9">
        <f>Inputs!$F$49*IF(AND(BJ22&gt;=Inputs!$F$201,BJ23&lt;=Inputs!$F$202),1,0)</f>
        <v/>
      </c>
      <c r="BK44" s="9">
        <f>Inputs!$F$49*IF(AND(BK22&gt;=Inputs!$F$201,BK23&lt;=Inputs!$F$202),1,0)</f>
        <v/>
      </c>
      <c r="BL44" s="9">
        <f>Inputs!$F$49*IF(AND(BL22&gt;=Inputs!$F$201,BL23&lt;=Inputs!$F$202),1,0)</f>
        <v/>
      </c>
      <c r="BM44" s="9">
        <f>Inputs!$F$49*IF(AND(BM22&gt;=Inputs!$F$201,BM23&lt;=Inputs!$F$202),1,0)</f>
        <v/>
      </c>
      <c r="BN44" s="9">
        <f>Inputs!$F$49*IF(AND(BN22&gt;=Inputs!$F$201,BN23&lt;=Inputs!$F$202),1,0)</f>
        <v/>
      </c>
    </row>
    <row r="45">
      <c r="D45" t="inlineStr">
        <is>
          <t>Flag_DeferredRepayment</t>
        </is>
      </c>
      <c r="E45" t="inlineStr">
        <is>
          <t>flag</t>
        </is>
      </c>
      <c r="J45" s="9">
        <f>Inputs!$F$49*IF(AND(J23&gt;=Inputs!$F$203,J23&lt;=Inputs!$F$204),1,0)</f>
        <v/>
      </c>
      <c r="K45" s="9">
        <f>Inputs!$F$49*IF(AND(K23&gt;=Inputs!$F$203,K23&lt;=Inputs!$F$204),1,0)</f>
        <v/>
      </c>
      <c r="L45" s="9">
        <f>Inputs!$F$49*IF(AND(L23&gt;=Inputs!$F$203,L23&lt;=Inputs!$F$204),1,0)</f>
        <v/>
      </c>
      <c r="M45" s="9">
        <f>Inputs!$F$49*IF(AND(M23&gt;=Inputs!$F$203,M23&lt;=Inputs!$F$204),1,0)</f>
        <v/>
      </c>
      <c r="N45" s="9">
        <f>Inputs!$F$49*IF(AND(N23&gt;=Inputs!$F$203,N23&lt;=Inputs!$F$204),1,0)</f>
        <v/>
      </c>
      <c r="O45" s="9">
        <f>Inputs!$F$49*IF(AND(O23&gt;=Inputs!$F$203,O23&lt;=Inputs!$F$204),1,0)</f>
        <v/>
      </c>
      <c r="P45" s="9">
        <f>Inputs!$F$49*IF(AND(P23&gt;=Inputs!$F$203,P23&lt;=Inputs!$F$204),1,0)</f>
        <v/>
      </c>
      <c r="Q45" s="9">
        <f>Inputs!$F$49*IF(AND(Q23&gt;=Inputs!$F$203,Q23&lt;=Inputs!$F$204),1,0)</f>
        <v/>
      </c>
      <c r="R45" s="9">
        <f>Inputs!$F$49*IF(AND(R23&gt;=Inputs!$F$203,R23&lt;=Inputs!$F$204),1,0)</f>
        <v/>
      </c>
      <c r="S45" s="9">
        <f>Inputs!$F$49*IF(AND(S23&gt;=Inputs!$F$203,S23&lt;=Inputs!$F$204),1,0)</f>
        <v/>
      </c>
      <c r="T45" s="9">
        <f>Inputs!$F$49*IF(AND(T23&gt;=Inputs!$F$203,T23&lt;=Inputs!$F$204),1,0)</f>
        <v/>
      </c>
      <c r="U45" s="9">
        <f>Inputs!$F$49*IF(AND(U23&gt;=Inputs!$F$203,U23&lt;=Inputs!$F$204),1,0)</f>
        <v/>
      </c>
      <c r="V45" s="9">
        <f>Inputs!$F$49*IF(AND(V23&gt;=Inputs!$F$203,V23&lt;=Inputs!$F$204),1,0)</f>
        <v/>
      </c>
      <c r="W45" s="9">
        <f>Inputs!$F$49*IF(AND(W23&gt;=Inputs!$F$203,W23&lt;=Inputs!$F$204),1,0)</f>
        <v/>
      </c>
      <c r="X45" s="9">
        <f>Inputs!$F$49*IF(AND(X23&gt;=Inputs!$F$203,X23&lt;=Inputs!$F$204),1,0)</f>
        <v/>
      </c>
      <c r="Y45" s="9">
        <f>Inputs!$F$49*IF(AND(Y23&gt;=Inputs!$F$203,Y23&lt;=Inputs!$F$204),1,0)</f>
        <v/>
      </c>
      <c r="Z45" s="9">
        <f>Inputs!$F$49*IF(AND(Z23&gt;=Inputs!$F$203,Z23&lt;=Inputs!$F$204),1,0)</f>
        <v/>
      </c>
      <c r="AA45" s="9">
        <f>Inputs!$F$49*IF(AND(AA23&gt;=Inputs!$F$203,AA23&lt;=Inputs!$F$204),1,0)</f>
        <v/>
      </c>
      <c r="AB45" s="9">
        <f>Inputs!$F$49*IF(AND(AB23&gt;=Inputs!$F$203,AB23&lt;=Inputs!$F$204),1,0)</f>
        <v/>
      </c>
      <c r="AC45" s="9">
        <f>Inputs!$F$49*IF(AND(AC23&gt;=Inputs!$F$203,AC23&lt;=Inputs!$F$204),1,0)</f>
        <v/>
      </c>
      <c r="AD45" s="9">
        <f>Inputs!$F$49*IF(AND(AD23&gt;=Inputs!$F$203,AD23&lt;=Inputs!$F$204),1,0)</f>
        <v/>
      </c>
      <c r="AE45" s="9">
        <f>Inputs!$F$49*IF(AND(AE23&gt;=Inputs!$F$203,AE23&lt;=Inputs!$F$204),1,0)</f>
        <v/>
      </c>
      <c r="AF45" s="9">
        <f>Inputs!$F$49*IF(AND(AF23&gt;=Inputs!$F$203,AF23&lt;=Inputs!$F$204),1,0)</f>
        <v/>
      </c>
      <c r="AG45" s="9">
        <f>Inputs!$F$49*IF(AND(AG23&gt;=Inputs!$F$203,AG23&lt;=Inputs!$F$204),1,0)</f>
        <v/>
      </c>
      <c r="AH45" s="9">
        <f>Inputs!$F$49*IF(AND(AH23&gt;=Inputs!$F$203,AH23&lt;=Inputs!$F$204),1,0)</f>
        <v/>
      </c>
      <c r="AI45" s="9">
        <f>Inputs!$F$49*IF(AND(AI23&gt;=Inputs!$F$203,AI23&lt;=Inputs!$F$204),1,0)</f>
        <v/>
      </c>
      <c r="AJ45" s="9">
        <f>Inputs!$F$49*IF(AND(AJ23&gt;=Inputs!$F$203,AJ23&lt;=Inputs!$F$204),1,0)</f>
        <v/>
      </c>
      <c r="AK45" s="9">
        <f>Inputs!$F$49*IF(AND(AK23&gt;=Inputs!$F$203,AK23&lt;=Inputs!$F$204),1,0)</f>
        <v/>
      </c>
      <c r="AL45" s="9">
        <f>Inputs!$F$49*IF(AND(AL23&gt;=Inputs!$F$203,AL23&lt;=Inputs!$F$204),1,0)</f>
        <v/>
      </c>
      <c r="AM45" s="9">
        <f>Inputs!$F$49*IF(AND(AM23&gt;=Inputs!$F$203,AM23&lt;=Inputs!$F$204),1,0)</f>
        <v/>
      </c>
      <c r="AN45" s="9">
        <f>Inputs!$F$49*IF(AND(AN23&gt;=Inputs!$F$203,AN23&lt;=Inputs!$F$204),1,0)</f>
        <v/>
      </c>
      <c r="AO45" s="9">
        <f>Inputs!$F$49*IF(AND(AO23&gt;=Inputs!$F$203,AO23&lt;=Inputs!$F$204),1,0)</f>
        <v/>
      </c>
      <c r="AP45" s="9">
        <f>Inputs!$F$49*IF(AND(AP23&gt;=Inputs!$F$203,AP23&lt;=Inputs!$F$204),1,0)</f>
        <v/>
      </c>
      <c r="AQ45" s="9">
        <f>Inputs!$F$49*IF(AND(AQ23&gt;=Inputs!$F$203,AQ23&lt;=Inputs!$F$204),1,0)</f>
        <v/>
      </c>
      <c r="AR45" s="9">
        <f>Inputs!$F$49*IF(AND(AR23&gt;=Inputs!$F$203,AR23&lt;=Inputs!$F$204),1,0)</f>
        <v/>
      </c>
      <c r="AS45" s="9">
        <f>Inputs!$F$49*IF(AND(AS23&gt;=Inputs!$F$203,AS23&lt;=Inputs!$F$204),1,0)</f>
        <v/>
      </c>
      <c r="AT45" s="9">
        <f>Inputs!$F$49*IF(AND(AT23&gt;=Inputs!$F$203,AT23&lt;=Inputs!$F$204),1,0)</f>
        <v/>
      </c>
      <c r="AU45" s="9">
        <f>Inputs!$F$49*IF(AND(AU23&gt;=Inputs!$F$203,AU23&lt;=Inputs!$F$204),1,0)</f>
        <v/>
      </c>
      <c r="AV45" s="9">
        <f>Inputs!$F$49*IF(AND(AV23&gt;=Inputs!$F$203,AV23&lt;=Inputs!$F$204),1,0)</f>
        <v/>
      </c>
      <c r="AW45" s="9">
        <f>Inputs!$F$49*IF(AND(AW23&gt;=Inputs!$F$203,AW23&lt;=Inputs!$F$204),1,0)</f>
        <v/>
      </c>
      <c r="AX45" s="9">
        <f>Inputs!$F$49*IF(AND(AX23&gt;=Inputs!$F$203,AX23&lt;=Inputs!$F$204),1,0)</f>
        <v/>
      </c>
      <c r="AY45" s="9">
        <f>Inputs!$F$49*IF(AND(AY23&gt;=Inputs!$F$203,AY23&lt;=Inputs!$F$204),1,0)</f>
        <v/>
      </c>
      <c r="AZ45" s="9">
        <f>Inputs!$F$49*IF(AND(AZ23&gt;=Inputs!$F$203,AZ23&lt;=Inputs!$F$204),1,0)</f>
        <v/>
      </c>
      <c r="BA45" s="9">
        <f>Inputs!$F$49*IF(AND(BA23&gt;=Inputs!$F$203,BA23&lt;=Inputs!$F$204),1,0)</f>
        <v/>
      </c>
      <c r="BB45" s="9">
        <f>Inputs!$F$49*IF(AND(BB23&gt;=Inputs!$F$203,BB23&lt;=Inputs!$F$204),1,0)</f>
        <v/>
      </c>
      <c r="BC45" s="9">
        <f>Inputs!$F$49*IF(AND(BC23&gt;=Inputs!$F$203,BC23&lt;=Inputs!$F$204),1,0)</f>
        <v/>
      </c>
      <c r="BD45" s="9">
        <f>Inputs!$F$49*IF(AND(BD23&gt;=Inputs!$F$203,BD23&lt;=Inputs!$F$204),1,0)</f>
        <v/>
      </c>
      <c r="BE45" s="9">
        <f>Inputs!$F$49*IF(AND(BE23&gt;=Inputs!$F$203,BE23&lt;=Inputs!$F$204),1,0)</f>
        <v/>
      </c>
      <c r="BF45" s="9">
        <f>Inputs!$F$49*IF(AND(BF23&gt;=Inputs!$F$203,BF23&lt;=Inputs!$F$204),1,0)</f>
        <v/>
      </c>
      <c r="BG45" s="9">
        <f>Inputs!$F$49*IF(AND(BG23&gt;=Inputs!$F$203,BG23&lt;=Inputs!$F$204),1,0)</f>
        <v/>
      </c>
      <c r="BH45" s="9">
        <f>Inputs!$F$49*IF(AND(BH23&gt;=Inputs!$F$203,BH23&lt;=Inputs!$F$204),1,0)</f>
        <v/>
      </c>
      <c r="BI45" s="9">
        <f>Inputs!$F$49*IF(AND(BI23&gt;=Inputs!$F$203,BI23&lt;=Inputs!$F$204),1,0)</f>
        <v/>
      </c>
      <c r="BJ45" s="9">
        <f>Inputs!$F$49*IF(AND(BJ23&gt;=Inputs!$F$203,BJ23&lt;=Inputs!$F$204),1,0)</f>
        <v/>
      </c>
      <c r="BK45" s="9">
        <f>Inputs!$F$49*IF(AND(BK23&gt;=Inputs!$F$203,BK23&lt;=Inputs!$F$204),1,0)</f>
        <v/>
      </c>
      <c r="BL45" s="9">
        <f>Inputs!$F$49*IF(AND(BL23&gt;=Inputs!$F$203,BL23&lt;=Inputs!$F$204),1,0)</f>
        <v/>
      </c>
      <c r="BM45" s="9">
        <f>Inputs!$F$49*IF(AND(BM23&gt;=Inputs!$F$203,BM23&lt;=Inputs!$F$204),1,0)</f>
        <v/>
      </c>
      <c r="BN45" s="9">
        <f>Inputs!$F$49*IF(AND(BN23&gt;=Inputs!$F$203,BN23&lt;=Inputs!$F$204),1,0)</f>
        <v/>
      </c>
    </row>
    <row r="46">
      <c r="D46" t="inlineStr">
        <is>
          <t>Deferred repayments remaining (this and later periods)</t>
        </is>
      </c>
      <c r="E46" t="inlineStr">
        <is>
          <t>count</t>
        </is>
      </c>
      <c r="J46" s="9">
        <f>SUM(J45:BN45)</f>
        <v/>
      </c>
      <c r="K46" s="9">
        <f>SUM(K45:BN45)</f>
        <v/>
      </c>
      <c r="L46" s="9">
        <f>SUM(L45:BN45)</f>
        <v/>
      </c>
      <c r="M46" s="9">
        <f>SUM(M45:BN45)</f>
        <v/>
      </c>
      <c r="N46" s="9">
        <f>SUM(N45:BN45)</f>
        <v/>
      </c>
      <c r="O46" s="9">
        <f>SUM(O45:BN45)</f>
        <v/>
      </c>
      <c r="P46" s="9">
        <f>SUM(P45:BN45)</f>
        <v/>
      </c>
      <c r="Q46" s="9">
        <f>SUM(Q45:BN45)</f>
        <v/>
      </c>
      <c r="R46" s="9">
        <f>SUM(R45:BN45)</f>
        <v/>
      </c>
      <c r="S46" s="9">
        <f>SUM(S45:BN45)</f>
        <v/>
      </c>
      <c r="T46" s="9">
        <f>SUM(T45:BN45)</f>
        <v/>
      </c>
      <c r="U46" s="9">
        <f>SUM(U45:BN45)</f>
        <v/>
      </c>
      <c r="V46" s="9">
        <f>SUM(V45:BN45)</f>
        <v/>
      </c>
      <c r="W46" s="9">
        <f>SUM(W45:BN45)</f>
        <v/>
      </c>
      <c r="X46" s="9">
        <f>SUM(X45:BN45)</f>
        <v/>
      </c>
      <c r="Y46" s="9">
        <f>SUM(Y45:BN45)</f>
        <v/>
      </c>
      <c r="Z46" s="9">
        <f>SUM(Z45:BN45)</f>
        <v/>
      </c>
      <c r="AA46" s="9">
        <f>SUM(AA45:BN45)</f>
        <v/>
      </c>
      <c r="AB46" s="9">
        <f>SUM(AB45:BN45)</f>
        <v/>
      </c>
      <c r="AC46" s="9">
        <f>SUM(AC45:BN45)</f>
        <v/>
      </c>
      <c r="AD46" s="9">
        <f>SUM(AD45:BN45)</f>
        <v/>
      </c>
      <c r="AE46" s="9">
        <f>SUM(AE45:BN45)</f>
        <v/>
      </c>
      <c r="AF46" s="9">
        <f>SUM(AF45:BN45)</f>
        <v/>
      </c>
      <c r="AG46" s="9">
        <f>SUM(AG45:BN45)</f>
        <v/>
      </c>
      <c r="AH46" s="9">
        <f>SUM(AH45:BN45)</f>
        <v/>
      </c>
      <c r="AI46" s="9">
        <f>SUM(AI45:BN45)</f>
        <v/>
      </c>
      <c r="AJ46" s="9">
        <f>SUM(AJ45:BN45)</f>
        <v/>
      </c>
      <c r="AK46" s="9">
        <f>SUM(AK45:BN45)</f>
        <v/>
      </c>
      <c r="AL46" s="9">
        <f>SUM(AL45:BN45)</f>
        <v/>
      </c>
      <c r="AM46" s="9">
        <f>SUM(AM45:BN45)</f>
        <v/>
      </c>
      <c r="AN46" s="9">
        <f>SUM(AN45:BN45)</f>
        <v/>
      </c>
      <c r="AO46" s="9">
        <f>SUM(AO45:BN45)</f>
        <v/>
      </c>
      <c r="AP46" s="9">
        <f>SUM(AP45:BN45)</f>
        <v/>
      </c>
      <c r="AQ46" s="9">
        <f>SUM(AQ45:BN45)</f>
        <v/>
      </c>
      <c r="AR46" s="9">
        <f>SUM(AR45:BN45)</f>
        <v/>
      </c>
      <c r="AS46" s="9">
        <f>SUM(AS45:BN45)</f>
        <v/>
      </c>
      <c r="AT46" s="9">
        <f>SUM(AT45:BN45)</f>
        <v/>
      </c>
      <c r="AU46" s="9">
        <f>SUM(AU45:BN45)</f>
        <v/>
      </c>
      <c r="AV46" s="9">
        <f>SUM(AV45:BN45)</f>
        <v/>
      </c>
      <c r="AW46" s="9">
        <f>SUM(AW45:BN45)</f>
        <v/>
      </c>
      <c r="AX46" s="9">
        <f>SUM(AX45:BN45)</f>
        <v/>
      </c>
      <c r="AY46" s="9">
        <f>SUM(AY45:BN45)</f>
        <v/>
      </c>
      <c r="AZ46" s="9">
        <f>SUM(AZ45:BN45)</f>
        <v/>
      </c>
      <c r="BA46" s="9">
        <f>SUM(BA45:BN45)</f>
        <v/>
      </c>
      <c r="BB46" s="9">
        <f>SUM(BB45:BN45)</f>
        <v/>
      </c>
      <c r="BC46" s="9">
        <f>SUM(BC45:BN45)</f>
        <v/>
      </c>
      <c r="BD46" s="9">
        <f>SUM(BD45:BN45)</f>
        <v/>
      </c>
      <c r="BE46" s="9">
        <f>SUM(BE45:BN45)</f>
        <v/>
      </c>
      <c r="BF46" s="9">
        <f>SUM(BF45:BN45)</f>
        <v/>
      </c>
      <c r="BG46" s="9">
        <f>SUM(BG45:BN45)</f>
        <v/>
      </c>
      <c r="BH46" s="9">
        <f>SUM(BH45:BN45)</f>
        <v/>
      </c>
      <c r="BI46" s="9">
        <f>SUM(BI45:BN45)</f>
        <v/>
      </c>
      <c r="BJ46" s="9">
        <f>SUM(BJ45:BN45)</f>
        <v/>
      </c>
      <c r="BK46" s="9">
        <f>SUM(BK45:BN45)</f>
        <v/>
      </c>
      <c r="BL46" s="9">
        <f>SUM(BL45:BN45)</f>
        <v/>
      </c>
      <c r="BM46" s="9">
        <f>SUM(BM45:BN45)</f>
        <v/>
      </c>
      <c r="BN46" s="9">
        <f>SUM(BN45:BN45)</f>
        <v/>
      </c>
    </row>
    <row r="47">
      <c r="D47" t="inlineStr">
        <is>
          <t>Flag_Refinancing</t>
        </is>
      </c>
      <c r="E47" t="inlineStr">
        <is>
          <t>flag</t>
        </is>
      </c>
      <c r="J47" s="9">
        <f>Inputs!$F$50*IF(J23=Inputs!$F$205,1,0)</f>
        <v/>
      </c>
      <c r="K47" s="9">
        <f>Inputs!$F$50*IF(K23=Inputs!$F$205,1,0)</f>
        <v/>
      </c>
      <c r="L47" s="9">
        <f>Inputs!$F$50*IF(L23=Inputs!$F$205,1,0)</f>
        <v/>
      </c>
      <c r="M47" s="9">
        <f>Inputs!$F$50*IF(M23=Inputs!$F$205,1,0)</f>
        <v/>
      </c>
      <c r="N47" s="9">
        <f>Inputs!$F$50*IF(N23=Inputs!$F$205,1,0)</f>
        <v/>
      </c>
      <c r="O47" s="9">
        <f>Inputs!$F$50*IF(O23=Inputs!$F$205,1,0)</f>
        <v/>
      </c>
      <c r="P47" s="9">
        <f>Inputs!$F$50*IF(P23=Inputs!$F$205,1,0)</f>
        <v/>
      </c>
      <c r="Q47" s="9">
        <f>Inputs!$F$50*IF(Q23=Inputs!$F$205,1,0)</f>
        <v/>
      </c>
      <c r="R47" s="9">
        <f>Inputs!$F$50*IF(R23=Inputs!$F$205,1,0)</f>
        <v/>
      </c>
      <c r="S47" s="9">
        <f>Inputs!$F$50*IF(S23=Inputs!$F$205,1,0)</f>
        <v/>
      </c>
      <c r="T47" s="9">
        <f>Inputs!$F$50*IF(T23=Inputs!$F$205,1,0)</f>
        <v/>
      </c>
      <c r="U47" s="9">
        <f>Inputs!$F$50*IF(U23=Inputs!$F$205,1,0)</f>
        <v/>
      </c>
      <c r="V47" s="9">
        <f>Inputs!$F$50*IF(V23=Inputs!$F$205,1,0)</f>
        <v/>
      </c>
      <c r="W47" s="9">
        <f>Inputs!$F$50*IF(W23=Inputs!$F$205,1,0)</f>
        <v/>
      </c>
      <c r="X47" s="9">
        <f>Inputs!$F$50*IF(X23=Inputs!$F$205,1,0)</f>
        <v/>
      </c>
      <c r="Y47" s="9">
        <f>Inputs!$F$50*IF(Y23=Inputs!$F$205,1,0)</f>
        <v/>
      </c>
      <c r="Z47" s="9">
        <f>Inputs!$F$50*IF(Z23=Inputs!$F$205,1,0)</f>
        <v/>
      </c>
      <c r="AA47" s="9">
        <f>Inputs!$F$50*IF(AA23=Inputs!$F$205,1,0)</f>
        <v/>
      </c>
      <c r="AB47" s="9">
        <f>Inputs!$F$50*IF(AB23=Inputs!$F$205,1,0)</f>
        <v/>
      </c>
      <c r="AC47" s="9">
        <f>Inputs!$F$50*IF(AC23=Inputs!$F$205,1,0)</f>
        <v/>
      </c>
      <c r="AD47" s="9">
        <f>Inputs!$F$50*IF(AD23=Inputs!$F$205,1,0)</f>
        <v/>
      </c>
      <c r="AE47" s="9">
        <f>Inputs!$F$50*IF(AE23=Inputs!$F$205,1,0)</f>
        <v/>
      </c>
      <c r="AF47" s="9">
        <f>Inputs!$F$50*IF(AF23=Inputs!$F$205,1,0)</f>
        <v/>
      </c>
      <c r="AG47" s="9">
        <f>Inputs!$F$50*IF(AG23=Inputs!$F$205,1,0)</f>
        <v/>
      </c>
      <c r="AH47" s="9">
        <f>Inputs!$F$50*IF(AH23=Inputs!$F$205,1,0)</f>
        <v/>
      </c>
      <c r="AI47" s="9">
        <f>Inputs!$F$50*IF(AI23=Inputs!$F$205,1,0)</f>
        <v/>
      </c>
      <c r="AJ47" s="9">
        <f>Inputs!$F$50*IF(AJ23=Inputs!$F$205,1,0)</f>
        <v/>
      </c>
      <c r="AK47" s="9">
        <f>Inputs!$F$50*IF(AK23=Inputs!$F$205,1,0)</f>
        <v/>
      </c>
      <c r="AL47" s="9">
        <f>Inputs!$F$50*IF(AL23=Inputs!$F$205,1,0)</f>
        <v/>
      </c>
      <c r="AM47" s="9">
        <f>Inputs!$F$50*IF(AM23=Inputs!$F$205,1,0)</f>
        <v/>
      </c>
      <c r="AN47" s="9">
        <f>Inputs!$F$50*IF(AN23=Inputs!$F$205,1,0)</f>
        <v/>
      </c>
      <c r="AO47" s="9">
        <f>Inputs!$F$50*IF(AO23=Inputs!$F$205,1,0)</f>
        <v/>
      </c>
      <c r="AP47" s="9">
        <f>Inputs!$F$50*IF(AP23=Inputs!$F$205,1,0)</f>
        <v/>
      </c>
      <c r="AQ47" s="9">
        <f>Inputs!$F$50*IF(AQ23=Inputs!$F$205,1,0)</f>
        <v/>
      </c>
      <c r="AR47" s="9">
        <f>Inputs!$F$50*IF(AR23=Inputs!$F$205,1,0)</f>
        <v/>
      </c>
      <c r="AS47" s="9">
        <f>Inputs!$F$50*IF(AS23=Inputs!$F$205,1,0)</f>
        <v/>
      </c>
      <c r="AT47" s="9">
        <f>Inputs!$F$50*IF(AT23=Inputs!$F$205,1,0)</f>
        <v/>
      </c>
      <c r="AU47" s="9">
        <f>Inputs!$F$50*IF(AU23=Inputs!$F$205,1,0)</f>
        <v/>
      </c>
      <c r="AV47" s="9">
        <f>Inputs!$F$50*IF(AV23=Inputs!$F$205,1,0)</f>
        <v/>
      </c>
      <c r="AW47" s="9">
        <f>Inputs!$F$50*IF(AW23=Inputs!$F$205,1,0)</f>
        <v/>
      </c>
      <c r="AX47" s="9">
        <f>Inputs!$F$50*IF(AX23=Inputs!$F$205,1,0)</f>
        <v/>
      </c>
      <c r="AY47" s="9">
        <f>Inputs!$F$50*IF(AY23=Inputs!$F$205,1,0)</f>
        <v/>
      </c>
      <c r="AZ47" s="9">
        <f>Inputs!$F$50*IF(AZ23=Inputs!$F$205,1,0)</f>
        <v/>
      </c>
      <c r="BA47" s="9">
        <f>Inputs!$F$50*IF(BA23=Inputs!$F$205,1,0)</f>
        <v/>
      </c>
      <c r="BB47" s="9">
        <f>Inputs!$F$50*IF(BB23=Inputs!$F$205,1,0)</f>
        <v/>
      </c>
      <c r="BC47" s="9">
        <f>Inputs!$F$50*IF(BC23=Inputs!$F$205,1,0)</f>
        <v/>
      </c>
      <c r="BD47" s="9">
        <f>Inputs!$F$50*IF(BD23=Inputs!$F$205,1,0)</f>
        <v/>
      </c>
      <c r="BE47" s="9">
        <f>Inputs!$F$50*IF(BE23=Inputs!$F$205,1,0)</f>
        <v/>
      </c>
      <c r="BF47" s="9">
        <f>Inputs!$F$50*IF(BF23=Inputs!$F$205,1,0)</f>
        <v/>
      </c>
      <c r="BG47" s="9">
        <f>Inputs!$F$50*IF(BG23=Inputs!$F$205,1,0)</f>
        <v/>
      </c>
      <c r="BH47" s="9">
        <f>Inputs!$F$50*IF(BH23=Inputs!$F$205,1,0)</f>
        <v/>
      </c>
      <c r="BI47" s="9">
        <f>Inputs!$F$50*IF(BI23=Inputs!$F$205,1,0)</f>
        <v/>
      </c>
      <c r="BJ47" s="9">
        <f>Inputs!$F$50*IF(BJ23=Inputs!$F$205,1,0)</f>
        <v/>
      </c>
      <c r="BK47" s="9">
        <f>Inputs!$F$50*IF(BK23=Inputs!$F$205,1,0)</f>
        <v/>
      </c>
      <c r="BL47" s="9">
        <f>Inputs!$F$50*IF(BL23=Inputs!$F$205,1,0)</f>
        <v/>
      </c>
      <c r="BM47" s="9">
        <f>Inputs!$F$50*IF(BM23=Inputs!$F$205,1,0)</f>
        <v/>
      </c>
      <c r="BN47" s="9">
        <f>Inputs!$F$50*IF(BN23=Inputs!$F$205,1,0)</f>
        <v/>
      </c>
    </row>
    <row r="48">
      <c r="D48" t="inlineStr">
        <is>
          <t>Flag_AfterRefinancing</t>
        </is>
      </c>
      <c r="E48" t="inlineStr">
        <is>
          <t>flag</t>
        </is>
      </c>
      <c r="J48" s="9">
        <f>Inputs!$F$50*IF(J23&gt;Inputs!$F$205,1,0)</f>
        <v/>
      </c>
      <c r="K48" s="9">
        <f>Inputs!$F$50*IF(K23&gt;Inputs!$F$205,1,0)</f>
        <v/>
      </c>
      <c r="L48" s="9">
        <f>Inputs!$F$50*IF(L23&gt;Inputs!$F$205,1,0)</f>
        <v/>
      </c>
      <c r="M48" s="9">
        <f>Inputs!$F$50*IF(M23&gt;Inputs!$F$205,1,0)</f>
        <v/>
      </c>
      <c r="N48" s="9">
        <f>Inputs!$F$50*IF(N23&gt;Inputs!$F$205,1,0)</f>
        <v/>
      </c>
      <c r="O48" s="9">
        <f>Inputs!$F$50*IF(O23&gt;Inputs!$F$205,1,0)</f>
        <v/>
      </c>
      <c r="P48" s="9">
        <f>Inputs!$F$50*IF(P23&gt;Inputs!$F$205,1,0)</f>
        <v/>
      </c>
      <c r="Q48" s="9">
        <f>Inputs!$F$50*IF(Q23&gt;Inputs!$F$205,1,0)</f>
        <v/>
      </c>
      <c r="R48" s="9">
        <f>Inputs!$F$50*IF(R23&gt;Inputs!$F$205,1,0)</f>
        <v/>
      </c>
      <c r="S48" s="9">
        <f>Inputs!$F$50*IF(S23&gt;Inputs!$F$205,1,0)</f>
        <v/>
      </c>
      <c r="T48" s="9">
        <f>Inputs!$F$50*IF(T23&gt;Inputs!$F$205,1,0)</f>
        <v/>
      </c>
      <c r="U48" s="9">
        <f>Inputs!$F$50*IF(U23&gt;Inputs!$F$205,1,0)</f>
        <v/>
      </c>
      <c r="V48" s="9">
        <f>Inputs!$F$50*IF(V23&gt;Inputs!$F$205,1,0)</f>
        <v/>
      </c>
      <c r="W48" s="9">
        <f>Inputs!$F$50*IF(W23&gt;Inputs!$F$205,1,0)</f>
        <v/>
      </c>
      <c r="X48" s="9">
        <f>Inputs!$F$50*IF(X23&gt;Inputs!$F$205,1,0)</f>
        <v/>
      </c>
      <c r="Y48" s="9">
        <f>Inputs!$F$50*IF(Y23&gt;Inputs!$F$205,1,0)</f>
        <v/>
      </c>
      <c r="Z48" s="9">
        <f>Inputs!$F$50*IF(Z23&gt;Inputs!$F$205,1,0)</f>
        <v/>
      </c>
      <c r="AA48" s="9">
        <f>Inputs!$F$50*IF(AA23&gt;Inputs!$F$205,1,0)</f>
        <v/>
      </c>
      <c r="AB48" s="9">
        <f>Inputs!$F$50*IF(AB23&gt;Inputs!$F$205,1,0)</f>
        <v/>
      </c>
      <c r="AC48" s="9">
        <f>Inputs!$F$50*IF(AC23&gt;Inputs!$F$205,1,0)</f>
        <v/>
      </c>
      <c r="AD48" s="9">
        <f>Inputs!$F$50*IF(AD23&gt;Inputs!$F$205,1,0)</f>
        <v/>
      </c>
      <c r="AE48" s="9">
        <f>Inputs!$F$50*IF(AE23&gt;Inputs!$F$205,1,0)</f>
        <v/>
      </c>
      <c r="AF48" s="9">
        <f>Inputs!$F$50*IF(AF23&gt;Inputs!$F$205,1,0)</f>
        <v/>
      </c>
      <c r="AG48" s="9">
        <f>Inputs!$F$50*IF(AG23&gt;Inputs!$F$205,1,0)</f>
        <v/>
      </c>
      <c r="AH48" s="9">
        <f>Inputs!$F$50*IF(AH23&gt;Inputs!$F$205,1,0)</f>
        <v/>
      </c>
      <c r="AI48" s="9">
        <f>Inputs!$F$50*IF(AI23&gt;Inputs!$F$205,1,0)</f>
        <v/>
      </c>
      <c r="AJ48" s="9">
        <f>Inputs!$F$50*IF(AJ23&gt;Inputs!$F$205,1,0)</f>
        <v/>
      </c>
      <c r="AK48" s="9">
        <f>Inputs!$F$50*IF(AK23&gt;Inputs!$F$205,1,0)</f>
        <v/>
      </c>
      <c r="AL48" s="9">
        <f>Inputs!$F$50*IF(AL23&gt;Inputs!$F$205,1,0)</f>
        <v/>
      </c>
      <c r="AM48" s="9">
        <f>Inputs!$F$50*IF(AM23&gt;Inputs!$F$205,1,0)</f>
        <v/>
      </c>
      <c r="AN48" s="9">
        <f>Inputs!$F$50*IF(AN23&gt;Inputs!$F$205,1,0)</f>
        <v/>
      </c>
      <c r="AO48" s="9">
        <f>Inputs!$F$50*IF(AO23&gt;Inputs!$F$205,1,0)</f>
        <v/>
      </c>
      <c r="AP48" s="9">
        <f>Inputs!$F$50*IF(AP23&gt;Inputs!$F$205,1,0)</f>
        <v/>
      </c>
      <c r="AQ48" s="9">
        <f>Inputs!$F$50*IF(AQ23&gt;Inputs!$F$205,1,0)</f>
        <v/>
      </c>
      <c r="AR48" s="9">
        <f>Inputs!$F$50*IF(AR23&gt;Inputs!$F$205,1,0)</f>
        <v/>
      </c>
      <c r="AS48" s="9">
        <f>Inputs!$F$50*IF(AS23&gt;Inputs!$F$205,1,0)</f>
        <v/>
      </c>
      <c r="AT48" s="9">
        <f>Inputs!$F$50*IF(AT23&gt;Inputs!$F$205,1,0)</f>
        <v/>
      </c>
      <c r="AU48" s="9">
        <f>Inputs!$F$50*IF(AU23&gt;Inputs!$F$205,1,0)</f>
        <v/>
      </c>
      <c r="AV48" s="9">
        <f>Inputs!$F$50*IF(AV23&gt;Inputs!$F$205,1,0)</f>
        <v/>
      </c>
      <c r="AW48" s="9">
        <f>Inputs!$F$50*IF(AW23&gt;Inputs!$F$205,1,0)</f>
        <v/>
      </c>
      <c r="AX48" s="9">
        <f>Inputs!$F$50*IF(AX23&gt;Inputs!$F$205,1,0)</f>
        <v/>
      </c>
      <c r="AY48" s="9">
        <f>Inputs!$F$50*IF(AY23&gt;Inputs!$F$205,1,0)</f>
        <v/>
      </c>
      <c r="AZ48" s="9">
        <f>Inputs!$F$50*IF(AZ23&gt;Inputs!$F$205,1,0)</f>
        <v/>
      </c>
      <c r="BA48" s="9">
        <f>Inputs!$F$50*IF(BA23&gt;Inputs!$F$205,1,0)</f>
        <v/>
      </c>
      <c r="BB48" s="9">
        <f>Inputs!$F$50*IF(BB23&gt;Inputs!$F$205,1,0)</f>
        <v/>
      </c>
      <c r="BC48" s="9">
        <f>Inputs!$F$50*IF(BC23&gt;Inputs!$F$205,1,0)</f>
        <v/>
      </c>
      <c r="BD48" s="9">
        <f>Inputs!$F$50*IF(BD23&gt;Inputs!$F$205,1,0)</f>
        <v/>
      </c>
      <c r="BE48" s="9">
        <f>Inputs!$F$50*IF(BE23&gt;Inputs!$F$205,1,0)</f>
        <v/>
      </c>
      <c r="BF48" s="9">
        <f>Inputs!$F$50*IF(BF23&gt;Inputs!$F$205,1,0)</f>
        <v/>
      </c>
      <c r="BG48" s="9">
        <f>Inputs!$F$50*IF(BG23&gt;Inputs!$F$205,1,0)</f>
        <v/>
      </c>
      <c r="BH48" s="9">
        <f>Inputs!$F$50*IF(BH23&gt;Inputs!$F$205,1,0)</f>
        <v/>
      </c>
      <c r="BI48" s="9">
        <f>Inputs!$F$50*IF(BI23&gt;Inputs!$F$205,1,0)</f>
        <v/>
      </c>
      <c r="BJ48" s="9">
        <f>Inputs!$F$50*IF(BJ23&gt;Inputs!$F$205,1,0)</f>
        <v/>
      </c>
      <c r="BK48" s="9">
        <f>Inputs!$F$50*IF(BK23&gt;Inputs!$F$205,1,0)</f>
        <v/>
      </c>
      <c r="BL48" s="9">
        <f>Inputs!$F$50*IF(BL23&gt;Inputs!$F$205,1,0)</f>
        <v/>
      </c>
      <c r="BM48" s="9">
        <f>Inputs!$F$50*IF(BM23&gt;Inputs!$F$205,1,0)</f>
        <v/>
      </c>
      <c r="BN48" s="9">
        <f>Inputs!$F$50*IF(BN23&gt;Inputs!$F$205,1,0)</f>
        <v/>
      </c>
    </row>
    <row r="49">
      <c r="D49" t="inlineStr">
        <is>
          <t>Flag_TestWaived</t>
        </is>
      </c>
      <c r="E49" t="inlineStr">
        <is>
          <t>flag</t>
        </is>
      </c>
      <c r="J49" s="9">
        <f>Inputs!$F$49*IF(AND(J23&gt;=Inputs!$F$199,J23&lt;=Inputs!$F$200),1,0)</f>
        <v/>
      </c>
      <c r="K49" s="9">
        <f>Inputs!$F$49*IF(AND(K23&gt;=Inputs!$F$199,K23&lt;=Inputs!$F$200),1,0)</f>
        <v/>
      </c>
      <c r="L49" s="9">
        <f>Inputs!$F$49*IF(AND(L23&gt;=Inputs!$F$199,L23&lt;=Inputs!$F$200),1,0)</f>
        <v/>
      </c>
      <c r="M49" s="9">
        <f>Inputs!$F$49*IF(AND(M23&gt;=Inputs!$F$199,M23&lt;=Inputs!$F$200),1,0)</f>
        <v/>
      </c>
      <c r="N49" s="9">
        <f>Inputs!$F$49*IF(AND(N23&gt;=Inputs!$F$199,N23&lt;=Inputs!$F$200),1,0)</f>
        <v/>
      </c>
      <c r="O49" s="9">
        <f>Inputs!$F$49*IF(AND(O23&gt;=Inputs!$F$199,O23&lt;=Inputs!$F$200),1,0)</f>
        <v/>
      </c>
      <c r="P49" s="9">
        <f>Inputs!$F$49*IF(AND(P23&gt;=Inputs!$F$199,P23&lt;=Inputs!$F$200),1,0)</f>
        <v/>
      </c>
      <c r="Q49" s="9">
        <f>Inputs!$F$49*IF(AND(Q23&gt;=Inputs!$F$199,Q23&lt;=Inputs!$F$200),1,0)</f>
        <v/>
      </c>
      <c r="R49" s="9">
        <f>Inputs!$F$49*IF(AND(R23&gt;=Inputs!$F$199,R23&lt;=Inputs!$F$200),1,0)</f>
        <v/>
      </c>
      <c r="S49" s="9">
        <f>Inputs!$F$49*IF(AND(S23&gt;=Inputs!$F$199,S23&lt;=Inputs!$F$200),1,0)</f>
        <v/>
      </c>
      <c r="T49" s="9">
        <f>Inputs!$F$49*IF(AND(T23&gt;=Inputs!$F$199,T23&lt;=Inputs!$F$200),1,0)</f>
        <v/>
      </c>
      <c r="U49" s="9">
        <f>Inputs!$F$49*IF(AND(U23&gt;=Inputs!$F$199,U23&lt;=Inputs!$F$200),1,0)</f>
        <v/>
      </c>
      <c r="V49" s="9">
        <f>Inputs!$F$49*IF(AND(V23&gt;=Inputs!$F$199,V23&lt;=Inputs!$F$200),1,0)</f>
        <v/>
      </c>
      <c r="W49" s="9">
        <f>Inputs!$F$49*IF(AND(W23&gt;=Inputs!$F$199,W23&lt;=Inputs!$F$200),1,0)</f>
        <v/>
      </c>
      <c r="X49" s="9">
        <f>Inputs!$F$49*IF(AND(X23&gt;=Inputs!$F$199,X23&lt;=Inputs!$F$200),1,0)</f>
        <v/>
      </c>
      <c r="Y49" s="9">
        <f>Inputs!$F$49*IF(AND(Y23&gt;=Inputs!$F$199,Y23&lt;=Inputs!$F$200),1,0)</f>
        <v/>
      </c>
      <c r="Z49" s="9">
        <f>Inputs!$F$49*IF(AND(Z23&gt;=Inputs!$F$199,Z23&lt;=Inputs!$F$200),1,0)</f>
        <v/>
      </c>
      <c r="AA49" s="9">
        <f>Inputs!$F$49*IF(AND(AA23&gt;=Inputs!$F$199,AA23&lt;=Inputs!$F$200),1,0)</f>
        <v/>
      </c>
      <c r="AB49" s="9">
        <f>Inputs!$F$49*IF(AND(AB23&gt;=Inputs!$F$199,AB23&lt;=Inputs!$F$200),1,0)</f>
        <v/>
      </c>
      <c r="AC49" s="9">
        <f>Inputs!$F$49*IF(AND(AC23&gt;=Inputs!$F$199,AC23&lt;=Inputs!$F$200),1,0)</f>
        <v/>
      </c>
      <c r="AD49" s="9">
        <f>Inputs!$F$49*IF(AND(AD23&gt;=Inputs!$F$199,AD23&lt;=Inputs!$F$200),1,0)</f>
        <v/>
      </c>
      <c r="AE49" s="9">
        <f>Inputs!$F$49*IF(AND(AE23&gt;=Inputs!$F$199,AE23&lt;=Inputs!$F$200),1,0)</f>
        <v/>
      </c>
      <c r="AF49" s="9">
        <f>Inputs!$F$49*IF(AND(AF23&gt;=Inputs!$F$199,AF23&lt;=Inputs!$F$200),1,0)</f>
        <v/>
      </c>
      <c r="AG49" s="9">
        <f>Inputs!$F$49*IF(AND(AG23&gt;=Inputs!$F$199,AG23&lt;=Inputs!$F$200),1,0)</f>
        <v/>
      </c>
      <c r="AH49" s="9">
        <f>Inputs!$F$49*IF(AND(AH23&gt;=Inputs!$F$199,AH23&lt;=Inputs!$F$200),1,0)</f>
        <v/>
      </c>
      <c r="AI49" s="9">
        <f>Inputs!$F$49*IF(AND(AI23&gt;=Inputs!$F$199,AI23&lt;=Inputs!$F$200),1,0)</f>
        <v/>
      </c>
      <c r="AJ49" s="9">
        <f>Inputs!$F$49*IF(AND(AJ23&gt;=Inputs!$F$199,AJ23&lt;=Inputs!$F$200),1,0)</f>
        <v/>
      </c>
      <c r="AK49" s="9">
        <f>Inputs!$F$49*IF(AND(AK23&gt;=Inputs!$F$199,AK23&lt;=Inputs!$F$200),1,0)</f>
        <v/>
      </c>
      <c r="AL49" s="9">
        <f>Inputs!$F$49*IF(AND(AL23&gt;=Inputs!$F$199,AL23&lt;=Inputs!$F$200),1,0)</f>
        <v/>
      </c>
      <c r="AM49" s="9">
        <f>Inputs!$F$49*IF(AND(AM23&gt;=Inputs!$F$199,AM23&lt;=Inputs!$F$200),1,0)</f>
        <v/>
      </c>
      <c r="AN49" s="9">
        <f>Inputs!$F$49*IF(AND(AN23&gt;=Inputs!$F$199,AN23&lt;=Inputs!$F$200),1,0)</f>
        <v/>
      </c>
      <c r="AO49" s="9">
        <f>Inputs!$F$49*IF(AND(AO23&gt;=Inputs!$F$199,AO23&lt;=Inputs!$F$200),1,0)</f>
        <v/>
      </c>
      <c r="AP49" s="9">
        <f>Inputs!$F$49*IF(AND(AP23&gt;=Inputs!$F$199,AP23&lt;=Inputs!$F$200),1,0)</f>
        <v/>
      </c>
      <c r="AQ49" s="9">
        <f>Inputs!$F$49*IF(AND(AQ23&gt;=Inputs!$F$199,AQ23&lt;=Inputs!$F$200),1,0)</f>
        <v/>
      </c>
      <c r="AR49" s="9">
        <f>Inputs!$F$49*IF(AND(AR23&gt;=Inputs!$F$199,AR23&lt;=Inputs!$F$200),1,0)</f>
        <v/>
      </c>
      <c r="AS49" s="9">
        <f>Inputs!$F$49*IF(AND(AS23&gt;=Inputs!$F$199,AS23&lt;=Inputs!$F$200),1,0)</f>
        <v/>
      </c>
      <c r="AT49" s="9">
        <f>Inputs!$F$49*IF(AND(AT23&gt;=Inputs!$F$199,AT23&lt;=Inputs!$F$200),1,0)</f>
        <v/>
      </c>
      <c r="AU49" s="9">
        <f>Inputs!$F$49*IF(AND(AU23&gt;=Inputs!$F$199,AU23&lt;=Inputs!$F$200),1,0)</f>
        <v/>
      </c>
      <c r="AV49" s="9">
        <f>Inputs!$F$49*IF(AND(AV23&gt;=Inputs!$F$199,AV23&lt;=Inputs!$F$200),1,0)</f>
        <v/>
      </c>
      <c r="AW49" s="9">
        <f>Inputs!$F$49*IF(AND(AW23&gt;=Inputs!$F$199,AW23&lt;=Inputs!$F$200),1,0)</f>
        <v/>
      </c>
      <c r="AX49" s="9">
        <f>Inputs!$F$49*IF(AND(AX23&gt;=Inputs!$F$199,AX23&lt;=Inputs!$F$200),1,0)</f>
        <v/>
      </c>
      <c r="AY49" s="9">
        <f>Inputs!$F$49*IF(AND(AY23&gt;=Inputs!$F$199,AY23&lt;=Inputs!$F$200),1,0)</f>
        <v/>
      </c>
      <c r="AZ49" s="9">
        <f>Inputs!$F$49*IF(AND(AZ23&gt;=Inputs!$F$199,AZ23&lt;=Inputs!$F$200),1,0)</f>
        <v/>
      </c>
      <c r="BA49" s="9">
        <f>Inputs!$F$49*IF(AND(BA23&gt;=Inputs!$F$199,BA23&lt;=Inputs!$F$200),1,0)</f>
        <v/>
      </c>
      <c r="BB49" s="9">
        <f>Inputs!$F$49*IF(AND(BB23&gt;=Inputs!$F$199,BB23&lt;=Inputs!$F$200),1,0)</f>
        <v/>
      </c>
      <c r="BC49" s="9">
        <f>Inputs!$F$49*IF(AND(BC23&gt;=Inputs!$F$199,BC23&lt;=Inputs!$F$200),1,0)</f>
        <v/>
      </c>
      <c r="BD49" s="9">
        <f>Inputs!$F$49*IF(AND(BD23&gt;=Inputs!$F$199,BD23&lt;=Inputs!$F$200),1,0)</f>
        <v/>
      </c>
      <c r="BE49" s="9">
        <f>Inputs!$F$49*IF(AND(BE23&gt;=Inputs!$F$199,BE23&lt;=Inputs!$F$200),1,0)</f>
        <v/>
      </c>
      <c r="BF49" s="9">
        <f>Inputs!$F$49*IF(AND(BF23&gt;=Inputs!$F$199,BF23&lt;=Inputs!$F$200),1,0)</f>
        <v/>
      </c>
      <c r="BG49" s="9">
        <f>Inputs!$F$49*IF(AND(BG23&gt;=Inputs!$F$199,BG23&lt;=Inputs!$F$200),1,0)</f>
        <v/>
      </c>
      <c r="BH49" s="9">
        <f>Inputs!$F$49*IF(AND(BH23&gt;=Inputs!$F$199,BH23&lt;=Inputs!$F$200),1,0)</f>
        <v/>
      </c>
      <c r="BI49" s="9">
        <f>Inputs!$F$49*IF(AND(BI23&gt;=Inputs!$F$199,BI23&lt;=Inputs!$F$200),1,0)</f>
        <v/>
      </c>
      <c r="BJ49" s="9">
        <f>Inputs!$F$49*IF(AND(BJ23&gt;=Inputs!$F$199,BJ23&lt;=Inputs!$F$200),1,0)</f>
        <v/>
      </c>
      <c r="BK49" s="9">
        <f>Inputs!$F$49*IF(AND(BK23&gt;=Inputs!$F$199,BK23&lt;=Inputs!$F$200),1,0)</f>
        <v/>
      </c>
      <c r="BL49" s="9">
        <f>Inputs!$F$49*IF(AND(BL23&gt;=Inputs!$F$199,BL23&lt;=Inputs!$F$200),1,0)</f>
        <v/>
      </c>
      <c r="BM49" s="9">
        <f>Inputs!$F$49*IF(AND(BM23&gt;=Inputs!$F$199,BM23&lt;=Inputs!$F$200),1,0)</f>
        <v/>
      </c>
      <c r="BN49" s="9">
        <f>Inputs!$F$49*IF(AND(BN23&gt;=Inputs!$F$199,BN23&lt;=Inputs!$F$200),1,0)</f>
        <v/>
      </c>
    </row>
    <row r="50">
      <c r="D50" t="inlineStr">
        <is>
          <t>Flag_WaiverRegime</t>
        </is>
      </c>
      <c r="E50" t="inlineStr">
        <is>
          <t>flag</t>
        </is>
      </c>
      <c r="J50" s="9">
        <f>Inputs!$F$49*IF(J23&gt;=Inputs!$F$199,1,0)</f>
        <v/>
      </c>
      <c r="K50" s="9">
        <f>Inputs!$F$49*IF(K23&gt;=Inputs!$F$199,1,0)</f>
        <v/>
      </c>
      <c r="L50" s="9">
        <f>Inputs!$F$49*IF(L23&gt;=Inputs!$F$199,1,0)</f>
        <v/>
      </c>
      <c r="M50" s="9">
        <f>Inputs!$F$49*IF(M23&gt;=Inputs!$F$199,1,0)</f>
        <v/>
      </c>
      <c r="N50" s="9">
        <f>Inputs!$F$49*IF(N23&gt;=Inputs!$F$199,1,0)</f>
        <v/>
      </c>
      <c r="O50" s="9">
        <f>Inputs!$F$49*IF(O23&gt;=Inputs!$F$199,1,0)</f>
        <v/>
      </c>
      <c r="P50" s="9">
        <f>Inputs!$F$49*IF(P23&gt;=Inputs!$F$199,1,0)</f>
        <v/>
      </c>
      <c r="Q50" s="9">
        <f>Inputs!$F$49*IF(Q23&gt;=Inputs!$F$199,1,0)</f>
        <v/>
      </c>
      <c r="R50" s="9">
        <f>Inputs!$F$49*IF(R23&gt;=Inputs!$F$199,1,0)</f>
        <v/>
      </c>
      <c r="S50" s="9">
        <f>Inputs!$F$49*IF(S23&gt;=Inputs!$F$199,1,0)</f>
        <v/>
      </c>
      <c r="T50" s="9">
        <f>Inputs!$F$49*IF(T23&gt;=Inputs!$F$199,1,0)</f>
        <v/>
      </c>
      <c r="U50" s="9">
        <f>Inputs!$F$49*IF(U23&gt;=Inputs!$F$199,1,0)</f>
        <v/>
      </c>
      <c r="V50" s="9">
        <f>Inputs!$F$49*IF(V23&gt;=Inputs!$F$199,1,0)</f>
        <v/>
      </c>
      <c r="W50" s="9">
        <f>Inputs!$F$49*IF(W23&gt;=Inputs!$F$199,1,0)</f>
        <v/>
      </c>
      <c r="X50" s="9">
        <f>Inputs!$F$49*IF(X23&gt;=Inputs!$F$199,1,0)</f>
        <v/>
      </c>
      <c r="Y50" s="9">
        <f>Inputs!$F$49*IF(Y23&gt;=Inputs!$F$199,1,0)</f>
        <v/>
      </c>
      <c r="Z50" s="9">
        <f>Inputs!$F$49*IF(Z23&gt;=Inputs!$F$199,1,0)</f>
        <v/>
      </c>
      <c r="AA50" s="9">
        <f>Inputs!$F$49*IF(AA23&gt;=Inputs!$F$199,1,0)</f>
        <v/>
      </c>
      <c r="AB50" s="9">
        <f>Inputs!$F$49*IF(AB23&gt;=Inputs!$F$199,1,0)</f>
        <v/>
      </c>
      <c r="AC50" s="9">
        <f>Inputs!$F$49*IF(AC23&gt;=Inputs!$F$199,1,0)</f>
        <v/>
      </c>
      <c r="AD50" s="9">
        <f>Inputs!$F$49*IF(AD23&gt;=Inputs!$F$199,1,0)</f>
        <v/>
      </c>
      <c r="AE50" s="9">
        <f>Inputs!$F$49*IF(AE23&gt;=Inputs!$F$199,1,0)</f>
        <v/>
      </c>
      <c r="AF50" s="9">
        <f>Inputs!$F$49*IF(AF23&gt;=Inputs!$F$199,1,0)</f>
        <v/>
      </c>
      <c r="AG50" s="9">
        <f>Inputs!$F$49*IF(AG23&gt;=Inputs!$F$199,1,0)</f>
        <v/>
      </c>
      <c r="AH50" s="9">
        <f>Inputs!$F$49*IF(AH23&gt;=Inputs!$F$199,1,0)</f>
        <v/>
      </c>
      <c r="AI50" s="9">
        <f>Inputs!$F$49*IF(AI23&gt;=Inputs!$F$199,1,0)</f>
        <v/>
      </c>
      <c r="AJ50" s="9">
        <f>Inputs!$F$49*IF(AJ23&gt;=Inputs!$F$199,1,0)</f>
        <v/>
      </c>
      <c r="AK50" s="9">
        <f>Inputs!$F$49*IF(AK23&gt;=Inputs!$F$199,1,0)</f>
        <v/>
      </c>
      <c r="AL50" s="9">
        <f>Inputs!$F$49*IF(AL23&gt;=Inputs!$F$199,1,0)</f>
        <v/>
      </c>
      <c r="AM50" s="9">
        <f>Inputs!$F$49*IF(AM23&gt;=Inputs!$F$199,1,0)</f>
        <v/>
      </c>
      <c r="AN50" s="9">
        <f>Inputs!$F$49*IF(AN23&gt;=Inputs!$F$199,1,0)</f>
        <v/>
      </c>
      <c r="AO50" s="9">
        <f>Inputs!$F$49*IF(AO23&gt;=Inputs!$F$199,1,0)</f>
        <v/>
      </c>
      <c r="AP50" s="9">
        <f>Inputs!$F$49*IF(AP23&gt;=Inputs!$F$199,1,0)</f>
        <v/>
      </c>
      <c r="AQ50" s="9">
        <f>Inputs!$F$49*IF(AQ23&gt;=Inputs!$F$199,1,0)</f>
        <v/>
      </c>
      <c r="AR50" s="9">
        <f>Inputs!$F$49*IF(AR23&gt;=Inputs!$F$199,1,0)</f>
        <v/>
      </c>
      <c r="AS50" s="9">
        <f>Inputs!$F$49*IF(AS23&gt;=Inputs!$F$199,1,0)</f>
        <v/>
      </c>
      <c r="AT50" s="9">
        <f>Inputs!$F$49*IF(AT23&gt;=Inputs!$F$199,1,0)</f>
        <v/>
      </c>
      <c r="AU50" s="9">
        <f>Inputs!$F$49*IF(AU23&gt;=Inputs!$F$199,1,0)</f>
        <v/>
      </c>
      <c r="AV50" s="9">
        <f>Inputs!$F$49*IF(AV23&gt;=Inputs!$F$199,1,0)</f>
        <v/>
      </c>
      <c r="AW50" s="9">
        <f>Inputs!$F$49*IF(AW23&gt;=Inputs!$F$199,1,0)</f>
        <v/>
      </c>
      <c r="AX50" s="9">
        <f>Inputs!$F$49*IF(AX23&gt;=Inputs!$F$199,1,0)</f>
        <v/>
      </c>
      <c r="AY50" s="9">
        <f>Inputs!$F$49*IF(AY23&gt;=Inputs!$F$199,1,0)</f>
        <v/>
      </c>
      <c r="AZ50" s="9">
        <f>Inputs!$F$49*IF(AZ23&gt;=Inputs!$F$199,1,0)</f>
        <v/>
      </c>
      <c r="BA50" s="9">
        <f>Inputs!$F$49*IF(BA23&gt;=Inputs!$F$199,1,0)</f>
        <v/>
      </c>
      <c r="BB50" s="9">
        <f>Inputs!$F$49*IF(BB23&gt;=Inputs!$F$199,1,0)</f>
        <v/>
      </c>
      <c r="BC50" s="9">
        <f>Inputs!$F$49*IF(BC23&gt;=Inputs!$F$199,1,0)</f>
        <v/>
      </c>
      <c r="BD50" s="9">
        <f>Inputs!$F$49*IF(BD23&gt;=Inputs!$F$199,1,0)</f>
        <v/>
      </c>
      <c r="BE50" s="9">
        <f>Inputs!$F$49*IF(BE23&gt;=Inputs!$F$199,1,0)</f>
        <v/>
      </c>
      <c r="BF50" s="9">
        <f>Inputs!$F$49*IF(BF23&gt;=Inputs!$F$199,1,0)</f>
        <v/>
      </c>
      <c r="BG50" s="9">
        <f>Inputs!$F$49*IF(BG23&gt;=Inputs!$F$199,1,0)</f>
        <v/>
      </c>
      <c r="BH50" s="9">
        <f>Inputs!$F$49*IF(BH23&gt;=Inputs!$F$199,1,0)</f>
        <v/>
      </c>
      <c r="BI50" s="9">
        <f>Inputs!$F$49*IF(BI23&gt;=Inputs!$F$199,1,0)</f>
        <v/>
      </c>
      <c r="BJ50" s="9">
        <f>Inputs!$F$49*IF(BJ23&gt;=Inputs!$F$199,1,0)</f>
        <v/>
      </c>
      <c r="BK50" s="9">
        <f>Inputs!$F$49*IF(BK23&gt;=Inputs!$F$199,1,0)</f>
        <v/>
      </c>
      <c r="BL50" s="9">
        <f>Inputs!$F$49*IF(BL23&gt;=Inputs!$F$199,1,0)</f>
        <v/>
      </c>
      <c r="BM50" s="9">
        <f>Inputs!$F$49*IF(BM23&gt;=Inputs!$F$199,1,0)</f>
        <v/>
      </c>
      <c r="BN50" s="9">
        <f>Inputs!$F$49*IF(BN23&gt;=Inputs!$F$199,1,0)</f>
        <v/>
      </c>
    </row>
    <row r="51">
      <c r="D51" t="inlineStr">
        <is>
          <t>Flag_AfterWaivedTests</t>
        </is>
      </c>
      <c r="E51" t="inlineStr">
        <is>
          <t>flag</t>
        </is>
      </c>
      <c r="J51" s="9">
        <f>Inputs!$F$49*IF(J23&gt;Inputs!$F$200,1,0)</f>
        <v/>
      </c>
      <c r="K51" s="9">
        <f>Inputs!$F$49*IF(K23&gt;Inputs!$F$200,1,0)</f>
        <v/>
      </c>
      <c r="L51" s="9">
        <f>Inputs!$F$49*IF(L23&gt;Inputs!$F$200,1,0)</f>
        <v/>
      </c>
      <c r="M51" s="9">
        <f>Inputs!$F$49*IF(M23&gt;Inputs!$F$200,1,0)</f>
        <v/>
      </c>
      <c r="N51" s="9">
        <f>Inputs!$F$49*IF(N23&gt;Inputs!$F$200,1,0)</f>
        <v/>
      </c>
      <c r="O51" s="9">
        <f>Inputs!$F$49*IF(O23&gt;Inputs!$F$200,1,0)</f>
        <v/>
      </c>
      <c r="P51" s="9">
        <f>Inputs!$F$49*IF(P23&gt;Inputs!$F$200,1,0)</f>
        <v/>
      </c>
      <c r="Q51" s="9">
        <f>Inputs!$F$49*IF(Q23&gt;Inputs!$F$200,1,0)</f>
        <v/>
      </c>
      <c r="R51" s="9">
        <f>Inputs!$F$49*IF(R23&gt;Inputs!$F$200,1,0)</f>
        <v/>
      </c>
      <c r="S51" s="9">
        <f>Inputs!$F$49*IF(S23&gt;Inputs!$F$200,1,0)</f>
        <v/>
      </c>
      <c r="T51" s="9">
        <f>Inputs!$F$49*IF(T23&gt;Inputs!$F$200,1,0)</f>
        <v/>
      </c>
      <c r="U51" s="9">
        <f>Inputs!$F$49*IF(U23&gt;Inputs!$F$200,1,0)</f>
        <v/>
      </c>
      <c r="V51" s="9">
        <f>Inputs!$F$49*IF(V23&gt;Inputs!$F$200,1,0)</f>
        <v/>
      </c>
      <c r="W51" s="9">
        <f>Inputs!$F$49*IF(W23&gt;Inputs!$F$200,1,0)</f>
        <v/>
      </c>
      <c r="X51" s="9">
        <f>Inputs!$F$49*IF(X23&gt;Inputs!$F$200,1,0)</f>
        <v/>
      </c>
      <c r="Y51" s="9">
        <f>Inputs!$F$49*IF(Y23&gt;Inputs!$F$200,1,0)</f>
        <v/>
      </c>
      <c r="Z51" s="9">
        <f>Inputs!$F$49*IF(Z23&gt;Inputs!$F$200,1,0)</f>
        <v/>
      </c>
      <c r="AA51" s="9">
        <f>Inputs!$F$49*IF(AA23&gt;Inputs!$F$200,1,0)</f>
        <v/>
      </c>
      <c r="AB51" s="9">
        <f>Inputs!$F$49*IF(AB23&gt;Inputs!$F$200,1,0)</f>
        <v/>
      </c>
      <c r="AC51" s="9">
        <f>Inputs!$F$49*IF(AC23&gt;Inputs!$F$200,1,0)</f>
        <v/>
      </c>
      <c r="AD51" s="9">
        <f>Inputs!$F$49*IF(AD23&gt;Inputs!$F$200,1,0)</f>
        <v/>
      </c>
      <c r="AE51" s="9">
        <f>Inputs!$F$49*IF(AE23&gt;Inputs!$F$200,1,0)</f>
        <v/>
      </c>
      <c r="AF51" s="9">
        <f>Inputs!$F$49*IF(AF23&gt;Inputs!$F$200,1,0)</f>
        <v/>
      </c>
      <c r="AG51" s="9">
        <f>Inputs!$F$49*IF(AG23&gt;Inputs!$F$200,1,0)</f>
        <v/>
      </c>
      <c r="AH51" s="9">
        <f>Inputs!$F$49*IF(AH23&gt;Inputs!$F$200,1,0)</f>
        <v/>
      </c>
      <c r="AI51" s="9">
        <f>Inputs!$F$49*IF(AI23&gt;Inputs!$F$200,1,0)</f>
        <v/>
      </c>
      <c r="AJ51" s="9">
        <f>Inputs!$F$49*IF(AJ23&gt;Inputs!$F$200,1,0)</f>
        <v/>
      </c>
      <c r="AK51" s="9">
        <f>Inputs!$F$49*IF(AK23&gt;Inputs!$F$200,1,0)</f>
        <v/>
      </c>
      <c r="AL51" s="9">
        <f>Inputs!$F$49*IF(AL23&gt;Inputs!$F$200,1,0)</f>
        <v/>
      </c>
      <c r="AM51" s="9">
        <f>Inputs!$F$49*IF(AM23&gt;Inputs!$F$200,1,0)</f>
        <v/>
      </c>
      <c r="AN51" s="9">
        <f>Inputs!$F$49*IF(AN23&gt;Inputs!$F$200,1,0)</f>
        <v/>
      </c>
      <c r="AO51" s="9">
        <f>Inputs!$F$49*IF(AO23&gt;Inputs!$F$200,1,0)</f>
        <v/>
      </c>
      <c r="AP51" s="9">
        <f>Inputs!$F$49*IF(AP23&gt;Inputs!$F$200,1,0)</f>
        <v/>
      </c>
      <c r="AQ51" s="9">
        <f>Inputs!$F$49*IF(AQ23&gt;Inputs!$F$200,1,0)</f>
        <v/>
      </c>
      <c r="AR51" s="9">
        <f>Inputs!$F$49*IF(AR23&gt;Inputs!$F$200,1,0)</f>
        <v/>
      </c>
      <c r="AS51" s="9">
        <f>Inputs!$F$49*IF(AS23&gt;Inputs!$F$200,1,0)</f>
        <v/>
      </c>
      <c r="AT51" s="9">
        <f>Inputs!$F$49*IF(AT23&gt;Inputs!$F$200,1,0)</f>
        <v/>
      </c>
      <c r="AU51" s="9">
        <f>Inputs!$F$49*IF(AU23&gt;Inputs!$F$200,1,0)</f>
        <v/>
      </c>
      <c r="AV51" s="9">
        <f>Inputs!$F$49*IF(AV23&gt;Inputs!$F$200,1,0)</f>
        <v/>
      </c>
      <c r="AW51" s="9">
        <f>Inputs!$F$49*IF(AW23&gt;Inputs!$F$200,1,0)</f>
        <v/>
      </c>
      <c r="AX51" s="9">
        <f>Inputs!$F$49*IF(AX23&gt;Inputs!$F$200,1,0)</f>
        <v/>
      </c>
      <c r="AY51" s="9">
        <f>Inputs!$F$49*IF(AY23&gt;Inputs!$F$200,1,0)</f>
        <v/>
      </c>
      <c r="AZ51" s="9">
        <f>Inputs!$F$49*IF(AZ23&gt;Inputs!$F$200,1,0)</f>
        <v/>
      </c>
      <c r="BA51" s="9">
        <f>Inputs!$F$49*IF(BA23&gt;Inputs!$F$200,1,0)</f>
        <v/>
      </c>
      <c r="BB51" s="9">
        <f>Inputs!$F$49*IF(BB23&gt;Inputs!$F$200,1,0)</f>
        <v/>
      </c>
      <c r="BC51" s="9">
        <f>Inputs!$F$49*IF(BC23&gt;Inputs!$F$200,1,0)</f>
        <v/>
      </c>
      <c r="BD51" s="9">
        <f>Inputs!$F$49*IF(BD23&gt;Inputs!$F$200,1,0)</f>
        <v/>
      </c>
      <c r="BE51" s="9">
        <f>Inputs!$F$49*IF(BE23&gt;Inputs!$F$200,1,0)</f>
        <v/>
      </c>
      <c r="BF51" s="9">
        <f>Inputs!$F$49*IF(BF23&gt;Inputs!$F$200,1,0)</f>
        <v/>
      </c>
      <c r="BG51" s="9">
        <f>Inputs!$F$49*IF(BG23&gt;Inputs!$F$200,1,0)</f>
        <v/>
      </c>
      <c r="BH51" s="9">
        <f>Inputs!$F$49*IF(BH23&gt;Inputs!$F$200,1,0)</f>
        <v/>
      </c>
      <c r="BI51" s="9">
        <f>Inputs!$F$49*IF(BI23&gt;Inputs!$F$200,1,0)</f>
        <v/>
      </c>
      <c r="BJ51" s="9">
        <f>Inputs!$F$49*IF(BJ23&gt;Inputs!$F$200,1,0)</f>
        <v/>
      </c>
      <c r="BK51" s="9">
        <f>Inputs!$F$49*IF(BK23&gt;Inputs!$F$200,1,0)</f>
        <v/>
      </c>
      <c r="BL51" s="9">
        <f>Inputs!$F$49*IF(BL23&gt;Inputs!$F$200,1,0)</f>
        <v/>
      </c>
      <c r="BM51" s="9">
        <f>Inputs!$F$49*IF(BM23&gt;Inputs!$F$200,1,0)</f>
        <v/>
      </c>
      <c r="BN51" s="9">
        <f>Inputs!$F$49*IF(BN23&gt;Inputs!$F$200,1,0)</f>
        <v/>
      </c>
    </row>
    <row r="52">
      <c r="D52" t="inlineStr">
        <is>
          <t>Flag_MiniPermSweep</t>
        </is>
      </c>
      <c r="E52" t="inlineStr">
        <is>
          <t>flag</t>
        </is>
      </c>
      <c r="J52" s="9">
        <f>IF(J22&gt;=Inputs!$F$206,1,0)</f>
        <v/>
      </c>
      <c r="K52" s="9">
        <f>IF(K22&gt;=Inputs!$F$206,1,0)</f>
        <v/>
      </c>
      <c r="L52" s="9">
        <f>IF(L22&gt;=Inputs!$F$206,1,0)</f>
        <v/>
      </c>
      <c r="M52" s="9">
        <f>IF(M22&gt;=Inputs!$F$206,1,0)</f>
        <v/>
      </c>
      <c r="N52" s="9">
        <f>IF(N22&gt;=Inputs!$F$206,1,0)</f>
        <v/>
      </c>
      <c r="O52" s="9">
        <f>IF(O22&gt;=Inputs!$F$206,1,0)</f>
        <v/>
      </c>
      <c r="P52" s="9">
        <f>IF(P22&gt;=Inputs!$F$206,1,0)</f>
        <v/>
      </c>
      <c r="Q52" s="9">
        <f>IF(Q22&gt;=Inputs!$F$206,1,0)</f>
        <v/>
      </c>
      <c r="R52" s="9">
        <f>IF(R22&gt;=Inputs!$F$206,1,0)</f>
        <v/>
      </c>
      <c r="S52" s="9">
        <f>IF(S22&gt;=Inputs!$F$206,1,0)</f>
        <v/>
      </c>
      <c r="T52" s="9">
        <f>IF(T22&gt;=Inputs!$F$206,1,0)</f>
        <v/>
      </c>
      <c r="U52" s="9">
        <f>IF(U22&gt;=Inputs!$F$206,1,0)</f>
        <v/>
      </c>
      <c r="V52" s="9">
        <f>IF(V22&gt;=Inputs!$F$206,1,0)</f>
        <v/>
      </c>
      <c r="W52" s="9">
        <f>IF(W22&gt;=Inputs!$F$206,1,0)</f>
        <v/>
      </c>
      <c r="X52" s="9">
        <f>IF(X22&gt;=Inputs!$F$206,1,0)</f>
        <v/>
      </c>
      <c r="Y52" s="9">
        <f>IF(Y22&gt;=Inputs!$F$206,1,0)</f>
        <v/>
      </c>
      <c r="Z52" s="9">
        <f>IF(Z22&gt;=Inputs!$F$206,1,0)</f>
        <v/>
      </c>
      <c r="AA52" s="9">
        <f>IF(AA22&gt;=Inputs!$F$206,1,0)</f>
        <v/>
      </c>
      <c r="AB52" s="9">
        <f>IF(AB22&gt;=Inputs!$F$206,1,0)</f>
        <v/>
      </c>
      <c r="AC52" s="9">
        <f>IF(AC22&gt;=Inputs!$F$206,1,0)</f>
        <v/>
      </c>
      <c r="AD52" s="9">
        <f>IF(AD22&gt;=Inputs!$F$206,1,0)</f>
        <v/>
      </c>
      <c r="AE52" s="9">
        <f>IF(AE22&gt;=Inputs!$F$206,1,0)</f>
        <v/>
      </c>
      <c r="AF52" s="9">
        <f>IF(AF22&gt;=Inputs!$F$206,1,0)</f>
        <v/>
      </c>
      <c r="AG52" s="9">
        <f>IF(AG22&gt;=Inputs!$F$206,1,0)</f>
        <v/>
      </c>
      <c r="AH52" s="9">
        <f>IF(AH22&gt;=Inputs!$F$206,1,0)</f>
        <v/>
      </c>
      <c r="AI52" s="9">
        <f>IF(AI22&gt;=Inputs!$F$206,1,0)</f>
        <v/>
      </c>
      <c r="AJ52" s="9">
        <f>IF(AJ22&gt;=Inputs!$F$206,1,0)</f>
        <v/>
      </c>
      <c r="AK52" s="9">
        <f>IF(AK22&gt;=Inputs!$F$206,1,0)</f>
        <v/>
      </c>
      <c r="AL52" s="9">
        <f>IF(AL22&gt;=Inputs!$F$206,1,0)</f>
        <v/>
      </c>
      <c r="AM52" s="9">
        <f>IF(AM22&gt;=Inputs!$F$206,1,0)</f>
        <v/>
      </c>
      <c r="AN52" s="9">
        <f>IF(AN22&gt;=Inputs!$F$206,1,0)</f>
        <v/>
      </c>
      <c r="AO52" s="9">
        <f>IF(AO22&gt;=Inputs!$F$206,1,0)</f>
        <v/>
      </c>
      <c r="AP52" s="9">
        <f>IF(AP22&gt;=Inputs!$F$206,1,0)</f>
        <v/>
      </c>
      <c r="AQ52" s="9">
        <f>IF(AQ22&gt;=Inputs!$F$206,1,0)</f>
        <v/>
      </c>
      <c r="AR52" s="9">
        <f>IF(AR22&gt;=Inputs!$F$206,1,0)</f>
        <v/>
      </c>
      <c r="AS52" s="9">
        <f>IF(AS22&gt;=Inputs!$F$206,1,0)</f>
        <v/>
      </c>
      <c r="AT52" s="9">
        <f>IF(AT22&gt;=Inputs!$F$206,1,0)</f>
        <v/>
      </c>
      <c r="AU52" s="9">
        <f>IF(AU22&gt;=Inputs!$F$206,1,0)</f>
        <v/>
      </c>
      <c r="AV52" s="9">
        <f>IF(AV22&gt;=Inputs!$F$206,1,0)</f>
        <v/>
      </c>
      <c r="AW52" s="9">
        <f>IF(AW22&gt;=Inputs!$F$206,1,0)</f>
        <v/>
      </c>
      <c r="AX52" s="9">
        <f>IF(AX22&gt;=Inputs!$F$206,1,0)</f>
        <v/>
      </c>
      <c r="AY52" s="9">
        <f>IF(AY22&gt;=Inputs!$F$206,1,0)</f>
        <v/>
      </c>
      <c r="AZ52" s="9">
        <f>IF(AZ22&gt;=Inputs!$F$206,1,0)</f>
        <v/>
      </c>
      <c r="BA52" s="9">
        <f>IF(BA22&gt;=Inputs!$F$206,1,0)</f>
        <v/>
      </c>
      <c r="BB52" s="9">
        <f>IF(BB22&gt;=Inputs!$F$206,1,0)</f>
        <v/>
      </c>
      <c r="BC52" s="9">
        <f>IF(BC22&gt;=Inputs!$F$206,1,0)</f>
        <v/>
      </c>
      <c r="BD52" s="9">
        <f>IF(BD22&gt;=Inputs!$F$206,1,0)</f>
        <v/>
      </c>
      <c r="BE52" s="9">
        <f>IF(BE22&gt;=Inputs!$F$206,1,0)</f>
        <v/>
      </c>
      <c r="BF52" s="9">
        <f>IF(BF22&gt;=Inputs!$F$206,1,0)</f>
        <v/>
      </c>
      <c r="BG52" s="9">
        <f>IF(BG22&gt;=Inputs!$F$206,1,0)</f>
        <v/>
      </c>
      <c r="BH52" s="9">
        <f>IF(BH22&gt;=Inputs!$F$206,1,0)</f>
        <v/>
      </c>
      <c r="BI52" s="9">
        <f>IF(BI22&gt;=Inputs!$F$206,1,0)</f>
        <v/>
      </c>
      <c r="BJ52" s="9">
        <f>IF(BJ22&gt;=Inputs!$F$206,1,0)</f>
        <v/>
      </c>
      <c r="BK52" s="9">
        <f>IF(BK22&gt;=Inputs!$F$206,1,0)</f>
        <v/>
      </c>
      <c r="BL52" s="9">
        <f>IF(BL22&gt;=Inputs!$F$206,1,0)</f>
        <v/>
      </c>
      <c r="BM52" s="9">
        <f>IF(BM22&gt;=Inputs!$F$206,1,0)</f>
        <v/>
      </c>
      <c r="BN52" s="9">
        <f>IF(BN22&gt;=Inputs!$F$206,1,0)</f>
        <v/>
      </c>
    </row>
    <row r="53">
      <c r="D53" t="inlineStr">
        <is>
          <t>Flag_SculptingPeriod (first repayment to final maturity)</t>
        </is>
      </c>
      <c r="E53" t="inlineStr">
        <is>
          <t>flag</t>
        </is>
      </c>
      <c r="J53" s="9">
        <f>IF(AND(J20&gt;=$F$13,J23&lt;=Inputs!$F$192),1,0)</f>
        <v/>
      </c>
      <c r="K53" s="9">
        <f>IF(AND(K20&gt;=$F$13,K23&lt;=Inputs!$F$192),1,0)</f>
        <v/>
      </c>
      <c r="L53" s="9">
        <f>IF(AND(L20&gt;=$F$13,L23&lt;=Inputs!$F$192),1,0)</f>
        <v/>
      </c>
      <c r="M53" s="9">
        <f>IF(AND(M20&gt;=$F$13,M23&lt;=Inputs!$F$192),1,0)</f>
        <v/>
      </c>
      <c r="N53" s="9">
        <f>IF(AND(N20&gt;=$F$13,N23&lt;=Inputs!$F$192),1,0)</f>
        <v/>
      </c>
      <c r="O53" s="9">
        <f>IF(AND(O20&gt;=$F$13,O23&lt;=Inputs!$F$192),1,0)</f>
        <v/>
      </c>
      <c r="P53" s="9">
        <f>IF(AND(P20&gt;=$F$13,P23&lt;=Inputs!$F$192),1,0)</f>
        <v/>
      </c>
      <c r="Q53" s="9">
        <f>IF(AND(Q20&gt;=$F$13,Q23&lt;=Inputs!$F$192),1,0)</f>
        <v/>
      </c>
      <c r="R53" s="9">
        <f>IF(AND(R20&gt;=$F$13,R23&lt;=Inputs!$F$192),1,0)</f>
        <v/>
      </c>
      <c r="S53" s="9">
        <f>IF(AND(S20&gt;=$F$13,S23&lt;=Inputs!$F$192),1,0)</f>
        <v/>
      </c>
      <c r="T53" s="9">
        <f>IF(AND(T20&gt;=$F$13,T23&lt;=Inputs!$F$192),1,0)</f>
        <v/>
      </c>
      <c r="U53" s="9">
        <f>IF(AND(U20&gt;=$F$13,U23&lt;=Inputs!$F$192),1,0)</f>
        <v/>
      </c>
      <c r="V53" s="9">
        <f>IF(AND(V20&gt;=$F$13,V23&lt;=Inputs!$F$192),1,0)</f>
        <v/>
      </c>
      <c r="W53" s="9">
        <f>IF(AND(W20&gt;=$F$13,W23&lt;=Inputs!$F$192),1,0)</f>
        <v/>
      </c>
      <c r="X53" s="9">
        <f>IF(AND(X20&gt;=$F$13,X23&lt;=Inputs!$F$192),1,0)</f>
        <v/>
      </c>
      <c r="Y53" s="9">
        <f>IF(AND(Y20&gt;=$F$13,Y23&lt;=Inputs!$F$192),1,0)</f>
        <v/>
      </c>
      <c r="Z53" s="9">
        <f>IF(AND(Z20&gt;=$F$13,Z23&lt;=Inputs!$F$192),1,0)</f>
        <v/>
      </c>
      <c r="AA53" s="9">
        <f>IF(AND(AA20&gt;=$F$13,AA23&lt;=Inputs!$F$192),1,0)</f>
        <v/>
      </c>
      <c r="AB53" s="9">
        <f>IF(AND(AB20&gt;=$F$13,AB23&lt;=Inputs!$F$192),1,0)</f>
        <v/>
      </c>
      <c r="AC53" s="9">
        <f>IF(AND(AC20&gt;=$F$13,AC23&lt;=Inputs!$F$192),1,0)</f>
        <v/>
      </c>
      <c r="AD53" s="9">
        <f>IF(AND(AD20&gt;=$F$13,AD23&lt;=Inputs!$F$192),1,0)</f>
        <v/>
      </c>
      <c r="AE53" s="9">
        <f>IF(AND(AE20&gt;=$F$13,AE23&lt;=Inputs!$F$192),1,0)</f>
        <v/>
      </c>
      <c r="AF53" s="9">
        <f>IF(AND(AF20&gt;=$F$13,AF23&lt;=Inputs!$F$192),1,0)</f>
        <v/>
      </c>
      <c r="AG53" s="9">
        <f>IF(AND(AG20&gt;=$F$13,AG23&lt;=Inputs!$F$192),1,0)</f>
        <v/>
      </c>
      <c r="AH53" s="9">
        <f>IF(AND(AH20&gt;=$F$13,AH23&lt;=Inputs!$F$192),1,0)</f>
        <v/>
      </c>
      <c r="AI53" s="9">
        <f>IF(AND(AI20&gt;=$F$13,AI23&lt;=Inputs!$F$192),1,0)</f>
        <v/>
      </c>
      <c r="AJ53" s="9">
        <f>IF(AND(AJ20&gt;=$F$13,AJ23&lt;=Inputs!$F$192),1,0)</f>
        <v/>
      </c>
      <c r="AK53" s="9">
        <f>IF(AND(AK20&gt;=$F$13,AK23&lt;=Inputs!$F$192),1,0)</f>
        <v/>
      </c>
      <c r="AL53" s="9">
        <f>IF(AND(AL20&gt;=$F$13,AL23&lt;=Inputs!$F$192),1,0)</f>
        <v/>
      </c>
      <c r="AM53" s="9">
        <f>IF(AND(AM20&gt;=$F$13,AM23&lt;=Inputs!$F$192),1,0)</f>
        <v/>
      </c>
      <c r="AN53" s="9">
        <f>IF(AND(AN20&gt;=$F$13,AN23&lt;=Inputs!$F$192),1,0)</f>
        <v/>
      </c>
      <c r="AO53" s="9">
        <f>IF(AND(AO20&gt;=$F$13,AO23&lt;=Inputs!$F$192),1,0)</f>
        <v/>
      </c>
      <c r="AP53" s="9">
        <f>IF(AND(AP20&gt;=$F$13,AP23&lt;=Inputs!$F$192),1,0)</f>
        <v/>
      </c>
      <c r="AQ53" s="9">
        <f>IF(AND(AQ20&gt;=$F$13,AQ23&lt;=Inputs!$F$192),1,0)</f>
        <v/>
      </c>
      <c r="AR53" s="9">
        <f>IF(AND(AR20&gt;=$F$13,AR23&lt;=Inputs!$F$192),1,0)</f>
        <v/>
      </c>
      <c r="AS53" s="9">
        <f>IF(AND(AS20&gt;=$F$13,AS23&lt;=Inputs!$F$192),1,0)</f>
        <v/>
      </c>
      <c r="AT53" s="9">
        <f>IF(AND(AT20&gt;=$F$13,AT23&lt;=Inputs!$F$192),1,0)</f>
        <v/>
      </c>
      <c r="AU53" s="9">
        <f>IF(AND(AU20&gt;=$F$13,AU23&lt;=Inputs!$F$192),1,0)</f>
        <v/>
      </c>
      <c r="AV53" s="9">
        <f>IF(AND(AV20&gt;=$F$13,AV23&lt;=Inputs!$F$192),1,0)</f>
        <v/>
      </c>
      <c r="AW53" s="9">
        <f>IF(AND(AW20&gt;=$F$13,AW23&lt;=Inputs!$F$192),1,0)</f>
        <v/>
      </c>
      <c r="AX53" s="9">
        <f>IF(AND(AX20&gt;=$F$13,AX23&lt;=Inputs!$F$192),1,0)</f>
        <v/>
      </c>
      <c r="AY53" s="9">
        <f>IF(AND(AY20&gt;=$F$13,AY23&lt;=Inputs!$F$192),1,0)</f>
        <v/>
      </c>
      <c r="AZ53" s="9">
        <f>IF(AND(AZ20&gt;=$F$13,AZ23&lt;=Inputs!$F$192),1,0)</f>
        <v/>
      </c>
      <c r="BA53" s="9">
        <f>IF(AND(BA20&gt;=$F$13,BA23&lt;=Inputs!$F$192),1,0)</f>
        <v/>
      </c>
      <c r="BB53" s="9">
        <f>IF(AND(BB20&gt;=$F$13,BB23&lt;=Inputs!$F$192),1,0)</f>
        <v/>
      </c>
      <c r="BC53" s="9">
        <f>IF(AND(BC20&gt;=$F$13,BC23&lt;=Inputs!$F$192),1,0)</f>
        <v/>
      </c>
      <c r="BD53" s="9">
        <f>IF(AND(BD20&gt;=$F$13,BD23&lt;=Inputs!$F$192),1,0)</f>
        <v/>
      </c>
      <c r="BE53" s="9">
        <f>IF(AND(BE20&gt;=$F$13,BE23&lt;=Inputs!$F$192),1,0)</f>
        <v/>
      </c>
      <c r="BF53" s="9">
        <f>IF(AND(BF20&gt;=$F$13,BF23&lt;=Inputs!$F$192),1,0)</f>
        <v/>
      </c>
      <c r="BG53" s="9">
        <f>IF(AND(BG20&gt;=$F$13,BG23&lt;=Inputs!$F$192),1,0)</f>
        <v/>
      </c>
      <c r="BH53" s="9">
        <f>IF(AND(BH20&gt;=$F$13,BH23&lt;=Inputs!$F$192),1,0)</f>
        <v/>
      </c>
      <c r="BI53" s="9">
        <f>IF(AND(BI20&gt;=$F$13,BI23&lt;=Inputs!$F$192),1,0)</f>
        <v/>
      </c>
      <c r="BJ53" s="9">
        <f>IF(AND(BJ20&gt;=$F$13,BJ23&lt;=Inputs!$F$192),1,0)</f>
        <v/>
      </c>
      <c r="BK53" s="9">
        <f>IF(AND(BK20&gt;=$F$13,BK23&lt;=Inputs!$F$192),1,0)</f>
        <v/>
      </c>
      <c r="BL53" s="9">
        <f>IF(AND(BL20&gt;=$F$13,BL23&lt;=Inputs!$F$192),1,0)</f>
        <v/>
      </c>
      <c r="BM53" s="9">
        <f>IF(AND(BM20&gt;=$F$13,BM23&lt;=Inputs!$F$192),1,0)</f>
        <v/>
      </c>
      <c r="BN53" s="9">
        <f>IF(AND(BN20&gt;=$F$13,BN23&lt;=Inputs!$F$192),1,0)</f>
        <v/>
      </c>
    </row>
    <row r="54">
      <c r="D54" t="inlineStr">
        <is>
          <t>Flag_ReforecastProjection</t>
        </is>
      </c>
      <c r="E54" t="inlineStr">
        <is>
          <t>flag</t>
        </is>
      </c>
      <c r="J54" s="9">
        <f>IF(J22&gt;=Inputs!$F$194,1,0)</f>
        <v/>
      </c>
      <c r="K54" s="9">
        <f>IF(K22&gt;=Inputs!$F$194,1,0)</f>
        <v/>
      </c>
      <c r="L54" s="9">
        <f>IF(L22&gt;=Inputs!$F$194,1,0)</f>
        <v/>
      </c>
      <c r="M54" s="9">
        <f>IF(M22&gt;=Inputs!$F$194,1,0)</f>
        <v/>
      </c>
      <c r="N54" s="9">
        <f>IF(N22&gt;=Inputs!$F$194,1,0)</f>
        <v/>
      </c>
      <c r="O54" s="9">
        <f>IF(O22&gt;=Inputs!$F$194,1,0)</f>
        <v/>
      </c>
      <c r="P54" s="9">
        <f>IF(P22&gt;=Inputs!$F$194,1,0)</f>
        <v/>
      </c>
      <c r="Q54" s="9">
        <f>IF(Q22&gt;=Inputs!$F$194,1,0)</f>
        <v/>
      </c>
      <c r="R54" s="9">
        <f>IF(R22&gt;=Inputs!$F$194,1,0)</f>
        <v/>
      </c>
      <c r="S54" s="9">
        <f>IF(S22&gt;=Inputs!$F$194,1,0)</f>
        <v/>
      </c>
      <c r="T54" s="9">
        <f>IF(T22&gt;=Inputs!$F$194,1,0)</f>
        <v/>
      </c>
      <c r="U54" s="9">
        <f>IF(U22&gt;=Inputs!$F$194,1,0)</f>
        <v/>
      </c>
      <c r="V54" s="9">
        <f>IF(V22&gt;=Inputs!$F$194,1,0)</f>
        <v/>
      </c>
      <c r="W54" s="9">
        <f>IF(W22&gt;=Inputs!$F$194,1,0)</f>
        <v/>
      </c>
      <c r="X54" s="9">
        <f>IF(X22&gt;=Inputs!$F$194,1,0)</f>
        <v/>
      </c>
      <c r="Y54" s="9">
        <f>IF(Y22&gt;=Inputs!$F$194,1,0)</f>
        <v/>
      </c>
      <c r="Z54" s="9">
        <f>IF(Z22&gt;=Inputs!$F$194,1,0)</f>
        <v/>
      </c>
      <c r="AA54" s="9">
        <f>IF(AA22&gt;=Inputs!$F$194,1,0)</f>
        <v/>
      </c>
      <c r="AB54" s="9">
        <f>IF(AB22&gt;=Inputs!$F$194,1,0)</f>
        <v/>
      </c>
      <c r="AC54" s="9">
        <f>IF(AC22&gt;=Inputs!$F$194,1,0)</f>
        <v/>
      </c>
      <c r="AD54" s="9">
        <f>IF(AD22&gt;=Inputs!$F$194,1,0)</f>
        <v/>
      </c>
      <c r="AE54" s="9">
        <f>IF(AE22&gt;=Inputs!$F$194,1,0)</f>
        <v/>
      </c>
      <c r="AF54" s="9">
        <f>IF(AF22&gt;=Inputs!$F$194,1,0)</f>
        <v/>
      </c>
      <c r="AG54" s="9">
        <f>IF(AG22&gt;=Inputs!$F$194,1,0)</f>
        <v/>
      </c>
      <c r="AH54" s="9">
        <f>IF(AH22&gt;=Inputs!$F$194,1,0)</f>
        <v/>
      </c>
      <c r="AI54" s="9">
        <f>IF(AI22&gt;=Inputs!$F$194,1,0)</f>
        <v/>
      </c>
      <c r="AJ54" s="9">
        <f>IF(AJ22&gt;=Inputs!$F$194,1,0)</f>
        <v/>
      </c>
      <c r="AK54" s="9">
        <f>IF(AK22&gt;=Inputs!$F$194,1,0)</f>
        <v/>
      </c>
      <c r="AL54" s="9">
        <f>IF(AL22&gt;=Inputs!$F$194,1,0)</f>
        <v/>
      </c>
      <c r="AM54" s="9">
        <f>IF(AM22&gt;=Inputs!$F$194,1,0)</f>
        <v/>
      </c>
      <c r="AN54" s="9">
        <f>IF(AN22&gt;=Inputs!$F$194,1,0)</f>
        <v/>
      </c>
      <c r="AO54" s="9">
        <f>IF(AO22&gt;=Inputs!$F$194,1,0)</f>
        <v/>
      </c>
      <c r="AP54" s="9">
        <f>IF(AP22&gt;=Inputs!$F$194,1,0)</f>
        <v/>
      </c>
      <c r="AQ54" s="9">
        <f>IF(AQ22&gt;=Inputs!$F$194,1,0)</f>
        <v/>
      </c>
      <c r="AR54" s="9">
        <f>IF(AR22&gt;=Inputs!$F$194,1,0)</f>
        <v/>
      </c>
      <c r="AS54" s="9">
        <f>IF(AS22&gt;=Inputs!$F$194,1,0)</f>
        <v/>
      </c>
      <c r="AT54" s="9">
        <f>IF(AT22&gt;=Inputs!$F$194,1,0)</f>
        <v/>
      </c>
      <c r="AU54" s="9">
        <f>IF(AU22&gt;=Inputs!$F$194,1,0)</f>
        <v/>
      </c>
      <c r="AV54" s="9">
        <f>IF(AV22&gt;=Inputs!$F$194,1,0)</f>
        <v/>
      </c>
      <c r="AW54" s="9">
        <f>IF(AW22&gt;=Inputs!$F$194,1,0)</f>
        <v/>
      </c>
      <c r="AX54" s="9">
        <f>IF(AX22&gt;=Inputs!$F$194,1,0)</f>
        <v/>
      </c>
      <c r="AY54" s="9">
        <f>IF(AY22&gt;=Inputs!$F$194,1,0)</f>
        <v/>
      </c>
      <c r="AZ54" s="9">
        <f>IF(AZ22&gt;=Inputs!$F$194,1,0)</f>
        <v/>
      </c>
      <c r="BA54" s="9">
        <f>IF(BA22&gt;=Inputs!$F$194,1,0)</f>
        <v/>
      </c>
      <c r="BB54" s="9">
        <f>IF(BB22&gt;=Inputs!$F$194,1,0)</f>
        <v/>
      </c>
      <c r="BC54" s="9">
        <f>IF(BC22&gt;=Inputs!$F$194,1,0)</f>
        <v/>
      </c>
      <c r="BD54" s="9">
        <f>IF(BD22&gt;=Inputs!$F$194,1,0)</f>
        <v/>
      </c>
      <c r="BE54" s="9">
        <f>IF(BE22&gt;=Inputs!$F$194,1,0)</f>
        <v/>
      </c>
      <c r="BF54" s="9">
        <f>IF(BF22&gt;=Inputs!$F$194,1,0)</f>
        <v/>
      </c>
      <c r="BG54" s="9">
        <f>IF(BG22&gt;=Inputs!$F$194,1,0)</f>
        <v/>
      </c>
      <c r="BH54" s="9">
        <f>IF(BH22&gt;=Inputs!$F$194,1,0)</f>
        <v/>
      </c>
      <c r="BI54" s="9">
        <f>IF(BI22&gt;=Inputs!$F$194,1,0)</f>
        <v/>
      </c>
      <c r="BJ54" s="9">
        <f>IF(BJ22&gt;=Inputs!$F$194,1,0)</f>
        <v/>
      </c>
      <c r="BK54" s="9">
        <f>IF(BK22&gt;=Inputs!$F$194,1,0)</f>
        <v/>
      </c>
      <c r="BL54" s="9">
        <f>IF(BL22&gt;=Inputs!$F$194,1,0)</f>
        <v/>
      </c>
      <c r="BM54" s="9">
        <f>IF(BM22&gt;=Inputs!$F$194,1,0)</f>
        <v/>
      </c>
      <c r="BN54" s="9">
        <f>IF(BN22&gt;=Inputs!$F$194,1,0)</f>
        <v/>
      </c>
    </row>
    <row r="55">
      <c r="D55" t="inlineStr">
        <is>
          <t>Days of late-payment interest accrual to settlement</t>
        </is>
      </c>
      <c r="E55" t="inlineStr">
        <is>
          <t>days</t>
        </is>
      </c>
      <c r="J55" s="9">
        <f>MAX(0,MIN(J25,Inputs!$F$197-J22))</f>
        <v/>
      </c>
      <c r="K55" s="9">
        <f>MAX(0,MIN(K25,Inputs!$F$197-K22))</f>
        <v/>
      </c>
      <c r="L55" s="9">
        <f>MAX(0,MIN(L25,Inputs!$F$197-L22))</f>
        <v/>
      </c>
      <c r="M55" s="9">
        <f>MAX(0,MIN(M25,Inputs!$F$197-M22))</f>
        <v/>
      </c>
      <c r="N55" s="9">
        <f>MAX(0,MIN(N25,Inputs!$F$197-N22))</f>
        <v/>
      </c>
      <c r="O55" s="9">
        <f>MAX(0,MIN(O25,Inputs!$F$197-O22))</f>
        <v/>
      </c>
      <c r="P55" s="9">
        <f>MAX(0,MIN(P25,Inputs!$F$197-P22))</f>
        <v/>
      </c>
      <c r="Q55" s="9">
        <f>MAX(0,MIN(Q25,Inputs!$F$197-Q22))</f>
        <v/>
      </c>
      <c r="R55" s="9">
        <f>MAX(0,MIN(R25,Inputs!$F$197-R22))</f>
        <v/>
      </c>
      <c r="S55" s="9">
        <f>MAX(0,MIN(S25,Inputs!$F$197-S22))</f>
        <v/>
      </c>
      <c r="T55" s="9">
        <f>MAX(0,MIN(T25,Inputs!$F$197-T22))</f>
        <v/>
      </c>
      <c r="U55" s="9">
        <f>MAX(0,MIN(U25,Inputs!$F$197-U22))</f>
        <v/>
      </c>
      <c r="V55" s="9">
        <f>MAX(0,MIN(V25,Inputs!$F$197-V22))</f>
        <v/>
      </c>
      <c r="W55" s="9">
        <f>MAX(0,MIN(W25,Inputs!$F$197-W22))</f>
        <v/>
      </c>
      <c r="X55" s="9">
        <f>MAX(0,MIN(X25,Inputs!$F$197-X22))</f>
        <v/>
      </c>
      <c r="Y55" s="9">
        <f>MAX(0,MIN(Y25,Inputs!$F$197-Y22))</f>
        <v/>
      </c>
      <c r="Z55" s="9">
        <f>MAX(0,MIN(Z25,Inputs!$F$197-Z22))</f>
        <v/>
      </c>
      <c r="AA55" s="9">
        <f>MAX(0,MIN(AA25,Inputs!$F$197-AA22))</f>
        <v/>
      </c>
      <c r="AB55" s="9">
        <f>MAX(0,MIN(AB25,Inputs!$F$197-AB22))</f>
        <v/>
      </c>
      <c r="AC55" s="9">
        <f>MAX(0,MIN(AC25,Inputs!$F$197-AC22))</f>
        <v/>
      </c>
      <c r="AD55" s="9">
        <f>MAX(0,MIN(AD25,Inputs!$F$197-AD22))</f>
        <v/>
      </c>
      <c r="AE55" s="9">
        <f>MAX(0,MIN(AE25,Inputs!$F$197-AE22))</f>
        <v/>
      </c>
      <c r="AF55" s="9">
        <f>MAX(0,MIN(AF25,Inputs!$F$197-AF22))</f>
        <v/>
      </c>
      <c r="AG55" s="9">
        <f>MAX(0,MIN(AG25,Inputs!$F$197-AG22))</f>
        <v/>
      </c>
      <c r="AH55" s="9">
        <f>MAX(0,MIN(AH25,Inputs!$F$197-AH22))</f>
        <v/>
      </c>
      <c r="AI55" s="9">
        <f>MAX(0,MIN(AI25,Inputs!$F$197-AI22))</f>
        <v/>
      </c>
      <c r="AJ55" s="9">
        <f>MAX(0,MIN(AJ25,Inputs!$F$197-AJ22))</f>
        <v/>
      </c>
      <c r="AK55" s="9">
        <f>MAX(0,MIN(AK25,Inputs!$F$197-AK22))</f>
        <v/>
      </c>
      <c r="AL55" s="9">
        <f>MAX(0,MIN(AL25,Inputs!$F$197-AL22))</f>
        <v/>
      </c>
      <c r="AM55" s="9">
        <f>MAX(0,MIN(AM25,Inputs!$F$197-AM22))</f>
        <v/>
      </c>
      <c r="AN55" s="9">
        <f>MAX(0,MIN(AN25,Inputs!$F$197-AN22))</f>
        <v/>
      </c>
      <c r="AO55" s="9">
        <f>MAX(0,MIN(AO25,Inputs!$F$197-AO22))</f>
        <v/>
      </c>
      <c r="AP55" s="9">
        <f>MAX(0,MIN(AP25,Inputs!$F$197-AP22))</f>
        <v/>
      </c>
      <c r="AQ55" s="9">
        <f>MAX(0,MIN(AQ25,Inputs!$F$197-AQ22))</f>
        <v/>
      </c>
      <c r="AR55" s="9">
        <f>MAX(0,MIN(AR25,Inputs!$F$197-AR22))</f>
        <v/>
      </c>
      <c r="AS55" s="9">
        <f>MAX(0,MIN(AS25,Inputs!$F$197-AS22))</f>
        <v/>
      </c>
      <c r="AT55" s="9">
        <f>MAX(0,MIN(AT25,Inputs!$F$197-AT22))</f>
        <v/>
      </c>
      <c r="AU55" s="9">
        <f>MAX(0,MIN(AU25,Inputs!$F$197-AU22))</f>
        <v/>
      </c>
      <c r="AV55" s="9">
        <f>MAX(0,MIN(AV25,Inputs!$F$197-AV22))</f>
        <v/>
      </c>
      <c r="AW55" s="9">
        <f>MAX(0,MIN(AW25,Inputs!$F$197-AW22))</f>
        <v/>
      </c>
      <c r="AX55" s="9">
        <f>MAX(0,MIN(AX25,Inputs!$F$197-AX22))</f>
        <v/>
      </c>
      <c r="AY55" s="9">
        <f>MAX(0,MIN(AY25,Inputs!$F$197-AY22))</f>
        <v/>
      </c>
      <c r="AZ55" s="9">
        <f>MAX(0,MIN(AZ25,Inputs!$F$197-AZ22))</f>
        <v/>
      </c>
      <c r="BA55" s="9">
        <f>MAX(0,MIN(BA25,Inputs!$F$197-BA22))</f>
        <v/>
      </c>
      <c r="BB55" s="9">
        <f>MAX(0,MIN(BB25,Inputs!$F$197-BB22))</f>
        <v/>
      </c>
      <c r="BC55" s="9">
        <f>MAX(0,MIN(BC25,Inputs!$F$197-BC22))</f>
        <v/>
      </c>
      <c r="BD55" s="9">
        <f>MAX(0,MIN(BD25,Inputs!$F$197-BD22))</f>
        <v/>
      </c>
      <c r="BE55" s="9">
        <f>MAX(0,MIN(BE25,Inputs!$F$197-BE22))</f>
        <v/>
      </c>
      <c r="BF55" s="9">
        <f>MAX(0,MIN(BF25,Inputs!$F$197-BF22))</f>
        <v/>
      </c>
      <c r="BG55" s="9">
        <f>MAX(0,MIN(BG25,Inputs!$F$197-BG22))</f>
        <v/>
      </c>
      <c r="BH55" s="9">
        <f>MAX(0,MIN(BH25,Inputs!$F$197-BH22))</f>
        <v/>
      </c>
      <c r="BI55" s="9">
        <f>MAX(0,MIN(BI25,Inputs!$F$197-BI22))</f>
        <v/>
      </c>
      <c r="BJ55" s="9">
        <f>MAX(0,MIN(BJ25,Inputs!$F$197-BJ22))</f>
        <v/>
      </c>
      <c r="BK55" s="9">
        <f>MAX(0,MIN(BK25,Inputs!$F$197-BK22))</f>
        <v/>
      </c>
      <c r="BL55" s="9">
        <f>MAX(0,MIN(BL25,Inputs!$F$197-BL22))</f>
        <v/>
      </c>
      <c r="BM55" s="9">
        <f>MAX(0,MIN(BM25,Inputs!$F$197-BM22))</f>
        <v/>
      </c>
      <c r="BN55" s="9">
        <f>MAX(0,MIN(BN25,Inputs!$F$197-BN22))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38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Construction: monthly uses of funds before financing costs, VAT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4" t="inlineStr">
        <is>
          <t>2018-08</t>
        </is>
      </c>
      <c r="K5" s="4" t="inlineStr">
        <is>
          <t>2018-09</t>
        </is>
      </c>
      <c r="L5" s="4" t="inlineStr">
        <is>
          <t>2018-10</t>
        </is>
      </c>
      <c r="M5" s="4" t="inlineStr">
        <is>
          <t>2018-11</t>
        </is>
      </c>
      <c r="N5" s="4" t="inlineStr">
        <is>
          <t>2018-12</t>
        </is>
      </c>
      <c r="O5" s="4" t="inlineStr">
        <is>
          <t>2019-01</t>
        </is>
      </c>
      <c r="P5" s="4" t="inlineStr">
        <is>
          <t>2019-02</t>
        </is>
      </c>
      <c r="Q5" s="4" t="inlineStr">
        <is>
          <t>2019-03</t>
        </is>
      </c>
      <c r="R5" s="4" t="inlineStr">
        <is>
          <t>2019-04</t>
        </is>
      </c>
      <c r="S5" s="4" t="inlineStr">
        <is>
          <t>2019-05</t>
        </is>
      </c>
      <c r="T5" s="4" t="inlineStr">
        <is>
          <t>2019-06</t>
        </is>
      </c>
      <c r="U5" s="4" t="inlineStr">
        <is>
          <t>2019-07</t>
        </is>
      </c>
      <c r="V5" s="4" t="inlineStr">
        <is>
          <t>2019-08</t>
        </is>
      </c>
      <c r="W5" s="4" t="inlineStr">
        <is>
          <t>2019-09</t>
        </is>
      </c>
      <c r="X5" s="4" t="inlineStr">
        <is>
          <t>2019-10</t>
        </is>
      </c>
      <c r="Y5" s="4" t="inlineStr">
        <is>
          <t>2019-11</t>
        </is>
      </c>
      <c r="Z5" s="4" t="inlineStr">
        <is>
          <t>2019-12</t>
        </is>
      </c>
      <c r="AA5" s="4" t="inlineStr">
        <is>
          <t>2020-01</t>
        </is>
      </c>
      <c r="AB5" s="4" t="inlineStr">
        <is>
          <t>2020-02</t>
        </is>
      </c>
      <c r="AC5" s="4" t="inlineStr">
        <is>
          <t>2020-03</t>
        </is>
      </c>
      <c r="AD5" s="4" t="inlineStr">
        <is>
          <t>2020-04</t>
        </is>
      </c>
      <c r="AE5" s="4" t="inlineStr">
        <is>
          <t>2020-05</t>
        </is>
      </c>
      <c r="AF5" s="4" t="inlineStr">
        <is>
          <t>2020-06</t>
        </is>
      </c>
      <c r="AG5" s="4" t="inlineStr">
        <is>
          <t>2020-07</t>
        </is>
      </c>
      <c r="AH5" s="4" t="inlineStr">
        <is>
          <t>2020-08</t>
        </is>
      </c>
      <c r="AI5" s="4" t="inlineStr">
        <is>
          <t>2020-09</t>
        </is>
      </c>
      <c r="AJ5" s="4" t="inlineStr">
        <is>
          <t>2020-10</t>
        </is>
      </c>
      <c r="AK5" s="4" t="inlineStr">
        <is>
          <t>2020-11</t>
        </is>
      </c>
      <c r="AL5" s="4" t="inlineStr">
        <is>
          <t>2020-12</t>
        </is>
      </c>
      <c r="AM5" s="4" t="inlineStr">
        <is>
          <t>2021-01</t>
        </is>
      </c>
      <c r="AN5" s="4" t="inlineStr">
        <is>
          <t>2021-02</t>
        </is>
      </c>
      <c r="AO5" s="4" t="inlineStr">
        <is>
          <t>2021-03</t>
        </is>
      </c>
      <c r="AP5" s="4" t="inlineStr">
        <is>
          <t>2021-04</t>
        </is>
      </c>
      <c r="AQ5" s="4" t="inlineStr">
        <is>
          <t>2021-05</t>
        </is>
      </c>
      <c r="AR5" s="4" t="inlineStr">
        <is>
          <t>2021-06</t>
        </is>
      </c>
      <c r="AS5" s="4" t="inlineStr">
        <is>
          <t>2021-07</t>
        </is>
      </c>
      <c r="AT5" s="4" t="inlineStr">
        <is>
          <t>2021-08</t>
        </is>
      </c>
      <c r="AU5" s="4" t="inlineStr">
        <is>
          <t>2021-09</t>
        </is>
      </c>
      <c r="AV5" s="4" t="inlineStr">
        <is>
          <t>2021-10</t>
        </is>
      </c>
      <c r="AW5" s="4" t="inlineStr">
        <is>
          <t>2021-11</t>
        </is>
      </c>
      <c r="AX5" s="4" t="inlineStr">
        <is>
          <t>2021-12</t>
        </is>
      </c>
      <c r="AY5" s="4" t="inlineStr">
        <is>
          <t>2022-01</t>
        </is>
      </c>
      <c r="AZ5" s="4" t="inlineStr">
        <is>
          <t>2022-02</t>
        </is>
      </c>
      <c r="BA5" s="4" t="inlineStr">
        <is>
          <t>2022-03</t>
        </is>
      </c>
      <c r="BB5" s="4" t="inlineStr">
        <is>
          <t>2022-04</t>
        </is>
      </c>
      <c r="BC5" s="4" t="inlineStr">
        <is>
          <t>2022-05</t>
        </is>
      </c>
      <c r="BD5" s="4" t="inlineStr">
        <is>
          <t>2022-06</t>
        </is>
      </c>
      <c r="BE5" s="4" t="inlineStr">
        <is>
          <t>2022-07</t>
        </is>
      </c>
      <c r="BF5" s="4" t="inlineStr">
        <is>
          <t>2022-08</t>
        </is>
      </c>
      <c r="BG5" s="4" t="inlineStr">
        <is>
          <t>2022-09</t>
        </is>
      </c>
      <c r="BH5" s="4" t="inlineStr">
        <is>
          <t>2022-10</t>
        </is>
      </c>
      <c r="BI5" s="4" t="inlineStr">
        <is>
          <t>2022-11</t>
        </is>
      </c>
      <c r="BJ5" s="4" t="inlineStr">
        <is>
          <t>2022-12</t>
        </is>
      </c>
    </row>
    <row r="7">
      <c r="B7" s="2" t="inlineStr">
        <is>
          <t>Monthly timeline (column J = August 2018)</t>
        </is>
      </c>
    </row>
    <row r="8">
      <c r="D8" t="inlineStr">
        <is>
          <t>Month number</t>
        </is>
      </c>
      <c r="E8" t="inlineStr">
        <is>
          <t>index</t>
        </is>
      </c>
      <c r="J8" s="9">
        <f>I8+1</f>
        <v/>
      </c>
      <c r="K8" s="9">
        <f>J8+1</f>
        <v/>
      </c>
      <c r="L8" s="9">
        <f>K8+1</f>
        <v/>
      </c>
      <c r="M8" s="9">
        <f>L8+1</f>
        <v/>
      </c>
      <c r="N8" s="9">
        <f>M8+1</f>
        <v/>
      </c>
      <c r="O8" s="9">
        <f>N8+1</f>
        <v/>
      </c>
      <c r="P8" s="9">
        <f>O8+1</f>
        <v/>
      </c>
      <c r="Q8" s="9">
        <f>P8+1</f>
        <v/>
      </c>
      <c r="R8" s="9">
        <f>Q8+1</f>
        <v/>
      </c>
      <c r="S8" s="9">
        <f>R8+1</f>
        <v/>
      </c>
      <c r="T8" s="9">
        <f>S8+1</f>
        <v/>
      </c>
      <c r="U8" s="9">
        <f>T8+1</f>
        <v/>
      </c>
      <c r="V8" s="9">
        <f>U8+1</f>
        <v/>
      </c>
      <c r="W8" s="9">
        <f>V8+1</f>
        <v/>
      </c>
      <c r="X8" s="9">
        <f>W8+1</f>
        <v/>
      </c>
      <c r="Y8" s="9">
        <f>X8+1</f>
        <v/>
      </c>
      <c r="Z8" s="9">
        <f>Y8+1</f>
        <v/>
      </c>
      <c r="AA8" s="9">
        <f>Z8+1</f>
        <v/>
      </c>
      <c r="AB8" s="9">
        <f>AA8+1</f>
        <v/>
      </c>
      <c r="AC8" s="9">
        <f>AB8+1</f>
        <v/>
      </c>
      <c r="AD8" s="9">
        <f>AC8+1</f>
        <v/>
      </c>
      <c r="AE8" s="9">
        <f>AD8+1</f>
        <v/>
      </c>
      <c r="AF8" s="9">
        <f>AE8+1</f>
        <v/>
      </c>
      <c r="AG8" s="9">
        <f>AF8+1</f>
        <v/>
      </c>
      <c r="AH8" s="9">
        <f>AG8+1</f>
        <v/>
      </c>
      <c r="AI8" s="9">
        <f>AH8+1</f>
        <v/>
      </c>
      <c r="AJ8" s="9">
        <f>AI8+1</f>
        <v/>
      </c>
      <c r="AK8" s="9">
        <f>AJ8+1</f>
        <v/>
      </c>
      <c r="AL8" s="9">
        <f>AK8+1</f>
        <v/>
      </c>
      <c r="AM8" s="9">
        <f>AL8+1</f>
        <v/>
      </c>
      <c r="AN8" s="9">
        <f>AM8+1</f>
        <v/>
      </c>
      <c r="AO8" s="9">
        <f>AN8+1</f>
        <v/>
      </c>
      <c r="AP8" s="9">
        <f>AO8+1</f>
        <v/>
      </c>
      <c r="AQ8" s="9">
        <f>AP8+1</f>
        <v/>
      </c>
      <c r="AR8" s="9">
        <f>AQ8+1</f>
        <v/>
      </c>
      <c r="AS8" s="9">
        <f>AR8+1</f>
        <v/>
      </c>
      <c r="AT8" s="9">
        <f>AS8+1</f>
        <v/>
      </c>
      <c r="AU8" s="9">
        <f>AT8+1</f>
        <v/>
      </c>
      <c r="AV8" s="9">
        <f>AU8+1</f>
        <v/>
      </c>
      <c r="AW8" s="9">
        <f>AV8+1</f>
        <v/>
      </c>
      <c r="AX8" s="9">
        <f>AW8+1</f>
        <v/>
      </c>
      <c r="AY8" s="9">
        <f>AX8+1</f>
        <v/>
      </c>
      <c r="AZ8" s="9">
        <f>AY8+1</f>
        <v/>
      </c>
      <c r="BA8" s="9">
        <f>AZ8+1</f>
        <v/>
      </c>
      <c r="BB8" s="9">
        <f>BA8+1</f>
        <v/>
      </c>
      <c r="BC8" s="9">
        <f>BB8+1</f>
        <v/>
      </c>
      <c r="BD8" s="9">
        <f>BC8+1</f>
        <v/>
      </c>
      <c r="BE8" s="9">
        <f>BD8+1</f>
        <v/>
      </c>
      <c r="BF8" s="9">
        <f>BE8+1</f>
        <v/>
      </c>
      <c r="BG8" s="9">
        <f>BF8+1</f>
        <v/>
      </c>
      <c r="BH8" s="9">
        <f>BG8+1</f>
        <v/>
      </c>
      <c r="BI8" s="9">
        <f>BH8+1</f>
        <v/>
      </c>
      <c r="BJ8" s="9">
        <f>BI8+1</f>
        <v/>
      </c>
    </row>
    <row r="9">
      <c r="D9" t="inlineStr">
        <is>
          <t>Month start</t>
        </is>
      </c>
      <c r="E9" t="inlineStr">
        <is>
          <t>date</t>
        </is>
      </c>
      <c r="J9" s="10">
        <f>IF(J8=1,Inputs!$F$188,EDATE(I9,1))</f>
        <v/>
      </c>
      <c r="K9" s="10">
        <f>IF(K8=1,Inputs!$F$188,EDATE(J9,1))</f>
        <v/>
      </c>
      <c r="L9" s="10">
        <f>IF(L8=1,Inputs!$F$188,EDATE(K9,1))</f>
        <v/>
      </c>
      <c r="M9" s="10">
        <f>IF(M8=1,Inputs!$F$188,EDATE(L9,1))</f>
        <v/>
      </c>
      <c r="N9" s="10">
        <f>IF(N8=1,Inputs!$F$188,EDATE(M9,1))</f>
        <v/>
      </c>
      <c r="O9" s="10">
        <f>IF(O8=1,Inputs!$F$188,EDATE(N9,1))</f>
        <v/>
      </c>
      <c r="P9" s="10">
        <f>IF(P8=1,Inputs!$F$188,EDATE(O9,1))</f>
        <v/>
      </c>
      <c r="Q9" s="10">
        <f>IF(Q8=1,Inputs!$F$188,EDATE(P9,1))</f>
        <v/>
      </c>
      <c r="R9" s="10">
        <f>IF(R8=1,Inputs!$F$188,EDATE(Q9,1))</f>
        <v/>
      </c>
      <c r="S9" s="10">
        <f>IF(S8=1,Inputs!$F$188,EDATE(R9,1))</f>
        <v/>
      </c>
      <c r="T9" s="10">
        <f>IF(T8=1,Inputs!$F$188,EDATE(S9,1))</f>
        <v/>
      </c>
      <c r="U9" s="10">
        <f>IF(U8=1,Inputs!$F$188,EDATE(T9,1))</f>
        <v/>
      </c>
      <c r="V9" s="10">
        <f>IF(V8=1,Inputs!$F$188,EDATE(U9,1))</f>
        <v/>
      </c>
      <c r="W9" s="10">
        <f>IF(W8=1,Inputs!$F$188,EDATE(V9,1))</f>
        <v/>
      </c>
      <c r="X9" s="10">
        <f>IF(X8=1,Inputs!$F$188,EDATE(W9,1))</f>
        <v/>
      </c>
      <c r="Y9" s="10">
        <f>IF(Y8=1,Inputs!$F$188,EDATE(X9,1))</f>
        <v/>
      </c>
      <c r="Z9" s="10">
        <f>IF(Z8=1,Inputs!$F$188,EDATE(Y9,1))</f>
        <v/>
      </c>
      <c r="AA9" s="10">
        <f>IF(AA8=1,Inputs!$F$188,EDATE(Z9,1))</f>
        <v/>
      </c>
      <c r="AB9" s="10">
        <f>IF(AB8=1,Inputs!$F$188,EDATE(AA9,1))</f>
        <v/>
      </c>
      <c r="AC9" s="10">
        <f>IF(AC8=1,Inputs!$F$188,EDATE(AB9,1))</f>
        <v/>
      </c>
      <c r="AD9" s="10">
        <f>IF(AD8=1,Inputs!$F$188,EDATE(AC9,1))</f>
        <v/>
      </c>
      <c r="AE9" s="10">
        <f>IF(AE8=1,Inputs!$F$188,EDATE(AD9,1))</f>
        <v/>
      </c>
      <c r="AF9" s="10">
        <f>IF(AF8=1,Inputs!$F$188,EDATE(AE9,1))</f>
        <v/>
      </c>
      <c r="AG9" s="10">
        <f>IF(AG8=1,Inputs!$F$188,EDATE(AF9,1))</f>
        <v/>
      </c>
      <c r="AH9" s="10">
        <f>IF(AH8=1,Inputs!$F$188,EDATE(AG9,1))</f>
        <v/>
      </c>
      <c r="AI9" s="10">
        <f>IF(AI8=1,Inputs!$F$188,EDATE(AH9,1))</f>
        <v/>
      </c>
      <c r="AJ9" s="10">
        <f>IF(AJ8=1,Inputs!$F$188,EDATE(AI9,1))</f>
        <v/>
      </c>
      <c r="AK9" s="10">
        <f>IF(AK8=1,Inputs!$F$188,EDATE(AJ9,1))</f>
        <v/>
      </c>
      <c r="AL9" s="10">
        <f>IF(AL8=1,Inputs!$F$188,EDATE(AK9,1))</f>
        <v/>
      </c>
      <c r="AM9" s="10">
        <f>IF(AM8=1,Inputs!$F$188,EDATE(AL9,1))</f>
        <v/>
      </c>
      <c r="AN9" s="10">
        <f>IF(AN8=1,Inputs!$F$188,EDATE(AM9,1))</f>
        <v/>
      </c>
      <c r="AO9" s="10">
        <f>IF(AO8=1,Inputs!$F$188,EDATE(AN9,1))</f>
        <v/>
      </c>
      <c r="AP9" s="10">
        <f>IF(AP8=1,Inputs!$F$188,EDATE(AO9,1))</f>
        <v/>
      </c>
      <c r="AQ9" s="10">
        <f>IF(AQ8=1,Inputs!$F$188,EDATE(AP9,1))</f>
        <v/>
      </c>
      <c r="AR9" s="10">
        <f>IF(AR8=1,Inputs!$F$188,EDATE(AQ9,1))</f>
        <v/>
      </c>
      <c r="AS9" s="10">
        <f>IF(AS8=1,Inputs!$F$188,EDATE(AR9,1))</f>
        <v/>
      </c>
      <c r="AT9" s="10">
        <f>IF(AT8=1,Inputs!$F$188,EDATE(AS9,1))</f>
        <v/>
      </c>
      <c r="AU9" s="10">
        <f>IF(AU8=1,Inputs!$F$188,EDATE(AT9,1))</f>
        <v/>
      </c>
      <c r="AV9" s="10">
        <f>IF(AV8=1,Inputs!$F$188,EDATE(AU9,1))</f>
        <v/>
      </c>
      <c r="AW9" s="10">
        <f>IF(AW8=1,Inputs!$F$188,EDATE(AV9,1))</f>
        <v/>
      </c>
      <c r="AX9" s="10">
        <f>IF(AX8=1,Inputs!$F$188,EDATE(AW9,1))</f>
        <v/>
      </c>
      <c r="AY9" s="10">
        <f>IF(AY8=1,Inputs!$F$188,EDATE(AX9,1))</f>
        <v/>
      </c>
      <c r="AZ9" s="10">
        <f>IF(AZ8=1,Inputs!$F$188,EDATE(AY9,1))</f>
        <v/>
      </c>
      <c r="BA9" s="10">
        <f>IF(BA8=1,Inputs!$F$188,EDATE(AZ9,1))</f>
        <v/>
      </c>
      <c r="BB9" s="10">
        <f>IF(BB8=1,Inputs!$F$188,EDATE(BA9,1))</f>
        <v/>
      </c>
      <c r="BC9" s="10">
        <f>IF(BC8=1,Inputs!$F$188,EDATE(BB9,1))</f>
        <v/>
      </c>
      <c r="BD9" s="10">
        <f>IF(BD8=1,Inputs!$F$188,EDATE(BC9,1))</f>
        <v/>
      </c>
      <c r="BE9" s="10">
        <f>IF(BE8=1,Inputs!$F$188,EDATE(BD9,1))</f>
        <v/>
      </c>
      <c r="BF9" s="10">
        <f>IF(BF8=1,Inputs!$F$188,EDATE(BE9,1))</f>
        <v/>
      </c>
      <c r="BG9" s="10">
        <f>IF(BG8=1,Inputs!$F$188,EDATE(BF9,1))</f>
        <v/>
      </c>
      <c r="BH9" s="10">
        <f>IF(BH8=1,Inputs!$F$188,EDATE(BG9,1))</f>
        <v/>
      </c>
      <c r="BI9" s="10">
        <f>IF(BI8=1,Inputs!$F$188,EDATE(BH9,1))</f>
        <v/>
      </c>
      <c r="BJ9" s="10">
        <f>IF(BJ8=1,Inputs!$F$188,EDATE(BI9,1))</f>
        <v/>
      </c>
    </row>
    <row r="10">
      <c r="D10" t="inlineStr">
        <is>
          <t>Month end</t>
        </is>
      </c>
      <c r="E10" t="inlineStr">
        <is>
          <t>date</t>
        </is>
      </c>
      <c r="J10" s="10">
        <f>EOMONTH(J9,0)</f>
        <v/>
      </c>
      <c r="K10" s="10">
        <f>EOMONTH(K9,0)</f>
        <v/>
      </c>
      <c r="L10" s="10">
        <f>EOMONTH(L9,0)</f>
        <v/>
      </c>
      <c r="M10" s="10">
        <f>EOMONTH(M9,0)</f>
        <v/>
      </c>
      <c r="N10" s="10">
        <f>EOMONTH(N9,0)</f>
        <v/>
      </c>
      <c r="O10" s="10">
        <f>EOMONTH(O9,0)</f>
        <v/>
      </c>
      <c r="P10" s="10">
        <f>EOMONTH(P9,0)</f>
        <v/>
      </c>
      <c r="Q10" s="10">
        <f>EOMONTH(Q9,0)</f>
        <v/>
      </c>
      <c r="R10" s="10">
        <f>EOMONTH(R9,0)</f>
        <v/>
      </c>
      <c r="S10" s="10">
        <f>EOMONTH(S9,0)</f>
        <v/>
      </c>
      <c r="T10" s="10">
        <f>EOMONTH(T9,0)</f>
        <v/>
      </c>
      <c r="U10" s="10">
        <f>EOMONTH(U9,0)</f>
        <v/>
      </c>
      <c r="V10" s="10">
        <f>EOMONTH(V9,0)</f>
        <v/>
      </c>
      <c r="W10" s="10">
        <f>EOMONTH(W9,0)</f>
        <v/>
      </c>
      <c r="X10" s="10">
        <f>EOMONTH(X9,0)</f>
        <v/>
      </c>
      <c r="Y10" s="10">
        <f>EOMONTH(Y9,0)</f>
        <v/>
      </c>
      <c r="Z10" s="10">
        <f>EOMONTH(Z9,0)</f>
        <v/>
      </c>
      <c r="AA10" s="10">
        <f>EOMONTH(AA9,0)</f>
        <v/>
      </c>
      <c r="AB10" s="10">
        <f>EOMONTH(AB9,0)</f>
        <v/>
      </c>
      <c r="AC10" s="10">
        <f>EOMONTH(AC9,0)</f>
        <v/>
      </c>
      <c r="AD10" s="10">
        <f>EOMONTH(AD9,0)</f>
        <v/>
      </c>
      <c r="AE10" s="10">
        <f>EOMONTH(AE9,0)</f>
        <v/>
      </c>
      <c r="AF10" s="10">
        <f>EOMONTH(AF9,0)</f>
        <v/>
      </c>
      <c r="AG10" s="10">
        <f>EOMONTH(AG9,0)</f>
        <v/>
      </c>
      <c r="AH10" s="10">
        <f>EOMONTH(AH9,0)</f>
        <v/>
      </c>
      <c r="AI10" s="10">
        <f>EOMONTH(AI9,0)</f>
        <v/>
      </c>
      <c r="AJ10" s="10">
        <f>EOMONTH(AJ9,0)</f>
        <v/>
      </c>
      <c r="AK10" s="10">
        <f>EOMONTH(AK9,0)</f>
        <v/>
      </c>
      <c r="AL10" s="10">
        <f>EOMONTH(AL9,0)</f>
        <v/>
      </c>
      <c r="AM10" s="10">
        <f>EOMONTH(AM9,0)</f>
        <v/>
      </c>
      <c r="AN10" s="10">
        <f>EOMONTH(AN9,0)</f>
        <v/>
      </c>
      <c r="AO10" s="10">
        <f>EOMONTH(AO9,0)</f>
        <v/>
      </c>
      <c r="AP10" s="10">
        <f>EOMONTH(AP9,0)</f>
        <v/>
      </c>
      <c r="AQ10" s="10">
        <f>EOMONTH(AQ9,0)</f>
        <v/>
      </c>
      <c r="AR10" s="10">
        <f>EOMONTH(AR9,0)</f>
        <v/>
      </c>
      <c r="AS10" s="10">
        <f>EOMONTH(AS9,0)</f>
        <v/>
      </c>
      <c r="AT10" s="10">
        <f>EOMONTH(AT9,0)</f>
        <v/>
      </c>
      <c r="AU10" s="10">
        <f>EOMONTH(AU9,0)</f>
        <v/>
      </c>
      <c r="AV10" s="10">
        <f>EOMONTH(AV9,0)</f>
        <v/>
      </c>
      <c r="AW10" s="10">
        <f>EOMONTH(AW9,0)</f>
        <v/>
      </c>
      <c r="AX10" s="10">
        <f>EOMONTH(AX9,0)</f>
        <v/>
      </c>
      <c r="AY10" s="10">
        <f>EOMONTH(AY9,0)</f>
        <v/>
      </c>
      <c r="AZ10" s="10">
        <f>EOMONTH(AZ9,0)</f>
        <v/>
      </c>
      <c r="BA10" s="10">
        <f>EOMONTH(BA9,0)</f>
        <v/>
      </c>
      <c r="BB10" s="10">
        <f>EOMONTH(BB9,0)</f>
        <v/>
      </c>
      <c r="BC10" s="10">
        <f>EOMONTH(BC9,0)</f>
        <v/>
      </c>
      <c r="BD10" s="10">
        <f>EOMONTH(BD9,0)</f>
        <v/>
      </c>
      <c r="BE10" s="10">
        <f>EOMONTH(BE9,0)</f>
        <v/>
      </c>
      <c r="BF10" s="10">
        <f>EOMONTH(BF9,0)</f>
        <v/>
      </c>
      <c r="BG10" s="10">
        <f>EOMONTH(BG9,0)</f>
        <v/>
      </c>
      <c r="BH10" s="10">
        <f>EOMONTH(BH9,0)</f>
        <v/>
      </c>
      <c r="BI10" s="10">
        <f>EOMONTH(BI9,0)</f>
        <v/>
      </c>
      <c r="BJ10" s="10">
        <f>EOMONTH(BJ9,0)</f>
        <v/>
      </c>
    </row>
    <row r="11">
      <c r="D11" t="inlineStr">
        <is>
          <t>Days</t>
        </is>
      </c>
      <c r="E11" t="inlineStr">
        <is>
          <t>days</t>
        </is>
      </c>
      <c r="J11" s="9">
        <f>J10-J9+1</f>
        <v/>
      </c>
      <c r="K11" s="9">
        <f>K10-K9+1</f>
        <v/>
      </c>
      <c r="L11" s="9">
        <f>L10-L9+1</f>
        <v/>
      </c>
      <c r="M11" s="9">
        <f>M10-M9+1</f>
        <v/>
      </c>
      <c r="N11" s="9">
        <f>N10-N9+1</f>
        <v/>
      </c>
      <c r="O11" s="9">
        <f>O10-O9+1</f>
        <v/>
      </c>
      <c r="P11" s="9">
        <f>P10-P9+1</f>
        <v/>
      </c>
      <c r="Q11" s="9">
        <f>Q10-Q9+1</f>
        <v/>
      </c>
      <c r="R11" s="9">
        <f>R10-R9+1</f>
        <v/>
      </c>
      <c r="S11" s="9">
        <f>S10-S9+1</f>
        <v/>
      </c>
      <c r="T11" s="9">
        <f>T10-T9+1</f>
        <v/>
      </c>
      <c r="U11" s="9">
        <f>U10-U9+1</f>
        <v/>
      </c>
      <c r="V11" s="9">
        <f>V10-V9+1</f>
        <v/>
      </c>
      <c r="W11" s="9">
        <f>W10-W9+1</f>
        <v/>
      </c>
      <c r="X11" s="9">
        <f>X10-X9+1</f>
        <v/>
      </c>
      <c r="Y11" s="9">
        <f>Y10-Y9+1</f>
        <v/>
      </c>
      <c r="Z11" s="9">
        <f>Z10-Z9+1</f>
        <v/>
      </c>
      <c r="AA11" s="9">
        <f>AA10-AA9+1</f>
        <v/>
      </c>
      <c r="AB11" s="9">
        <f>AB10-AB9+1</f>
        <v/>
      </c>
      <c r="AC11" s="9">
        <f>AC10-AC9+1</f>
        <v/>
      </c>
      <c r="AD11" s="9">
        <f>AD10-AD9+1</f>
        <v/>
      </c>
      <c r="AE11" s="9">
        <f>AE10-AE9+1</f>
        <v/>
      </c>
      <c r="AF11" s="9">
        <f>AF10-AF9+1</f>
        <v/>
      </c>
      <c r="AG11" s="9">
        <f>AG10-AG9+1</f>
        <v/>
      </c>
      <c r="AH11" s="9">
        <f>AH10-AH9+1</f>
        <v/>
      </c>
      <c r="AI11" s="9">
        <f>AI10-AI9+1</f>
        <v/>
      </c>
      <c r="AJ11" s="9">
        <f>AJ10-AJ9+1</f>
        <v/>
      </c>
      <c r="AK11" s="9">
        <f>AK10-AK9+1</f>
        <v/>
      </c>
      <c r="AL11" s="9">
        <f>AL10-AL9+1</f>
        <v/>
      </c>
      <c r="AM11" s="9">
        <f>AM10-AM9+1</f>
        <v/>
      </c>
      <c r="AN11" s="9">
        <f>AN10-AN9+1</f>
        <v/>
      </c>
      <c r="AO11" s="9">
        <f>AO10-AO9+1</f>
        <v/>
      </c>
      <c r="AP11" s="9">
        <f>AP10-AP9+1</f>
        <v/>
      </c>
      <c r="AQ11" s="9">
        <f>AQ10-AQ9+1</f>
        <v/>
      </c>
      <c r="AR11" s="9">
        <f>AR10-AR9+1</f>
        <v/>
      </c>
      <c r="AS11" s="9">
        <f>AS10-AS9+1</f>
        <v/>
      </c>
      <c r="AT11" s="9">
        <f>AT10-AT9+1</f>
        <v/>
      </c>
      <c r="AU11" s="9">
        <f>AU10-AU9+1</f>
        <v/>
      </c>
      <c r="AV11" s="9">
        <f>AV10-AV9+1</f>
        <v/>
      </c>
      <c r="AW11" s="9">
        <f>AW10-AW9+1</f>
        <v/>
      </c>
      <c r="AX11" s="9">
        <f>AX10-AX9+1</f>
        <v/>
      </c>
      <c r="AY11" s="9">
        <f>AY10-AY9+1</f>
        <v/>
      </c>
      <c r="AZ11" s="9">
        <f>AZ10-AZ9+1</f>
        <v/>
      </c>
      <c r="BA11" s="9">
        <f>BA10-BA9+1</f>
        <v/>
      </c>
      <c r="BB11" s="9">
        <f>BB10-BB9+1</f>
        <v/>
      </c>
      <c r="BC11" s="9">
        <f>BC10-BC9+1</f>
        <v/>
      </c>
      <c r="BD11" s="9">
        <f>BD10-BD9+1</f>
        <v/>
      </c>
      <c r="BE11" s="9">
        <f>BE10-BE9+1</f>
        <v/>
      </c>
      <c r="BF11" s="9">
        <f>BF10-BF9+1</f>
        <v/>
      </c>
      <c r="BG11" s="9">
        <f>BG10-BG9+1</f>
        <v/>
      </c>
      <c r="BH11" s="9">
        <f>BH10-BH9+1</f>
        <v/>
      </c>
      <c r="BI11" s="9">
        <f>BI10-BI9+1</f>
        <v/>
      </c>
      <c r="BJ11" s="9">
        <f>BJ10-BJ9+1</f>
        <v/>
      </c>
    </row>
    <row r="12">
      <c r="D12" t="inlineStr">
        <is>
          <t>Semiannual period number</t>
        </is>
      </c>
      <c r="E12" t="inlineStr">
        <is>
          <t>index</t>
        </is>
      </c>
      <c r="J12" s="9">
        <f>MATCH(J9,Time!$J$22:$BN$22,1)</f>
        <v/>
      </c>
      <c r="K12" s="9">
        <f>MATCH(K9,Time!$J$22:$BN$22,1)</f>
        <v/>
      </c>
      <c r="L12" s="9">
        <f>MATCH(L9,Time!$J$22:$BN$22,1)</f>
        <v/>
      </c>
      <c r="M12" s="9">
        <f>MATCH(M9,Time!$J$22:$BN$22,1)</f>
        <v/>
      </c>
      <c r="N12" s="9">
        <f>MATCH(N9,Time!$J$22:$BN$22,1)</f>
        <v/>
      </c>
      <c r="O12" s="9">
        <f>MATCH(O9,Time!$J$22:$BN$22,1)</f>
        <v/>
      </c>
      <c r="P12" s="9">
        <f>MATCH(P9,Time!$J$22:$BN$22,1)</f>
        <v/>
      </c>
      <c r="Q12" s="9">
        <f>MATCH(Q9,Time!$J$22:$BN$22,1)</f>
        <v/>
      </c>
      <c r="R12" s="9">
        <f>MATCH(R9,Time!$J$22:$BN$22,1)</f>
        <v/>
      </c>
      <c r="S12" s="9">
        <f>MATCH(S9,Time!$J$22:$BN$22,1)</f>
        <v/>
      </c>
      <c r="T12" s="9">
        <f>MATCH(T9,Time!$J$22:$BN$22,1)</f>
        <v/>
      </c>
      <c r="U12" s="9">
        <f>MATCH(U9,Time!$J$22:$BN$22,1)</f>
        <v/>
      </c>
      <c r="V12" s="9">
        <f>MATCH(V9,Time!$J$22:$BN$22,1)</f>
        <v/>
      </c>
      <c r="W12" s="9">
        <f>MATCH(W9,Time!$J$22:$BN$22,1)</f>
        <v/>
      </c>
      <c r="X12" s="9">
        <f>MATCH(X9,Time!$J$22:$BN$22,1)</f>
        <v/>
      </c>
      <c r="Y12" s="9">
        <f>MATCH(Y9,Time!$J$22:$BN$22,1)</f>
        <v/>
      </c>
      <c r="Z12" s="9">
        <f>MATCH(Z9,Time!$J$22:$BN$22,1)</f>
        <v/>
      </c>
      <c r="AA12" s="9">
        <f>MATCH(AA9,Time!$J$22:$BN$22,1)</f>
        <v/>
      </c>
      <c r="AB12" s="9">
        <f>MATCH(AB9,Time!$J$22:$BN$22,1)</f>
        <v/>
      </c>
      <c r="AC12" s="9">
        <f>MATCH(AC9,Time!$J$22:$BN$22,1)</f>
        <v/>
      </c>
      <c r="AD12" s="9">
        <f>MATCH(AD9,Time!$J$22:$BN$22,1)</f>
        <v/>
      </c>
      <c r="AE12" s="9">
        <f>MATCH(AE9,Time!$J$22:$BN$22,1)</f>
        <v/>
      </c>
      <c r="AF12" s="9">
        <f>MATCH(AF9,Time!$J$22:$BN$22,1)</f>
        <v/>
      </c>
      <c r="AG12" s="9">
        <f>MATCH(AG9,Time!$J$22:$BN$22,1)</f>
        <v/>
      </c>
      <c r="AH12" s="9">
        <f>MATCH(AH9,Time!$J$22:$BN$22,1)</f>
        <v/>
      </c>
      <c r="AI12" s="9">
        <f>MATCH(AI9,Time!$J$22:$BN$22,1)</f>
        <v/>
      </c>
      <c r="AJ12" s="9">
        <f>MATCH(AJ9,Time!$J$22:$BN$22,1)</f>
        <v/>
      </c>
      <c r="AK12" s="9">
        <f>MATCH(AK9,Time!$J$22:$BN$22,1)</f>
        <v/>
      </c>
      <c r="AL12" s="9">
        <f>MATCH(AL9,Time!$J$22:$BN$22,1)</f>
        <v/>
      </c>
      <c r="AM12" s="9">
        <f>MATCH(AM9,Time!$J$22:$BN$22,1)</f>
        <v/>
      </c>
      <c r="AN12" s="9">
        <f>MATCH(AN9,Time!$J$22:$BN$22,1)</f>
        <v/>
      </c>
      <c r="AO12" s="9">
        <f>MATCH(AO9,Time!$J$22:$BN$22,1)</f>
        <v/>
      </c>
      <c r="AP12" s="9">
        <f>MATCH(AP9,Time!$J$22:$BN$22,1)</f>
        <v/>
      </c>
      <c r="AQ12" s="9">
        <f>MATCH(AQ9,Time!$J$22:$BN$22,1)</f>
        <v/>
      </c>
      <c r="AR12" s="9">
        <f>MATCH(AR9,Time!$J$22:$BN$22,1)</f>
        <v/>
      </c>
      <c r="AS12" s="9">
        <f>MATCH(AS9,Time!$J$22:$BN$22,1)</f>
        <v/>
      </c>
      <c r="AT12" s="9">
        <f>MATCH(AT9,Time!$J$22:$BN$22,1)</f>
        <v/>
      </c>
      <c r="AU12" s="9">
        <f>MATCH(AU9,Time!$J$22:$BN$22,1)</f>
        <v/>
      </c>
      <c r="AV12" s="9">
        <f>MATCH(AV9,Time!$J$22:$BN$22,1)</f>
        <v/>
      </c>
      <c r="AW12" s="9">
        <f>MATCH(AW9,Time!$J$22:$BN$22,1)</f>
        <v/>
      </c>
      <c r="AX12" s="9">
        <f>MATCH(AX9,Time!$J$22:$BN$22,1)</f>
        <v/>
      </c>
      <c r="AY12" s="9">
        <f>MATCH(AY9,Time!$J$22:$BN$22,1)</f>
        <v/>
      </c>
      <c r="AZ12" s="9">
        <f>MATCH(AZ9,Time!$J$22:$BN$22,1)</f>
        <v/>
      </c>
      <c r="BA12" s="9">
        <f>MATCH(BA9,Time!$J$22:$BN$22,1)</f>
        <v/>
      </c>
      <c r="BB12" s="9">
        <f>MATCH(BB9,Time!$J$22:$BN$22,1)</f>
        <v/>
      </c>
      <c r="BC12" s="9">
        <f>MATCH(BC9,Time!$J$22:$BN$22,1)</f>
        <v/>
      </c>
      <c r="BD12" s="9">
        <f>MATCH(BD9,Time!$J$22:$BN$22,1)</f>
        <v/>
      </c>
      <c r="BE12" s="9">
        <f>MATCH(BE9,Time!$J$22:$BN$22,1)</f>
        <v/>
      </c>
      <c r="BF12" s="9">
        <f>MATCH(BF9,Time!$J$22:$BN$22,1)</f>
        <v/>
      </c>
      <c r="BG12" s="9">
        <f>MATCH(BG9,Time!$J$22:$BN$22,1)</f>
        <v/>
      </c>
      <c r="BH12" s="9">
        <f>MATCH(BH9,Time!$J$22:$BN$22,1)</f>
        <v/>
      </c>
      <c r="BI12" s="9">
        <f>MATCH(BI9,Time!$J$22:$BN$22,1)</f>
        <v/>
      </c>
      <c r="BJ12" s="9">
        <f>MATCH(BJ9,Time!$J$22:$BN$22,1)</f>
        <v/>
      </c>
    </row>
    <row r="13">
      <c r="D13" t="inlineStr">
        <is>
          <t>Flag_Construction (before COD)</t>
        </is>
      </c>
      <c r="E13" t="inlineStr">
        <is>
          <t>flag</t>
        </is>
      </c>
      <c r="J13" s="9">
        <f>IF(J8&lt;=Time!$F$11,1,0)</f>
        <v/>
      </c>
      <c r="K13" s="9">
        <f>IF(K8&lt;=Time!$F$11,1,0)</f>
        <v/>
      </c>
      <c r="L13" s="9">
        <f>IF(L8&lt;=Time!$F$11,1,0)</f>
        <v/>
      </c>
      <c r="M13" s="9">
        <f>IF(M8&lt;=Time!$F$11,1,0)</f>
        <v/>
      </c>
      <c r="N13" s="9">
        <f>IF(N8&lt;=Time!$F$11,1,0)</f>
        <v/>
      </c>
      <c r="O13" s="9">
        <f>IF(O8&lt;=Time!$F$11,1,0)</f>
        <v/>
      </c>
      <c r="P13" s="9">
        <f>IF(P8&lt;=Time!$F$11,1,0)</f>
        <v/>
      </c>
      <c r="Q13" s="9">
        <f>IF(Q8&lt;=Time!$F$11,1,0)</f>
        <v/>
      </c>
      <c r="R13" s="9">
        <f>IF(R8&lt;=Time!$F$11,1,0)</f>
        <v/>
      </c>
      <c r="S13" s="9">
        <f>IF(S8&lt;=Time!$F$11,1,0)</f>
        <v/>
      </c>
      <c r="T13" s="9">
        <f>IF(T8&lt;=Time!$F$11,1,0)</f>
        <v/>
      </c>
      <c r="U13" s="9">
        <f>IF(U8&lt;=Time!$F$11,1,0)</f>
        <v/>
      </c>
      <c r="V13" s="9">
        <f>IF(V8&lt;=Time!$F$11,1,0)</f>
        <v/>
      </c>
      <c r="W13" s="9">
        <f>IF(W8&lt;=Time!$F$11,1,0)</f>
        <v/>
      </c>
      <c r="X13" s="9">
        <f>IF(X8&lt;=Time!$F$11,1,0)</f>
        <v/>
      </c>
      <c r="Y13" s="9">
        <f>IF(Y8&lt;=Time!$F$11,1,0)</f>
        <v/>
      </c>
      <c r="Z13" s="9">
        <f>IF(Z8&lt;=Time!$F$11,1,0)</f>
        <v/>
      </c>
      <c r="AA13" s="9">
        <f>IF(AA8&lt;=Time!$F$11,1,0)</f>
        <v/>
      </c>
      <c r="AB13" s="9">
        <f>IF(AB8&lt;=Time!$F$11,1,0)</f>
        <v/>
      </c>
      <c r="AC13" s="9">
        <f>IF(AC8&lt;=Time!$F$11,1,0)</f>
        <v/>
      </c>
      <c r="AD13" s="9">
        <f>IF(AD8&lt;=Time!$F$11,1,0)</f>
        <v/>
      </c>
      <c r="AE13" s="9">
        <f>IF(AE8&lt;=Time!$F$11,1,0)</f>
        <v/>
      </c>
      <c r="AF13" s="9">
        <f>IF(AF8&lt;=Time!$F$11,1,0)</f>
        <v/>
      </c>
      <c r="AG13" s="9">
        <f>IF(AG8&lt;=Time!$F$11,1,0)</f>
        <v/>
      </c>
      <c r="AH13" s="9">
        <f>IF(AH8&lt;=Time!$F$11,1,0)</f>
        <v/>
      </c>
      <c r="AI13" s="9">
        <f>IF(AI8&lt;=Time!$F$11,1,0)</f>
        <v/>
      </c>
      <c r="AJ13" s="9">
        <f>IF(AJ8&lt;=Time!$F$11,1,0)</f>
        <v/>
      </c>
      <c r="AK13" s="9">
        <f>IF(AK8&lt;=Time!$F$11,1,0)</f>
        <v/>
      </c>
      <c r="AL13" s="9">
        <f>IF(AL8&lt;=Time!$F$11,1,0)</f>
        <v/>
      </c>
      <c r="AM13" s="9">
        <f>IF(AM8&lt;=Time!$F$11,1,0)</f>
        <v/>
      </c>
      <c r="AN13" s="9">
        <f>IF(AN8&lt;=Time!$F$11,1,0)</f>
        <v/>
      </c>
      <c r="AO13" s="9">
        <f>IF(AO8&lt;=Time!$F$11,1,0)</f>
        <v/>
      </c>
      <c r="AP13" s="9">
        <f>IF(AP8&lt;=Time!$F$11,1,0)</f>
        <v/>
      </c>
      <c r="AQ13" s="9">
        <f>IF(AQ8&lt;=Time!$F$11,1,0)</f>
        <v/>
      </c>
      <c r="AR13" s="9">
        <f>IF(AR8&lt;=Time!$F$11,1,0)</f>
        <v/>
      </c>
      <c r="AS13" s="9">
        <f>IF(AS8&lt;=Time!$F$11,1,0)</f>
        <v/>
      </c>
      <c r="AT13" s="9">
        <f>IF(AT8&lt;=Time!$F$11,1,0)</f>
        <v/>
      </c>
      <c r="AU13" s="9">
        <f>IF(AU8&lt;=Time!$F$11,1,0)</f>
        <v/>
      </c>
      <c r="AV13" s="9">
        <f>IF(AV8&lt;=Time!$F$11,1,0)</f>
        <v/>
      </c>
      <c r="AW13" s="9">
        <f>IF(AW8&lt;=Time!$F$11,1,0)</f>
        <v/>
      </c>
      <c r="AX13" s="9">
        <f>IF(AX8&lt;=Time!$F$11,1,0)</f>
        <v/>
      </c>
      <c r="AY13" s="9">
        <f>IF(AY8&lt;=Time!$F$11,1,0)</f>
        <v/>
      </c>
      <c r="AZ13" s="9">
        <f>IF(AZ8&lt;=Time!$F$11,1,0)</f>
        <v/>
      </c>
      <c r="BA13" s="9">
        <f>IF(BA8&lt;=Time!$F$11,1,0)</f>
        <v/>
      </c>
      <c r="BB13" s="9">
        <f>IF(BB8&lt;=Time!$F$11,1,0)</f>
        <v/>
      </c>
      <c r="BC13" s="9">
        <f>IF(BC8&lt;=Time!$F$11,1,0)</f>
        <v/>
      </c>
      <c r="BD13" s="9">
        <f>IF(BD8&lt;=Time!$F$11,1,0)</f>
        <v/>
      </c>
      <c r="BE13" s="9">
        <f>IF(BE8&lt;=Time!$F$11,1,0)</f>
        <v/>
      </c>
      <c r="BF13" s="9">
        <f>IF(BF8&lt;=Time!$F$11,1,0)</f>
        <v/>
      </c>
      <c r="BG13" s="9">
        <f>IF(BG8&lt;=Time!$F$11,1,0)</f>
        <v/>
      </c>
      <c r="BH13" s="9">
        <f>IF(BH8&lt;=Time!$F$11,1,0)</f>
        <v/>
      </c>
      <c r="BI13" s="9">
        <f>IF(BI8&lt;=Time!$F$11,1,0)</f>
        <v/>
      </c>
      <c r="BJ13" s="9">
        <f>IF(BJ8&lt;=Time!$F$11,1,0)</f>
        <v/>
      </c>
    </row>
    <row r="14">
      <c r="D14" t="inlineStr">
        <is>
          <t>Flag_FundingPeriod (to end of COD period)</t>
        </is>
      </c>
      <c r="E14" t="inlineStr">
        <is>
          <t>flag</t>
        </is>
      </c>
      <c r="J14" s="9">
        <f>IF(J8&lt;=Time!$F$14,1,0)</f>
        <v/>
      </c>
      <c r="K14" s="9">
        <f>IF(K8&lt;=Time!$F$14,1,0)</f>
        <v/>
      </c>
      <c r="L14" s="9">
        <f>IF(L8&lt;=Time!$F$14,1,0)</f>
        <v/>
      </c>
      <c r="M14" s="9">
        <f>IF(M8&lt;=Time!$F$14,1,0)</f>
        <v/>
      </c>
      <c r="N14" s="9">
        <f>IF(N8&lt;=Time!$F$14,1,0)</f>
        <v/>
      </c>
      <c r="O14" s="9">
        <f>IF(O8&lt;=Time!$F$14,1,0)</f>
        <v/>
      </c>
      <c r="P14" s="9">
        <f>IF(P8&lt;=Time!$F$14,1,0)</f>
        <v/>
      </c>
      <c r="Q14" s="9">
        <f>IF(Q8&lt;=Time!$F$14,1,0)</f>
        <v/>
      </c>
      <c r="R14" s="9">
        <f>IF(R8&lt;=Time!$F$14,1,0)</f>
        <v/>
      </c>
      <c r="S14" s="9">
        <f>IF(S8&lt;=Time!$F$14,1,0)</f>
        <v/>
      </c>
      <c r="T14" s="9">
        <f>IF(T8&lt;=Time!$F$14,1,0)</f>
        <v/>
      </c>
      <c r="U14" s="9">
        <f>IF(U8&lt;=Time!$F$14,1,0)</f>
        <v/>
      </c>
      <c r="V14" s="9">
        <f>IF(V8&lt;=Time!$F$14,1,0)</f>
        <v/>
      </c>
      <c r="W14" s="9">
        <f>IF(W8&lt;=Time!$F$14,1,0)</f>
        <v/>
      </c>
      <c r="X14" s="9">
        <f>IF(X8&lt;=Time!$F$14,1,0)</f>
        <v/>
      </c>
      <c r="Y14" s="9">
        <f>IF(Y8&lt;=Time!$F$14,1,0)</f>
        <v/>
      </c>
      <c r="Z14" s="9">
        <f>IF(Z8&lt;=Time!$F$14,1,0)</f>
        <v/>
      </c>
      <c r="AA14" s="9">
        <f>IF(AA8&lt;=Time!$F$14,1,0)</f>
        <v/>
      </c>
      <c r="AB14" s="9">
        <f>IF(AB8&lt;=Time!$F$14,1,0)</f>
        <v/>
      </c>
      <c r="AC14" s="9">
        <f>IF(AC8&lt;=Time!$F$14,1,0)</f>
        <v/>
      </c>
      <c r="AD14" s="9">
        <f>IF(AD8&lt;=Time!$F$14,1,0)</f>
        <v/>
      </c>
      <c r="AE14" s="9">
        <f>IF(AE8&lt;=Time!$F$14,1,0)</f>
        <v/>
      </c>
      <c r="AF14" s="9">
        <f>IF(AF8&lt;=Time!$F$14,1,0)</f>
        <v/>
      </c>
      <c r="AG14" s="9">
        <f>IF(AG8&lt;=Time!$F$14,1,0)</f>
        <v/>
      </c>
      <c r="AH14" s="9">
        <f>IF(AH8&lt;=Time!$F$14,1,0)</f>
        <v/>
      </c>
      <c r="AI14" s="9">
        <f>IF(AI8&lt;=Time!$F$14,1,0)</f>
        <v/>
      </c>
      <c r="AJ14" s="9">
        <f>IF(AJ8&lt;=Time!$F$14,1,0)</f>
        <v/>
      </c>
      <c r="AK14" s="9">
        <f>IF(AK8&lt;=Time!$F$14,1,0)</f>
        <v/>
      </c>
      <c r="AL14" s="9">
        <f>IF(AL8&lt;=Time!$F$14,1,0)</f>
        <v/>
      </c>
      <c r="AM14" s="9">
        <f>IF(AM8&lt;=Time!$F$14,1,0)</f>
        <v/>
      </c>
      <c r="AN14" s="9">
        <f>IF(AN8&lt;=Time!$F$14,1,0)</f>
        <v/>
      </c>
      <c r="AO14" s="9">
        <f>IF(AO8&lt;=Time!$F$14,1,0)</f>
        <v/>
      </c>
      <c r="AP14" s="9">
        <f>IF(AP8&lt;=Time!$F$14,1,0)</f>
        <v/>
      </c>
      <c r="AQ14" s="9">
        <f>IF(AQ8&lt;=Time!$F$14,1,0)</f>
        <v/>
      </c>
      <c r="AR14" s="9">
        <f>IF(AR8&lt;=Time!$F$14,1,0)</f>
        <v/>
      </c>
      <c r="AS14" s="9">
        <f>IF(AS8&lt;=Time!$F$14,1,0)</f>
        <v/>
      </c>
      <c r="AT14" s="9">
        <f>IF(AT8&lt;=Time!$F$14,1,0)</f>
        <v/>
      </c>
      <c r="AU14" s="9">
        <f>IF(AU8&lt;=Time!$F$14,1,0)</f>
        <v/>
      </c>
      <c r="AV14" s="9">
        <f>IF(AV8&lt;=Time!$F$14,1,0)</f>
        <v/>
      </c>
      <c r="AW14" s="9">
        <f>IF(AW8&lt;=Time!$F$14,1,0)</f>
        <v/>
      </c>
      <c r="AX14" s="9">
        <f>IF(AX8&lt;=Time!$F$14,1,0)</f>
        <v/>
      </c>
      <c r="AY14" s="9">
        <f>IF(AY8&lt;=Time!$F$14,1,0)</f>
        <v/>
      </c>
      <c r="AZ14" s="9">
        <f>IF(AZ8&lt;=Time!$F$14,1,0)</f>
        <v/>
      </c>
      <c r="BA14" s="9">
        <f>IF(BA8&lt;=Time!$F$14,1,0)</f>
        <v/>
      </c>
      <c r="BB14" s="9">
        <f>IF(BB8&lt;=Time!$F$14,1,0)</f>
        <v/>
      </c>
      <c r="BC14" s="9">
        <f>IF(BC8&lt;=Time!$F$14,1,0)</f>
        <v/>
      </c>
      <c r="BD14" s="9">
        <f>IF(BD8&lt;=Time!$F$14,1,0)</f>
        <v/>
      </c>
      <c r="BE14" s="9">
        <f>IF(BE8&lt;=Time!$F$14,1,0)</f>
        <v/>
      </c>
      <c r="BF14" s="9">
        <f>IF(BF8&lt;=Time!$F$14,1,0)</f>
        <v/>
      </c>
      <c r="BG14" s="9">
        <f>IF(BG8&lt;=Time!$F$14,1,0)</f>
        <v/>
      </c>
      <c r="BH14" s="9">
        <f>IF(BH8&lt;=Time!$F$14,1,0)</f>
        <v/>
      </c>
      <c r="BI14" s="9">
        <f>IF(BI8&lt;=Time!$F$14,1,0)</f>
        <v/>
      </c>
      <c r="BJ14" s="9">
        <f>IF(BJ8&lt;=Time!$F$14,1,0)</f>
        <v/>
      </c>
    </row>
    <row r="15">
      <c r="D15" t="inlineStr">
        <is>
          <t>Flag_CODMonth</t>
        </is>
      </c>
      <c r="E15" t="inlineStr">
        <is>
          <t>flag</t>
        </is>
      </c>
      <c r="J15" s="9">
        <f>IF(J8=Time!$F$11+1,1,0)</f>
        <v/>
      </c>
      <c r="K15" s="9">
        <f>IF(K8=Time!$F$11+1,1,0)</f>
        <v/>
      </c>
      <c r="L15" s="9">
        <f>IF(L8=Time!$F$11+1,1,0)</f>
        <v/>
      </c>
      <c r="M15" s="9">
        <f>IF(M8=Time!$F$11+1,1,0)</f>
        <v/>
      </c>
      <c r="N15" s="9">
        <f>IF(N8=Time!$F$11+1,1,0)</f>
        <v/>
      </c>
      <c r="O15" s="9">
        <f>IF(O8=Time!$F$11+1,1,0)</f>
        <v/>
      </c>
      <c r="P15" s="9">
        <f>IF(P8=Time!$F$11+1,1,0)</f>
        <v/>
      </c>
      <c r="Q15" s="9">
        <f>IF(Q8=Time!$F$11+1,1,0)</f>
        <v/>
      </c>
      <c r="R15" s="9">
        <f>IF(R8=Time!$F$11+1,1,0)</f>
        <v/>
      </c>
      <c r="S15" s="9">
        <f>IF(S8=Time!$F$11+1,1,0)</f>
        <v/>
      </c>
      <c r="T15" s="9">
        <f>IF(T8=Time!$F$11+1,1,0)</f>
        <v/>
      </c>
      <c r="U15" s="9">
        <f>IF(U8=Time!$F$11+1,1,0)</f>
        <v/>
      </c>
      <c r="V15" s="9">
        <f>IF(V8=Time!$F$11+1,1,0)</f>
        <v/>
      </c>
      <c r="W15" s="9">
        <f>IF(W8=Time!$F$11+1,1,0)</f>
        <v/>
      </c>
      <c r="X15" s="9">
        <f>IF(X8=Time!$F$11+1,1,0)</f>
        <v/>
      </c>
      <c r="Y15" s="9">
        <f>IF(Y8=Time!$F$11+1,1,0)</f>
        <v/>
      </c>
      <c r="Z15" s="9">
        <f>IF(Z8=Time!$F$11+1,1,0)</f>
        <v/>
      </c>
      <c r="AA15" s="9">
        <f>IF(AA8=Time!$F$11+1,1,0)</f>
        <v/>
      </c>
      <c r="AB15" s="9">
        <f>IF(AB8=Time!$F$11+1,1,0)</f>
        <v/>
      </c>
      <c r="AC15" s="9">
        <f>IF(AC8=Time!$F$11+1,1,0)</f>
        <v/>
      </c>
      <c r="AD15" s="9">
        <f>IF(AD8=Time!$F$11+1,1,0)</f>
        <v/>
      </c>
      <c r="AE15" s="9">
        <f>IF(AE8=Time!$F$11+1,1,0)</f>
        <v/>
      </c>
      <c r="AF15" s="9">
        <f>IF(AF8=Time!$F$11+1,1,0)</f>
        <v/>
      </c>
      <c r="AG15" s="9">
        <f>IF(AG8=Time!$F$11+1,1,0)</f>
        <v/>
      </c>
      <c r="AH15" s="9">
        <f>IF(AH8=Time!$F$11+1,1,0)</f>
        <v/>
      </c>
      <c r="AI15" s="9">
        <f>IF(AI8=Time!$F$11+1,1,0)</f>
        <v/>
      </c>
      <c r="AJ15" s="9">
        <f>IF(AJ8=Time!$F$11+1,1,0)</f>
        <v/>
      </c>
      <c r="AK15" s="9">
        <f>IF(AK8=Time!$F$11+1,1,0)</f>
        <v/>
      </c>
      <c r="AL15" s="9">
        <f>IF(AL8=Time!$F$11+1,1,0)</f>
        <v/>
      </c>
      <c r="AM15" s="9">
        <f>IF(AM8=Time!$F$11+1,1,0)</f>
        <v/>
      </c>
      <c r="AN15" s="9">
        <f>IF(AN8=Time!$F$11+1,1,0)</f>
        <v/>
      </c>
      <c r="AO15" s="9">
        <f>IF(AO8=Time!$F$11+1,1,0)</f>
        <v/>
      </c>
      <c r="AP15" s="9">
        <f>IF(AP8=Time!$F$11+1,1,0)</f>
        <v/>
      </c>
      <c r="AQ15" s="9">
        <f>IF(AQ8=Time!$F$11+1,1,0)</f>
        <v/>
      </c>
      <c r="AR15" s="9">
        <f>IF(AR8=Time!$F$11+1,1,0)</f>
        <v/>
      </c>
      <c r="AS15" s="9">
        <f>IF(AS8=Time!$F$11+1,1,0)</f>
        <v/>
      </c>
      <c r="AT15" s="9">
        <f>IF(AT8=Time!$F$11+1,1,0)</f>
        <v/>
      </c>
      <c r="AU15" s="9">
        <f>IF(AU8=Time!$F$11+1,1,0)</f>
        <v/>
      </c>
      <c r="AV15" s="9">
        <f>IF(AV8=Time!$F$11+1,1,0)</f>
        <v/>
      </c>
      <c r="AW15" s="9">
        <f>IF(AW8=Time!$F$11+1,1,0)</f>
        <v/>
      </c>
      <c r="AX15" s="9">
        <f>IF(AX8=Time!$F$11+1,1,0)</f>
        <v/>
      </c>
      <c r="AY15" s="9">
        <f>IF(AY8=Time!$F$11+1,1,0)</f>
        <v/>
      </c>
      <c r="AZ15" s="9">
        <f>IF(AZ8=Time!$F$11+1,1,0)</f>
        <v/>
      </c>
      <c r="BA15" s="9">
        <f>IF(BA8=Time!$F$11+1,1,0)</f>
        <v/>
      </c>
      <c r="BB15" s="9">
        <f>IF(BB8=Time!$F$11+1,1,0)</f>
        <v/>
      </c>
      <c r="BC15" s="9">
        <f>IF(BC8=Time!$F$11+1,1,0)</f>
        <v/>
      </c>
      <c r="BD15" s="9">
        <f>IF(BD8=Time!$F$11+1,1,0)</f>
        <v/>
      </c>
      <c r="BE15" s="9">
        <f>IF(BE8=Time!$F$11+1,1,0)</f>
        <v/>
      </c>
      <c r="BF15" s="9">
        <f>IF(BF8=Time!$F$11+1,1,0)</f>
        <v/>
      </c>
      <c r="BG15" s="9">
        <f>IF(BG8=Time!$F$11+1,1,0)</f>
        <v/>
      </c>
      <c r="BH15" s="9">
        <f>IF(BH8=Time!$F$11+1,1,0)</f>
        <v/>
      </c>
      <c r="BI15" s="9">
        <f>IF(BI8=Time!$F$11+1,1,0)</f>
        <v/>
      </c>
      <c r="BJ15" s="9">
        <f>IF(BJ8=Time!$F$11+1,1,0)</f>
        <v/>
      </c>
    </row>
    <row r="16">
      <c r="D16" t="inlineStr">
        <is>
          <t>KCR per USD</t>
        </is>
      </c>
      <c r="E16" t="inlineStr">
        <is>
          <t>KCR/USD</t>
        </is>
      </c>
      <c r="J16" s="13">
        <f>IF(Inputs!$F$33=1,Inputs!$F$60*Time!$F$16^((J8-Inputs!$F$212)/12),INDEX(Operations!$J$11:$BN$11,1,J12))</f>
        <v/>
      </c>
      <c r="K16" s="13">
        <f>IF(Inputs!$F$33=1,Inputs!$F$60*Time!$F$16^((K8-Inputs!$F$212)/12),INDEX(Operations!$J$11:$BN$11,1,K12))</f>
        <v/>
      </c>
      <c r="L16" s="13">
        <f>IF(Inputs!$F$33=1,Inputs!$F$60*Time!$F$16^((L8-Inputs!$F$212)/12),INDEX(Operations!$J$11:$BN$11,1,L12))</f>
        <v/>
      </c>
      <c r="M16" s="13">
        <f>IF(Inputs!$F$33=1,Inputs!$F$60*Time!$F$16^((M8-Inputs!$F$212)/12),INDEX(Operations!$J$11:$BN$11,1,M12))</f>
        <v/>
      </c>
      <c r="N16" s="13">
        <f>IF(Inputs!$F$33=1,Inputs!$F$60*Time!$F$16^((N8-Inputs!$F$212)/12),INDEX(Operations!$J$11:$BN$11,1,N12))</f>
        <v/>
      </c>
      <c r="O16" s="13">
        <f>IF(Inputs!$F$33=1,Inputs!$F$60*Time!$F$16^((O8-Inputs!$F$212)/12),INDEX(Operations!$J$11:$BN$11,1,O12))</f>
        <v/>
      </c>
      <c r="P16" s="13">
        <f>IF(Inputs!$F$33=1,Inputs!$F$60*Time!$F$16^((P8-Inputs!$F$212)/12),INDEX(Operations!$J$11:$BN$11,1,P12))</f>
        <v/>
      </c>
      <c r="Q16" s="13">
        <f>IF(Inputs!$F$33=1,Inputs!$F$60*Time!$F$16^((Q8-Inputs!$F$212)/12),INDEX(Operations!$J$11:$BN$11,1,Q12))</f>
        <v/>
      </c>
      <c r="R16" s="13">
        <f>IF(Inputs!$F$33=1,Inputs!$F$60*Time!$F$16^((R8-Inputs!$F$212)/12),INDEX(Operations!$J$11:$BN$11,1,R12))</f>
        <v/>
      </c>
      <c r="S16" s="13">
        <f>IF(Inputs!$F$33=1,Inputs!$F$60*Time!$F$16^((S8-Inputs!$F$212)/12),INDEX(Operations!$J$11:$BN$11,1,S12))</f>
        <v/>
      </c>
      <c r="T16" s="13">
        <f>IF(Inputs!$F$33=1,Inputs!$F$60*Time!$F$16^((T8-Inputs!$F$212)/12),INDEX(Operations!$J$11:$BN$11,1,T12))</f>
        <v/>
      </c>
      <c r="U16" s="13">
        <f>IF(Inputs!$F$33=1,Inputs!$F$60*Time!$F$16^((U8-Inputs!$F$212)/12),INDEX(Operations!$J$11:$BN$11,1,U12))</f>
        <v/>
      </c>
      <c r="V16" s="13">
        <f>IF(Inputs!$F$33=1,Inputs!$F$60*Time!$F$16^((V8-Inputs!$F$212)/12),INDEX(Operations!$J$11:$BN$11,1,V12))</f>
        <v/>
      </c>
      <c r="W16" s="13">
        <f>IF(Inputs!$F$33=1,Inputs!$F$60*Time!$F$16^((W8-Inputs!$F$212)/12),INDEX(Operations!$J$11:$BN$11,1,W12))</f>
        <v/>
      </c>
      <c r="X16" s="13">
        <f>IF(Inputs!$F$33=1,Inputs!$F$60*Time!$F$16^((X8-Inputs!$F$212)/12),INDEX(Operations!$J$11:$BN$11,1,X12))</f>
        <v/>
      </c>
      <c r="Y16" s="13">
        <f>IF(Inputs!$F$33=1,Inputs!$F$60*Time!$F$16^((Y8-Inputs!$F$212)/12),INDEX(Operations!$J$11:$BN$11,1,Y12))</f>
        <v/>
      </c>
      <c r="Z16" s="13">
        <f>IF(Inputs!$F$33=1,Inputs!$F$60*Time!$F$16^((Z8-Inputs!$F$212)/12),INDEX(Operations!$J$11:$BN$11,1,Z12))</f>
        <v/>
      </c>
      <c r="AA16" s="13">
        <f>IF(Inputs!$F$33=1,Inputs!$F$60*Time!$F$16^((AA8-Inputs!$F$212)/12),INDEX(Operations!$J$11:$BN$11,1,AA12))</f>
        <v/>
      </c>
      <c r="AB16" s="13">
        <f>IF(Inputs!$F$33=1,Inputs!$F$60*Time!$F$16^((AB8-Inputs!$F$212)/12),INDEX(Operations!$J$11:$BN$11,1,AB12))</f>
        <v/>
      </c>
      <c r="AC16" s="13">
        <f>IF(Inputs!$F$33=1,Inputs!$F$60*Time!$F$16^((AC8-Inputs!$F$212)/12),INDEX(Operations!$J$11:$BN$11,1,AC12))</f>
        <v/>
      </c>
      <c r="AD16" s="13">
        <f>IF(Inputs!$F$33=1,Inputs!$F$60*Time!$F$16^((AD8-Inputs!$F$212)/12),INDEX(Operations!$J$11:$BN$11,1,AD12))</f>
        <v/>
      </c>
      <c r="AE16" s="13">
        <f>IF(Inputs!$F$33=1,Inputs!$F$60*Time!$F$16^((AE8-Inputs!$F$212)/12),INDEX(Operations!$J$11:$BN$11,1,AE12))</f>
        <v/>
      </c>
      <c r="AF16" s="13">
        <f>IF(Inputs!$F$33=1,Inputs!$F$60*Time!$F$16^((AF8-Inputs!$F$212)/12),INDEX(Operations!$J$11:$BN$11,1,AF12))</f>
        <v/>
      </c>
      <c r="AG16" s="13">
        <f>IF(Inputs!$F$33=1,Inputs!$F$60*Time!$F$16^((AG8-Inputs!$F$212)/12),INDEX(Operations!$J$11:$BN$11,1,AG12))</f>
        <v/>
      </c>
      <c r="AH16" s="13">
        <f>IF(Inputs!$F$33=1,Inputs!$F$60*Time!$F$16^((AH8-Inputs!$F$212)/12),INDEX(Operations!$J$11:$BN$11,1,AH12))</f>
        <v/>
      </c>
      <c r="AI16" s="13">
        <f>IF(Inputs!$F$33=1,Inputs!$F$60*Time!$F$16^((AI8-Inputs!$F$212)/12),INDEX(Operations!$J$11:$BN$11,1,AI12))</f>
        <v/>
      </c>
      <c r="AJ16" s="13">
        <f>IF(Inputs!$F$33=1,Inputs!$F$60*Time!$F$16^((AJ8-Inputs!$F$212)/12),INDEX(Operations!$J$11:$BN$11,1,AJ12))</f>
        <v/>
      </c>
      <c r="AK16" s="13">
        <f>IF(Inputs!$F$33=1,Inputs!$F$60*Time!$F$16^((AK8-Inputs!$F$212)/12),INDEX(Operations!$J$11:$BN$11,1,AK12))</f>
        <v/>
      </c>
      <c r="AL16" s="13">
        <f>IF(Inputs!$F$33=1,Inputs!$F$60*Time!$F$16^((AL8-Inputs!$F$212)/12),INDEX(Operations!$J$11:$BN$11,1,AL12))</f>
        <v/>
      </c>
      <c r="AM16" s="13">
        <f>IF(Inputs!$F$33=1,Inputs!$F$60*Time!$F$16^((AM8-Inputs!$F$212)/12),INDEX(Operations!$J$11:$BN$11,1,AM12))</f>
        <v/>
      </c>
      <c r="AN16" s="13">
        <f>IF(Inputs!$F$33=1,Inputs!$F$60*Time!$F$16^((AN8-Inputs!$F$212)/12),INDEX(Operations!$J$11:$BN$11,1,AN12))</f>
        <v/>
      </c>
      <c r="AO16" s="13">
        <f>IF(Inputs!$F$33=1,Inputs!$F$60*Time!$F$16^((AO8-Inputs!$F$212)/12),INDEX(Operations!$J$11:$BN$11,1,AO12))</f>
        <v/>
      </c>
      <c r="AP16" s="13">
        <f>IF(Inputs!$F$33=1,Inputs!$F$60*Time!$F$16^((AP8-Inputs!$F$212)/12),INDEX(Operations!$J$11:$BN$11,1,AP12))</f>
        <v/>
      </c>
      <c r="AQ16" s="13">
        <f>IF(Inputs!$F$33=1,Inputs!$F$60*Time!$F$16^((AQ8-Inputs!$F$212)/12),INDEX(Operations!$J$11:$BN$11,1,AQ12))</f>
        <v/>
      </c>
      <c r="AR16" s="13">
        <f>IF(Inputs!$F$33=1,Inputs!$F$60*Time!$F$16^((AR8-Inputs!$F$212)/12),INDEX(Operations!$J$11:$BN$11,1,AR12))</f>
        <v/>
      </c>
      <c r="AS16" s="13">
        <f>IF(Inputs!$F$33=1,Inputs!$F$60*Time!$F$16^((AS8-Inputs!$F$212)/12),INDEX(Operations!$J$11:$BN$11,1,AS12))</f>
        <v/>
      </c>
      <c r="AT16" s="13">
        <f>IF(Inputs!$F$33=1,Inputs!$F$60*Time!$F$16^((AT8-Inputs!$F$212)/12),INDEX(Operations!$J$11:$BN$11,1,AT12))</f>
        <v/>
      </c>
      <c r="AU16" s="13">
        <f>IF(Inputs!$F$33=1,Inputs!$F$60*Time!$F$16^((AU8-Inputs!$F$212)/12),INDEX(Operations!$J$11:$BN$11,1,AU12))</f>
        <v/>
      </c>
      <c r="AV16" s="13">
        <f>IF(Inputs!$F$33=1,Inputs!$F$60*Time!$F$16^((AV8-Inputs!$F$212)/12),INDEX(Operations!$J$11:$BN$11,1,AV12))</f>
        <v/>
      </c>
      <c r="AW16" s="13">
        <f>IF(Inputs!$F$33=1,Inputs!$F$60*Time!$F$16^((AW8-Inputs!$F$212)/12),INDEX(Operations!$J$11:$BN$11,1,AW12))</f>
        <v/>
      </c>
      <c r="AX16" s="13">
        <f>IF(Inputs!$F$33=1,Inputs!$F$60*Time!$F$16^((AX8-Inputs!$F$212)/12),INDEX(Operations!$J$11:$BN$11,1,AX12))</f>
        <v/>
      </c>
      <c r="AY16" s="13">
        <f>IF(Inputs!$F$33=1,Inputs!$F$60*Time!$F$16^((AY8-Inputs!$F$212)/12),INDEX(Operations!$J$11:$BN$11,1,AY12))</f>
        <v/>
      </c>
      <c r="AZ16" s="13">
        <f>IF(Inputs!$F$33=1,Inputs!$F$60*Time!$F$16^((AZ8-Inputs!$F$212)/12),INDEX(Operations!$J$11:$BN$11,1,AZ12))</f>
        <v/>
      </c>
      <c r="BA16" s="13">
        <f>IF(Inputs!$F$33=1,Inputs!$F$60*Time!$F$16^((BA8-Inputs!$F$212)/12),INDEX(Operations!$J$11:$BN$11,1,BA12))</f>
        <v/>
      </c>
      <c r="BB16" s="13">
        <f>IF(Inputs!$F$33=1,Inputs!$F$60*Time!$F$16^((BB8-Inputs!$F$212)/12),INDEX(Operations!$J$11:$BN$11,1,BB12))</f>
        <v/>
      </c>
      <c r="BC16" s="13">
        <f>IF(Inputs!$F$33=1,Inputs!$F$60*Time!$F$16^((BC8-Inputs!$F$212)/12),INDEX(Operations!$J$11:$BN$11,1,BC12))</f>
        <v/>
      </c>
      <c r="BD16" s="13">
        <f>IF(Inputs!$F$33=1,Inputs!$F$60*Time!$F$16^((BD8-Inputs!$F$212)/12),INDEX(Operations!$J$11:$BN$11,1,BD12))</f>
        <v/>
      </c>
      <c r="BE16" s="13">
        <f>IF(Inputs!$F$33=1,Inputs!$F$60*Time!$F$16^((BE8-Inputs!$F$212)/12),INDEX(Operations!$J$11:$BN$11,1,BE12))</f>
        <v/>
      </c>
      <c r="BF16" s="13">
        <f>IF(Inputs!$F$33=1,Inputs!$F$60*Time!$F$16^((BF8-Inputs!$F$212)/12),INDEX(Operations!$J$11:$BN$11,1,BF12))</f>
        <v/>
      </c>
      <c r="BG16" s="13">
        <f>IF(Inputs!$F$33=1,Inputs!$F$60*Time!$F$16^((BG8-Inputs!$F$212)/12),INDEX(Operations!$J$11:$BN$11,1,BG12))</f>
        <v/>
      </c>
      <c r="BH16" s="13">
        <f>IF(Inputs!$F$33=1,Inputs!$F$60*Time!$F$16^((BH8-Inputs!$F$212)/12),INDEX(Operations!$J$11:$BN$11,1,BH12))</f>
        <v/>
      </c>
      <c r="BI16" s="13">
        <f>IF(Inputs!$F$33=1,Inputs!$F$60*Time!$F$16^((BI8-Inputs!$F$212)/12),INDEX(Operations!$J$11:$BN$11,1,BI12))</f>
        <v/>
      </c>
      <c r="BJ16" s="13">
        <f>IF(Inputs!$F$33=1,Inputs!$F$60*Time!$F$16^((BJ8-Inputs!$F$212)/12),INDEX(Operations!$J$11:$BN$11,1,BJ12))</f>
        <v/>
      </c>
    </row>
    <row r="17">
      <c r="D17" t="inlineStr">
        <is>
          <t>Base rate (6M fixing for the half-year)</t>
        </is>
      </c>
      <c r="E17" t="inlineStr">
        <is>
          <t>%</t>
        </is>
      </c>
      <c r="J17" s="13">
        <f>INDEX(Operations!$J$8:$BN$8,1,J12)</f>
        <v/>
      </c>
      <c r="K17" s="13">
        <f>INDEX(Operations!$J$8:$BN$8,1,K12)</f>
        <v/>
      </c>
      <c r="L17" s="13">
        <f>INDEX(Operations!$J$8:$BN$8,1,L12)</f>
        <v/>
      </c>
      <c r="M17" s="13">
        <f>INDEX(Operations!$J$8:$BN$8,1,M12)</f>
        <v/>
      </c>
      <c r="N17" s="13">
        <f>INDEX(Operations!$J$8:$BN$8,1,N12)</f>
        <v/>
      </c>
      <c r="O17" s="13">
        <f>INDEX(Operations!$J$8:$BN$8,1,O12)</f>
        <v/>
      </c>
      <c r="P17" s="13">
        <f>INDEX(Operations!$J$8:$BN$8,1,P12)</f>
        <v/>
      </c>
      <c r="Q17" s="13">
        <f>INDEX(Operations!$J$8:$BN$8,1,Q12)</f>
        <v/>
      </c>
      <c r="R17" s="13">
        <f>INDEX(Operations!$J$8:$BN$8,1,R12)</f>
        <v/>
      </c>
      <c r="S17" s="13">
        <f>INDEX(Operations!$J$8:$BN$8,1,S12)</f>
        <v/>
      </c>
      <c r="T17" s="13">
        <f>INDEX(Operations!$J$8:$BN$8,1,T12)</f>
        <v/>
      </c>
      <c r="U17" s="13">
        <f>INDEX(Operations!$J$8:$BN$8,1,U12)</f>
        <v/>
      </c>
      <c r="V17" s="13">
        <f>INDEX(Operations!$J$8:$BN$8,1,V12)</f>
        <v/>
      </c>
      <c r="W17" s="13">
        <f>INDEX(Operations!$J$8:$BN$8,1,W12)</f>
        <v/>
      </c>
      <c r="X17" s="13">
        <f>INDEX(Operations!$J$8:$BN$8,1,X12)</f>
        <v/>
      </c>
      <c r="Y17" s="13">
        <f>INDEX(Operations!$J$8:$BN$8,1,Y12)</f>
        <v/>
      </c>
      <c r="Z17" s="13">
        <f>INDEX(Operations!$J$8:$BN$8,1,Z12)</f>
        <v/>
      </c>
      <c r="AA17" s="13">
        <f>INDEX(Operations!$J$8:$BN$8,1,AA12)</f>
        <v/>
      </c>
      <c r="AB17" s="13">
        <f>INDEX(Operations!$J$8:$BN$8,1,AB12)</f>
        <v/>
      </c>
      <c r="AC17" s="13">
        <f>INDEX(Operations!$J$8:$BN$8,1,AC12)</f>
        <v/>
      </c>
      <c r="AD17" s="13">
        <f>INDEX(Operations!$J$8:$BN$8,1,AD12)</f>
        <v/>
      </c>
      <c r="AE17" s="13">
        <f>INDEX(Operations!$J$8:$BN$8,1,AE12)</f>
        <v/>
      </c>
      <c r="AF17" s="13">
        <f>INDEX(Operations!$J$8:$BN$8,1,AF12)</f>
        <v/>
      </c>
      <c r="AG17" s="13">
        <f>INDEX(Operations!$J$8:$BN$8,1,AG12)</f>
        <v/>
      </c>
      <c r="AH17" s="13">
        <f>INDEX(Operations!$J$8:$BN$8,1,AH12)</f>
        <v/>
      </c>
      <c r="AI17" s="13">
        <f>INDEX(Operations!$J$8:$BN$8,1,AI12)</f>
        <v/>
      </c>
      <c r="AJ17" s="13">
        <f>INDEX(Operations!$J$8:$BN$8,1,AJ12)</f>
        <v/>
      </c>
      <c r="AK17" s="13">
        <f>INDEX(Operations!$J$8:$BN$8,1,AK12)</f>
        <v/>
      </c>
      <c r="AL17" s="13">
        <f>INDEX(Operations!$J$8:$BN$8,1,AL12)</f>
        <v/>
      </c>
      <c r="AM17" s="13">
        <f>INDEX(Operations!$J$8:$BN$8,1,AM12)</f>
        <v/>
      </c>
      <c r="AN17" s="13">
        <f>INDEX(Operations!$J$8:$BN$8,1,AN12)</f>
        <v/>
      </c>
      <c r="AO17" s="13">
        <f>INDEX(Operations!$J$8:$BN$8,1,AO12)</f>
        <v/>
      </c>
      <c r="AP17" s="13">
        <f>INDEX(Operations!$J$8:$BN$8,1,AP12)</f>
        <v/>
      </c>
      <c r="AQ17" s="13">
        <f>INDEX(Operations!$J$8:$BN$8,1,AQ12)</f>
        <v/>
      </c>
      <c r="AR17" s="13">
        <f>INDEX(Operations!$J$8:$BN$8,1,AR12)</f>
        <v/>
      </c>
      <c r="AS17" s="13">
        <f>INDEX(Operations!$J$8:$BN$8,1,AS12)</f>
        <v/>
      </c>
      <c r="AT17" s="13">
        <f>INDEX(Operations!$J$8:$BN$8,1,AT12)</f>
        <v/>
      </c>
      <c r="AU17" s="13">
        <f>INDEX(Operations!$J$8:$BN$8,1,AU12)</f>
        <v/>
      </c>
      <c r="AV17" s="13">
        <f>INDEX(Operations!$J$8:$BN$8,1,AV12)</f>
        <v/>
      </c>
      <c r="AW17" s="13">
        <f>INDEX(Operations!$J$8:$BN$8,1,AW12)</f>
        <v/>
      </c>
      <c r="AX17" s="13">
        <f>INDEX(Operations!$J$8:$BN$8,1,AX12)</f>
        <v/>
      </c>
      <c r="AY17" s="13">
        <f>INDEX(Operations!$J$8:$BN$8,1,AY12)</f>
        <v/>
      </c>
      <c r="AZ17" s="13">
        <f>INDEX(Operations!$J$8:$BN$8,1,AZ12)</f>
        <v/>
      </c>
      <c r="BA17" s="13">
        <f>INDEX(Operations!$J$8:$BN$8,1,BA12)</f>
        <v/>
      </c>
      <c r="BB17" s="13">
        <f>INDEX(Operations!$J$8:$BN$8,1,BB12)</f>
        <v/>
      </c>
      <c r="BC17" s="13">
        <f>INDEX(Operations!$J$8:$BN$8,1,BC12)</f>
        <v/>
      </c>
      <c r="BD17" s="13">
        <f>INDEX(Operations!$J$8:$BN$8,1,BD12)</f>
        <v/>
      </c>
      <c r="BE17" s="13">
        <f>INDEX(Operations!$J$8:$BN$8,1,BE12)</f>
        <v/>
      </c>
      <c r="BF17" s="13">
        <f>INDEX(Operations!$J$8:$BN$8,1,BF12)</f>
        <v/>
      </c>
      <c r="BG17" s="13">
        <f>INDEX(Operations!$J$8:$BN$8,1,BG12)</f>
        <v/>
      </c>
      <c r="BH17" s="13">
        <f>INDEX(Operations!$J$8:$BN$8,1,BH12)</f>
        <v/>
      </c>
      <c r="BI17" s="13">
        <f>INDEX(Operations!$J$8:$BN$8,1,BI12)</f>
        <v/>
      </c>
      <c r="BJ17" s="13">
        <f>INDEX(Operations!$J$8:$BN$8,1,BJ12)</f>
        <v/>
      </c>
    </row>
    <row r="18">
      <c r="D18" t="inlineStr">
        <is>
          <t>Kessara policy rate</t>
        </is>
      </c>
      <c r="E18" t="inlineStr">
        <is>
          <t>%</t>
        </is>
      </c>
      <c r="J18" s="13">
        <f>IF(Inputs!$F$33=1,Inputs!$F$73,INDEX(Inputs!$J$289:$AR$289,1,MATCH(YEAR(J9),Inputs!$J$282:$AR$282,0)))</f>
        <v/>
      </c>
      <c r="K18" s="13">
        <f>IF(Inputs!$F$33=1,Inputs!$F$73,INDEX(Inputs!$J$289:$AR$289,1,MATCH(YEAR(K9),Inputs!$J$282:$AR$282,0)))</f>
        <v/>
      </c>
      <c r="L18" s="13">
        <f>IF(Inputs!$F$33=1,Inputs!$F$73,INDEX(Inputs!$J$289:$AR$289,1,MATCH(YEAR(L9),Inputs!$J$282:$AR$282,0)))</f>
        <v/>
      </c>
      <c r="M18" s="13">
        <f>IF(Inputs!$F$33=1,Inputs!$F$73,INDEX(Inputs!$J$289:$AR$289,1,MATCH(YEAR(M9),Inputs!$J$282:$AR$282,0)))</f>
        <v/>
      </c>
      <c r="N18" s="13">
        <f>IF(Inputs!$F$33=1,Inputs!$F$73,INDEX(Inputs!$J$289:$AR$289,1,MATCH(YEAR(N9),Inputs!$J$282:$AR$282,0)))</f>
        <v/>
      </c>
      <c r="O18" s="13">
        <f>IF(Inputs!$F$33=1,Inputs!$F$73,INDEX(Inputs!$J$289:$AR$289,1,MATCH(YEAR(O9),Inputs!$J$282:$AR$282,0)))</f>
        <v/>
      </c>
      <c r="P18" s="13">
        <f>IF(Inputs!$F$33=1,Inputs!$F$73,INDEX(Inputs!$J$289:$AR$289,1,MATCH(YEAR(P9),Inputs!$J$282:$AR$282,0)))</f>
        <v/>
      </c>
      <c r="Q18" s="13">
        <f>IF(Inputs!$F$33=1,Inputs!$F$73,INDEX(Inputs!$J$289:$AR$289,1,MATCH(YEAR(Q9),Inputs!$J$282:$AR$282,0)))</f>
        <v/>
      </c>
      <c r="R18" s="13">
        <f>IF(Inputs!$F$33=1,Inputs!$F$73,INDEX(Inputs!$J$289:$AR$289,1,MATCH(YEAR(R9),Inputs!$J$282:$AR$282,0)))</f>
        <v/>
      </c>
      <c r="S18" s="13">
        <f>IF(Inputs!$F$33=1,Inputs!$F$73,INDEX(Inputs!$J$289:$AR$289,1,MATCH(YEAR(S9),Inputs!$J$282:$AR$282,0)))</f>
        <v/>
      </c>
      <c r="T18" s="13">
        <f>IF(Inputs!$F$33=1,Inputs!$F$73,INDEX(Inputs!$J$289:$AR$289,1,MATCH(YEAR(T9),Inputs!$J$282:$AR$282,0)))</f>
        <v/>
      </c>
      <c r="U18" s="13">
        <f>IF(Inputs!$F$33=1,Inputs!$F$73,INDEX(Inputs!$J$289:$AR$289,1,MATCH(YEAR(U9),Inputs!$J$282:$AR$282,0)))</f>
        <v/>
      </c>
      <c r="V18" s="13">
        <f>IF(Inputs!$F$33=1,Inputs!$F$73,INDEX(Inputs!$J$289:$AR$289,1,MATCH(YEAR(V9),Inputs!$J$282:$AR$282,0)))</f>
        <v/>
      </c>
      <c r="W18" s="13">
        <f>IF(Inputs!$F$33=1,Inputs!$F$73,INDEX(Inputs!$J$289:$AR$289,1,MATCH(YEAR(W9),Inputs!$J$282:$AR$282,0)))</f>
        <v/>
      </c>
      <c r="X18" s="13">
        <f>IF(Inputs!$F$33=1,Inputs!$F$73,INDEX(Inputs!$J$289:$AR$289,1,MATCH(YEAR(X9),Inputs!$J$282:$AR$282,0)))</f>
        <v/>
      </c>
      <c r="Y18" s="13">
        <f>IF(Inputs!$F$33=1,Inputs!$F$73,INDEX(Inputs!$J$289:$AR$289,1,MATCH(YEAR(Y9),Inputs!$J$282:$AR$282,0)))</f>
        <v/>
      </c>
      <c r="Z18" s="13">
        <f>IF(Inputs!$F$33=1,Inputs!$F$73,INDEX(Inputs!$J$289:$AR$289,1,MATCH(YEAR(Z9),Inputs!$J$282:$AR$282,0)))</f>
        <v/>
      </c>
      <c r="AA18" s="13">
        <f>IF(Inputs!$F$33=1,Inputs!$F$73,INDEX(Inputs!$J$289:$AR$289,1,MATCH(YEAR(AA9),Inputs!$J$282:$AR$282,0)))</f>
        <v/>
      </c>
      <c r="AB18" s="13">
        <f>IF(Inputs!$F$33=1,Inputs!$F$73,INDEX(Inputs!$J$289:$AR$289,1,MATCH(YEAR(AB9),Inputs!$J$282:$AR$282,0)))</f>
        <v/>
      </c>
      <c r="AC18" s="13">
        <f>IF(Inputs!$F$33=1,Inputs!$F$73,INDEX(Inputs!$J$289:$AR$289,1,MATCH(YEAR(AC9),Inputs!$J$282:$AR$282,0)))</f>
        <v/>
      </c>
      <c r="AD18" s="13">
        <f>IF(Inputs!$F$33=1,Inputs!$F$73,INDEX(Inputs!$J$289:$AR$289,1,MATCH(YEAR(AD9),Inputs!$J$282:$AR$282,0)))</f>
        <v/>
      </c>
      <c r="AE18" s="13">
        <f>IF(Inputs!$F$33=1,Inputs!$F$73,INDEX(Inputs!$J$289:$AR$289,1,MATCH(YEAR(AE9),Inputs!$J$282:$AR$282,0)))</f>
        <v/>
      </c>
      <c r="AF18" s="13">
        <f>IF(Inputs!$F$33=1,Inputs!$F$73,INDEX(Inputs!$J$289:$AR$289,1,MATCH(YEAR(AF9),Inputs!$J$282:$AR$282,0)))</f>
        <v/>
      </c>
      <c r="AG18" s="13">
        <f>IF(Inputs!$F$33=1,Inputs!$F$73,INDEX(Inputs!$J$289:$AR$289,1,MATCH(YEAR(AG9),Inputs!$J$282:$AR$282,0)))</f>
        <v/>
      </c>
      <c r="AH18" s="13">
        <f>IF(Inputs!$F$33=1,Inputs!$F$73,INDEX(Inputs!$J$289:$AR$289,1,MATCH(YEAR(AH9),Inputs!$J$282:$AR$282,0)))</f>
        <v/>
      </c>
      <c r="AI18" s="13">
        <f>IF(Inputs!$F$33=1,Inputs!$F$73,INDEX(Inputs!$J$289:$AR$289,1,MATCH(YEAR(AI9),Inputs!$J$282:$AR$282,0)))</f>
        <v/>
      </c>
      <c r="AJ18" s="13">
        <f>IF(Inputs!$F$33=1,Inputs!$F$73,INDEX(Inputs!$J$289:$AR$289,1,MATCH(YEAR(AJ9),Inputs!$J$282:$AR$282,0)))</f>
        <v/>
      </c>
      <c r="AK18" s="13">
        <f>IF(Inputs!$F$33=1,Inputs!$F$73,INDEX(Inputs!$J$289:$AR$289,1,MATCH(YEAR(AK9),Inputs!$J$282:$AR$282,0)))</f>
        <v/>
      </c>
      <c r="AL18" s="13">
        <f>IF(Inputs!$F$33=1,Inputs!$F$73,INDEX(Inputs!$J$289:$AR$289,1,MATCH(YEAR(AL9),Inputs!$J$282:$AR$282,0)))</f>
        <v/>
      </c>
      <c r="AM18" s="13">
        <f>IF(Inputs!$F$33=1,Inputs!$F$73,INDEX(Inputs!$J$289:$AR$289,1,MATCH(YEAR(AM9),Inputs!$J$282:$AR$282,0)))</f>
        <v/>
      </c>
      <c r="AN18" s="13">
        <f>IF(Inputs!$F$33=1,Inputs!$F$73,INDEX(Inputs!$J$289:$AR$289,1,MATCH(YEAR(AN9),Inputs!$J$282:$AR$282,0)))</f>
        <v/>
      </c>
      <c r="AO18" s="13">
        <f>IF(Inputs!$F$33=1,Inputs!$F$73,INDEX(Inputs!$J$289:$AR$289,1,MATCH(YEAR(AO9),Inputs!$J$282:$AR$282,0)))</f>
        <v/>
      </c>
      <c r="AP18" s="13">
        <f>IF(Inputs!$F$33=1,Inputs!$F$73,INDEX(Inputs!$J$289:$AR$289,1,MATCH(YEAR(AP9),Inputs!$J$282:$AR$282,0)))</f>
        <v/>
      </c>
      <c r="AQ18" s="13">
        <f>IF(Inputs!$F$33=1,Inputs!$F$73,INDEX(Inputs!$J$289:$AR$289,1,MATCH(YEAR(AQ9),Inputs!$J$282:$AR$282,0)))</f>
        <v/>
      </c>
      <c r="AR18" s="13">
        <f>IF(Inputs!$F$33=1,Inputs!$F$73,INDEX(Inputs!$J$289:$AR$289,1,MATCH(YEAR(AR9),Inputs!$J$282:$AR$282,0)))</f>
        <v/>
      </c>
      <c r="AS18" s="13">
        <f>IF(Inputs!$F$33=1,Inputs!$F$73,INDEX(Inputs!$J$289:$AR$289,1,MATCH(YEAR(AS9),Inputs!$J$282:$AR$282,0)))</f>
        <v/>
      </c>
      <c r="AT18" s="13">
        <f>IF(Inputs!$F$33=1,Inputs!$F$73,INDEX(Inputs!$J$289:$AR$289,1,MATCH(YEAR(AT9),Inputs!$J$282:$AR$282,0)))</f>
        <v/>
      </c>
      <c r="AU18" s="13">
        <f>IF(Inputs!$F$33=1,Inputs!$F$73,INDEX(Inputs!$J$289:$AR$289,1,MATCH(YEAR(AU9),Inputs!$J$282:$AR$282,0)))</f>
        <v/>
      </c>
      <c r="AV18" s="13">
        <f>IF(Inputs!$F$33=1,Inputs!$F$73,INDEX(Inputs!$J$289:$AR$289,1,MATCH(YEAR(AV9),Inputs!$J$282:$AR$282,0)))</f>
        <v/>
      </c>
      <c r="AW18" s="13">
        <f>IF(Inputs!$F$33=1,Inputs!$F$73,INDEX(Inputs!$J$289:$AR$289,1,MATCH(YEAR(AW9),Inputs!$J$282:$AR$282,0)))</f>
        <v/>
      </c>
      <c r="AX18" s="13">
        <f>IF(Inputs!$F$33=1,Inputs!$F$73,INDEX(Inputs!$J$289:$AR$289,1,MATCH(YEAR(AX9),Inputs!$J$282:$AR$282,0)))</f>
        <v/>
      </c>
      <c r="AY18" s="13">
        <f>IF(Inputs!$F$33=1,Inputs!$F$73,INDEX(Inputs!$J$289:$AR$289,1,MATCH(YEAR(AY9),Inputs!$J$282:$AR$282,0)))</f>
        <v/>
      </c>
      <c r="AZ18" s="13">
        <f>IF(Inputs!$F$33=1,Inputs!$F$73,INDEX(Inputs!$J$289:$AR$289,1,MATCH(YEAR(AZ9),Inputs!$J$282:$AR$282,0)))</f>
        <v/>
      </c>
      <c r="BA18" s="13">
        <f>IF(Inputs!$F$33=1,Inputs!$F$73,INDEX(Inputs!$J$289:$AR$289,1,MATCH(YEAR(BA9),Inputs!$J$282:$AR$282,0)))</f>
        <v/>
      </c>
      <c r="BB18" s="13">
        <f>IF(Inputs!$F$33=1,Inputs!$F$73,INDEX(Inputs!$J$289:$AR$289,1,MATCH(YEAR(BB9),Inputs!$J$282:$AR$282,0)))</f>
        <v/>
      </c>
      <c r="BC18" s="13">
        <f>IF(Inputs!$F$33=1,Inputs!$F$73,INDEX(Inputs!$J$289:$AR$289,1,MATCH(YEAR(BC9),Inputs!$J$282:$AR$282,0)))</f>
        <v/>
      </c>
      <c r="BD18" s="13">
        <f>IF(Inputs!$F$33=1,Inputs!$F$73,INDEX(Inputs!$J$289:$AR$289,1,MATCH(YEAR(BD9),Inputs!$J$282:$AR$282,0)))</f>
        <v/>
      </c>
      <c r="BE18" s="13">
        <f>IF(Inputs!$F$33=1,Inputs!$F$73,INDEX(Inputs!$J$289:$AR$289,1,MATCH(YEAR(BE9),Inputs!$J$282:$AR$282,0)))</f>
        <v/>
      </c>
      <c r="BF18" s="13">
        <f>IF(Inputs!$F$33=1,Inputs!$F$73,INDEX(Inputs!$J$289:$AR$289,1,MATCH(YEAR(BF9),Inputs!$J$282:$AR$282,0)))</f>
        <v/>
      </c>
      <c r="BG18" s="13">
        <f>IF(Inputs!$F$33=1,Inputs!$F$73,INDEX(Inputs!$J$289:$AR$289,1,MATCH(YEAR(BG9),Inputs!$J$282:$AR$282,0)))</f>
        <v/>
      </c>
      <c r="BH18" s="13">
        <f>IF(Inputs!$F$33=1,Inputs!$F$73,INDEX(Inputs!$J$289:$AR$289,1,MATCH(YEAR(BH9),Inputs!$J$282:$AR$282,0)))</f>
        <v/>
      </c>
      <c r="BI18" s="13">
        <f>IF(Inputs!$F$33=1,Inputs!$F$73,INDEX(Inputs!$J$289:$AR$289,1,MATCH(YEAR(BI9),Inputs!$J$282:$AR$282,0)))</f>
        <v/>
      </c>
      <c r="BJ18" s="13">
        <f>IF(Inputs!$F$33=1,Inputs!$F$73,INDEX(Inputs!$J$289:$AR$289,1,MATCH(YEAR(BJ9),Inputs!$J$282:$AR$282,0)))</f>
        <v/>
      </c>
    </row>
    <row r="19">
      <c r="B19" s="2" t="inlineStr">
        <is>
          <t>Uses before financing costs (USD m)</t>
        </is>
      </c>
    </row>
    <row r="20">
      <c r="D20" t="inlineStr">
        <is>
          <t>EPC payment profile, selected</t>
        </is>
      </c>
      <c r="E20" t="inlineStr">
        <is>
          <t>%</t>
        </is>
      </c>
      <c r="J20" s="13">
        <f>IF(Inputs!$F$34&lt;&gt;1,Inputs!J306,Inputs!J305+IF(Inputs!$F$35&gt;0,IF(J8=Inputs!$F$237,-Inputs!$F$238,0)+IF(J8=Inputs!$F$237+Inputs!$F$35,Inputs!$F$238,0),0))</f>
        <v/>
      </c>
      <c r="K20" s="13">
        <f>IF(Inputs!$F$34&lt;&gt;1,Inputs!K306,Inputs!K305+IF(Inputs!$F$35&gt;0,IF(K8=Inputs!$F$237,-Inputs!$F$238,0)+IF(K8=Inputs!$F$237+Inputs!$F$35,Inputs!$F$238,0),0))</f>
        <v/>
      </c>
      <c r="L20" s="13">
        <f>IF(Inputs!$F$34&lt;&gt;1,Inputs!L306,Inputs!L305+IF(Inputs!$F$35&gt;0,IF(L8=Inputs!$F$237,-Inputs!$F$238,0)+IF(L8=Inputs!$F$237+Inputs!$F$35,Inputs!$F$238,0),0))</f>
        <v/>
      </c>
      <c r="M20" s="13">
        <f>IF(Inputs!$F$34&lt;&gt;1,Inputs!M306,Inputs!M305+IF(Inputs!$F$35&gt;0,IF(M8=Inputs!$F$237,-Inputs!$F$238,0)+IF(M8=Inputs!$F$237+Inputs!$F$35,Inputs!$F$238,0),0))</f>
        <v/>
      </c>
      <c r="N20" s="13">
        <f>IF(Inputs!$F$34&lt;&gt;1,Inputs!N306,Inputs!N305+IF(Inputs!$F$35&gt;0,IF(N8=Inputs!$F$237,-Inputs!$F$238,0)+IF(N8=Inputs!$F$237+Inputs!$F$35,Inputs!$F$238,0),0))</f>
        <v/>
      </c>
      <c r="O20" s="13">
        <f>IF(Inputs!$F$34&lt;&gt;1,Inputs!O306,Inputs!O305+IF(Inputs!$F$35&gt;0,IF(O8=Inputs!$F$237,-Inputs!$F$238,0)+IF(O8=Inputs!$F$237+Inputs!$F$35,Inputs!$F$238,0),0))</f>
        <v/>
      </c>
      <c r="P20" s="13">
        <f>IF(Inputs!$F$34&lt;&gt;1,Inputs!P306,Inputs!P305+IF(Inputs!$F$35&gt;0,IF(P8=Inputs!$F$237,-Inputs!$F$238,0)+IF(P8=Inputs!$F$237+Inputs!$F$35,Inputs!$F$238,0),0))</f>
        <v/>
      </c>
      <c r="Q20" s="13">
        <f>IF(Inputs!$F$34&lt;&gt;1,Inputs!Q306,Inputs!Q305+IF(Inputs!$F$35&gt;0,IF(Q8=Inputs!$F$237,-Inputs!$F$238,0)+IF(Q8=Inputs!$F$237+Inputs!$F$35,Inputs!$F$238,0),0))</f>
        <v/>
      </c>
      <c r="R20" s="13">
        <f>IF(Inputs!$F$34&lt;&gt;1,Inputs!R306,Inputs!R305+IF(Inputs!$F$35&gt;0,IF(R8=Inputs!$F$237,-Inputs!$F$238,0)+IF(R8=Inputs!$F$237+Inputs!$F$35,Inputs!$F$238,0),0))</f>
        <v/>
      </c>
      <c r="S20" s="13">
        <f>IF(Inputs!$F$34&lt;&gt;1,Inputs!S306,Inputs!S305+IF(Inputs!$F$35&gt;0,IF(S8=Inputs!$F$237,-Inputs!$F$238,0)+IF(S8=Inputs!$F$237+Inputs!$F$35,Inputs!$F$238,0),0))</f>
        <v/>
      </c>
      <c r="T20" s="13">
        <f>IF(Inputs!$F$34&lt;&gt;1,Inputs!T306,Inputs!T305+IF(Inputs!$F$35&gt;0,IF(T8=Inputs!$F$237,-Inputs!$F$238,0)+IF(T8=Inputs!$F$237+Inputs!$F$35,Inputs!$F$238,0),0))</f>
        <v/>
      </c>
      <c r="U20" s="13">
        <f>IF(Inputs!$F$34&lt;&gt;1,Inputs!U306,Inputs!U305+IF(Inputs!$F$35&gt;0,IF(U8=Inputs!$F$237,-Inputs!$F$238,0)+IF(U8=Inputs!$F$237+Inputs!$F$35,Inputs!$F$238,0),0))</f>
        <v/>
      </c>
      <c r="V20" s="13">
        <f>IF(Inputs!$F$34&lt;&gt;1,Inputs!V306,Inputs!V305+IF(Inputs!$F$35&gt;0,IF(V8=Inputs!$F$237,-Inputs!$F$238,0)+IF(V8=Inputs!$F$237+Inputs!$F$35,Inputs!$F$238,0),0))</f>
        <v/>
      </c>
      <c r="W20" s="13">
        <f>IF(Inputs!$F$34&lt;&gt;1,Inputs!W306,Inputs!W305+IF(Inputs!$F$35&gt;0,IF(W8=Inputs!$F$237,-Inputs!$F$238,0)+IF(W8=Inputs!$F$237+Inputs!$F$35,Inputs!$F$238,0),0))</f>
        <v/>
      </c>
      <c r="X20" s="13">
        <f>IF(Inputs!$F$34&lt;&gt;1,Inputs!X306,Inputs!X305+IF(Inputs!$F$35&gt;0,IF(X8=Inputs!$F$237,-Inputs!$F$238,0)+IF(X8=Inputs!$F$237+Inputs!$F$35,Inputs!$F$238,0),0))</f>
        <v/>
      </c>
      <c r="Y20" s="13">
        <f>IF(Inputs!$F$34&lt;&gt;1,Inputs!Y306,Inputs!Y305+IF(Inputs!$F$35&gt;0,IF(Y8=Inputs!$F$237,-Inputs!$F$238,0)+IF(Y8=Inputs!$F$237+Inputs!$F$35,Inputs!$F$238,0),0))</f>
        <v/>
      </c>
      <c r="Z20" s="13">
        <f>IF(Inputs!$F$34&lt;&gt;1,Inputs!Z306,Inputs!Z305+IF(Inputs!$F$35&gt;0,IF(Z8=Inputs!$F$237,-Inputs!$F$238,0)+IF(Z8=Inputs!$F$237+Inputs!$F$35,Inputs!$F$238,0),0))</f>
        <v/>
      </c>
      <c r="AA20" s="13">
        <f>IF(Inputs!$F$34&lt;&gt;1,Inputs!AA306,Inputs!AA305+IF(Inputs!$F$35&gt;0,IF(AA8=Inputs!$F$237,-Inputs!$F$238,0)+IF(AA8=Inputs!$F$237+Inputs!$F$35,Inputs!$F$238,0),0))</f>
        <v/>
      </c>
      <c r="AB20" s="13">
        <f>IF(Inputs!$F$34&lt;&gt;1,Inputs!AB306,Inputs!AB305+IF(Inputs!$F$35&gt;0,IF(AB8=Inputs!$F$237,-Inputs!$F$238,0)+IF(AB8=Inputs!$F$237+Inputs!$F$35,Inputs!$F$238,0),0))</f>
        <v/>
      </c>
      <c r="AC20" s="13">
        <f>IF(Inputs!$F$34&lt;&gt;1,Inputs!AC306,Inputs!AC305+IF(Inputs!$F$35&gt;0,IF(AC8=Inputs!$F$237,-Inputs!$F$238,0)+IF(AC8=Inputs!$F$237+Inputs!$F$35,Inputs!$F$238,0),0))</f>
        <v/>
      </c>
      <c r="AD20" s="13">
        <f>IF(Inputs!$F$34&lt;&gt;1,Inputs!AD306,Inputs!AD305+IF(Inputs!$F$35&gt;0,IF(AD8=Inputs!$F$237,-Inputs!$F$238,0)+IF(AD8=Inputs!$F$237+Inputs!$F$35,Inputs!$F$238,0),0))</f>
        <v/>
      </c>
      <c r="AE20" s="13">
        <f>IF(Inputs!$F$34&lt;&gt;1,Inputs!AE306,Inputs!AE305+IF(Inputs!$F$35&gt;0,IF(AE8=Inputs!$F$237,-Inputs!$F$238,0)+IF(AE8=Inputs!$F$237+Inputs!$F$35,Inputs!$F$238,0),0))</f>
        <v/>
      </c>
      <c r="AF20" s="13">
        <f>IF(Inputs!$F$34&lt;&gt;1,Inputs!AF306,Inputs!AF305+IF(Inputs!$F$35&gt;0,IF(AF8=Inputs!$F$237,-Inputs!$F$238,0)+IF(AF8=Inputs!$F$237+Inputs!$F$35,Inputs!$F$238,0),0))</f>
        <v/>
      </c>
      <c r="AG20" s="13">
        <f>IF(Inputs!$F$34&lt;&gt;1,Inputs!AG306,Inputs!AG305+IF(Inputs!$F$35&gt;0,IF(AG8=Inputs!$F$237,-Inputs!$F$238,0)+IF(AG8=Inputs!$F$237+Inputs!$F$35,Inputs!$F$238,0),0))</f>
        <v/>
      </c>
      <c r="AH20" s="13">
        <f>IF(Inputs!$F$34&lt;&gt;1,Inputs!AH306,Inputs!AH305+IF(Inputs!$F$35&gt;0,IF(AH8=Inputs!$F$237,-Inputs!$F$238,0)+IF(AH8=Inputs!$F$237+Inputs!$F$35,Inputs!$F$238,0),0))</f>
        <v/>
      </c>
      <c r="AI20" s="13">
        <f>IF(Inputs!$F$34&lt;&gt;1,Inputs!AI306,Inputs!AI305+IF(Inputs!$F$35&gt;0,IF(AI8=Inputs!$F$237,-Inputs!$F$238,0)+IF(AI8=Inputs!$F$237+Inputs!$F$35,Inputs!$F$238,0),0))</f>
        <v/>
      </c>
      <c r="AJ20" s="13">
        <f>IF(Inputs!$F$34&lt;&gt;1,Inputs!AJ306,Inputs!AJ305+IF(Inputs!$F$35&gt;0,IF(AJ8=Inputs!$F$237,-Inputs!$F$238,0)+IF(AJ8=Inputs!$F$237+Inputs!$F$35,Inputs!$F$238,0),0))</f>
        <v/>
      </c>
      <c r="AK20" s="13">
        <f>IF(Inputs!$F$34&lt;&gt;1,Inputs!AK306,Inputs!AK305+IF(Inputs!$F$35&gt;0,IF(AK8=Inputs!$F$237,-Inputs!$F$238,0)+IF(AK8=Inputs!$F$237+Inputs!$F$35,Inputs!$F$238,0),0))</f>
        <v/>
      </c>
      <c r="AL20" s="13">
        <f>IF(Inputs!$F$34&lt;&gt;1,Inputs!AL306,Inputs!AL305+IF(Inputs!$F$35&gt;0,IF(AL8=Inputs!$F$237,-Inputs!$F$238,0)+IF(AL8=Inputs!$F$237+Inputs!$F$35,Inputs!$F$238,0),0))</f>
        <v/>
      </c>
      <c r="AM20" s="13">
        <f>IF(Inputs!$F$34&lt;&gt;1,Inputs!AM306,Inputs!AM305+IF(Inputs!$F$35&gt;0,IF(AM8=Inputs!$F$237,-Inputs!$F$238,0)+IF(AM8=Inputs!$F$237+Inputs!$F$35,Inputs!$F$238,0),0))</f>
        <v/>
      </c>
      <c r="AN20" s="13">
        <f>IF(Inputs!$F$34&lt;&gt;1,Inputs!AN306,Inputs!AN305+IF(Inputs!$F$35&gt;0,IF(AN8=Inputs!$F$237,-Inputs!$F$238,0)+IF(AN8=Inputs!$F$237+Inputs!$F$35,Inputs!$F$238,0),0))</f>
        <v/>
      </c>
      <c r="AO20" s="13">
        <f>IF(Inputs!$F$34&lt;&gt;1,Inputs!AO306,Inputs!AO305+IF(Inputs!$F$35&gt;0,IF(AO8=Inputs!$F$237,-Inputs!$F$238,0)+IF(AO8=Inputs!$F$237+Inputs!$F$35,Inputs!$F$238,0),0))</f>
        <v/>
      </c>
      <c r="AP20" s="13">
        <f>IF(Inputs!$F$34&lt;&gt;1,Inputs!AP306,Inputs!AP305+IF(Inputs!$F$35&gt;0,IF(AP8=Inputs!$F$237,-Inputs!$F$238,0)+IF(AP8=Inputs!$F$237+Inputs!$F$35,Inputs!$F$238,0),0))</f>
        <v/>
      </c>
      <c r="AQ20" s="13">
        <f>IF(Inputs!$F$34&lt;&gt;1,Inputs!AQ306,Inputs!AQ305+IF(Inputs!$F$35&gt;0,IF(AQ8=Inputs!$F$237,-Inputs!$F$238,0)+IF(AQ8=Inputs!$F$237+Inputs!$F$35,Inputs!$F$238,0),0))</f>
        <v/>
      </c>
      <c r="AR20" s="13">
        <f>IF(Inputs!$F$34&lt;&gt;1,Inputs!AR306,Inputs!AR305+IF(Inputs!$F$35&gt;0,IF(AR8=Inputs!$F$237,-Inputs!$F$238,0)+IF(AR8=Inputs!$F$237+Inputs!$F$35,Inputs!$F$238,0),0))</f>
        <v/>
      </c>
      <c r="AS20" s="13">
        <f>IF(Inputs!$F$34&lt;&gt;1,Inputs!AS306,Inputs!AS305+IF(Inputs!$F$35&gt;0,IF(AS8=Inputs!$F$237,-Inputs!$F$238,0)+IF(AS8=Inputs!$F$237+Inputs!$F$35,Inputs!$F$238,0),0))</f>
        <v/>
      </c>
      <c r="AT20" s="13">
        <f>IF(Inputs!$F$34&lt;&gt;1,Inputs!AT306,Inputs!AT305+IF(Inputs!$F$35&gt;0,IF(AT8=Inputs!$F$237,-Inputs!$F$238,0)+IF(AT8=Inputs!$F$237+Inputs!$F$35,Inputs!$F$238,0),0))</f>
        <v/>
      </c>
      <c r="AU20" s="13">
        <f>IF(Inputs!$F$34&lt;&gt;1,Inputs!AU306,Inputs!AU305+IF(Inputs!$F$35&gt;0,IF(AU8=Inputs!$F$237,-Inputs!$F$238,0)+IF(AU8=Inputs!$F$237+Inputs!$F$35,Inputs!$F$238,0),0))</f>
        <v/>
      </c>
      <c r="AV20" s="13">
        <f>IF(Inputs!$F$34&lt;&gt;1,Inputs!AV306,Inputs!AV305+IF(Inputs!$F$35&gt;0,IF(AV8=Inputs!$F$237,-Inputs!$F$238,0)+IF(AV8=Inputs!$F$237+Inputs!$F$35,Inputs!$F$238,0),0))</f>
        <v/>
      </c>
      <c r="AW20" s="13">
        <f>IF(Inputs!$F$34&lt;&gt;1,Inputs!AW306,Inputs!AW305+IF(Inputs!$F$35&gt;0,IF(AW8=Inputs!$F$237,-Inputs!$F$238,0)+IF(AW8=Inputs!$F$237+Inputs!$F$35,Inputs!$F$238,0),0))</f>
        <v/>
      </c>
      <c r="AX20" s="13">
        <f>IF(Inputs!$F$34&lt;&gt;1,Inputs!AX306,Inputs!AX305+IF(Inputs!$F$35&gt;0,IF(AX8=Inputs!$F$237,-Inputs!$F$238,0)+IF(AX8=Inputs!$F$237+Inputs!$F$35,Inputs!$F$238,0),0))</f>
        <v/>
      </c>
      <c r="AY20" s="13">
        <f>IF(Inputs!$F$34&lt;&gt;1,Inputs!AY306,Inputs!AY305+IF(Inputs!$F$35&gt;0,IF(AY8=Inputs!$F$237,-Inputs!$F$238,0)+IF(AY8=Inputs!$F$237+Inputs!$F$35,Inputs!$F$238,0),0))</f>
        <v/>
      </c>
      <c r="AZ20" s="13">
        <f>IF(Inputs!$F$34&lt;&gt;1,Inputs!AZ306,Inputs!AZ305+IF(Inputs!$F$35&gt;0,IF(AZ8=Inputs!$F$237,-Inputs!$F$238,0)+IF(AZ8=Inputs!$F$237+Inputs!$F$35,Inputs!$F$238,0),0))</f>
        <v/>
      </c>
      <c r="BA20" s="13">
        <f>IF(Inputs!$F$34&lt;&gt;1,Inputs!BA306,Inputs!BA305+IF(Inputs!$F$35&gt;0,IF(BA8=Inputs!$F$237,-Inputs!$F$238,0)+IF(BA8=Inputs!$F$237+Inputs!$F$35,Inputs!$F$238,0),0))</f>
        <v/>
      </c>
      <c r="BB20" s="13">
        <f>IF(Inputs!$F$34&lt;&gt;1,Inputs!BB306,Inputs!BB305+IF(Inputs!$F$35&gt;0,IF(BB8=Inputs!$F$237,-Inputs!$F$238,0)+IF(BB8=Inputs!$F$237+Inputs!$F$35,Inputs!$F$238,0),0))</f>
        <v/>
      </c>
      <c r="BC20" s="13">
        <f>IF(Inputs!$F$34&lt;&gt;1,Inputs!BC306,Inputs!BC305+IF(Inputs!$F$35&gt;0,IF(BC8=Inputs!$F$237,-Inputs!$F$238,0)+IF(BC8=Inputs!$F$237+Inputs!$F$35,Inputs!$F$238,0),0))</f>
        <v/>
      </c>
      <c r="BD20" s="13">
        <f>IF(Inputs!$F$34&lt;&gt;1,Inputs!BD306,Inputs!BD305+IF(Inputs!$F$35&gt;0,IF(BD8=Inputs!$F$237,-Inputs!$F$238,0)+IF(BD8=Inputs!$F$237+Inputs!$F$35,Inputs!$F$238,0),0))</f>
        <v/>
      </c>
      <c r="BE20" s="13">
        <f>IF(Inputs!$F$34&lt;&gt;1,Inputs!BE306,Inputs!BE305+IF(Inputs!$F$35&gt;0,IF(BE8=Inputs!$F$237,-Inputs!$F$238,0)+IF(BE8=Inputs!$F$237+Inputs!$F$35,Inputs!$F$238,0),0))</f>
        <v/>
      </c>
      <c r="BF20" s="13">
        <f>IF(Inputs!$F$34&lt;&gt;1,Inputs!BF306,Inputs!BF305+IF(Inputs!$F$35&gt;0,IF(BF8=Inputs!$F$237,-Inputs!$F$238,0)+IF(BF8=Inputs!$F$237+Inputs!$F$35,Inputs!$F$238,0),0))</f>
        <v/>
      </c>
      <c r="BG20" s="13">
        <f>IF(Inputs!$F$34&lt;&gt;1,Inputs!BG306,Inputs!BG305+IF(Inputs!$F$35&gt;0,IF(BG8=Inputs!$F$237,-Inputs!$F$238,0)+IF(BG8=Inputs!$F$237+Inputs!$F$35,Inputs!$F$238,0),0))</f>
        <v/>
      </c>
      <c r="BH20" s="13">
        <f>IF(Inputs!$F$34&lt;&gt;1,Inputs!BH306,Inputs!BH305+IF(Inputs!$F$35&gt;0,IF(BH8=Inputs!$F$237,-Inputs!$F$238,0)+IF(BH8=Inputs!$F$237+Inputs!$F$35,Inputs!$F$238,0),0))</f>
        <v/>
      </c>
      <c r="BI20" s="13">
        <f>IF(Inputs!$F$34&lt;&gt;1,Inputs!BI306,Inputs!BI305+IF(Inputs!$F$35&gt;0,IF(BI8=Inputs!$F$237,-Inputs!$F$238,0)+IF(BI8=Inputs!$F$237+Inputs!$F$35,Inputs!$F$238,0),0))</f>
        <v/>
      </c>
      <c r="BJ20" s="13">
        <f>IF(Inputs!$F$34&lt;&gt;1,Inputs!BJ306,Inputs!BJ305+IF(Inputs!$F$35&gt;0,IF(BJ8=Inputs!$F$237,-Inputs!$F$238,0)+IF(BJ8=Inputs!$F$237+Inputs!$F$35,Inputs!$F$238,0),0))</f>
        <v/>
      </c>
    </row>
    <row r="21">
      <c r="D21" t="inlineStr">
        <is>
          <t>EPC progress payments for contingency (FC)</t>
        </is>
      </c>
      <c r="E21" t="inlineStr">
        <is>
          <t>%</t>
        </is>
      </c>
      <c r="J21" s="13">
        <f>IF(J8=1,0,J20)-IF(J8=Time!$F$11,Inputs!$F$238,0)</f>
        <v/>
      </c>
      <c r="K21" s="13">
        <f>IF(K8=1,0,K20)-IF(K8=Time!$F$11,Inputs!$F$238,0)</f>
        <v/>
      </c>
      <c r="L21" s="13">
        <f>IF(L8=1,0,L20)-IF(L8=Time!$F$11,Inputs!$F$238,0)</f>
        <v/>
      </c>
      <c r="M21" s="13">
        <f>IF(M8=1,0,M20)-IF(M8=Time!$F$11,Inputs!$F$238,0)</f>
        <v/>
      </c>
      <c r="N21" s="13">
        <f>IF(N8=1,0,N20)-IF(N8=Time!$F$11,Inputs!$F$238,0)</f>
        <v/>
      </c>
      <c r="O21" s="13">
        <f>IF(O8=1,0,O20)-IF(O8=Time!$F$11,Inputs!$F$238,0)</f>
        <v/>
      </c>
      <c r="P21" s="13">
        <f>IF(P8=1,0,P20)-IF(P8=Time!$F$11,Inputs!$F$238,0)</f>
        <v/>
      </c>
      <c r="Q21" s="13">
        <f>IF(Q8=1,0,Q20)-IF(Q8=Time!$F$11,Inputs!$F$238,0)</f>
        <v/>
      </c>
      <c r="R21" s="13">
        <f>IF(R8=1,0,R20)-IF(R8=Time!$F$11,Inputs!$F$238,0)</f>
        <v/>
      </c>
      <c r="S21" s="13">
        <f>IF(S8=1,0,S20)-IF(S8=Time!$F$11,Inputs!$F$238,0)</f>
        <v/>
      </c>
      <c r="T21" s="13">
        <f>IF(T8=1,0,T20)-IF(T8=Time!$F$11,Inputs!$F$238,0)</f>
        <v/>
      </c>
      <c r="U21" s="13">
        <f>IF(U8=1,0,U20)-IF(U8=Time!$F$11,Inputs!$F$238,0)</f>
        <v/>
      </c>
      <c r="V21" s="13">
        <f>IF(V8=1,0,V20)-IF(V8=Time!$F$11,Inputs!$F$238,0)</f>
        <v/>
      </c>
      <c r="W21" s="13">
        <f>IF(W8=1,0,W20)-IF(W8=Time!$F$11,Inputs!$F$238,0)</f>
        <v/>
      </c>
      <c r="X21" s="13">
        <f>IF(X8=1,0,X20)-IF(X8=Time!$F$11,Inputs!$F$238,0)</f>
        <v/>
      </c>
      <c r="Y21" s="13">
        <f>IF(Y8=1,0,Y20)-IF(Y8=Time!$F$11,Inputs!$F$238,0)</f>
        <v/>
      </c>
      <c r="Z21" s="13">
        <f>IF(Z8=1,0,Z20)-IF(Z8=Time!$F$11,Inputs!$F$238,0)</f>
        <v/>
      </c>
      <c r="AA21" s="13">
        <f>IF(AA8=1,0,AA20)-IF(AA8=Time!$F$11,Inputs!$F$238,0)</f>
        <v/>
      </c>
      <c r="AB21" s="13">
        <f>IF(AB8=1,0,AB20)-IF(AB8=Time!$F$11,Inputs!$F$238,0)</f>
        <v/>
      </c>
      <c r="AC21" s="13">
        <f>IF(AC8=1,0,AC20)-IF(AC8=Time!$F$11,Inputs!$F$238,0)</f>
        <v/>
      </c>
      <c r="AD21" s="13">
        <f>IF(AD8=1,0,AD20)-IF(AD8=Time!$F$11,Inputs!$F$238,0)</f>
        <v/>
      </c>
      <c r="AE21" s="13">
        <f>IF(AE8=1,0,AE20)-IF(AE8=Time!$F$11,Inputs!$F$238,0)</f>
        <v/>
      </c>
      <c r="AF21" s="13">
        <f>IF(AF8=1,0,AF20)-IF(AF8=Time!$F$11,Inputs!$F$238,0)</f>
        <v/>
      </c>
      <c r="AG21" s="13">
        <f>IF(AG8=1,0,AG20)-IF(AG8=Time!$F$11,Inputs!$F$238,0)</f>
        <v/>
      </c>
      <c r="AH21" s="13">
        <f>IF(AH8=1,0,AH20)-IF(AH8=Time!$F$11,Inputs!$F$238,0)</f>
        <v/>
      </c>
      <c r="AI21" s="13">
        <f>IF(AI8=1,0,AI20)-IF(AI8=Time!$F$11,Inputs!$F$238,0)</f>
        <v/>
      </c>
      <c r="AJ21" s="13">
        <f>IF(AJ8=1,0,AJ20)-IF(AJ8=Time!$F$11,Inputs!$F$238,0)</f>
        <v/>
      </c>
      <c r="AK21" s="13">
        <f>IF(AK8=1,0,AK20)-IF(AK8=Time!$F$11,Inputs!$F$238,0)</f>
        <v/>
      </c>
      <c r="AL21" s="13">
        <f>IF(AL8=1,0,AL20)-IF(AL8=Time!$F$11,Inputs!$F$238,0)</f>
        <v/>
      </c>
      <c r="AM21" s="13">
        <f>IF(AM8=1,0,AM20)-IF(AM8=Time!$F$11,Inputs!$F$238,0)</f>
        <v/>
      </c>
      <c r="AN21" s="13">
        <f>IF(AN8=1,0,AN20)-IF(AN8=Time!$F$11,Inputs!$F$238,0)</f>
        <v/>
      </c>
      <c r="AO21" s="13">
        <f>IF(AO8=1,0,AO20)-IF(AO8=Time!$F$11,Inputs!$F$238,0)</f>
        <v/>
      </c>
      <c r="AP21" s="13">
        <f>IF(AP8=1,0,AP20)-IF(AP8=Time!$F$11,Inputs!$F$238,0)</f>
        <v/>
      </c>
      <c r="AQ21" s="13">
        <f>IF(AQ8=1,0,AQ20)-IF(AQ8=Time!$F$11,Inputs!$F$238,0)</f>
        <v/>
      </c>
      <c r="AR21" s="13">
        <f>IF(AR8=1,0,AR20)-IF(AR8=Time!$F$11,Inputs!$F$238,0)</f>
        <v/>
      </c>
      <c r="AS21" s="13">
        <f>IF(AS8=1,0,AS20)-IF(AS8=Time!$F$11,Inputs!$F$238,0)</f>
        <v/>
      </c>
      <c r="AT21" s="13">
        <f>IF(AT8=1,0,AT20)-IF(AT8=Time!$F$11,Inputs!$F$238,0)</f>
        <v/>
      </c>
      <c r="AU21" s="13">
        <f>IF(AU8=1,0,AU20)-IF(AU8=Time!$F$11,Inputs!$F$238,0)</f>
        <v/>
      </c>
      <c r="AV21" s="13">
        <f>IF(AV8=1,0,AV20)-IF(AV8=Time!$F$11,Inputs!$F$238,0)</f>
        <v/>
      </c>
      <c r="AW21" s="13">
        <f>IF(AW8=1,0,AW20)-IF(AW8=Time!$F$11,Inputs!$F$238,0)</f>
        <v/>
      </c>
      <c r="AX21" s="13">
        <f>IF(AX8=1,0,AX20)-IF(AX8=Time!$F$11,Inputs!$F$238,0)</f>
        <v/>
      </c>
      <c r="AY21" s="13">
        <f>IF(AY8=1,0,AY20)-IF(AY8=Time!$F$11,Inputs!$F$238,0)</f>
        <v/>
      </c>
      <c r="AZ21" s="13">
        <f>IF(AZ8=1,0,AZ20)-IF(AZ8=Time!$F$11,Inputs!$F$238,0)</f>
        <v/>
      </c>
      <c r="BA21" s="13">
        <f>IF(BA8=1,0,BA20)-IF(BA8=Time!$F$11,Inputs!$F$238,0)</f>
        <v/>
      </c>
      <c r="BB21" s="13">
        <f>IF(BB8=1,0,BB20)-IF(BB8=Time!$F$11,Inputs!$F$238,0)</f>
        <v/>
      </c>
      <c r="BC21" s="13">
        <f>IF(BC8=1,0,BC20)-IF(BC8=Time!$F$11,Inputs!$F$238,0)</f>
        <v/>
      </c>
      <c r="BD21" s="13">
        <f>IF(BD8=1,0,BD20)-IF(BD8=Time!$F$11,Inputs!$F$238,0)</f>
        <v/>
      </c>
      <c r="BE21" s="13">
        <f>IF(BE8=1,0,BE20)-IF(BE8=Time!$F$11,Inputs!$F$238,0)</f>
        <v/>
      </c>
      <c r="BF21" s="13">
        <f>IF(BF8=1,0,BF20)-IF(BF8=Time!$F$11,Inputs!$F$238,0)</f>
        <v/>
      </c>
      <c r="BG21" s="13">
        <f>IF(BG8=1,0,BG20)-IF(BG8=Time!$F$11,Inputs!$F$238,0)</f>
        <v/>
      </c>
      <c r="BH21" s="13">
        <f>IF(BH8=1,0,BH20)-IF(BH8=Time!$F$11,Inputs!$F$238,0)</f>
        <v/>
      </c>
      <c r="BI21" s="13">
        <f>IF(BI8=1,0,BI20)-IF(BI8=Time!$F$11,Inputs!$F$238,0)</f>
        <v/>
      </c>
      <c r="BJ21" s="13">
        <f>IF(BJ8=1,0,BJ20)-IF(BJ8=Time!$F$11,Inputs!$F$238,0)</f>
        <v/>
      </c>
    </row>
    <row r="22">
      <c r="D22" t="inlineStr">
        <is>
          <t>EPC payments</t>
        </is>
      </c>
      <c r="E22" t="inlineStr">
        <is>
          <t>USD m</t>
        </is>
      </c>
      <c r="G22" s="13">
        <f>SUM(J22:BJ22)</f>
        <v/>
      </c>
      <c r="J22" s="13">
        <f>IF(Inputs!$F$34&lt;&gt;1,J20/100*Inputs!$F$58+J20/100*Inputs!$F$59*Inputs!$F$60/J16,Inputs!$F$57*Inputs!$F$36*J20/100)</f>
        <v/>
      </c>
      <c r="K22" s="13">
        <f>IF(Inputs!$F$34&lt;&gt;1,K20/100*Inputs!$F$58+K20/100*Inputs!$F$59*Inputs!$F$60/K16,Inputs!$F$57*Inputs!$F$36*K20/100)</f>
        <v/>
      </c>
      <c r="L22" s="13">
        <f>IF(Inputs!$F$34&lt;&gt;1,L20/100*Inputs!$F$58+L20/100*Inputs!$F$59*Inputs!$F$60/L16,Inputs!$F$57*Inputs!$F$36*L20/100)</f>
        <v/>
      </c>
      <c r="M22" s="13">
        <f>IF(Inputs!$F$34&lt;&gt;1,M20/100*Inputs!$F$58+M20/100*Inputs!$F$59*Inputs!$F$60/M16,Inputs!$F$57*Inputs!$F$36*M20/100)</f>
        <v/>
      </c>
      <c r="N22" s="13">
        <f>IF(Inputs!$F$34&lt;&gt;1,N20/100*Inputs!$F$58+N20/100*Inputs!$F$59*Inputs!$F$60/N16,Inputs!$F$57*Inputs!$F$36*N20/100)</f>
        <v/>
      </c>
      <c r="O22" s="13">
        <f>IF(Inputs!$F$34&lt;&gt;1,O20/100*Inputs!$F$58+O20/100*Inputs!$F$59*Inputs!$F$60/O16,Inputs!$F$57*Inputs!$F$36*O20/100)</f>
        <v/>
      </c>
      <c r="P22" s="13">
        <f>IF(Inputs!$F$34&lt;&gt;1,P20/100*Inputs!$F$58+P20/100*Inputs!$F$59*Inputs!$F$60/P16,Inputs!$F$57*Inputs!$F$36*P20/100)</f>
        <v/>
      </c>
      <c r="Q22" s="13">
        <f>IF(Inputs!$F$34&lt;&gt;1,Q20/100*Inputs!$F$58+Q20/100*Inputs!$F$59*Inputs!$F$60/Q16,Inputs!$F$57*Inputs!$F$36*Q20/100)</f>
        <v/>
      </c>
      <c r="R22" s="13">
        <f>IF(Inputs!$F$34&lt;&gt;1,R20/100*Inputs!$F$58+R20/100*Inputs!$F$59*Inputs!$F$60/R16,Inputs!$F$57*Inputs!$F$36*R20/100)</f>
        <v/>
      </c>
      <c r="S22" s="13">
        <f>IF(Inputs!$F$34&lt;&gt;1,S20/100*Inputs!$F$58+S20/100*Inputs!$F$59*Inputs!$F$60/S16,Inputs!$F$57*Inputs!$F$36*S20/100)</f>
        <v/>
      </c>
      <c r="T22" s="13">
        <f>IF(Inputs!$F$34&lt;&gt;1,T20/100*Inputs!$F$58+T20/100*Inputs!$F$59*Inputs!$F$60/T16,Inputs!$F$57*Inputs!$F$36*T20/100)</f>
        <v/>
      </c>
      <c r="U22" s="13">
        <f>IF(Inputs!$F$34&lt;&gt;1,U20/100*Inputs!$F$58+U20/100*Inputs!$F$59*Inputs!$F$60/U16,Inputs!$F$57*Inputs!$F$36*U20/100)</f>
        <v/>
      </c>
      <c r="V22" s="13">
        <f>IF(Inputs!$F$34&lt;&gt;1,V20/100*Inputs!$F$58+V20/100*Inputs!$F$59*Inputs!$F$60/V16,Inputs!$F$57*Inputs!$F$36*V20/100)</f>
        <v/>
      </c>
      <c r="W22" s="13">
        <f>IF(Inputs!$F$34&lt;&gt;1,W20/100*Inputs!$F$58+W20/100*Inputs!$F$59*Inputs!$F$60/W16,Inputs!$F$57*Inputs!$F$36*W20/100)</f>
        <v/>
      </c>
      <c r="X22" s="13">
        <f>IF(Inputs!$F$34&lt;&gt;1,X20/100*Inputs!$F$58+X20/100*Inputs!$F$59*Inputs!$F$60/X16,Inputs!$F$57*Inputs!$F$36*X20/100)</f>
        <v/>
      </c>
      <c r="Y22" s="13">
        <f>IF(Inputs!$F$34&lt;&gt;1,Y20/100*Inputs!$F$58+Y20/100*Inputs!$F$59*Inputs!$F$60/Y16,Inputs!$F$57*Inputs!$F$36*Y20/100)</f>
        <v/>
      </c>
      <c r="Z22" s="13">
        <f>IF(Inputs!$F$34&lt;&gt;1,Z20/100*Inputs!$F$58+Z20/100*Inputs!$F$59*Inputs!$F$60/Z16,Inputs!$F$57*Inputs!$F$36*Z20/100)</f>
        <v/>
      </c>
      <c r="AA22" s="13">
        <f>IF(Inputs!$F$34&lt;&gt;1,AA20/100*Inputs!$F$58+AA20/100*Inputs!$F$59*Inputs!$F$60/AA16,Inputs!$F$57*Inputs!$F$36*AA20/100)</f>
        <v/>
      </c>
      <c r="AB22" s="13">
        <f>IF(Inputs!$F$34&lt;&gt;1,AB20/100*Inputs!$F$58+AB20/100*Inputs!$F$59*Inputs!$F$60/AB16,Inputs!$F$57*Inputs!$F$36*AB20/100)</f>
        <v/>
      </c>
      <c r="AC22" s="13">
        <f>IF(Inputs!$F$34&lt;&gt;1,AC20/100*Inputs!$F$58+AC20/100*Inputs!$F$59*Inputs!$F$60/AC16,Inputs!$F$57*Inputs!$F$36*AC20/100)</f>
        <v/>
      </c>
      <c r="AD22" s="13">
        <f>IF(Inputs!$F$34&lt;&gt;1,AD20/100*Inputs!$F$58+AD20/100*Inputs!$F$59*Inputs!$F$60/AD16,Inputs!$F$57*Inputs!$F$36*AD20/100)</f>
        <v/>
      </c>
      <c r="AE22" s="13">
        <f>IF(Inputs!$F$34&lt;&gt;1,AE20/100*Inputs!$F$58+AE20/100*Inputs!$F$59*Inputs!$F$60/AE16,Inputs!$F$57*Inputs!$F$36*AE20/100)</f>
        <v/>
      </c>
      <c r="AF22" s="13">
        <f>IF(Inputs!$F$34&lt;&gt;1,AF20/100*Inputs!$F$58+AF20/100*Inputs!$F$59*Inputs!$F$60/AF16,Inputs!$F$57*Inputs!$F$36*AF20/100)</f>
        <v/>
      </c>
      <c r="AG22" s="13">
        <f>IF(Inputs!$F$34&lt;&gt;1,AG20/100*Inputs!$F$58+AG20/100*Inputs!$F$59*Inputs!$F$60/AG16,Inputs!$F$57*Inputs!$F$36*AG20/100)</f>
        <v/>
      </c>
      <c r="AH22" s="13">
        <f>IF(Inputs!$F$34&lt;&gt;1,AH20/100*Inputs!$F$58+AH20/100*Inputs!$F$59*Inputs!$F$60/AH16,Inputs!$F$57*Inputs!$F$36*AH20/100)</f>
        <v/>
      </c>
      <c r="AI22" s="13">
        <f>IF(Inputs!$F$34&lt;&gt;1,AI20/100*Inputs!$F$58+AI20/100*Inputs!$F$59*Inputs!$F$60/AI16,Inputs!$F$57*Inputs!$F$36*AI20/100)</f>
        <v/>
      </c>
      <c r="AJ22" s="13">
        <f>IF(Inputs!$F$34&lt;&gt;1,AJ20/100*Inputs!$F$58+AJ20/100*Inputs!$F$59*Inputs!$F$60/AJ16,Inputs!$F$57*Inputs!$F$36*AJ20/100)</f>
        <v/>
      </c>
      <c r="AK22" s="13">
        <f>IF(Inputs!$F$34&lt;&gt;1,AK20/100*Inputs!$F$58+AK20/100*Inputs!$F$59*Inputs!$F$60/AK16,Inputs!$F$57*Inputs!$F$36*AK20/100)</f>
        <v/>
      </c>
      <c r="AL22" s="13">
        <f>IF(Inputs!$F$34&lt;&gt;1,AL20/100*Inputs!$F$58+AL20/100*Inputs!$F$59*Inputs!$F$60/AL16,Inputs!$F$57*Inputs!$F$36*AL20/100)</f>
        <v/>
      </c>
      <c r="AM22" s="13">
        <f>IF(Inputs!$F$34&lt;&gt;1,AM20/100*Inputs!$F$58+AM20/100*Inputs!$F$59*Inputs!$F$60/AM16,Inputs!$F$57*Inputs!$F$36*AM20/100)</f>
        <v/>
      </c>
      <c r="AN22" s="13">
        <f>IF(Inputs!$F$34&lt;&gt;1,AN20/100*Inputs!$F$58+AN20/100*Inputs!$F$59*Inputs!$F$60/AN16,Inputs!$F$57*Inputs!$F$36*AN20/100)</f>
        <v/>
      </c>
      <c r="AO22" s="13">
        <f>IF(Inputs!$F$34&lt;&gt;1,AO20/100*Inputs!$F$58+AO20/100*Inputs!$F$59*Inputs!$F$60/AO16,Inputs!$F$57*Inputs!$F$36*AO20/100)</f>
        <v/>
      </c>
      <c r="AP22" s="13">
        <f>IF(Inputs!$F$34&lt;&gt;1,AP20/100*Inputs!$F$58+AP20/100*Inputs!$F$59*Inputs!$F$60/AP16,Inputs!$F$57*Inputs!$F$36*AP20/100)</f>
        <v/>
      </c>
      <c r="AQ22" s="13">
        <f>IF(Inputs!$F$34&lt;&gt;1,AQ20/100*Inputs!$F$58+AQ20/100*Inputs!$F$59*Inputs!$F$60/AQ16,Inputs!$F$57*Inputs!$F$36*AQ20/100)</f>
        <v/>
      </c>
      <c r="AR22" s="13">
        <f>IF(Inputs!$F$34&lt;&gt;1,AR20/100*Inputs!$F$58+AR20/100*Inputs!$F$59*Inputs!$F$60/AR16,Inputs!$F$57*Inputs!$F$36*AR20/100)</f>
        <v/>
      </c>
      <c r="AS22" s="13">
        <f>IF(Inputs!$F$34&lt;&gt;1,AS20/100*Inputs!$F$58+AS20/100*Inputs!$F$59*Inputs!$F$60/AS16,Inputs!$F$57*Inputs!$F$36*AS20/100)</f>
        <v/>
      </c>
      <c r="AT22" s="13">
        <f>IF(Inputs!$F$34&lt;&gt;1,AT20/100*Inputs!$F$58+AT20/100*Inputs!$F$59*Inputs!$F$60/AT16,Inputs!$F$57*Inputs!$F$36*AT20/100)</f>
        <v/>
      </c>
      <c r="AU22" s="13">
        <f>IF(Inputs!$F$34&lt;&gt;1,AU20/100*Inputs!$F$58+AU20/100*Inputs!$F$59*Inputs!$F$60/AU16,Inputs!$F$57*Inputs!$F$36*AU20/100)</f>
        <v/>
      </c>
      <c r="AV22" s="13">
        <f>IF(Inputs!$F$34&lt;&gt;1,AV20/100*Inputs!$F$58+AV20/100*Inputs!$F$59*Inputs!$F$60/AV16,Inputs!$F$57*Inputs!$F$36*AV20/100)</f>
        <v/>
      </c>
      <c r="AW22" s="13">
        <f>IF(Inputs!$F$34&lt;&gt;1,AW20/100*Inputs!$F$58+AW20/100*Inputs!$F$59*Inputs!$F$60/AW16,Inputs!$F$57*Inputs!$F$36*AW20/100)</f>
        <v/>
      </c>
      <c r="AX22" s="13">
        <f>IF(Inputs!$F$34&lt;&gt;1,AX20/100*Inputs!$F$58+AX20/100*Inputs!$F$59*Inputs!$F$60/AX16,Inputs!$F$57*Inputs!$F$36*AX20/100)</f>
        <v/>
      </c>
      <c r="AY22" s="13">
        <f>IF(Inputs!$F$34&lt;&gt;1,AY20/100*Inputs!$F$58+AY20/100*Inputs!$F$59*Inputs!$F$60/AY16,Inputs!$F$57*Inputs!$F$36*AY20/100)</f>
        <v/>
      </c>
      <c r="AZ22" s="13">
        <f>IF(Inputs!$F$34&lt;&gt;1,AZ20/100*Inputs!$F$58+AZ20/100*Inputs!$F$59*Inputs!$F$60/AZ16,Inputs!$F$57*Inputs!$F$36*AZ20/100)</f>
        <v/>
      </c>
      <c r="BA22" s="13">
        <f>IF(Inputs!$F$34&lt;&gt;1,BA20/100*Inputs!$F$58+BA20/100*Inputs!$F$59*Inputs!$F$60/BA16,Inputs!$F$57*Inputs!$F$36*BA20/100)</f>
        <v/>
      </c>
      <c r="BB22" s="13">
        <f>IF(Inputs!$F$34&lt;&gt;1,BB20/100*Inputs!$F$58+BB20/100*Inputs!$F$59*Inputs!$F$60/BB16,Inputs!$F$57*Inputs!$F$36*BB20/100)</f>
        <v/>
      </c>
      <c r="BC22" s="13">
        <f>IF(Inputs!$F$34&lt;&gt;1,BC20/100*Inputs!$F$58+BC20/100*Inputs!$F$59*Inputs!$F$60/BC16,Inputs!$F$57*Inputs!$F$36*BC20/100)</f>
        <v/>
      </c>
      <c r="BD22" s="13">
        <f>IF(Inputs!$F$34&lt;&gt;1,BD20/100*Inputs!$F$58+BD20/100*Inputs!$F$59*Inputs!$F$60/BD16,Inputs!$F$57*Inputs!$F$36*BD20/100)</f>
        <v/>
      </c>
      <c r="BE22" s="13">
        <f>IF(Inputs!$F$34&lt;&gt;1,BE20/100*Inputs!$F$58+BE20/100*Inputs!$F$59*Inputs!$F$60/BE16,Inputs!$F$57*Inputs!$F$36*BE20/100)</f>
        <v/>
      </c>
      <c r="BF22" s="13">
        <f>IF(Inputs!$F$34&lt;&gt;1,BF20/100*Inputs!$F$58+BF20/100*Inputs!$F$59*Inputs!$F$60/BF16,Inputs!$F$57*Inputs!$F$36*BF20/100)</f>
        <v/>
      </c>
      <c r="BG22" s="13">
        <f>IF(Inputs!$F$34&lt;&gt;1,BG20/100*Inputs!$F$58+BG20/100*Inputs!$F$59*Inputs!$F$60/BG16,Inputs!$F$57*Inputs!$F$36*BG20/100)</f>
        <v/>
      </c>
      <c r="BH22" s="13">
        <f>IF(Inputs!$F$34&lt;&gt;1,BH20/100*Inputs!$F$58+BH20/100*Inputs!$F$59*Inputs!$F$60/BH16,Inputs!$F$57*Inputs!$F$36*BH20/100)</f>
        <v/>
      </c>
      <c r="BI22" s="13">
        <f>IF(Inputs!$F$34&lt;&gt;1,BI20/100*Inputs!$F$58+BI20/100*Inputs!$F$59*Inputs!$F$60/BI16,Inputs!$F$57*Inputs!$F$36*BI20/100)</f>
        <v/>
      </c>
      <c r="BJ22" s="13">
        <f>IF(Inputs!$F$34&lt;&gt;1,BJ20/100*Inputs!$F$58+BJ20/100*Inputs!$F$59*Inputs!$F$60/BJ16,Inputs!$F$57*Inputs!$F$36*BJ20/100)</f>
        <v/>
      </c>
    </row>
    <row r="23">
      <c r="D23" t="inlineStr">
        <is>
          <t>Owner's costs</t>
        </is>
      </c>
      <c r="E23" t="inlineStr">
        <is>
          <t>USD m</t>
        </is>
      </c>
      <c r="G23" s="13">
        <f>SUM(J23:BJ23)</f>
        <v/>
      </c>
      <c r="J23" s="13">
        <f>Inputs!$F$61*IF(Inputs!$F$34=1,Inputs!$F$36,1)*(Inputs!J307+IF(AND(Inputs!$F$34=1,J8&gt;Inputs!$F$237,J8&lt;=Time!$F$11),Inputs!$F$239,0))/100+IF(AND(Inputs!$F$34&lt;&gt;1,J8&gt;=Inputs!$F$240,J8&lt;=Inputs!$F$241),Inputs!$F$69/(Inputs!$F$241-Inputs!$F$240+1),0)</f>
        <v/>
      </c>
      <c r="K23" s="13">
        <f>Inputs!$F$61*IF(Inputs!$F$34=1,Inputs!$F$36,1)*(Inputs!K307+IF(AND(Inputs!$F$34=1,K8&gt;Inputs!$F$237,K8&lt;=Time!$F$11),Inputs!$F$239,0))/100+IF(AND(Inputs!$F$34&lt;&gt;1,K8&gt;=Inputs!$F$240,K8&lt;=Inputs!$F$241),Inputs!$F$69/(Inputs!$F$241-Inputs!$F$240+1),0)</f>
        <v/>
      </c>
      <c r="L23" s="13">
        <f>Inputs!$F$61*IF(Inputs!$F$34=1,Inputs!$F$36,1)*(Inputs!L307+IF(AND(Inputs!$F$34=1,L8&gt;Inputs!$F$237,L8&lt;=Time!$F$11),Inputs!$F$239,0))/100+IF(AND(Inputs!$F$34&lt;&gt;1,L8&gt;=Inputs!$F$240,L8&lt;=Inputs!$F$241),Inputs!$F$69/(Inputs!$F$241-Inputs!$F$240+1),0)</f>
        <v/>
      </c>
      <c r="M23" s="13">
        <f>Inputs!$F$61*IF(Inputs!$F$34=1,Inputs!$F$36,1)*(Inputs!M307+IF(AND(Inputs!$F$34=1,M8&gt;Inputs!$F$237,M8&lt;=Time!$F$11),Inputs!$F$239,0))/100+IF(AND(Inputs!$F$34&lt;&gt;1,M8&gt;=Inputs!$F$240,M8&lt;=Inputs!$F$241),Inputs!$F$69/(Inputs!$F$241-Inputs!$F$240+1),0)</f>
        <v/>
      </c>
      <c r="N23" s="13">
        <f>Inputs!$F$61*IF(Inputs!$F$34=1,Inputs!$F$36,1)*(Inputs!N307+IF(AND(Inputs!$F$34=1,N8&gt;Inputs!$F$237,N8&lt;=Time!$F$11),Inputs!$F$239,0))/100+IF(AND(Inputs!$F$34&lt;&gt;1,N8&gt;=Inputs!$F$240,N8&lt;=Inputs!$F$241),Inputs!$F$69/(Inputs!$F$241-Inputs!$F$240+1),0)</f>
        <v/>
      </c>
      <c r="O23" s="13">
        <f>Inputs!$F$61*IF(Inputs!$F$34=1,Inputs!$F$36,1)*(Inputs!O307+IF(AND(Inputs!$F$34=1,O8&gt;Inputs!$F$237,O8&lt;=Time!$F$11),Inputs!$F$239,0))/100+IF(AND(Inputs!$F$34&lt;&gt;1,O8&gt;=Inputs!$F$240,O8&lt;=Inputs!$F$241),Inputs!$F$69/(Inputs!$F$241-Inputs!$F$240+1),0)</f>
        <v/>
      </c>
      <c r="P23" s="13">
        <f>Inputs!$F$61*IF(Inputs!$F$34=1,Inputs!$F$36,1)*(Inputs!P307+IF(AND(Inputs!$F$34=1,P8&gt;Inputs!$F$237,P8&lt;=Time!$F$11),Inputs!$F$239,0))/100+IF(AND(Inputs!$F$34&lt;&gt;1,P8&gt;=Inputs!$F$240,P8&lt;=Inputs!$F$241),Inputs!$F$69/(Inputs!$F$241-Inputs!$F$240+1),0)</f>
        <v/>
      </c>
      <c r="Q23" s="13">
        <f>Inputs!$F$61*IF(Inputs!$F$34=1,Inputs!$F$36,1)*(Inputs!Q307+IF(AND(Inputs!$F$34=1,Q8&gt;Inputs!$F$237,Q8&lt;=Time!$F$11),Inputs!$F$239,0))/100+IF(AND(Inputs!$F$34&lt;&gt;1,Q8&gt;=Inputs!$F$240,Q8&lt;=Inputs!$F$241),Inputs!$F$69/(Inputs!$F$241-Inputs!$F$240+1),0)</f>
        <v/>
      </c>
      <c r="R23" s="13">
        <f>Inputs!$F$61*IF(Inputs!$F$34=1,Inputs!$F$36,1)*(Inputs!R307+IF(AND(Inputs!$F$34=1,R8&gt;Inputs!$F$237,R8&lt;=Time!$F$11),Inputs!$F$239,0))/100+IF(AND(Inputs!$F$34&lt;&gt;1,R8&gt;=Inputs!$F$240,R8&lt;=Inputs!$F$241),Inputs!$F$69/(Inputs!$F$241-Inputs!$F$240+1),0)</f>
        <v/>
      </c>
      <c r="S23" s="13">
        <f>Inputs!$F$61*IF(Inputs!$F$34=1,Inputs!$F$36,1)*(Inputs!S307+IF(AND(Inputs!$F$34=1,S8&gt;Inputs!$F$237,S8&lt;=Time!$F$11),Inputs!$F$239,0))/100+IF(AND(Inputs!$F$34&lt;&gt;1,S8&gt;=Inputs!$F$240,S8&lt;=Inputs!$F$241),Inputs!$F$69/(Inputs!$F$241-Inputs!$F$240+1),0)</f>
        <v/>
      </c>
      <c r="T23" s="13">
        <f>Inputs!$F$61*IF(Inputs!$F$34=1,Inputs!$F$36,1)*(Inputs!T307+IF(AND(Inputs!$F$34=1,T8&gt;Inputs!$F$237,T8&lt;=Time!$F$11),Inputs!$F$239,0))/100+IF(AND(Inputs!$F$34&lt;&gt;1,T8&gt;=Inputs!$F$240,T8&lt;=Inputs!$F$241),Inputs!$F$69/(Inputs!$F$241-Inputs!$F$240+1),0)</f>
        <v/>
      </c>
      <c r="U23" s="13">
        <f>Inputs!$F$61*IF(Inputs!$F$34=1,Inputs!$F$36,1)*(Inputs!U307+IF(AND(Inputs!$F$34=1,U8&gt;Inputs!$F$237,U8&lt;=Time!$F$11),Inputs!$F$239,0))/100+IF(AND(Inputs!$F$34&lt;&gt;1,U8&gt;=Inputs!$F$240,U8&lt;=Inputs!$F$241),Inputs!$F$69/(Inputs!$F$241-Inputs!$F$240+1),0)</f>
        <v/>
      </c>
      <c r="V23" s="13">
        <f>Inputs!$F$61*IF(Inputs!$F$34=1,Inputs!$F$36,1)*(Inputs!V307+IF(AND(Inputs!$F$34=1,V8&gt;Inputs!$F$237,V8&lt;=Time!$F$11),Inputs!$F$239,0))/100+IF(AND(Inputs!$F$34&lt;&gt;1,V8&gt;=Inputs!$F$240,V8&lt;=Inputs!$F$241),Inputs!$F$69/(Inputs!$F$241-Inputs!$F$240+1),0)</f>
        <v/>
      </c>
      <c r="W23" s="13">
        <f>Inputs!$F$61*IF(Inputs!$F$34=1,Inputs!$F$36,1)*(Inputs!W307+IF(AND(Inputs!$F$34=1,W8&gt;Inputs!$F$237,W8&lt;=Time!$F$11),Inputs!$F$239,0))/100+IF(AND(Inputs!$F$34&lt;&gt;1,W8&gt;=Inputs!$F$240,W8&lt;=Inputs!$F$241),Inputs!$F$69/(Inputs!$F$241-Inputs!$F$240+1),0)</f>
        <v/>
      </c>
      <c r="X23" s="13">
        <f>Inputs!$F$61*IF(Inputs!$F$34=1,Inputs!$F$36,1)*(Inputs!X307+IF(AND(Inputs!$F$34=1,X8&gt;Inputs!$F$237,X8&lt;=Time!$F$11),Inputs!$F$239,0))/100+IF(AND(Inputs!$F$34&lt;&gt;1,X8&gt;=Inputs!$F$240,X8&lt;=Inputs!$F$241),Inputs!$F$69/(Inputs!$F$241-Inputs!$F$240+1),0)</f>
        <v/>
      </c>
      <c r="Y23" s="13">
        <f>Inputs!$F$61*IF(Inputs!$F$34=1,Inputs!$F$36,1)*(Inputs!Y307+IF(AND(Inputs!$F$34=1,Y8&gt;Inputs!$F$237,Y8&lt;=Time!$F$11),Inputs!$F$239,0))/100+IF(AND(Inputs!$F$34&lt;&gt;1,Y8&gt;=Inputs!$F$240,Y8&lt;=Inputs!$F$241),Inputs!$F$69/(Inputs!$F$241-Inputs!$F$240+1),0)</f>
        <v/>
      </c>
      <c r="Z23" s="13">
        <f>Inputs!$F$61*IF(Inputs!$F$34=1,Inputs!$F$36,1)*(Inputs!Z307+IF(AND(Inputs!$F$34=1,Z8&gt;Inputs!$F$237,Z8&lt;=Time!$F$11),Inputs!$F$239,0))/100+IF(AND(Inputs!$F$34&lt;&gt;1,Z8&gt;=Inputs!$F$240,Z8&lt;=Inputs!$F$241),Inputs!$F$69/(Inputs!$F$241-Inputs!$F$240+1),0)</f>
        <v/>
      </c>
      <c r="AA23" s="13">
        <f>Inputs!$F$61*IF(Inputs!$F$34=1,Inputs!$F$36,1)*(Inputs!AA307+IF(AND(Inputs!$F$34=1,AA8&gt;Inputs!$F$237,AA8&lt;=Time!$F$11),Inputs!$F$239,0))/100+IF(AND(Inputs!$F$34&lt;&gt;1,AA8&gt;=Inputs!$F$240,AA8&lt;=Inputs!$F$241),Inputs!$F$69/(Inputs!$F$241-Inputs!$F$240+1),0)</f>
        <v/>
      </c>
      <c r="AB23" s="13">
        <f>Inputs!$F$61*IF(Inputs!$F$34=1,Inputs!$F$36,1)*(Inputs!AB307+IF(AND(Inputs!$F$34=1,AB8&gt;Inputs!$F$237,AB8&lt;=Time!$F$11),Inputs!$F$239,0))/100+IF(AND(Inputs!$F$34&lt;&gt;1,AB8&gt;=Inputs!$F$240,AB8&lt;=Inputs!$F$241),Inputs!$F$69/(Inputs!$F$241-Inputs!$F$240+1),0)</f>
        <v/>
      </c>
      <c r="AC23" s="13">
        <f>Inputs!$F$61*IF(Inputs!$F$34=1,Inputs!$F$36,1)*(Inputs!AC307+IF(AND(Inputs!$F$34=1,AC8&gt;Inputs!$F$237,AC8&lt;=Time!$F$11),Inputs!$F$239,0))/100+IF(AND(Inputs!$F$34&lt;&gt;1,AC8&gt;=Inputs!$F$240,AC8&lt;=Inputs!$F$241),Inputs!$F$69/(Inputs!$F$241-Inputs!$F$240+1),0)</f>
        <v/>
      </c>
      <c r="AD23" s="13">
        <f>Inputs!$F$61*IF(Inputs!$F$34=1,Inputs!$F$36,1)*(Inputs!AD307+IF(AND(Inputs!$F$34=1,AD8&gt;Inputs!$F$237,AD8&lt;=Time!$F$11),Inputs!$F$239,0))/100+IF(AND(Inputs!$F$34&lt;&gt;1,AD8&gt;=Inputs!$F$240,AD8&lt;=Inputs!$F$241),Inputs!$F$69/(Inputs!$F$241-Inputs!$F$240+1),0)</f>
        <v/>
      </c>
      <c r="AE23" s="13">
        <f>Inputs!$F$61*IF(Inputs!$F$34=1,Inputs!$F$36,1)*(Inputs!AE307+IF(AND(Inputs!$F$34=1,AE8&gt;Inputs!$F$237,AE8&lt;=Time!$F$11),Inputs!$F$239,0))/100+IF(AND(Inputs!$F$34&lt;&gt;1,AE8&gt;=Inputs!$F$240,AE8&lt;=Inputs!$F$241),Inputs!$F$69/(Inputs!$F$241-Inputs!$F$240+1),0)</f>
        <v/>
      </c>
      <c r="AF23" s="13">
        <f>Inputs!$F$61*IF(Inputs!$F$34=1,Inputs!$F$36,1)*(Inputs!AF307+IF(AND(Inputs!$F$34=1,AF8&gt;Inputs!$F$237,AF8&lt;=Time!$F$11),Inputs!$F$239,0))/100+IF(AND(Inputs!$F$34&lt;&gt;1,AF8&gt;=Inputs!$F$240,AF8&lt;=Inputs!$F$241),Inputs!$F$69/(Inputs!$F$241-Inputs!$F$240+1),0)</f>
        <v/>
      </c>
      <c r="AG23" s="13">
        <f>Inputs!$F$61*IF(Inputs!$F$34=1,Inputs!$F$36,1)*(Inputs!AG307+IF(AND(Inputs!$F$34=1,AG8&gt;Inputs!$F$237,AG8&lt;=Time!$F$11),Inputs!$F$239,0))/100+IF(AND(Inputs!$F$34&lt;&gt;1,AG8&gt;=Inputs!$F$240,AG8&lt;=Inputs!$F$241),Inputs!$F$69/(Inputs!$F$241-Inputs!$F$240+1),0)</f>
        <v/>
      </c>
      <c r="AH23" s="13">
        <f>Inputs!$F$61*IF(Inputs!$F$34=1,Inputs!$F$36,1)*(Inputs!AH307+IF(AND(Inputs!$F$34=1,AH8&gt;Inputs!$F$237,AH8&lt;=Time!$F$11),Inputs!$F$239,0))/100+IF(AND(Inputs!$F$34&lt;&gt;1,AH8&gt;=Inputs!$F$240,AH8&lt;=Inputs!$F$241),Inputs!$F$69/(Inputs!$F$241-Inputs!$F$240+1),0)</f>
        <v/>
      </c>
      <c r="AI23" s="13">
        <f>Inputs!$F$61*IF(Inputs!$F$34=1,Inputs!$F$36,1)*(Inputs!AI307+IF(AND(Inputs!$F$34=1,AI8&gt;Inputs!$F$237,AI8&lt;=Time!$F$11),Inputs!$F$239,0))/100+IF(AND(Inputs!$F$34&lt;&gt;1,AI8&gt;=Inputs!$F$240,AI8&lt;=Inputs!$F$241),Inputs!$F$69/(Inputs!$F$241-Inputs!$F$240+1),0)</f>
        <v/>
      </c>
      <c r="AJ23" s="13">
        <f>Inputs!$F$61*IF(Inputs!$F$34=1,Inputs!$F$36,1)*(Inputs!AJ307+IF(AND(Inputs!$F$34=1,AJ8&gt;Inputs!$F$237,AJ8&lt;=Time!$F$11),Inputs!$F$239,0))/100+IF(AND(Inputs!$F$34&lt;&gt;1,AJ8&gt;=Inputs!$F$240,AJ8&lt;=Inputs!$F$241),Inputs!$F$69/(Inputs!$F$241-Inputs!$F$240+1),0)</f>
        <v/>
      </c>
      <c r="AK23" s="13">
        <f>Inputs!$F$61*IF(Inputs!$F$34=1,Inputs!$F$36,1)*(Inputs!AK307+IF(AND(Inputs!$F$34=1,AK8&gt;Inputs!$F$237,AK8&lt;=Time!$F$11),Inputs!$F$239,0))/100+IF(AND(Inputs!$F$34&lt;&gt;1,AK8&gt;=Inputs!$F$240,AK8&lt;=Inputs!$F$241),Inputs!$F$69/(Inputs!$F$241-Inputs!$F$240+1),0)</f>
        <v/>
      </c>
      <c r="AL23" s="13">
        <f>Inputs!$F$61*IF(Inputs!$F$34=1,Inputs!$F$36,1)*(Inputs!AL307+IF(AND(Inputs!$F$34=1,AL8&gt;Inputs!$F$237,AL8&lt;=Time!$F$11),Inputs!$F$239,0))/100+IF(AND(Inputs!$F$34&lt;&gt;1,AL8&gt;=Inputs!$F$240,AL8&lt;=Inputs!$F$241),Inputs!$F$69/(Inputs!$F$241-Inputs!$F$240+1),0)</f>
        <v/>
      </c>
      <c r="AM23" s="13">
        <f>Inputs!$F$61*IF(Inputs!$F$34=1,Inputs!$F$36,1)*(Inputs!AM307+IF(AND(Inputs!$F$34=1,AM8&gt;Inputs!$F$237,AM8&lt;=Time!$F$11),Inputs!$F$239,0))/100+IF(AND(Inputs!$F$34&lt;&gt;1,AM8&gt;=Inputs!$F$240,AM8&lt;=Inputs!$F$241),Inputs!$F$69/(Inputs!$F$241-Inputs!$F$240+1),0)</f>
        <v/>
      </c>
      <c r="AN23" s="13">
        <f>Inputs!$F$61*IF(Inputs!$F$34=1,Inputs!$F$36,1)*(Inputs!AN307+IF(AND(Inputs!$F$34=1,AN8&gt;Inputs!$F$237,AN8&lt;=Time!$F$11),Inputs!$F$239,0))/100+IF(AND(Inputs!$F$34&lt;&gt;1,AN8&gt;=Inputs!$F$240,AN8&lt;=Inputs!$F$241),Inputs!$F$69/(Inputs!$F$241-Inputs!$F$240+1),0)</f>
        <v/>
      </c>
      <c r="AO23" s="13">
        <f>Inputs!$F$61*IF(Inputs!$F$34=1,Inputs!$F$36,1)*(Inputs!AO307+IF(AND(Inputs!$F$34=1,AO8&gt;Inputs!$F$237,AO8&lt;=Time!$F$11),Inputs!$F$239,0))/100+IF(AND(Inputs!$F$34&lt;&gt;1,AO8&gt;=Inputs!$F$240,AO8&lt;=Inputs!$F$241),Inputs!$F$69/(Inputs!$F$241-Inputs!$F$240+1),0)</f>
        <v/>
      </c>
      <c r="AP23" s="13">
        <f>Inputs!$F$61*IF(Inputs!$F$34=1,Inputs!$F$36,1)*(Inputs!AP307+IF(AND(Inputs!$F$34=1,AP8&gt;Inputs!$F$237,AP8&lt;=Time!$F$11),Inputs!$F$239,0))/100+IF(AND(Inputs!$F$34&lt;&gt;1,AP8&gt;=Inputs!$F$240,AP8&lt;=Inputs!$F$241),Inputs!$F$69/(Inputs!$F$241-Inputs!$F$240+1),0)</f>
        <v/>
      </c>
      <c r="AQ23" s="13">
        <f>Inputs!$F$61*IF(Inputs!$F$34=1,Inputs!$F$36,1)*(Inputs!AQ307+IF(AND(Inputs!$F$34=1,AQ8&gt;Inputs!$F$237,AQ8&lt;=Time!$F$11),Inputs!$F$239,0))/100+IF(AND(Inputs!$F$34&lt;&gt;1,AQ8&gt;=Inputs!$F$240,AQ8&lt;=Inputs!$F$241),Inputs!$F$69/(Inputs!$F$241-Inputs!$F$240+1),0)</f>
        <v/>
      </c>
      <c r="AR23" s="13">
        <f>Inputs!$F$61*IF(Inputs!$F$34=1,Inputs!$F$36,1)*(Inputs!AR307+IF(AND(Inputs!$F$34=1,AR8&gt;Inputs!$F$237,AR8&lt;=Time!$F$11),Inputs!$F$239,0))/100+IF(AND(Inputs!$F$34&lt;&gt;1,AR8&gt;=Inputs!$F$240,AR8&lt;=Inputs!$F$241),Inputs!$F$69/(Inputs!$F$241-Inputs!$F$240+1),0)</f>
        <v/>
      </c>
      <c r="AS23" s="13">
        <f>Inputs!$F$61*IF(Inputs!$F$34=1,Inputs!$F$36,1)*(Inputs!AS307+IF(AND(Inputs!$F$34=1,AS8&gt;Inputs!$F$237,AS8&lt;=Time!$F$11),Inputs!$F$239,0))/100+IF(AND(Inputs!$F$34&lt;&gt;1,AS8&gt;=Inputs!$F$240,AS8&lt;=Inputs!$F$241),Inputs!$F$69/(Inputs!$F$241-Inputs!$F$240+1),0)</f>
        <v/>
      </c>
      <c r="AT23" s="13">
        <f>Inputs!$F$61*IF(Inputs!$F$34=1,Inputs!$F$36,1)*(Inputs!AT307+IF(AND(Inputs!$F$34=1,AT8&gt;Inputs!$F$237,AT8&lt;=Time!$F$11),Inputs!$F$239,0))/100+IF(AND(Inputs!$F$34&lt;&gt;1,AT8&gt;=Inputs!$F$240,AT8&lt;=Inputs!$F$241),Inputs!$F$69/(Inputs!$F$241-Inputs!$F$240+1),0)</f>
        <v/>
      </c>
      <c r="AU23" s="13">
        <f>Inputs!$F$61*IF(Inputs!$F$34=1,Inputs!$F$36,1)*(Inputs!AU307+IF(AND(Inputs!$F$34=1,AU8&gt;Inputs!$F$237,AU8&lt;=Time!$F$11),Inputs!$F$239,0))/100+IF(AND(Inputs!$F$34&lt;&gt;1,AU8&gt;=Inputs!$F$240,AU8&lt;=Inputs!$F$241),Inputs!$F$69/(Inputs!$F$241-Inputs!$F$240+1),0)</f>
        <v/>
      </c>
      <c r="AV23" s="13">
        <f>Inputs!$F$61*IF(Inputs!$F$34=1,Inputs!$F$36,1)*(Inputs!AV307+IF(AND(Inputs!$F$34=1,AV8&gt;Inputs!$F$237,AV8&lt;=Time!$F$11),Inputs!$F$239,0))/100+IF(AND(Inputs!$F$34&lt;&gt;1,AV8&gt;=Inputs!$F$240,AV8&lt;=Inputs!$F$241),Inputs!$F$69/(Inputs!$F$241-Inputs!$F$240+1),0)</f>
        <v/>
      </c>
      <c r="AW23" s="13">
        <f>Inputs!$F$61*IF(Inputs!$F$34=1,Inputs!$F$36,1)*(Inputs!AW307+IF(AND(Inputs!$F$34=1,AW8&gt;Inputs!$F$237,AW8&lt;=Time!$F$11),Inputs!$F$239,0))/100+IF(AND(Inputs!$F$34&lt;&gt;1,AW8&gt;=Inputs!$F$240,AW8&lt;=Inputs!$F$241),Inputs!$F$69/(Inputs!$F$241-Inputs!$F$240+1),0)</f>
        <v/>
      </c>
      <c r="AX23" s="13">
        <f>Inputs!$F$61*IF(Inputs!$F$34=1,Inputs!$F$36,1)*(Inputs!AX307+IF(AND(Inputs!$F$34=1,AX8&gt;Inputs!$F$237,AX8&lt;=Time!$F$11),Inputs!$F$239,0))/100+IF(AND(Inputs!$F$34&lt;&gt;1,AX8&gt;=Inputs!$F$240,AX8&lt;=Inputs!$F$241),Inputs!$F$69/(Inputs!$F$241-Inputs!$F$240+1),0)</f>
        <v/>
      </c>
      <c r="AY23" s="13">
        <f>Inputs!$F$61*IF(Inputs!$F$34=1,Inputs!$F$36,1)*(Inputs!AY307+IF(AND(Inputs!$F$34=1,AY8&gt;Inputs!$F$237,AY8&lt;=Time!$F$11),Inputs!$F$239,0))/100+IF(AND(Inputs!$F$34&lt;&gt;1,AY8&gt;=Inputs!$F$240,AY8&lt;=Inputs!$F$241),Inputs!$F$69/(Inputs!$F$241-Inputs!$F$240+1),0)</f>
        <v/>
      </c>
      <c r="AZ23" s="13">
        <f>Inputs!$F$61*IF(Inputs!$F$34=1,Inputs!$F$36,1)*(Inputs!AZ307+IF(AND(Inputs!$F$34=1,AZ8&gt;Inputs!$F$237,AZ8&lt;=Time!$F$11),Inputs!$F$239,0))/100+IF(AND(Inputs!$F$34&lt;&gt;1,AZ8&gt;=Inputs!$F$240,AZ8&lt;=Inputs!$F$241),Inputs!$F$69/(Inputs!$F$241-Inputs!$F$240+1),0)</f>
        <v/>
      </c>
      <c r="BA23" s="13">
        <f>Inputs!$F$61*IF(Inputs!$F$34=1,Inputs!$F$36,1)*(Inputs!BA307+IF(AND(Inputs!$F$34=1,BA8&gt;Inputs!$F$237,BA8&lt;=Time!$F$11),Inputs!$F$239,0))/100+IF(AND(Inputs!$F$34&lt;&gt;1,BA8&gt;=Inputs!$F$240,BA8&lt;=Inputs!$F$241),Inputs!$F$69/(Inputs!$F$241-Inputs!$F$240+1),0)</f>
        <v/>
      </c>
      <c r="BB23" s="13">
        <f>Inputs!$F$61*IF(Inputs!$F$34=1,Inputs!$F$36,1)*(Inputs!BB307+IF(AND(Inputs!$F$34=1,BB8&gt;Inputs!$F$237,BB8&lt;=Time!$F$11),Inputs!$F$239,0))/100+IF(AND(Inputs!$F$34&lt;&gt;1,BB8&gt;=Inputs!$F$240,BB8&lt;=Inputs!$F$241),Inputs!$F$69/(Inputs!$F$241-Inputs!$F$240+1),0)</f>
        <v/>
      </c>
      <c r="BC23" s="13">
        <f>Inputs!$F$61*IF(Inputs!$F$34=1,Inputs!$F$36,1)*(Inputs!BC307+IF(AND(Inputs!$F$34=1,BC8&gt;Inputs!$F$237,BC8&lt;=Time!$F$11),Inputs!$F$239,0))/100+IF(AND(Inputs!$F$34&lt;&gt;1,BC8&gt;=Inputs!$F$240,BC8&lt;=Inputs!$F$241),Inputs!$F$69/(Inputs!$F$241-Inputs!$F$240+1),0)</f>
        <v/>
      </c>
      <c r="BD23" s="13">
        <f>Inputs!$F$61*IF(Inputs!$F$34=1,Inputs!$F$36,1)*(Inputs!BD307+IF(AND(Inputs!$F$34=1,BD8&gt;Inputs!$F$237,BD8&lt;=Time!$F$11),Inputs!$F$239,0))/100+IF(AND(Inputs!$F$34&lt;&gt;1,BD8&gt;=Inputs!$F$240,BD8&lt;=Inputs!$F$241),Inputs!$F$69/(Inputs!$F$241-Inputs!$F$240+1),0)</f>
        <v/>
      </c>
      <c r="BE23" s="13">
        <f>Inputs!$F$61*IF(Inputs!$F$34=1,Inputs!$F$36,1)*(Inputs!BE307+IF(AND(Inputs!$F$34=1,BE8&gt;Inputs!$F$237,BE8&lt;=Time!$F$11),Inputs!$F$239,0))/100+IF(AND(Inputs!$F$34&lt;&gt;1,BE8&gt;=Inputs!$F$240,BE8&lt;=Inputs!$F$241),Inputs!$F$69/(Inputs!$F$241-Inputs!$F$240+1),0)</f>
        <v/>
      </c>
      <c r="BF23" s="13">
        <f>Inputs!$F$61*IF(Inputs!$F$34=1,Inputs!$F$36,1)*(Inputs!BF307+IF(AND(Inputs!$F$34=1,BF8&gt;Inputs!$F$237,BF8&lt;=Time!$F$11),Inputs!$F$239,0))/100+IF(AND(Inputs!$F$34&lt;&gt;1,BF8&gt;=Inputs!$F$240,BF8&lt;=Inputs!$F$241),Inputs!$F$69/(Inputs!$F$241-Inputs!$F$240+1),0)</f>
        <v/>
      </c>
      <c r="BG23" s="13">
        <f>Inputs!$F$61*IF(Inputs!$F$34=1,Inputs!$F$36,1)*(Inputs!BG307+IF(AND(Inputs!$F$34=1,BG8&gt;Inputs!$F$237,BG8&lt;=Time!$F$11),Inputs!$F$239,0))/100+IF(AND(Inputs!$F$34&lt;&gt;1,BG8&gt;=Inputs!$F$240,BG8&lt;=Inputs!$F$241),Inputs!$F$69/(Inputs!$F$241-Inputs!$F$240+1),0)</f>
        <v/>
      </c>
      <c r="BH23" s="13">
        <f>Inputs!$F$61*IF(Inputs!$F$34=1,Inputs!$F$36,1)*(Inputs!BH307+IF(AND(Inputs!$F$34=1,BH8&gt;Inputs!$F$237,BH8&lt;=Time!$F$11),Inputs!$F$239,0))/100+IF(AND(Inputs!$F$34&lt;&gt;1,BH8&gt;=Inputs!$F$240,BH8&lt;=Inputs!$F$241),Inputs!$F$69/(Inputs!$F$241-Inputs!$F$240+1),0)</f>
        <v/>
      </c>
      <c r="BI23" s="13">
        <f>Inputs!$F$61*IF(Inputs!$F$34=1,Inputs!$F$36,1)*(Inputs!BI307+IF(AND(Inputs!$F$34=1,BI8&gt;Inputs!$F$237,BI8&lt;=Time!$F$11),Inputs!$F$239,0))/100+IF(AND(Inputs!$F$34&lt;&gt;1,BI8&gt;=Inputs!$F$240,BI8&lt;=Inputs!$F$241),Inputs!$F$69/(Inputs!$F$241-Inputs!$F$240+1),0)</f>
        <v/>
      </c>
      <c r="BJ23" s="13">
        <f>Inputs!$F$61*IF(Inputs!$F$34=1,Inputs!$F$36,1)*(Inputs!BJ307+IF(AND(Inputs!$F$34=1,BJ8&gt;Inputs!$F$237,BJ8&lt;=Time!$F$11),Inputs!$F$239,0))/100+IF(AND(Inputs!$F$34&lt;&gt;1,BJ8&gt;=Inputs!$F$240,BJ8&lt;=Inputs!$F$241),Inputs!$F$69/(Inputs!$F$241-Inputs!$F$240+1),0)</f>
        <v/>
      </c>
    </row>
    <row r="24">
      <c r="D24" t="inlineStr">
        <is>
          <t>Insurance during construction</t>
        </is>
      </c>
      <c r="E24" t="inlineStr">
        <is>
          <t>USD m</t>
        </is>
      </c>
      <c r="G24" s="13">
        <f>SUM(J24:BJ24)</f>
        <v/>
      </c>
      <c r="J24" s="13">
        <f>Inputs!$F$62*Inputs!$F$36*(Inputs!$F$243*IF(J8=1,1,0)+(1-Inputs!$F$243)*IF(J8=Inputs!$F$242,1,0))</f>
        <v/>
      </c>
      <c r="K24" s="13">
        <f>Inputs!$F$62*Inputs!$F$36*(Inputs!$F$243*IF(K8=1,1,0)+(1-Inputs!$F$243)*IF(K8=Inputs!$F$242,1,0))</f>
        <v/>
      </c>
      <c r="L24" s="13">
        <f>Inputs!$F$62*Inputs!$F$36*(Inputs!$F$243*IF(L8=1,1,0)+(1-Inputs!$F$243)*IF(L8=Inputs!$F$242,1,0))</f>
        <v/>
      </c>
      <c r="M24" s="13">
        <f>Inputs!$F$62*Inputs!$F$36*(Inputs!$F$243*IF(M8=1,1,0)+(1-Inputs!$F$243)*IF(M8=Inputs!$F$242,1,0))</f>
        <v/>
      </c>
      <c r="N24" s="13">
        <f>Inputs!$F$62*Inputs!$F$36*(Inputs!$F$243*IF(N8=1,1,0)+(1-Inputs!$F$243)*IF(N8=Inputs!$F$242,1,0))</f>
        <v/>
      </c>
      <c r="O24" s="13">
        <f>Inputs!$F$62*Inputs!$F$36*(Inputs!$F$243*IF(O8=1,1,0)+(1-Inputs!$F$243)*IF(O8=Inputs!$F$242,1,0))</f>
        <v/>
      </c>
      <c r="P24" s="13">
        <f>Inputs!$F$62*Inputs!$F$36*(Inputs!$F$243*IF(P8=1,1,0)+(1-Inputs!$F$243)*IF(P8=Inputs!$F$242,1,0))</f>
        <v/>
      </c>
      <c r="Q24" s="13">
        <f>Inputs!$F$62*Inputs!$F$36*(Inputs!$F$243*IF(Q8=1,1,0)+(1-Inputs!$F$243)*IF(Q8=Inputs!$F$242,1,0))</f>
        <v/>
      </c>
      <c r="R24" s="13">
        <f>Inputs!$F$62*Inputs!$F$36*(Inputs!$F$243*IF(R8=1,1,0)+(1-Inputs!$F$243)*IF(R8=Inputs!$F$242,1,0))</f>
        <v/>
      </c>
      <c r="S24" s="13">
        <f>Inputs!$F$62*Inputs!$F$36*(Inputs!$F$243*IF(S8=1,1,0)+(1-Inputs!$F$243)*IF(S8=Inputs!$F$242,1,0))</f>
        <v/>
      </c>
      <c r="T24" s="13">
        <f>Inputs!$F$62*Inputs!$F$36*(Inputs!$F$243*IF(T8=1,1,0)+(1-Inputs!$F$243)*IF(T8=Inputs!$F$242,1,0))</f>
        <v/>
      </c>
      <c r="U24" s="13">
        <f>Inputs!$F$62*Inputs!$F$36*(Inputs!$F$243*IF(U8=1,1,0)+(1-Inputs!$F$243)*IF(U8=Inputs!$F$242,1,0))</f>
        <v/>
      </c>
      <c r="V24" s="13">
        <f>Inputs!$F$62*Inputs!$F$36*(Inputs!$F$243*IF(V8=1,1,0)+(1-Inputs!$F$243)*IF(V8=Inputs!$F$242,1,0))</f>
        <v/>
      </c>
      <c r="W24" s="13">
        <f>Inputs!$F$62*Inputs!$F$36*(Inputs!$F$243*IF(W8=1,1,0)+(1-Inputs!$F$243)*IF(W8=Inputs!$F$242,1,0))</f>
        <v/>
      </c>
      <c r="X24" s="13">
        <f>Inputs!$F$62*Inputs!$F$36*(Inputs!$F$243*IF(X8=1,1,0)+(1-Inputs!$F$243)*IF(X8=Inputs!$F$242,1,0))</f>
        <v/>
      </c>
      <c r="Y24" s="13">
        <f>Inputs!$F$62*Inputs!$F$36*(Inputs!$F$243*IF(Y8=1,1,0)+(1-Inputs!$F$243)*IF(Y8=Inputs!$F$242,1,0))</f>
        <v/>
      </c>
      <c r="Z24" s="13">
        <f>Inputs!$F$62*Inputs!$F$36*(Inputs!$F$243*IF(Z8=1,1,0)+(1-Inputs!$F$243)*IF(Z8=Inputs!$F$242,1,0))</f>
        <v/>
      </c>
      <c r="AA24" s="13">
        <f>Inputs!$F$62*Inputs!$F$36*(Inputs!$F$243*IF(AA8=1,1,0)+(1-Inputs!$F$243)*IF(AA8=Inputs!$F$242,1,0))</f>
        <v/>
      </c>
      <c r="AB24" s="13">
        <f>Inputs!$F$62*Inputs!$F$36*(Inputs!$F$243*IF(AB8=1,1,0)+(1-Inputs!$F$243)*IF(AB8=Inputs!$F$242,1,0))</f>
        <v/>
      </c>
      <c r="AC24" s="13">
        <f>Inputs!$F$62*Inputs!$F$36*(Inputs!$F$243*IF(AC8=1,1,0)+(1-Inputs!$F$243)*IF(AC8=Inputs!$F$242,1,0))</f>
        <v/>
      </c>
      <c r="AD24" s="13">
        <f>Inputs!$F$62*Inputs!$F$36*(Inputs!$F$243*IF(AD8=1,1,0)+(1-Inputs!$F$243)*IF(AD8=Inputs!$F$242,1,0))</f>
        <v/>
      </c>
      <c r="AE24" s="13">
        <f>Inputs!$F$62*Inputs!$F$36*(Inputs!$F$243*IF(AE8=1,1,0)+(1-Inputs!$F$243)*IF(AE8=Inputs!$F$242,1,0))</f>
        <v/>
      </c>
      <c r="AF24" s="13">
        <f>Inputs!$F$62*Inputs!$F$36*(Inputs!$F$243*IF(AF8=1,1,0)+(1-Inputs!$F$243)*IF(AF8=Inputs!$F$242,1,0))</f>
        <v/>
      </c>
      <c r="AG24" s="13">
        <f>Inputs!$F$62*Inputs!$F$36*(Inputs!$F$243*IF(AG8=1,1,0)+(1-Inputs!$F$243)*IF(AG8=Inputs!$F$242,1,0))</f>
        <v/>
      </c>
      <c r="AH24" s="13">
        <f>Inputs!$F$62*Inputs!$F$36*(Inputs!$F$243*IF(AH8=1,1,0)+(1-Inputs!$F$243)*IF(AH8=Inputs!$F$242,1,0))</f>
        <v/>
      </c>
      <c r="AI24" s="13">
        <f>Inputs!$F$62*Inputs!$F$36*(Inputs!$F$243*IF(AI8=1,1,0)+(1-Inputs!$F$243)*IF(AI8=Inputs!$F$242,1,0))</f>
        <v/>
      </c>
      <c r="AJ24" s="13">
        <f>Inputs!$F$62*Inputs!$F$36*(Inputs!$F$243*IF(AJ8=1,1,0)+(1-Inputs!$F$243)*IF(AJ8=Inputs!$F$242,1,0))</f>
        <v/>
      </c>
      <c r="AK24" s="13">
        <f>Inputs!$F$62*Inputs!$F$36*(Inputs!$F$243*IF(AK8=1,1,0)+(1-Inputs!$F$243)*IF(AK8=Inputs!$F$242,1,0))</f>
        <v/>
      </c>
      <c r="AL24" s="13">
        <f>Inputs!$F$62*Inputs!$F$36*(Inputs!$F$243*IF(AL8=1,1,0)+(1-Inputs!$F$243)*IF(AL8=Inputs!$F$242,1,0))</f>
        <v/>
      </c>
      <c r="AM24" s="13">
        <f>Inputs!$F$62*Inputs!$F$36*(Inputs!$F$243*IF(AM8=1,1,0)+(1-Inputs!$F$243)*IF(AM8=Inputs!$F$242,1,0))</f>
        <v/>
      </c>
      <c r="AN24" s="13">
        <f>Inputs!$F$62*Inputs!$F$36*(Inputs!$F$243*IF(AN8=1,1,0)+(1-Inputs!$F$243)*IF(AN8=Inputs!$F$242,1,0))</f>
        <v/>
      </c>
      <c r="AO24" s="13">
        <f>Inputs!$F$62*Inputs!$F$36*(Inputs!$F$243*IF(AO8=1,1,0)+(1-Inputs!$F$243)*IF(AO8=Inputs!$F$242,1,0))</f>
        <v/>
      </c>
      <c r="AP24" s="13">
        <f>Inputs!$F$62*Inputs!$F$36*(Inputs!$F$243*IF(AP8=1,1,0)+(1-Inputs!$F$243)*IF(AP8=Inputs!$F$242,1,0))</f>
        <v/>
      </c>
      <c r="AQ24" s="13">
        <f>Inputs!$F$62*Inputs!$F$36*(Inputs!$F$243*IF(AQ8=1,1,0)+(1-Inputs!$F$243)*IF(AQ8=Inputs!$F$242,1,0))</f>
        <v/>
      </c>
      <c r="AR24" s="13">
        <f>Inputs!$F$62*Inputs!$F$36*(Inputs!$F$243*IF(AR8=1,1,0)+(1-Inputs!$F$243)*IF(AR8=Inputs!$F$242,1,0))</f>
        <v/>
      </c>
      <c r="AS24" s="13">
        <f>Inputs!$F$62*Inputs!$F$36*(Inputs!$F$243*IF(AS8=1,1,0)+(1-Inputs!$F$243)*IF(AS8=Inputs!$F$242,1,0))</f>
        <v/>
      </c>
      <c r="AT24" s="13">
        <f>Inputs!$F$62*Inputs!$F$36*(Inputs!$F$243*IF(AT8=1,1,0)+(1-Inputs!$F$243)*IF(AT8=Inputs!$F$242,1,0))</f>
        <v/>
      </c>
      <c r="AU24" s="13">
        <f>Inputs!$F$62*Inputs!$F$36*(Inputs!$F$243*IF(AU8=1,1,0)+(1-Inputs!$F$243)*IF(AU8=Inputs!$F$242,1,0))</f>
        <v/>
      </c>
      <c r="AV24" s="13">
        <f>Inputs!$F$62*Inputs!$F$36*(Inputs!$F$243*IF(AV8=1,1,0)+(1-Inputs!$F$243)*IF(AV8=Inputs!$F$242,1,0))</f>
        <v/>
      </c>
      <c r="AW24" s="13">
        <f>Inputs!$F$62*Inputs!$F$36*(Inputs!$F$243*IF(AW8=1,1,0)+(1-Inputs!$F$243)*IF(AW8=Inputs!$F$242,1,0))</f>
        <v/>
      </c>
      <c r="AX24" s="13">
        <f>Inputs!$F$62*Inputs!$F$36*(Inputs!$F$243*IF(AX8=1,1,0)+(1-Inputs!$F$243)*IF(AX8=Inputs!$F$242,1,0))</f>
        <v/>
      </c>
      <c r="AY24" s="13">
        <f>Inputs!$F$62*Inputs!$F$36*(Inputs!$F$243*IF(AY8=1,1,0)+(1-Inputs!$F$243)*IF(AY8=Inputs!$F$242,1,0))</f>
        <v/>
      </c>
      <c r="AZ24" s="13">
        <f>Inputs!$F$62*Inputs!$F$36*(Inputs!$F$243*IF(AZ8=1,1,0)+(1-Inputs!$F$243)*IF(AZ8=Inputs!$F$242,1,0))</f>
        <v/>
      </c>
      <c r="BA24" s="13">
        <f>Inputs!$F$62*Inputs!$F$36*(Inputs!$F$243*IF(BA8=1,1,0)+(1-Inputs!$F$243)*IF(BA8=Inputs!$F$242,1,0))</f>
        <v/>
      </c>
      <c r="BB24" s="13">
        <f>Inputs!$F$62*Inputs!$F$36*(Inputs!$F$243*IF(BB8=1,1,0)+(1-Inputs!$F$243)*IF(BB8=Inputs!$F$242,1,0))</f>
        <v/>
      </c>
      <c r="BC24" s="13">
        <f>Inputs!$F$62*Inputs!$F$36*(Inputs!$F$243*IF(BC8=1,1,0)+(1-Inputs!$F$243)*IF(BC8=Inputs!$F$242,1,0))</f>
        <v/>
      </c>
      <c r="BD24" s="13">
        <f>Inputs!$F$62*Inputs!$F$36*(Inputs!$F$243*IF(BD8=1,1,0)+(1-Inputs!$F$243)*IF(BD8=Inputs!$F$242,1,0))</f>
        <v/>
      </c>
      <c r="BE24" s="13">
        <f>Inputs!$F$62*Inputs!$F$36*(Inputs!$F$243*IF(BE8=1,1,0)+(1-Inputs!$F$243)*IF(BE8=Inputs!$F$242,1,0))</f>
        <v/>
      </c>
      <c r="BF24" s="13">
        <f>Inputs!$F$62*Inputs!$F$36*(Inputs!$F$243*IF(BF8=1,1,0)+(1-Inputs!$F$243)*IF(BF8=Inputs!$F$242,1,0))</f>
        <v/>
      </c>
      <c r="BG24" s="13">
        <f>Inputs!$F$62*Inputs!$F$36*(Inputs!$F$243*IF(BG8=1,1,0)+(1-Inputs!$F$243)*IF(BG8=Inputs!$F$242,1,0))</f>
        <v/>
      </c>
      <c r="BH24" s="13">
        <f>Inputs!$F$62*Inputs!$F$36*(Inputs!$F$243*IF(BH8=1,1,0)+(1-Inputs!$F$243)*IF(BH8=Inputs!$F$242,1,0))</f>
        <v/>
      </c>
      <c r="BI24" s="13">
        <f>Inputs!$F$62*Inputs!$F$36*(Inputs!$F$243*IF(BI8=1,1,0)+(1-Inputs!$F$243)*IF(BI8=Inputs!$F$242,1,0))</f>
        <v/>
      </c>
      <c r="BJ24" s="13">
        <f>Inputs!$F$62*Inputs!$F$36*(Inputs!$F$243*IF(BJ8=1,1,0)+(1-Inputs!$F$243)*IF(BJ8=Inputs!$F$242,1,0))</f>
        <v/>
      </c>
    </row>
    <row r="25">
      <c r="D25" t="inlineStr">
        <is>
          <t>Development costs and fee</t>
        </is>
      </c>
      <c r="E25" t="inlineStr">
        <is>
          <t>USD m</t>
        </is>
      </c>
      <c r="G25" s="13">
        <f>SUM(J25:BJ25)</f>
        <v/>
      </c>
      <c r="J25" s="13">
        <f>IF(J8=1,Inputs!$F$63+Inputs!$F$64,0)</f>
        <v/>
      </c>
      <c r="K25" s="13">
        <f>IF(K8=1,Inputs!$F$63+Inputs!$F$64,0)</f>
        <v/>
      </c>
      <c r="L25" s="13">
        <f>IF(L8=1,Inputs!$F$63+Inputs!$F$64,0)</f>
        <v/>
      </c>
      <c r="M25" s="13">
        <f>IF(M8=1,Inputs!$F$63+Inputs!$F$64,0)</f>
        <v/>
      </c>
      <c r="N25" s="13">
        <f>IF(N8=1,Inputs!$F$63+Inputs!$F$64,0)</f>
        <v/>
      </c>
      <c r="O25" s="13">
        <f>IF(O8=1,Inputs!$F$63+Inputs!$F$64,0)</f>
        <v/>
      </c>
      <c r="P25" s="13">
        <f>IF(P8=1,Inputs!$F$63+Inputs!$F$64,0)</f>
        <v/>
      </c>
      <c r="Q25" s="13">
        <f>IF(Q8=1,Inputs!$F$63+Inputs!$F$64,0)</f>
        <v/>
      </c>
      <c r="R25" s="13">
        <f>IF(R8=1,Inputs!$F$63+Inputs!$F$64,0)</f>
        <v/>
      </c>
      <c r="S25" s="13">
        <f>IF(S8=1,Inputs!$F$63+Inputs!$F$64,0)</f>
        <v/>
      </c>
      <c r="T25" s="13">
        <f>IF(T8=1,Inputs!$F$63+Inputs!$F$64,0)</f>
        <v/>
      </c>
      <c r="U25" s="13">
        <f>IF(U8=1,Inputs!$F$63+Inputs!$F$64,0)</f>
        <v/>
      </c>
      <c r="V25" s="13">
        <f>IF(V8=1,Inputs!$F$63+Inputs!$F$64,0)</f>
        <v/>
      </c>
      <c r="W25" s="13">
        <f>IF(W8=1,Inputs!$F$63+Inputs!$F$64,0)</f>
        <v/>
      </c>
      <c r="X25" s="13">
        <f>IF(X8=1,Inputs!$F$63+Inputs!$F$64,0)</f>
        <v/>
      </c>
      <c r="Y25" s="13">
        <f>IF(Y8=1,Inputs!$F$63+Inputs!$F$64,0)</f>
        <v/>
      </c>
      <c r="Z25" s="13">
        <f>IF(Z8=1,Inputs!$F$63+Inputs!$F$64,0)</f>
        <v/>
      </c>
      <c r="AA25" s="13">
        <f>IF(AA8=1,Inputs!$F$63+Inputs!$F$64,0)</f>
        <v/>
      </c>
      <c r="AB25" s="13">
        <f>IF(AB8=1,Inputs!$F$63+Inputs!$F$64,0)</f>
        <v/>
      </c>
      <c r="AC25" s="13">
        <f>IF(AC8=1,Inputs!$F$63+Inputs!$F$64,0)</f>
        <v/>
      </c>
      <c r="AD25" s="13">
        <f>IF(AD8=1,Inputs!$F$63+Inputs!$F$64,0)</f>
        <v/>
      </c>
      <c r="AE25" s="13">
        <f>IF(AE8=1,Inputs!$F$63+Inputs!$F$64,0)</f>
        <v/>
      </c>
      <c r="AF25" s="13">
        <f>IF(AF8=1,Inputs!$F$63+Inputs!$F$64,0)</f>
        <v/>
      </c>
      <c r="AG25" s="13">
        <f>IF(AG8=1,Inputs!$F$63+Inputs!$F$64,0)</f>
        <v/>
      </c>
      <c r="AH25" s="13">
        <f>IF(AH8=1,Inputs!$F$63+Inputs!$F$64,0)</f>
        <v/>
      </c>
      <c r="AI25" s="13">
        <f>IF(AI8=1,Inputs!$F$63+Inputs!$F$64,0)</f>
        <v/>
      </c>
      <c r="AJ25" s="13">
        <f>IF(AJ8=1,Inputs!$F$63+Inputs!$F$64,0)</f>
        <v/>
      </c>
      <c r="AK25" s="13">
        <f>IF(AK8=1,Inputs!$F$63+Inputs!$F$64,0)</f>
        <v/>
      </c>
      <c r="AL25" s="13">
        <f>IF(AL8=1,Inputs!$F$63+Inputs!$F$64,0)</f>
        <v/>
      </c>
      <c r="AM25" s="13">
        <f>IF(AM8=1,Inputs!$F$63+Inputs!$F$64,0)</f>
        <v/>
      </c>
      <c r="AN25" s="13">
        <f>IF(AN8=1,Inputs!$F$63+Inputs!$F$64,0)</f>
        <v/>
      </c>
      <c r="AO25" s="13">
        <f>IF(AO8=1,Inputs!$F$63+Inputs!$F$64,0)</f>
        <v/>
      </c>
      <c r="AP25" s="13">
        <f>IF(AP8=1,Inputs!$F$63+Inputs!$F$64,0)</f>
        <v/>
      </c>
      <c r="AQ25" s="13">
        <f>IF(AQ8=1,Inputs!$F$63+Inputs!$F$64,0)</f>
        <v/>
      </c>
      <c r="AR25" s="13">
        <f>IF(AR8=1,Inputs!$F$63+Inputs!$F$64,0)</f>
        <v/>
      </c>
      <c r="AS25" s="13">
        <f>IF(AS8=1,Inputs!$F$63+Inputs!$F$64,0)</f>
        <v/>
      </c>
      <c r="AT25" s="13">
        <f>IF(AT8=1,Inputs!$F$63+Inputs!$F$64,0)</f>
        <v/>
      </c>
      <c r="AU25" s="13">
        <f>IF(AU8=1,Inputs!$F$63+Inputs!$F$64,0)</f>
        <v/>
      </c>
      <c r="AV25" s="13">
        <f>IF(AV8=1,Inputs!$F$63+Inputs!$F$64,0)</f>
        <v/>
      </c>
      <c r="AW25" s="13">
        <f>IF(AW8=1,Inputs!$F$63+Inputs!$F$64,0)</f>
        <v/>
      </c>
      <c r="AX25" s="13">
        <f>IF(AX8=1,Inputs!$F$63+Inputs!$F$64,0)</f>
        <v/>
      </c>
      <c r="AY25" s="13">
        <f>IF(AY8=1,Inputs!$F$63+Inputs!$F$64,0)</f>
        <v/>
      </c>
      <c r="AZ25" s="13">
        <f>IF(AZ8=1,Inputs!$F$63+Inputs!$F$64,0)</f>
        <v/>
      </c>
      <c r="BA25" s="13">
        <f>IF(BA8=1,Inputs!$F$63+Inputs!$F$64,0)</f>
        <v/>
      </c>
      <c r="BB25" s="13">
        <f>IF(BB8=1,Inputs!$F$63+Inputs!$F$64,0)</f>
        <v/>
      </c>
      <c r="BC25" s="13">
        <f>IF(BC8=1,Inputs!$F$63+Inputs!$F$64,0)</f>
        <v/>
      </c>
      <c r="BD25" s="13">
        <f>IF(BD8=1,Inputs!$F$63+Inputs!$F$64,0)</f>
        <v/>
      </c>
      <c r="BE25" s="13">
        <f>IF(BE8=1,Inputs!$F$63+Inputs!$F$64,0)</f>
        <v/>
      </c>
      <c r="BF25" s="13">
        <f>IF(BF8=1,Inputs!$F$63+Inputs!$F$64,0)</f>
        <v/>
      </c>
      <c r="BG25" s="13">
        <f>IF(BG8=1,Inputs!$F$63+Inputs!$F$64,0)</f>
        <v/>
      </c>
      <c r="BH25" s="13">
        <f>IF(BH8=1,Inputs!$F$63+Inputs!$F$64,0)</f>
        <v/>
      </c>
      <c r="BI25" s="13">
        <f>IF(BI8=1,Inputs!$F$63+Inputs!$F$64,0)</f>
        <v/>
      </c>
      <c r="BJ25" s="13">
        <f>IF(BJ8=1,Inputs!$F$63+Inputs!$F$64,0)</f>
        <v/>
      </c>
    </row>
    <row r="26">
      <c r="D26" t="inlineStr">
        <is>
          <t>Lenders' advisors and legal</t>
        </is>
      </c>
      <c r="E26" t="inlineStr">
        <is>
          <t>USD m</t>
        </is>
      </c>
      <c r="G26" s="13">
        <f>SUM(J26:BJ26)</f>
        <v/>
      </c>
      <c r="J26" s="13">
        <f>Inputs!$F$65*Inputs!$F$36*(Inputs!$F$244*IF(J8=1,1,0)+(1-Inputs!$F$244)/(Time!$F$11-1)*IF(AND(J8&gt;1,J8&lt;=Time!$F$11),1,0))</f>
        <v/>
      </c>
      <c r="K26" s="13">
        <f>Inputs!$F$65*Inputs!$F$36*(Inputs!$F$244*IF(K8=1,1,0)+(1-Inputs!$F$244)/(Time!$F$11-1)*IF(AND(K8&gt;1,K8&lt;=Time!$F$11),1,0))</f>
        <v/>
      </c>
      <c r="L26" s="13">
        <f>Inputs!$F$65*Inputs!$F$36*(Inputs!$F$244*IF(L8=1,1,0)+(1-Inputs!$F$244)/(Time!$F$11-1)*IF(AND(L8&gt;1,L8&lt;=Time!$F$11),1,0))</f>
        <v/>
      </c>
      <c r="M26" s="13">
        <f>Inputs!$F$65*Inputs!$F$36*(Inputs!$F$244*IF(M8=1,1,0)+(1-Inputs!$F$244)/(Time!$F$11-1)*IF(AND(M8&gt;1,M8&lt;=Time!$F$11),1,0))</f>
        <v/>
      </c>
      <c r="N26" s="13">
        <f>Inputs!$F$65*Inputs!$F$36*(Inputs!$F$244*IF(N8=1,1,0)+(1-Inputs!$F$244)/(Time!$F$11-1)*IF(AND(N8&gt;1,N8&lt;=Time!$F$11),1,0))</f>
        <v/>
      </c>
      <c r="O26" s="13">
        <f>Inputs!$F$65*Inputs!$F$36*(Inputs!$F$244*IF(O8=1,1,0)+(1-Inputs!$F$244)/(Time!$F$11-1)*IF(AND(O8&gt;1,O8&lt;=Time!$F$11),1,0))</f>
        <v/>
      </c>
      <c r="P26" s="13">
        <f>Inputs!$F$65*Inputs!$F$36*(Inputs!$F$244*IF(P8=1,1,0)+(1-Inputs!$F$244)/(Time!$F$11-1)*IF(AND(P8&gt;1,P8&lt;=Time!$F$11),1,0))</f>
        <v/>
      </c>
      <c r="Q26" s="13">
        <f>Inputs!$F$65*Inputs!$F$36*(Inputs!$F$244*IF(Q8=1,1,0)+(1-Inputs!$F$244)/(Time!$F$11-1)*IF(AND(Q8&gt;1,Q8&lt;=Time!$F$11),1,0))</f>
        <v/>
      </c>
      <c r="R26" s="13">
        <f>Inputs!$F$65*Inputs!$F$36*(Inputs!$F$244*IF(R8=1,1,0)+(1-Inputs!$F$244)/(Time!$F$11-1)*IF(AND(R8&gt;1,R8&lt;=Time!$F$11),1,0))</f>
        <v/>
      </c>
      <c r="S26" s="13">
        <f>Inputs!$F$65*Inputs!$F$36*(Inputs!$F$244*IF(S8=1,1,0)+(1-Inputs!$F$244)/(Time!$F$11-1)*IF(AND(S8&gt;1,S8&lt;=Time!$F$11),1,0))</f>
        <v/>
      </c>
      <c r="T26" s="13">
        <f>Inputs!$F$65*Inputs!$F$36*(Inputs!$F$244*IF(T8=1,1,0)+(1-Inputs!$F$244)/(Time!$F$11-1)*IF(AND(T8&gt;1,T8&lt;=Time!$F$11),1,0))</f>
        <v/>
      </c>
      <c r="U26" s="13">
        <f>Inputs!$F$65*Inputs!$F$36*(Inputs!$F$244*IF(U8=1,1,0)+(1-Inputs!$F$244)/(Time!$F$11-1)*IF(AND(U8&gt;1,U8&lt;=Time!$F$11),1,0))</f>
        <v/>
      </c>
      <c r="V26" s="13">
        <f>Inputs!$F$65*Inputs!$F$36*(Inputs!$F$244*IF(V8=1,1,0)+(1-Inputs!$F$244)/(Time!$F$11-1)*IF(AND(V8&gt;1,V8&lt;=Time!$F$11),1,0))</f>
        <v/>
      </c>
      <c r="W26" s="13">
        <f>Inputs!$F$65*Inputs!$F$36*(Inputs!$F$244*IF(W8=1,1,0)+(1-Inputs!$F$244)/(Time!$F$11-1)*IF(AND(W8&gt;1,W8&lt;=Time!$F$11),1,0))</f>
        <v/>
      </c>
      <c r="X26" s="13">
        <f>Inputs!$F$65*Inputs!$F$36*(Inputs!$F$244*IF(X8=1,1,0)+(1-Inputs!$F$244)/(Time!$F$11-1)*IF(AND(X8&gt;1,X8&lt;=Time!$F$11),1,0))</f>
        <v/>
      </c>
      <c r="Y26" s="13">
        <f>Inputs!$F$65*Inputs!$F$36*(Inputs!$F$244*IF(Y8=1,1,0)+(1-Inputs!$F$244)/(Time!$F$11-1)*IF(AND(Y8&gt;1,Y8&lt;=Time!$F$11),1,0))</f>
        <v/>
      </c>
      <c r="Z26" s="13">
        <f>Inputs!$F$65*Inputs!$F$36*(Inputs!$F$244*IF(Z8=1,1,0)+(1-Inputs!$F$244)/(Time!$F$11-1)*IF(AND(Z8&gt;1,Z8&lt;=Time!$F$11),1,0))</f>
        <v/>
      </c>
      <c r="AA26" s="13">
        <f>Inputs!$F$65*Inputs!$F$36*(Inputs!$F$244*IF(AA8=1,1,0)+(1-Inputs!$F$244)/(Time!$F$11-1)*IF(AND(AA8&gt;1,AA8&lt;=Time!$F$11),1,0))</f>
        <v/>
      </c>
      <c r="AB26" s="13">
        <f>Inputs!$F$65*Inputs!$F$36*(Inputs!$F$244*IF(AB8=1,1,0)+(1-Inputs!$F$244)/(Time!$F$11-1)*IF(AND(AB8&gt;1,AB8&lt;=Time!$F$11),1,0))</f>
        <v/>
      </c>
      <c r="AC26" s="13">
        <f>Inputs!$F$65*Inputs!$F$36*(Inputs!$F$244*IF(AC8=1,1,0)+(1-Inputs!$F$244)/(Time!$F$11-1)*IF(AND(AC8&gt;1,AC8&lt;=Time!$F$11),1,0))</f>
        <v/>
      </c>
      <c r="AD26" s="13">
        <f>Inputs!$F$65*Inputs!$F$36*(Inputs!$F$244*IF(AD8=1,1,0)+(1-Inputs!$F$244)/(Time!$F$11-1)*IF(AND(AD8&gt;1,AD8&lt;=Time!$F$11),1,0))</f>
        <v/>
      </c>
      <c r="AE26" s="13">
        <f>Inputs!$F$65*Inputs!$F$36*(Inputs!$F$244*IF(AE8=1,1,0)+(1-Inputs!$F$244)/(Time!$F$11-1)*IF(AND(AE8&gt;1,AE8&lt;=Time!$F$11),1,0))</f>
        <v/>
      </c>
      <c r="AF26" s="13">
        <f>Inputs!$F$65*Inputs!$F$36*(Inputs!$F$244*IF(AF8=1,1,0)+(1-Inputs!$F$244)/(Time!$F$11-1)*IF(AND(AF8&gt;1,AF8&lt;=Time!$F$11),1,0))</f>
        <v/>
      </c>
      <c r="AG26" s="13">
        <f>Inputs!$F$65*Inputs!$F$36*(Inputs!$F$244*IF(AG8=1,1,0)+(1-Inputs!$F$244)/(Time!$F$11-1)*IF(AND(AG8&gt;1,AG8&lt;=Time!$F$11),1,0))</f>
        <v/>
      </c>
      <c r="AH26" s="13">
        <f>Inputs!$F$65*Inputs!$F$36*(Inputs!$F$244*IF(AH8=1,1,0)+(1-Inputs!$F$244)/(Time!$F$11-1)*IF(AND(AH8&gt;1,AH8&lt;=Time!$F$11),1,0))</f>
        <v/>
      </c>
      <c r="AI26" s="13">
        <f>Inputs!$F$65*Inputs!$F$36*(Inputs!$F$244*IF(AI8=1,1,0)+(1-Inputs!$F$244)/(Time!$F$11-1)*IF(AND(AI8&gt;1,AI8&lt;=Time!$F$11),1,0))</f>
        <v/>
      </c>
      <c r="AJ26" s="13">
        <f>Inputs!$F$65*Inputs!$F$36*(Inputs!$F$244*IF(AJ8=1,1,0)+(1-Inputs!$F$244)/(Time!$F$11-1)*IF(AND(AJ8&gt;1,AJ8&lt;=Time!$F$11),1,0))</f>
        <v/>
      </c>
      <c r="AK26" s="13">
        <f>Inputs!$F$65*Inputs!$F$36*(Inputs!$F$244*IF(AK8=1,1,0)+(1-Inputs!$F$244)/(Time!$F$11-1)*IF(AND(AK8&gt;1,AK8&lt;=Time!$F$11),1,0))</f>
        <v/>
      </c>
      <c r="AL26" s="13">
        <f>Inputs!$F$65*Inputs!$F$36*(Inputs!$F$244*IF(AL8=1,1,0)+(1-Inputs!$F$244)/(Time!$F$11-1)*IF(AND(AL8&gt;1,AL8&lt;=Time!$F$11),1,0))</f>
        <v/>
      </c>
      <c r="AM26" s="13">
        <f>Inputs!$F$65*Inputs!$F$36*(Inputs!$F$244*IF(AM8=1,1,0)+(1-Inputs!$F$244)/(Time!$F$11-1)*IF(AND(AM8&gt;1,AM8&lt;=Time!$F$11),1,0))</f>
        <v/>
      </c>
      <c r="AN26" s="13">
        <f>Inputs!$F$65*Inputs!$F$36*(Inputs!$F$244*IF(AN8=1,1,0)+(1-Inputs!$F$244)/(Time!$F$11-1)*IF(AND(AN8&gt;1,AN8&lt;=Time!$F$11),1,0))</f>
        <v/>
      </c>
      <c r="AO26" s="13">
        <f>Inputs!$F$65*Inputs!$F$36*(Inputs!$F$244*IF(AO8=1,1,0)+(1-Inputs!$F$244)/(Time!$F$11-1)*IF(AND(AO8&gt;1,AO8&lt;=Time!$F$11),1,0))</f>
        <v/>
      </c>
      <c r="AP26" s="13">
        <f>Inputs!$F$65*Inputs!$F$36*(Inputs!$F$244*IF(AP8=1,1,0)+(1-Inputs!$F$244)/(Time!$F$11-1)*IF(AND(AP8&gt;1,AP8&lt;=Time!$F$11),1,0))</f>
        <v/>
      </c>
      <c r="AQ26" s="13">
        <f>Inputs!$F$65*Inputs!$F$36*(Inputs!$F$244*IF(AQ8=1,1,0)+(1-Inputs!$F$244)/(Time!$F$11-1)*IF(AND(AQ8&gt;1,AQ8&lt;=Time!$F$11),1,0))</f>
        <v/>
      </c>
      <c r="AR26" s="13">
        <f>Inputs!$F$65*Inputs!$F$36*(Inputs!$F$244*IF(AR8=1,1,0)+(1-Inputs!$F$244)/(Time!$F$11-1)*IF(AND(AR8&gt;1,AR8&lt;=Time!$F$11),1,0))</f>
        <v/>
      </c>
      <c r="AS26" s="13">
        <f>Inputs!$F$65*Inputs!$F$36*(Inputs!$F$244*IF(AS8=1,1,0)+(1-Inputs!$F$244)/(Time!$F$11-1)*IF(AND(AS8&gt;1,AS8&lt;=Time!$F$11),1,0))</f>
        <v/>
      </c>
      <c r="AT26" s="13">
        <f>Inputs!$F$65*Inputs!$F$36*(Inputs!$F$244*IF(AT8=1,1,0)+(1-Inputs!$F$244)/(Time!$F$11-1)*IF(AND(AT8&gt;1,AT8&lt;=Time!$F$11),1,0))</f>
        <v/>
      </c>
      <c r="AU26" s="13">
        <f>Inputs!$F$65*Inputs!$F$36*(Inputs!$F$244*IF(AU8=1,1,0)+(1-Inputs!$F$244)/(Time!$F$11-1)*IF(AND(AU8&gt;1,AU8&lt;=Time!$F$11),1,0))</f>
        <v/>
      </c>
      <c r="AV26" s="13">
        <f>Inputs!$F$65*Inputs!$F$36*(Inputs!$F$244*IF(AV8=1,1,0)+(1-Inputs!$F$244)/(Time!$F$11-1)*IF(AND(AV8&gt;1,AV8&lt;=Time!$F$11),1,0))</f>
        <v/>
      </c>
      <c r="AW26" s="13">
        <f>Inputs!$F$65*Inputs!$F$36*(Inputs!$F$244*IF(AW8=1,1,0)+(1-Inputs!$F$244)/(Time!$F$11-1)*IF(AND(AW8&gt;1,AW8&lt;=Time!$F$11),1,0))</f>
        <v/>
      </c>
      <c r="AX26" s="13">
        <f>Inputs!$F$65*Inputs!$F$36*(Inputs!$F$244*IF(AX8=1,1,0)+(1-Inputs!$F$244)/(Time!$F$11-1)*IF(AND(AX8&gt;1,AX8&lt;=Time!$F$11),1,0))</f>
        <v/>
      </c>
      <c r="AY26" s="13">
        <f>Inputs!$F$65*Inputs!$F$36*(Inputs!$F$244*IF(AY8=1,1,0)+(1-Inputs!$F$244)/(Time!$F$11-1)*IF(AND(AY8&gt;1,AY8&lt;=Time!$F$11),1,0))</f>
        <v/>
      </c>
      <c r="AZ26" s="13">
        <f>Inputs!$F$65*Inputs!$F$36*(Inputs!$F$244*IF(AZ8=1,1,0)+(1-Inputs!$F$244)/(Time!$F$11-1)*IF(AND(AZ8&gt;1,AZ8&lt;=Time!$F$11),1,0))</f>
        <v/>
      </c>
      <c r="BA26" s="13">
        <f>Inputs!$F$65*Inputs!$F$36*(Inputs!$F$244*IF(BA8=1,1,0)+(1-Inputs!$F$244)/(Time!$F$11-1)*IF(AND(BA8&gt;1,BA8&lt;=Time!$F$11),1,0))</f>
        <v/>
      </c>
      <c r="BB26" s="13">
        <f>Inputs!$F$65*Inputs!$F$36*(Inputs!$F$244*IF(BB8=1,1,0)+(1-Inputs!$F$244)/(Time!$F$11-1)*IF(AND(BB8&gt;1,BB8&lt;=Time!$F$11),1,0))</f>
        <v/>
      </c>
      <c r="BC26" s="13">
        <f>Inputs!$F$65*Inputs!$F$36*(Inputs!$F$244*IF(BC8=1,1,0)+(1-Inputs!$F$244)/(Time!$F$11-1)*IF(AND(BC8&gt;1,BC8&lt;=Time!$F$11),1,0))</f>
        <v/>
      </c>
      <c r="BD26" s="13">
        <f>Inputs!$F$65*Inputs!$F$36*(Inputs!$F$244*IF(BD8=1,1,0)+(1-Inputs!$F$244)/(Time!$F$11-1)*IF(AND(BD8&gt;1,BD8&lt;=Time!$F$11),1,0))</f>
        <v/>
      </c>
      <c r="BE26" s="13">
        <f>Inputs!$F$65*Inputs!$F$36*(Inputs!$F$244*IF(BE8=1,1,0)+(1-Inputs!$F$244)/(Time!$F$11-1)*IF(AND(BE8&gt;1,BE8&lt;=Time!$F$11),1,0))</f>
        <v/>
      </c>
      <c r="BF26" s="13">
        <f>Inputs!$F$65*Inputs!$F$36*(Inputs!$F$244*IF(BF8=1,1,0)+(1-Inputs!$F$244)/(Time!$F$11-1)*IF(AND(BF8&gt;1,BF8&lt;=Time!$F$11),1,0))</f>
        <v/>
      </c>
      <c r="BG26" s="13">
        <f>Inputs!$F$65*Inputs!$F$36*(Inputs!$F$244*IF(BG8=1,1,0)+(1-Inputs!$F$244)/(Time!$F$11-1)*IF(AND(BG8&gt;1,BG8&lt;=Time!$F$11),1,0))</f>
        <v/>
      </c>
      <c r="BH26" s="13">
        <f>Inputs!$F$65*Inputs!$F$36*(Inputs!$F$244*IF(BH8=1,1,0)+(1-Inputs!$F$244)/(Time!$F$11-1)*IF(AND(BH8&gt;1,BH8&lt;=Time!$F$11),1,0))</f>
        <v/>
      </c>
      <c r="BI26" s="13">
        <f>Inputs!$F$65*Inputs!$F$36*(Inputs!$F$244*IF(BI8=1,1,0)+(1-Inputs!$F$244)/(Time!$F$11-1)*IF(AND(BI8&gt;1,BI8&lt;=Time!$F$11),1,0))</f>
        <v/>
      </c>
      <c r="BJ26" s="13">
        <f>Inputs!$F$65*Inputs!$F$36*(Inputs!$F$244*IF(BJ8=1,1,0)+(1-Inputs!$F$244)/(Time!$F$11-1)*IF(AND(BJ8&gt;1,BJ8&lt;=Time!$F$11),1,0))</f>
        <v/>
      </c>
    </row>
    <row r="27">
      <c r="D27" t="inlineStr">
        <is>
          <t>Contingency (FC: pro rata with EPC progress payments)</t>
        </is>
      </c>
      <c r="E27" t="inlineStr">
        <is>
          <t>USD m</t>
        </is>
      </c>
      <c r="G27" s="13">
        <f>SUM(J27:BJ27)</f>
        <v/>
      </c>
      <c r="J27" s="13">
        <f>IF(Inputs!$F$34=1,Inputs!$F$66*Inputs!$F$36*J21/SUM($J$21:$BJ$21),0)</f>
        <v/>
      </c>
      <c r="K27" s="13">
        <f>IF(Inputs!$F$34=1,Inputs!$F$66*Inputs!$F$36*K21/SUM($J$21:$BJ$21),0)</f>
        <v/>
      </c>
      <c r="L27" s="13">
        <f>IF(Inputs!$F$34=1,Inputs!$F$66*Inputs!$F$36*L21/SUM($J$21:$BJ$21),0)</f>
        <v/>
      </c>
      <c r="M27" s="13">
        <f>IF(Inputs!$F$34=1,Inputs!$F$66*Inputs!$F$36*M21/SUM($J$21:$BJ$21),0)</f>
        <v/>
      </c>
      <c r="N27" s="13">
        <f>IF(Inputs!$F$34=1,Inputs!$F$66*Inputs!$F$36*N21/SUM($J$21:$BJ$21),0)</f>
        <v/>
      </c>
      <c r="O27" s="13">
        <f>IF(Inputs!$F$34=1,Inputs!$F$66*Inputs!$F$36*O21/SUM($J$21:$BJ$21),0)</f>
        <v/>
      </c>
      <c r="P27" s="13">
        <f>IF(Inputs!$F$34=1,Inputs!$F$66*Inputs!$F$36*P21/SUM($J$21:$BJ$21),0)</f>
        <v/>
      </c>
      <c r="Q27" s="13">
        <f>IF(Inputs!$F$34=1,Inputs!$F$66*Inputs!$F$36*Q21/SUM($J$21:$BJ$21),0)</f>
        <v/>
      </c>
      <c r="R27" s="13">
        <f>IF(Inputs!$F$34=1,Inputs!$F$66*Inputs!$F$36*R21/SUM($J$21:$BJ$21),0)</f>
        <v/>
      </c>
      <c r="S27" s="13">
        <f>IF(Inputs!$F$34=1,Inputs!$F$66*Inputs!$F$36*S21/SUM($J$21:$BJ$21),0)</f>
        <v/>
      </c>
      <c r="T27" s="13">
        <f>IF(Inputs!$F$34=1,Inputs!$F$66*Inputs!$F$36*T21/SUM($J$21:$BJ$21),0)</f>
        <v/>
      </c>
      <c r="U27" s="13">
        <f>IF(Inputs!$F$34=1,Inputs!$F$66*Inputs!$F$36*U21/SUM($J$21:$BJ$21),0)</f>
        <v/>
      </c>
      <c r="V27" s="13">
        <f>IF(Inputs!$F$34=1,Inputs!$F$66*Inputs!$F$36*V21/SUM($J$21:$BJ$21),0)</f>
        <v/>
      </c>
      <c r="W27" s="13">
        <f>IF(Inputs!$F$34=1,Inputs!$F$66*Inputs!$F$36*W21/SUM($J$21:$BJ$21),0)</f>
        <v/>
      </c>
      <c r="X27" s="13">
        <f>IF(Inputs!$F$34=1,Inputs!$F$66*Inputs!$F$36*X21/SUM($J$21:$BJ$21),0)</f>
        <v/>
      </c>
      <c r="Y27" s="13">
        <f>IF(Inputs!$F$34=1,Inputs!$F$66*Inputs!$F$36*Y21/SUM($J$21:$BJ$21),0)</f>
        <v/>
      </c>
      <c r="Z27" s="13">
        <f>IF(Inputs!$F$34=1,Inputs!$F$66*Inputs!$F$36*Z21/SUM($J$21:$BJ$21),0)</f>
        <v/>
      </c>
      <c r="AA27" s="13">
        <f>IF(Inputs!$F$34=1,Inputs!$F$66*Inputs!$F$36*AA21/SUM($J$21:$BJ$21),0)</f>
        <v/>
      </c>
      <c r="AB27" s="13">
        <f>IF(Inputs!$F$34=1,Inputs!$F$66*Inputs!$F$36*AB21/SUM($J$21:$BJ$21),0)</f>
        <v/>
      </c>
      <c r="AC27" s="13">
        <f>IF(Inputs!$F$34=1,Inputs!$F$66*Inputs!$F$36*AC21/SUM($J$21:$BJ$21),0)</f>
        <v/>
      </c>
      <c r="AD27" s="13">
        <f>IF(Inputs!$F$34=1,Inputs!$F$66*Inputs!$F$36*AD21/SUM($J$21:$BJ$21),0)</f>
        <v/>
      </c>
      <c r="AE27" s="13">
        <f>IF(Inputs!$F$34=1,Inputs!$F$66*Inputs!$F$36*AE21/SUM($J$21:$BJ$21),0)</f>
        <v/>
      </c>
      <c r="AF27" s="13">
        <f>IF(Inputs!$F$34=1,Inputs!$F$66*Inputs!$F$36*AF21/SUM($J$21:$BJ$21),0)</f>
        <v/>
      </c>
      <c r="AG27" s="13">
        <f>IF(Inputs!$F$34=1,Inputs!$F$66*Inputs!$F$36*AG21/SUM($J$21:$BJ$21),0)</f>
        <v/>
      </c>
      <c r="AH27" s="13">
        <f>IF(Inputs!$F$34=1,Inputs!$F$66*Inputs!$F$36*AH21/SUM($J$21:$BJ$21),0)</f>
        <v/>
      </c>
      <c r="AI27" s="13">
        <f>IF(Inputs!$F$34=1,Inputs!$F$66*Inputs!$F$36*AI21/SUM($J$21:$BJ$21),0)</f>
        <v/>
      </c>
      <c r="AJ27" s="13">
        <f>IF(Inputs!$F$34=1,Inputs!$F$66*Inputs!$F$36*AJ21/SUM($J$21:$BJ$21),0)</f>
        <v/>
      </c>
      <c r="AK27" s="13">
        <f>IF(Inputs!$F$34=1,Inputs!$F$66*Inputs!$F$36*AK21/SUM($J$21:$BJ$21),0)</f>
        <v/>
      </c>
      <c r="AL27" s="13">
        <f>IF(Inputs!$F$34=1,Inputs!$F$66*Inputs!$F$36*AL21/SUM($J$21:$BJ$21),0)</f>
        <v/>
      </c>
      <c r="AM27" s="13">
        <f>IF(Inputs!$F$34=1,Inputs!$F$66*Inputs!$F$36*AM21/SUM($J$21:$BJ$21),0)</f>
        <v/>
      </c>
      <c r="AN27" s="13">
        <f>IF(Inputs!$F$34=1,Inputs!$F$66*Inputs!$F$36*AN21/SUM($J$21:$BJ$21),0)</f>
        <v/>
      </c>
      <c r="AO27" s="13">
        <f>IF(Inputs!$F$34=1,Inputs!$F$66*Inputs!$F$36*AO21/SUM($J$21:$BJ$21),0)</f>
        <v/>
      </c>
      <c r="AP27" s="13">
        <f>IF(Inputs!$F$34=1,Inputs!$F$66*Inputs!$F$36*AP21/SUM($J$21:$BJ$21),0)</f>
        <v/>
      </c>
      <c r="AQ27" s="13">
        <f>IF(Inputs!$F$34=1,Inputs!$F$66*Inputs!$F$36*AQ21/SUM($J$21:$BJ$21),0)</f>
        <v/>
      </c>
      <c r="AR27" s="13">
        <f>IF(Inputs!$F$34=1,Inputs!$F$66*Inputs!$F$36*AR21/SUM($J$21:$BJ$21),0)</f>
        <v/>
      </c>
      <c r="AS27" s="13">
        <f>IF(Inputs!$F$34=1,Inputs!$F$66*Inputs!$F$36*AS21/SUM($J$21:$BJ$21),0)</f>
        <v/>
      </c>
      <c r="AT27" s="13">
        <f>IF(Inputs!$F$34=1,Inputs!$F$66*Inputs!$F$36*AT21/SUM($J$21:$BJ$21),0)</f>
        <v/>
      </c>
      <c r="AU27" s="13">
        <f>IF(Inputs!$F$34=1,Inputs!$F$66*Inputs!$F$36*AU21/SUM($J$21:$BJ$21),0)</f>
        <v/>
      </c>
      <c r="AV27" s="13">
        <f>IF(Inputs!$F$34=1,Inputs!$F$66*Inputs!$F$36*AV21/SUM($J$21:$BJ$21),0)</f>
        <v/>
      </c>
      <c r="AW27" s="13">
        <f>IF(Inputs!$F$34=1,Inputs!$F$66*Inputs!$F$36*AW21/SUM($J$21:$BJ$21),0)</f>
        <v/>
      </c>
      <c r="AX27" s="13">
        <f>IF(Inputs!$F$34=1,Inputs!$F$66*Inputs!$F$36*AX21/SUM($J$21:$BJ$21),0)</f>
        <v/>
      </c>
      <c r="AY27" s="13">
        <f>IF(Inputs!$F$34=1,Inputs!$F$66*Inputs!$F$36*AY21/SUM($J$21:$BJ$21),0)</f>
        <v/>
      </c>
      <c r="AZ27" s="13">
        <f>IF(Inputs!$F$34=1,Inputs!$F$66*Inputs!$F$36*AZ21/SUM($J$21:$BJ$21),0)</f>
        <v/>
      </c>
      <c r="BA27" s="13">
        <f>IF(Inputs!$F$34=1,Inputs!$F$66*Inputs!$F$36*BA21/SUM($J$21:$BJ$21),0)</f>
        <v/>
      </c>
      <c r="BB27" s="13">
        <f>IF(Inputs!$F$34=1,Inputs!$F$66*Inputs!$F$36*BB21/SUM($J$21:$BJ$21),0)</f>
        <v/>
      </c>
      <c r="BC27" s="13">
        <f>IF(Inputs!$F$34=1,Inputs!$F$66*Inputs!$F$36*BC21/SUM($J$21:$BJ$21),0)</f>
        <v/>
      </c>
      <c r="BD27" s="13">
        <f>IF(Inputs!$F$34=1,Inputs!$F$66*Inputs!$F$36*BD21/SUM($J$21:$BJ$21),0)</f>
        <v/>
      </c>
      <c r="BE27" s="13">
        <f>IF(Inputs!$F$34=1,Inputs!$F$66*Inputs!$F$36*BE21/SUM($J$21:$BJ$21),0)</f>
        <v/>
      </c>
      <c r="BF27" s="13">
        <f>IF(Inputs!$F$34=1,Inputs!$F$66*Inputs!$F$36*BF21/SUM($J$21:$BJ$21),0)</f>
        <v/>
      </c>
      <c r="BG27" s="13">
        <f>IF(Inputs!$F$34=1,Inputs!$F$66*Inputs!$F$36*BG21/SUM($J$21:$BJ$21),0)</f>
        <v/>
      </c>
      <c r="BH27" s="13">
        <f>IF(Inputs!$F$34=1,Inputs!$F$66*Inputs!$F$36*BH21/SUM($J$21:$BJ$21),0)</f>
        <v/>
      </c>
      <c r="BI27" s="13">
        <f>IF(Inputs!$F$34=1,Inputs!$F$66*Inputs!$F$36*BI21/SUM($J$21:$BJ$21),0)</f>
        <v/>
      </c>
      <c r="BJ27" s="13">
        <f>IF(Inputs!$F$34=1,Inputs!$F$66*Inputs!$F$36*BJ21/SUM($J$21:$BJ$21),0)</f>
        <v/>
      </c>
    </row>
    <row r="28">
      <c r="D28" t="inlineStr">
        <is>
          <t>Initial working capital</t>
        </is>
      </c>
      <c r="E28" t="inlineStr">
        <is>
          <t>USD m</t>
        </is>
      </c>
      <c r="G28" s="13">
        <f>SUM(J28:BJ28)</f>
        <v/>
      </c>
      <c r="J28" s="13">
        <f>IF(J8=Time!$F$11,Inputs!$F$67*Inputs!$F$36,0)</f>
        <v/>
      </c>
      <c r="K28" s="13">
        <f>IF(K8=Time!$F$11,Inputs!$F$67*Inputs!$F$36,0)</f>
        <v/>
      </c>
      <c r="L28" s="13">
        <f>IF(L8=Time!$F$11,Inputs!$F$67*Inputs!$F$36,0)</f>
        <v/>
      </c>
      <c r="M28" s="13">
        <f>IF(M8=Time!$F$11,Inputs!$F$67*Inputs!$F$36,0)</f>
        <v/>
      </c>
      <c r="N28" s="13">
        <f>IF(N8=Time!$F$11,Inputs!$F$67*Inputs!$F$36,0)</f>
        <v/>
      </c>
      <c r="O28" s="13">
        <f>IF(O8=Time!$F$11,Inputs!$F$67*Inputs!$F$36,0)</f>
        <v/>
      </c>
      <c r="P28" s="13">
        <f>IF(P8=Time!$F$11,Inputs!$F$67*Inputs!$F$36,0)</f>
        <v/>
      </c>
      <c r="Q28" s="13">
        <f>IF(Q8=Time!$F$11,Inputs!$F$67*Inputs!$F$36,0)</f>
        <v/>
      </c>
      <c r="R28" s="13">
        <f>IF(R8=Time!$F$11,Inputs!$F$67*Inputs!$F$36,0)</f>
        <v/>
      </c>
      <c r="S28" s="13">
        <f>IF(S8=Time!$F$11,Inputs!$F$67*Inputs!$F$36,0)</f>
        <v/>
      </c>
      <c r="T28" s="13">
        <f>IF(T8=Time!$F$11,Inputs!$F$67*Inputs!$F$36,0)</f>
        <v/>
      </c>
      <c r="U28" s="13">
        <f>IF(U8=Time!$F$11,Inputs!$F$67*Inputs!$F$36,0)</f>
        <v/>
      </c>
      <c r="V28" s="13">
        <f>IF(V8=Time!$F$11,Inputs!$F$67*Inputs!$F$36,0)</f>
        <v/>
      </c>
      <c r="W28" s="13">
        <f>IF(W8=Time!$F$11,Inputs!$F$67*Inputs!$F$36,0)</f>
        <v/>
      </c>
      <c r="X28" s="13">
        <f>IF(X8=Time!$F$11,Inputs!$F$67*Inputs!$F$36,0)</f>
        <v/>
      </c>
      <c r="Y28" s="13">
        <f>IF(Y8=Time!$F$11,Inputs!$F$67*Inputs!$F$36,0)</f>
        <v/>
      </c>
      <c r="Z28" s="13">
        <f>IF(Z8=Time!$F$11,Inputs!$F$67*Inputs!$F$36,0)</f>
        <v/>
      </c>
      <c r="AA28" s="13">
        <f>IF(AA8=Time!$F$11,Inputs!$F$67*Inputs!$F$36,0)</f>
        <v/>
      </c>
      <c r="AB28" s="13">
        <f>IF(AB8=Time!$F$11,Inputs!$F$67*Inputs!$F$36,0)</f>
        <v/>
      </c>
      <c r="AC28" s="13">
        <f>IF(AC8=Time!$F$11,Inputs!$F$67*Inputs!$F$36,0)</f>
        <v/>
      </c>
      <c r="AD28" s="13">
        <f>IF(AD8=Time!$F$11,Inputs!$F$67*Inputs!$F$36,0)</f>
        <v/>
      </c>
      <c r="AE28" s="13">
        <f>IF(AE8=Time!$F$11,Inputs!$F$67*Inputs!$F$36,0)</f>
        <v/>
      </c>
      <c r="AF28" s="13">
        <f>IF(AF8=Time!$F$11,Inputs!$F$67*Inputs!$F$36,0)</f>
        <v/>
      </c>
      <c r="AG28" s="13">
        <f>IF(AG8=Time!$F$11,Inputs!$F$67*Inputs!$F$36,0)</f>
        <v/>
      </c>
      <c r="AH28" s="13">
        <f>IF(AH8=Time!$F$11,Inputs!$F$67*Inputs!$F$36,0)</f>
        <v/>
      </c>
      <c r="AI28" s="13">
        <f>IF(AI8=Time!$F$11,Inputs!$F$67*Inputs!$F$36,0)</f>
        <v/>
      </c>
      <c r="AJ28" s="13">
        <f>IF(AJ8=Time!$F$11,Inputs!$F$67*Inputs!$F$36,0)</f>
        <v/>
      </c>
      <c r="AK28" s="13">
        <f>IF(AK8=Time!$F$11,Inputs!$F$67*Inputs!$F$36,0)</f>
        <v/>
      </c>
      <c r="AL28" s="13">
        <f>IF(AL8=Time!$F$11,Inputs!$F$67*Inputs!$F$36,0)</f>
        <v/>
      </c>
      <c r="AM28" s="13">
        <f>IF(AM8=Time!$F$11,Inputs!$F$67*Inputs!$F$36,0)</f>
        <v/>
      </c>
      <c r="AN28" s="13">
        <f>IF(AN8=Time!$F$11,Inputs!$F$67*Inputs!$F$36,0)</f>
        <v/>
      </c>
      <c r="AO28" s="13">
        <f>IF(AO8=Time!$F$11,Inputs!$F$67*Inputs!$F$36,0)</f>
        <v/>
      </c>
      <c r="AP28" s="13">
        <f>IF(AP8=Time!$F$11,Inputs!$F$67*Inputs!$F$36,0)</f>
        <v/>
      </c>
      <c r="AQ28" s="13">
        <f>IF(AQ8=Time!$F$11,Inputs!$F$67*Inputs!$F$36,0)</f>
        <v/>
      </c>
      <c r="AR28" s="13">
        <f>IF(AR8=Time!$F$11,Inputs!$F$67*Inputs!$F$36,0)</f>
        <v/>
      </c>
      <c r="AS28" s="13">
        <f>IF(AS8=Time!$F$11,Inputs!$F$67*Inputs!$F$36,0)</f>
        <v/>
      </c>
      <c r="AT28" s="13">
        <f>IF(AT8=Time!$F$11,Inputs!$F$67*Inputs!$F$36,0)</f>
        <v/>
      </c>
      <c r="AU28" s="13">
        <f>IF(AU8=Time!$F$11,Inputs!$F$67*Inputs!$F$36,0)</f>
        <v/>
      </c>
      <c r="AV28" s="13">
        <f>IF(AV8=Time!$F$11,Inputs!$F$67*Inputs!$F$36,0)</f>
        <v/>
      </c>
      <c r="AW28" s="13">
        <f>IF(AW8=Time!$F$11,Inputs!$F$67*Inputs!$F$36,0)</f>
        <v/>
      </c>
      <c r="AX28" s="13">
        <f>IF(AX8=Time!$F$11,Inputs!$F$67*Inputs!$F$36,0)</f>
        <v/>
      </c>
      <c r="AY28" s="13">
        <f>IF(AY8=Time!$F$11,Inputs!$F$67*Inputs!$F$36,0)</f>
        <v/>
      </c>
      <c r="AZ28" s="13">
        <f>IF(AZ8=Time!$F$11,Inputs!$F$67*Inputs!$F$36,0)</f>
        <v/>
      </c>
      <c r="BA28" s="13">
        <f>IF(BA8=Time!$F$11,Inputs!$F$67*Inputs!$F$36,0)</f>
        <v/>
      </c>
      <c r="BB28" s="13">
        <f>IF(BB8=Time!$F$11,Inputs!$F$67*Inputs!$F$36,0)</f>
        <v/>
      </c>
      <c r="BC28" s="13">
        <f>IF(BC8=Time!$F$11,Inputs!$F$67*Inputs!$F$36,0)</f>
        <v/>
      </c>
      <c r="BD28" s="13">
        <f>IF(BD8=Time!$F$11,Inputs!$F$67*Inputs!$F$36,0)</f>
        <v/>
      </c>
      <c r="BE28" s="13">
        <f>IF(BE8=Time!$F$11,Inputs!$F$67*Inputs!$F$36,0)</f>
        <v/>
      </c>
      <c r="BF28" s="13">
        <f>IF(BF8=Time!$F$11,Inputs!$F$67*Inputs!$F$36,0)</f>
        <v/>
      </c>
      <c r="BG28" s="13">
        <f>IF(BG8=Time!$F$11,Inputs!$F$67*Inputs!$F$36,0)</f>
        <v/>
      </c>
      <c r="BH28" s="13">
        <f>IF(BH8=Time!$F$11,Inputs!$F$67*Inputs!$F$36,0)</f>
        <v/>
      </c>
      <c r="BI28" s="13">
        <f>IF(BI8=Time!$F$11,Inputs!$F$67*Inputs!$F$36,0)</f>
        <v/>
      </c>
      <c r="BJ28" s="13">
        <f>IF(BJ8=Time!$F$11,Inputs!$F$67*Inputs!$F$36,0)</f>
        <v/>
      </c>
    </row>
    <row r="29">
      <c r="D29" t="inlineStr">
        <is>
          <t>Overrun items (actual)</t>
        </is>
      </c>
      <c r="E29" t="inlineStr">
        <is>
          <t>USD m</t>
        </is>
      </c>
      <c r="G29" s="13">
        <f>SUM(J29:BJ29)</f>
        <v/>
      </c>
      <c r="J29" s="13">
        <f>IF(Inputs!$F$34&lt;&gt;1,Inputs!J308,0)</f>
        <v/>
      </c>
      <c r="K29" s="13">
        <f>IF(Inputs!$F$34&lt;&gt;1,Inputs!K308,0)</f>
        <v/>
      </c>
      <c r="L29" s="13">
        <f>IF(Inputs!$F$34&lt;&gt;1,Inputs!L308,0)</f>
        <v/>
      </c>
      <c r="M29" s="13">
        <f>IF(Inputs!$F$34&lt;&gt;1,Inputs!M308,0)</f>
        <v/>
      </c>
      <c r="N29" s="13">
        <f>IF(Inputs!$F$34&lt;&gt;1,Inputs!N308,0)</f>
        <v/>
      </c>
      <c r="O29" s="13">
        <f>IF(Inputs!$F$34&lt;&gt;1,Inputs!O308,0)</f>
        <v/>
      </c>
      <c r="P29" s="13">
        <f>IF(Inputs!$F$34&lt;&gt;1,Inputs!P308,0)</f>
        <v/>
      </c>
      <c r="Q29" s="13">
        <f>IF(Inputs!$F$34&lt;&gt;1,Inputs!Q308,0)</f>
        <v/>
      </c>
      <c r="R29" s="13">
        <f>IF(Inputs!$F$34&lt;&gt;1,Inputs!R308,0)</f>
        <v/>
      </c>
      <c r="S29" s="13">
        <f>IF(Inputs!$F$34&lt;&gt;1,Inputs!S308,0)</f>
        <v/>
      </c>
      <c r="T29" s="13">
        <f>IF(Inputs!$F$34&lt;&gt;1,Inputs!T308,0)</f>
        <v/>
      </c>
      <c r="U29" s="13">
        <f>IF(Inputs!$F$34&lt;&gt;1,Inputs!U308,0)</f>
        <v/>
      </c>
      <c r="V29" s="13">
        <f>IF(Inputs!$F$34&lt;&gt;1,Inputs!V308,0)</f>
        <v/>
      </c>
      <c r="W29" s="13">
        <f>IF(Inputs!$F$34&lt;&gt;1,Inputs!W308,0)</f>
        <v/>
      </c>
      <c r="X29" s="13">
        <f>IF(Inputs!$F$34&lt;&gt;1,Inputs!X308,0)</f>
        <v/>
      </c>
      <c r="Y29" s="13">
        <f>IF(Inputs!$F$34&lt;&gt;1,Inputs!Y308,0)</f>
        <v/>
      </c>
      <c r="Z29" s="13">
        <f>IF(Inputs!$F$34&lt;&gt;1,Inputs!Z308,0)</f>
        <v/>
      </c>
      <c r="AA29" s="13">
        <f>IF(Inputs!$F$34&lt;&gt;1,Inputs!AA308,0)</f>
        <v/>
      </c>
      <c r="AB29" s="13">
        <f>IF(Inputs!$F$34&lt;&gt;1,Inputs!AB308,0)</f>
        <v/>
      </c>
      <c r="AC29" s="13">
        <f>IF(Inputs!$F$34&lt;&gt;1,Inputs!AC308,0)</f>
        <v/>
      </c>
      <c r="AD29" s="13">
        <f>IF(Inputs!$F$34&lt;&gt;1,Inputs!AD308,0)</f>
        <v/>
      </c>
      <c r="AE29" s="13">
        <f>IF(Inputs!$F$34&lt;&gt;1,Inputs!AE308,0)</f>
        <v/>
      </c>
      <c r="AF29" s="13">
        <f>IF(Inputs!$F$34&lt;&gt;1,Inputs!AF308,0)</f>
        <v/>
      </c>
      <c r="AG29" s="13">
        <f>IF(Inputs!$F$34&lt;&gt;1,Inputs!AG308,0)</f>
        <v/>
      </c>
      <c r="AH29" s="13">
        <f>IF(Inputs!$F$34&lt;&gt;1,Inputs!AH308,0)</f>
        <v/>
      </c>
      <c r="AI29" s="13">
        <f>IF(Inputs!$F$34&lt;&gt;1,Inputs!AI308,0)</f>
        <v/>
      </c>
      <c r="AJ29" s="13">
        <f>IF(Inputs!$F$34&lt;&gt;1,Inputs!AJ308,0)</f>
        <v/>
      </c>
      <c r="AK29" s="13">
        <f>IF(Inputs!$F$34&lt;&gt;1,Inputs!AK308,0)</f>
        <v/>
      </c>
      <c r="AL29" s="13">
        <f>IF(Inputs!$F$34&lt;&gt;1,Inputs!AL308,0)</f>
        <v/>
      </c>
      <c r="AM29" s="13">
        <f>IF(Inputs!$F$34&lt;&gt;1,Inputs!AM308,0)</f>
        <v/>
      </c>
      <c r="AN29" s="13">
        <f>IF(Inputs!$F$34&lt;&gt;1,Inputs!AN308,0)</f>
        <v/>
      </c>
      <c r="AO29" s="13">
        <f>IF(Inputs!$F$34&lt;&gt;1,Inputs!AO308,0)</f>
        <v/>
      </c>
      <c r="AP29" s="13">
        <f>IF(Inputs!$F$34&lt;&gt;1,Inputs!AP308,0)</f>
        <v/>
      </c>
      <c r="AQ29" s="13">
        <f>IF(Inputs!$F$34&lt;&gt;1,Inputs!AQ308,0)</f>
        <v/>
      </c>
      <c r="AR29" s="13">
        <f>IF(Inputs!$F$34&lt;&gt;1,Inputs!AR308,0)</f>
        <v/>
      </c>
      <c r="AS29" s="13">
        <f>IF(Inputs!$F$34&lt;&gt;1,Inputs!AS308,0)</f>
        <v/>
      </c>
      <c r="AT29" s="13">
        <f>IF(Inputs!$F$34&lt;&gt;1,Inputs!AT308,0)</f>
        <v/>
      </c>
      <c r="AU29" s="13">
        <f>IF(Inputs!$F$34&lt;&gt;1,Inputs!AU308,0)</f>
        <v/>
      </c>
      <c r="AV29" s="13">
        <f>IF(Inputs!$F$34&lt;&gt;1,Inputs!AV308,0)</f>
        <v/>
      </c>
      <c r="AW29" s="13">
        <f>IF(Inputs!$F$34&lt;&gt;1,Inputs!AW308,0)</f>
        <v/>
      </c>
      <c r="AX29" s="13">
        <f>IF(Inputs!$F$34&lt;&gt;1,Inputs!AX308,0)</f>
        <v/>
      </c>
      <c r="AY29" s="13">
        <f>IF(Inputs!$F$34&lt;&gt;1,Inputs!AY308,0)</f>
        <v/>
      </c>
      <c r="AZ29" s="13">
        <f>IF(Inputs!$F$34&lt;&gt;1,Inputs!AZ308,0)</f>
        <v/>
      </c>
      <c r="BA29" s="13">
        <f>IF(Inputs!$F$34&lt;&gt;1,Inputs!BA308,0)</f>
        <v/>
      </c>
      <c r="BB29" s="13">
        <f>IF(Inputs!$F$34&lt;&gt;1,Inputs!BB308,0)</f>
        <v/>
      </c>
      <c r="BC29" s="13">
        <f>IF(Inputs!$F$34&lt;&gt;1,Inputs!BC308,0)</f>
        <v/>
      </c>
      <c r="BD29" s="13">
        <f>IF(Inputs!$F$34&lt;&gt;1,Inputs!BD308,0)</f>
        <v/>
      </c>
      <c r="BE29" s="13">
        <f>IF(Inputs!$F$34&lt;&gt;1,Inputs!BE308,0)</f>
        <v/>
      </c>
      <c r="BF29" s="13">
        <f>IF(Inputs!$F$34&lt;&gt;1,Inputs!BF308,0)</f>
        <v/>
      </c>
      <c r="BG29" s="13">
        <f>IF(Inputs!$F$34&lt;&gt;1,Inputs!BG308,0)</f>
        <v/>
      </c>
      <c r="BH29" s="13">
        <f>IF(Inputs!$F$34&lt;&gt;1,Inputs!BH308,0)</f>
        <v/>
      </c>
      <c r="BI29" s="13">
        <f>IF(Inputs!$F$34&lt;&gt;1,Inputs!BI308,0)</f>
        <v/>
      </c>
      <c r="BJ29" s="13">
        <f>IF(Inputs!$F$34&lt;&gt;1,Inputs!BJ308,0)</f>
        <v/>
      </c>
    </row>
    <row r="30">
      <c r="D30" t="inlineStr">
        <is>
          <t>KCR forward rate traded at financial close (covered interest parity)</t>
        </is>
      </c>
      <c r="E30" t="inlineStr">
        <is>
          <t>KCR/USD</t>
        </is>
      </c>
      <c r="J30" s="13">
        <f>Inputs!$F$60*((1+Inputs!$F$73/100)/(1+INDEX(Inputs!$J$291:$BN$291,1,J12)/100))^((J10-Inputs!$F$187)/Inputs!$F$248)</f>
        <v/>
      </c>
      <c r="K30" s="13">
        <f>Inputs!$F$60*((1+Inputs!$F$73/100)/(1+INDEX(Inputs!$J$291:$BN$291,1,K12)/100))^((K10-Inputs!$F$187)/Inputs!$F$248)</f>
        <v/>
      </c>
      <c r="L30" s="13">
        <f>Inputs!$F$60*((1+Inputs!$F$73/100)/(1+INDEX(Inputs!$J$291:$BN$291,1,L12)/100))^((L10-Inputs!$F$187)/Inputs!$F$248)</f>
        <v/>
      </c>
      <c r="M30" s="13">
        <f>Inputs!$F$60*((1+Inputs!$F$73/100)/(1+INDEX(Inputs!$J$291:$BN$291,1,M12)/100))^((M10-Inputs!$F$187)/Inputs!$F$248)</f>
        <v/>
      </c>
      <c r="N30" s="13">
        <f>Inputs!$F$60*((1+Inputs!$F$73/100)/(1+INDEX(Inputs!$J$291:$BN$291,1,N12)/100))^((N10-Inputs!$F$187)/Inputs!$F$248)</f>
        <v/>
      </c>
      <c r="O30" s="13">
        <f>Inputs!$F$60*((1+Inputs!$F$73/100)/(1+INDEX(Inputs!$J$291:$BN$291,1,O12)/100))^((O10-Inputs!$F$187)/Inputs!$F$248)</f>
        <v/>
      </c>
      <c r="P30" s="13">
        <f>Inputs!$F$60*((1+Inputs!$F$73/100)/(1+INDEX(Inputs!$J$291:$BN$291,1,P12)/100))^((P10-Inputs!$F$187)/Inputs!$F$248)</f>
        <v/>
      </c>
      <c r="Q30" s="13">
        <f>Inputs!$F$60*((1+Inputs!$F$73/100)/(1+INDEX(Inputs!$J$291:$BN$291,1,Q12)/100))^((Q10-Inputs!$F$187)/Inputs!$F$248)</f>
        <v/>
      </c>
      <c r="R30" s="13">
        <f>Inputs!$F$60*((1+Inputs!$F$73/100)/(1+INDEX(Inputs!$J$291:$BN$291,1,R12)/100))^((R10-Inputs!$F$187)/Inputs!$F$248)</f>
        <v/>
      </c>
      <c r="S30" s="13">
        <f>Inputs!$F$60*((1+Inputs!$F$73/100)/(1+INDEX(Inputs!$J$291:$BN$291,1,S12)/100))^((S10-Inputs!$F$187)/Inputs!$F$248)</f>
        <v/>
      </c>
      <c r="T30" s="13">
        <f>Inputs!$F$60*((1+Inputs!$F$73/100)/(1+INDEX(Inputs!$J$291:$BN$291,1,T12)/100))^((T10-Inputs!$F$187)/Inputs!$F$248)</f>
        <v/>
      </c>
      <c r="U30" s="13">
        <f>Inputs!$F$60*((1+Inputs!$F$73/100)/(1+INDEX(Inputs!$J$291:$BN$291,1,U12)/100))^((U10-Inputs!$F$187)/Inputs!$F$248)</f>
        <v/>
      </c>
      <c r="V30" s="13">
        <f>Inputs!$F$60*((1+Inputs!$F$73/100)/(1+INDEX(Inputs!$J$291:$BN$291,1,V12)/100))^((V10-Inputs!$F$187)/Inputs!$F$248)</f>
        <v/>
      </c>
      <c r="W30" s="13">
        <f>Inputs!$F$60*((1+Inputs!$F$73/100)/(1+INDEX(Inputs!$J$291:$BN$291,1,W12)/100))^((W10-Inputs!$F$187)/Inputs!$F$248)</f>
        <v/>
      </c>
      <c r="X30" s="13">
        <f>Inputs!$F$60*((1+Inputs!$F$73/100)/(1+INDEX(Inputs!$J$291:$BN$291,1,X12)/100))^((X10-Inputs!$F$187)/Inputs!$F$248)</f>
        <v/>
      </c>
      <c r="Y30" s="13">
        <f>Inputs!$F$60*((1+Inputs!$F$73/100)/(1+INDEX(Inputs!$J$291:$BN$291,1,Y12)/100))^((Y10-Inputs!$F$187)/Inputs!$F$248)</f>
        <v/>
      </c>
      <c r="Z30" s="13">
        <f>Inputs!$F$60*((1+Inputs!$F$73/100)/(1+INDEX(Inputs!$J$291:$BN$291,1,Z12)/100))^((Z10-Inputs!$F$187)/Inputs!$F$248)</f>
        <v/>
      </c>
      <c r="AA30" s="13">
        <f>Inputs!$F$60*((1+Inputs!$F$73/100)/(1+INDEX(Inputs!$J$291:$BN$291,1,AA12)/100))^((AA10-Inputs!$F$187)/Inputs!$F$248)</f>
        <v/>
      </c>
      <c r="AB30" s="13">
        <f>Inputs!$F$60*((1+Inputs!$F$73/100)/(1+INDEX(Inputs!$J$291:$BN$291,1,AB12)/100))^((AB10-Inputs!$F$187)/Inputs!$F$248)</f>
        <v/>
      </c>
      <c r="AC30" s="13">
        <f>Inputs!$F$60*((1+Inputs!$F$73/100)/(1+INDEX(Inputs!$J$291:$BN$291,1,AC12)/100))^((AC10-Inputs!$F$187)/Inputs!$F$248)</f>
        <v/>
      </c>
      <c r="AD30" s="13">
        <f>Inputs!$F$60*((1+Inputs!$F$73/100)/(1+INDEX(Inputs!$J$291:$BN$291,1,AD12)/100))^((AD10-Inputs!$F$187)/Inputs!$F$248)</f>
        <v/>
      </c>
      <c r="AE30" s="13">
        <f>Inputs!$F$60*((1+Inputs!$F$73/100)/(1+INDEX(Inputs!$J$291:$BN$291,1,AE12)/100))^((AE10-Inputs!$F$187)/Inputs!$F$248)</f>
        <v/>
      </c>
      <c r="AF30" s="13">
        <f>Inputs!$F$60*((1+Inputs!$F$73/100)/(1+INDEX(Inputs!$J$291:$BN$291,1,AF12)/100))^((AF10-Inputs!$F$187)/Inputs!$F$248)</f>
        <v/>
      </c>
      <c r="AG30" s="13">
        <f>Inputs!$F$60*((1+Inputs!$F$73/100)/(1+INDEX(Inputs!$J$291:$BN$291,1,AG12)/100))^((AG10-Inputs!$F$187)/Inputs!$F$248)</f>
        <v/>
      </c>
      <c r="AH30" s="13">
        <f>Inputs!$F$60*((1+Inputs!$F$73/100)/(1+INDEX(Inputs!$J$291:$BN$291,1,AH12)/100))^((AH10-Inputs!$F$187)/Inputs!$F$248)</f>
        <v/>
      </c>
      <c r="AI30" s="13">
        <f>Inputs!$F$60*((1+Inputs!$F$73/100)/(1+INDEX(Inputs!$J$291:$BN$291,1,AI12)/100))^((AI10-Inputs!$F$187)/Inputs!$F$248)</f>
        <v/>
      </c>
      <c r="AJ30" s="13">
        <f>Inputs!$F$60*((1+Inputs!$F$73/100)/(1+INDEX(Inputs!$J$291:$BN$291,1,AJ12)/100))^((AJ10-Inputs!$F$187)/Inputs!$F$248)</f>
        <v/>
      </c>
      <c r="AK30" s="13">
        <f>Inputs!$F$60*((1+Inputs!$F$73/100)/(1+INDEX(Inputs!$J$291:$BN$291,1,AK12)/100))^((AK10-Inputs!$F$187)/Inputs!$F$248)</f>
        <v/>
      </c>
      <c r="AL30" s="13">
        <f>Inputs!$F$60*((1+Inputs!$F$73/100)/(1+INDEX(Inputs!$J$291:$BN$291,1,AL12)/100))^((AL10-Inputs!$F$187)/Inputs!$F$248)</f>
        <v/>
      </c>
      <c r="AM30" s="13">
        <f>Inputs!$F$60*((1+Inputs!$F$73/100)/(1+INDEX(Inputs!$J$291:$BN$291,1,AM12)/100))^((AM10-Inputs!$F$187)/Inputs!$F$248)</f>
        <v/>
      </c>
      <c r="AN30" s="13">
        <f>Inputs!$F$60*((1+Inputs!$F$73/100)/(1+INDEX(Inputs!$J$291:$BN$291,1,AN12)/100))^((AN10-Inputs!$F$187)/Inputs!$F$248)</f>
        <v/>
      </c>
      <c r="AO30" s="13">
        <f>Inputs!$F$60*((1+Inputs!$F$73/100)/(1+INDEX(Inputs!$J$291:$BN$291,1,AO12)/100))^((AO10-Inputs!$F$187)/Inputs!$F$248)</f>
        <v/>
      </c>
      <c r="AP30" s="13">
        <f>Inputs!$F$60*((1+Inputs!$F$73/100)/(1+INDEX(Inputs!$J$291:$BN$291,1,AP12)/100))^((AP10-Inputs!$F$187)/Inputs!$F$248)</f>
        <v/>
      </c>
      <c r="AQ30" s="13">
        <f>Inputs!$F$60*((1+Inputs!$F$73/100)/(1+INDEX(Inputs!$J$291:$BN$291,1,AQ12)/100))^((AQ10-Inputs!$F$187)/Inputs!$F$248)</f>
        <v/>
      </c>
      <c r="AR30" s="13">
        <f>Inputs!$F$60*((1+Inputs!$F$73/100)/(1+INDEX(Inputs!$J$291:$BN$291,1,AR12)/100))^((AR10-Inputs!$F$187)/Inputs!$F$248)</f>
        <v/>
      </c>
      <c r="AS30" s="13">
        <f>Inputs!$F$60*((1+Inputs!$F$73/100)/(1+INDEX(Inputs!$J$291:$BN$291,1,AS12)/100))^((AS10-Inputs!$F$187)/Inputs!$F$248)</f>
        <v/>
      </c>
      <c r="AT30" s="13">
        <f>Inputs!$F$60*((1+Inputs!$F$73/100)/(1+INDEX(Inputs!$J$291:$BN$291,1,AT12)/100))^((AT10-Inputs!$F$187)/Inputs!$F$248)</f>
        <v/>
      </c>
      <c r="AU30" s="13">
        <f>Inputs!$F$60*((1+Inputs!$F$73/100)/(1+INDEX(Inputs!$J$291:$BN$291,1,AU12)/100))^((AU10-Inputs!$F$187)/Inputs!$F$248)</f>
        <v/>
      </c>
      <c r="AV30" s="13">
        <f>Inputs!$F$60*((1+Inputs!$F$73/100)/(1+INDEX(Inputs!$J$291:$BN$291,1,AV12)/100))^((AV10-Inputs!$F$187)/Inputs!$F$248)</f>
        <v/>
      </c>
      <c r="AW30" s="13">
        <f>Inputs!$F$60*((1+Inputs!$F$73/100)/(1+INDEX(Inputs!$J$291:$BN$291,1,AW12)/100))^((AW10-Inputs!$F$187)/Inputs!$F$248)</f>
        <v/>
      </c>
      <c r="AX30" s="13">
        <f>Inputs!$F$60*((1+Inputs!$F$73/100)/(1+INDEX(Inputs!$J$291:$BN$291,1,AX12)/100))^((AX10-Inputs!$F$187)/Inputs!$F$248)</f>
        <v/>
      </c>
      <c r="AY30" s="13">
        <f>Inputs!$F$60*((1+Inputs!$F$73/100)/(1+INDEX(Inputs!$J$291:$BN$291,1,AY12)/100))^((AY10-Inputs!$F$187)/Inputs!$F$248)</f>
        <v/>
      </c>
      <c r="AZ30" s="13">
        <f>Inputs!$F$60*((1+Inputs!$F$73/100)/(1+INDEX(Inputs!$J$291:$BN$291,1,AZ12)/100))^((AZ10-Inputs!$F$187)/Inputs!$F$248)</f>
        <v/>
      </c>
      <c r="BA30" s="13">
        <f>Inputs!$F$60*((1+Inputs!$F$73/100)/(1+INDEX(Inputs!$J$291:$BN$291,1,BA12)/100))^((BA10-Inputs!$F$187)/Inputs!$F$248)</f>
        <v/>
      </c>
      <c r="BB30" s="13">
        <f>Inputs!$F$60*((1+Inputs!$F$73/100)/(1+INDEX(Inputs!$J$291:$BN$291,1,BB12)/100))^((BB10-Inputs!$F$187)/Inputs!$F$248)</f>
        <v/>
      </c>
      <c r="BC30" s="13">
        <f>Inputs!$F$60*((1+Inputs!$F$73/100)/(1+INDEX(Inputs!$J$291:$BN$291,1,BC12)/100))^((BC10-Inputs!$F$187)/Inputs!$F$248)</f>
        <v/>
      </c>
      <c r="BD30" s="13">
        <f>Inputs!$F$60*((1+Inputs!$F$73/100)/(1+INDEX(Inputs!$J$291:$BN$291,1,BD12)/100))^((BD10-Inputs!$F$187)/Inputs!$F$248)</f>
        <v/>
      </c>
      <c r="BE30" s="13">
        <f>Inputs!$F$60*((1+Inputs!$F$73/100)/(1+INDEX(Inputs!$J$291:$BN$291,1,BE12)/100))^((BE10-Inputs!$F$187)/Inputs!$F$248)</f>
        <v/>
      </c>
      <c r="BF30" s="13">
        <f>Inputs!$F$60*((1+Inputs!$F$73/100)/(1+INDEX(Inputs!$J$291:$BN$291,1,BF12)/100))^((BF10-Inputs!$F$187)/Inputs!$F$248)</f>
        <v/>
      </c>
      <c r="BG30" s="13">
        <f>Inputs!$F$60*((1+Inputs!$F$73/100)/(1+INDEX(Inputs!$J$291:$BN$291,1,BG12)/100))^((BG10-Inputs!$F$187)/Inputs!$F$248)</f>
        <v/>
      </c>
      <c r="BH30" s="13">
        <f>Inputs!$F$60*((1+Inputs!$F$73/100)/(1+INDEX(Inputs!$J$291:$BN$291,1,BH12)/100))^((BH10-Inputs!$F$187)/Inputs!$F$248)</f>
        <v/>
      </c>
      <c r="BI30" s="13">
        <f>Inputs!$F$60*((1+Inputs!$F$73/100)/(1+INDEX(Inputs!$J$291:$BN$291,1,BI12)/100))^((BI10-Inputs!$F$187)/Inputs!$F$248)</f>
        <v/>
      </c>
      <c r="BJ30" s="13">
        <f>Inputs!$F$60*((1+Inputs!$F$73/100)/(1+INDEX(Inputs!$J$291:$BN$291,1,BJ12)/100))^((BJ10-Inputs!$F$187)/Inputs!$F$248)</f>
        <v/>
      </c>
    </row>
    <row r="31">
      <c r="D31" t="inlineStr">
        <is>
          <t>FX forward settlement on onshore EPC payments (gain to the project)</t>
        </is>
      </c>
      <c r="E31" t="inlineStr">
        <is>
          <t>USD m</t>
        </is>
      </c>
      <c r="G31" s="13">
        <f>SUM(J31:BJ31)</f>
        <v/>
      </c>
      <c r="J31" s="13">
        <f>IF(Inputs!$F$34&lt;&gt;1,Inputs!$F$259*J34*(1/J16-1/J30),0)</f>
        <v/>
      </c>
      <c r="K31" s="13">
        <f>IF(Inputs!$F$34&lt;&gt;1,Inputs!$F$259*K34*(1/K16-1/K30),0)</f>
        <v/>
      </c>
      <c r="L31" s="13">
        <f>IF(Inputs!$F$34&lt;&gt;1,Inputs!$F$259*L34*(1/L16-1/L30),0)</f>
        <v/>
      </c>
      <c r="M31" s="13">
        <f>IF(Inputs!$F$34&lt;&gt;1,Inputs!$F$259*M34*(1/M16-1/M30),0)</f>
        <v/>
      </c>
      <c r="N31" s="13">
        <f>IF(Inputs!$F$34&lt;&gt;1,Inputs!$F$259*N34*(1/N16-1/N30),0)</f>
        <v/>
      </c>
      <c r="O31" s="13">
        <f>IF(Inputs!$F$34&lt;&gt;1,Inputs!$F$259*O34*(1/O16-1/O30),0)</f>
        <v/>
      </c>
      <c r="P31" s="13">
        <f>IF(Inputs!$F$34&lt;&gt;1,Inputs!$F$259*P34*(1/P16-1/P30),0)</f>
        <v/>
      </c>
      <c r="Q31" s="13">
        <f>IF(Inputs!$F$34&lt;&gt;1,Inputs!$F$259*Q34*(1/Q16-1/Q30),0)</f>
        <v/>
      </c>
      <c r="R31" s="13">
        <f>IF(Inputs!$F$34&lt;&gt;1,Inputs!$F$259*R34*(1/R16-1/R30),0)</f>
        <v/>
      </c>
      <c r="S31" s="13">
        <f>IF(Inputs!$F$34&lt;&gt;1,Inputs!$F$259*S34*(1/S16-1/S30),0)</f>
        <v/>
      </c>
      <c r="T31" s="13">
        <f>IF(Inputs!$F$34&lt;&gt;1,Inputs!$F$259*T34*(1/T16-1/T30),0)</f>
        <v/>
      </c>
      <c r="U31" s="13">
        <f>IF(Inputs!$F$34&lt;&gt;1,Inputs!$F$259*U34*(1/U16-1/U30),0)</f>
        <v/>
      </c>
      <c r="V31" s="13">
        <f>IF(Inputs!$F$34&lt;&gt;1,Inputs!$F$259*V34*(1/V16-1/V30),0)</f>
        <v/>
      </c>
      <c r="W31" s="13">
        <f>IF(Inputs!$F$34&lt;&gt;1,Inputs!$F$259*W34*(1/W16-1/W30),0)</f>
        <v/>
      </c>
      <c r="X31" s="13">
        <f>IF(Inputs!$F$34&lt;&gt;1,Inputs!$F$259*X34*(1/X16-1/X30),0)</f>
        <v/>
      </c>
      <c r="Y31" s="13">
        <f>IF(Inputs!$F$34&lt;&gt;1,Inputs!$F$259*Y34*(1/Y16-1/Y30),0)</f>
        <v/>
      </c>
      <c r="Z31" s="13">
        <f>IF(Inputs!$F$34&lt;&gt;1,Inputs!$F$259*Z34*(1/Z16-1/Z30),0)</f>
        <v/>
      </c>
      <c r="AA31" s="13">
        <f>IF(Inputs!$F$34&lt;&gt;1,Inputs!$F$259*AA34*(1/AA16-1/AA30),0)</f>
        <v/>
      </c>
      <c r="AB31" s="13">
        <f>IF(Inputs!$F$34&lt;&gt;1,Inputs!$F$259*AB34*(1/AB16-1/AB30),0)</f>
        <v/>
      </c>
      <c r="AC31" s="13">
        <f>IF(Inputs!$F$34&lt;&gt;1,Inputs!$F$259*AC34*(1/AC16-1/AC30),0)</f>
        <v/>
      </c>
      <c r="AD31" s="13">
        <f>IF(Inputs!$F$34&lt;&gt;1,Inputs!$F$259*AD34*(1/AD16-1/AD30),0)</f>
        <v/>
      </c>
      <c r="AE31" s="13">
        <f>IF(Inputs!$F$34&lt;&gt;1,Inputs!$F$259*AE34*(1/AE16-1/AE30),0)</f>
        <v/>
      </c>
      <c r="AF31" s="13">
        <f>IF(Inputs!$F$34&lt;&gt;1,Inputs!$F$259*AF34*(1/AF16-1/AF30),0)</f>
        <v/>
      </c>
      <c r="AG31" s="13">
        <f>IF(Inputs!$F$34&lt;&gt;1,Inputs!$F$259*AG34*(1/AG16-1/AG30),0)</f>
        <v/>
      </c>
      <c r="AH31" s="13">
        <f>IF(Inputs!$F$34&lt;&gt;1,Inputs!$F$259*AH34*(1/AH16-1/AH30),0)</f>
        <v/>
      </c>
      <c r="AI31" s="13">
        <f>IF(Inputs!$F$34&lt;&gt;1,Inputs!$F$259*AI34*(1/AI16-1/AI30),0)</f>
        <v/>
      </c>
      <c r="AJ31" s="13">
        <f>IF(Inputs!$F$34&lt;&gt;1,Inputs!$F$259*AJ34*(1/AJ16-1/AJ30),0)</f>
        <v/>
      </c>
      <c r="AK31" s="13">
        <f>IF(Inputs!$F$34&lt;&gt;1,Inputs!$F$259*AK34*(1/AK16-1/AK30),0)</f>
        <v/>
      </c>
      <c r="AL31" s="13">
        <f>IF(Inputs!$F$34&lt;&gt;1,Inputs!$F$259*AL34*(1/AL16-1/AL30),0)</f>
        <v/>
      </c>
      <c r="AM31" s="13">
        <f>IF(Inputs!$F$34&lt;&gt;1,Inputs!$F$259*AM34*(1/AM16-1/AM30),0)</f>
        <v/>
      </c>
      <c r="AN31" s="13">
        <f>IF(Inputs!$F$34&lt;&gt;1,Inputs!$F$259*AN34*(1/AN16-1/AN30),0)</f>
        <v/>
      </c>
      <c r="AO31" s="13">
        <f>IF(Inputs!$F$34&lt;&gt;1,Inputs!$F$259*AO34*(1/AO16-1/AO30),0)</f>
        <v/>
      </c>
      <c r="AP31" s="13">
        <f>IF(Inputs!$F$34&lt;&gt;1,Inputs!$F$259*AP34*(1/AP16-1/AP30),0)</f>
        <v/>
      </c>
      <c r="AQ31" s="13">
        <f>IF(Inputs!$F$34&lt;&gt;1,Inputs!$F$259*AQ34*(1/AQ16-1/AQ30),0)</f>
        <v/>
      </c>
      <c r="AR31" s="13">
        <f>IF(Inputs!$F$34&lt;&gt;1,Inputs!$F$259*AR34*(1/AR16-1/AR30),0)</f>
        <v/>
      </c>
      <c r="AS31" s="13">
        <f>IF(Inputs!$F$34&lt;&gt;1,Inputs!$F$259*AS34*(1/AS16-1/AS30),0)</f>
        <v/>
      </c>
      <c r="AT31" s="13">
        <f>IF(Inputs!$F$34&lt;&gt;1,Inputs!$F$259*AT34*(1/AT16-1/AT30),0)</f>
        <v/>
      </c>
      <c r="AU31" s="13">
        <f>IF(Inputs!$F$34&lt;&gt;1,Inputs!$F$259*AU34*(1/AU16-1/AU30),0)</f>
        <v/>
      </c>
      <c r="AV31" s="13">
        <f>IF(Inputs!$F$34&lt;&gt;1,Inputs!$F$259*AV34*(1/AV16-1/AV30),0)</f>
        <v/>
      </c>
      <c r="AW31" s="13">
        <f>IF(Inputs!$F$34&lt;&gt;1,Inputs!$F$259*AW34*(1/AW16-1/AW30),0)</f>
        <v/>
      </c>
      <c r="AX31" s="13">
        <f>IF(Inputs!$F$34&lt;&gt;1,Inputs!$F$259*AX34*(1/AX16-1/AX30),0)</f>
        <v/>
      </c>
      <c r="AY31" s="13">
        <f>IF(Inputs!$F$34&lt;&gt;1,Inputs!$F$259*AY34*(1/AY16-1/AY30),0)</f>
        <v/>
      </c>
      <c r="AZ31" s="13">
        <f>IF(Inputs!$F$34&lt;&gt;1,Inputs!$F$259*AZ34*(1/AZ16-1/AZ30),0)</f>
        <v/>
      </c>
      <c r="BA31" s="13">
        <f>IF(Inputs!$F$34&lt;&gt;1,Inputs!$F$259*BA34*(1/BA16-1/BA30),0)</f>
        <v/>
      </c>
      <c r="BB31" s="13">
        <f>IF(Inputs!$F$34&lt;&gt;1,Inputs!$F$259*BB34*(1/BB16-1/BB30),0)</f>
        <v/>
      </c>
      <c r="BC31" s="13">
        <f>IF(Inputs!$F$34&lt;&gt;1,Inputs!$F$259*BC34*(1/BC16-1/BC30),0)</f>
        <v/>
      </c>
      <c r="BD31" s="13">
        <f>IF(Inputs!$F$34&lt;&gt;1,Inputs!$F$259*BD34*(1/BD16-1/BD30),0)</f>
        <v/>
      </c>
      <c r="BE31" s="13">
        <f>IF(Inputs!$F$34&lt;&gt;1,Inputs!$F$259*BE34*(1/BE16-1/BE30),0)</f>
        <v/>
      </c>
      <c r="BF31" s="13">
        <f>IF(Inputs!$F$34&lt;&gt;1,Inputs!$F$259*BF34*(1/BF16-1/BF30),0)</f>
        <v/>
      </c>
      <c r="BG31" s="13">
        <f>IF(Inputs!$F$34&lt;&gt;1,Inputs!$F$259*BG34*(1/BG16-1/BG30),0)</f>
        <v/>
      </c>
      <c r="BH31" s="13">
        <f>IF(Inputs!$F$34&lt;&gt;1,Inputs!$F$259*BH34*(1/BH16-1/BH30),0)</f>
        <v/>
      </c>
      <c r="BI31" s="13">
        <f>IF(Inputs!$F$34&lt;&gt;1,Inputs!$F$259*BI34*(1/BI16-1/BI30),0)</f>
        <v/>
      </c>
      <c r="BJ31" s="13">
        <f>IF(Inputs!$F$34&lt;&gt;1,Inputs!$F$259*BJ34*(1/BJ16-1/BJ30),0)</f>
        <v/>
      </c>
    </row>
    <row r="32">
      <c r="D32" t="inlineStr">
        <is>
          <t>Uses before financing costs (net of FX hedge settlements)</t>
        </is>
      </c>
      <c r="E32" t="inlineStr">
        <is>
          <t>USD m</t>
        </is>
      </c>
      <c r="G32" s="13">
        <f>SUM(J32:BJ32)</f>
        <v/>
      </c>
      <c r="J32" s="13">
        <f>J22+J23+J24+J25+J26+J27+J28+J29-J31</f>
        <v/>
      </c>
      <c r="K32" s="13">
        <f>K22+K23+K24+K25+K26+K27+K28+K29-K31</f>
        <v/>
      </c>
      <c r="L32" s="13">
        <f>L22+L23+L24+L25+L26+L27+L28+L29-L31</f>
        <v/>
      </c>
      <c r="M32" s="13">
        <f>M22+M23+M24+M25+M26+M27+M28+M29-M31</f>
        <v/>
      </c>
      <c r="N32" s="13">
        <f>N22+N23+N24+N25+N26+N27+N28+N29-N31</f>
        <v/>
      </c>
      <c r="O32" s="13">
        <f>O22+O23+O24+O25+O26+O27+O28+O29-O31</f>
        <v/>
      </c>
      <c r="P32" s="13">
        <f>P22+P23+P24+P25+P26+P27+P28+P29-P31</f>
        <v/>
      </c>
      <c r="Q32" s="13">
        <f>Q22+Q23+Q24+Q25+Q26+Q27+Q28+Q29-Q31</f>
        <v/>
      </c>
      <c r="R32" s="13">
        <f>R22+R23+R24+R25+R26+R27+R28+R29-R31</f>
        <v/>
      </c>
      <c r="S32" s="13">
        <f>S22+S23+S24+S25+S26+S27+S28+S29-S31</f>
        <v/>
      </c>
      <c r="T32" s="13">
        <f>T22+T23+T24+T25+T26+T27+T28+T29-T31</f>
        <v/>
      </c>
      <c r="U32" s="13">
        <f>U22+U23+U24+U25+U26+U27+U28+U29-U31</f>
        <v/>
      </c>
      <c r="V32" s="13">
        <f>V22+V23+V24+V25+V26+V27+V28+V29-V31</f>
        <v/>
      </c>
      <c r="W32" s="13">
        <f>W22+W23+W24+W25+W26+W27+W28+W29-W31</f>
        <v/>
      </c>
      <c r="X32" s="13">
        <f>X22+X23+X24+X25+X26+X27+X28+X29-X31</f>
        <v/>
      </c>
      <c r="Y32" s="13">
        <f>Y22+Y23+Y24+Y25+Y26+Y27+Y28+Y29-Y31</f>
        <v/>
      </c>
      <c r="Z32" s="13">
        <f>Z22+Z23+Z24+Z25+Z26+Z27+Z28+Z29-Z31</f>
        <v/>
      </c>
      <c r="AA32" s="13">
        <f>AA22+AA23+AA24+AA25+AA26+AA27+AA28+AA29-AA31</f>
        <v/>
      </c>
      <c r="AB32" s="13">
        <f>AB22+AB23+AB24+AB25+AB26+AB27+AB28+AB29-AB31</f>
        <v/>
      </c>
      <c r="AC32" s="13">
        <f>AC22+AC23+AC24+AC25+AC26+AC27+AC28+AC29-AC31</f>
        <v/>
      </c>
      <c r="AD32" s="13">
        <f>AD22+AD23+AD24+AD25+AD26+AD27+AD28+AD29-AD31</f>
        <v/>
      </c>
      <c r="AE32" s="13">
        <f>AE22+AE23+AE24+AE25+AE26+AE27+AE28+AE29-AE31</f>
        <v/>
      </c>
      <c r="AF32" s="13">
        <f>AF22+AF23+AF24+AF25+AF26+AF27+AF28+AF29-AF31</f>
        <v/>
      </c>
      <c r="AG32" s="13">
        <f>AG22+AG23+AG24+AG25+AG26+AG27+AG28+AG29-AG31</f>
        <v/>
      </c>
      <c r="AH32" s="13">
        <f>AH22+AH23+AH24+AH25+AH26+AH27+AH28+AH29-AH31</f>
        <v/>
      </c>
      <c r="AI32" s="13">
        <f>AI22+AI23+AI24+AI25+AI26+AI27+AI28+AI29-AI31</f>
        <v/>
      </c>
      <c r="AJ32" s="13">
        <f>AJ22+AJ23+AJ24+AJ25+AJ26+AJ27+AJ28+AJ29-AJ31</f>
        <v/>
      </c>
      <c r="AK32" s="13">
        <f>AK22+AK23+AK24+AK25+AK26+AK27+AK28+AK29-AK31</f>
        <v/>
      </c>
      <c r="AL32" s="13">
        <f>AL22+AL23+AL24+AL25+AL26+AL27+AL28+AL29-AL31</f>
        <v/>
      </c>
      <c r="AM32" s="13">
        <f>AM22+AM23+AM24+AM25+AM26+AM27+AM28+AM29-AM31</f>
        <v/>
      </c>
      <c r="AN32" s="13">
        <f>AN22+AN23+AN24+AN25+AN26+AN27+AN28+AN29-AN31</f>
        <v/>
      </c>
      <c r="AO32" s="13">
        <f>AO22+AO23+AO24+AO25+AO26+AO27+AO28+AO29-AO31</f>
        <v/>
      </c>
      <c r="AP32" s="13">
        <f>AP22+AP23+AP24+AP25+AP26+AP27+AP28+AP29-AP31</f>
        <v/>
      </c>
      <c r="AQ32" s="13">
        <f>AQ22+AQ23+AQ24+AQ25+AQ26+AQ27+AQ28+AQ29-AQ31</f>
        <v/>
      </c>
      <c r="AR32" s="13">
        <f>AR22+AR23+AR24+AR25+AR26+AR27+AR28+AR29-AR31</f>
        <v/>
      </c>
      <c r="AS32" s="13">
        <f>AS22+AS23+AS24+AS25+AS26+AS27+AS28+AS29-AS31</f>
        <v/>
      </c>
      <c r="AT32" s="13">
        <f>AT22+AT23+AT24+AT25+AT26+AT27+AT28+AT29-AT31</f>
        <v/>
      </c>
      <c r="AU32" s="13">
        <f>AU22+AU23+AU24+AU25+AU26+AU27+AU28+AU29-AU31</f>
        <v/>
      </c>
      <c r="AV32" s="13">
        <f>AV22+AV23+AV24+AV25+AV26+AV27+AV28+AV29-AV31</f>
        <v/>
      </c>
      <c r="AW32" s="13">
        <f>AW22+AW23+AW24+AW25+AW26+AW27+AW28+AW29-AW31</f>
        <v/>
      </c>
      <c r="AX32" s="13">
        <f>AX22+AX23+AX24+AX25+AX26+AX27+AX28+AX29-AX31</f>
        <v/>
      </c>
      <c r="AY32" s="13">
        <f>AY22+AY23+AY24+AY25+AY26+AY27+AY28+AY29-AY31</f>
        <v/>
      </c>
      <c r="AZ32" s="13">
        <f>AZ22+AZ23+AZ24+AZ25+AZ26+AZ27+AZ28+AZ29-AZ31</f>
        <v/>
      </c>
      <c r="BA32" s="13">
        <f>BA22+BA23+BA24+BA25+BA26+BA27+BA28+BA29-BA31</f>
        <v/>
      </c>
      <c r="BB32" s="13">
        <f>BB22+BB23+BB24+BB25+BB26+BB27+BB28+BB29-BB31</f>
        <v/>
      </c>
      <c r="BC32" s="13">
        <f>BC22+BC23+BC24+BC25+BC26+BC27+BC28+BC29-BC31</f>
        <v/>
      </c>
      <c r="BD32" s="13">
        <f>BD22+BD23+BD24+BD25+BD26+BD27+BD28+BD29-BD31</f>
        <v/>
      </c>
      <c r="BE32" s="13">
        <f>BE22+BE23+BE24+BE25+BE26+BE27+BE28+BE29-BE31</f>
        <v/>
      </c>
      <c r="BF32" s="13">
        <f>BF22+BF23+BF24+BF25+BF26+BF27+BF28+BF29-BF31</f>
        <v/>
      </c>
      <c r="BG32" s="13">
        <f>BG22+BG23+BG24+BG25+BG26+BG27+BG28+BG29-BG31</f>
        <v/>
      </c>
      <c r="BH32" s="13">
        <f>BH22+BH23+BH24+BH25+BH26+BH27+BH28+BH29-BH31</f>
        <v/>
      </c>
      <c r="BI32" s="13">
        <f>BI22+BI23+BI24+BI25+BI26+BI27+BI28+BI29-BI31</f>
        <v/>
      </c>
      <c r="BJ32" s="13">
        <f>BJ22+BJ23+BJ24+BJ25+BJ26+BJ27+BJ28+BJ29-BJ31</f>
        <v/>
      </c>
    </row>
    <row r="33">
      <c r="B33" s="2" t="inlineStr">
        <is>
          <t>VAT on onshore EPC (KCR m) and UBK VAT facility</t>
        </is>
      </c>
    </row>
    <row r="34">
      <c r="D34" t="inlineStr">
        <is>
          <t>Onshore EPC payments</t>
        </is>
      </c>
      <c r="E34" t="inlineStr">
        <is>
          <t>KCR m</t>
        </is>
      </c>
      <c r="G34" s="13">
        <f>SUM(J34:BJ34)</f>
        <v/>
      </c>
      <c r="J34" s="13">
        <f>J20/100*Inputs!$F$59*Inputs!$F$60*Inputs!$F$36</f>
        <v/>
      </c>
      <c r="K34" s="13">
        <f>K20/100*Inputs!$F$59*Inputs!$F$60*Inputs!$F$36</f>
        <v/>
      </c>
      <c r="L34" s="13">
        <f>L20/100*Inputs!$F$59*Inputs!$F$60*Inputs!$F$36</f>
        <v/>
      </c>
      <c r="M34" s="13">
        <f>M20/100*Inputs!$F$59*Inputs!$F$60*Inputs!$F$36</f>
        <v/>
      </c>
      <c r="N34" s="13">
        <f>N20/100*Inputs!$F$59*Inputs!$F$60*Inputs!$F$36</f>
        <v/>
      </c>
      <c r="O34" s="13">
        <f>O20/100*Inputs!$F$59*Inputs!$F$60*Inputs!$F$36</f>
        <v/>
      </c>
      <c r="P34" s="13">
        <f>P20/100*Inputs!$F$59*Inputs!$F$60*Inputs!$F$36</f>
        <v/>
      </c>
      <c r="Q34" s="13">
        <f>Q20/100*Inputs!$F$59*Inputs!$F$60*Inputs!$F$36</f>
        <v/>
      </c>
      <c r="R34" s="13">
        <f>R20/100*Inputs!$F$59*Inputs!$F$60*Inputs!$F$36</f>
        <v/>
      </c>
      <c r="S34" s="13">
        <f>S20/100*Inputs!$F$59*Inputs!$F$60*Inputs!$F$36</f>
        <v/>
      </c>
      <c r="T34" s="13">
        <f>T20/100*Inputs!$F$59*Inputs!$F$60*Inputs!$F$36</f>
        <v/>
      </c>
      <c r="U34" s="13">
        <f>U20/100*Inputs!$F$59*Inputs!$F$60*Inputs!$F$36</f>
        <v/>
      </c>
      <c r="V34" s="13">
        <f>V20/100*Inputs!$F$59*Inputs!$F$60*Inputs!$F$36</f>
        <v/>
      </c>
      <c r="W34" s="13">
        <f>W20/100*Inputs!$F$59*Inputs!$F$60*Inputs!$F$36</f>
        <v/>
      </c>
      <c r="X34" s="13">
        <f>X20/100*Inputs!$F$59*Inputs!$F$60*Inputs!$F$36</f>
        <v/>
      </c>
      <c r="Y34" s="13">
        <f>Y20/100*Inputs!$F$59*Inputs!$F$60*Inputs!$F$36</f>
        <v/>
      </c>
      <c r="Z34" s="13">
        <f>Z20/100*Inputs!$F$59*Inputs!$F$60*Inputs!$F$36</f>
        <v/>
      </c>
      <c r="AA34" s="13">
        <f>AA20/100*Inputs!$F$59*Inputs!$F$60*Inputs!$F$36</f>
        <v/>
      </c>
      <c r="AB34" s="13">
        <f>AB20/100*Inputs!$F$59*Inputs!$F$60*Inputs!$F$36</f>
        <v/>
      </c>
      <c r="AC34" s="13">
        <f>AC20/100*Inputs!$F$59*Inputs!$F$60*Inputs!$F$36</f>
        <v/>
      </c>
      <c r="AD34" s="13">
        <f>AD20/100*Inputs!$F$59*Inputs!$F$60*Inputs!$F$36</f>
        <v/>
      </c>
      <c r="AE34" s="13">
        <f>AE20/100*Inputs!$F$59*Inputs!$F$60*Inputs!$F$36</f>
        <v/>
      </c>
      <c r="AF34" s="13">
        <f>AF20/100*Inputs!$F$59*Inputs!$F$60*Inputs!$F$36</f>
        <v/>
      </c>
      <c r="AG34" s="13">
        <f>AG20/100*Inputs!$F$59*Inputs!$F$60*Inputs!$F$36</f>
        <v/>
      </c>
      <c r="AH34" s="13">
        <f>AH20/100*Inputs!$F$59*Inputs!$F$60*Inputs!$F$36</f>
        <v/>
      </c>
      <c r="AI34" s="13">
        <f>AI20/100*Inputs!$F$59*Inputs!$F$60*Inputs!$F$36</f>
        <v/>
      </c>
      <c r="AJ34" s="13">
        <f>AJ20/100*Inputs!$F$59*Inputs!$F$60*Inputs!$F$36</f>
        <v/>
      </c>
      <c r="AK34" s="13">
        <f>AK20/100*Inputs!$F$59*Inputs!$F$60*Inputs!$F$36</f>
        <v/>
      </c>
      <c r="AL34" s="13">
        <f>AL20/100*Inputs!$F$59*Inputs!$F$60*Inputs!$F$36</f>
        <v/>
      </c>
      <c r="AM34" s="13">
        <f>AM20/100*Inputs!$F$59*Inputs!$F$60*Inputs!$F$36</f>
        <v/>
      </c>
      <c r="AN34" s="13">
        <f>AN20/100*Inputs!$F$59*Inputs!$F$60*Inputs!$F$36</f>
        <v/>
      </c>
      <c r="AO34" s="13">
        <f>AO20/100*Inputs!$F$59*Inputs!$F$60*Inputs!$F$36</f>
        <v/>
      </c>
      <c r="AP34" s="13">
        <f>AP20/100*Inputs!$F$59*Inputs!$F$60*Inputs!$F$36</f>
        <v/>
      </c>
      <c r="AQ34" s="13">
        <f>AQ20/100*Inputs!$F$59*Inputs!$F$60*Inputs!$F$36</f>
        <v/>
      </c>
      <c r="AR34" s="13">
        <f>AR20/100*Inputs!$F$59*Inputs!$F$60*Inputs!$F$36</f>
        <v/>
      </c>
      <c r="AS34" s="13">
        <f>AS20/100*Inputs!$F$59*Inputs!$F$60*Inputs!$F$36</f>
        <v/>
      </c>
      <c r="AT34" s="13">
        <f>AT20/100*Inputs!$F$59*Inputs!$F$60*Inputs!$F$36</f>
        <v/>
      </c>
      <c r="AU34" s="13">
        <f>AU20/100*Inputs!$F$59*Inputs!$F$60*Inputs!$F$36</f>
        <v/>
      </c>
      <c r="AV34" s="13">
        <f>AV20/100*Inputs!$F$59*Inputs!$F$60*Inputs!$F$36</f>
        <v/>
      </c>
      <c r="AW34" s="13">
        <f>AW20/100*Inputs!$F$59*Inputs!$F$60*Inputs!$F$36</f>
        <v/>
      </c>
      <c r="AX34" s="13">
        <f>AX20/100*Inputs!$F$59*Inputs!$F$60*Inputs!$F$36</f>
        <v/>
      </c>
      <c r="AY34" s="13">
        <f>AY20/100*Inputs!$F$59*Inputs!$F$60*Inputs!$F$36</f>
        <v/>
      </c>
      <c r="AZ34" s="13">
        <f>AZ20/100*Inputs!$F$59*Inputs!$F$60*Inputs!$F$36</f>
        <v/>
      </c>
      <c r="BA34" s="13">
        <f>BA20/100*Inputs!$F$59*Inputs!$F$60*Inputs!$F$36</f>
        <v/>
      </c>
      <c r="BB34" s="13">
        <f>BB20/100*Inputs!$F$59*Inputs!$F$60*Inputs!$F$36</f>
        <v/>
      </c>
      <c r="BC34" s="13">
        <f>BC20/100*Inputs!$F$59*Inputs!$F$60*Inputs!$F$36</f>
        <v/>
      </c>
      <c r="BD34" s="13">
        <f>BD20/100*Inputs!$F$59*Inputs!$F$60*Inputs!$F$36</f>
        <v/>
      </c>
      <c r="BE34" s="13">
        <f>BE20/100*Inputs!$F$59*Inputs!$F$60*Inputs!$F$36</f>
        <v/>
      </c>
      <c r="BF34" s="13">
        <f>BF20/100*Inputs!$F$59*Inputs!$F$60*Inputs!$F$36</f>
        <v/>
      </c>
      <c r="BG34" s="13">
        <f>BG20/100*Inputs!$F$59*Inputs!$F$60*Inputs!$F$36</f>
        <v/>
      </c>
      <c r="BH34" s="13">
        <f>BH20/100*Inputs!$F$59*Inputs!$F$60*Inputs!$F$36</f>
        <v/>
      </c>
      <c r="BI34" s="13">
        <f>BI20/100*Inputs!$F$59*Inputs!$F$60*Inputs!$F$36</f>
        <v/>
      </c>
      <c r="BJ34" s="13">
        <f>BJ20/100*Inputs!$F$59*Inputs!$F$60*Inputs!$F$36</f>
        <v/>
      </c>
    </row>
    <row r="35">
      <c r="D35" t="inlineStr">
        <is>
          <t>VAT paid (drawn on the VAT facility)</t>
        </is>
      </c>
      <c r="E35" t="inlineStr">
        <is>
          <t>KCR m</t>
        </is>
      </c>
      <c r="G35" s="13">
        <f>SUM(J35:BJ35)</f>
        <v/>
      </c>
      <c r="J35" s="13">
        <f>Inputs!$F$70/100*J34</f>
        <v/>
      </c>
      <c r="K35" s="13">
        <f>Inputs!$F$70/100*K34</f>
        <v/>
      </c>
      <c r="L35" s="13">
        <f>Inputs!$F$70/100*L34</f>
        <v/>
      </c>
      <c r="M35" s="13">
        <f>Inputs!$F$70/100*M34</f>
        <v/>
      </c>
      <c r="N35" s="13">
        <f>Inputs!$F$70/100*N34</f>
        <v/>
      </c>
      <c r="O35" s="13">
        <f>Inputs!$F$70/100*O34</f>
        <v/>
      </c>
      <c r="P35" s="13">
        <f>Inputs!$F$70/100*P34</f>
        <v/>
      </c>
      <c r="Q35" s="13">
        <f>Inputs!$F$70/100*Q34</f>
        <v/>
      </c>
      <c r="R35" s="13">
        <f>Inputs!$F$70/100*R34</f>
        <v/>
      </c>
      <c r="S35" s="13">
        <f>Inputs!$F$70/100*S34</f>
        <v/>
      </c>
      <c r="T35" s="13">
        <f>Inputs!$F$70/100*T34</f>
        <v/>
      </c>
      <c r="U35" s="13">
        <f>Inputs!$F$70/100*U34</f>
        <v/>
      </c>
      <c r="V35" s="13">
        <f>Inputs!$F$70/100*V34</f>
        <v/>
      </c>
      <c r="W35" s="13">
        <f>Inputs!$F$70/100*W34</f>
        <v/>
      </c>
      <c r="X35" s="13">
        <f>Inputs!$F$70/100*X34</f>
        <v/>
      </c>
      <c r="Y35" s="13">
        <f>Inputs!$F$70/100*Y34</f>
        <v/>
      </c>
      <c r="Z35" s="13">
        <f>Inputs!$F$70/100*Z34</f>
        <v/>
      </c>
      <c r="AA35" s="13">
        <f>Inputs!$F$70/100*AA34</f>
        <v/>
      </c>
      <c r="AB35" s="13">
        <f>Inputs!$F$70/100*AB34</f>
        <v/>
      </c>
      <c r="AC35" s="13">
        <f>Inputs!$F$70/100*AC34</f>
        <v/>
      </c>
      <c r="AD35" s="13">
        <f>Inputs!$F$70/100*AD34</f>
        <v/>
      </c>
      <c r="AE35" s="13">
        <f>Inputs!$F$70/100*AE34</f>
        <v/>
      </c>
      <c r="AF35" s="13">
        <f>Inputs!$F$70/100*AF34</f>
        <v/>
      </c>
      <c r="AG35" s="13">
        <f>Inputs!$F$70/100*AG34</f>
        <v/>
      </c>
      <c r="AH35" s="13">
        <f>Inputs!$F$70/100*AH34</f>
        <v/>
      </c>
      <c r="AI35" s="13">
        <f>Inputs!$F$70/100*AI34</f>
        <v/>
      </c>
      <c r="AJ35" s="13">
        <f>Inputs!$F$70/100*AJ34</f>
        <v/>
      </c>
      <c r="AK35" s="13">
        <f>Inputs!$F$70/100*AK34</f>
        <v/>
      </c>
      <c r="AL35" s="13">
        <f>Inputs!$F$70/100*AL34</f>
        <v/>
      </c>
      <c r="AM35" s="13">
        <f>Inputs!$F$70/100*AM34</f>
        <v/>
      </c>
      <c r="AN35" s="13">
        <f>Inputs!$F$70/100*AN34</f>
        <v/>
      </c>
      <c r="AO35" s="13">
        <f>Inputs!$F$70/100*AO34</f>
        <v/>
      </c>
      <c r="AP35" s="13">
        <f>Inputs!$F$70/100*AP34</f>
        <v/>
      </c>
      <c r="AQ35" s="13">
        <f>Inputs!$F$70/100*AQ34</f>
        <v/>
      </c>
      <c r="AR35" s="13">
        <f>Inputs!$F$70/100*AR34</f>
        <v/>
      </c>
      <c r="AS35" s="13">
        <f>Inputs!$F$70/100*AS34</f>
        <v/>
      </c>
      <c r="AT35" s="13">
        <f>Inputs!$F$70/100*AT34</f>
        <v/>
      </c>
      <c r="AU35" s="13">
        <f>Inputs!$F$70/100*AU34</f>
        <v/>
      </c>
      <c r="AV35" s="13">
        <f>Inputs!$F$70/100*AV34</f>
        <v/>
      </c>
      <c r="AW35" s="13">
        <f>Inputs!$F$70/100*AW34</f>
        <v/>
      </c>
      <c r="AX35" s="13">
        <f>Inputs!$F$70/100*AX34</f>
        <v/>
      </c>
      <c r="AY35" s="13">
        <f>Inputs!$F$70/100*AY34</f>
        <v/>
      </c>
      <c r="AZ35" s="13">
        <f>Inputs!$F$70/100*AZ34</f>
        <v/>
      </c>
      <c r="BA35" s="13">
        <f>Inputs!$F$70/100*BA34</f>
        <v/>
      </c>
      <c r="BB35" s="13">
        <f>Inputs!$F$70/100*BB34</f>
        <v/>
      </c>
      <c r="BC35" s="13">
        <f>Inputs!$F$70/100*BC34</f>
        <v/>
      </c>
      <c r="BD35" s="13">
        <f>Inputs!$F$70/100*BD34</f>
        <v/>
      </c>
      <c r="BE35" s="13">
        <f>Inputs!$F$70/100*BE34</f>
        <v/>
      </c>
      <c r="BF35" s="13">
        <f>Inputs!$F$70/100*BF34</f>
        <v/>
      </c>
      <c r="BG35" s="13">
        <f>Inputs!$F$70/100*BG34</f>
        <v/>
      </c>
      <c r="BH35" s="13">
        <f>Inputs!$F$70/100*BH34</f>
        <v/>
      </c>
      <c r="BI35" s="13">
        <f>Inputs!$F$70/100*BI34</f>
        <v/>
      </c>
      <c r="BJ35" s="13">
        <f>Inputs!$F$70/100*BJ34</f>
        <v/>
      </c>
    </row>
    <row r="36">
      <c r="D36" t="inlineStr">
        <is>
          <t>VAT refunds (9-month lag) repaying the facility</t>
        </is>
      </c>
      <c r="E36" t="inlineStr">
        <is>
          <t>KCR m</t>
        </is>
      </c>
      <c r="G36" s="13">
        <f>SUM(J36:BJ36)</f>
        <v/>
      </c>
      <c r="J36" s="13">
        <f>SUMIFS($J$35:$BJ$35,$J$8:$BJ$8,J8-Inputs!$F$246)</f>
        <v/>
      </c>
      <c r="K36" s="13">
        <f>SUMIFS($J$35:$BJ$35,$J$8:$BJ$8,K8-Inputs!$F$246)</f>
        <v/>
      </c>
      <c r="L36" s="13">
        <f>SUMIFS($J$35:$BJ$35,$J$8:$BJ$8,L8-Inputs!$F$246)</f>
        <v/>
      </c>
      <c r="M36" s="13">
        <f>SUMIFS($J$35:$BJ$35,$J$8:$BJ$8,M8-Inputs!$F$246)</f>
        <v/>
      </c>
      <c r="N36" s="13">
        <f>SUMIFS($J$35:$BJ$35,$J$8:$BJ$8,N8-Inputs!$F$246)</f>
        <v/>
      </c>
      <c r="O36" s="13">
        <f>SUMIFS($J$35:$BJ$35,$J$8:$BJ$8,O8-Inputs!$F$246)</f>
        <v/>
      </c>
      <c r="P36" s="13">
        <f>SUMIFS($J$35:$BJ$35,$J$8:$BJ$8,P8-Inputs!$F$246)</f>
        <v/>
      </c>
      <c r="Q36" s="13">
        <f>SUMIFS($J$35:$BJ$35,$J$8:$BJ$8,Q8-Inputs!$F$246)</f>
        <v/>
      </c>
      <c r="R36" s="13">
        <f>SUMIFS($J$35:$BJ$35,$J$8:$BJ$8,R8-Inputs!$F$246)</f>
        <v/>
      </c>
      <c r="S36" s="13">
        <f>SUMIFS($J$35:$BJ$35,$J$8:$BJ$8,S8-Inputs!$F$246)</f>
        <v/>
      </c>
      <c r="T36" s="13">
        <f>SUMIFS($J$35:$BJ$35,$J$8:$BJ$8,T8-Inputs!$F$246)</f>
        <v/>
      </c>
      <c r="U36" s="13">
        <f>SUMIFS($J$35:$BJ$35,$J$8:$BJ$8,U8-Inputs!$F$246)</f>
        <v/>
      </c>
      <c r="V36" s="13">
        <f>SUMIFS($J$35:$BJ$35,$J$8:$BJ$8,V8-Inputs!$F$246)</f>
        <v/>
      </c>
      <c r="W36" s="13">
        <f>SUMIFS($J$35:$BJ$35,$J$8:$BJ$8,W8-Inputs!$F$246)</f>
        <v/>
      </c>
      <c r="X36" s="13">
        <f>SUMIFS($J$35:$BJ$35,$J$8:$BJ$8,X8-Inputs!$F$246)</f>
        <v/>
      </c>
      <c r="Y36" s="13">
        <f>SUMIFS($J$35:$BJ$35,$J$8:$BJ$8,Y8-Inputs!$F$246)</f>
        <v/>
      </c>
      <c r="Z36" s="13">
        <f>SUMIFS($J$35:$BJ$35,$J$8:$BJ$8,Z8-Inputs!$F$246)</f>
        <v/>
      </c>
      <c r="AA36" s="13">
        <f>SUMIFS($J$35:$BJ$35,$J$8:$BJ$8,AA8-Inputs!$F$246)</f>
        <v/>
      </c>
      <c r="AB36" s="13">
        <f>SUMIFS($J$35:$BJ$35,$J$8:$BJ$8,AB8-Inputs!$F$246)</f>
        <v/>
      </c>
      <c r="AC36" s="13">
        <f>SUMIFS($J$35:$BJ$35,$J$8:$BJ$8,AC8-Inputs!$F$246)</f>
        <v/>
      </c>
      <c r="AD36" s="13">
        <f>SUMIFS($J$35:$BJ$35,$J$8:$BJ$8,AD8-Inputs!$F$246)</f>
        <v/>
      </c>
      <c r="AE36" s="13">
        <f>SUMIFS($J$35:$BJ$35,$J$8:$BJ$8,AE8-Inputs!$F$246)</f>
        <v/>
      </c>
      <c r="AF36" s="13">
        <f>SUMIFS($J$35:$BJ$35,$J$8:$BJ$8,AF8-Inputs!$F$246)</f>
        <v/>
      </c>
      <c r="AG36" s="13">
        <f>SUMIFS($J$35:$BJ$35,$J$8:$BJ$8,AG8-Inputs!$F$246)</f>
        <v/>
      </c>
      <c r="AH36" s="13">
        <f>SUMIFS($J$35:$BJ$35,$J$8:$BJ$8,AH8-Inputs!$F$246)</f>
        <v/>
      </c>
      <c r="AI36" s="13">
        <f>SUMIFS($J$35:$BJ$35,$J$8:$BJ$8,AI8-Inputs!$F$246)</f>
        <v/>
      </c>
      <c r="AJ36" s="13">
        <f>SUMIFS($J$35:$BJ$35,$J$8:$BJ$8,AJ8-Inputs!$F$246)</f>
        <v/>
      </c>
      <c r="AK36" s="13">
        <f>SUMIFS($J$35:$BJ$35,$J$8:$BJ$8,AK8-Inputs!$F$246)</f>
        <v/>
      </c>
      <c r="AL36" s="13">
        <f>SUMIFS($J$35:$BJ$35,$J$8:$BJ$8,AL8-Inputs!$F$246)</f>
        <v/>
      </c>
      <c r="AM36" s="13">
        <f>SUMIFS($J$35:$BJ$35,$J$8:$BJ$8,AM8-Inputs!$F$246)</f>
        <v/>
      </c>
      <c r="AN36" s="13">
        <f>SUMIFS($J$35:$BJ$35,$J$8:$BJ$8,AN8-Inputs!$F$246)</f>
        <v/>
      </c>
      <c r="AO36" s="13">
        <f>SUMIFS($J$35:$BJ$35,$J$8:$BJ$8,AO8-Inputs!$F$246)</f>
        <v/>
      </c>
      <c r="AP36" s="13">
        <f>SUMIFS($J$35:$BJ$35,$J$8:$BJ$8,AP8-Inputs!$F$246)</f>
        <v/>
      </c>
      <c r="AQ36" s="13">
        <f>SUMIFS($J$35:$BJ$35,$J$8:$BJ$8,AQ8-Inputs!$F$246)</f>
        <v/>
      </c>
      <c r="AR36" s="13">
        <f>SUMIFS($J$35:$BJ$35,$J$8:$BJ$8,AR8-Inputs!$F$246)</f>
        <v/>
      </c>
      <c r="AS36" s="13">
        <f>SUMIFS($J$35:$BJ$35,$J$8:$BJ$8,AS8-Inputs!$F$246)</f>
        <v/>
      </c>
      <c r="AT36" s="13">
        <f>SUMIFS($J$35:$BJ$35,$J$8:$BJ$8,AT8-Inputs!$F$246)</f>
        <v/>
      </c>
      <c r="AU36" s="13">
        <f>SUMIFS($J$35:$BJ$35,$J$8:$BJ$8,AU8-Inputs!$F$246)</f>
        <v/>
      </c>
      <c r="AV36" s="13">
        <f>SUMIFS($J$35:$BJ$35,$J$8:$BJ$8,AV8-Inputs!$F$246)</f>
        <v/>
      </c>
      <c r="AW36" s="13">
        <f>SUMIFS($J$35:$BJ$35,$J$8:$BJ$8,AW8-Inputs!$F$246)</f>
        <v/>
      </c>
      <c r="AX36" s="13">
        <f>SUMIFS($J$35:$BJ$35,$J$8:$BJ$8,AX8-Inputs!$F$246)</f>
        <v/>
      </c>
      <c r="AY36" s="13">
        <f>SUMIFS($J$35:$BJ$35,$J$8:$BJ$8,AY8-Inputs!$F$246)</f>
        <v/>
      </c>
      <c r="AZ36" s="13">
        <f>SUMIFS($J$35:$BJ$35,$J$8:$BJ$8,AZ8-Inputs!$F$246)</f>
        <v/>
      </c>
      <c r="BA36" s="13">
        <f>SUMIFS($J$35:$BJ$35,$J$8:$BJ$8,BA8-Inputs!$F$246)</f>
        <v/>
      </c>
      <c r="BB36" s="13">
        <f>SUMIFS($J$35:$BJ$35,$J$8:$BJ$8,BB8-Inputs!$F$246)</f>
        <v/>
      </c>
      <c r="BC36" s="13">
        <f>SUMIFS($J$35:$BJ$35,$J$8:$BJ$8,BC8-Inputs!$F$246)</f>
        <v/>
      </c>
      <c r="BD36" s="13">
        <f>SUMIFS($J$35:$BJ$35,$J$8:$BJ$8,BD8-Inputs!$F$246)</f>
        <v/>
      </c>
      <c r="BE36" s="13">
        <f>SUMIFS($J$35:$BJ$35,$J$8:$BJ$8,BE8-Inputs!$F$246)</f>
        <v/>
      </c>
      <c r="BF36" s="13">
        <f>SUMIFS($J$35:$BJ$35,$J$8:$BJ$8,BF8-Inputs!$F$246)</f>
        <v/>
      </c>
      <c r="BG36" s="13">
        <f>SUMIFS($J$35:$BJ$35,$J$8:$BJ$8,BG8-Inputs!$F$246)</f>
        <v/>
      </c>
      <c r="BH36" s="13">
        <f>SUMIFS($J$35:$BJ$35,$J$8:$BJ$8,BH8-Inputs!$F$246)</f>
        <v/>
      </c>
      <c r="BI36" s="13">
        <f>SUMIFS($J$35:$BJ$35,$J$8:$BJ$8,BI8-Inputs!$F$246)</f>
        <v/>
      </c>
      <c r="BJ36" s="13">
        <f>SUMIFS($J$35:$BJ$35,$J$8:$BJ$8,BJ8-Inputs!$F$246)</f>
        <v/>
      </c>
    </row>
    <row r="37">
      <c r="D37" t="inlineStr">
        <is>
          <t>VAT facility balance</t>
        </is>
      </c>
      <c r="E37" t="inlineStr">
        <is>
          <t>KCR m</t>
        </is>
      </c>
      <c r="J37" s="13">
        <f>I37+J35-J36</f>
        <v/>
      </c>
      <c r="K37" s="13">
        <f>J37+K35-K36</f>
        <v/>
      </c>
      <c r="L37" s="13">
        <f>K37+L35-L36</f>
        <v/>
      </c>
      <c r="M37" s="13">
        <f>L37+M35-M36</f>
        <v/>
      </c>
      <c r="N37" s="13">
        <f>M37+N35-N36</f>
        <v/>
      </c>
      <c r="O37" s="13">
        <f>N37+O35-O36</f>
        <v/>
      </c>
      <c r="P37" s="13">
        <f>O37+P35-P36</f>
        <v/>
      </c>
      <c r="Q37" s="13">
        <f>P37+Q35-Q36</f>
        <v/>
      </c>
      <c r="R37" s="13">
        <f>Q37+R35-R36</f>
        <v/>
      </c>
      <c r="S37" s="13">
        <f>R37+S35-S36</f>
        <v/>
      </c>
      <c r="T37" s="13">
        <f>S37+T35-T36</f>
        <v/>
      </c>
      <c r="U37" s="13">
        <f>T37+U35-U36</f>
        <v/>
      </c>
      <c r="V37" s="13">
        <f>U37+V35-V36</f>
        <v/>
      </c>
      <c r="W37" s="13">
        <f>V37+W35-W36</f>
        <v/>
      </c>
      <c r="X37" s="13">
        <f>W37+X35-X36</f>
        <v/>
      </c>
      <c r="Y37" s="13">
        <f>X37+Y35-Y36</f>
        <v/>
      </c>
      <c r="Z37" s="13">
        <f>Y37+Z35-Z36</f>
        <v/>
      </c>
      <c r="AA37" s="13">
        <f>Z37+AA35-AA36</f>
        <v/>
      </c>
      <c r="AB37" s="13">
        <f>AA37+AB35-AB36</f>
        <v/>
      </c>
      <c r="AC37" s="13">
        <f>AB37+AC35-AC36</f>
        <v/>
      </c>
      <c r="AD37" s="13">
        <f>AC37+AD35-AD36</f>
        <v/>
      </c>
      <c r="AE37" s="13">
        <f>AD37+AE35-AE36</f>
        <v/>
      </c>
      <c r="AF37" s="13">
        <f>AE37+AF35-AF36</f>
        <v/>
      </c>
      <c r="AG37" s="13">
        <f>AF37+AG35-AG36</f>
        <v/>
      </c>
      <c r="AH37" s="13">
        <f>AG37+AH35-AH36</f>
        <v/>
      </c>
      <c r="AI37" s="13">
        <f>AH37+AI35-AI36</f>
        <v/>
      </c>
      <c r="AJ37" s="13">
        <f>AI37+AJ35-AJ36</f>
        <v/>
      </c>
      <c r="AK37" s="13">
        <f>AJ37+AK35-AK36</f>
        <v/>
      </c>
      <c r="AL37" s="13">
        <f>AK37+AL35-AL36</f>
        <v/>
      </c>
      <c r="AM37" s="13">
        <f>AL37+AM35-AM36</f>
        <v/>
      </c>
      <c r="AN37" s="13">
        <f>AM37+AN35-AN36</f>
        <v/>
      </c>
      <c r="AO37" s="13">
        <f>AN37+AO35-AO36</f>
        <v/>
      </c>
      <c r="AP37" s="13">
        <f>AO37+AP35-AP36</f>
        <v/>
      </c>
      <c r="AQ37" s="13">
        <f>AP37+AQ35-AQ36</f>
        <v/>
      </c>
      <c r="AR37" s="13">
        <f>AQ37+AR35-AR36</f>
        <v/>
      </c>
      <c r="AS37" s="13">
        <f>AR37+AS35-AS36</f>
        <v/>
      </c>
      <c r="AT37" s="13">
        <f>AS37+AT35-AT36</f>
        <v/>
      </c>
      <c r="AU37" s="13">
        <f>AT37+AU35-AU36</f>
        <v/>
      </c>
      <c r="AV37" s="13">
        <f>AU37+AV35-AV36</f>
        <v/>
      </c>
      <c r="AW37" s="13">
        <f>AV37+AW35-AW36</f>
        <v/>
      </c>
      <c r="AX37" s="13">
        <f>AW37+AX35-AX36</f>
        <v/>
      </c>
      <c r="AY37" s="13">
        <f>AX37+AY35-AY36</f>
        <v/>
      </c>
      <c r="AZ37" s="13">
        <f>AY37+AZ35-AZ36</f>
        <v/>
      </c>
      <c r="BA37" s="13">
        <f>AZ37+BA35-BA36</f>
        <v/>
      </c>
      <c r="BB37" s="13">
        <f>BA37+BB35-BB36</f>
        <v/>
      </c>
      <c r="BC37" s="13">
        <f>BB37+BC35-BC36</f>
        <v/>
      </c>
      <c r="BD37" s="13">
        <f>BC37+BD35-BD36</f>
        <v/>
      </c>
      <c r="BE37" s="13">
        <f>BD37+BE35-BE36</f>
        <v/>
      </c>
      <c r="BF37" s="13">
        <f>BE37+BF35-BF36</f>
        <v/>
      </c>
      <c r="BG37" s="13">
        <f>BF37+BG35-BG36</f>
        <v/>
      </c>
      <c r="BH37" s="13">
        <f>BG37+BH35-BH36</f>
        <v/>
      </c>
      <c r="BI37" s="13">
        <f>BH37+BI35-BI36</f>
        <v/>
      </c>
      <c r="BJ37" s="13">
        <f>BI37+BJ35-BJ36</f>
        <v/>
      </c>
    </row>
    <row r="38">
      <c r="D38" t="inlineStr">
        <is>
          <t>VAT facility interest</t>
        </is>
      </c>
      <c r="E38" t="inlineStr">
        <is>
          <t>USD m</t>
        </is>
      </c>
      <c r="G38" s="13">
        <f>SUM(J38:BJ38)</f>
        <v/>
      </c>
      <c r="J38" s="13">
        <f>I37*(J18+Inputs!$F$71)/100*J11/Inputs!$F$248/J16</f>
        <v/>
      </c>
      <c r="K38" s="13">
        <f>J37*(K18+Inputs!$F$71)/100*K11/Inputs!$F$248/K16</f>
        <v/>
      </c>
      <c r="L38" s="13">
        <f>K37*(L18+Inputs!$F$71)/100*L11/Inputs!$F$248/L16</f>
        <v/>
      </c>
      <c r="M38" s="13">
        <f>L37*(M18+Inputs!$F$71)/100*M11/Inputs!$F$248/M16</f>
        <v/>
      </c>
      <c r="N38" s="13">
        <f>M37*(N18+Inputs!$F$71)/100*N11/Inputs!$F$248/N16</f>
        <v/>
      </c>
      <c r="O38" s="13">
        <f>N37*(O18+Inputs!$F$71)/100*O11/Inputs!$F$248/O16</f>
        <v/>
      </c>
      <c r="P38" s="13">
        <f>O37*(P18+Inputs!$F$71)/100*P11/Inputs!$F$248/P16</f>
        <v/>
      </c>
      <c r="Q38" s="13">
        <f>P37*(Q18+Inputs!$F$71)/100*Q11/Inputs!$F$248/Q16</f>
        <v/>
      </c>
      <c r="R38" s="13">
        <f>Q37*(R18+Inputs!$F$71)/100*R11/Inputs!$F$248/R16</f>
        <v/>
      </c>
      <c r="S38" s="13">
        <f>R37*(S18+Inputs!$F$71)/100*S11/Inputs!$F$248/S16</f>
        <v/>
      </c>
      <c r="T38" s="13">
        <f>S37*(T18+Inputs!$F$71)/100*T11/Inputs!$F$248/T16</f>
        <v/>
      </c>
      <c r="U38" s="13">
        <f>T37*(U18+Inputs!$F$71)/100*U11/Inputs!$F$248/U16</f>
        <v/>
      </c>
      <c r="V38" s="13">
        <f>U37*(V18+Inputs!$F$71)/100*V11/Inputs!$F$248/V16</f>
        <v/>
      </c>
      <c r="W38" s="13">
        <f>V37*(W18+Inputs!$F$71)/100*W11/Inputs!$F$248/W16</f>
        <v/>
      </c>
      <c r="X38" s="13">
        <f>W37*(X18+Inputs!$F$71)/100*X11/Inputs!$F$248/X16</f>
        <v/>
      </c>
      <c r="Y38" s="13">
        <f>X37*(Y18+Inputs!$F$71)/100*Y11/Inputs!$F$248/Y16</f>
        <v/>
      </c>
      <c r="Z38" s="13">
        <f>Y37*(Z18+Inputs!$F$71)/100*Z11/Inputs!$F$248/Z16</f>
        <v/>
      </c>
      <c r="AA38" s="13">
        <f>Z37*(AA18+Inputs!$F$71)/100*AA11/Inputs!$F$248/AA16</f>
        <v/>
      </c>
      <c r="AB38" s="13">
        <f>AA37*(AB18+Inputs!$F$71)/100*AB11/Inputs!$F$248/AB16</f>
        <v/>
      </c>
      <c r="AC38" s="13">
        <f>AB37*(AC18+Inputs!$F$71)/100*AC11/Inputs!$F$248/AC16</f>
        <v/>
      </c>
      <c r="AD38" s="13">
        <f>AC37*(AD18+Inputs!$F$71)/100*AD11/Inputs!$F$248/AD16</f>
        <v/>
      </c>
      <c r="AE38" s="13">
        <f>AD37*(AE18+Inputs!$F$71)/100*AE11/Inputs!$F$248/AE16</f>
        <v/>
      </c>
      <c r="AF38" s="13">
        <f>AE37*(AF18+Inputs!$F$71)/100*AF11/Inputs!$F$248/AF16</f>
        <v/>
      </c>
      <c r="AG38" s="13">
        <f>AF37*(AG18+Inputs!$F$71)/100*AG11/Inputs!$F$248/AG16</f>
        <v/>
      </c>
      <c r="AH38" s="13">
        <f>AG37*(AH18+Inputs!$F$71)/100*AH11/Inputs!$F$248/AH16</f>
        <v/>
      </c>
      <c r="AI38" s="13">
        <f>AH37*(AI18+Inputs!$F$71)/100*AI11/Inputs!$F$248/AI16</f>
        <v/>
      </c>
      <c r="AJ38" s="13">
        <f>AI37*(AJ18+Inputs!$F$71)/100*AJ11/Inputs!$F$248/AJ16</f>
        <v/>
      </c>
      <c r="AK38" s="13">
        <f>AJ37*(AK18+Inputs!$F$71)/100*AK11/Inputs!$F$248/AK16</f>
        <v/>
      </c>
      <c r="AL38" s="13">
        <f>AK37*(AL18+Inputs!$F$71)/100*AL11/Inputs!$F$248/AL16</f>
        <v/>
      </c>
      <c r="AM38" s="13">
        <f>AL37*(AM18+Inputs!$F$71)/100*AM11/Inputs!$F$248/AM16</f>
        <v/>
      </c>
      <c r="AN38" s="13">
        <f>AM37*(AN18+Inputs!$F$71)/100*AN11/Inputs!$F$248/AN16</f>
        <v/>
      </c>
      <c r="AO38" s="13">
        <f>AN37*(AO18+Inputs!$F$71)/100*AO11/Inputs!$F$248/AO16</f>
        <v/>
      </c>
      <c r="AP38" s="13">
        <f>AO37*(AP18+Inputs!$F$71)/100*AP11/Inputs!$F$248/AP16</f>
        <v/>
      </c>
      <c r="AQ38" s="13">
        <f>AP37*(AQ18+Inputs!$F$71)/100*AQ11/Inputs!$F$248/AQ16</f>
        <v/>
      </c>
      <c r="AR38" s="13">
        <f>AQ37*(AR18+Inputs!$F$71)/100*AR11/Inputs!$F$248/AR16</f>
        <v/>
      </c>
      <c r="AS38" s="13">
        <f>AR37*(AS18+Inputs!$F$71)/100*AS11/Inputs!$F$248/AS16</f>
        <v/>
      </c>
      <c r="AT38" s="13">
        <f>AS37*(AT18+Inputs!$F$71)/100*AT11/Inputs!$F$248/AT16</f>
        <v/>
      </c>
      <c r="AU38" s="13">
        <f>AT37*(AU18+Inputs!$F$71)/100*AU11/Inputs!$F$248/AU16</f>
        <v/>
      </c>
      <c r="AV38" s="13">
        <f>AU37*(AV18+Inputs!$F$71)/100*AV11/Inputs!$F$248/AV16</f>
        <v/>
      </c>
      <c r="AW38" s="13">
        <f>AV37*(AW18+Inputs!$F$71)/100*AW11/Inputs!$F$248/AW16</f>
        <v/>
      </c>
      <c r="AX38" s="13">
        <f>AW37*(AX18+Inputs!$F$71)/100*AX11/Inputs!$F$248/AX16</f>
        <v/>
      </c>
      <c r="AY38" s="13">
        <f>AX37*(AY18+Inputs!$F$71)/100*AY11/Inputs!$F$248/AY16</f>
        <v/>
      </c>
      <c r="AZ38" s="13">
        <f>AY37*(AZ18+Inputs!$F$71)/100*AZ11/Inputs!$F$248/AZ16</f>
        <v/>
      </c>
      <c r="BA38" s="13">
        <f>AZ37*(BA18+Inputs!$F$71)/100*BA11/Inputs!$F$248/BA16</f>
        <v/>
      </c>
      <c r="BB38" s="13">
        <f>BA37*(BB18+Inputs!$F$71)/100*BB11/Inputs!$F$248/BB16</f>
        <v/>
      </c>
      <c r="BC38" s="13">
        <f>BB37*(BC18+Inputs!$F$71)/100*BC11/Inputs!$F$248/BC16</f>
        <v/>
      </c>
      <c r="BD38" s="13">
        <f>BC37*(BD18+Inputs!$F$71)/100*BD11/Inputs!$F$248/BD16</f>
        <v/>
      </c>
      <c r="BE38" s="13">
        <f>BD37*(BE18+Inputs!$F$71)/100*BE11/Inputs!$F$248/BE16</f>
        <v/>
      </c>
      <c r="BF38" s="13">
        <f>BE37*(BF18+Inputs!$F$71)/100*BF11/Inputs!$F$248/BF16</f>
        <v/>
      </c>
      <c r="BG38" s="13">
        <f>BF37*(BG18+Inputs!$F$71)/100*BG11/Inputs!$F$248/BG16</f>
        <v/>
      </c>
      <c r="BH38" s="13">
        <f>BG37*(BH18+Inputs!$F$71)/100*BH11/Inputs!$F$248/BH16</f>
        <v/>
      </c>
      <c r="BI38" s="13">
        <f>BH37*(BI18+Inputs!$F$71)/100*BI11/Inputs!$F$248/BI16</f>
        <v/>
      </c>
      <c r="BJ38" s="13">
        <f>BI37*(BJ18+Inputs!$F$71)/100*BJ11/Inputs!$F$248/BJ16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9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Operations: macro paths, plant, revenue, operating costs, working capital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Macro paths</t>
        </is>
      </c>
    </row>
    <row r="8">
      <c r="D8" t="inlineStr">
        <is>
          <t>Base rate before sensitivity shift</t>
        </is>
      </c>
      <c r="E8" t="inlineStr">
        <is>
          <t>%</t>
        </is>
      </c>
      <c r="J8" s="13">
        <f>CHOOSE(Inputs!$F$33,Inputs!J291,Inputs!J292,Inputs!J293)</f>
        <v/>
      </c>
      <c r="K8" s="13">
        <f>CHOOSE(Inputs!$F$33,Inputs!K291,Inputs!K292,Inputs!K293)</f>
        <v/>
      </c>
      <c r="L8" s="13">
        <f>CHOOSE(Inputs!$F$33,Inputs!L291,Inputs!L292,Inputs!L293)</f>
        <v/>
      </c>
      <c r="M8" s="13">
        <f>CHOOSE(Inputs!$F$33,Inputs!M291,Inputs!M292,Inputs!M293)</f>
        <v/>
      </c>
      <c r="N8" s="13">
        <f>CHOOSE(Inputs!$F$33,Inputs!N291,Inputs!N292,Inputs!N293)</f>
        <v/>
      </c>
      <c r="O8" s="13">
        <f>CHOOSE(Inputs!$F$33,Inputs!O291,Inputs!O292,Inputs!O293)</f>
        <v/>
      </c>
      <c r="P8" s="13">
        <f>CHOOSE(Inputs!$F$33,Inputs!P291,Inputs!P292,Inputs!P293)</f>
        <v/>
      </c>
      <c r="Q8" s="13">
        <f>CHOOSE(Inputs!$F$33,Inputs!Q291,Inputs!Q292,Inputs!Q293)</f>
        <v/>
      </c>
      <c r="R8" s="13">
        <f>CHOOSE(Inputs!$F$33,Inputs!R291,Inputs!R292,Inputs!R293)</f>
        <v/>
      </c>
      <c r="S8" s="13">
        <f>CHOOSE(Inputs!$F$33,Inputs!S291,Inputs!S292,Inputs!S293)</f>
        <v/>
      </c>
      <c r="T8" s="13">
        <f>CHOOSE(Inputs!$F$33,Inputs!T291,Inputs!T292,Inputs!T293)</f>
        <v/>
      </c>
      <c r="U8" s="13">
        <f>CHOOSE(Inputs!$F$33,Inputs!U291,Inputs!U292,Inputs!U293)</f>
        <v/>
      </c>
      <c r="V8" s="13">
        <f>CHOOSE(Inputs!$F$33,Inputs!V291,Inputs!V292,Inputs!V293)</f>
        <v/>
      </c>
      <c r="W8" s="13">
        <f>CHOOSE(Inputs!$F$33,Inputs!W291,Inputs!W292,Inputs!W293)</f>
        <v/>
      </c>
      <c r="X8" s="13">
        <f>CHOOSE(Inputs!$F$33,Inputs!X291,Inputs!X292,Inputs!X293)</f>
        <v/>
      </c>
      <c r="Y8" s="13">
        <f>CHOOSE(Inputs!$F$33,Inputs!Y291,Inputs!Y292,Inputs!Y293)</f>
        <v/>
      </c>
      <c r="Z8" s="13">
        <f>CHOOSE(Inputs!$F$33,Inputs!Z291,Inputs!Z292,Inputs!Z293)</f>
        <v/>
      </c>
      <c r="AA8" s="13">
        <f>CHOOSE(Inputs!$F$33,Inputs!AA291,Inputs!AA292,Inputs!AA293)</f>
        <v/>
      </c>
      <c r="AB8" s="13">
        <f>CHOOSE(Inputs!$F$33,Inputs!AB291,Inputs!AB292,Inputs!AB293)</f>
        <v/>
      </c>
      <c r="AC8" s="13">
        <f>CHOOSE(Inputs!$F$33,Inputs!AC291,Inputs!AC292,Inputs!AC293)</f>
        <v/>
      </c>
      <c r="AD8" s="13">
        <f>CHOOSE(Inputs!$F$33,Inputs!AD291,Inputs!AD292,Inputs!AD293)</f>
        <v/>
      </c>
      <c r="AE8" s="13">
        <f>CHOOSE(Inputs!$F$33,Inputs!AE291,Inputs!AE292,Inputs!AE293)</f>
        <v/>
      </c>
      <c r="AF8" s="13">
        <f>CHOOSE(Inputs!$F$33,Inputs!AF291,Inputs!AF292,Inputs!AF293)</f>
        <v/>
      </c>
      <c r="AG8" s="13">
        <f>CHOOSE(Inputs!$F$33,Inputs!AG291,Inputs!AG292,Inputs!AG293)</f>
        <v/>
      </c>
      <c r="AH8" s="13">
        <f>CHOOSE(Inputs!$F$33,Inputs!AH291,Inputs!AH292,Inputs!AH293)</f>
        <v/>
      </c>
      <c r="AI8" s="13">
        <f>CHOOSE(Inputs!$F$33,Inputs!AI291,Inputs!AI292,Inputs!AI293)</f>
        <v/>
      </c>
      <c r="AJ8" s="13">
        <f>CHOOSE(Inputs!$F$33,Inputs!AJ291,Inputs!AJ292,Inputs!AJ293)</f>
        <v/>
      </c>
      <c r="AK8" s="13">
        <f>CHOOSE(Inputs!$F$33,Inputs!AK291,Inputs!AK292,Inputs!AK293)</f>
        <v/>
      </c>
      <c r="AL8" s="13">
        <f>CHOOSE(Inputs!$F$33,Inputs!AL291,Inputs!AL292,Inputs!AL293)</f>
        <v/>
      </c>
      <c r="AM8" s="13">
        <f>CHOOSE(Inputs!$F$33,Inputs!AM291,Inputs!AM292,Inputs!AM293)</f>
        <v/>
      </c>
      <c r="AN8" s="13">
        <f>CHOOSE(Inputs!$F$33,Inputs!AN291,Inputs!AN292,Inputs!AN293)</f>
        <v/>
      </c>
      <c r="AO8" s="13">
        <f>CHOOSE(Inputs!$F$33,Inputs!AO291,Inputs!AO292,Inputs!AO293)</f>
        <v/>
      </c>
      <c r="AP8" s="13">
        <f>CHOOSE(Inputs!$F$33,Inputs!AP291,Inputs!AP292,Inputs!AP293)</f>
        <v/>
      </c>
      <c r="AQ8" s="13">
        <f>CHOOSE(Inputs!$F$33,Inputs!AQ291,Inputs!AQ292,Inputs!AQ293)</f>
        <v/>
      </c>
      <c r="AR8" s="13">
        <f>CHOOSE(Inputs!$F$33,Inputs!AR291,Inputs!AR292,Inputs!AR293)</f>
        <v/>
      </c>
      <c r="AS8" s="13">
        <f>CHOOSE(Inputs!$F$33,Inputs!AS291,Inputs!AS292,Inputs!AS293)</f>
        <v/>
      </c>
      <c r="AT8" s="13">
        <f>CHOOSE(Inputs!$F$33,Inputs!AT291,Inputs!AT292,Inputs!AT293)</f>
        <v/>
      </c>
      <c r="AU8" s="13">
        <f>CHOOSE(Inputs!$F$33,Inputs!AU291,Inputs!AU292,Inputs!AU293)</f>
        <v/>
      </c>
      <c r="AV8" s="13">
        <f>CHOOSE(Inputs!$F$33,Inputs!AV291,Inputs!AV292,Inputs!AV293)</f>
        <v/>
      </c>
      <c r="AW8" s="13">
        <f>CHOOSE(Inputs!$F$33,Inputs!AW291,Inputs!AW292,Inputs!AW293)</f>
        <v/>
      </c>
      <c r="AX8" s="13">
        <f>CHOOSE(Inputs!$F$33,Inputs!AX291,Inputs!AX292,Inputs!AX293)</f>
        <v/>
      </c>
      <c r="AY8" s="13">
        <f>CHOOSE(Inputs!$F$33,Inputs!AY291,Inputs!AY292,Inputs!AY293)</f>
        <v/>
      </c>
      <c r="AZ8" s="13">
        <f>CHOOSE(Inputs!$F$33,Inputs!AZ291,Inputs!AZ292,Inputs!AZ293)</f>
        <v/>
      </c>
      <c r="BA8" s="13">
        <f>CHOOSE(Inputs!$F$33,Inputs!BA291,Inputs!BA292,Inputs!BA293)</f>
        <v/>
      </c>
      <c r="BB8" s="13">
        <f>CHOOSE(Inputs!$F$33,Inputs!BB291,Inputs!BB292,Inputs!BB293)</f>
        <v/>
      </c>
      <c r="BC8" s="13">
        <f>CHOOSE(Inputs!$F$33,Inputs!BC291,Inputs!BC292,Inputs!BC293)</f>
        <v/>
      </c>
      <c r="BD8" s="13">
        <f>CHOOSE(Inputs!$F$33,Inputs!BD291,Inputs!BD292,Inputs!BD293)</f>
        <v/>
      </c>
      <c r="BE8" s="13">
        <f>CHOOSE(Inputs!$F$33,Inputs!BE291,Inputs!BE292,Inputs!BE293)</f>
        <v/>
      </c>
      <c r="BF8" s="13">
        <f>CHOOSE(Inputs!$F$33,Inputs!BF291,Inputs!BF292,Inputs!BF293)</f>
        <v/>
      </c>
      <c r="BG8" s="13">
        <f>CHOOSE(Inputs!$F$33,Inputs!BG291,Inputs!BG292,Inputs!BG293)</f>
        <v/>
      </c>
      <c r="BH8" s="13">
        <f>CHOOSE(Inputs!$F$33,Inputs!BH291,Inputs!BH292,Inputs!BH293)</f>
        <v/>
      </c>
      <c r="BI8" s="13">
        <f>CHOOSE(Inputs!$F$33,Inputs!BI291,Inputs!BI292,Inputs!BI293)</f>
        <v/>
      </c>
      <c r="BJ8" s="13">
        <f>CHOOSE(Inputs!$F$33,Inputs!BJ291,Inputs!BJ292,Inputs!BJ293)</f>
        <v/>
      </c>
      <c r="BK8" s="13">
        <f>CHOOSE(Inputs!$F$33,Inputs!BK291,Inputs!BK292,Inputs!BK293)</f>
        <v/>
      </c>
      <c r="BL8" s="13">
        <f>CHOOSE(Inputs!$F$33,Inputs!BL291,Inputs!BL292,Inputs!BL293)</f>
        <v/>
      </c>
      <c r="BM8" s="13">
        <f>CHOOSE(Inputs!$F$33,Inputs!BM291,Inputs!BM292,Inputs!BM293)</f>
        <v/>
      </c>
      <c r="BN8" s="13">
        <f>CHOOSE(Inputs!$F$33,Inputs!BN291,Inputs!BN292,Inputs!BN293)</f>
        <v/>
      </c>
    </row>
    <row r="9">
      <c r="D9" t="inlineStr">
        <is>
          <t>Base rate (6M LIBOR / Term SOFR + CAS)</t>
        </is>
      </c>
      <c r="E9" t="inlineStr">
        <is>
          <t>%</t>
        </is>
      </c>
      <c r="J9" s="13">
        <f>J8+Inputs!$F$42*Time!J39</f>
        <v/>
      </c>
      <c r="K9" s="13">
        <f>K8+Inputs!$F$42*Time!K39</f>
        <v/>
      </c>
      <c r="L9" s="13">
        <f>L8+Inputs!$F$42*Time!L39</f>
        <v/>
      </c>
      <c r="M9" s="13">
        <f>M8+Inputs!$F$42*Time!M39</f>
        <v/>
      </c>
      <c r="N9" s="13">
        <f>N8+Inputs!$F$42*Time!N39</f>
        <v/>
      </c>
      <c r="O9" s="13">
        <f>O8+Inputs!$F$42*Time!O39</f>
        <v/>
      </c>
      <c r="P9" s="13">
        <f>P8+Inputs!$F$42*Time!P39</f>
        <v/>
      </c>
      <c r="Q9" s="13">
        <f>Q8+Inputs!$F$42*Time!Q39</f>
        <v/>
      </c>
      <c r="R9" s="13">
        <f>R8+Inputs!$F$42*Time!R39</f>
        <v/>
      </c>
      <c r="S9" s="13">
        <f>S8+Inputs!$F$42*Time!S39</f>
        <v/>
      </c>
      <c r="T9" s="13">
        <f>T8+Inputs!$F$42*Time!T39</f>
        <v/>
      </c>
      <c r="U9" s="13">
        <f>U8+Inputs!$F$42*Time!U39</f>
        <v/>
      </c>
      <c r="V9" s="13">
        <f>V8+Inputs!$F$42*Time!V39</f>
        <v/>
      </c>
      <c r="W9" s="13">
        <f>W8+Inputs!$F$42*Time!W39</f>
        <v/>
      </c>
      <c r="X9" s="13">
        <f>X8+Inputs!$F$42*Time!X39</f>
        <v/>
      </c>
      <c r="Y9" s="13">
        <f>Y8+Inputs!$F$42*Time!Y39</f>
        <v/>
      </c>
      <c r="Z9" s="13">
        <f>Z8+Inputs!$F$42*Time!Z39</f>
        <v/>
      </c>
      <c r="AA9" s="13">
        <f>AA8+Inputs!$F$42*Time!AA39</f>
        <v/>
      </c>
      <c r="AB9" s="13">
        <f>AB8+Inputs!$F$42*Time!AB39</f>
        <v/>
      </c>
      <c r="AC9" s="13">
        <f>AC8+Inputs!$F$42*Time!AC39</f>
        <v/>
      </c>
      <c r="AD9" s="13">
        <f>AD8+Inputs!$F$42*Time!AD39</f>
        <v/>
      </c>
      <c r="AE9" s="13">
        <f>AE8+Inputs!$F$42*Time!AE39</f>
        <v/>
      </c>
      <c r="AF9" s="13">
        <f>AF8+Inputs!$F$42*Time!AF39</f>
        <v/>
      </c>
      <c r="AG9" s="13">
        <f>AG8+Inputs!$F$42*Time!AG39</f>
        <v/>
      </c>
      <c r="AH9" s="13">
        <f>AH8+Inputs!$F$42*Time!AH39</f>
        <v/>
      </c>
      <c r="AI9" s="13">
        <f>AI8+Inputs!$F$42*Time!AI39</f>
        <v/>
      </c>
      <c r="AJ9" s="13">
        <f>AJ8+Inputs!$F$42*Time!AJ39</f>
        <v/>
      </c>
      <c r="AK9" s="13">
        <f>AK8+Inputs!$F$42*Time!AK39</f>
        <v/>
      </c>
      <c r="AL9" s="13">
        <f>AL8+Inputs!$F$42*Time!AL39</f>
        <v/>
      </c>
      <c r="AM9" s="13">
        <f>AM8+Inputs!$F$42*Time!AM39</f>
        <v/>
      </c>
      <c r="AN9" s="13">
        <f>AN8+Inputs!$F$42*Time!AN39</f>
        <v/>
      </c>
      <c r="AO9" s="13">
        <f>AO8+Inputs!$F$42*Time!AO39</f>
        <v/>
      </c>
      <c r="AP9" s="13">
        <f>AP8+Inputs!$F$42*Time!AP39</f>
        <v/>
      </c>
      <c r="AQ9" s="13">
        <f>AQ8+Inputs!$F$42*Time!AQ39</f>
        <v/>
      </c>
      <c r="AR9" s="13">
        <f>AR8+Inputs!$F$42*Time!AR39</f>
        <v/>
      </c>
      <c r="AS9" s="13">
        <f>AS8+Inputs!$F$42*Time!AS39</f>
        <v/>
      </c>
      <c r="AT9" s="13">
        <f>AT8+Inputs!$F$42*Time!AT39</f>
        <v/>
      </c>
      <c r="AU9" s="13">
        <f>AU8+Inputs!$F$42*Time!AU39</f>
        <v/>
      </c>
      <c r="AV9" s="13">
        <f>AV8+Inputs!$F$42*Time!AV39</f>
        <v/>
      </c>
      <c r="AW9" s="13">
        <f>AW8+Inputs!$F$42*Time!AW39</f>
        <v/>
      </c>
      <c r="AX9" s="13">
        <f>AX8+Inputs!$F$42*Time!AX39</f>
        <v/>
      </c>
      <c r="AY9" s="13">
        <f>AY8+Inputs!$F$42*Time!AY39</f>
        <v/>
      </c>
      <c r="AZ9" s="13">
        <f>AZ8+Inputs!$F$42*Time!AZ39</f>
        <v/>
      </c>
      <c r="BA9" s="13">
        <f>BA8+Inputs!$F$42*Time!BA39</f>
        <v/>
      </c>
      <c r="BB9" s="13">
        <f>BB8+Inputs!$F$42*Time!BB39</f>
        <v/>
      </c>
      <c r="BC9" s="13">
        <f>BC8+Inputs!$F$42*Time!BC39</f>
        <v/>
      </c>
      <c r="BD9" s="13">
        <f>BD8+Inputs!$F$42*Time!BD39</f>
        <v/>
      </c>
      <c r="BE9" s="13">
        <f>BE8+Inputs!$F$42*Time!BE39</f>
        <v/>
      </c>
      <c r="BF9" s="13">
        <f>BF8+Inputs!$F$42*Time!BF39</f>
        <v/>
      </c>
      <c r="BG9" s="13">
        <f>BG8+Inputs!$F$42*Time!BG39</f>
        <v/>
      </c>
      <c r="BH9" s="13">
        <f>BH8+Inputs!$F$42*Time!BH39</f>
        <v/>
      </c>
      <c r="BI9" s="13">
        <f>BI8+Inputs!$F$42*Time!BI39</f>
        <v/>
      </c>
      <c r="BJ9" s="13">
        <f>BJ8+Inputs!$F$42*Time!BJ39</f>
        <v/>
      </c>
      <c r="BK9" s="13">
        <f>BK8+Inputs!$F$42*Time!BK39</f>
        <v/>
      </c>
      <c r="BL9" s="13">
        <f>BL8+Inputs!$F$42*Time!BL39</f>
        <v/>
      </c>
      <c r="BM9" s="13">
        <f>BM8+Inputs!$F$42*Time!BM39</f>
        <v/>
      </c>
      <c r="BN9" s="13">
        <f>BN8+Inputs!$F$42*Time!BN39</f>
        <v/>
      </c>
    </row>
    <row r="10">
      <c r="D10" t="inlineStr">
        <is>
          <t>KCR per USD before devaluation sensitivity</t>
        </is>
      </c>
      <c r="E10" t="inlineStr">
        <is>
          <t>KCR/USD</t>
        </is>
      </c>
      <c r="J10" s="13">
        <f>CHOOSE(Inputs!$F$33,Inputs!$F$60*Time!$F$16^((Time!J20-Inputs!$F$212)*Time!J24),IF(Inputs!J294&gt;0,Inputs!J294,I10*((1+J13/100)/(1+J12/100))^Time!J24),IF(Time!J54=0,Inputs!J294,I10*Time!$F$16^Time!J24))</f>
        <v/>
      </c>
      <c r="K10" s="13">
        <f>CHOOSE(Inputs!$F$33,Inputs!$F$60*Time!$F$16^((Time!K20-Inputs!$F$212)*Time!K24),IF(Inputs!K294&gt;0,Inputs!K294,J10*((1+K13/100)/(1+K12/100))^Time!K24),IF(Time!K54=0,Inputs!K294,J10*Time!$F$16^Time!K24))</f>
        <v/>
      </c>
      <c r="L10" s="13">
        <f>CHOOSE(Inputs!$F$33,Inputs!$F$60*Time!$F$16^((Time!L20-Inputs!$F$212)*Time!L24),IF(Inputs!L294&gt;0,Inputs!L294,K10*((1+L13/100)/(1+L12/100))^Time!L24),IF(Time!L54=0,Inputs!L294,K10*Time!$F$16^Time!L24))</f>
        <v/>
      </c>
      <c r="M10" s="13">
        <f>CHOOSE(Inputs!$F$33,Inputs!$F$60*Time!$F$16^((Time!M20-Inputs!$F$212)*Time!M24),IF(Inputs!M294&gt;0,Inputs!M294,L10*((1+M13/100)/(1+M12/100))^Time!M24),IF(Time!M54=0,Inputs!M294,L10*Time!$F$16^Time!M24))</f>
        <v/>
      </c>
      <c r="N10" s="13">
        <f>CHOOSE(Inputs!$F$33,Inputs!$F$60*Time!$F$16^((Time!N20-Inputs!$F$212)*Time!N24),IF(Inputs!N294&gt;0,Inputs!N294,M10*((1+N13/100)/(1+N12/100))^Time!N24),IF(Time!N54=0,Inputs!N294,M10*Time!$F$16^Time!N24))</f>
        <v/>
      </c>
      <c r="O10" s="13">
        <f>CHOOSE(Inputs!$F$33,Inputs!$F$60*Time!$F$16^((Time!O20-Inputs!$F$212)*Time!O24),IF(Inputs!O294&gt;0,Inputs!O294,N10*((1+O13/100)/(1+O12/100))^Time!O24),IF(Time!O54=0,Inputs!O294,N10*Time!$F$16^Time!O24))</f>
        <v/>
      </c>
      <c r="P10" s="13">
        <f>CHOOSE(Inputs!$F$33,Inputs!$F$60*Time!$F$16^((Time!P20-Inputs!$F$212)*Time!P24),IF(Inputs!P294&gt;0,Inputs!P294,O10*((1+P13/100)/(1+P12/100))^Time!P24),IF(Time!P54=0,Inputs!P294,O10*Time!$F$16^Time!P24))</f>
        <v/>
      </c>
      <c r="Q10" s="13">
        <f>CHOOSE(Inputs!$F$33,Inputs!$F$60*Time!$F$16^((Time!Q20-Inputs!$F$212)*Time!Q24),IF(Inputs!Q294&gt;0,Inputs!Q294,P10*((1+Q13/100)/(1+Q12/100))^Time!Q24),IF(Time!Q54=0,Inputs!Q294,P10*Time!$F$16^Time!Q24))</f>
        <v/>
      </c>
      <c r="R10" s="13">
        <f>CHOOSE(Inputs!$F$33,Inputs!$F$60*Time!$F$16^((Time!R20-Inputs!$F$212)*Time!R24),IF(Inputs!R294&gt;0,Inputs!R294,Q10*((1+R13/100)/(1+R12/100))^Time!R24),IF(Time!R54=0,Inputs!R294,Q10*Time!$F$16^Time!R24))</f>
        <v/>
      </c>
      <c r="S10" s="13">
        <f>CHOOSE(Inputs!$F$33,Inputs!$F$60*Time!$F$16^((Time!S20-Inputs!$F$212)*Time!S24),IF(Inputs!S294&gt;0,Inputs!S294,R10*((1+S13/100)/(1+S12/100))^Time!S24),IF(Time!S54=0,Inputs!S294,R10*Time!$F$16^Time!S24))</f>
        <v/>
      </c>
      <c r="T10" s="13">
        <f>CHOOSE(Inputs!$F$33,Inputs!$F$60*Time!$F$16^((Time!T20-Inputs!$F$212)*Time!T24),IF(Inputs!T294&gt;0,Inputs!T294,S10*((1+T13/100)/(1+T12/100))^Time!T24),IF(Time!T54=0,Inputs!T294,S10*Time!$F$16^Time!T24))</f>
        <v/>
      </c>
      <c r="U10" s="13">
        <f>CHOOSE(Inputs!$F$33,Inputs!$F$60*Time!$F$16^((Time!U20-Inputs!$F$212)*Time!U24),IF(Inputs!U294&gt;0,Inputs!U294,T10*((1+U13/100)/(1+U12/100))^Time!U24),IF(Time!U54=0,Inputs!U294,T10*Time!$F$16^Time!U24))</f>
        <v/>
      </c>
      <c r="V10" s="13">
        <f>CHOOSE(Inputs!$F$33,Inputs!$F$60*Time!$F$16^((Time!V20-Inputs!$F$212)*Time!V24),IF(Inputs!V294&gt;0,Inputs!V294,U10*((1+V13/100)/(1+V12/100))^Time!V24),IF(Time!V54=0,Inputs!V294,U10*Time!$F$16^Time!V24))</f>
        <v/>
      </c>
      <c r="W10" s="13">
        <f>CHOOSE(Inputs!$F$33,Inputs!$F$60*Time!$F$16^((Time!W20-Inputs!$F$212)*Time!W24),IF(Inputs!W294&gt;0,Inputs!W294,V10*((1+W13/100)/(1+W12/100))^Time!W24),IF(Time!W54=0,Inputs!W294,V10*Time!$F$16^Time!W24))</f>
        <v/>
      </c>
      <c r="X10" s="13">
        <f>CHOOSE(Inputs!$F$33,Inputs!$F$60*Time!$F$16^((Time!X20-Inputs!$F$212)*Time!X24),IF(Inputs!X294&gt;0,Inputs!X294,W10*((1+X13/100)/(1+X12/100))^Time!X24),IF(Time!X54=0,Inputs!X294,W10*Time!$F$16^Time!X24))</f>
        <v/>
      </c>
      <c r="Y10" s="13">
        <f>CHOOSE(Inputs!$F$33,Inputs!$F$60*Time!$F$16^((Time!Y20-Inputs!$F$212)*Time!Y24),IF(Inputs!Y294&gt;0,Inputs!Y294,X10*((1+Y13/100)/(1+Y12/100))^Time!Y24),IF(Time!Y54=0,Inputs!Y294,X10*Time!$F$16^Time!Y24))</f>
        <v/>
      </c>
      <c r="Z10" s="13">
        <f>CHOOSE(Inputs!$F$33,Inputs!$F$60*Time!$F$16^((Time!Z20-Inputs!$F$212)*Time!Z24),IF(Inputs!Z294&gt;0,Inputs!Z294,Y10*((1+Z13/100)/(1+Z12/100))^Time!Z24),IF(Time!Z54=0,Inputs!Z294,Y10*Time!$F$16^Time!Z24))</f>
        <v/>
      </c>
      <c r="AA10" s="13">
        <f>CHOOSE(Inputs!$F$33,Inputs!$F$60*Time!$F$16^((Time!AA20-Inputs!$F$212)*Time!AA24),IF(Inputs!AA294&gt;0,Inputs!AA294,Z10*((1+AA13/100)/(1+AA12/100))^Time!AA24),IF(Time!AA54=0,Inputs!AA294,Z10*Time!$F$16^Time!AA24))</f>
        <v/>
      </c>
      <c r="AB10" s="13">
        <f>CHOOSE(Inputs!$F$33,Inputs!$F$60*Time!$F$16^((Time!AB20-Inputs!$F$212)*Time!AB24),IF(Inputs!AB294&gt;0,Inputs!AB294,AA10*((1+AB13/100)/(1+AB12/100))^Time!AB24),IF(Time!AB54=0,Inputs!AB294,AA10*Time!$F$16^Time!AB24))</f>
        <v/>
      </c>
      <c r="AC10" s="13">
        <f>CHOOSE(Inputs!$F$33,Inputs!$F$60*Time!$F$16^((Time!AC20-Inputs!$F$212)*Time!AC24),IF(Inputs!AC294&gt;0,Inputs!AC294,AB10*((1+AC13/100)/(1+AC12/100))^Time!AC24),IF(Time!AC54=0,Inputs!AC294,AB10*Time!$F$16^Time!AC24))</f>
        <v/>
      </c>
      <c r="AD10" s="13">
        <f>CHOOSE(Inputs!$F$33,Inputs!$F$60*Time!$F$16^((Time!AD20-Inputs!$F$212)*Time!AD24),IF(Inputs!AD294&gt;0,Inputs!AD294,AC10*((1+AD13/100)/(1+AD12/100))^Time!AD24),IF(Time!AD54=0,Inputs!AD294,AC10*Time!$F$16^Time!AD24))</f>
        <v/>
      </c>
      <c r="AE10" s="13">
        <f>CHOOSE(Inputs!$F$33,Inputs!$F$60*Time!$F$16^((Time!AE20-Inputs!$F$212)*Time!AE24),IF(Inputs!AE294&gt;0,Inputs!AE294,AD10*((1+AE13/100)/(1+AE12/100))^Time!AE24),IF(Time!AE54=0,Inputs!AE294,AD10*Time!$F$16^Time!AE24))</f>
        <v/>
      </c>
      <c r="AF10" s="13">
        <f>CHOOSE(Inputs!$F$33,Inputs!$F$60*Time!$F$16^((Time!AF20-Inputs!$F$212)*Time!AF24),IF(Inputs!AF294&gt;0,Inputs!AF294,AE10*((1+AF13/100)/(1+AF12/100))^Time!AF24),IF(Time!AF54=0,Inputs!AF294,AE10*Time!$F$16^Time!AF24))</f>
        <v/>
      </c>
      <c r="AG10" s="13">
        <f>CHOOSE(Inputs!$F$33,Inputs!$F$60*Time!$F$16^((Time!AG20-Inputs!$F$212)*Time!AG24),IF(Inputs!AG294&gt;0,Inputs!AG294,AF10*((1+AG13/100)/(1+AG12/100))^Time!AG24),IF(Time!AG54=0,Inputs!AG294,AF10*Time!$F$16^Time!AG24))</f>
        <v/>
      </c>
      <c r="AH10" s="13">
        <f>CHOOSE(Inputs!$F$33,Inputs!$F$60*Time!$F$16^((Time!AH20-Inputs!$F$212)*Time!AH24),IF(Inputs!AH294&gt;0,Inputs!AH294,AG10*((1+AH13/100)/(1+AH12/100))^Time!AH24),IF(Time!AH54=0,Inputs!AH294,AG10*Time!$F$16^Time!AH24))</f>
        <v/>
      </c>
      <c r="AI10" s="13">
        <f>CHOOSE(Inputs!$F$33,Inputs!$F$60*Time!$F$16^((Time!AI20-Inputs!$F$212)*Time!AI24),IF(Inputs!AI294&gt;0,Inputs!AI294,AH10*((1+AI13/100)/(1+AI12/100))^Time!AI24),IF(Time!AI54=0,Inputs!AI294,AH10*Time!$F$16^Time!AI24))</f>
        <v/>
      </c>
      <c r="AJ10" s="13">
        <f>CHOOSE(Inputs!$F$33,Inputs!$F$60*Time!$F$16^((Time!AJ20-Inputs!$F$212)*Time!AJ24),IF(Inputs!AJ294&gt;0,Inputs!AJ294,AI10*((1+AJ13/100)/(1+AJ12/100))^Time!AJ24),IF(Time!AJ54=0,Inputs!AJ294,AI10*Time!$F$16^Time!AJ24))</f>
        <v/>
      </c>
      <c r="AK10" s="13">
        <f>CHOOSE(Inputs!$F$33,Inputs!$F$60*Time!$F$16^((Time!AK20-Inputs!$F$212)*Time!AK24),IF(Inputs!AK294&gt;0,Inputs!AK294,AJ10*((1+AK13/100)/(1+AK12/100))^Time!AK24),IF(Time!AK54=0,Inputs!AK294,AJ10*Time!$F$16^Time!AK24))</f>
        <v/>
      </c>
      <c r="AL10" s="13">
        <f>CHOOSE(Inputs!$F$33,Inputs!$F$60*Time!$F$16^((Time!AL20-Inputs!$F$212)*Time!AL24),IF(Inputs!AL294&gt;0,Inputs!AL294,AK10*((1+AL13/100)/(1+AL12/100))^Time!AL24),IF(Time!AL54=0,Inputs!AL294,AK10*Time!$F$16^Time!AL24))</f>
        <v/>
      </c>
      <c r="AM10" s="13">
        <f>CHOOSE(Inputs!$F$33,Inputs!$F$60*Time!$F$16^((Time!AM20-Inputs!$F$212)*Time!AM24),IF(Inputs!AM294&gt;0,Inputs!AM294,AL10*((1+AM13/100)/(1+AM12/100))^Time!AM24),IF(Time!AM54=0,Inputs!AM294,AL10*Time!$F$16^Time!AM24))</f>
        <v/>
      </c>
      <c r="AN10" s="13">
        <f>CHOOSE(Inputs!$F$33,Inputs!$F$60*Time!$F$16^((Time!AN20-Inputs!$F$212)*Time!AN24),IF(Inputs!AN294&gt;0,Inputs!AN294,AM10*((1+AN13/100)/(1+AN12/100))^Time!AN24),IF(Time!AN54=0,Inputs!AN294,AM10*Time!$F$16^Time!AN24))</f>
        <v/>
      </c>
      <c r="AO10" s="13">
        <f>CHOOSE(Inputs!$F$33,Inputs!$F$60*Time!$F$16^((Time!AO20-Inputs!$F$212)*Time!AO24),IF(Inputs!AO294&gt;0,Inputs!AO294,AN10*((1+AO13/100)/(1+AO12/100))^Time!AO24),IF(Time!AO54=0,Inputs!AO294,AN10*Time!$F$16^Time!AO24))</f>
        <v/>
      </c>
      <c r="AP10" s="13">
        <f>CHOOSE(Inputs!$F$33,Inputs!$F$60*Time!$F$16^((Time!AP20-Inputs!$F$212)*Time!AP24),IF(Inputs!AP294&gt;0,Inputs!AP294,AO10*((1+AP13/100)/(1+AP12/100))^Time!AP24),IF(Time!AP54=0,Inputs!AP294,AO10*Time!$F$16^Time!AP24))</f>
        <v/>
      </c>
      <c r="AQ10" s="13">
        <f>CHOOSE(Inputs!$F$33,Inputs!$F$60*Time!$F$16^((Time!AQ20-Inputs!$F$212)*Time!AQ24),IF(Inputs!AQ294&gt;0,Inputs!AQ294,AP10*((1+AQ13/100)/(1+AQ12/100))^Time!AQ24),IF(Time!AQ54=0,Inputs!AQ294,AP10*Time!$F$16^Time!AQ24))</f>
        <v/>
      </c>
      <c r="AR10" s="13">
        <f>CHOOSE(Inputs!$F$33,Inputs!$F$60*Time!$F$16^((Time!AR20-Inputs!$F$212)*Time!AR24),IF(Inputs!AR294&gt;0,Inputs!AR294,AQ10*((1+AR13/100)/(1+AR12/100))^Time!AR24),IF(Time!AR54=0,Inputs!AR294,AQ10*Time!$F$16^Time!AR24))</f>
        <v/>
      </c>
      <c r="AS10" s="13">
        <f>CHOOSE(Inputs!$F$33,Inputs!$F$60*Time!$F$16^((Time!AS20-Inputs!$F$212)*Time!AS24),IF(Inputs!AS294&gt;0,Inputs!AS294,AR10*((1+AS13/100)/(1+AS12/100))^Time!AS24),IF(Time!AS54=0,Inputs!AS294,AR10*Time!$F$16^Time!AS24))</f>
        <v/>
      </c>
      <c r="AT10" s="13">
        <f>CHOOSE(Inputs!$F$33,Inputs!$F$60*Time!$F$16^((Time!AT20-Inputs!$F$212)*Time!AT24),IF(Inputs!AT294&gt;0,Inputs!AT294,AS10*((1+AT13/100)/(1+AT12/100))^Time!AT24),IF(Time!AT54=0,Inputs!AT294,AS10*Time!$F$16^Time!AT24))</f>
        <v/>
      </c>
      <c r="AU10" s="13">
        <f>CHOOSE(Inputs!$F$33,Inputs!$F$60*Time!$F$16^((Time!AU20-Inputs!$F$212)*Time!AU24),IF(Inputs!AU294&gt;0,Inputs!AU294,AT10*((1+AU13/100)/(1+AU12/100))^Time!AU24),IF(Time!AU54=0,Inputs!AU294,AT10*Time!$F$16^Time!AU24))</f>
        <v/>
      </c>
      <c r="AV10" s="13">
        <f>CHOOSE(Inputs!$F$33,Inputs!$F$60*Time!$F$16^((Time!AV20-Inputs!$F$212)*Time!AV24),IF(Inputs!AV294&gt;0,Inputs!AV294,AU10*((1+AV13/100)/(1+AV12/100))^Time!AV24),IF(Time!AV54=0,Inputs!AV294,AU10*Time!$F$16^Time!AV24))</f>
        <v/>
      </c>
      <c r="AW10" s="13">
        <f>CHOOSE(Inputs!$F$33,Inputs!$F$60*Time!$F$16^((Time!AW20-Inputs!$F$212)*Time!AW24),IF(Inputs!AW294&gt;0,Inputs!AW294,AV10*((1+AW13/100)/(1+AW12/100))^Time!AW24),IF(Time!AW54=0,Inputs!AW294,AV10*Time!$F$16^Time!AW24))</f>
        <v/>
      </c>
      <c r="AX10" s="13">
        <f>CHOOSE(Inputs!$F$33,Inputs!$F$60*Time!$F$16^((Time!AX20-Inputs!$F$212)*Time!AX24),IF(Inputs!AX294&gt;0,Inputs!AX294,AW10*((1+AX13/100)/(1+AX12/100))^Time!AX24),IF(Time!AX54=0,Inputs!AX294,AW10*Time!$F$16^Time!AX24))</f>
        <v/>
      </c>
      <c r="AY10" s="13">
        <f>CHOOSE(Inputs!$F$33,Inputs!$F$60*Time!$F$16^((Time!AY20-Inputs!$F$212)*Time!AY24),IF(Inputs!AY294&gt;0,Inputs!AY294,AX10*((1+AY13/100)/(1+AY12/100))^Time!AY24),IF(Time!AY54=0,Inputs!AY294,AX10*Time!$F$16^Time!AY24))</f>
        <v/>
      </c>
      <c r="AZ10" s="13">
        <f>CHOOSE(Inputs!$F$33,Inputs!$F$60*Time!$F$16^((Time!AZ20-Inputs!$F$212)*Time!AZ24),IF(Inputs!AZ294&gt;0,Inputs!AZ294,AY10*((1+AZ13/100)/(1+AZ12/100))^Time!AZ24),IF(Time!AZ54=0,Inputs!AZ294,AY10*Time!$F$16^Time!AZ24))</f>
        <v/>
      </c>
      <c r="BA10" s="13">
        <f>CHOOSE(Inputs!$F$33,Inputs!$F$60*Time!$F$16^((Time!BA20-Inputs!$F$212)*Time!BA24),IF(Inputs!BA294&gt;0,Inputs!BA294,AZ10*((1+BA13/100)/(1+BA12/100))^Time!BA24),IF(Time!BA54=0,Inputs!BA294,AZ10*Time!$F$16^Time!BA24))</f>
        <v/>
      </c>
      <c r="BB10" s="13">
        <f>CHOOSE(Inputs!$F$33,Inputs!$F$60*Time!$F$16^((Time!BB20-Inputs!$F$212)*Time!BB24),IF(Inputs!BB294&gt;0,Inputs!BB294,BA10*((1+BB13/100)/(1+BB12/100))^Time!BB24),IF(Time!BB54=0,Inputs!BB294,BA10*Time!$F$16^Time!BB24))</f>
        <v/>
      </c>
      <c r="BC10" s="13">
        <f>CHOOSE(Inputs!$F$33,Inputs!$F$60*Time!$F$16^((Time!BC20-Inputs!$F$212)*Time!BC24),IF(Inputs!BC294&gt;0,Inputs!BC294,BB10*((1+BC13/100)/(1+BC12/100))^Time!BC24),IF(Time!BC54=0,Inputs!BC294,BB10*Time!$F$16^Time!BC24))</f>
        <v/>
      </c>
      <c r="BD10" s="13">
        <f>CHOOSE(Inputs!$F$33,Inputs!$F$60*Time!$F$16^((Time!BD20-Inputs!$F$212)*Time!BD24),IF(Inputs!BD294&gt;0,Inputs!BD294,BC10*((1+BD13/100)/(1+BD12/100))^Time!BD24),IF(Time!BD54=0,Inputs!BD294,BC10*Time!$F$16^Time!BD24))</f>
        <v/>
      </c>
      <c r="BE10" s="13">
        <f>CHOOSE(Inputs!$F$33,Inputs!$F$60*Time!$F$16^((Time!BE20-Inputs!$F$212)*Time!BE24),IF(Inputs!BE294&gt;0,Inputs!BE294,BD10*((1+BE13/100)/(1+BE12/100))^Time!BE24),IF(Time!BE54=0,Inputs!BE294,BD10*Time!$F$16^Time!BE24))</f>
        <v/>
      </c>
      <c r="BF10" s="13">
        <f>CHOOSE(Inputs!$F$33,Inputs!$F$60*Time!$F$16^((Time!BF20-Inputs!$F$212)*Time!BF24),IF(Inputs!BF294&gt;0,Inputs!BF294,BE10*((1+BF13/100)/(1+BF12/100))^Time!BF24),IF(Time!BF54=0,Inputs!BF294,BE10*Time!$F$16^Time!BF24))</f>
        <v/>
      </c>
      <c r="BG10" s="13">
        <f>CHOOSE(Inputs!$F$33,Inputs!$F$60*Time!$F$16^((Time!BG20-Inputs!$F$212)*Time!BG24),IF(Inputs!BG294&gt;0,Inputs!BG294,BF10*((1+BG13/100)/(1+BG12/100))^Time!BG24),IF(Time!BG54=0,Inputs!BG294,BF10*Time!$F$16^Time!BG24))</f>
        <v/>
      </c>
      <c r="BH10" s="13">
        <f>CHOOSE(Inputs!$F$33,Inputs!$F$60*Time!$F$16^((Time!BH20-Inputs!$F$212)*Time!BH24),IF(Inputs!BH294&gt;0,Inputs!BH294,BG10*((1+BH13/100)/(1+BH12/100))^Time!BH24),IF(Time!BH54=0,Inputs!BH294,BG10*Time!$F$16^Time!BH24))</f>
        <v/>
      </c>
      <c r="BI10" s="13">
        <f>CHOOSE(Inputs!$F$33,Inputs!$F$60*Time!$F$16^((Time!BI20-Inputs!$F$212)*Time!BI24),IF(Inputs!BI294&gt;0,Inputs!BI294,BH10*((1+BI13/100)/(1+BI12/100))^Time!BI24),IF(Time!BI54=0,Inputs!BI294,BH10*Time!$F$16^Time!BI24))</f>
        <v/>
      </c>
      <c r="BJ10" s="13">
        <f>CHOOSE(Inputs!$F$33,Inputs!$F$60*Time!$F$16^((Time!BJ20-Inputs!$F$212)*Time!BJ24),IF(Inputs!BJ294&gt;0,Inputs!BJ294,BI10*((1+BJ13/100)/(1+BJ12/100))^Time!BJ24),IF(Time!BJ54=0,Inputs!BJ294,BI10*Time!$F$16^Time!BJ24))</f>
        <v/>
      </c>
      <c r="BK10" s="13">
        <f>CHOOSE(Inputs!$F$33,Inputs!$F$60*Time!$F$16^((Time!BK20-Inputs!$F$212)*Time!BK24),IF(Inputs!BK294&gt;0,Inputs!BK294,BJ10*((1+BK13/100)/(1+BK12/100))^Time!BK24),IF(Time!BK54=0,Inputs!BK294,BJ10*Time!$F$16^Time!BK24))</f>
        <v/>
      </c>
      <c r="BL10" s="13">
        <f>CHOOSE(Inputs!$F$33,Inputs!$F$60*Time!$F$16^((Time!BL20-Inputs!$F$212)*Time!BL24),IF(Inputs!BL294&gt;0,Inputs!BL294,BK10*((1+BL13/100)/(1+BL12/100))^Time!BL24),IF(Time!BL54=0,Inputs!BL294,BK10*Time!$F$16^Time!BL24))</f>
        <v/>
      </c>
      <c r="BM10" s="13">
        <f>CHOOSE(Inputs!$F$33,Inputs!$F$60*Time!$F$16^((Time!BM20-Inputs!$F$212)*Time!BM24),IF(Inputs!BM294&gt;0,Inputs!BM294,BL10*((1+BM13/100)/(1+BM12/100))^Time!BM24),IF(Time!BM54=0,Inputs!BM294,BL10*Time!$F$16^Time!BM24))</f>
        <v/>
      </c>
      <c r="BN10" s="13">
        <f>CHOOSE(Inputs!$F$33,Inputs!$F$60*Time!$F$16^((Time!BN20-Inputs!$F$212)*Time!BN24),IF(Inputs!BN294&gt;0,Inputs!BN294,BM10*((1+BN13/100)/(1+BN12/100))^Time!BN24),IF(Time!BN54=0,Inputs!BN294,BM10*Time!$F$16^Time!BN24))</f>
        <v/>
      </c>
    </row>
    <row r="11">
      <c r="D11" t="inlineStr">
        <is>
          <t>KCR per USD, period average</t>
        </is>
      </c>
      <c r="E11" t="inlineStr">
        <is>
          <t>KCR/USD</t>
        </is>
      </c>
      <c r="J11" s="13">
        <f>J10/(1-Inputs!$F$43*Time!J39)</f>
        <v/>
      </c>
      <c r="K11" s="13">
        <f>K10/(1-Inputs!$F$43*Time!K39)</f>
        <v/>
      </c>
      <c r="L11" s="13">
        <f>L10/(1-Inputs!$F$43*Time!L39)</f>
        <v/>
      </c>
      <c r="M11" s="13">
        <f>M10/(1-Inputs!$F$43*Time!M39)</f>
        <v/>
      </c>
      <c r="N11" s="13">
        <f>N10/(1-Inputs!$F$43*Time!N39)</f>
        <v/>
      </c>
      <c r="O11" s="13">
        <f>O10/(1-Inputs!$F$43*Time!O39)</f>
        <v/>
      </c>
      <c r="P11" s="13">
        <f>P10/(1-Inputs!$F$43*Time!P39)</f>
        <v/>
      </c>
      <c r="Q11" s="13">
        <f>Q10/(1-Inputs!$F$43*Time!Q39)</f>
        <v/>
      </c>
      <c r="R11" s="13">
        <f>R10/(1-Inputs!$F$43*Time!R39)</f>
        <v/>
      </c>
      <c r="S11" s="13">
        <f>S10/(1-Inputs!$F$43*Time!S39)</f>
        <v/>
      </c>
      <c r="T11" s="13">
        <f>T10/(1-Inputs!$F$43*Time!T39)</f>
        <v/>
      </c>
      <c r="U11" s="13">
        <f>U10/(1-Inputs!$F$43*Time!U39)</f>
        <v/>
      </c>
      <c r="V11" s="13">
        <f>V10/(1-Inputs!$F$43*Time!V39)</f>
        <v/>
      </c>
      <c r="W11" s="13">
        <f>W10/(1-Inputs!$F$43*Time!W39)</f>
        <v/>
      </c>
      <c r="X11" s="13">
        <f>X10/(1-Inputs!$F$43*Time!X39)</f>
        <v/>
      </c>
      <c r="Y11" s="13">
        <f>Y10/(1-Inputs!$F$43*Time!Y39)</f>
        <v/>
      </c>
      <c r="Z11" s="13">
        <f>Z10/(1-Inputs!$F$43*Time!Z39)</f>
        <v/>
      </c>
      <c r="AA11" s="13">
        <f>AA10/(1-Inputs!$F$43*Time!AA39)</f>
        <v/>
      </c>
      <c r="AB11" s="13">
        <f>AB10/(1-Inputs!$F$43*Time!AB39)</f>
        <v/>
      </c>
      <c r="AC11" s="13">
        <f>AC10/(1-Inputs!$F$43*Time!AC39)</f>
        <v/>
      </c>
      <c r="AD11" s="13">
        <f>AD10/(1-Inputs!$F$43*Time!AD39)</f>
        <v/>
      </c>
      <c r="AE11" s="13">
        <f>AE10/(1-Inputs!$F$43*Time!AE39)</f>
        <v/>
      </c>
      <c r="AF11" s="13">
        <f>AF10/(1-Inputs!$F$43*Time!AF39)</f>
        <v/>
      </c>
      <c r="AG11" s="13">
        <f>AG10/(1-Inputs!$F$43*Time!AG39)</f>
        <v/>
      </c>
      <c r="AH11" s="13">
        <f>AH10/(1-Inputs!$F$43*Time!AH39)</f>
        <v/>
      </c>
      <c r="AI11" s="13">
        <f>AI10/(1-Inputs!$F$43*Time!AI39)</f>
        <v/>
      </c>
      <c r="AJ11" s="13">
        <f>AJ10/(1-Inputs!$F$43*Time!AJ39)</f>
        <v/>
      </c>
      <c r="AK11" s="13">
        <f>AK10/(1-Inputs!$F$43*Time!AK39)</f>
        <v/>
      </c>
      <c r="AL11" s="13">
        <f>AL10/(1-Inputs!$F$43*Time!AL39)</f>
        <v/>
      </c>
      <c r="AM11" s="13">
        <f>AM10/(1-Inputs!$F$43*Time!AM39)</f>
        <v/>
      </c>
      <c r="AN11" s="13">
        <f>AN10/(1-Inputs!$F$43*Time!AN39)</f>
        <v/>
      </c>
      <c r="AO11" s="13">
        <f>AO10/(1-Inputs!$F$43*Time!AO39)</f>
        <v/>
      </c>
      <c r="AP11" s="13">
        <f>AP10/(1-Inputs!$F$43*Time!AP39)</f>
        <v/>
      </c>
      <c r="AQ11" s="13">
        <f>AQ10/(1-Inputs!$F$43*Time!AQ39)</f>
        <v/>
      </c>
      <c r="AR11" s="13">
        <f>AR10/(1-Inputs!$F$43*Time!AR39)</f>
        <v/>
      </c>
      <c r="AS11" s="13">
        <f>AS10/(1-Inputs!$F$43*Time!AS39)</f>
        <v/>
      </c>
      <c r="AT11" s="13">
        <f>AT10/(1-Inputs!$F$43*Time!AT39)</f>
        <v/>
      </c>
      <c r="AU11" s="13">
        <f>AU10/(1-Inputs!$F$43*Time!AU39)</f>
        <v/>
      </c>
      <c r="AV11" s="13">
        <f>AV10/(1-Inputs!$F$43*Time!AV39)</f>
        <v/>
      </c>
      <c r="AW11" s="13">
        <f>AW10/(1-Inputs!$F$43*Time!AW39)</f>
        <v/>
      </c>
      <c r="AX11" s="13">
        <f>AX10/(1-Inputs!$F$43*Time!AX39)</f>
        <v/>
      </c>
      <c r="AY11" s="13">
        <f>AY10/(1-Inputs!$F$43*Time!AY39)</f>
        <v/>
      </c>
      <c r="AZ11" s="13">
        <f>AZ10/(1-Inputs!$F$43*Time!AZ39)</f>
        <v/>
      </c>
      <c r="BA11" s="13">
        <f>BA10/(1-Inputs!$F$43*Time!BA39)</f>
        <v/>
      </c>
      <c r="BB11" s="13">
        <f>BB10/(1-Inputs!$F$43*Time!BB39)</f>
        <v/>
      </c>
      <c r="BC11" s="13">
        <f>BC10/(1-Inputs!$F$43*Time!BC39)</f>
        <v/>
      </c>
      <c r="BD11" s="13">
        <f>BD10/(1-Inputs!$F$43*Time!BD39)</f>
        <v/>
      </c>
      <c r="BE11" s="13">
        <f>BE10/(1-Inputs!$F$43*Time!BE39)</f>
        <v/>
      </c>
      <c r="BF11" s="13">
        <f>BF10/(1-Inputs!$F$43*Time!BF39)</f>
        <v/>
      </c>
      <c r="BG11" s="13">
        <f>BG10/(1-Inputs!$F$43*Time!BG39)</f>
        <v/>
      </c>
      <c r="BH11" s="13">
        <f>BH10/(1-Inputs!$F$43*Time!BH39)</f>
        <v/>
      </c>
      <c r="BI11" s="13">
        <f>BI10/(1-Inputs!$F$43*Time!BI39)</f>
        <v/>
      </c>
      <c r="BJ11" s="13">
        <f>BJ10/(1-Inputs!$F$43*Time!BJ39)</f>
        <v/>
      </c>
      <c r="BK11" s="13">
        <f>BK10/(1-Inputs!$F$43*Time!BK39)</f>
        <v/>
      </c>
      <c r="BL11" s="13">
        <f>BL10/(1-Inputs!$F$43*Time!BL39)</f>
        <v/>
      </c>
      <c r="BM11" s="13">
        <f>BM10/(1-Inputs!$F$43*Time!BM39)</f>
        <v/>
      </c>
      <c r="BN11" s="13">
        <f>BN10/(1-Inputs!$F$43*Time!BN39)</f>
        <v/>
      </c>
    </row>
    <row r="12">
      <c r="D12" t="inlineStr">
        <is>
          <t>US CPI change, current year</t>
        </is>
      </c>
      <c r="E12" t="inlineStr">
        <is>
          <t>%</t>
        </is>
      </c>
      <c r="J12" s="13">
        <f>CHOOSE(Inputs!$F$33,INDEX(Inputs!$J$283:$AR$283,1,MATCH((Time!J26-0),Inputs!$J$282:$AR$282,0)),INDEX(Inputs!$J$285:$AR$285,1,MATCH((Time!J26-0),Inputs!$J$282:$AR$282,0)),INDEX(Inputs!$J$287:$AR$287,1,MATCH((Time!J26-0),Inputs!$J$282:$AR$282,0)))</f>
        <v/>
      </c>
      <c r="K12" s="13">
        <f>CHOOSE(Inputs!$F$33,INDEX(Inputs!$J$283:$AR$283,1,MATCH((Time!K26-0),Inputs!$J$282:$AR$282,0)),INDEX(Inputs!$J$285:$AR$285,1,MATCH((Time!K26-0),Inputs!$J$282:$AR$282,0)),INDEX(Inputs!$J$287:$AR$287,1,MATCH((Time!K26-0),Inputs!$J$282:$AR$282,0)))</f>
        <v/>
      </c>
      <c r="L12" s="13">
        <f>CHOOSE(Inputs!$F$33,INDEX(Inputs!$J$283:$AR$283,1,MATCH((Time!L26-0),Inputs!$J$282:$AR$282,0)),INDEX(Inputs!$J$285:$AR$285,1,MATCH((Time!L26-0),Inputs!$J$282:$AR$282,0)),INDEX(Inputs!$J$287:$AR$287,1,MATCH((Time!L26-0),Inputs!$J$282:$AR$282,0)))</f>
        <v/>
      </c>
      <c r="M12" s="13">
        <f>CHOOSE(Inputs!$F$33,INDEX(Inputs!$J$283:$AR$283,1,MATCH((Time!M26-0),Inputs!$J$282:$AR$282,0)),INDEX(Inputs!$J$285:$AR$285,1,MATCH((Time!M26-0),Inputs!$J$282:$AR$282,0)),INDEX(Inputs!$J$287:$AR$287,1,MATCH((Time!M26-0),Inputs!$J$282:$AR$282,0)))</f>
        <v/>
      </c>
      <c r="N12" s="13">
        <f>CHOOSE(Inputs!$F$33,INDEX(Inputs!$J$283:$AR$283,1,MATCH((Time!N26-0),Inputs!$J$282:$AR$282,0)),INDEX(Inputs!$J$285:$AR$285,1,MATCH((Time!N26-0),Inputs!$J$282:$AR$282,0)),INDEX(Inputs!$J$287:$AR$287,1,MATCH((Time!N26-0),Inputs!$J$282:$AR$282,0)))</f>
        <v/>
      </c>
      <c r="O12" s="13">
        <f>CHOOSE(Inputs!$F$33,INDEX(Inputs!$J$283:$AR$283,1,MATCH((Time!O26-0),Inputs!$J$282:$AR$282,0)),INDEX(Inputs!$J$285:$AR$285,1,MATCH((Time!O26-0),Inputs!$J$282:$AR$282,0)),INDEX(Inputs!$J$287:$AR$287,1,MATCH((Time!O26-0),Inputs!$J$282:$AR$282,0)))</f>
        <v/>
      </c>
      <c r="P12" s="13">
        <f>CHOOSE(Inputs!$F$33,INDEX(Inputs!$J$283:$AR$283,1,MATCH((Time!P26-0),Inputs!$J$282:$AR$282,0)),INDEX(Inputs!$J$285:$AR$285,1,MATCH((Time!P26-0),Inputs!$J$282:$AR$282,0)),INDEX(Inputs!$J$287:$AR$287,1,MATCH((Time!P26-0),Inputs!$J$282:$AR$282,0)))</f>
        <v/>
      </c>
      <c r="Q12" s="13">
        <f>CHOOSE(Inputs!$F$33,INDEX(Inputs!$J$283:$AR$283,1,MATCH((Time!Q26-0),Inputs!$J$282:$AR$282,0)),INDEX(Inputs!$J$285:$AR$285,1,MATCH((Time!Q26-0),Inputs!$J$282:$AR$282,0)),INDEX(Inputs!$J$287:$AR$287,1,MATCH((Time!Q26-0),Inputs!$J$282:$AR$282,0)))</f>
        <v/>
      </c>
      <c r="R12" s="13">
        <f>CHOOSE(Inputs!$F$33,INDEX(Inputs!$J$283:$AR$283,1,MATCH((Time!R26-0),Inputs!$J$282:$AR$282,0)),INDEX(Inputs!$J$285:$AR$285,1,MATCH((Time!R26-0),Inputs!$J$282:$AR$282,0)),INDEX(Inputs!$J$287:$AR$287,1,MATCH((Time!R26-0),Inputs!$J$282:$AR$282,0)))</f>
        <v/>
      </c>
      <c r="S12" s="13">
        <f>CHOOSE(Inputs!$F$33,INDEX(Inputs!$J$283:$AR$283,1,MATCH((Time!S26-0),Inputs!$J$282:$AR$282,0)),INDEX(Inputs!$J$285:$AR$285,1,MATCH((Time!S26-0),Inputs!$J$282:$AR$282,0)),INDEX(Inputs!$J$287:$AR$287,1,MATCH((Time!S26-0),Inputs!$J$282:$AR$282,0)))</f>
        <v/>
      </c>
      <c r="T12" s="13">
        <f>CHOOSE(Inputs!$F$33,INDEX(Inputs!$J$283:$AR$283,1,MATCH((Time!T26-0),Inputs!$J$282:$AR$282,0)),INDEX(Inputs!$J$285:$AR$285,1,MATCH((Time!T26-0),Inputs!$J$282:$AR$282,0)),INDEX(Inputs!$J$287:$AR$287,1,MATCH((Time!T26-0),Inputs!$J$282:$AR$282,0)))</f>
        <v/>
      </c>
      <c r="U12" s="13">
        <f>CHOOSE(Inputs!$F$33,INDEX(Inputs!$J$283:$AR$283,1,MATCH((Time!U26-0),Inputs!$J$282:$AR$282,0)),INDEX(Inputs!$J$285:$AR$285,1,MATCH((Time!U26-0),Inputs!$J$282:$AR$282,0)),INDEX(Inputs!$J$287:$AR$287,1,MATCH((Time!U26-0),Inputs!$J$282:$AR$282,0)))</f>
        <v/>
      </c>
      <c r="V12" s="13">
        <f>CHOOSE(Inputs!$F$33,INDEX(Inputs!$J$283:$AR$283,1,MATCH((Time!V26-0),Inputs!$J$282:$AR$282,0)),INDEX(Inputs!$J$285:$AR$285,1,MATCH((Time!V26-0),Inputs!$J$282:$AR$282,0)),INDEX(Inputs!$J$287:$AR$287,1,MATCH((Time!V26-0),Inputs!$J$282:$AR$282,0)))</f>
        <v/>
      </c>
      <c r="W12" s="13">
        <f>CHOOSE(Inputs!$F$33,INDEX(Inputs!$J$283:$AR$283,1,MATCH((Time!W26-0),Inputs!$J$282:$AR$282,0)),INDEX(Inputs!$J$285:$AR$285,1,MATCH((Time!W26-0),Inputs!$J$282:$AR$282,0)),INDEX(Inputs!$J$287:$AR$287,1,MATCH((Time!W26-0),Inputs!$J$282:$AR$282,0)))</f>
        <v/>
      </c>
      <c r="X12" s="13">
        <f>CHOOSE(Inputs!$F$33,INDEX(Inputs!$J$283:$AR$283,1,MATCH((Time!X26-0),Inputs!$J$282:$AR$282,0)),INDEX(Inputs!$J$285:$AR$285,1,MATCH((Time!X26-0),Inputs!$J$282:$AR$282,0)),INDEX(Inputs!$J$287:$AR$287,1,MATCH((Time!X26-0),Inputs!$J$282:$AR$282,0)))</f>
        <v/>
      </c>
      <c r="Y12" s="13">
        <f>CHOOSE(Inputs!$F$33,INDEX(Inputs!$J$283:$AR$283,1,MATCH((Time!Y26-0),Inputs!$J$282:$AR$282,0)),INDEX(Inputs!$J$285:$AR$285,1,MATCH((Time!Y26-0),Inputs!$J$282:$AR$282,0)),INDEX(Inputs!$J$287:$AR$287,1,MATCH((Time!Y26-0),Inputs!$J$282:$AR$282,0)))</f>
        <v/>
      </c>
      <c r="Z12" s="13">
        <f>CHOOSE(Inputs!$F$33,INDEX(Inputs!$J$283:$AR$283,1,MATCH((Time!Z26-0),Inputs!$J$282:$AR$282,0)),INDEX(Inputs!$J$285:$AR$285,1,MATCH((Time!Z26-0),Inputs!$J$282:$AR$282,0)),INDEX(Inputs!$J$287:$AR$287,1,MATCH((Time!Z26-0),Inputs!$J$282:$AR$282,0)))</f>
        <v/>
      </c>
      <c r="AA12" s="13">
        <f>CHOOSE(Inputs!$F$33,INDEX(Inputs!$J$283:$AR$283,1,MATCH((Time!AA26-0),Inputs!$J$282:$AR$282,0)),INDEX(Inputs!$J$285:$AR$285,1,MATCH((Time!AA26-0),Inputs!$J$282:$AR$282,0)),INDEX(Inputs!$J$287:$AR$287,1,MATCH((Time!AA26-0),Inputs!$J$282:$AR$282,0)))</f>
        <v/>
      </c>
      <c r="AB12" s="13">
        <f>CHOOSE(Inputs!$F$33,INDEX(Inputs!$J$283:$AR$283,1,MATCH((Time!AB26-0),Inputs!$J$282:$AR$282,0)),INDEX(Inputs!$J$285:$AR$285,1,MATCH((Time!AB26-0),Inputs!$J$282:$AR$282,0)),INDEX(Inputs!$J$287:$AR$287,1,MATCH((Time!AB26-0),Inputs!$J$282:$AR$282,0)))</f>
        <v/>
      </c>
      <c r="AC12" s="13">
        <f>CHOOSE(Inputs!$F$33,INDEX(Inputs!$J$283:$AR$283,1,MATCH((Time!AC26-0),Inputs!$J$282:$AR$282,0)),INDEX(Inputs!$J$285:$AR$285,1,MATCH((Time!AC26-0),Inputs!$J$282:$AR$282,0)),INDEX(Inputs!$J$287:$AR$287,1,MATCH((Time!AC26-0),Inputs!$J$282:$AR$282,0)))</f>
        <v/>
      </c>
      <c r="AD12" s="13">
        <f>CHOOSE(Inputs!$F$33,INDEX(Inputs!$J$283:$AR$283,1,MATCH((Time!AD26-0),Inputs!$J$282:$AR$282,0)),INDEX(Inputs!$J$285:$AR$285,1,MATCH((Time!AD26-0),Inputs!$J$282:$AR$282,0)),INDEX(Inputs!$J$287:$AR$287,1,MATCH((Time!AD26-0),Inputs!$J$282:$AR$282,0)))</f>
        <v/>
      </c>
      <c r="AE12" s="13">
        <f>CHOOSE(Inputs!$F$33,INDEX(Inputs!$J$283:$AR$283,1,MATCH((Time!AE26-0),Inputs!$J$282:$AR$282,0)),INDEX(Inputs!$J$285:$AR$285,1,MATCH((Time!AE26-0),Inputs!$J$282:$AR$282,0)),INDEX(Inputs!$J$287:$AR$287,1,MATCH((Time!AE26-0),Inputs!$J$282:$AR$282,0)))</f>
        <v/>
      </c>
      <c r="AF12" s="13">
        <f>CHOOSE(Inputs!$F$33,INDEX(Inputs!$J$283:$AR$283,1,MATCH((Time!AF26-0),Inputs!$J$282:$AR$282,0)),INDEX(Inputs!$J$285:$AR$285,1,MATCH((Time!AF26-0),Inputs!$J$282:$AR$282,0)),INDEX(Inputs!$J$287:$AR$287,1,MATCH((Time!AF26-0),Inputs!$J$282:$AR$282,0)))</f>
        <v/>
      </c>
      <c r="AG12" s="13">
        <f>CHOOSE(Inputs!$F$33,INDEX(Inputs!$J$283:$AR$283,1,MATCH((Time!AG26-0),Inputs!$J$282:$AR$282,0)),INDEX(Inputs!$J$285:$AR$285,1,MATCH((Time!AG26-0),Inputs!$J$282:$AR$282,0)),INDEX(Inputs!$J$287:$AR$287,1,MATCH((Time!AG26-0),Inputs!$J$282:$AR$282,0)))</f>
        <v/>
      </c>
      <c r="AH12" s="13">
        <f>CHOOSE(Inputs!$F$33,INDEX(Inputs!$J$283:$AR$283,1,MATCH((Time!AH26-0),Inputs!$J$282:$AR$282,0)),INDEX(Inputs!$J$285:$AR$285,1,MATCH((Time!AH26-0),Inputs!$J$282:$AR$282,0)),INDEX(Inputs!$J$287:$AR$287,1,MATCH((Time!AH26-0),Inputs!$J$282:$AR$282,0)))</f>
        <v/>
      </c>
      <c r="AI12" s="13">
        <f>CHOOSE(Inputs!$F$33,INDEX(Inputs!$J$283:$AR$283,1,MATCH((Time!AI26-0),Inputs!$J$282:$AR$282,0)),INDEX(Inputs!$J$285:$AR$285,1,MATCH((Time!AI26-0),Inputs!$J$282:$AR$282,0)),INDEX(Inputs!$J$287:$AR$287,1,MATCH((Time!AI26-0),Inputs!$J$282:$AR$282,0)))</f>
        <v/>
      </c>
      <c r="AJ12" s="13">
        <f>CHOOSE(Inputs!$F$33,INDEX(Inputs!$J$283:$AR$283,1,MATCH((Time!AJ26-0),Inputs!$J$282:$AR$282,0)),INDEX(Inputs!$J$285:$AR$285,1,MATCH((Time!AJ26-0),Inputs!$J$282:$AR$282,0)),INDEX(Inputs!$J$287:$AR$287,1,MATCH((Time!AJ26-0),Inputs!$J$282:$AR$282,0)))</f>
        <v/>
      </c>
      <c r="AK12" s="13">
        <f>CHOOSE(Inputs!$F$33,INDEX(Inputs!$J$283:$AR$283,1,MATCH((Time!AK26-0),Inputs!$J$282:$AR$282,0)),INDEX(Inputs!$J$285:$AR$285,1,MATCH((Time!AK26-0),Inputs!$J$282:$AR$282,0)),INDEX(Inputs!$J$287:$AR$287,1,MATCH((Time!AK26-0),Inputs!$J$282:$AR$282,0)))</f>
        <v/>
      </c>
      <c r="AL12" s="13">
        <f>CHOOSE(Inputs!$F$33,INDEX(Inputs!$J$283:$AR$283,1,MATCH((Time!AL26-0),Inputs!$J$282:$AR$282,0)),INDEX(Inputs!$J$285:$AR$285,1,MATCH((Time!AL26-0),Inputs!$J$282:$AR$282,0)),INDEX(Inputs!$J$287:$AR$287,1,MATCH((Time!AL26-0),Inputs!$J$282:$AR$282,0)))</f>
        <v/>
      </c>
      <c r="AM12" s="13">
        <f>CHOOSE(Inputs!$F$33,INDEX(Inputs!$J$283:$AR$283,1,MATCH((Time!AM26-0),Inputs!$J$282:$AR$282,0)),INDEX(Inputs!$J$285:$AR$285,1,MATCH((Time!AM26-0),Inputs!$J$282:$AR$282,0)),INDEX(Inputs!$J$287:$AR$287,1,MATCH((Time!AM26-0),Inputs!$J$282:$AR$282,0)))</f>
        <v/>
      </c>
      <c r="AN12" s="13">
        <f>CHOOSE(Inputs!$F$33,INDEX(Inputs!$J$283:$AR$283,1,MATCH((Time!AN26-0),Inputs!$J$282:$AR$282,0)),INDEX(Inputs!$J$285:$AR$285,1,MATCH((Time!AN26-0),Inputs!$J$282:$AR$282,0)),INDEX(Inputs!$J$287:$AR$287,1,MATCH((Time!AN26-0),Inputs!$J$282:$AR$282,0)))</f>
        <v/>
      </c>
      <c r="AO12" s="13">
        <f>CHOOSE(Inputs!$F$33,INDEX(Inputs!$J$283:$AR$283,1,MATCH((Time!AO26-0),Inputs!$J$282:$AR$282,0)),INDEX(Inputs!$J$285:$AR$285,1,MATCH((Time!AO26-0),Inputs!$J$282:$AR$282,0)),INDEX(Inputs!$J$287:$AR$287,1,MATCH((Time!AO26-0),Inputs!$J$282:$AR$282,0)))</f>
        <v/>
      </c>
      <c r="AP12" s="13">
        <f>CHOOSE(Inputs!$F$33,INDEX(Inputs!$J$283:$AR$283,1,MATCH((Time!AP26-0),Inputs!$J$282:$AR$282,0)),INDEX(Inputs!$J$285:$AR$285,1,MATCH((Time!AP26-0),Inputs!$J$282:$AR$282,0)),INDEX(Inputs!$J$287:$AR$287,1,MATCH((Time!AP26-0),Inputs!$J$282:$AR$282,0)))</f>
        <v/>
      </c>
      <c r="AQ12" s="13">
        <f>CHOOSE(Inputs!$F$33,INDEX(Inputs!$J$283:$AR$283,1,MATCH((Time!AQ26-0),Inputs!$J$282:$AR$282,0)),INDEX(Inputs!$J$285:$AR$285,1,MATCH((Time!AQ26-0),Inputs!$J$282:$AR$282,0)),INDEX(Inputs!$J$287:$AR$287,1,MATCH((Time!AQ26-0),Inputs!$J$282:$AR$282,0)))</f>
        <v/>
      </c>
      <c r="AR12" s="13">
        <f>CHOOSE(Inputs!$F$33,INDEX(Inputs!$J$283:$AR$283,1,MATCH((Time!AR26-0),Inputs!$J$282:$AR$282,0)),INDEX(Inputs!$J$285:$AR$285,1,MATCH((Time!AR26-0),Inputs!$J$282:$AR$282,0)),INDEX(Inputs!$J$287:$AR$287,1,MATCH((Time!AR26-0),Inputs!$J$282:$AR$282,0)))</f>
        <v/>
      </c>
      <c r="AS12" s="13">
        <f>CHOOSE(Inputs!$F$33,INDEX(Inputs!$J$283:$AR$283,1,MATCH((Time!AS26-0),Inputs!$J$282:$AR$282,0)),INDEX(Inputs!$J$285:$AR$285,1,MATCH((Time!AS26-0),Inputs!$J$282:$AR$282,0)),INDEX(Inputs!$J$287:$AR$287,1,MATCH((Time!AS26-0),Inputs!$J$282:$AR$282,0)))</f>
        <v/>
      </c>
      <c r="AT12" s="13">
        <f>CHOOSE(Inputs!$F$33,INDEX(Inputs!$J$283:$AR$283,1,MATCH((Time!AT26-0),Inputs!$J$282:$AR$282,0)),INDEX(Inputs!$J$285:$AR$285,1,MATCH((Time!AT26-0),Inputs!$J$282:$AR$282,0)),INDEX(Inputs!$J$287:$AR$287,1,MATCH((Time!AT26-0),Inputs!$J$282:$AR$282,0)))</f>
        <v/>
      </c>
      <c r="AU12" s="13">
        <f>CHOOSE(Inputs!$F$33,INDEX(Inputs!$J$283:$AR$283,1,MATCH((Time!AU26-0),Inputs!$J$282:$AR$282,0)),INDEX(Inputs!$J$285:$AR$285,1,MATCH((Time!AU26-0),Inputs!$J$282:$AR$282,0)),INDEX(Inputs!$J$287:$AR$287,1,MATCH((Time!AU26-0),Inputs!$J$282:$AR$282,0)))</f>
        <v/>
      </c>
      <c r="AV12" s="13">
        <f>CHOOSE(Inputs!$F$33,INDEX(Inputs!$J$283:$AR$283,1,MATCH((Time!AV26-0),Inputs!$J$282:$AR$282,0)),INDEX(Inputs!$J$285:$AR$285,1,MATCH((Time!AV26-0),Inputs!$J$282:$AR$282,0)),INDEX(Inputs!$J$287:$AR$287,1,MATCH((Time!AV26-0),Inputs!$J$282:$AR$282,0)))</f>
        <v/>
      </c>
      <c r="AW12" s="13">
        <f>CHOOSE(Inputs!$F$33,INDEX(Inputs!$J$283:$AR$283,1,MATCH((Time!AW26-0),Inputs!$J$282:$AR$282,0)),INDEX(Inputs!$J$285:$AR$285,1,MATCH((Time!AW26-0),Inputs!$J$282:$AR$282,0)),INDEX(Inputs!$J$287:$AR$287,1,MATCH((Time!AW26-0),Inputs!$J$282:$AR$282,0)))</f>
        <v/>
      </c>
      <c r="AX12" s="13">
        <f>CHOOSE(Inputs!$F$33,INDEX(Inputs!$J$283:$AR$283,1,MATCH((Time!AX26-0),Inputs!$J$282:$AR$282,0)),INDEX(Inputs!$J$285:$AR$285,1,MATCH((Time!AX26-0),Inputs!$J$282:$AR$282,0)),INDEX(Inputs!$J$287:$AR$287,1,MATCH((Time!AX26-0),Inputs!$J$282:$AR$282,0)))</f>
        <v/>
      </c>
      <c r="AY12" s="13">
        <f>CHOOSE(Inputs!$F$33,INDEX(Inputs!$J$283:$AR$283,1,MATCH((Time!AY26-0),Inputs!$J$282:$AR$282,0)),INDEX(Inputs!$J$285:$AR$285,1,MATCH((Time!AY26-0),Inputs!$J$282:$AR$282,0)),INDEX(Inputs!$J$287:$AR$287,1,MATCH((Time!AY26-0),Inputs!$J$282:$AR$282,0)))</f>
        <v/>
      </c>
      <c r="AZ12" s="13">
        <f>CHOOSE(Inputs!$F$33,INDEX(Inputs!$J$283:$AR$283,1,MATCH((Time!AZ26-0),Inputs!$J$282:$AR$282,0)),INDEX(Inputs!$J$285:$AR$285,1,MATCH((Time!AZ26-0),Inputs!$J$282:$AR$282,0)),INDEX(Inputs!$J$287:$AR$287,1,MATCH((Time!AZ26-0),Inputs!$J$282:$AR$282,0)))</f>
        <v/>
      </c>
      <c r="BA12" s="13">
        <f>CHOOSE(Inputs!$F$33,INDEX(Inputs!$J$283:$AR$283,1,MATCH((Time!BA26-0),Inputs!$J$282:$AR$282,0)),INDEX(Inputs!$J$285:$AR$285,1,MATCH((Time!BA26-0),Inputs!$J$282:$AR$282,0)),INDEX(Inputs!$J$287:$AR$287,1,MATCH((Time!BA26-0),Inputs!$J$282:$AR$282,0)))</f>
        <v/>
      </c>
      <c r="BB12" s="13">
        <f>CHOOSE(Inputs!$F$33,INDEX(Inputs!$J$283:$AR$283,1,MATCH((Time!BB26-0),Inputs!$J$282:$AR$282,0)),INDEX(Inputs!$J$285:$AR$285,1,MATCH((Time!BB26-0),Inputs!$J$282:$AR$282,0)),INDEX(Inputs!$J$287:$AR$287,1,MATCH((Time!BB26-0),Inputs!$J$282:$AR$282,0)))</f>
        <v/>
      </c>
      <c r="BC12" s="13">
        <f>CHOOSE(Inputs!$F$33,INDEX(Inputs!$J$283:$AR$283,1,MATCH((Time!BC26-0),Inputs!$J$282:$AR$282,0)),INDEX(Inputs!$J$285:$AR$285,1,MATCH((Time!BC26-0),Inputs!$J$282:$AR$282,0)),INDEX(Inputs!$J$287:$AR$287,1,MATCH((Time!BC26-0),Inputs!$J$282:$AR$282,0)))</f>
        <v/>
      </c>
      <c r="BD12" s="13">
        <f>CHOOSE(Inputs!$F$33,INDEX(Inputs!$J$283:$AR$283,1,MATCH((Time!BD26-0),Inputs!$J$282:$AR$282,0)),INDEX(Inputs!$J$285:$AR$285,1,MATCH((Time!BD26-0),Inputs!$J$282:$AR$282,0)),INDEX(Inputs!$J$287:$AR$287,1,MATCH((Time!BD26-0),Inputs!$J$282:$AR$282,0)))</f>
        <v/>
      </c>
      <c r="BE12" s="13">
        <f>CHOOSE(Inputs!$F$33,INDEX(Inputs!$J$283:$AR$283,1,MATCH((Time!BE26-0),Inputs!$J$282:$AR$282,0)),INDEX(Inputs!$J$285:$AR$285,1,MATCH((Time!BE26-0),Inputs!$J$282:$AR$282,0)),INDEX(Inputs!$J$287:$AR$287,1,MATCH((Time!BE26-0),Inputs!$J$282:$AR$282,0)))</f>
        <v/>
      </c>
      <c r="BF12" s="13">
        <f>CHOOSE(Inputs!$F$33,INDEX(Inputs!$J$283:$AR$283,1,MATCH((Time!BF26-0),Inputs!$J$282:$AR$282,0)),INDEX(Inputs!$J$285:$AR$285,1,MATCH((Time!BF26-0),Inputs!$J$282:$AR$282,0)),INDEX(Inputs!$J$287:$AR$287,1,MATCH((Time!BF26-0),Inputs!$J$282:$AR$282,0)))</f>
        <v/>
      </c>
      <c r="BG12" s="13">
        <f>CHOOSE(Inputs!$F$33,INDEX(Inputs!$J$283:$AR$283,1,MATCH((Time!BG26-0),Inputs!$J$282:$AR$282,0)),INDEX(Inputs!$J$285:$AR$285,1,MATCH((Time!BG26-0),Inputs!$J$282:$AR$282,0)),INDEX(Inputs!$J$287:$AR$287,1,MATCH((Time!BG26-0),Inputs!$J$282:$AR$282,0)))</f>
        <v/>
      </c>
      <c r="BH12" s="13">
        <f>CHOOSE(Inputs!$F$33,INDEX(Inputs!$J$283:$AR$283,1,MATCH((Time!BH26-0),Inputs!$J$282:$AR$282,0)),INDEX(Inputs!$J$285:$AR$285,1,MATCH((Time!BH26-0),Inputs!$J$282:$AR$282,0)),INDEX(Inputs!$J$287:$AR$287,1,MATCH((Time!BH26-0),Inputs!$J$282:$AR$282,0)))</f>
        <v/>
      </c>
      <c r="BI12" s="13">
        <f>CHOOSE(Inputs!$F$33,INDEX(Inputs!$J$283:$AR$283,1,MATCH((Time!BI26-0),Inputs!$J$282:$AR$282,0)),INDEX(Inputs!$J$285:$AR$285,1,MATCH((Time!BI26-0),Inputs!$J$282:$AR$282,0)),INDEX(Inputs!$J$287:$AR$287,1,MATCH((Time!BI26-0),Inputs!$J$282:$AR$282,0)))</f>
        <v/>
      </c>
      <c r="BJ12" s="13">
        <f>CHOOSE(Inputs!$F$33,INDEX(Inputs!$J$283:$AR$283,1,MATCH((Time!BJ26-0),Inputs!$J$282:$AR$282,0)),INDEX(Inputs!$J$285:$AR$285,1,MATCH((Time!BJ26-0),Inputs!$J$282:$AR$282,0)),INDEX(Inputs!$J$287:$AR$287,1,MATCH((Time!BJ26-0),Inputs!$J$282:$AR$282,0)))</f>
        <v/>
      </c>
      <c r="BK12" s="13">
        <f>CHOOSE(Inputs!$F$33,INDEX(Inputs!$J$283:$AR$283,1,MATCH((Time!BK26-0),Inputs!$J$282:$AR$282,0)),INDEX(Inputs!$J$285:$AR$285,1,MATCH((Time!BK26-0),Inputs!$J$282:$AR$282,0)),INDEX(Inputs!$J$287:$AR$287,1,MATCH((Time!BK26-0),Inputs!$J$282:$AR$282,0)))</f>
        <v/>
      </c>
      <c r="BL12" s="13">
        <f>CHOOSE(Inputs!$F$33,INDEX(Inputs!$J$283:$AR$283,1,MATCH((Time!BL26-0),Inputs!$J$282:$AR$282,0)),INDEX(Inputs!$J$285:$AR$285,1,MATCH((Time!BL26-0),Inputs!$J$282:$AR$282,0)),INDEX(Inputs!$J$287:$AR$287,1,MATCH((Time!BL26-0),Inputs!$J$282:$AR$282,0)))</f>
        <v/>
      </c>
      <c r="BM12" s="13">
        <f>CHOOSE(Inputs!$F$33,INDEX(Inputs!$J$283:$AR$283,1,MATCH((Time!BM26-0),Inputs!$J$282:$AR$282,0)),INDEX(Inputs!$J$285:$AR$285,1,MATCH((Time!BM26-0),Inputs!$J$282:$AR$282,0)),INDEX(Inputs!$J$287:$AR$287,1,MATCH((Time!BM26-0),Inputs!$J$282:$AR$282,0)))</f>
        <v/>
      </c>
      <c r="BN12" s="13">
        <f>CHOOSE(Inputs!$F$33,INDEX(Inputs!$J$283:$AR$283,1,MATCH((Time!BN26-0),Inputs!$J$282:$AR$282,0)),INDEX(Inputs!$J$285:$AR$285,1,MATCH((Time!BN26-0),Inputs!$J$282:$AR$282,0)),INDEX(Inputs!$J$287:$AR$287,1,MATCH((Time!BN26-0),Inputs!$J$282:$AR$282,0)))</f>
        <v/>
      </c>
    </row>
    <row r="13">
      <c r="D13" t="inlineStr">
        <is>
          <t>Kessara CPI change, current year</t>
        </is>
      </c>
      <c r="E13" t="inlineStr">
        <is>
          <t>%</t>
        </is>
      </c>
      <c r="J13" s="13">
        <f>CHOOSE(Inputs!$F$33,INDEX(Inputs!$J$284:$AR$284,1,MATCH((Time!J26-0),Inputs!$J$282:$AR$282,0)),INDEX(Inputs!$J$286:$AR$286,1,MATCH((Time!J26-0),Inputs!$J$282:$AR$282,0)),INDEX(Inputs!$J$288:$AR$288,1,MATCH((Time!J26-0),Inputs!$J$282:$AR$282,0)))</f>
        <v/>
      </c>
      <c r="K13" s="13">
        <f>CHOOSE(Inputs!$F$33,INDEX(Inputs!$J$284:$AR$284,1,MATCH((Time!K26-0),Inputs!$J$282:$AR$282,0)),INDEX(Inputs!$J$286:$AR$286,1,MATCH((Time!K26-0),Inputs!$J$282:$AR$282,0)),INDEX(Inputs!$J$288:$AR$288,1,MATCH((Time!K26-0),Inputs!$J$282:$AR$282,0)))</f>
        <v/>
      </c>
      <c r="L13" s="13">
        <f>CHOOSE(Inputs!$F$33,INDEX(Inputs!$J$284:$AR$284,1,MATCH((Time!L26-0),Inputs!$J$282:$AR$282,0)),INDEX(Inputs!$J$286:$AR$286,1,MATCH((Time!L26-0),Inputs!$J$282:$AR$282,0)),INDEX(Inputs!$J$288:$AR$288,1,MATCH((Time!L26-0),Inputs!$J$282:$AR$282,0)))</f>
        <v/>
      </c>
      <c r="M13" s="13">
        <f>CHOOSE(Inputs!$F$33,INDEX(Inputs!$J$284:$AR$284,1,MATCH((Time!M26-0),Inputs!$J$282:$AR$282,0)),INDEX(Inputs!$J$286:$AR$286,1,MATCH((Time!M26-0),Inputs!$J$282:$AR$282,0)),INDEX(Inputs!$J$288:$AR$288,1,MATCH((Time!M26-0),Inputs!$J$282:$AR$282,0)))</f>
        <v/>
      </c>
      <c r="N13" s="13">
        <f>CHOOSE(Inputs!$F$33,INDEX(Inputs!$J$284:$AR$284,1,MATCH((Time!N26-0),Inputs!$J$282:$AR$282,0)),INDEX(Inputs!$J$286:$AR$286,1,MATCH((Time!N26-0),Inputs!$J$282:$AR$282,0)),INDEX(Inputs!$J$288:$AR$288,1,MATCH((Time!N26-0),Inputs!$J$282:$AR$282,0)))</f>
        <v/>
      </c>
      <c r="O13" s="13">
        <f>CHOOSE(Inputs!$F$33,INDEX(Inputs!$J$284:$AR$284,1,MATCH((Time!O26-0),Inputs!$J$282:$AR$282,0)),INDEX(Inputs!$J$286:$AR$286,1,MATCH((Time!O26-0),Inputs!$J$282:$AR$282,0)),INDEX(Inputs!$J$288:$AR$288,1,MATCH((Time!O26-0),Inputs!$J$282:$AR$282,0)))</f>
        <v/>
      </c>
      <c r="P13" s="13">
        <f>CHOOSE(Inputs!$F$33,INDEX(Inputs!$J$284:$AR$284,1,MATCH((Time!P26-0),Inputs!$J$282:$AR$282,0)),INDEX(Inputs!$J$286:$AR$286,1,MATCH((Time!P26-0),Inputs!$J$282:$AR$282,0)),INDEX(Inputs!$J$288:$AR$288,1,MATCH((Time!P26-0),Inputs!$J$282:$AR$282,0)))</f>
        <v/>
      </c>
      <c r="Q13" s="13">
        <f>CHOOSE(Inputs!$F$33,INDEX(Inputs!$J$284:$AR$284,1,MATCH((Time!Q26-0),Inputs!$J$282:$AR$282,0)),INDEX(Inputs!$J$286:$AR$286,1,MATCH((Time!Q26-0),Inputs!$J$282:$AR$282,0)),INDEX(Inputs!$J$288:$AR$288,1,MATCH((Time!Q26-0),Inputs!$J$282:$AR$282,0)))</f>
        <v/>
      </c>
      <c r="R13" s="13">
        <f>CHOOSE(Inputs!$F$33,INDEX(Inputs!$J$284:$AR$284,1,MATCH((Time!R26-0),Inputs!$J$282:$AR$282,0)),INDEX(Inputs!$J$286:$AR$286,1,MATCH((Time!R26-0),Inputs!$J$282:$AR$282,0)),INDEX(Inputs!$J$288:$AR$288,1,MATCH((Time!R26-0),Inputs!$J$282:$AR$282,0)))</f>
        <v/>
      </c>
      <c r="S13" s="13">
        <f>CHOOSE(Inputs!$F$33,INDEX(Inputs!$J$284:$AR$284,1,MATCH((Time!S26-0),Inputs!$J$282:$AR$282,0)),INDEX(Inputs!$J$286:$AR$286,1,MATCH((Time!S26-0),Inputs!$J$282:$AR$282,0)),INDEX(Inputs!$J$288:$AR$288,1,MATCH((Time!S26-0),Inputs!$J$282:$AR$282,0)))</f>
        <v/>
      </c>
      <c r="T13" s="13">
        <f>CHOOSE(Inputs!$F$33,INDEX(Inputs!$J$284:$AR$284,1,MATCH((Time!T26-0),Inputs!$J$282:$AR$282,0)),INDEX(Inputs!$J$286:$AR$286,1,MATCH((Time!T26-0),Inputs!$J$282:$AR$282,0)),INDEX(Inputs!$J$288:$AR$288,1,MATCH((Time!T26-0),Inputs!$J$282:$AR$282,0)))</f>
        <v/>
      </c>
      <c r="U13" s="13">
        <f>CHOOSE(Inputs!$F$33,INDEX(Inputs!$J$284:$AR$284,1,MATCH((Time!U26-0),Inputs!$J$282:$AR$282,0)),INDEX(Inputs!$J$286:$AR$286,1,MATCH((Time!U26-0),Inputs!$J$282:$AR$282,0)),INDEX(Inputs!$J$288:$AR$288,1,MATCH((Time!U26-0),Inputs!$J$282:$AR$282,0)))</f>
        <v/>
      </c>
      <c r="V13" s="13">
        <f>CHOOSE(Inputs!$F$33,INDEX(Inputs!$J$284:$AR$284,1,MATCH((Time!V26-0),Inputs!$J$282:$AR$282,0)),INDEX(Inputs!$J$286:$AR$286,1,MATCH((Time!V26-0),Inputs!$J$282:$AR$282,0)),INDEX(Inputs!$J$288:$AR$288,1,MATCH((Time!V26-0),Inputs!$J$282:$AR$282,0)))</f>
        <v/>
      </c>
      <c r="W13" s="13">
        <f>CHOOSE(Inputs!$F$33,INDEX(Inputs!$J$284:$AR$284,1,MATCH((Time!W26-0),Inputs!$J$282:$AR$282,0)),INDEX(Inputs!$J$286:$AR$286,1,MATCH((Time!W26-0),Inputs!$J$282:$AR$282,0)),INDEX(Inputs!$J$288:$AR$288,1,MATCH((Time!W26-0),Inputs!$J$282:$AR$282,0)))</f>
        <v/>
      </c>
      <c r="X13" s="13">
        <f>CHOOSE(Inputs!$F$33,INDEX(Inputs!$J$284:$AR$284,1,MATCH((Time!X26-0),Inputs!$J$282:$AR$282,0)),INDEX(Inputs!$J$286:$AR$286,1,MATCH((Time!X26-0),Inputs!$J$282:$AR$282,0)),INDEX(Inputs!$J$288:$AR$288,1,MATCH((Time!X26-0),Inputs!$J$282:$AR$282,0)))</f>
        <v/>
      </c>
      <c r="Y13" s="13">
        <f>CHOOSE(Inputs!$F$33,INDEX(Inputs!$J$284:$AR$284,1,MATCH((Time!Y26-0),Inputs!$J$282:$AR$282,0)),INDEX(Inputs!$J$286:$AR$286,1,MATCH((Time!Y26-0),Inputs!$J$282:$AR$282,0)),INDEX(Inputs!$J$288:$AR$288,1,MATCH((Time!Y26-0),Inputs!$J$282:$AR$282,0)))</f>
        <v/>
      </c>
      <c r="Z13" s="13">
        <f>CHOOSE(Inputs!$F$33,INDEX(Inputs!$J$284:$AR$284,1,MATCH((Time!Z26-0),Inputs!$J$282:$AR$282,0)),INDEX(Inputs!$J$286:$AR$286,1,MATCH((Time!Z26-0),Inputs!$J$282:$AR$282,0)),INDEX(Inputs!$J$288:$AR$288,1,MATCH((Time!Z26-0),Inputs!$J$282:$AR$282,0)))</f>
        <v/>
      </c>
      <c r="AA13" s="13">
        <f>CHOOSE(Inputs!$F$33,INDEX(Inputs!$J$284:$AR$284,1,MATCH((Time!AA26-0),Inputs!$J$282:$AR$282,0)),INDEX(Inputs!$J$286:$AR$286,1,MATCH((Time!AA26-0),Inputs!$J$282:$AR$282,0)),INDEX(Inputs!$J$288:$AR$288,1,MATCH((Time!AA26-0),Inputs!$J$282:$AR$282,0)))</f>
        <v/>
      </c>
      <c r="AB13" s="13">
        <f>CHOOSE(Inputs!$F$33,INDEX(Inputs!$J$284:$AR$284,1,MATCH((Time!AB26-0),Inputs!$J$282:$AR$282,0)),INDEX(Inputs!$J$286:$AR$286,1,MATCH((Time!AB26-0),Inputs!$J$282:$AR$282,0)),INDEX(Inputs!$J$288:$AR$288,1,MATCH((Time!AB26-0),Inputs!$J$282:$AR$282,0)))</f>
        <v/>
      </c>
      <c r="AC13" s="13">
        <f>CHOOSE(Inputs!$F$33,INDEX(Inputs!$J$284:$AR$284,1,MATCH((Time!AC26-0),Inputs!$J$282:$AR$282,0)),INDEX(Inputs!$J$286:$AR$286,1,MATCH((Time!AC26-0),Inputs!$J$282:$AR$282,0)),INDEX(Inputs!$J$288:$AR$288,1,MATCH((Time!AC26-0),Inputs!$J$282:$AR$282,0)))</f>
        <v/>
      </c>
      <c r="AD13" s="13">
        <f>CHOOSE(Inputs!$F$33,INDEX(Inputs!$J$284:$AR$284,1,MATCH((Time!AD26-0),Inputs!$J$282:$AR$282,0)),INDEX(Inputs!$J$286:$AR$286,1,MATCH((Time!AD26-0),Inputs!$J$282:$AR$282,0)),INDEX(Inputs!$J$288:$AR$288,1,MATCH((Time!AD26-0),Inputs!$J$282:$AR$282,0)))</f>
        <v/>
      </c>
      <c r="AE13" s="13">
        <f>CHOOSE(Inputs!$F$33,INDEX(Inputs!$J$284:$AR$284,1,MATCH((Time!AE26-0),Inputs!$J$282:$AR$282,0)),INDEX(Inputs!$J$286:$AR$286,1,MATCH((Time!AE26-0),Inputs!$J$282:$AR$282,0)),INDEX(Inputs!$J$288:$AR$288,1,MATCH((Time!AE26-0),Inputs!$J$282:$AR$282,0)))</f>
        <v/>
      </c>
      <c r="AF13" s="13">
        <f>CHOOSE(Inputs!$F$33,INDEX(Inputs!$J$284:$AR$284,1,MATCH((Time!AF26-0),Inputs!$J$282:$AR$282,0)),INDEX(Inputs!$J$286:$AR$286,1,MATCH((Time!AF26-0),Inputs!$J$282:$AR$282,0)),INDEX(Inputs!$J$288:$AR$288,1,MATCH((Time!AF26-0),Inputs!$J$282:$AR$282,0)))</f>
        <v/>
      </c>
      <c r="AG13" s="13">
        <f>CHOOSE(Inputs!$F$33,INDEX(Inputs!$J$284:$AR$284,1,MATCH((Time!AG26-0),Inputs!$J$282:$AR$282,0)),INDEX(Inputs!$J$286:$AR$286,1,MATCH((Time!AG26-0),Inputs!$J$282:$AR$282,0)),INDEX(Inputs!$J$288:$AR$288,1,MATCH((Time!AG26-0),Inputs!$J$282:$AR$282,0)))</f>
        <v/>
      </c>
      <c r="AH13" s="13">
        <f>CHOOSE(Inputs!$F$33,INDEX(Inputs!$J$284:$AR$284,1,MATCH((Time!AH26-0),Inputs!$J$282:$AR$282,0)),INDEX(Inputs!$J$286:$AR$286,1,MATCH((Time!AH26-0),Inputs!$J$282:$AR$282,0)),INDEX(Inputs!$J$288:$AR$288,1,MATCH((Time!AH26-0),Inputs!$J$282:$AR$282,0)))</f>
        <v/>
      </c>
      <c r="AI13" s="13">
        <f>CHOOSE(Inputs!$F$33,INDEX(Inputs!$J$284:$AR$284,1,MATCH((Time!AI26-0),Inputs!$J$282:$AR$282,0)),INDEX(Inputs!$J$286:$AR$286,1,MATCH((Time!AI26-0),Inputs!$J$282:$AR$282,0)),INDEX(Inputs!$J$288:$AR$288,1,MATCH((Time!AI26-0),Inputs!$J$282:$AR$282,0)))</f>
        <v/>
      </c>
      <c r="AJ13" s="13">
        <f>CHOOSE(Inputs!$F$33,INDEX(Inputs!$J$284:$AR$284,1,MATCH((Time!AJ26-0),Inputs!$J$282:$AR$282,0)),INDEX(Inputs!$J$286:$AR$286,1,MATCH((Time!AJ26-0),Inputs!$J$282:$AR$282,0)),INDEX(Inputs!$J$288:$AR$288,1,MATCH((Time!AJ26-0),Inputs!$J$282:$AR$282,0)))</f>
        <v/>
      </c>
      <c r="AK13" s="13">
        <f>CHOOSE(Inputs!$F$33,INDEX(Inputs!$J$284:$AR$284,1,MATCH((Time!AK26-0),Inputs!$J$282:$AR$282,0)),INDEX(Inputs!$J$286:$AR$286,1,MATCH((Time!AK26-0),Inputs!$J$282:$AR$282,0)),INDEX(Inputs!$J$288:$AR$288,1,MATCH((Time!AK26-0),Inputs!$J$282:$AR$282,0)))</f>
        <v/>
      </c>
      <c r="AL13" s="13">
        <f>CHOOSE(Inputs!$F$33,INDEX(Inputs!$J$284:$AR$284,1,MATCH((Time!AL26-0),Inputs!$J$282:$AR$282,0)),INDEX(Inputs!$J$286:$AR$286,1,MATCH((Time!AL26-0),Inputs!$J$282:$AR$282,0)),INDEX(Inputs!$J$288:$AR$288,1,MATCH((Time!AL26-0),Inputs!$J$282:$AR$282,0)))</f>
        <v/>
      </c>
      <c r="AM13" s="13">
        <f>CHOOSE(Inputs!$F$33,INDEX(Inputs!$J$284:$AR$284,1,MATCH((Time!AM26-0),Inputs!$J$282:$AR$282,0)),INDEX(Inputs!$J$286:$AR$286,1,MATCH((Time!AM26-0),Inputs!$J$282:$AR$282,0)),INDEX(Inputs!$J$288:$AR$288,1,MATCH((Time!AM26-0),Inputs!$J$282:$AR$282,0)))</f>
        <v/>
      </c>
      <c r="AN13" s="13">
        <f>CHOOSE(Inputs!$F$33,INDEX(Inputs!$J$284:$AR$284,1,MATCH((Time!AN26-0),Inputs!$J$282:$AR$282,0)),INDEX(Inputs!$J$286:$AR$286,1,MATCH((Time!AN26-0),Inputs!$J$282:$AR$282,0)),INDEX(Inputs!$J$288:$AR$288,1,MATCH((Time!AN26-0),Inputs!$J$282:$AR$282,0)))</f>
        <v/>
      </c>
      <c r="AO13" s="13">
        <f>CHOOSE(Inputs!$F$33,INDEX(Inputs!$J$284:$AR$284,1,MATCH((Time!AO26-0),Inputs!$J$282:$AR$282,0)),INDEX(Inputs!$J$286:$AR$286,1,MATCH((Time!AO26-0),Inputs!$J$282:$AR$282,0)),INDEX(Inputs!$J$288:$AR$288,1,MATCH((Time!AO26-0),Inputs!$J$282:$AR$282,0)))</f>
        <v/>
      </c>
      <c r="AP13" s="13">
        <f>CHOOSE(Inputs!$F$33,INDEX(Inputs!$J$284:$AR$284,1,MATCH((Time!AP26-0),Inputs!$J$282:$AR$282,0)),INDEX(Inputs!$J$286:$AR$286,1,MATCH((Time!AP26-0),Inputs!$J$282:$AR$282,0)),INDEX(Inputs!$J$288:$AR$288,1,MATCH((Time!AP26-0),Inputs!$J$282:$AR$282,0)))</f>
        <v/>
      </c>
      <c r="AQ13" s="13">
        <f>CHOOSE(Inputs!$F$33,INDEX(Inputs!$J$284:$AR$284,1,MATCH((Time!AQ26-0),Inputs!$J$282:$AR$282,0)),INDEX(Inputs!$J$286:$AR$286,1,MATCH((Time!AQ26-0),Inputs!$J$282:$AR$282,0)),INDEX(Inputs!$J$288:$AR$288,1,MATCH((Time!AQ26-0),Inputs!$J$282:$AR$282,0)))</f>
        <v/>
      </c>
      <c r="AR13" s="13">
        <f>CHOOSE(Inputs!$F$33,INDEX(Inputs!$J$284:$AR$284,1,MATCH((Time!AR26-0),Inputs!$J$282:$AR$282,0)),INDEX(Inputs!$J$286:$AR$286,1,MATCH((Time!AR26-0),Inputs!$J$282:$AR$282,0)),INDEX(Inputs!$J$288:$AR$288,1,MATCH((Time!AR26-0),Inputs!$J$282:$AR$282,0)))</f>
        <v/>
      </c>
      <c r="AS13" s="13">
        <f>CHOOSE(Inputs!$F$33,INDEX(Inputs!$J$284:$AR$284,1,MATCH((Time!AS26-0),Inputs!$J$282:$AR$282,0)),INDEX(Inputs!$J$286:$AR$286,1,MATCH((Time!AS26-0),Inputs!$J$282:$AR$282,0)),INDEX(Inputs!$J$288:$AR$288,1,MATCH((Time!AS26-0),Inputs!$J$282:$AR$282,0)))</f>
        <v/>
      </c>
      <c r="AT13" s="13">
        <f>CHOOSE(Inputs!$F$33,INDEX(Inputs!$J$284:$AR$284,1,MATCH((Time!AT26-0),Inputs!$J$282:$AR$282,0)),INDEX(Inputs!$J$286:$AR$286,1,MATCH((Time!AT26-0),Inputs!$J$282:$AR$282,0)),INDEX(Inputs!$J$288:$AR$288,1,MATCH((Time!AT26-0),Inputs!$J$282:$AR$282,0)))</f>
        <v/>
      </c>
      <c r="AU13" s="13">
        <f>CHOOSE(Inputs!$F$33,INDEX(Inputs!$J$284:$AR$284,1,MATCH((Time!AU26-0),Inputs!$J$282:$AR$282,0)),INDEX(Inputs!$J$286:$AR$286,1,MATCH((Time!AU26-0),Inputs!$J$282:$AR$282,0)),INDEX(Inputs!$J$288:$AR$288,1,MATCH((Time!AU26-0),Inputs!$J$282:$AR$282,0)))</f>
        <v/>
      </c>
      <c r="AV13" s="13">
        <f>CHOOSE(Inputs!$F$33,INDEX(Inputs!$J$284:$AR$284,1,MATCH((Time!AV26-0),Inputs!$J$282:$AR$282,0)),INDEX(Inputs!$J$286:$AR$286,1,MATCH((Time!AV26-0),Inputs!$J$282:$AR$282,0)),INDEX(Inputs!$J$288:$AR$288,1,MATCH((Time!AV26-0),Inputs!$J$282:$AR$282,0)))</f>
        <v/>
      </c>
      <c r="AW13" s="13">
        <f>CHOOSE(Inputs!$F$33,INDEX(Inputs!$J$284:$AR$284,1,MATCH((Time!AW26-0),Inputs!$J$282:$AR$282,0)),INDEX(Inputs!$J$286:$AR$286,1,MATCH((Time!AW26-0),Inputs!$J$282:$AR$282,0)),INDEX(Inputs!$J$288:$AR$288,1,MATCH((Time!AW26-0),Inputs!$J$282:$AR$282,0)))</f>
        <v/>
      </c>
      <c r="AX13" s="13">
        <f>CHOOSE(Inputs!$F$33,INDEX(Inputs!$J$284:$AR$284,1,MATCH((Time!AX26-0),Inputs!$J$282:$AR$282,0)),INDEX(Inputs!$J$286:$AR$286,1,MATCH((Time!AX26-0),Inputs!$J$282:$AR$282,0)),INDEX(Inputs!$J$288:$AR$288,1,MATCH((Time!AX26-0),Inputs!$J$282:$AR$282,0)))</f>
        <v/>
      </c>
      <c r="AY13" s="13">
        <f>CHOOSE(Inputs!$F$33,INDEX(Inputs!$J$284:$AR$284,1,MATCH((Time!AY26-0),Inputs!$J$282:$AR$282,0)),INDEX(Inputs!$J$286:$AR$286,1,MATCH((Time!AY26-0),Inputs!$J$282:$AR$282,0)),INDEX(Inputs!$J$288:$AR$288,1,MATCH((Time!AY26-0),Inputs!$J$282:$AR$282,0)))</f>
        <v/>
      </c>
      <c r="AZ13" s="13">
        <f>CHOOSE(Inputs!$F$33,INDEX(Inputs!$J$284:$AR$284,1,MATCH((Time!AZ26-0),Inputs!$J$282:$AR$282,0)),INDEX(Inputs!$J$286:$AR$286,1,MATCH((Time!AZ26-0),Inputs!$J$282:$AR$282,0)),INDEX(Inputs!$J$288:$AR$288,1,MATCH((Time!AZ26-0),Inputs!$J$282:$AR$282,0)))</f>
        <v/>
      </c>
      <c r="BA13" s="13">
        <f>CHOOSE(Inputs!$F$33,INDEX(Inputs!$J$284:$AR$284,1,MATCH((Time!BA26-0),Inputs!$J$282:$AR$282,0)),INDEX(Inputs!$J$286:$AR$286,1,MATCH((Time!BA26-0),Inputs!$J$282:$AR$282,0)),INDEX(Inputs!$J$288:$AR$288,1,MATCH((Time!BA26-0),Inputs!$J$282:$AR$282,0)))</f>
        <v/>
      </c>
      <c r="BB13" s="13">
        <f>CHOOSE(Inputs!$F$33,INDEX(Inputs!$J$284:$AR$284,1,MATCH((Time!BB26-0),Inputs!$J$282:$AR$282,0)),INDEX(Inputs!$J$286:$AR$286,1,MATCH((Time!BB26-0),Inputs!$J$282:$AR$282,0)),INDEX(Inputs!$J$288:$AR$288,1,MATCH((Time!BB26-0),Inputs!$J$282:$AR$282,0)))</f>
        <v/>
      </c>
      <c r="BC13" s="13">
        <f>CHOOSE(Inputs!$F$33,INDEX(Inputs!$J$284:$AR$284,1,MATCH((Time!BC26-0),Inputs!$J$282:$AR$282,0)),INDEX(Inputs!$J$286:$AR$286,1,MATCH((Time!BC26-0),Inputs!$J$282:$AR$282,0)),INDEX(Inputs!$J$288:$AR$288,1,MATCH((Time!BC26-0),Inputs!$J$282:$AR$282,0)))</f>
        <v/>
      </c>
      <c r="BD13" s="13">
        <f>CHOOSE(Inputs!$F$33,INDEX(Inputs!$J$284:$AR$284,1,MATCH((Time!BD26-0),Inputs!$J$282:$AR$282,0)),INDEX(Inputs!$J$286:$AR$286,1,MATCH((Time!BD26-0),Inputs!$J$282:$AR$282,0)),INDEX(Inputs!$J$288:$AR$288,1,MATCH((Time!BD26-0),Inputs!$J$282:$AR$282,0)))</f>
        <v/>
      </c>
      <c r="BE13" s="13">
        <f>CHOOSE(Inputs!$F$33,INDEX(Inputs!$J$284:$AR$284,1,MATCH((Time!BE26-0),Inputs!$J$282:$AR$282,0)),INDEX(Inputs!$J$286:$AR$286,1,MATCH((Time!BE26-0),Inputs!$J$282:$AR$282,0)),INDEX(Inputs!$J$288:$AR$288,1,MATCH((Time!BE26-0),Inputs!$J$282:$AR$282,0)))</f>
        <v/>
      </c>
      <c r="BF13" s="13">
        <f>CHOOSE(Inputs!$F$33,INDEX(Inputs!$J$284:$AR$284,1,MATCH((Time!BF26-0),Inputs!$J$282:$AR$282,0)),INDEX(Inputs!$J$286:$AR$286,1,MATCH((Time!BF26-0),Inputs!$J$282:$AR$282,0)),INDEX(Inputs!$J$288:$AR$288,1,MATCH((Time!BF26-0),Inputs!$J$282:$AR$282,0)))</f>
        <v/>
      </c>
      <c r="BG13" s="13">
        <f>CHOOSE(Inputs!$F$33,INDEX(Inputs!$J$284:$AR$284,1,MATCH((Time!BG26-0),Inputs!$J$282:$AR$282,0)),INDEX(Inputs!$J$286:$AR$286,1,MATCH((Time!BG26-0),Inputs!$J$282:$AR$282,0)),INDEX(Inputs!$J$288:$AR$288,1,MATCH((Time!BG26-0),Inputs!$J$282:$AR$282,0)))</f>
        <v/>
      </c>
      <c r="BH13" s="13">
        <f>CHOOSE(Inputs!$F$33,INDEX(Inputs!$J$284:$AR$284,1,MATCH((Time!BH26-0),Inputs!$J$282:$AR$282,0)),INDEX(Inputs!$J$286:$AR$286,1,MATCH((Time!BH26-0),Inputs!$J$282:$AR$282,0)),INDEX(Inputs!$J$288:$AR$288,1,MATCH((Time!BH26-0),Inputs!$J$282:$AR$282,0)))</f>
        <v/>
      </c>
      <c r="BI13" s="13">
        <f>CHOOSE(Inputs!$F$33,INDEX(Inputs!$J$284:$AR$284,1,MATCH((Time!BI26-0),Inputs!$J$282:$AR$282,0)),INDEX(Inputs!$J$286:$AR$286,1,MATCH((Time!BI26-0),Inputs!$J$282:$AR$282,0)),INDEX(Inputs!$J$288:$AR$288,1,MATCH((Time!BI26-0),Inputs!$J$282:$AR$282,0)))</f>
        <v/>
      </c>
      <c r="BJ13" s="13">
        <f>CHOOSE(Inputs!$F$33,INDEX(Inputs!$J$284:$AR$284,1,MATCH((Time!BJ26-0),Inputs!$J$282:$AR$282,0)),INDEX(Inputs!$J$286:$AR$286,1,MATCH((Time!BJ26-0),Inputs!$J$282:$AR$282,0)),INDEX(Inputs!$J$288:$AR$288,1,MATCH((Time!BJ26-0),Inputs!$J$282:$AR$282,0)))</f>
        <v/>
      </c>
      <c r="BK13" s="13">
        <f>CHOOSE(Inputs!$F$33,INDEX(Inputs!$J$284:$AR$284,1,MATCH((Time!BK26-0),Inputs!$J$282:$AR$282,0)),INDEX(Inputs!$J$286:$AR$286,1,MATCH((Time!BK26-0),Inputs!$J$282:$AR$282,0)),INDEX(Inputs!$J$288:$AR$288,1,MATCH((Time!BK26-0),Inputs!$J$282:$AR$282,0)))</f>
        <v/>
      </c>
      <c r="BL13" s="13">
        <f>CHOOSE(Inputs!$F$33,INDEX(Inputs!$J$284:$AR$284,1,MATCH((Time!BL26-0),Inputs!$J$282:$AR$282,0)),INDEX(Inputs!$J$286:$AR$286,1,MATCH((Time!BL26-0),Inputs!$J$282:$AR$282,0)),INDEX(Inputs!$J$288:$AR$288,1,MATCH((Time!BL26-0),Inputs!$J$282:$AR$282,0)))</f>
        <v/>
      </c>
      <c r="BM13" s="13">
        <f>CHOOSE(Inputs!$F$33,INDEX(Inputs!$J$284:$AR$284,1,MATCH((Time!BM26-0),Inputs!$J$282:$AR$282,0)),INDEX(Inputs!$J$286:$AR$286,1,MATCH((Time!BM26-0),Inputs!$J$282:$AR$282,0)),INDEX(Inputs!$J$288:$AR$288,1,MATCH((Time!BM26-0),Inputs!$J$282:$AR$282,0)))</f>
        <v/>
      </c>
      <c r="BN13" s="13">
        <f>CHOOSE(Inputs!$F$33,INDEX(Inputs!$J$284:$AR$284,1,MATCH((Time!BN26-0),Inputs!$J$282:$AR$282,0)),INDEX(Inputs!$J$286:$AR$286,1,MATCH((Time!BN26-0),Inputs!$J$282:$AR$282,0)),INDEX(Inputs!$J$288:$AR$288,1,MATCH((Time!BN26-0),Inputs!$J$282:$AR$282,0)))</f>
        <v/>
      </c>
    </row>
    <row r="14">
      <c r="D14" t="inlineStr">
        <is>
          <t>US CPI change, prior year</t>
        </is>
      </c>
      <c r="E14" t="inlineStr">
        <is>
          <t>%</t>
        </is>
      </c>
      <c r="J14" s="13">
        <f>CHOOSE(Inputs!$F$33,INDEX(Inputs!$J$283:$AR$283,1,MATCH((Time!J26-1),Inputs!$J$282:$AR$282,0)),INDEX(Inputs!$J$285:$AR$285,1,MATCH((Time!J26-1),Inputs!$J$282:$AR$282,0)),INDEX(Inputs!$J$287:$AR$287,1,MATCH((Time!J26-1),Inputs!$J$282:$AR$282,0)))</f>
        <v/>
      </c>
      <c r="K14" s="13">
        <f>CHOOSE(Inputs!$F$33,INDEX(Inputs!$J$283:$AR$283,1,MATCH((Time!K26-1),Inputs!$J$282:$AR$282,0)),INDEX(Inputs!$J$285:$AR$285,1,MATCH((Time!K26-1),Inputs!$J$282:$AR$282,0)),INDEX(Inputs!$J$287:$AR$287,1,MATCH((Time!K26-1),Inputs!$J$282:$AR$282,0)))</f>
        <v/>
      </c>
      <c r="L14" s="13">
        <f>CHOOSE(Inputs!$F$33,INDEX(Inputs!$J$283:$AR$283,1,MATCH((Time!L26-1),Inputs!$J$282:$AR$282,0)),INDEX(Inputs!$J$285:$AR$285,1,MATCH((Time!L26-1),Inputs!$J$282:$AR$282,0)),INDEX(Inputs!$J$287:$AR$287,1,MATCH((Time!L26-1),Inputs!$J$282:$AR$282,0)))</f>
        <v/>
      </c>
      <c r="M14" s="13">
        <f>CHOOSE(Inputs!$F$33,INDEX(Inputs!$J$283:$AR$283,1,MATCH((Time!M26-1),Inputs!$J$282:$AR$282,0)),INDEX(Inputs!$J$285:$AR$285,1,MATCH((Time!M26-1),Inputs!$J$282:$AR$282,0)),INDEX(Inputs!$J$287:$AR$287,1,MATCH((Time!M26-1),Inputs!$J$282:$AR$282,0)))</f>
        <v/>
      </c>
      <c r="N14" s="13">
        <f>CHOOSE(Inputs!$F$33,INDEX(Inputs!$J$283:$AR$283,1,MATCH((Time!N26-1),Inputs!$J$282:$AR$282,0)),INDEX(Inputs!$J$285:$AR$285,1,MATCH((Time!N26-1),Inputs!$J$282:$AR$282,0)),INDEX(Inputs!$J$287:$AR$287,1,MATCH((Time!N26-1),Inputs!$J$282:$AR$282,0)))</f>
        <v/>
      </c>
      <c r="O14" s="13">
        <f>CHOOSE(Inputs!$F$33,INDEX(Inputs!$J$283:$AR$283,1,MATCH((Time!O26-1),Inputs!$J$282:$AR$282,0)),INDEX(Inputs!$J$285:$AR$285,1,MATCH((Time!O26-1),Inputs!$J$282:$AR$282,0)),INDEX(Inputs!$J$287:$AR$287,1,MATCH((Time!O26-1),Inputs!$J$282:$AR$282,0)))</f>
        <v/>
      </c>
      <c r="P14" s="13">
        <f>CHOOSE(Inputs!$F$33,INDEX(Inputs!$J$283:$AR$283,1,MATCH((Time!P26-1),Inputs!$J$282:$AR$282,0)),INDEX(Inputs!$J$285:$AR$285,1,MATCH((Time!P26-1),Inputs!$J$282:$AR$282,0)),INDEX(Inputs!$J$287:$AR$287,1,MATCH((Time!P26-1),Inputs!$J$282:$AR$282,0)))</f>
        <v/>
      </c>
      <c r="Q14" s="13">
        <f>CHOOSE(Inputs!$F$33,INDEX(Inputs!$J$283:$AR$283,1,MATCH((Time!Q26-1),Inputs!$J$282:$AR$282,0)),INDEX(Inputs!$J$285:$AR$285,1,MATCH((Time!Q26-1),Inputs!$J$282:$AR$282,0)),INDEX(Inputs!$J$287:$AR$287,1,MATCH((Time!Q26-1),Inputs!$J$282:$AR$282,0)))</f>
        <v/>
      </c>
      <c r="R14" s="13">
        <f>CHOOSE(Inputs!$F$33,INDEX(Inputs!$J$283:$AR$283,1,MATCH((Time!R26-1),Inputs!$J$282:$AR$282,0)),INDEX(Inputs!$J$285:$AR$285,1,MATCH((Time!R26-1),Inputs!$J$282:$AR$282,0)),INDEX(Inputs!$J$287:$AR$287,1,MATCH((Time!R26-1),Inputs!$J$282:$AR$282,0)))</f>
        <v/>
      </c>
      <c r="S14" s="13">
        <f>CHOOSE(Inputs!$F$33,INDEX(Inputs!$J$283:$AR$283,1,MATCH((Time!S26-1),Inputs!$J$282:$AR$282,0)),INDEX(Inputs!$J$285:$AR$285,1,MATCH((Time!S26-1),Inputs!$J$282:$AR$282,0)),INDEX(Inputs!$J$287:$AR$287,1,MATCH((Time!S26-1),Inputs!$J$282:$AR$282,0)))</f>
        <v/>
      </c>
      <c r="T14" s="13">
        <f>CHOOSE(Inputs!$F$33,INDEX(Inputs!$J$283:$AR$283,1,MATCH((Time!T26-1),Inputs!$J$282:$AR$282,0)),INDEX(Inputs!$J$285:$AR$285,1,MATCH((Time!T26-1),Inputs!$J$282:$AR$282,0)),INDEX(Inputs!$J$287:$AR$287,1,MATCH((Time!T26-1),Inputs!$J$282:$AR$282,0)))</f>
        <v/>
      </c>
      <c r="U14" s="13">
        <f>CHOOSE(Inputs!$F$33,INDEX(Inputs!$J$283:$AR$283,1,MATCH((Time!U26-1),Inputs!$J$282:$AR$282,0)),INDEX(Inputs!$J$285:$AR$285,1,MATCH((Time!U26-1),Inputs!$J$282:$AR$282,0)),INDEX(Inputs!$J$287:$AR$287,1,MATCH((Time!U26-1),Inputs!$J$282:$AR$282,0)))</f>
        <v/>
      </c>
      <c r="V14" s="13">
        <f>CHOOSE(Inputs!$F$33,INDEX(Inputs!$J$283:$AR$283,1,MATCH((Time!V26-1),Inputs!$J$282:$AR$282,0)),INDEX(Inputs!$J$285:$AR$285,1,MATCH((Time!V26-1),Inputs!$J$282:$AR$282,0)),INDEX(Inputs!$J$287:$AR$287,1,MATCH((Time!V26-1),Inputs!$J$282:$AR$282,0)))</f>
        <v/>
      </c>
      <c r="W14" s="13">
        <f>CHOOSE(Inputs!$F$33,INDEX(Inputs!$J$283:$AR$283,1,MATCH((Time!W26-1),Inputs!$J$282:$AR$282,0)),INDEX(Inputs!$J$285:$AR$285,1,MATCH((Time!W26-1),Inputs!$J$282:$AR$282,0)),INDEX(Inputs!$J$287:$AR$287,1,MATCH((Time!W26-1),Inputs!$J$282:$AR$282,0)))</f>
        <v/>
      </c>
      <c r="X14" s="13">
        <f>CHOOSE(Inputs!$F$33,INDEX(Inputs!$J$283:$AR$283,1,MATCH((Time!X26-1),Inputs!$J$282:$AR$282,0)),INDEX(Inputs!$J$285:$AR$285,1,MATCH((Time!X26-1),Inputs!$J$282:$AR$282,0)),INDEX(Inputs!$J$287:$AR$287,1,MATCH((Time!X26-1),Inputs!$J$282:$AR$282,0)))</f>
        <v/>
      </c>
      <c r="Y14" s="13">
        <f>CHOOSE(Inputs!$F$33,INDEX(Inputs!$J$283:$AR$283,1,MATCH((Time!Y26-1),Inputs!$J$282:$AR$282,0)),INDEX(Inputs!$J$285:$AR$285,1,MATCH((Time!Y26-1),Inputs!$J$282:$AR$282,0)),INDEX(Inputs!$J$287:$AR$287,1,MATCH((Time!Y26-1),Inputs!$J$282:$AR$282,0)))</f>
        <v/>
      </c>
      <c r="Z14" s="13">
        <f>CHOOSE(Inputs!$F$33,INDEX(Inputs!$J$283:$AR$283,1,MATCH((Time!Z26-1),Inputs!$J$282:$AR$282,0)),INDEX(Inputs!$J$285:$AR$285,1,MATCH((Time!Z26-1),Inputs!$J$282:$AR$282,0)),INDEX(Inputs!$J$287:$AR$287,1,MATCH((Time!Z26-1),Inputs!$J$282:$AR$282,0)))</f>
        <v/>
      </c>
      <c r="AA14" s="13">
        <f>CHOOSE(Inputs!$F$33,INDEX(Inputs!$J$283:$AR$283,1,MATCH((Time!AA26-1),Inputs!$J$282:$AR$282,0)),INDEX(Inputs!$J$285:$AR$285,1,MATCH((Time!AA26-1),Inputs!$J$282:$AR$282,0)),INDEX(Inputs!$J$287:$AR$287,1,MATCH((Time!AA26-1),Inputs!$J$282:$AR$282,0)))</f>
        <v/>
      </c>
      <c r="AB14" s="13">
        <f>CHOOSE(Inputs!$F$33,INDEX(Inputs!$J$283:$AR$283,1,MATCH((Time!AB26-1),Inputs!$J$282:$AR$282,0)),INDEX(Inputs!$J$285:$AR$285,1,MATCH((Time!AB26-1),Inputs!$J$282:$AR$282,0)),INDEX(Inputs!$J$287:$AR$287,1,MATCH((Time!AB26-1),Inputs!$J$282:$AR$282,0)))</f>
        <v/>
      </c>
      <c r="AC14" s="13">
        <f>CHOOSE(Inputs!$F$33,INDEX(Inputs!$J$283:$AR$283,1,MATCH((Time!AC26-1),Inputs!$J$282:$AR$282,0)),INDEX(Inputs!$J$285:$AR$285,1,MATCH((Time!AC26-1),Inputs!$J$282:$AR$282,0)),INDEX(Inputs!$J$287:$AR$287,1,MATCH((Time!AC26-1),Inputs!$J$282:$AR$282,0)))</f>
        <v/>
      </c>
      <c r="AD14" s="13">
        <f>CHOOSE(Inputs!$F$33,INDEX(Inputs!$J$283:$AR$283,1,MATCH((Time!AD26-1),Inputs!$J$282:$AR$282,0)),INDEX(Inputs!$J$285:$AR$285,1,MATCH((Time!AD26-1),Inputs!$J$282:$AR$282,0)),INDEX(Inputs!$J$287:$AR$287,1,MATCH((Time!AD26-1),Inputs!$J$282:$AR$282,0)))</f>
        <v/>
      </c>
      <c r="AE14" s="13">
        <f>CHOOSE(Inputs!$F$33,INDEX(Inputs!$J$283:$AR$283,1,MATCH((Time!AE26-1),Inputs!$J$282:$AR$282,0)),INDEX(Inputs!$J$285:$AR$285,1,MATCH((Time!AE26-1),Inputs!$J$282:$AR$282,0)),INDEX(Inputs!$J$287:$AR$287,1,MATCH((Time!AE26-1),Inputs!$J$282:$AR$282,0)))</f>
        <v/>
      </c>
      <c r="AF14" s="13">
        <f>CHOOSE(Inputs!$F$33,INDEX(Inputs!$J$283:$AR$283,1,MATCH((Time!AF26-1),Inputs!$J$282:$AR$282,0)),INDEX(Inputs!$J$285:$AR$285,1,MATCH((Time!AF26-1),Inputs!$J$282:$AR$282,0)),INDEX(Inputs!$J$287:$AR$287,1,MATCH((Time!AF26-1),Inputs!$J$282:$AR$282,0)))</f>
        <v/>
      </c>
      <c r="AG14" s="13">
        <f>CHOOSE(Inputs!$F$33,INDEX(Inputs!$J$283:$AR$283,1,MATCH((Time!AG26-1),Inputs!$J$282:$AR$282,0)),INDEX(Inputs!$J$285:$AR$285,1,MATCH((Time!AG26-1),Inputs!$J$282:$AR$282,0)),INDEX(Inputs!$J$287:$AR$287,1,MATCH((Time!AG26-1),Inputs!$J$282:$AR$282,0)))</f>
        <v/>
      </c>
      <c r="AH14" s="13">
        <f>CHOOSE(Inputs!$F$33,INDEX(Inputs!$J$283:$AR$283,1,MATCH((Time!AH26-1),Inputs!$J$282:$AR$282,0)),INDEX(Inputs!$J$285:$AR$285,1,MATCH((Time!AH26-1),Inputs!$J$282:$AR$282,0)),INDEX(Inputs!$J$287:$AR$287,1,MATCH((Time!AH26-1),Inputs!$J$282:$AR$282,0)))</f>
        <v/>
      </c>
      <c r="AI14" s="13">
        <f>CHOOSE(Inputs!$F$33,INDEX(Inputs!$J$283:$AR$283,1,MATCH((Time!AI26-1),Inputs!$J$282:$AR$282,0)),INDEX(Inputs!$J$285:$AR$285,1,MATCH((Time!AI26-1),Inputs!$J$282:$AR$282,0)),INDEX(Inputs!$J$287:$AR$287,1,MATCH((Time!AI26-1),Inputs!$J$282:$AR$282,0)))</f>
        <v/>
      </c>
      <c r="AJ14" s="13">
        <f>CHOOSE(Inputs!$F$33,INDEX(Inputs!$J$283:$AR$283,1,MATCH((Time!AJ26-1),Inputs!$J$282:$AR$282,0)),INDEX(Inputs!$J$285:$AR$285,1,MATCH((Time!AJ26-1),Inputs!$J$282:$AR$282,0)),INDEX(Inputs!$J$287:$AR$287,1,MATCH((Time!AJ26-1),Inputs!$J$282:$AR$282,0)))</f>
        <v/>
      </c>
      <c r="AK14" s="13">
        <f>CHOOSE(Inputs!$F$33,INDEX(Inputs!$J$283:$AR$283,1,MATCH((Time!AK26-1),Inputs!$J$282:$AR$282,0)),INDEX(Inputs!$J$285:$AR$285,1,MATCH((Time!AK26-1),Inputs!$J$282:$AR$282,0)),INDEX(Inputs!$J$287:$AR$287,1,MATCH((Time!AK26-1),Inputs!$J$282:$AR$282,0)))</f>
        <v/>
      </c>
      <c r="AL14" s="13">
        <f>CHOOSE(Inputs!$F$33,INDEX(Inputs!$J$283:$AR$283,1,MATCH((Time!AL26-1),Inputs!$J$282:$AR$282,0)),INDEX(Inputs!$J$285:$AR$285,1,MATCH((Time!AL26-1),Inputs!$J$282:$AR$282,0)),INDEX(Inputs!$J$287:$AR$287,1,MATCH((Time!AL26-1),Inputs!$J$282:$AR$282,0)))</f>
        <v/>
      </c>
      <c r="AM14" s="13">
        <f>CHOOSE(Inputs!$F$33,INDEX(Inputs!$J$283:$AR$283,1,MATCH((Time!AM26-1),Inputs!$J$282:$AR$282,0)),INDEX(Inputs!$J$285:$AR$285,1,MATCH((Time!AM26-1),Inputs!$J$282:$AR$282,0)),INDEX(Inputs!$J$287:$AR$287,1,MATCH((Time!AM26-1),Inputs!$J$282:$AR$282,0)))</f>
        <v/>
      </c>
      <c r="AN14" s="13">
        <f>CHOOSE(Inputs!$F$33,INDEX(Inputs!$J$283:$AR$283,1,MATCH((Time!AN26-1),Inputs!$J$282:$AR$282,0)),INDEX(Inputs!$J$285:$AR$285,1,MATCH((Time!AN26-1),Inputs!$J$282:$AR$282,0)),INDEX(Inputs!$J$287:$AR$287,1,MATCH((Time!AN26-1),Inputs!$J$282:$AR$282,0)))</f>
        <v/>
      </c>
      <c r="AO14" s="13">
        <f>CHOOSE(Inputs!$F$33,INDEX(Inputs!$J$283:$AR$283,1,MATCH((Time!AO26-1),Inputs!$J$282:$AR$282,0)),INDEX(Inputs!$J$285:$AR$285,1,MATCH((Time!AO26-1),Inputs!$J$282:$AR$282,0)),INDEX(Inputs!$J$287:$AR$287,1,MATCH((Time!AO26-1),Inputs!$J$282:$AR$282,0)))</f>
        <v/>
      </c>
      <c r="AP14" s="13">
        <f>CHOOSE(Inputs!$F$33,INDEX(Inputs!$J$283:$AR$283,1,MATCH((Time!AP26-1),Inputs!$J$282:$AR$282,0)),INDEX(Inputs!$J$285:$AR$285,1,MATCH((Time!AP26-1),Inputs!$J$282:$AR$282,0)),INDEX(Inputs!$J$287:$AR$287,1,MATCH((Time!AP26-1),Inputs!$J$282:$AR$282,0)))</f>
        <v/>
      </c>
      <c r="AQ14" s="13">
        <f>CHOOSE(Inputs!$F$33,INDEX(Inputs!$J$283:$AR$283,1,MATCH((Time!AQ26-1),Inputs!$J$282:$AR$282,0)),INDEX(Inputs!$J$285:$AR$285,1,MATCH((Time!AQ26-1),Inputs!$J$282:$AR$282,0)),INDEX(Inputs!$J$287:$AR$287,1,MATCH((Time!AQ26-1),Inputs!$J$282:$AR$282,0)))</f>
        <v/>
      </c>
      <c r="AR14" s="13">
        <f>CHOOSE(Inputs!$F$33,INDEX(Inputs!$J$283:$AR$283,1,MATCH((Time!AR26-1),Inputs!$J$282:$AR$282,0)),INDEX(Inputs!$J$285:$AR$285,1,MATCH((Time!AR26-1),Inputs!$J$282:$AR$282,0)),INDEX(Inputs!$J$287:$AR$287,1,MATCH((Time!AR26-1),Inputs!$J$282:$AR$282,0)))</f>
        <v/>
      </c>
      <c r="AS14" s="13">
        <f>CHOOSE(Inputs!$F$33,INDEX(Inputs!$J$283:$AR$283,1,MATCH((Time!AS26-1),Inputs!$J$282:$AR$282,0)),INDEX(Inputs!$J$285:$AR$285,1,MATCH((Time!AS26-1),Inputs!$J$282:$AR$282,0)),INDEX(Inputs!$J$287:$AR$287,1,MATCH((Time!AS26-1),Inputs!$J$282:$AR$282,0)))</f>
        <v/>
      </c>
      <c r="AT14" s="13">
        <f>CHOOSE(Inputs!$F$33,INDEX(Inputs!$J$283:$AR$283,1,MATCH((Time!AT26-1),Inputs!$J$282:$AR$282,0)),INDEX(Inputs!$J$285:$AR$285,1,MATCH((Time!AT26-1),Inputs!$J$282:$AR$282,0)),INDEX(Inputs!$J$287:$AR$287,1,MATCH((Time!AT26-1),Inputs!$J$282:$AR$282,0)))</f>
        <v/>
      </c>
      <c r="AU14" s="13">
        <f>CHOOSE(Inputs!$F$33,INDEX(Inputs!$J$283:$AR$283,1,MATCH((Time!AU26-1),Inputs!$J$282:$AR$282,0)),INDEX(Inputs!$J$285:$AR$285,1,MATCH((Time!AU26-1),Inputs!$J$282:$AR$282,0)),INDEX(Inputs!$J$287:$AR$287,1,MATCH((Time!AU26-1),Inputs!$J$282:$AR$282,0)))</f>
        <v/>
      </c>
      <c r="AV14" s="13">
        <f>CHOOSE(Inputs!$F$33,INDEX(Inputs!$J$283:$AR$283,1,MATCH((Time!AV26-1),Inputs!$J$282:$AR$282,0)),INDEX(Inputs!$J$285:$AR$285,1,MATCH((Time!AV26-1),Inputs!$J$282:$AR$282,0)),INDEX(Inputs!$J$287:$AR$287,1,MATCH((Time!AV26-1),Inputs!$J$282:$AR$282,0)))</f>
        <v/>
      </c>
      <c r="AW14" s="13">
        <f>CHOOSE(Inputs!$F$33,INDEX(Inputs!$J$283:$AR$283,1,MATCH((Time!AW26-1),Inputs!$J$282:$AR$282,0)),INDEX(Inputs!$J$285:$AR$285,1,MATCH((Time!AW26-1),Inputs!$J$282:$AR$282,0)),INDEX(Inputs!$J$287:$AR$287,1,MATCH((Time!AW26-1),Inputs!$J$282:$AR$282,0)))</f>
        <v/>
      </c>
      <c r="AX14" s="13">
        <f>CHOOSE(Inputs!$F$33,INDEX(Inputs!$J$283:$AR$283,1,MATCH((Time!AX26-1),Inputs!$J$282:$AR$282,0)),INDEX(Inputs!$J$285:$AR$285,1,MATCH((Time!AX26-1),Inputs!$J$282:$AR$282,0)),INDEX(Inputs!$J$287:$AR$287,1,MATCH((Time!AX26-1),Inputs!$J$282:$AR$282,0)))</f>
        <v/>
      </c>
      <c r="AY14" s="13">
        <f>CHOOSE(Inputs!$F$33,INDEX(Inputs!$J$283:$AR$283,1,MATCH((Time!AY26-1),Inputs!$J$282:$AR$282,0)),INDEX(Inputs!$J$285:$AR$285,1,MATCH((Time!AY26-1),Inputs!$J$282:$AR$282,0)),INDEX(Inputs!$J$287:$AR$287,1,MATCH((Time!AY26-1),Inputs!$J$282:$AR$282,0)))</f>
        <v/>
      </c>
      <c r="AZ14" s="13">
        <f>CHOOSE(Inputs!$F$33,INDEX(Inputs!$J$283:$AR$283,1,MATCH((Time!AZ26-1),Inputs!$J$282:$AR$282,0)),INDEX(Inputs!$J$285:$AR$285,1,MATCH((Time!AZ26-1),Inputs!$J$282:$AR$282,0)),INDEX(Inputs!$J$287:$AR$287,1,MATCH((Time!AZ26-1),Inputs!$J$282:$AR$282,0)))</f>
        <v/>
      </c>
      <c r="BA14" s="13">
        <f>CHOOSE(Inputs!$F$33,INDEX(Inputs!$J$283:$AR$283,1,MATCH((Time!BA26-1),Inputs!$J$282:$AR$282,0)),INDEX(Inputs!$J$285:$AR$285,1,MATCH((Time!BA26-1),Inputs!$J$282:$AR$282,0)),INDEX(Inputs!$J$287:$AR$287,1,MATCH((Time!BA26-1),Inputs!$J$282:$AR$282,0)))</f>
        <v/>
      </c>
      <c r="BB14" s="13">
        <f>CHOOSE(Inputs!$F$33,INDEX(Inputs!$J$283:$AR$283,1,MATCH((Time!BB26-1),Inputs!$J$282:$AR$282,0)),INDEX(Inputs!$J$285:$AR$285,1,MATCH((Time!BB26-1),Inputs!$J$282:$AR$282,0)),INDEX(Inputs!$J$287:$AR$287,1,MATCH((Time!BB26-1),Inputs!$J$282:$AR$282,0)))</f>
        <v/>
      </c>
      <c r="BC14" s="13">
        <f>CHOOSE(Inputs!$F$33,INDEX(Inputs!$J$283:$AR$283,1,MATCH((Time!BC26-1),Inputs!$J$282:$AR$282,0)),INDEX(Inputs!$J$285:$AR$285,1,MATCH((Time!BC26-1),Inputs!$J$282:$AR$282,0)),INDEX(Inputs!$J$287:$AR$287,1,MATCH((Time!BC26-1),Inputs!$J$282:$AR$282,0)))</f>
        <v/>
      </c>
      <c r="BD14" s="13">
        <f>CHOOSE(Inputs!$F$33,INDEX(Inputs!$J$283:$AR$283,1,MATCH((Time!BD26-1),Inputs!$J$282:$AR$282,0)),INDEX(Inputs!$J$285:$AR$285,1,MATCH((Time!BD26-1),Inputs!$J$282:$AR$282,0)),INDEX(Inputs!$J$287:$AR$287,1,MATCH((Time!BD26-1),Inputs!$J$282:$AR$282,0)))</f>
        <v/>
      </c>
      <c r="BE14" s="13">
        <f>CHOOSE(Inputs!$F$33,INDEX(Inputs!$J$283:$AR$283,1,MATCH((Time!BE26-1),Inputs!$J$282:$AR$282,0)),INDEX(Inputs!$J$285:$AR$285,1,MATCH((Time!BE26-1),Inputs!$J$282:$AR$282,0)),INDEX(Inputs!$J$287:$AR$287,1,MATCH((Time!BE26-1),Inputs!$J$282:$AR$282,0)))</f>
        <v/>
      </c>
      <c r="BF14" s="13">
        <f>CHOOSE(Inputs!$F$33,INDEX(Inputs!$J$283:$AR$283,1,MATCH((Time!BF26-1),Inputs!$J$282:$AR$282,0)),INDEX(Inputs!$J$285:$AR$285,1,MATCH((Time!BF26-1),Inputs!$J$282:$AR$282,0)),INDEX(Inputs!$J$287:$AR$287,1,MATCH((Time!BF26-1),Inputs!$J$282:$AR$282,0)))</f>
        <v/>
      </c>
      <c r="BG14" s="13">
        <f>CHOOSE(Inputs!$F$33,INDEX(Inputs!$J$283:$AR$283,1,MATCH((Time!BG26-1),Inputs!$J$282:$AR$282,0)),INDEX(Inputs!$J$285:$AR$285,1,MATCH((Time!BG26-1),Inputs!$J$282:$AR$282,0)),INDEX(Inputs!$J$287:$AR$287,1,MATCH((Time!BG26-1),Inputs!$J$282:$AR$282,0)))</f>
        <v/>
      </c>
      <c r="BH14" s="13">
        <f>CHOOSE(Inputs!$F$33,INDEX(Inputs!$J$283:$AR$283,1,MATCH((Time!BH26-1),Inputs!$J$282:$AR$282,0)),INDEX(Inputs!$J$285:$AR$285,1,MATCH((Time!BH26-1),Inputs!$J$282:$AR$282,0)),INDEX(Inputs!$J$287:$AR$287,1,MATCH((Time!BH26-1),Inputs!$J$282:$AR$282,0)))</f>
        <v/>
      </c>
      <c r="BI14" s="13">
        <f>CHOOSE(Inputs!$F$33,INDEX(Inputs!$J$283:$AR$283,1,MATCH((Time!BI26-1),Inputs!$J$282:$AR$282,0)),INDEX(Inputs!$J$285:$AR$285,1,MATCH((Time!BI26-1),Inputs!$J$282:$AR$282,0)),INDEX(Inputs!$J$287:$AR$287,1,MATCH((Time!BI26-1),Inputs!$J$282:$AR$282,0)))</f>
        <v/>
      </c>
      <c r="BJ14" s="13">
        <f>CHOOSE(Inputs!$F$33,INDEX(Inputs!$J$283:$AR$283,1,MATCH((Time!BJ26-1),Inputs!$J$282:$AR$282,0)),INDEX(Inputs!$J$285:$AR$285,1,MATCH((Time!BJ26-1),Inputs!$J$282:$AR$282,0)),INDEX(Inputs!$J$287:$AR$287,1,MATCH((Time!BJ26-1),Inputs!$J$282:$AR$282,0)))</f>
        <v/>
      </c>
      <c r="BK14" s="13">
        <f>CHOOSE(Inputs!$F$33,INDEX(Inputs!$J$283:$AR$283,1,MATCH((Time!BK26-1),Inputs!$J$282:$AR$282,0)),INDEX(Inputs!$J$285:$AR$285,1,MATCH((Time!BK26-1),Inputs!$J$282:$AR$282,0)),INDEX(Inputs!$J$287:$AR$287,1,MATCH((Time!BK26-1),Inputs!$J$282:$AR$282,0)))</f>
        <v/>
      </c>
      <c r="BL14" s="13">
        <f>CHOOSE(Inputs!$F$33,INDEX(Inputs!$J$283:$AR$283,1,MATCH((Time!BL26-1),Inputs!$J$282:$AR$282,0)),INDEX(Inputs!$J$285:$AR$285,1,MATCH((Time!BL26-1),Inputs!$J$282:$AR$282,0)),INDEX(Inputs!$J$287:$AR$287,1,MATCH((Time!BL26-1),Inputs!$J$282:$AR$282,0)))</f>
        <v/>
      </c>
      <c r="BM14" s="13">
        <f>CHOOSE(Inputs!$F$33,INDEX(Inputs!$J$283:$AR$283,1,MATCH((Time!BM26-1),Inputs!$J$282:$AR$282,0)),INDEX(Inputs!$J$285:$AR$285,1,MATCH((Time!BM26-1),Inputs!$J$282:$AR$282,0)),INDEX(Inputs!$J$287:$AR$287,1,MATCH((Time!BM26-1),Inputs!$J$282:$AR$282,0)))</f>
        <v/>
      </c>
      <c r="BN14" s="13">
        <f>CHOOSE(Inputs!$F$33,INDEX(Inputs!$J$283:$AR$283,1,MATCH((Time!BN26-1),Inputs!$J$282:$AR$282,0)),INDEX(Inputs!$J$285:$AR$285,1,MATCH((Time!BN26-1),Inputs!$J$282:$AR$282,0)),INDEX(Inputs!$J$287:$AR$287,1,MATCH((Time!BN26-1),Inputs!$J$282:$AR$282,0)))</f>
        <v/>
      </c>
    </row>
    <row r="15">
      <c r="D15" t="inlineStr">
        <is>
          <t>Kessara CPI change, prior year</t>
        </is>
      </c>
      <c r="E15" t="inlineStr">
        <is>
          <t>%</t>
        </is>
      </c>
      <c r="J15" s="13">
        <f>CHOOSE(Inputs!$F$33,INDEX(Inputs!$J$284:$AR$284,1,MATCH((Time!J26-1),Inputs!$J$282:$AR$282,0)),INDEX(Inputs!$J$286:$AR$286,1,MATCH((Time!J26-1),Inputs!$J$282:$AR$282,0)),INDEX(Inputs!$J$288:$AR$288,1,MATCH((Time!J26-1),Inputs!$J$282:$AR$282,0)))</f>
        <v/>
      </c>
      <c r="K15" s="13">
        <f>CHOOSE(Inputs!$F$33,INDEX(Inputs!$J$284:$AR$284,1,MATCH((Time!K26-1),Inputs!$J$282:$AR$282,0)),INDEX(Inputs!$J$286:$AR$286,1,MATCH((Time!K26-1),Inputs!$J$282:$AR$282,0)),INDEX(Inputs!$J$288:$AR$288,1,MATCH((Time!K26-1),Inputs!$J$282:$AR$282,0)))</f>
        <v/>
      </c>
      <c r="L15" s="13">
        <f>CHOOSE(Inputs!$F$33,INDEX(Inputs!$J$284:$AR$284,1,MATCH((Time!L26-1),Inputs!$J$282:$AR$282,0)),INDEX(Inputs!$J$286:$AR$286,1,MATCH((Time!L26-1),Inputs!$J$282:$AR$282,0)),INDEX(Inputs!$J$288:$AR$288,1,MATCH((Time!L26-1),Inputs!$J$282:$AR$282,0)))</f>
        <v/>
      </c>
      <c r="M15" s="13">
        <f>CHOOSE(Inputs!$F$33,INDEX(Inputs!$J$284:$AR$284,1,MATCH((Time!M26-1),Inputs!$J$282:$AR$282,0)),INDEX(Inputs!$J$286:$AR$286,1,MATCH((Time!M26-1),Inputs!$J$282:$AR$282,0)),INDEX(Inputs!$J$288:$AR$288,1,MATCH((Time!M26-1),Inputs!$J$282:$AR$282,0)))</f>
        <v/>
      </c>
      <c r="N15" s="13">
        <f>CHOOSE(Inputs!$F$33,INDEX(Inputs!$J$284:$AR$284,1,MATCH((Time!N26-1),Inputs!$J$282:$AR$282,0)),INDEX(Inputs!$J$286:$AR$286,1,MATCH((Time!N26-1),Inputs!$J$282:$AR$282,0)),INDEX(Inputs!$J$288:$AR$288,1,MATCH((Time!N26-1),Inputs!$J$282:$AR$282,0)))</f>
        <v/>
      </c>
      <c r="O15" s="13">
        <f>CHOOSE(Inputs!$F$33,INDEX(Inputs!$J$284:$AR$284,1,MATCH((Time!O26-1),Inputs!$J$282:$AR$282,0)),INDEX(Inputs!$J$286:$AR$286,1,MATCH((Time!O26-1),Inputs!$J$282:$AR$282,0)),INDEX(Inputs!$J$288:$AR$288,1,MATCH((Time!O26-1),Inputs!$J$282:$AR$282,0)))</f>
        <v/>
      </c>
      <c r="P15" s="13">
        <f>CHOOSE(Inputs!$F$33,INDEX(Inputs!$J$284:$AR$284,1,MATCH((Time!P26-1),Inputs!$J$282:$AR$282,0)),INDEX(Inputs!$J$286:$AR$286,1,MATCH((Time!P26-1),Inputs!$J$282:$AR$282,0)),INDEX(Inputs!$J$288:$AR$288,1,MATCH((Time!P26-1),Inputs!$J$282:$AR$282,0)))</f>
        <v/>
      </c>
      <c r="Q15" s="13">
        <f>CHOOSE(Inputs!$F$33,INDEX(Inputs!$J$284:$AR$284,1,MATCH((Time!Q26-1),Inputs!$J$282:$AR$282,0)),INDEX(Inputs!$J$286:$AR$286,1,MATCH((Time!Q26-1),Inputs!$J$282:$AR$282,0)),INDEX(Inputs!$J$288:$AR$288,1,MATCH((Time!Q26-1),Inputs!$J$282:$AR$282,0)))</f>
        <v/>
      </c>
      <c r="R15" s="13">
        <f>CHOOSE(Inputs!$F$33,INDEX(Inputs!$J$284:$AR$284,1,MATCH((Time!R26-1),Inputs!$J$282:$AR$282,0)),INDEX(Inputs!$J$286:$AR$286,1,MATCH((Time!R26-1),Inputs!$J$282:$AR$282,0)),INDEX(Inputs!$J$288:$AR$288,1,MATCH((Time!R26-1),Inputs!$J$282:$AR$282,0)))</f>
        <v/>
      </c>
      <c r="S15" s="13">
        <f>CHOOSE(Inputs!$F$33,INDEX(Inputs!$J$284:$AR$284,1,MATCH((Time!S26-1),Inputs!$J$282:$AR$282,0)),INDEX(Inputs!$J$286:$AR$286,1,MATCH((Time!S26-1),Inputs!$J$282:$AR$282,0)),INDEX(Inputs!$J$288:$AR$288,1,MATCH((Time!S26-1),Inputs!$J$282:$AR$282,0)))</f>
        <v/>
      </c>
      <c r="T15" s="13">
        <f>CHOOSE(Inputs!$F$33,INDEX(Inputs!$J$284:$AR$284,1,MATCH((Time!T26-1),Inputs!$J$282:$AR$282,0)),INDEX(Inputs!$J$286:$AR$286,1,MATCH((Time!T26-1),Inputs!$J$282:$AR$282,0)),INDEX(Inputs!$J$288:$AR$288,1,MATCH((Time!T26-1),Inputs!$J$282:$AR$282,0)))</f>
        <v/>
      </c>
      <c r="U15" s="13">
        <f>CHOOSE(Inputs!$F$33,INDEX(Inputs!$J$284:$AR$284,1,MATCH((Time!U26-1),Inputs!$J$282:$AR$282,0)),INDEX(Inputs!$J$286:$AR$286,1,MATCH((Time!U26-1),Inputs!$J$282:$AR$282,0)),INDEX(Inputs!$J$288:$AR$288,1,MATCH((Time!U26-1),Inputs!$J$282:$AR$282,0)))</f>
        <v/>
      </c>
      <c r="V15" s="13">
        <f>CHOOSE(Inputs!$F$33,INDEX(Inputs!$J$284:$AR$284,1,MATCH((Time!V26-1),Inputs!$J$282:$AR$282,0)),INDEX(Inputs!$J$286:$AR$286,1,MATCH((Time!V26-1),Inputs!$J$282:$AR$282,0)),INDEX(Inputs!$J$288:$AR$288,1,MATCH((Time!V26-1),Inputs!$J$282:$AR$282,0)))</f>
        <v/>
      </c>
      <c r="W15" s="13">
        <f>CHOOSE(Inputs!$F$33,INDEX(Inputs!$J$284:$AR$284,1,MATCH((Time!W26-1),Inputs!$J$282:$AR$282,0)),INDEX(Inputs!$J$286:$AR$286,1,MATCH((Time!W26-1),Inputs!$J$282:$AR$282,0)),INDEX(Inputs!$J$288:$AR$288,1,MATCH((Time!W26-1),Inputs!$J$282:$AR$282,0)))</f>
        <v/>
      </c>
      <c r="X15" s="13">
        <f>CHOOSE(Inputs!$F$33,INDEX(Inputs!$J$284:$AR$284,1,MATCH((Time!X26-1),Inputs!$J$282:$AR$282,0)),INDEX(Inputs!$J$286:$AR$286,1,MATCH((Time!X26-1),Inputs!$J$282:$AR$282,0)),INDEX(Inputs!$J$288:$AR$288,1,MATCH((Time!X26-1),Inputs!$J$282:$AR$282,0)))</f>
        <v/>
      </c>
      <c r="Y15" s="13">
        <f>CHOOSE(Inputs!$F$33,INDEX(Inputs!$J$284:$AR$284,1,MATCH((Time!Y26-1),Inputs!$J$282:$AR$282,0)),INDEX(Inputs!$J$286:$AR$286,1,MATCH((Time!Y26-1),Inputs!$J$282:$AR$282,0)),INDEX(Inputs!$J$288:$AR$288,1,MATCH((Time!Y26-1),Inputs!$J$282:$AR$282,0)))</f>
        <v/>
      </c>
      <c r="Z15" s="13">
        <f>CHOOSE(Inputs!$F$33,INDEX(Inputs!$J$284:$AR$284,1,MATCH((Time!Z26-1),Inputs!$J$282:$AR$282,0)),INDEX(Inputs!$J$286:$AR$286,1,MATCH((Time!Z26-1),Inputs!$J$282:$AR$282,0)),INDEX(Inputs!$J$288:$AR$288,1,MATCH((Time!Z26-1),Inputs!$J$282:$AR$282,0)))</f>
        <v/>
      </c>
      <c r="AA15" s="13">
        <f>CHOOSE(Inputs!$F$33,INDEX(Inputs!$J$284:$AR$284,1,MATCH((Time!AA26-1),Inputs!$J$282:$AR$282,0)),INDEX(Inputs!$J$286:$AR$286,1,MATCH((Time!AA26-1),Inputs!$J$282:$AR$282,0)),INDEX(Inputs!$J$288:$AR$288,1,MATCH((Time!AA26-1),Inputs!$J$282:$AR$282,0)))</f>
        <v/>
      </c>
      <c r="AB15" s="13">
        <f>CHOOSE(Inputs!$F$33,INDEX(Inputs!$J$284:$AR$284,1,MATCH((Time!AB26-1),Inputs!$J$282:$AR$282,0)),INDEX(Inputs!$J$286:$AR$286,1,MATCH((Time!AB26-1),Inputs!$J$282:$AR$282,0)),INDEX(Inputs!$J$288:$AR$288,1,MATCH((Time!AB26-1),Inputs!$J$282:$AR$282,0)))</f>
        <v/>
      </c>
      <c r="AC15" s="13">
        <f>CHOOSE(Inputs!$F$33,INDEX(Inputs!$J$284:$AR$284,1,MATCH((Time!AC26-1),Inputs!$J$282:$AR$282,0)),INDEX(Inputs!$J$286:$AR$286,1,MATCH((Time!AC26-1),Inputs!$J$282:$AR$282,0)),INDEX(Inputs!$J$288:$AR$288,1,MATCH((Time!AC26-1),Inputs!$J$282:$AR$282,0)))</f>
        <v/>
      </c>
      <c r="AD15" s="13">
        <f>CHOOSE(Inputs!$F$33,INDEX(Inputs!$J$284:$AR$284,1,MATCH((Time!AD26-1),Inputs!$J$282:$AR$282,0)),INDEX(Inputs!$J$286:$AR$286,1,MATCH((Time!AD26-1),Inputs!$J$282:$AR$282,0)),INDEX(Inputs!$J$288:$AR$288,1,MATCH((Time!AD26-1),Inputs!$J$282:$AR$282,0)))</f>
        <v/>
      </c>
      <c r="AE15" s="13">
        <f>CHOOSE(Inputs!$F$33,INDEX(Inputs!$J$284:$AR$284,1,MATCH((Time!AE26-1),Inputs!$J$282:$AR$282,0)),INDEX(Inputs!$J$286:$AR$286,1,MATCH((Time!AE26-1),Inputs!$J$282:$AR$282,0)),INDEX(Inputs!$J$288:$AR$288,1,MATCH((Time!AE26-1),Inputs!$J$282:$AR$282,0)))</f>
        <v/>
      </c>
      <c r="AF15" s="13">
        <f>CHOOSE(Inputs!$F$33,INDEX(Inputs!$J$284:$AR$284,1,MATCH((Time!AF26-1),Inputs!$J$282:$AR$282,0)),INDEX(Inputs!$J$286:$AR$286,1,MATCH((Time!AF26-1),Inputs!$J$282:$AR$282,0)),INDEX(Inputs!$J$288:$AR$288,1,MATCH((Time!AF26-1),Inputs!$J$282:$AR$282,0)))</f>
        <v/>
      </c>
      <c r="AG15" s="13">
        <f>CHOOSE(Inputs!$F$33,INDEX(Inputs!$J$284:$AR$284,1,MATCH((Time!AG26-1),Inputs!$J$282:$AR$282,0)),INDEX(Inputs!$J$286:$AR$286,1,MATCH((Time!AG26-1),Inputs!$J$282:$AR$282,0)),INDEX(Inputs!$J$288:$AR$288,1,MATCH((Time!AG26-1),Inputs!$J$282:$AR$282,0)))</f>
        <v/>
      </c>
      <c r="AH15" s="13">
        <f>CHOOSE(Inputs!$F$33,INDEX(Inputs!$J$284:$AR$284,1,MATCH((Time!AH26-1),Inputs!$J$282:$AR$282,0)),INDEX(Inputs!$J$286:$AR$286,1,MATCH((Time!AH26-1),Inputs!$J$282:$AR$282,0)),INDEX(Inputs!$J$288:$AR$288,1,MATCH((Time!AH26-1),Inputs!$J$282:$AR$282,0)))</f>
        <v/>
      </c>
      <c r="AI15" s="13">
        <f>CHOOSE(Inputs!$F$33,INDEX(Inputs!$J$284:$AR$284,1,MATCH((Time!AI26-1),Inputs!$J$282:$AR$282,0)),INDEX(Inputs!$J$286:$AR$286,1,MATCH((Time!AI26-1),Inputs!$J$282:$AR$282,0)),INDEX(Inputs!$J$288:$AR$288,1,MATCH((Time!AI26-1),Inputs!$J$282:$AR$282,0)))</f>
        <v/>
      </c>
      <c r="AJ15" s="13">
        <f>CHOOSE(Inputs!$F$33,INDEX(Inputs!$J$284:$AR$284,1,MATCH((Time!AJ26-1),Inputs!$J$282:$AR$282,0)),INDEX(Inputs!$J$286:$AR$286,1,MATCH((Time!AJ26-1),Inputs!$J$282:$AR$282,0)),INDEX(Inputs!$J$288:$AR$288,1,MATCH((Time!AJ26-1),Inputs!$J$282:$AR$282,0)))</f>
        <v/>
      </c>
      <c r="AK15" s="13">
        <f>CHOOSE(Inputs!$F$33,INDEX(Inputs!$J$284:$AR$284,1,MATCH((Time!AK26-1),Inputs!$J$282:$AR$282,0)),INDEX(Inputs!$J$286:$AR$286,1,MATCH((Time!AK26-1),Inputs!$J$282:$AR$282,0)),INDEX(Inputs!$J$288:$AR$288,1,MATCH((Time!AK26-1),Inputs!$J$282:$AR$282,0)))</f>
        <v/>
      </c>
      <c r="AL15" s="13">
        <f>CHOOSE(Inputs!$F$33,INDEX(Inputs!$J$284:$AR$284,1,MATCH((Time!AL26-1),Inputs!$J$282:$AR$282,0)),INDEX(Inputs!$J$286:$AR$286,1,MATCH((Time!AL26-1),Inputs!$J$282:$AR$282,0)),INDEX(Inputs!$J$288:$AR$288,1,MATCH((Time!AL26-1),Inputs!$J$282:$AR$282,0)))</f>
        <v/>
      </c>
      <c r="AM15" s="13">
        <f>CHOOSE(Inputs!$F$33,INDEX(Inputs!$J$284:$AR$284,1,MATCH((Time!AM26-1),Inputs!$J$282:$AR$282,0)),INDEX(Inputs!$J$286:$AR$286,1,MATCH((Time!AM26-1),Inputs!$J$282:$AR$282,0)),INDEX(Inputs!$J$288:$AR$288,1,MATCH((Time!AM26-1),Inputs!$J$282:$AR$282,0)))</f>
        <v/>
      </c>
      <c r="AN15" s="13">
        <f>CHOOSE(Inputs!$F$33,INDEX(Inputs!$J$284:$AR$284,1,MATCH((Time!AN26-1),Inputs!$J$282:$AR$282,0)),INDEX(Inputs!$J$286:$AR$286,1,MATCH((Time!AN26-1),Inputs!$J$282:$AR$282,0)),INDEX(Inputs!$J$288:$AR$288,1,MATCH((Time!AN26-1),Inputs!$J$282:$AR$282,0)))</f>
        <v/>
      </c>
      <c r="AO15" s="13">
        <f>CHOOSE(Inputs!$F$33,INDEX(Inputs!$J$284:$AR$284,1,MATCH((Time!AO26-1),Inputs!$J$282:$AR$282,0)),INDEX(Inputs!$J$286:$AR$286,1,MATCH((Time!AO26-1),Inputs!$J$282:$AR$282,0)),INDEX(Inputs!$J$288:$AR$288,1,MATCH((Time!AO26-1),Inputs!$J$282:$AR$282,0)))</f>
        <v/>
      </c>
      <c r="AP15" s="13">
        <f>CHOOSE(Inputs!$F$33,INDEX(Inputs!$J$284:$AR$284,1,MATCH((Time!AP26-1),Inputs!$J$282:$AR$282,0)),INDEX(Inputs!$J$286:$AR$286,1,MATCH((Time!AP26-1),Inputs!$J$282:$AR$282,0)),INDEX(Inputs!$J$288:$AR$288,1,MATCH((Time!AP26-1),Inputs!$J$282:$AR$282,0)))</f>
        <v/>
      </c>
      <c r="AQ15" s="13">
        <f>CHOOSE(Inputs!$F$33,INDEX(Inputs!$J$284:$AR$284,1,MATCH((Time!AQ26-1),Inputs!$J$282:$AR$282,0)),INDEX(Inputs!$J$286:$AR$286,1,MATCH((Time!AQ26-1),Inputs!$J$282:$AR$282,0)),INDEX(Inputs!$J$288:$AR$288,1,MATCH((Time!AQ26-1),Inputs!$J$282:$AR$282,0)))</f>
        <v/>
      </c>
      <c r="AR15" s="13">
        <f>CHOOSE(Inputs!$F$33,INDEX(Inputs!$J$284:$AR$284,1,MATCH((Time!AR26-1),Inputs!$J$282:$AR$282,0)),INDEX(Inputs!$J$286:$AR$286,1,MATCH((Time!AR26-1),Inputs!$J$282:$AR$282,0)),INDEX(Inputs!$J$288:$AR$288,1,MATCH((Time!AR26-1),Inputs!$J$282:$AR$282,0)))</f>
        <v/>
      </c>
      <c r="AS15" s="13">
        <f>CHOOSE(Inputs!$F$33,INDEX(Inputs!$J$284:$AR$284,1,MATCH((Time!AS26-1),Inputs!$J$282:$AR$282,0)),INDEX(Inputs!$J$286:$AR$286,1,MATCH((Time!AS26-1),Inputs!$J$282:$AR$282,0)),INDEX(Inputs!$J$288:$AR$288,1,MATCH((Time!AS26-1),Inputs!$J$282:$AR$282,0)))</f>
        <v/>
      </c>
      <c r="AT15" s="13">
        <f>CHOOSE(Inputs!$F$33,INDEX(Inputs!$J$284:$AR$284,1,MATCH((Time!AT26-1),Inputs!$J$282:$AR$282,0)),INDEX(Inputs!$J$286:$AR$286,1,MATCH((Time!AT26-1),Inputs!$J$282:$AR$282,0)),INDEX(Inputs!$J$288:$AR$288,1,MATCH((Time!AT26-1),Inputs!$J$282:$AR$282,0)))</f>
        <v/>
      </c>
      <c r="AU15" s="13">
        <f>CHOOSE(Inputs!$F$33,INDEX(Inputs!$J$284:$AR$284,1,MATCH((Time!AU26-1),Inputs!$J$282:$AR$282,0)),INDEX(Inputs!$J$286:$AR$286,1,MATCH((Time!AU26-1),Inputs!$J$282:$AR$282,0)),INDEX(Inputs!$J$288:$AR$288,1,MATCH((Time!AU26-1),Inputs!$J$282:$AR$282,0)))</f>
        <v/>
      </c>
      <c r="AV15" s="13">
        <f>CHOOSE(Inputs!$F$33,INDEX(Inputs!$J$284:$AR$284,1,MATCH((Time!AV26-1),Inputs!$J$282:$AR$282,0)),INDEX(Inputs!$J$286:$AR$286,1,MATCH((Time!AV26-1),Inputs!$J$282:$AR$282,0)),INDEX(Inputs!$J$288:$AR$288,1,MATCH((Time!AV26-1),Inputs!$J$282:$AR$282,0)))</f>
        <v/>
      </c>
      <c r="AW15" s="13">
        <f>CHOOSE(Inputs!$F$33,INDEX(Inputs!$J$284:$AR$284,1,MATCH((Time!AW26-1),Inputs!$J$282:$AR$282,0)),INDEX(Inputs!$J$286:$AR$286,1,MATCH((Time!AW26-1),Inputs!$J$282:$AR$282,0)),INDEX(Inputs!$J$288:$AR$288,1,MATCH((Time!AW26-1),Inputs!$J$282:$AR$282,0)))</f>
        <v/>
      </c>
      <c r="AX15" s="13">
        <f>CHOOSE(Inputs!$F$33,INDEX(Inputs!$J$284:$AR$284,1,MATCH((Time!AX26-1),Inputs!$J$282:$AR$282,0)),INDEX(Inputs!$J$286:$AR$286,1,MATCH((Time!AX26-1),Inputs!$J$282:$AR$282,0)),INDEX(Inputs!$J$288:$AR$288,1,MATCH((Time!AX26-1),Inputs!$J$282:$AR$282,0)))</f>
        <v/>
      </c>
      <c r="AY15" s="13">
        <f>CHOOSE(Inputs!$F$33,INDEX(Inputs!$J$284:$AR$284,1,MATCH((Time!AY26-1),Inputs!$J$282:$AR$282,0)),INDEX(Inputs!$J$286:$AR$286,1,MATCH((Time!AY26-1),Inputs!$J$282:$AR$282,0)),INDEX(Inputs!$J$288:$AR$288,1,MATCH((Time!AY26-1),Inputs!$J$282:$AR$282,0)))</f>
        <v/>
      </c>
      <c r="AZ15" s="13">
        <f>CHOOSE(Inputs!$F$33,INDEX(Inputs!$J$284:$AR$284,1,MATCH((Time!AZ26-1),Inputs!$J$282:$AR$282,0)),INDEX(Inputs!$J$286:$AR$286,1,MATCH((Time!AZ26-1),Inputs!$J$282:$AR$282,0)),INDEX(Inputs!$J$288:$AR$288,1,MATCH((Time!AZ26-1),Inputs!$J$282:$AR$282,0)))</f>
        <v/>
      </c>
      <c r="BA15" s="13">
        <f>CHOOSE(Inputs!$F$33,INDEX(Inputs!$J$284:$AR$284,1,MATCH((Time!BA26-1),Inputs!$J$282:$AR$282,0)),INDEX(Inputs!$J$286:$AR$286,1,MATCH((Time!BA26-1),Inputs!$J$282:$AR$282,0)),INDEX(Inputs!$J$288:$AR$288,1,MATCH((Time!BA26-1),Inputs!$J$282:$AR$282,0)))</f>
        <v/>
      </c>
      <c r="BB15" s="13">
        <f>CHOOSE(Inputs!$F$33,INDEX(Inputs!$J$284:$AR$284,1,MATCH((Time!BB26-1),Inputs!$J$282:$AR$282,0)),INDEX(Inputs!$J$286:$AR$286,1,MATCH((Time!BB26-1),Inputs!$J$282:$AR$282,0)),INDEX(Inputs!$J$288:$AR$288,1,MATCH((Time!BB26-1),Inputs!$J$282:$AR$282,0)))</f>
        <v/>
      </c>
      <c r="BC15" s="13">
        <f>CHOOSE(Inputs!$F$33,INDEX(Inputs!$J$284:$AR$284,1,MATCH((Time!BC26-1),Inputs!$J$282:$AR$282,0)),INDEX(Inputs!$J$286:$AR$286,1,MATCH((Time!BC26-1),Inputs!$J$282:$AR$282,0)),INDEX(Inputs!$J$288:$AR$288,1,MATCH((Time!BC26-1),Inputs!$J$282:$AR$282,0)))</f>
        <v/>
      </c>
      <c r="BD15" s="13">
        <f>CHOOSE(Inputs!$F$33,INDEX(Inputs!$J$284:$AR$284,1,MATCH((Time!BD26-1),Inputs!$J$282:$AR$282,0)),INDEX(Inputs!$J$286:$AR$286,1,MATCH((Time!BD26-1),Inputs!$J$282:$AR$282,0)),INDEX(Inputs!$J$288:$AR$288,1,MATCH((Time!BD26-1),Inputs!$J$282:$AR$282,0)))</f>
        <v/>
      </c>
      <c r="BE15" s="13">
        <f>CHOOSE(Inputs!$F$33,INDEX(Inputs!$J$284:$AR$284,1,MATCH((Time!BE26-1),Inputs!$J$282:$AR$282,0)),INDEX(Inputs!$J$286:$AR$286,1,MATCH((Time!BE26-1),Inputs!$J$282:$AR$282,0)),INDEX(Inputs!$J$288:$AR$288,1,MATCH((Time!BE26-1),Inputs!$J$282:$AR$282,0)))</f>
        <v/>
      </c>
      <c r="BF15" s="13">
        <f>CHOOSE(Inputs!$F$33,INDEX(Inputs!$J$284:$AR$284,1,MATCH((Time!BF26-1),Inputs!$J$282:$AR$282,0)),INDEX(Inputs!$J$286:$AR$286,1,MATCH((Time!BF26-1),Inputs!$J$282:$AR$282,0)),INDEX(Inputs!$J$288:$AR$288,1,MATCH((Time!BF26-1),Inputs!$J$282:$AR$282,0)))</f>
        <v/>
      </c>
      <c r="BG15" s="13">
        <f>CHOOSE(Inputs!$F$33,INDEX(Inputs!$J$284:$AR$284,1,MATCH((Time!BG26-1),Inputs!$J$282:$AR$282,0)),INDEX(Inputs!$J$286:$AR$286,1,MATCH((Time!BG26-1),Inputs!$J$282:$AR$282,0)),INDEX(Inputs!$J$288:$AR$288,1,MATCH((Time!BG26-1),Inputs!$J$282:$AR$282,0)))</f>
        <v/>
      </c>
      <c r="BH15" s="13">
        <f>CHOOSE(Inputs!$F$33,INDEX(Inputs!$J$284:$AR$284,1,MATCH((Time!BH26-1),Inputs!$J$282:$AR$282,0)),INDEX(Inputs!$J$286:$AR$286,1,MATCH((Time!BH26-1),Inputs!$J$282:$AR$282,0)),INDEX(Inputs!$J$288:$AR$288,1,MATCH((Time!BH26-1),Inputs!$J$282:$AR$282,0)))</f>
        <v/>
      </c>
      <c r="BI15" s="13">
        <f>CHOOSE(Inputs!$F$33,INDEX(Inputs!$J$284:$AR$284,1,MATCH((Time!BI26-1),Inputs!$J$282:$AR$282,0)),INDEX(Inputs!$J$286:$AR$286,1,MATCH((Time!BI26-1),Inputs!$J$282:$AR$282,0)),INDEX(Inputs!$J$288:$AR$288,1,MATCH((Time!BI26-1),Inputs!$J$282:$AR$282,0)))</f>
        <v/>
      </c>
      <c r="BJ15" s="13">
        <f>CHOOSE(Inputs!$F$33,INDEX(Inputs!$J$284:$AR$284,1,MATCH((Time!BJ26-1),Inputs!$J$282:$AR$282,0)),INDEX(Inputs!$J$286:$AR$286,1,MATCH((Time!BJ26-1),Inputs!$J$282:$AR$282,0)),INDEX(Inputs!$J$288:$AR$288,1,MATCH((Time!BJ26-1),Inputs!$J$282:$AR$282,0)))</f>
        <v/>
      </c>
      <c r="BK15" s="13">
        <f>CHOOSE(Inputs!$F$33,INDEX(Inputs!$J$284:$AR$284,1,MATCH((Time!BK26-1),Inputs!$J$282:$AR$282,0)),INDEX(Inputs!$J$286:$AR$286,1,MATCH((Time!BK26-1),Inputs!$J$282:$AR$282,0)),INDEX(Inputs!$J$288:$AR$288,1,MATCH((Time!BK26-1),Inputs!$J$282:$AR$282,0)))</f>
        <v/>
      </c>
      <c r="BL15" s="13">
        <f>CHOOSE(Inputs!$F$33,INDEX(Inputs!$J$284:$AR$284,1,MATCH((Time!BL26-1),Inputs!$J$282:$AR$282,0)),INDEX(Inputs!$J$286:$AR$286,1,MATCH((Time!BL26-1),Inputs!$J$282:$AR$282,0)),INDEX(Inputs!$J$288:$AR$288,1,MATCH((Time!BL26-1),Inputs!$J$282:$AR$282,0)))</f>
        <v/>
      </c>
      <c r="BM15" s="13">
        <f>CHOOSE(Inputs!$F$33,INDEX(Inputs!$J$284:$AR$284,1,MATCH((Time!BM26-1),Inputs!$J$282:$AR$282,0)),INDEX(Inputs!$J$286:$AR$286,1,MATCH((Time!BM26-1),Inputs!$J$282:$AR$282,0)),INDEX(Inputs!$J$288:$AR$288,1,MATCH((Time!BM26-1),Inputs!$J$282:$AR$282,0)))</f>
        <v/>
      </c>
      <c r="BN15" s="13">
        <f>CHOOSE(Inputs!$F$33,INDEX(Inputs!$J$284:$AR$284,1,MATCH((Time!BN26-1),Inputs!$J$282:$AR$282,0)),INDEX(Inputs!$J$286:$AR$286,1,MATCH((Time!BN26-1),Inputs!$J$282:$AR$282,0)),INDEX(Inputs!$J$288:$AR$288,1,MATCH((Time!BN26-1),Inputs!$J$282:$AR$282,0)))</f>
        <v/>
      </c>
    </row>
    <row r="16">
      <c r="D16" t="inlineStr">
        <is>
          <t>US index, 2018 price base month</t>
        </is>
      </c>
      <c r="E16" t="inlineStr">
        <is>
          <t>index</t>
        </is>
      </c>
      <c r="F16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$235/12)</f>
        <v/>
      </c>
    </row>
    <row r="17">
      <c r="D17" t="inlineStr">
        <is>
          <t>US index, first cost reading</t>
        </is>
      </c>
      <c r="E17" t="inlineStr">
        <is>
          <t>index</t>
        </is>
      </c>
      <c r="F17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$233/12)</f>
        <v/>
      </c>
    </row>
    <row r="18">
      <c r="D18" t="inlineStr">
        <is>
          <t>US index, first tariff reading</t>
        </is>
      </c>
      <c r="E18" t="inlineStr">
        <is>
          <t>index</t>
        </is>
      </c>
      <c r="F18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$234/12)</f>
        <v/>
      </c>
    </row>
    <row r="19">
      <c r="D19" t="inlineStr">
        <is>
          <t>US CPI index, cost reading (Mar/Sep), Nov 2016 = 100</t>
        </is>
      </c>
      <c r="E19" t="inlineStr">
        <is>
          <t>index</t>
        </is>
      </c>
      <c r="J19" s="13">
        <f>IF(Time!J20=1,$F$17,I19*IF(Time!J27=1,(1+J14/100)^(Inputs!$F$236/12)*(1+J12/100)^((Time!J21-Inputs!$F$236)/12),(1+J12/100)^Time!J24))</f>
        <v/>
      </c>
      <c r="K19" s="13">
        <f>IF(Time!K20=1,$F$17,J19*IF(Time!K27=1,(1+K14/100)^(Inputs!$F$236/12)*(1+K12/100)^((Time!K21-Inputs!$F$236)/12),(1+K12/100)^Time!K24))</f>
        <v/>
      </c>
      <c r="L19" s="13">
        <f>IF(Time!L20=1,$F$17,K19*IF(Time!L27=1,(1+L14/100)^(Inputs!$F$236/12)*(1+L12/100)^((Time!L21-Inputs!$F$236)/12),(1+L12/100)^Time!L24))</f>
        <v/>
      </c>
      <c r="M19" s="13">
        <f>IF(Time!M20=1,$F$17,L19*IF(Time!M27=1,(1+M14/100)^(Inputs!$F$236/12)*(1+M12/100)^((Time!M21-Inputs!$F$236)/12),(1+M12/100)^Time!M24))</f>
        <v/>
      </c>
      <c r="N19" s="13">
        <f>IF(Time!N20=1,$F$17,M19*IF(Time!N27=1,(1+N14/100)^(Inputs!$F$236/12)*(1+N12/100)^((Time!N21-Inputs!$F$236)/12),(1+N12/100)^Time!N24))</f>
        <v/>
      </c>
      <c r="O19" s="13">
        <f>IF(Time!O20=1,$F$17,N19*IF(Time!O27=1,(1+O14/100)^(Inputs!$F$236/12)*(1+O12/100)^((Time!O21-Inputs!$F$236)/12),(1+O12/100)^Time!O24))</f>
        <v/>
      </c>
      <c r="P19" s="13">
        <f>IF(Time!P20=1,$F$17,O19*IF(Time!P27=1,(1+P14/100)^(Inputs!$F$236/12)*(1+P12/100)^((Time!P21-Inputs!$F$236)/12),(1+P12/100)^Time!P24))</f>
        <v/>
      </c>
      <c r="Q19" s="13">
        <f>IF(Time!Q20=1,$F$17,P19*IF(Time!Q27=1,(1+Q14/100)^(Inputs!$F$236/12)*(1+Q12/100)^((Time!Q21-Inputs!$F$236)/12),(1+Q12/100)^Time!Q24))</f>
        <v/>
      </c>
      <c r="R19" s="13">
        <f>IF(Time!R20=1,$F$17,Q19*IF(Time!R27=1,(1+R14/100)^(Inputs!$F$236/12)*(1+R12/100)^((Time!R21-Inputs!$F$236)/12),(1+R12/100)^Time!R24))</f>
        <v/>
      </c>
      <c r="S19" s="13">
        <f>IF(Time!S20=1,$F$17,R19*IF(Time!S27=1,(1+S14/100)^(Inputs!$F$236/12)*(1+S12/100)^((Time!S21-Inputs!$F$236)/12),(1+S12/100)^Time!S24))</f>
        <v/>
      </c>
      <c r="T19" s="13">
        <f>IF(Time!T20=1,$F$17,S19*IF(Time!T27=1,(1+T14/100)^(Inputs!$F$236/12)*(1+T12/100)^((Time!T21-Inputs!$F$236)/12),(1+T12/100)^Time!T24))</f>
        <v/>
      </c>
      <c r="U19" s="13">
        <f>IF(Time!U20=1,$F$17,T19*IF(Time!U27=1,(1+U14/100)^(Inputs!$F$236/12)*(1+U12/100)^((Time!U21-Inputs!$F$236)/12),(1+U12/100)^Time!U24))</f>
        <v/>
      </c>
      <c r="V19" s="13">
        <f>IF(Time!V20=1,$F$17,U19*IF(Time!V27=1,(1+V14/100)^(Inputs!$F$236/12)*(1+V12/100)^((Time!V21-Inputs!$F$236)/12),(1+V12/100)^Time!V24))</f>
        <v/>
      </c>
      <c r="W19" s="13">
        <f>IF(Time!W20=1,$F$17,V19*IF(Time!W27=1,(1+W14/100)^(Inputs!$F$236/12)*(1+W12/100)^((Time!W21-Inputs!$F$236)/12),(1+W12/100)^Time!W24))</f>
        <v/>
      </c>
      <c r="X19" s="13">
        <f>IF(Time!X20=1,$F$17,W19*IF(Time!X27=1,(1+X14/100)^(Inputs!$F$236/12)*(1+X12/100)^((Time!X21-Inputs!$F$236)/12),(1+X12/100)^Time!X24))</f>
        <v/>
      </c>
      <c r="Y19" s="13">
        <f>IF(Time!Y20=1,$F$17,X19*IF(Time!Y27=1,(1+Y14/100)^(Inputs!$F$236/12)*(1+Y12/100)^((Time!Y21-Inputs!$F$236)/12),(1+Y12/100)^Time!Y24))</f>
        <v/>
      </c>
      <c r="Z19" s="13">
        <f>IF(Time!Z20=1,$F$17,Y19*IF(Time!Z27=1,(1+Z14/100)^(Inputs!$F$236/12)*(1+Z12/100)^((Time!Z21-Inputs!$F$236)/12),(1+Z12/100)^Time!Z24))</f>
        <v/>
      </c>
      <c r="AA19" s="13">
        <f>IF(Time!AA20=1,$F$17,Z19*IF(Time!AA27=1,(1+AA14/100)^(Inputs!$F$236/12)*(1+AA12/100)^((Time!AA21-Inputs!$F$236)/12),(1+AA12/100)^Time!AA24))</f>
        <v/>
      </c>
      <c r="AB19" s="13">
        <f>IF(Time!AB20=1,$F$17,AA19*IF(Time!AB27=1,(1+AB14/100)^(Inputs!$F$236/12)*(1+AB12/100)^((Time!AB21-Inputs!$F$236)/12),(1+AB12/100)^Time!AB24))</f>
        <v/>
      </c>
      <c r="AC19" s="13">
        <f>IF(Time!AC20=1,$F$17,AB19*IF(Time!AC27=1,(1+AC14/100)^(Inputs!$F$236/12)*(1+AC12/100)^((Time!AC21-Inputs!$F$236)/12),(1+AC12/100)^Time!AC24))</f>
        <v/>
      </c>
      <c r="AD19" s="13">
        <f>IF(Time!AD20=1,$F$17,AC19*IF(Time!AD27=1,(1+AD14/100)^(Inputs!$F$236/12)*(1+AD12/100)^((Time!AD21-Inputs!$F$236)/12),(1+AD12/100)^Time!AD24))</f>
        <v/>
      </c>
      <c r="AE19" s="13">
        <f>IF(Time!AE20=1,$F$17,AD19*IF(Time!AE27=1,(1+AE14/100)^(Inputs!$F$236/12)*(1+AE12/100)^((Time!AE21-Inputs!$F$236)/12),(1+AE12/100)^Time!AE24))</f>
        <v/>
      </c>
      <c r="AF19" s="13">
        <f>IF(Time!AF20=1,$F$17,AE19*IF(Time!AF27=1,(1+AF14/100)^(Inputs!$F$236/12)*(1+AF12/100)^((Time!AF21-Inputs!$F$236)/12),(1+AF12/100)^Time!AF24))</f>
        <v/>
      </c>
      <c r="AG19" s="13">
        <f>IF(Time!AG20=1,$F$17,AF19*IF(Time!AG27=1,(1+AG14/100)^(Inputs!$F$236/12)*(1+AG12/100)^((Time!AG21-Inputs!$F$236)/12),(1+AG12/100)^Time!AG24))</f>
        <v/>
      </c>
      <c r="AH19" s="13">
        <f>IF(Time!AH20=1,$F$17,AG19*IF(Time!AH27=1,(1+AH14/100)^(Inputs!$F$236/12)*(1+AH12/100)^((Time!AH21-Inputs!$F$236)/12),(1+AH12/100)^Time!AH24))</f>
        <v/>
      </c>
      <c r="AI19" s="13">
        <f>IF(Time!AI20=1,$F$17,AH19*IF(Time!AI27=1,(1+AI14/100)^(Inputs!$F$236/12)*(1+AI12/100)^((Time!AI21-Inputs!$F$236)/12),(1+AI12/100)^Time!AI24))</f>
        <v/>
      </c>
      <c r="AJ19" s="13">
        <f>IF(Time!AJ20=1,$F$17,AI19*IF(Time!AJ27=1,(1+AJ14/100)^(Inputs!$F$236/12)*(1+AJ12/100)^((Time!AJ21-Inputs!$F$236)/12),(1+AJ12/100)^Time!AJ24))</f>
        <v/>
      </c>
      <c r="AK19" s="13">
        <f>IF(Time!AK20=1,$F$17,AJ19*IF(Time!AK27=1,(1+AK14/100)^(Inputs!$F$236/12)*(1+AK12/100)^((Time!AK21-Inputs!$F$236)/12),(1+AK12/100)^Time!AK24))</f>
        <v/>
      </c>
      <c r="AL19" s="13">
        <f>IF(Time!AL20=1,$F$17,AK19*IF(Time!AL27=1,(1+AL14/100)^(Inputs!$F$236/12)*(1+AL12/100)^((Time!AL21-Inputs!$F$236)/12),(1+AL12/100)^Time!AL24))</f>
        <v/>
      </c>
      <c r="AM19" s="13">
        <f>IF(Time!AM20=1,$F$17,AL19*IF(Time!AM27=1,(1+AM14/100)^(Inputs!$F$236/12)*(1+AM12/100)^((Time!AM21-Inputs!$F$236)/12),(1+AM12/100)^Time!AM24))</f>
        <v/>
      </c>
      <c r="AN19" s="13">
        <f>IF(Time!AN20=1,$F$17,AM19*IF(Time!AN27=1,(1+AN14/100)^(Inputs!$F$236/12)*(1+AN12/100)^((Time!AN21-Inputs!$F$236)/12),(1+AN12/100)^Time!AN24))</f>
        <v/>
      </c>
      <c r="AO19" s="13">
        <f>IF(Time!AO20=1,$F$17,AN19*IF(Time!AO27=1,(1+AO14/100)^(Inputs!$F$236/12)*(1+AO12/100)^((Time!AO21-Inputs!$F$236)/12),(1+AO12/100)^Time!AO24))</f>
        <v/>
      </c>
      <c r="AP19" s="13">
        <f>IF(Time!AP20=1,$F$17,AO19*IF(Time!AP27=1,(1+AP14/100)^(Inputs!$F$236/12)*(1+AP12/100)^((Time!AP21-Inputs!$F$236)/12),(1+AP12/100)^Time!AP24))</f>
        <v/>
      </c>
      <c r="AQ19" s="13">
        <f>IF(Time!AQ20=1,$F$17,AP19*IF(Time!AQ27=1,(1+AQ14/100)^(Inputs!$F$236/12)*(1+AQ12/100)^((Time!AQ21-Inputs!$F$236)/12),(1+AQ12/100)^Time!AQ24))</f>
        <v/>
      </c>
      <c r="AR19" s="13">
        <f>IF(Time!AR20=1,$F$17,AQ19*IF(Time!AR27=1,(1+AR14/100)^(Inputs!$F$236/12)*(1+AR12/100)^((Time!AR21-Inputs!$F$236)/12),(1+AR12/100)^Time!AR24))</f>
        <v/>
      </c>
      <c r="AS19" s="13">
        <f>IF(Time!AS20=1,$F$17,AR19*IF(Time!AS27=1,(1+AS14/100)^(Inputs!$F$236/12)*(1+AS12/100)^((Time!AS21-Inputs!$F$236)/12),(1+AS12/100)^Time!AS24))</f>
        <v/>
      </c>
      <c r="AT19" s="13">
        <f>IF(Time!AT20=1,$F$17,AS19*IF(Time!AT27=1,(1+AT14/100)^(Inputs!$F$236/12)*(1+AT12/100)^((Time!AT21-Inputs!$F$236)/12),(1+AT12/100)^Time!AT24))</f>
        <v/>
      </c>
      <c r="AU19" s="13">
        <f>IF(Time!AU20=1,$F$17,AT19*IF(Time!AU27=1,(1+AU14/100)^(Inputs!$F$236/12)*(1+AU12/100)^((Time!AU21-Inputs!$F$236)/12),(1+AU12/100)^Time!AU24))</f>
        <v/>
      </c>
      <c r="AV19" s="13">
        <f>IF(Time!AV20=1,$F$17,AU19*IF(Time!AV27=1,(1+AV14/100)^(Inputs!$F$236/12)*(1+AV12/100)^((Time!AV21-Inputs!$F$236)/12),(1+AV12/100)^Time!AV24))</f>
        <v/>
      </c>
      <c r="AW19" s="13">
        <f>IF(Time!AW20=1,$F$17,AV19*IF(Time!AW27=1,(1+AW14/100)^(Inputs!$F$236/12)*(1+AW12/100)^((Time!AW21-Inputs!$F$236)/12),(1+AW12/100)^Time!AW24))</f>
        <v/>
      </c>
      <c r="AX19" s="13">
        <f>IF(Time!AX20=1,$F$17,AW19*IF(Time!AX27=1,(1+AX14/100)^(Inputs!$F$236/12)*(1+AX12/100)^((Time!AX21-Inputs!$F$236)/12),(1+AX12/100)^Time!AX24))</f>
        <v/>
      </c>
      <c r="AY19" s="13">
        <f>IF(Time!AY20=1,$F$17,AX19*IF(Time!AY27=1,(1+AY14/100)^(Inputs!$F$236/12)*(1+AY12/100)^((Time!AY21-Inputs!$F$236)/12),(1+AY12/100)^Time!AY24))</f>
        <v/>
      </c>
      <c r="AZ19" s="13">
        <f>IF(Time!AZ20=1,$F$17,AY19*IF(Time!AZ27=1,(1+AZ14/100)^(Inputs!$F$236/12)*(1+AZ12/100)^((Time!AZ21-Inputs!$F$236)/12),(1+AZ12/100)^Time!AZ24))</f>
        <v/>
      </c>
      <c r="BA19" s="13">
        <f>IF(Time!BA20=1,$F$17,AZ19*IF(Time!BA27=1,(1+BA14/100)^(Inputs!$F$236/12)*(1+BA12/100)^((Time!BA21-Inputs!$F$236)/12),(1+BA12/100)^Time!BA24))</f>
        <v/>
      </c>
      <c r="BB19" s="13">
        <f>IF(Time!BB20=1,$F$17,BA19*IF(Time!BB27=1,(1+BB14/100)^(Inputs!$F$236/12)*(1+BB12/100)^((Time!BB21-Inputs!$F$236)/12),(1+BB12/100)^Time!BB24))</f>
        <v/>
      </c>
      <c r="BC19" s="13">
        <f>IF(Time!BC20=1,$F$17,BB19*IF(Time!BC27=1,(1+BC14/100)^(Inputs!$F$236/12)*(1+BC12/100)^((Time!BC21-Inputs!$F$236)/12),(1+BC12/100)^Time!BC24))</f>
        <v/>
      </c>
      <c r="BD19" s="13">
        <f>IF(Time!BD20=1,$F$17,BC19*IF(Time!BD27=1,(1+BD14/100)^(Inputs!$F$236/12)*(1+BD12/100)^((Time!BD21-Inputs!$F$236)/12),(1+BD12/100)^Time!BD24))</f>
        <v/>
      </c>
      <c r="BE19" s="13">
        <f>IF(Time!BE20=1,$F$17,BD19*IF(Time!BE27=1,(1+BE14/100)^(Inputs!$F$236/12)*(1+BE12/100)^((Time!BE21-Inputs!$F$236)/12),(1+BE12/100)^Time!BE24))</f>
        <v/>
      </c>
      <c r="BF19" s="13">
        <f>IF(Time!BF20=1,$F$17,BE19*IF(Time!BF27=1,(1+BF14/100)^(Inputs!$F$236/12)*(1+BF12/100)^((Time!BF21-Inputs!$F$236)/12),(1+BF12/100)^Time!BF24))</f>
        <v/>
      </c>
      <c r="BG19" s="13">
        <f>IF(Time!BG20=1,$F$17,BF19*IF(Time!BG27=1,(1+BG14/100)^(Inputs!$F$236/12)*(1+BG12/100)^((Time!BG21-Inputs!$F$236)/12),(1+BG12/100)^Time!BG24))</f>
        <v/>
      </c>
      <c r="BH19" s="13">
        <f>IF(Time!BH20=1,$F$17,BG19*IF(Time!BH27=1,(1+BH14/100)^(Inputs!$F$236/12)*(1+BH12/100)^((Time!BH21-Inputs!$F$236)/12),(1+BH12/100)^Time!BH24))</f>
        <v/>
      </c>
      <c r="BI19" s="13">
        <f>IF(Time!BI20=1,$F$17,BH19*IF(Time!BI27=1,(1+BI14/100)^(Inputs!$F$236/12)*(1+BI12/100)^((Time!BI21-Inputs!$F$236)/12),(1+BI12/100)^Time!BI24))</f>
        <v/>
      </c>
      <c r="BJ19" s="13">
        <f>IF(Time!BJ20=1,$F$17,BI19*IF(Time!BJ27=1,(1+BJ14/100)^(Inputs!$F$236/12)*(1+BJ12/100)^((Time!BJ21-Inputs!$F$236)/12),(1+BJ12/100)^Time!BJ24))</f>
        <v/>
      </c>
      <c r="BK19" s="13">
        <f>IF(Time!BK20=1,$F$17,BJ19*IF(Time!BK27=1,(1+BK14/100)^(Inputs!$F$236/12)*(1+BK12/100)^((Time!BK21-Inputs!$F$236)/12),(1+BK12/100)^Time!BK24))</f>
        <v/>
      </c>
      <c r="BL19" s="13">
        <f>IF(Time!BL20=1,$F$17,BK19*IF(Time!BL27=1,(1+BL14/100)^(Inputs!$F$236/12)*(1+BL12/100)^((Time!BL21-Inputs!$F$236)/12),(1+BL12/100)^Time!BL24))</f>
        <v/>
      </c>
      <c r="BM19" s="13">
        <f>IF(Time!BM20=1,$F$17,BL19*IF(Time!BM27=1,(1+BM14/100)^(Inputs!$F$236/12)*(1+BM12/100)^((Time!BM21-Inputs!$F$236)/12),(1+BM12/100)^Time!BM24))</f>
        <v/>
      </c>
      <c r="BN19" s="13">
        <f>IF(Time!BN20=1,$F$17,BM19*IF(Time!BN27=1,(1+BN14/100)^(Inputs!$F$236/12)*(1+BN12/100)^((Time!BN21-Inputs!$F$236)/12),(1+BN12/100)^Time!BN24))</f>
        <v/>
      </c>
    </row>
    <row r="20">
      <c r="D20" t="inlineStr">
        <is>
          <t>US CPI index, tariff reading (3-month lag)</t>
        </is>
      </c>
      <c r="E20" t="inlineStr">
        <is>
          <t>index</t>
        </is>
      </c>
      <c r="J20" s="13">
        <f>IF(Time!J20=1,$F$18,I19)</f>
        <v/>
      </c>
      <c r="K20" s="13">
        <f>IF(Time!K20=1,$F$18,J19)</f>
        <v/>
      </c>
      <c r="L20" s="13">
        <f>IF(Time!L20=1,$F$18,K19)</f>
        <v/>
      </c>
      <c r="M20" s="13">
        <f>IF(Time!M20=1,$F$18,L19)</f>
        <v/>
      </c>
      <c r="N20" s="13">
        <f>IF(Time!N20=1,$F$18,M19)</f>
        <v/>
      </c>
      <c r="O20" s="13">
        <f>IF(Time!O20=1,$F$18,N19)</f>
        <v/>
      </c>
      <c r="P20" s="13">
        <f>IF(Time!P20=1,$F$18,O19)</f>
        <v/>
      </c>
      <c r="Q20" s="13">
        <f>IF(Time!Q20=1,$F$18,P19)</f>
        <v/>
      </c>
      <c r="R20" s="13">
        <f>IF(Time!R20=1,$F$18,Q19)</f>
        <v/>
      </c>
      <c r="S20" s="13">
        <f>IF(Time!S20=1,$F$18,R19)</f>
        <v/>
      </c>
      <c r="T20" s="13">
        <f>IF(Time!T20=1,$F$18,S19)</f>
        <v/>
      </c>
      <c r="U20" s="13">
        <f>IF(Time!U20=1,$F$18,T19)</f>
        <v/>
      </c>
      <c r="V20" s="13">
        <f>IF(Time!V20=1,$F$18,U19)</f>
        <v/>
      </c>
      <c r="W20" s="13">
        <f>IF(Time!W20=1,$F$18,V19)</f>
        <v/>
      </c>
      <c r="X20" s="13">
        <f>IF(Time!X20=1,$F$18,W19)</f>
        <v/>
      </c>
      <c r="Y20" s="13">
        <f>IF(Time!Y20=1,$F$18,X19)</f>
        <v/>
      </c>
      <c r="Z20" s="13">
        <f>IF(Time!Z20=1,$F$18,Y19)</f>
        <v/>
      </c>
      <c r="AA20" s="13">
        <f>IF(Time!AA20=1,$F$18,Z19)</f>
        <v/>
      </c>
      <c r="AB20" s="13">
        <f>IF(Time!AB20=1,$F$18,AA19)</f>
        <v/>
      </c>
      <c r="AC20" s="13">
        <f>IF(Time!AC20=1,$F$18,AB19)</f>
        <v/>
      </c>
      <c r="AD20" s="13">
        <f>IF(Time!AD20=1,$F$18,AC19)</f>
        <v/>
      </c>
      <c r="AE20" s="13">
        <f>IF(Time!AE20=1,$F$18,AD19)</f>
        <v/>
      </c>
      <c r="AF20" s="13">
        <f>IF(Time!AF20=1,$F$18,AE19)</f>
        <v/>
      </c>
      <c r="AG20" s="13">
        <f>IF(Time!AG20=1,$F$18,AF19)</f>
        <v/>
      </c>
      <c r="AH20" s="13">
        <f>IF(Time!AH20=1,$F$18,AG19)</f>
        <v/>
      </c>
      <c r="AI20" s="13">
        <f>IF(Time!AI20=1,$F$18,AH19)</f>
        <v/>
      </c>
      <c r="AJ20" s="13">
        <f>IF(Time!AJ20=1,$F$18,AI19)</f>
        <v/>
      </c>
      <c r="AK20" s="13">
        <f>IF(Time!AK20=1,$F$18,AJ19)</f>
        <v/>
      </c>
      <c r="AL20" s="13">
        <f>IF(Time!AL20=1,$F$18,AK19)</f>
        <v/>
      </c>
      <c r="AM20" s="13">
        <f>IF(Time!AM20=1,$F$18,AL19)</f>
        <v/>
      </c>
      <c r="AN20" s="13">
        <f>IF(Time!AN20=1,$F$18,AM19)</f>
        <v/>
      </c>
      <c r="AO20" s="13">
        <f>IF(Time!AO20=1,$F$18,AN19)</f>
        <v/>
      </c>
      <c r="AP20" s="13">
        <f>IF(Time!AP20=1,$F$18,AO19)</f>
        <v/>
      </c>
      <c r="AQ20" s="13">
        <f>IF(Time!AQ20=1,$F$18,AP19)</f>
        <v/>
      </c>
      <c r="AR20" s="13">
        <f>IF(Time!AR20=1,$F$18,AQ19)</f>
        <v/>
      </c>
      <c r="AS20" s="13">
        <f>IF(Time!AS20=1,$F$18,AR19)</f>
        <v/>
      </c>
      <c r="AT20" s="13">
        <f>IF(Time!AT20=1,$F$18,AS19)</f>
        <v/>
      </c>
      <c r="AU20" s="13">
        <f>IF(Time!AU20=1,$F$18,AT19)</f>
        <v/>
      </c>
      <c r="AV20" s="13">
        <f>IF(Time!AV20=1,$F$18,AU19)</f>
        <v/>
      </c>
      <c r="AW20" s="13">
        <f>IF(Time!AW20=1,$F$18,AV19)</f>
        <v/>
      </c>
      <c r="AX20" s="13">
        <f>IF(Time!AX20=1,$F$18,AW19)</f>
        <v/>
      </c>
      <c r="AY20" s="13">
        <f>IF(Time!AY20=1,$F$18,AX19)</f>
        <v/>
      </c>
      <c r="AZ20" s="13">
        <f>IF(Time!AZ20=1,$F$18,AY19)</f>
        <v/>
      </c>
      <c r="BA20" s="13">
        <f>IF(Time!BA20=1,$F$18,AZ19)</f>
        <v/>
      </c>
      <c r="BB20" s="13">
        <f>IF(Time!BB20=1,$F$18,BA19)</f>
        <v/>
      </c>
      <c r="BC20" s="13">
        <f>IF(Time!BC20=1,$F$18,BB19)</f>
        <v/>
      </c>
      <c r="BD20" s="13">
        <f>IF(Time!BD20=1,$F$18,BC19)</f>
        <v/>
      </c>
      <c r="BE20" s="13">
        <f>IF(Time!BE20=1,$F$18,BD19)</f>
        <v/>
      </c>
      <c r="BF20" s="13">
        <f>IF(Time!BF20=1,$F$18,BE19)</f>
        <v/>
      </c>
      <c r="BG20" s="13">
        <f>IF(Time!BG20=1,$F$18,BF19)</f>
        <v/>
      </c>
      <c r="BH20" s="13">
        <f>IF(Time!BH20=1,$F$18,BG19)</f>
        <v/>
      </c>
      <c r="BI20" s="13">
        <f>IF(Time!BI20=1,$F$18,BH19)</f>
        <v/>
      </c>
      <c r="BJ20" s="13">
        <f>IF(Time!BJ20=1,$F$18,BI19)</f>
        <v/>
      </c>
      <c r="BK20" s="13">
        <f>IF(Time!BK20=1,$F$18,BJ19)</f>
        <v/>
      </c>
      <c r="BL20" s="13">
        <f>IF(Time!BL20=1,$F$18,BK19)</f>
        <v/>
      </c>
      <c r="BM20" s="13">
        <f>IF(Time!BM20=1,$F$18,BL19)</f>
        <v/>
      </c>
      <c r="BN20" s="13">
        <f>IF(Time!BN20=1,$F$18,BM19)</f>
        <v/>
      </c>
    </row>
    <row r="21">
      <c r="D21" t="inlineStr">
        <is>
          <t>US cost indexation factor vs 2018 prices</t>
        </is>
      </c>
      <c r="E21" t="inlineStr">
        <is>
          <t>factor</t>
        </is>
      </c>
      <c r="J21" s="13">
        <f>J19/$F$16</f>
        <v/>
      </c>
      <c r="K21" s="13">
        <f>K19/$F$16</f>
        <v/>
      </c>
      <c r="L21" s="13">
        <f>L19/$F$16</f>
        <v/>
      </c>
      <c r="M21" s="13">
        <f>M19/$F$16</f>
        <v/>
      </c>
      <c r="N21" s="13">
        <f>N19/$F$16</f>
        <v/>
      </c>
      <c r="O21" s="13">
        <f>O19/$F$16</f>
        <v/>
      </c>
      <c r="P21" s="13">
        <f>P19/$F$16</f>
        <v/>
      </c>
      <c r="Q21" s="13">
        <f>Q19/$F$16</f>
        <v/>
      </c>
      <c r="R21" s="13">
        <f>R19/$F$16</f>
        <v/>
      </c>
      <c r="S21" s="13">
        <f>S19/$F$16</f>
        <v/>
      </c>
      <c r="T21" s="13">
        <f>T19/$F$16</f>
        <v/>
      </c>
      <c r="U21" s="13">
        <f>U19/$F$16</f>
        <v/>
      </c>
      <c r="V21" s="13">
        <f>V19/$F$16</f>
        <v/>
      </c>
      <c r="W21" s="13">
        <f>W19/$F$16</f>
        <v/>
      </c>
      <c r="X21" s="13">
        <f>X19/$F$16</f>
        <v/>
      </c>
      <c r="Y21" s="13">
        <f>Y19/$F$16</f>
        <v/>
      </c>
      <c r="Z21" s="13">
        <f>Z19/$F$16</f>
        <v/>
      </c>
      <c r="AA21" s="13">
        <f>AA19/$F$16</f>
        <v/>
      </c>
      <c r="AB21" s="13">
        <f>AB19/$F$16</f>
        <v/>
      </c>
      <c r="AC21" s="13">
        <f>AC19/$F$16</f>
        <v/>
      </c>
      <c r="AD21" s="13">
        <f>AD19/$F$16</f>
        <v/>
      </c>
      <c r="AE21" s="13">
        <f>AE19/$F$16</f>
        <v/>
      </c>
      <c r="AF21" s="13">
        <f>AF19/$F$16</f>
        <v/>
      </c>
      <c r="AG21" s="13">
        <f>AG19/$F$16</f>
        <v/>
      </c>
      <c r="AH21" s="13">
        <f>AH19/$F$16</f>
        <v/>
      </c>
      <c r="AI21" s="13">
        <f>AI19/$F$16</f>
        <v/>
      </c>
      <c r="AJ21" s="13">
        <f>AJ19/$F$16</f>
        <v/>
      </c>
      <c r="AK21" s="13">
        <f>AK19/$F$16</f>
        <v/>
      </c>
      <c r="AL21" s="13">
        <f>AL19/$F$16</f>
        <v/>
      </c>
      <c r="AM21" s="13">
        <f>AM19/$F$16</f>
        <v/>
      </c>
      <c r="AN21" s="13">
        <f>AN19/$F$16</f>
        <v/>
      </c>
      <c r="AO21" s="13">
        <f>AO19/$F$16</f>
        <v/>
      </c>
      <c r="AP21" s="13">
        <f>AP19/$F$16</f>
        <v/>
      </c>
      <c r="AQ21" s="13">
        <f>AQ19/$F$16</f>
        <v/>
      </c>
      <c r="AR21" s="13">
        <f>AR19/$F$16</f>
        <v/>
      </c>
      <c r="AS21" s="13">
        <f>AS19/$F$16</f>
        <v/>
      </c>
      <c r="AT21" s="13">
        <f>AT19/$F$16</f>
        <v/>
      </c>
      <c r="AU21" s="13">
        <f>AU19/$F$16</f>
        <v/>
      </c>
      <c r="AV21" s="13">
        <f>AV19/$F$16</f>
        <v/>
      </c>
      <c r="AW21" s="13">
        <f>AW19/$F$16</f>
        <v/>
      </c>
      <c r="AX21" s="13">
        <f>AX19/$F$16</f>
        <v/>
      </c>
      <c r="AY21" s="13">
        <f>AY19/$F$16</f>
        <v/>
      </c>
      <c r="AZ21" s="13">
        <f>AZ19/$F$16</f>
        <v/>
      </c>
      <c r="BA21" s="13">
        <f>BA19/$F$16</f>
        <v/>
      </c>
      <c r="BB21" s="13">
        <f>BB19/$F$16</f>
        <v/>
      </c>
      <c r="BC21" s="13">
        <f>BC19/$F$16</f>
        <v/>
      </c>
      <c r="BD21" s="13">
        <f>BD19/$F$16</f>
        <v/>
      </c>
      <c r="BE21" s="13">
        <f>BE19/$F$16</f>
        <v/>
      </c>
      <c r="BF21" s="13">
        <f>BF19/$F$16</f>
        <v/>
      </c>
      <c r="BG21" s="13">
        <f>BG19/$F$16</f>
        <v/>
      </c>
      <c r="BH21" s="13">
        <f>BH19/$F$16</f>
        <v/>
      </c>
      <c r="BI21" s="13">
        <f>BI19/$F$16</f>
        <v/>
      </c>
      <c r="BJ21" s="13">
        <f>BJ19/$F$16</f>
        <v/>
      </c>
      <c r="BK21" s="13">
        <f>BK19/$F$16</f>
        <v/>
      </c>
      <c r="BL21" s="13">
        <f>BL19/$F$16</f>
        <v/>
      </c>
      <c r="BM21" s="13">
        <f>BM19/$F$16</f>
        <v/>
      </c>
      <c r="BN21" s="13">
        <f>BN19/$F$16</f>
        <v/>
      </c>
    </row>
    <row r="22">
      <c r="D22" t="inlineStr">
        <is>
          <t>KC index, 2018 price base month</t>
        </is>
      </c>
      <c r="E22" t="inlineStr">
        <is>
          <t>index</t>
        </is>
      </c>
      <c r="F22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$235/12)</f>
        <v/>
      </c>
    </row>
    <row r="23">
      <c r="D23" t="inlineStr">
        <is>
          <t>KC index, first cost reading</t>
        </is>
      </c>
      <c r="E23" t="inlineStr">
        <is>
          <t>index</t>
        </is>
      </c>
      <c r="F23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$233/12)</f>
        <v/>
      </c>
    </row>
    <row r="24">
      <c r="D24" t="inlineStr">
        <is>
          <t>KC index, first tariff reading</t>
        </is>
      </c>
      <c r="E24" t="inlineStr">
        <is>
          <t>index</t>
        </is>
      </c>
      <c r="F24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$234/12)</f>
        <v/>
      </c>
    </row>
    <row r="25">
      <c r="D25" t="inlineStr">
        <is>
          <t>Kessara CPI index, cost reading (Mar/Sep), Nov 2016 = 100</t>
        </is>
      </c>
      <c r="E25" t="inlineStr">
        <is>
          <t>index</t>
        </is>
      </c>
      <c r="J25" s="13">
        <f>IF(Time!J20=1,$F$23,I25*IF(Time!J27=1,(1+J15/100)^(Inputs!$F$236/12)*(1+J13/100)^((Time!J21-Inputs!$F$236)/12),(1+J13/100)^Time!J24))</f>
        <v/>
      </c>
      <c r="K25" s="13">
        <f>IF(Time!K20=1,$F$23,J25*IF(Time!K27=1,(1+K15/100)^(Inputs!$F$236/12)*(1+K13/100)^((Time!K21-Inputs!$F$236)/12),(1+K13/100)^Time!K24))</f>
        <v/>
      </c>
      <c r="L25" s="13">
        <f>IF(Time!L20=1,$F$23,K25*IF(Time!L27=1,(1+L15/100)^(Inputs!$F$236/12)*(1+L13/100)^((Time!L21-Inputs!$F$236)/12),(1+L13/100)^Time!L24))</f>
        <v/>
      </c>
      <c r="M25" s="13">
        <f>IF(Time!M20=1,$F$23,L25*IF(Time!M27=1,(1+M15/100)^(Inputs!$F$236/12)*(1+M13/100)^((Time!M21-Inputs!$F$236)/12),(1+M13/100)^Time!M24))</f>
        <v/>
      </c>
      <c r="N25" s="13">
        <f>IF(Time!N20=1,$F$23,M25*IF(Time!N27=1,(1+N15/100)^(Inputs!$F$236/12)*(1+N13/100)^((Time!N21-Inputs!$F$236)/12),(1+N13/100)^Time!N24))</f>
        <v/>
      </c>
      <c r="O25" s="13">
        <f>IF(Time!O20=1,$F$23,N25*IF(Time!O27=1,(1+O15/100)^(Inputs!$F$236/12)*(1+O13/100)^((Time!O21-Inputs!$F$236)/12),(1+O13/100)^Time!O24))</f>
        <v/>
      </c>
      <c r="P25" s="13">
        <f>IF(Time!P20=1,$F$23,O25*IF(Time!P27=1,(1+P15/100)^(Inputs!$F$236/12)*(1+P13/100)^((Time!P21-Inputs!$F$236)/12),(1+P13/100)^Time!P24))</f>
        <v/>
      </c>
      <c r="Q25" s="13">
        <f>IF(Time!Q20=1,$F$23,P25*IF(Time!Q27=1,(1+Q15/100)^(Inputs!$F$236/12)*(1+Q13/100)^((Time!Q21-Inputs!$F$236)/12),(1+Q13/100)^Time!Q24))</f>
        <v/>
      </c>
      <c r="R25" s="13">
        <f>IF(Time!R20=1,$F$23,Q25*IF(Time!R27=1,(1+R15/100)^(Inputs!$F$236/12)*(1+R13/100)^((Time!R21-Inputs!$F$236)/12),(1+R13/100)^Time!R24))</f>
        <v/>
      </c>
      <c r="S25" s="13">
        <f>IF(Time!S20=1,$F$23,R25*IF(Time!S27=1,(1+S15/100)^(Inputs!$F$236/12)*(1+S13/100)^((Time!S21-Inputs!$F$236)/12),(1+S13/100)^Time!S24))</f>
        <v/>
      </c>
      <c r="T25" s="13">
        <f>IF(Time!T20=1,$F$23,S25*IF(Time!T27=1,(1+T15/100)^(Inputs!$F$236/12)*(1+T13/100)^((Time!T21-Inputs!$F$236)/12),(1+T13/100)^Time!T24))</f>
        <v/>
      </c>
      <c r="U25" s="13">
        <f>IF(Time!U20=1,$F$23,T25*IF(Time!U27=1,(1+U15/100)^(Inputs!$F$236/12)*(1+U13/100)^((Time!U21-Inputs!$F$236)/12),(1+U13/100)^Time!U24))</f>
        <v/>
      </c>
      <c r="V25" s="13">
        <f>IF(Time!V20=1,$F$23,U25*IF(Time!V27=1,(1+V15/100)^(Inputs!$F$236/12)*(1+V13/100)^((Time!V21-Inputs!$F$236)/12),(1+V13/100)^Time!V24))</f>
        <v/>
      </c>
      <c r="W25" s="13">
        <f>IF(Time!W20=1,$F$23,V25*IF(Time!W27=1,(1+W15/100)^(Inputs!$F$236/12)*(1+W13/100)^((Time!W21-Inputs!$F$236)/12),(1+W13/100)^Time!W24))</f>
        <v/>
      </c>
      <c r="X25" s="13">
        <f>IF(Time!X20=1,$F$23,W25*IF(Time!X27=1,(1+X15/100)^(Inputs!$F$236/12)*(1+X13/100)^((Time!X21-Inputs!$F$236)/12),(1+X13/100)^Time!X24))</f>
        <v/>
      </c>
      <c r="Y25" s="13">
        <f>IF(Time!Y20=1,$F$23,X25*IF(Time!Y27=1,(1+Y15/100)^(Inputs!$F$236/12)*(1+Y13/100)^((Time!Y21-Inputs!$F$236)/12),(1+Y13/100)^Time!Y24))</f>
        <v/>
      </c>
      <c r="Z25" s="13">
        <f>IF(Time!Z20=1,$F$23,Y25*IF(Time!Z27=1,(1+Z15/100)^(Inputs!$F$236/12)*(1+Z13/100)^((Time!Z21-Inputs!$F$236)/12),(1+Z13/100)^Time!Z24))</f>
        <v/>
      </c>
      <c r="AA25" s="13">
        <f>IF(Time!AA20=1,$F$23,Z25*IF(Time!AA27=1,(1+AA15/100)^(Inputs!$F$236/12)*(1+AA13/100)^((Time!AA21-Inputs!$F$236)/12),(1+AA13/100)^Time!AA24))</f>
        <v/>
      </c>
      <c r="AB25" s="13">
        <f>IF(Time!AB20=1,$F$23,AA25*IF(Time!AB27=1,(1+AB15/100)^(Inputs!$F$236/12)*(1+AB13/100)^((Time!AB21-Inputs!$F$236)/12),(1+AB13/100)^Time!AB24))</f>
        <v/>
      </c>
      <c r="AC25" s="13">
        <f>IF(Time!AC20=1,$F$23,AB25*IF(Time!AC27=1,(1+AC15/100)^(Inputs!$F$236/12)*(1+AC13/100)^((Time!AC21-Inputs!$F$236)/12),(1+AC13/100)^Time!AC24))</f>
        <v/>
      </c>
      <c r="AD25" s="13">
        <f>IF(Time!AD20=1,$F$23,AC25*IF(Time!AD27=1,(1+AD15/100)^(Inputs!$F$236/12)*(1+AD13/100)^((Time!AD21-Inputs!$F$236)/12),(1+AD13/100)^Time!AD24))</f>
        <v/>
      </c>
      <c r="AE25" s="13">
        <f>IF(Time!AE20=1,$F$23,AD25*IF(Time!AE27=1,(1+AE15/100)^(Inputs!$F$236/12)*(1+AE13/100)^((Time!AE21-Inputs!$F$236)/12),(1+AE13/100)^Time!AE24))</f>
        <v/>
      </c>
      <c r="AF25" s="13">
        <f>IF(Time!AF20=1,$F$23,AE25*IF(Time!AF27=1,(1+AF15/100)^(Inputs!$F$236/12)*(1+AF13/100)^((Time!AF21-Inputs!$F$236)/12),(1+AF13/100)^Time!AF24))</f>
        <v/>
      </c>
      <c r="AG25" s="13">
        <f>IF(Time!AG20=1,$F$23,AF25*IF(Time!AG27=1,(1+AG15/100)^(Inputs!$F$236/12)*(1+AG13/100)^((Time!AG21-Inputs!$F$236)/12),(1+AG13/100)^Time!AG24))</f>
        <v/>
      </c>
      <c r="AH25" s="13">
        <f>IF(Time!AH20=1,$F$23,AG25*IF(Time!AH27=1,(1+AH15/100)^(Inputs!$F$236/12)*(1+AH13/100)^((Time!AH21-Inputs!$F$236)/12),(1+AH13/100)^Time!AH24))</f>
        <v/>
      </c>
      <c r="AI25" s="13">
        <f>IF(Time!AI20=1,$F$23,AH25*IF(Time!AI27=1,(1+AI15/100)^(Inputs!$F$236/12)*(1+AI13/100)^((Time!AI21-Inputs!$F$236)/12),(1+AI13/100)^Time!AI24))</f>
        <v/>
      </c>
      <c r="AJ25" s="13">
        <f>IF(Time!AJ20=1,$F$23,AI25*IF(Time!AJ27=1,(1+AJ15/100)^(Inputs!$F$236/12)*(1+AJ13/100)^((Time!AJ21-Inputs!$F$236)/12),(1+AJ13/100)^Time!AJ24))</f>
        <v/>
      </c>
      <c r="AK25" s="13">
        <f>IF(Time!AK20=1,$F$23,AJ25*IF(Time!AK27=1,(1+AK15/100)^(Inputs!$F$236/12)*(1+AK13/100)^((Time!AK21-Inputs!$F$236)/12),(1+AK13/100)^Time!AK24))</f>
        <v/>
      </c>
      <c r="AL25" s="13">
        <f>IF(Time!AL20=1,$F$23,AK25*IF(Time!AL27=1,(1+AL15/100)^(Inputs!$F$236/12)*(1+AL13/100)^((Time!AL21-Inputs!$F$236)/12),(1+AL13/100)^Time!AL24))</f>
        <v/>
      </c>
      <c r="AM25" s="13">
        <f>IF(Time!AM20=1,$F$23,AL25*IF(Time!AM27=1,(1+AM15/100)^(Inputs!$F$236/12)*(1+AM13/100)^((Time!AM21-Inputs!$F$236)/12),(1+AM13/100)^Time!AM24))</f>
        <v/>
      </c>
      <c r="AN25" s="13">
        <f>IF(Time!AN20=1,$F$23,AM25*IF(Time!AN27=1,(1+AN15/100)^(Inputs!$F$236/12)*(1+AN13/100)^((Time!AN21-Inputs!$F$236)/12),(1+AN13/100)^Time!AN24))</f>
        <v/>
      </c>
      <c r="AO25" s="13">
        <f>IF(Time!AO20=1,$F$23,AN25*IF(Time!AO27=1,(1+AO15/100)^(Inputs!$F$236/12)*(1+AO13/100)^((Time!AO21-Inputs!$F$236)/12),(1+AO13/100)^Time!AO24))</f>
        <v/>
      </c>
      <c r="AP25" s="13">
        <f>IF(Time!AP20=1,$F$23,AO25*IF(Time!AP27=1,(1+AP15/100)^(Inputs!$F$236/12)*(1+AP13/100)^((Time!AP21-Inputs!$F$236)/12),(1+AP13/100)^Time!AP24))</f>
        <v/>
      </c>
      <c r="AQ25" s="13">
        <f>IF(Time!AQ20=1,$F$23,AP25*IF(Time!AQ27=1,(1+AQ15/100)^(Inputs!$F$236/12)*(1+AQ13/100)^((Time!AQ21-Inputs!$F$236)/12),(1+AQ13/100)^Time!AQ24))</f>
        <v/>
      </c>
      <c r="AR25" s="13">
        <f>IF(Time!AR20=1,$F$23,AQ25*IF(Time!AR27=1,(1+AR15/100)^(Inputs!$F$236/12)*(1+AR13/100)^((Time!AR21-Inputs!$F$236)/12),(1+AR13/100)^Time!AR24))</f>
        <v/>
      </c>
      <c r="AS25" s="13">
        <f>IF(Time!AS20=1,$F$23,AR25*IF(Time!AS27=1,(1+AS15/100)^(Inputs!$F$236/12)*(1+AS13/100)^((Time!AS21-Inputs!$F$236)/12),(1+AS13/100)^Time!AS24))</f>
        <v/>
      </c>
      <c r="AT25" s="13">
        <f>IF(Time!AT20=1,$F$23,AS25*IF(Time!AT27=1,(1+AT15/100)^(Inputs!$F$236/12)*(1+AT13/100)^((Time!AT21-Inputs!$F$236)/12),(1+AT13/100)^Time!AT24))</f>
        <v/>
      </c>
      <c r="AU25" s="13">
        <f>IF(Time!AU20=1,$F$23,AT25*IF(Time!AU27=1,(1+AU15/100)^(Inputs!$F$236/12)*(1+AU13/100)^((Time!AU21-Inputs!$F$236)/12),(1+AU13/100)^Time!AU24))</f>
        <v/>
      </c>
      <c r="AV25" s="13">
        <f>IF(Time!AV20=1,$F$23,AU25*IF(Time!AV27=1,(1+AV15/100)^(Inputs!$F$236/12)*(1+AV13/100)^((Time!AV21-Inputs!$F$236)/12),(1+AV13/100)^Time!AV24))</f>
        <v/>
      </c>
      <c r="AW25" s="13">
        <f>IF(Time!AW20=1,$F$23,AV25*IF(Time!AW27=1,(1+AW15/100)^(Inputs!$F$236/12)*(1+AW13/100)^((Time!AW21-Inputs!$F$236)/12),(1+AW13/100)^Time!AW24))</f>
        <v/>
      </c>
      <c r="AX25" s="13">
        <f>IF(Time!AX20=1,$F$23,AW25*IF(Time!AX27=1,(1+AX15/100)^(Inputs!$F$236/12)*(1+AX13/100)^((Time!AX21-Inputs!$F$236)/12),(1+AX13/100)^Time!AX24))</f>
        <v/>
      </c>
      <c r="AY25" s="13">
        <f>IF(Time!AY20=1,$F$23,AX25*IF(Time!AY27=1,(1+AY15/100)^(Inputs!$F$236/12)*(1+AY13/100)^((Time!AY21-Inputs!$F$236)/12),(1+AY13/100)^Time!AY24))</f>
        <v/>
      </c>
      <c r="AZ25" s="13">
        <f>IF(Time!AZ20=1,$F$23,AY25*IF(Time!AZ27=1,(1+AZ15/100)^(Inputs!$F$236/12)*(1+AZ13/100)^((Time!AZ21-Inputs!$F$236)/12),(1+AZ13/100)^Time!AZ24))</f>
        <v/>
      </c>
      <c r="BA25" s="13">
        <f>IF(Time!BA20=1,$F$23,AZ25*IF(Time!BA27=1,(1+BA15/100)^(Inputs!$F$236/12)*(1+BA13/100)^((Time!BA21-Inputs!$F$236)/12),(1+BA13/100)^Time!BA24))</f>
        <v/>
      </c>
      <c r="BB25" s="13">
        <f>IF(Time!BB20=1,$F$23,BA25*IF(Time!BB27=1,(1+BB15/100)^(Inputs!$F$236/12)*(1+BB13/100)^((Time!BB21-Inputs!$F$236)/12),(1+BB13/100)^Time!BB24))</f>
        <v/>
      </c>
      <c r="BC25" s="13">
        <f>IF(Time!BC20=1,$F$23,BB25*IF(Time!BC27=1,(1+BC15/100)^(Inputs!$F$236/12)*(1+BC13/100)^((Time!BC21-Inputs!$F$236)/12),(1+BC13/100)^Time!BC24))</f>
        <v/>
      </c>
      <c r="BD25" s="13">
        <f>IF(Time!BD20=1,$F$23,BC25*IF(Time!BD27=1,(1+BD15/100)^(Inputs!$F$236/12)*(1+BD13/100)^((Time!BD21-Inputs!$F$236)/12),(1+BD13/100)^Time!BD24))</f>
        <v/>
      </c>
      <c r="BE25" s="13">
        <f>IF(Time!BE20=1,$F$23,BD25*IF(Time!BE27=1,(1+BE15/100)^(Inputs!$F$236/12)*(1+BE13/100)^((Time!BE21-Inputs!$F$236)/12),(1+BE13/100)^Time!BE24))</f>
        <v/>
      </c>
      <c r="BF25" s="13">
        <f>IF(Time!BF20=1,$F$23,BE25*IF(Time!BF27=1,(1+BF15/100)^(Inputs!$F$236/12)*(1+BF13/100)^((Time!BF21-Inputs!$F$236)/12),(1+BF13/100)^Time!BF24))</f>
        <v/>
      </c>
      <c r="BG25" s="13">
        <f>IF(Time!BG20=1,$F$23,BF25*IF(Time!BG27=1,(1+BG15/100)^(Inputs!$F$236/12)*(1+BG13/100)^((Time!BG21-Inputs!$F$236)/12),(1+BG13/100)^Time!BG24))</f>
        <v/>
      </c>
      <c r="BH25" s="13">
        <f>IF(Time!BH20=1,$F$23,BG25*IF(Time!BH27=1,(1+BH15/100)^(Inputs!$F$236/12)*(1+BH13/100)^((Time!BH21-Inputs!$F$236)/12),(1+BH13/100)^Time!BH24))</f>
        <v/>
      </c>
      <c r="BI25" s="13">
        <f>IF(Time!BI20=1,$F$23,BH25*IF(Time!BI27=1,(1+BI15/100)^(Inputs!$F$236/12)*(1+BI13/100)^((Time!BI21-Inputs!$F$236)/12),(1+BI13/100)^Time!BI24))</f>
        <v/>
      </c>
      <c r="BJ25" s="13">
        <f>IF(Time!BJ20=1,$F$23,BI25*IF(Time!BJ27=1,(1+BJ15/100)^(Inputs!$F$236/12)*(1+BJ13/100)^((Time!BJ21-Inputs!$F$236)/12),(1+BJ13/100)^Time!BJ24))</f>
        <v/>
      </c>
      <c r="BK25" s="13">
        <f>IF(Time!BK20=1,$F$23,BJ25*IF(Time!BK27=1,(1+BK15/100)^(Inputs!$F$236/12)*(1+BK13/100)^((Time!BK21-Inputs!$F$236)/12),(1+BK13/100)^Time!BK24))</f>
        <v/>
      </c>
      <c r="BL25" s="13">
        <f>IF(Time!BL20=1,$F$23,BK25*IF(Time!BL27=1,(1+BL15/100)^(Inputs!$F$236/12)*(1+BL13/100)^((Time!BL21-Inputs!$F$236)/12),(1+BL13/100)^Time!BL24))</f>
        <v/>
      </c>
      <c r="BM25" s="13">
        <f>IF(Time!BM20=1,$F$23,BL25*IF(Time!BM27=1,(1+BM15/100)^(Inputs!$F$236/12)*(1+BM13/100)^((Time!BM21-Inputs!$F$236)/12),(1+BM13/100)^Time!BM24))</f>
        <v/>
      </c>
      <c r="BN25" s="13">
        <f>IF(Time!BN20=1,$F$23,BM25*IF(Time!BN27=1,(1+BN15/100)^(Inputs!$F$236/12)*(1+BN13/100)^((Time!BN21-Inputs!$F$236)/12),(1+BN13/100)^Time!BN24))</f>
        <v/>
      </c>
    </row>
    <row r="26">
      <c r="D26" t="inlineStr">
        <is>
          <t>Kessara CPI index, tariff reading (3-month lag)</t>
        </is>
      </c>
      <c r="E26" t="inlineStr">
        <is>
          <t>index</t>
        </is>
      </c>
      <c r="J26" s="13">
        <f>IF(Time!J20=1,$F$24,I25)</f>
        <v/>
      </c>
      <c r="K26" s="13">
        <f>IF(Time!K20=1,$F$24,J25)</f>
        <v/>
      </c>
      <c r="L26" s="13">
        <f>IF(Time!L20=1,$F$24,K25)</f>
        <v/>
      </c>
      <c r="M26" s="13">
        <f>IF(Time!M20=1,$F$24,L25)</f>
        <v/>
      </c>
      <c r="N26" s="13">
        <f>IF(Time!N20=1,$F$24,M25)</f>
        <v/>
      </c>
      <c r="O26" s="13">
        <f>IF(Time!O20=1,$F$24,N25)</f>
        <v/>
      </c>
      <c r="P26" s="13">
        <f>IF(Time!P20=1,$F$24,O25)</f>
        <v/>
      </c>
      <c r="Q26" s="13">
        <f>IF(Time!Q20=1,$F$24,P25)</f>
        <v/>
      </c>
      <c r="R26" s="13">
        <f>IF(Time!R20=1,$F$24,Q25)</f>
        <v/>
      </c>
      <c r="S26" s="13">
        <f>IF(Time!S20=1,$F$24,R25)</f>
        <v/>
      </c>
      <c r="T26" s="13">
        <f>IF(Time!T20=1,$F$24,S25)</f>
        <v/>
      </c>
      <c r="U26" s="13">
        <f>IF(Time!U20=1,$F$24,T25)</f>
        <v/>
      </c>
      <c r="V26" s="13">
        <f>IF(Time!V20=1,$F$24,U25)</f>
        <v/>
      </c>
      <c r="W26" s="13">
        <f>IF(Time!W20=1,$F$24,V25)</f>
        <v/>
      </c>
      <c r="X26" s="13">
        <f>IF(Time!X20=1,$F$24,W25)</f>
        <v/>
      </c>
      <c r="Y26" s="13">
        <f>IF(Time!Y20=1,$F$24,X25)</f>
        <v/>
      </c>
      <c r="Z26" s="13">
        <f>IF(Time!Z20=1,$F$24,Y25)</f>
        <v/>
      </c>
      <c r="AA26" s="13">
        <f>IF(Time!AA20=1,$F$24,Z25)</f>
        <v/>
      </c>
      <c r="AB26" s="13">
        <f>IF(Time!AB20=1,$F$24,AA25)</f>
        <v/>
      </c>
      <c r="AC26" s="13">
        <f>IF(Time!AC20=1,$F$24,AB25)</f>
        <v/>
      </c>
      <c r="AD26" s="13">
        <f>IF(Time!AD20=1,$F$24,AC25)</f>
        <v/>
      </c>
      <c r="AE26" s="13">
        <f>IF(Time!AE20=1,$F$24,AD25)</f>
        <v/>
      </c>
      <c r="AF26" s="13">
        <f>IF(Time!AF20=1,$F$24,AE25)</f>
        <v/>
      </c>
      <c r="AG26" s="13">
        <f>IF(Time!AG20=1,$F$24,AF25)</f>
        <v/>
      </c>
      <c r="AH26" s="13">
        <f>IF(Time!AH20=1,$F$24,AG25)</f>
        <v/>
      </c>
      <c r="AI26" s="13">
        <f>IF(Time!AI20=1,$F$24,AH25)</f>
        <v/>
      </c>
      <c r="AJ26" s="13">
        <f>IF(Time!AJ20=1,$F$24,AI25)</f>
        <v/>
      </c>
      <c r="AK26" s="13">
        <f>IF(Time!AK20=1,$F$24,AJ25)</f>
        <v/>
      </c>
      <c r="AL26" s="13">
        <f>IF(Time!AL20=1,$F$24,AK25)</f>
        <v/>
      </c>
      <c r="AM26" s="13">
        <f>IF(Time!AM20=1,$F$24,AL25)</f>
        <v/>
      </c>
      <c r="AN26" s="13">
        <f>IF(Time!AN20=1,$F$24,AM25)</f>
        <v/>
      </c>
      <c r="AO26" s="13">
        <f>IF(Time!AO20=1,$F$24,AN25)</f>
        <v/>
      </c>
      <c r="AP26" s="13">
        <f>IF(Time!AP20=1,$F$24,AO25)</f>
        <v/>
      </c>
      <c r="AQ26" s="13">
        <f>IF(Time!AQ20=1,$F$24,AP25)</f>
        <v/>
      </c>
      <c r="AR26" s="13">
        <f>IF(Time!AR20=1,$F$24,AQ25)</f>
        <v/>
      </c>
      <c r="AS26" s="13">
        <f>IF(Time!AS20=1,$F$24,AR25)</f>
        <v/>
      </c>
      <c r="AT26" s="13">
        <f>IF(Time!AT20=1,$F$24,AS25)</f>
        <v/>
      </c>
      <c r="AU26" s="13">
        <f>IF(Time!AU20=1,$F$24,AT25)</f>
        <v/>
      </c>
      <c r="AV26" s="13">
        <f>IF(Time!AV20=1,$F$24,AU25)</f>
        <v/>
      </c>
      <c r="AW26" s="13">
        <f>IF(Time!AW20=1,$F$24,AV25)</f>
        <v/>
      </c>
      <c r="AX26" s="13">
        <f>IF(Time!AX20=1,$F$24,AW25)</f>
        <v/>
      </c>
      <c r="AY26" s="13">
        <f>IF(Time!AY20=1,$F$24,AX25)</f>
        <v/>
      </c>
      <c r="AZ26" s="13">
        <f>IF(Time!AZ20=1,$F$24,AY25)</f>
        <v/>
      </c>
      <c r="BA26" s="13">
        <f>IF(Time!BA20=1,$F$24,AZ25)</f>
        <v/>
      </c>
      <c r="BB26" s="13">
        <f>IF(Time!BB20=1,$F$24,BA25)</f>
        <v/>
      </c>
      <c r="BC26" s="13">
        <f>IF(Time!BC20=1,$F$24,BB25)</f>
        <v/>
      </c>
      <c r="BD26" s="13">
        <f>IF(Time!BD20=1,$F$24,BC25)</f>
        <v/>
      </c>
      <c r="BE26" s="13">
        <f>IF(Time!BE20=1,$F$24,BD25)</f>
        <v/>
      </c>
      <c r="BF26" s="13">
        <f>IF(Time!BF20=1,$F$24,BE25)</f>
        <v/>
      </c>
      <c r="BG26" s="13">
        <f>IF(Time!BG20=1,$F$24,BF25)</f>
        <v/>
      </c>
      <c r="BH26" s="13">
        <f>IF(Time!BH20=1,$F$24,BG25)</f>
        <v/>
      </c>
      <c r="BI26" s="13">
        <f>IF(Time!BI20=1,$F$24,BH25)</f>
        <v/>
      </c>
      <c r="BJ26" s="13">
        <f>IF(Time!BJ20=1,$F$24,BI25)</f>
        <v/>
      </c>
      <c r="BK26" s="13">
        <f>IF(Time!BK20=1,$F$24,BJ25)</f>
        <v/>
      </c>
      <c r="BL26" s="13">
        <f>IF(Time!BL20=1,$F$24,BK25)</f>
        <v/>
      </c>
      <c r="BM26" s="13">
        <f>IF(Time!BM20=1,$F$24,BL25)</f>
        <v/>
      </c>
      <c r="BN26" s="13">
        <f>IF(Time!BN20=1,$F$24,BM25)</f>
        <v/>
      </c>
    </row>
    <row r="27">
      <c r="D27" t="inlineStr">
        <is>
          <t>Kessara cost indexation factor vs 2018 prices</t>
        </is>
      </c>
      <c r="E27" t="inlineStr">
        <is>
          <t>factor</t>
        </is>
      </c>
      <c r="J27" s="13">
        <f>J25/$F$22</f>
        <v/>
      </c>
      <c r="K27" s="13">
        <f>K25/$F$22</f>
        <v/>
      </c>
      <c r="L27" s="13">
        <f>L25/$F$22</f>
        <v/>
      </c>
      <c r="M27" s="13">
        <f>M25/$F$22</f>
        <v/>
      </c>
      <c r="N27" s="13">
        <f>N25/$F$22</f>
        <v/>
      </c>
      <c r="O27" s="13">
        <f>O25/$F$22</f>
        <v/>
      </c>
      <c r="P27" s="13">
        <f>P25/$F$22</f>
        <v/>
      </c>
      <c r="Q27" s="13">
        <f>Q25/$F$22</f>
        <v/>
      </c>
      <c r="R27" s="13">
        <f>R25/$F$22</f>
        <v/>
      </c>
      <c r="S27" s="13">
        <f>S25/$F$22</f>
        <v/>
      </c>
      <c r="T27" s="13">
        <f>T25/$F$22</f>
        <v/>
      </c>
      <c r="U27" s="13">
        <f>U25/$F$22</f>
        <v/>
      </c>
      <c r="V27" s="13">
        <f>V25/$F$22</f>
        <v/>
      </c>
      <c r="W27" s="13">
        <f>W25/$F$22</f>
        <v/>
      </c>
      <c r="X27" s="13">
        <f>X25/$F$22</f>
        <v/>
      </c>
      <c r="Y27" s="13">
        <f>Y25/$F$22</f>
        <v/>
      </c>
      <c r="Z27" s="13">
        <f>Z25/$F$22</f>
        <v/>
      </c>
      <c r="AA27" s="13">
        <f>AA25/$F$22</f>
        <v/>
      </c>
      <c r="AB27" s="13">
        <f>AB25/$F$22</f>
        <v/>
      </c>
      <c r="AC27" s="13">
        <f>AC25/$F$22</f>
        <v/>
      </c>
      <c r="AD27" s="13">
        <f>AD25/$F$22</f>
        <v/>
      </c>
      <c r="AE27" s="13">
        <f>AE25/$F$22</f>
        <v/>
      </c>
      <c r="AF27" s="13">
        <f>AF25/$F$22</f>
        <v/>
      </c>
      <c r="AG27" s="13">
        <f>AG25/$F$22</f>
        <v/>
      </c>
      <c r="AH27" s="13">
        <f>AH25/$F$22</f>
        <v/>
      </c>
      <c r="AI27" s="13">
        <f>AI25/$F$22</f>
        <v/>
      </c>
      <c r="AJ27" s="13">
        <f>AJ25/$F$22</f>
        <v/>
      </c>
      <c r="AK27" s="13">
        <f>AK25/$F$22</f>
        <v/>
      </c>
      <c r="AL27" s="13">
        <f>AL25/$F$22</f>
        <v/>
      </c>
      <c r="AM27" s="13">
        <f>AM25/$F$22</f>
        <v/>
      </c>
      <c r="AN27" s="13">
        <f>AN25/$F$22</f>
        <v/>
      </c>
      <c r="AO27" s="13">
        <f>AO25/$F$22</f>
        <v/>
      </c>
      <c r="AP27" s="13">
        <f>AP25/$F$22</f>
        <v/>
      </c>
      <c r="AQ27" s="13">
        <f>AQ25/$F$22</f>
        <v/>
      </c>
      <c r="AR27" s="13">
        <f>AR25/$F$22</f>
        <v/>
      </c>
      <c r="AS27" s="13">
        <f>AS25/$F$22</f>
        <v/>
      </c>
      <c r="AT27" s="13">
        <f>AT25/$F$22</f>
        <v/>
      </c>
      <c r="AU27" s="13">
        <f>AU25/$F$22</f>
        <v/>
      </c>
      <c r="AV27" s="13">
        <f>AV25/$F$22</f>
        <v/>
      </c>
      <c r="AW27" s="13">
        <f>AW25/$F$22</f>
        <v/>
      </c>
      <c r="AX27" s="13">
        <f>AX25/$F$22</f>
        <v/>
      </c>
      <c r="AY27" s="13">
        <f>AY25/$F$22</f>
        <v/>
      </c>
      <c r="AZ27" s="13">
        <f>AZ25/$F$22</f>
        <v/>
      </c>
      <c r="BA27" s="13">
        <f>BA25/$F$22</f>
        <v/>
      </c>
      <c r="BB27" s="13">
        <f>BB25/$F$22</f>
        <v/>
      </c>
      <c r="BC27" s="13">
        <f>BC25/$F$22</f>
        <v/>
      </c>
      <c r="BD27" s="13">
        <f>BD25/$F$22</f>
        <v/>
      </c>
      <c r="BE27" s="13">
        <f>BE25/$F$22</f>
        <v/>
      </c>
      <c r="BF27" s="13">
        <f>BF25/$F$22</f>
        <v/>
      </c>
      <c r="BG27" s="13">
        <f>BG25/$F$22</f>
        <v/>
      </c>
      <c r="BH27" s="13">
        <f>BH25/$F$22</f>
        <v/>
      </c>
      <c r="BI27" s="13">
        <f>BI25/$F$22</f>
        <v/>
      </c>
      <c r="BJ27" s="13">
        <f>BJ25/$F$22</f>
        <v/>
      </c>
      <c r="BK27" s="13">
        <f>BK25/$F$22</f>
        <v/>
      </c>
      <c r="BL27" s="13">
        <f>BL25/$F$22</f>
        <v/>
      </c>
      <c r="BM27" s="13">
        <f>BM25/$F$22</f>
        <v/>
      </c>
      <c r="BN27" s="13">
        <f>BN25/$F$22</f>
        <v/>
      </c>
    </row>
    <row r="28">
      <c r="B28" s="2" t="inlineStr">
        <is>
          <t>Plant</t>
        </is>
      </c>
    </row>
    <row r="29">
      <c r="D29" t="inlineStr">
        <is>
          <t>Operating year at period start</t>
        </is>
      </c>
      <c r="E29" t="inlineStr">
        <is>
          <t>OY</t>
        </is>
      </c>
      <c r="J29" s="9">
        <f>INT(Time!J32/12)+1</f>
        <v/>
      </c>
      <c r="K29" s="9">
        <f>INT(Time!K32/12)+1</f>
        <v/>
      </c>
      <c r="L29" s="9">
        <f>INT(Time!L32/12)+1</f>
        <v/>
      </c>
      <c r="M29" s="9">
        <f>INT(Time!M32/12)+1</f>
        <v/>
      </c>
      <c r="N29" s="9">
        <f>INT(Time!N32/12)+1</f>
        <v/>
      </c>
      <c r="O29" s="9">
        <f>INT(Time!O32/12)+1</f>
        <v/>
      </c>
      <c r="P29" s="9">
        <f>INT(Time!P32/12)+1</f>
        <v/>
      </c>
      <c r="Q29" s="9">
        <f>INT(Time!Q32/12)+1</f>
        <v/>
      </c>
      <c r="R29" s="9">
        <f>INT(Time!R32/12)+1</f>
        <v/>
      </c>
      <c r="S29" s="9">
        <f>INT(Time!S32/12)+1</f>
        <v/>
      </c>
      <c r="T29" s="9">
        <f>INT(Time!T32/12)+1</f>
        <v/>
      </c>
      <c r="U29" s="9">
        <f>INT(Time!U32/12)+1</f>
        <v/>
      </c>
      <c r="V29" s="9">
        <f>INT(Time!V32/12)+1</f>
        <v/>
      </c>
      <c r="W29" s="9">
        <f>INT(Time!W32/12)+1</f>
        <v/>
      </c>
      <c r="X29" s="9">
        <f>INT(Time!X32/12)+1</f>
        <v/>
      </c>
      <c r="Y29" s="9">
        <f>INT(Time!Y32/12)+1</f>
        <v/>
      </c>
      <c r="Z29" s="9">
        <f>INT(Time!Z32/12)+1</f>
        <v/>
      </c>
      <c r="AA29" s="9">
        <f>INT(Time!AA32/12)+1</f>
        <v/>
      </c>
      <c r="AB29" s="9">
        <f>INT(Time!AB32/12)+1</f>
        <v/>
      </c>
      <c r="AC29" s="9">
        <f>INT(Time!AC32/12)+1</f>
        <v/>
      </c>
      <c r="AD29" s="9">
        <f>INT(Time!AD32/12)+1</f>
        <v/>
      </c>
      <c r="AE29" s="9">
        <f>INT(Time!AE32/12)+1</f>
        <v/>
      </c>
      <c r="AF29" s="9">
        <f>INT(Time!AF32/12)+1</f>
        <v/>
      </c>
      <c r="AG29" s="9">
        <f>INT(Time!AG32/12)+1</f>
        <v/>
      </c>
      <c r="AH29" s="9">
        <f>INT(Time!AH32/12)+1</f>
        <v/>
      </c>
      <c r="AI29" s="9">
        <f>INT(Time!AI32/12)+1</f>
        <v/>
      </c>
      <c r="AJ29" s="9">
        <f>INT(Time!AJ32/12)+1</f>
        <v/>
      </c>
      <c r="AK29" s="9">
        <f>INT(Time!AK32/12)+1</f>
        <v/>
      </c>
      <c r="AL29" s="9">
        <f>INT(Time!AL32/12)+1</f>
        <v/>
      </c>
      <c r="AM29" s="9">
        <f>INT(Time!AM32/12)+1</f>
        <v/>
      </c>
      <c r="AN29" s="9">
        <f>INT(Time!AN32/12)+1</f>
        <v/>
      </c>
      <c r="AO29" s="9">
        <f>INT(Time!AO32/12)+1</f>
        <v/>
      </c>
      <c r="AP29" s="9">
        <f>INT(Time!AP32/12)+1</f>
        <v/>
      </c>
      <c r="AQ29" s="9">
        <f>INT(Time!AQ32/12)+1</f>
        <v/>
      </c>
      <c r="AR29" s="9">
        <f>INT(Time!AR32/12)+1</f>
        <v/>
      </c>
      <c r="AS29" s="9">
        <f>INT(Time!AS32/12)+1</f>
        <v/>
      </c>
      <c r="AT29" s="9">
        <f>INT(Time!AT32/12)+1</f>
        <v/>
      </c>
      <c r="AU29" s="9">
        <f>INT(Time!AU32/12)+1</f>
        <v/>
      </c>
      <c r="AV29" s="9">
        <f>INT(Time!AV32/12)+1</f>
        <v/>
      </c>
      <c r="AW29" s="9">
        <f>INT(Time!AW32/12)+1</f>
        <v/>
      </c>
      <c r="AX29" s="9">
        <f>INT(Time!AX32/12)+1</f>
        <v/>
      </c>
      <c r="AY29" s="9">
        <f>INT(Time!AY32/12)+1</f>
        <v/>
      </c>
      <c r="AZ29" s="9">
        <f>INT(Time!AZ32/12)+1</f>
        <v/>
      </c>
      <c r="BA29" s="9">
        <f>INT(Time!BA32/12)+1</f>
        <v/>
      </c>
      <c r="BB29" s="9">
        <f>INT(Time!BB32/12)+1</f>
        <v/>
      </c>
      <c r="BC29" s="9">
        <f>INT(Time!BC32/12)+1</f>
        <v/>
      </c>
      <c r="BD29" s="9">
        <f>INT(Time!BD32/12)+1</f>
        <v/>
      </c>
      <c r="BE29" s="9">
        <f>INT(Time!BE32/12)+1</f>
        <v/>
      </c>
      <c r="BF29" s="9">
        <f>INT(Time!BF32/12)+1</f>
        <v/>
      </c>
      <c r="BG29" s="9">
        <f>INT(Time!BG32/12)+1</f>
        <v/>
      </c>
      <c r="BH29" s="9">
        <f>INT(Time!BH32/12)+1</f>
        <v/>
      </c>
      <c r="BI29" s="9">
        <f>INT(Time!BI32/12)+1</f>
        <v/>
      </c>
      <c r="BJ29" s="9">
        <f>INT(Time!BJ32/12)+1</f>
        <v/>
      </c>
      <c r="BK29" s="9">
        <f>INT(Time!BK32/12)+1</f>
        <v/>
      </c>
      <c r="BL29" s="9">
        <f>INT(Time!BL32/12)+1</f>
        <v/>
      </c>
      <c r="BM29" s="9">
        <f>INT(Time!BM32/12)+1</f>
        <v/>
      </c>
      <c r="BN29" s="9">
        <f>INT(Time!BN32/12)+1</f>
        <v/>
      </c>
    </row>
    <row r="30">
      <c r="D30" t="inlineStr">
        <is>
          <t>Months in that operating year</t>
        </is>
      </c>
      <c r="E30" t="inlineStr">
        <is>
          <t>months</t>
        </is>
      </c>
      <c r="J30" s="9">
        <f>MIN(Time!J33,J29*12)-Time!J32</f>
        <v/>
      </c>
      <c r="K30" s="9">
        <f>MIN(Time!K33,K29*12)-Time!K32</f>
        <v/>
      </c>
      <c r="L30" s="9">
        <f>MIN(Time!L33,L29*12)-Time!L32</f>
        <v/>
      </c>
      <c r="M30" s="9">
        <f>MIN(Time!M33,M29*12)-Time!M32</f>
        <v/>
      </c>
      <c r="N30" s="9">
        <f>MIN(Time!N33,N29*12)-Time!N32</f>
        <v/>
      </c>
      <c r="O30" s="9">
        <f>MIN(Time!O33,O29*12)-Time!O32</f>
        <v/>
      </c>
      <c r="P30" s="9">
        <f>MIN(Time!P33,P29*12)-Time!P32</f>
        <v/>
      </c>
      <c r="Q30" s="9">
        <f>MIN(Time!Q33,Q29*12)-Time!Q32</f>
        <v/>
      </c>
      <c r="R30" s="9">
        <f>MIN(Time!R33,R29*12)-Time!R32</f>
        <v/>
      </c>
      <c r="S30" s="9">
        <f>MIN(Time!S33,S29*12)-Time!S32</f>
        <v/>
      </c>
      <c r="T30" s="9">
        <f>MIN(Time!T33,T29*12)-Time!T32</f>
        <v/>
      </c>
      <c r="U30" s="9">
        <f>MIN(Time!U33,U29*12)-Time!U32</f>
        <v/>
      </c>
      <c r="V30" s="9">
        <f>MIN(Time!V33,V29*12)-Time!V32</f>
        <v/>
      </c>
      <c r="W30" s="9">
        <f>MIN(Time!W33,W29*12)-Time!W32</f>
        <v/>
      </c>
      <c r="X30" s="9">
        <f>MIN(Time!X33,X29*12)-Time!X32</f>
        <v/>
      </c>
      <c r="Y30" s="9">
        <f>MIN(Time!Y33,Y29*12)-Time!Y32</f>
        <v/>
      </c>
      <c r="Z30" s="9">
        <f>MIN(Time!Z33,Z29*12)-Time!Z32</f>
        <v/>
      </c>
      <c r="AA30" s="9">
        <f>MIN(Time!AA33,AA29*12)-Time!AA32</f>
        <v/>
      </c>
      <c r="AB30" s="9">
        <f>MIN(Time!AB33,AB29*12)-Time!AB32</f>
        <v/>
      </c>
      <c r="AC30" s="9">
        <f>MIN(Time!AC33,AC29*12)-Time!AC32</f>
        <v/>
      </c>
      <c r="AD30" s="9">
        <f>MIN(Time!AD33,AD29*12)-Time!AD32</f>
        <v/>
      </c>
      <c r="AE30" s="9">
        <f>MIN(Time!AE33,AE29*12)-Time!AE32</f>
        <v/>
      </c>
      <c r="AF30" s="9">
        <f>MIN(Time!AF33,AF29*12)-Time!AF32</f>
        <v/>
      </c>
      <c r="AG30" s="9">
        <f>MIN(Time!AG33,AG29*12)-Time!AG32</f>
        <v/>
      </c>
      <c r="AH30" s="9">
        <f>MIN(Time!AH33,AH29*12)-Time!AH32</f>
        <v/>
      </c>
      <c r="AI30" s="9">
        <f>MIN(Time!AI33,AI29*12)-Time!AI32</f>
        <v/>
      </c>
      <c r="AJ30" s="9">
        <f>MIN(Time!AJ33,AJ29*12)-Time!AJ32</f>
        <v/>
      </c>
      <c r="AK30" s="9">
        <f>MIN(Time!AK33,AK29*12)-Time!AK32</f>
        <v/>
      </c>
      <c r="AL30" s="9">
        <f>MIN(Time!AL33,AL29*12)-Time!AL32</f>
        <v/>
      </c>
      <c r="AM30" s="9">
        <f>MIN(Time!AM33,AM29*12)-Time!AM32</f>
        <v/>
      </c>
      <c r="AN30" s="9">
        <f>MIN(Time!AN33,AN29*12)-Time!AN32</f>
        <v/>
      </c>
      <c r="AO30" s="9">
        <f>MIN(Time!AO33,AO29*12)-Time!AO32</f>
        <v/>
      </c>
      <c r="AP30" s="9">
        <f>MIN(Time!AP33,AP29*12)-Time!AP32</f>
        <v/>
      </c>
      <c r="AQ30" s="9">
        <f>MIN(Time!AQ33,AQ29*12)-Time!AQ32</f>
        <v/>
      </c>
      <c r="AR30" s="9">
        <f>MIN(Time!AR33,AR29*12)-Time!AR32</f>
        <v/>
      </c>
      <c r="AS30" s="9">
        <f>MIN(Time!AS33,AS29*12)-Time!AS32</f>
        <v/>
      </c>
      <c r="AT30" s="9">
        <f>MIN(Time!AT33,AT29*12)-Time!AT32</f>
        <v/>
      </c>
      <c r="AU30" s="9">
        <f>MIN(Time!AU33,AU29*12)-Time!AU32</f>
        <v/>
      </c>
      <c r="AV30" s="9">
        <f>MIN(Time!AV33,AV29*12)-Time!AV32</f>
        <v/>
      </c>
      <c r="AW30" s="9">
        <f>MIN(Time!AW33,AW29*12)-Time!AW32</f>
        <v/>
      </c>
      <c r="AX30" s="9">
        <f>MIN(Time!AX33,AX29*12)-Time!AX32</f>
        <v/>
      </c>
      <c r="AY30" s="9">
        <f>MIN(Time!AY33,AY29*12)-Time!AY32</f>
        <v/>
      </c>
      <c r="AZ30" s="9">
        <f>MIN(Time!AZ33,AZ29*12)-Time!AZ32</f>
        <v/>
      </c>
      <c r="BA30" s="9">
        <f>MIN(Time!BA33,BA29*12)-Time!BA32</f>
        <v/>
      </c>
      <c r="BB30" s="9">
        <f>MIN(Time!BB33,BB29*12)-Time!BB32</f>
        <v/>
      </c>
      <c r="BC30" s="9">
        <f>MIN(Time!BC33,BC29*12)-Time!BC32</f>
        <v/>
      </c>
      <c r="BD30" s="9">
        <f>MIN(Time!BD33,BD29*12)-Time!BD32</f>
        <v/>
      </c>
      <c r="BE30" s="9">
        <f>MIN(Time!BE33,BE29*12)-Time!BE32</f>
        <v/>
      </c>
      <c r="BF30" s="9">
        <f>MIN(Time!BF33,BF29*12)-Time!BF32</f>
        <v/>
      </c>
      <c r="BG30" s="9">
        <f>MIN(Time!BG33,BG29*12)-Time!BG32</f>
        <v/>
      </c>
      <c r="BH30" s="9">
        <f>MIN(Time!BH33,BH29*12)-Time!BH32</f>
        <v/>
      </c>
      <c r="BI30" s="9">
        <f>MIN(Time!BI33,BI29*12)-Time!BI32</f>
        <v/>
      </c>
      <c r="BJ30" s="9">
        <f>MIN(Time!BJ33,BJ29*12)-Time!BJ32</f>
        <v/>
      </c>
      <c r="BK30" s="9">
        <f>MIN(Time!BK33,BK29*12)-Time!BK32</f>
        <v/>
      </c>
      <c r="BL30" s="9">
        <f>MIN(Time!BL33,BL29*12)-Time!BL32</f>
        <v/>
      </c>
      <c r="BM30" s="9">
        <f>MIN(Time!BM33,BM29*12)-Time!BM32</f>
        <v/>
      </c>
      <c r="BN30" s="9">
        <f>MIN(Time!BN33,BN29*12)-Time!BN32</f>
        <v/>
      </c>
    </row>
    <row r="31">
      <c r="D31" t="inlineStr">
        <is>
          <t>Availability, profile (month-weighted; plus the Monte Carlo shock for the operating year when active)</t>
        </is>
      </c>
      <c r="E31" t="inlineStr">
        <is>
          <t>%</t>
        </is>
      </c>
      <c r="J31" s="13">
        <f>IF(Time!J30&gt;0,(J30*INDEX(Inputs!$J$302:$Q$302,1,MOD(J29-1,Inputs!$F$220)+1)+(Time!J30-J30)*INDEX(Inputs!$J$302:$Q$302,1,MOD(J29,Inputs!$F$220)+1))/Time!J30+IF(Inputs!$F$312=1,(J30*INDEX(Inputs!$J$313:$AI$1312,Inputs!$F$311,J29)+(Time!J30-J30)*IF(J29+1&lt;=Inputs!$F$1321,INDEX(Inputs!$J$313:$AI$1312,Inputs!$F$311,J29+1),0))/Time!J30,0),0)</f>
        <v/>
      </c>
      <c r="K31" s="13">
        <f>IF(Time!K30&gt;0,(K30*INDEX(Inputs!$J$302:$Q$302,1,MOD(K29-1,Inputs!$F$220)+1)+(Time!K30-K30)*INDEX(Inputs!$J$302:$Q$302,1,MOD(K29,Inputs!$F$220)+1))/Time!K30+IF(Inputs!$F$312=1,(K30*INDEX(Inputs!$J$313:$AI$1312,Inputs!$F$311,K29)+(Time!K30-K30)*IF(K29+1&lt;=Inputs!$F$1321,INDEX(Inputs!$J$313:$AI$1312,Inputs!$F$311,K29+1),0))/Time!K30,0),0)</f>
        <v/>
      </c>
      <c r="L31" s="13">
        <f>IF(Time!L30&gt;0,(L30*INDEX(Inputs!$J$302:$Q$302,1,MOD(L29-1,Inputs!$F$220)+1)+(Time!L30-L30)*INDEX(Inputs!$J$302:$Q$302,1,MOD(L29,Inputs!$F$220)+1))/Time!L30+IF(Inputs!$F$312=1,(L30*INDEX(Inputs!$J$313:$AI$1312,Inputs!$F$311,L29)+(Time!L30-L30)*IF(L29+1&lt;=Inputs!$F$1321,INDEX(Inputs!$J$313:$AI$1312,Inputs!$F$311,L29+1),0))/Time!L30,0),0)</f>
        <v/>
      </c>
      <c r="M31" s="13">
        <f>IF(Time!M30&gt;0,(M30*INDEX(Inputs!$J$302:$Q$302,1,MOD(M29-1,Inputs!$F$220)+1)+(Time!M30-M30)*INDEX(Inputs!$J$302:$Q$302,1,MOD(M29,Inputs!$F$220)+1))/Time!M30+IF(Inputs!$F$312=1,(M30*INDEX(Inputs!$J$313:$AI$1312,Inputs!$F$311,M29)+(Time!M30-M30)*IF(M29+1&lt;=Inputs!$F$1321,INDEX(Inputs!$J$313:$AI$1312,Inputs!$F$311,M29+1),0))/Time!M30,0),0)</f>
        <v/>
      </c>
      <c r="N31" s="13">
        <f>IF(Time!N30&gt;0,(N30*INDEX(Inputs!$J$302:$Q$302,1,MOD(N29-1,Inputs!$F$220)+1)+(Time!N30-N30)*INDEX(Inputs!$J$302:$Q$302,1,MOD(N29,Inputs!$F$220)+1))/Time!N30+IF(Inputs!$F$312=1,(N30*INDEX(Inputs!$J$313:$AI$1312,Inputs!$F$311,N29)+(Time!N30-N30)*IF(N29+1&lt;=Inputs!$F$1321,INDEX(Inputs!$J$313:$AI$1312,Inputs!$F$311,N29+1),0))/Time!N30,0),0)</f>
        <v/>
      </c>
      <c r="O31" s="13">
        <f>IF(Time!O30&gt;0,(O30*INDEX(Inputs!$J$302:$Q$302,1,MOD(O29-1,Inputs!$F$220)+1)+(Time!O30-O30)*INDEX(Inputs!$J$302:$Q$302,1,MOD(O29,Inputs!$F$220)+1))/Time!O30+IF(Inputs!$F$312=1,(O30*INDEX(Inputs!$J$313:$AI$1312,Inputs!$F$311,O29)+(Time!O30-O30)*IF(O29+1&lt;=Inputs!$F$1321,INDEX(Inputs!$J$313:$AI$1312,Inputs!$F$311,O29+1),0))/Time!O30,0),0)</f>
        <v/>
      </c>
      <c r="P31" s="13">
        <f>IF(Time!P30&gt;0,(P30*INDEX(Inputs!$J$302:$Q$302,1,MOD(P29-1,Inputs!$F$220)+1)+(Time!P30-P30)*INDEX(Inputs!$J$302:$Q$302,1,MOD(P29,Inputs!$F$220)+1))/Time!P30+IF(Inputs!$F$312=1,(P30*INDEX(Inputs!$J$313:$AI$1312,Inputs!$F$311,P29)+(Time!P30-P30)*IF(P29+1&lt;=Inputs!$F$1321,INDEX(Inputs!$J$313:$AI$1312,Inputs!$F$311,P29+1),0))/Time!P30,0),0)</f>
        <v/>
      </c>
      <c r="Q31" s="13">
        <f>IF(Time!Q30&gt;0,(Q30*INDEX(Inputs!$J$302:$Q$302,1,MOD(Q29-1,Inputs!$F$220)+1)+(Time!Q30-Q30)*INDEX(Inputs!$J$302:$Q$302,1,MOD(Q29,Inputs!$F$220)+1))/Time!Q30+IF(Inputs!$F$312=1,(Q30*INDEX(Inputs!$J$313:$AI$1312,Inputs!$F$311,Q29)+(Time!Q30-Q30)*IF(Q29+1&lt;=Inputs!$F$1321,INDEX(Inputs!$J$313:$AI$1312,Inputs!$F$311,Q29+1),0))/Time!Q30,0),0)</f>
        <v/>
      </c>
      <c r="R31" s="13">
        <f>IF(Time!R30&gt;0,(R30*INDEX(Inputs!$J$302:$Q$302,1,MOD(R29-1,Inputs!$F$220)+1)+(Time!R30-R30)*INDEX(Inputs!$J$302:$Q$302,1,MOD(R29,Inputs!$F$220)+1))/Time!R30+IF(Inputs!$F$312=1,(R30*INDEX(Inputs!$J$313:$AI$1312,Inputs!$F$311,R29)+(Time!R30-R30)*IF(R29+1&lt;=Inputs!$F$1321,INDEX(Inputs!$J$313:$AI$1312,Inputs!$F$311,R29+1),0))/Time!R30,0),0)</f>
        <v/>
      </c>
      <c r="S31" s="13">
        <f>IF(Time!S30&gt;0,(S30*INDEX(Inputs!$J$302:$Q$302,1,MOD(S29-1,Inputs!$F$220)+1)+(Time!S30-S30)*INDEX(Inputs!$J$302:$Q$302,1,MOD(S29,Inputs!$F$220)+1))/Time!S30+IF(Inputs!$F$312=1,(S30*INDEX(Inputs!$J$313:$AI$1312,Inputs!$F$311,S29)+(Time!S30-S30)*IF(S29+1&lt;=Inputs!$F$1321,INDEX(Inputs!$J$313:$AI$1312,Inputs!$F$311,S29+1),0))/Time!S30,0),0)</f>
        <v/>
      </c>
      <c r="T31" s="13">
        <f>IF(Time!T30&gt;0,(T30*INDEX(Inputs!$J$302:$Q$302,1,MOD(T29-1,Inputs!$F$220)+1)+(Time!T30-T30)*INDEX(Inputs!$J$302:$Q$302,1,MOD(T29,Inputs!$F$220)+1))/Time!T30+IF(Inputs!$F$312=1,(T30*INDEX(Inputs!$J$313:$AI$1312,Inputs!$F$311,T29)+(Time!T30-T30)*IF(T29+1&lt;=Inputs!$F$1321,INDEX(Inputs!$J$313:$AI$1312,Inputs!$F$311,T29+1),0))/Time!T30,0),0)</f>
        <v/>
      </c>
      <c r="U31" s="13">
        <f>IF(Time!U30&gt;0,(U30*INDEX(Inputs!$J$302:$Q$302,1,MOD(U29-1,Inputs!$F$220)+1)+(Time!U30-U30)*INDEX(Inputs!$J$302:$Q$302,1,MOD(U29,Inputs!$F$220)+1))/Time!U30+IF(Inputs!$F$312=1,(U30*INDEX(Inputs!$J$313:$AI$1312,Inputs!$F$311,U29)+(Time!U30-U30)*IF(U29+1&lt;=Inputs!$F$1321,INDEX(Inputs!$J$313:$AI$1312,Inputs!$F$311,U29+1),0))/Time!U30,0),0)</f>
        <v/>
      </c>
      <c r="V31" s="13">
        <f>IF(Time!V30&gt;0,(V30*INDEX(Inputs!$J$302:$Q$302,1,MOD(V29-1,Inputs!$F$220)+1)+(Time!V30-V30)*INDEX(Inputs!$J$302:$Q$302,1,MOD(V29,Inputs!$F$220)+1))/Time!V30+IF(Inputs!$F$312=1,(V30*INDEX(Inputs!$J$313:$AI$1312,Inputs!$F$311,V29)+(Time!V30-V30)*IF(V29+1&lt;=Inputs!$F$1321,INDEX(Inputs!$J$313:$AI$1312,Inputs!$F$311,V29+1),0))/Time!V30,0),0)</f>
        <v/>
      </c>
      <c r="W31" s="13">
        <f>IF(Time!W30&gt;0,(W30*INDEX(Inputs!$J$302:$Q$302,1,MOD(W29-1,Inputs!$F$220)+1)+(Time!W30-W30)*INDEX(Inputs!$J$302:$Q$302,1,MOD(W29,Inputs!$F$220)+1))/Time!W30+IF(Inputs!$F$312=1,(W30*INDEX(Inputs!$J$313:$AI$1312,Inputs!$F$311,W29)+(Time!W30-W30)*IF(W29+1&lt;=Inputs!$F$1321,INDEX(Inputs!$J$313:$AI$1312,Inputs!$F$311,W29+1),0))/Time!W30,0),0)</f>
        <v/>
      </c>
      <c r="X31" s="13">
        <f>IF(Time!X30&gt;0,(X30*INDEX(Inputs!$J$302:$Q$302,1,MOD(X29-1,Inputs!$F$220)+1)+(Time!X30-X30)*INDEX(Inputs!$J$302:$Q$302,1,MOD(X29,Inputs!$F$220)+1))/Time!X30+IF(Inputs!$F$312=1,(X30*INDEX(Inputs!$J$313:$AI$1312,Inputs!$F$311,X29)+(Time!X30-X30)*IF(X29+1&lt;=Inputs!$F$1321,INDEX(Inputs!$J$313:$AI$1312,Inputs!$F$311,X29+1),0))/Time!X30,0),0)</f>
        <v/>
      </c>
      <c r="Y31" s="13">
        <f>IF(Time!Y30&gt;0,(Y30*INDEX(Inputs!$J$302:$Q$302,1,MOD(Y29-1,Inputs!$F$220)+1)+(Time!Y30-Y30)*INDEX(Inputs!$J$302:$Q$302,1,MOD(Y29,Inputs!$F$220)+1))/Time!Y30+IF(Inputs!$F$312=1,(Y30*INDEX(Inputs!$J$313:$AI$1312,Inputs!$F$311,Y29)+(Time!Y30-Y30)*IF(Y29+1&lt;=Inputs!$F$1321,INDEX(Inputs!$J$313:$AI$1312,Inputs!$F$311,Y29+1),0))/Time!Y30,0),0)</f>
        <v/>
      </c>
      <c r="Z31" s="13">
        <f>IF(Time!Z30&gt;0,(Z30*INDEX(Inputs!$J$302:$Q$302,1,MOD(Z29-1,Inputs!$F$220)+1)+(Time!Z30-Z30)*INDEX(Inputs!$J$302:$Q$302,1,MOD(Z29,Inputs!$F$220)+1))/Time!Z30+IF(Inputs!$F$312=1,(Z30*INDEX(Inputs!$J$313:$AI$1312,Inputs!$F$311,Z29)+(Time!Z30-Z30)*IF(Z29+1&lt;=Inputs!$F$1321,INDEX(Inputs!$J$313:$AI$1312,Inputs!$F$311,Z29+1),0))/Time!Z30,0),0)</f>
        <v/>
      </c>
      <c r="AA31" s="13">
        <f>IF(Time!AA30&gt;0,(AA30*INDEX(Inputs!$J$302:$Q$302,1,MOD(AA29-1,Inputs!$F$220)+1)+(Time!AA30-AA30)*INDEX(Inputs!$J$302:$Q$302,1,MOD(AA29,Inputs!$F$220)+1))/Time!AA30+IF(Inputs!$F$312=1,(AA30*INDEX(Inputs!$J$313:$AI$1312,Inputs!$F$311,AA29)+(Time!AA30-AA30)*IF(AA29+1&lt;=Inputs!$F$1321,INDEX(Inputs!$J$313:$AI$1312,Inputs!$F$311,AA29+1),0))/Time!AA30,0),0)</f>
        <v/>
      </c>
      <c r="AB31" s="13">
        <f>IF(Time!AB30&gt;0,(AB30*INDEX(Inputs!$J$302:$Q$302,1,MOD(AB29-1,Inputs!$F$220)+1)+(Time!AB30-AB30)*INDEX(Inputs!$J$302:$Q$302,1,MOD(AB29,Inputs!$F$220)+1))/Time!AB30+IF(Inputs!$F$312=1,(AB30*INDEX(Inputs!$J$313:$AI$1312,Inputs!$F$311,AB29)+(Time!AB30-AB30)*IF(AB29+1&lt;=Inputs!$F$1321,INDEX(Inputs!$J$313:$AI$1312,Inputs!$F$311,AB29+1),0))/Time!AB30,0),0)</f>
        <v/>
      </c>
      <c r="AC31" s="13">
        <f>IF(Time!AC30&gt;0,(AC30*INDEX(Inputs!$J$302:$Q$302,1,MOD(AC29-1,Inputs!$F$220)+1)+(Time!AC30-AC30)*INDEX(Inputs!$J$302:$Q$302,1,MOD(AC29,Inputs!$F$220)+1))/Time!AC30+IF(Inputs!$F$312=1,(AC30*INDEX(Inputs!$J$313:$AI$1312,Inputs!$F$311,AC29)+(Time!AC30-AC30)*IF(AC29+1&lt;=Inputs!$F$1321,INDEX(Inputs!$J$313:$AI$1312,Inputs!$F$311,AC29+1),0))/Time!AC30,0),0)</f>
        <v/>
      </c>
      <c r="AD31" s="13">
        <f>IF(Time!AD30&gt;0,(AD30*INDEX(Inputs!$J$302:$Q$302,1,MOD(AD29-1,Inputs!$F$220)+1)+(Time!AD30-AD30)*INDEX(Inputs!$J$302:$Q$302,1,MOD(AD29,Inputs!$F$220)+1))/Time!AD30+IF(Inputs!$F$312=1,(AD30*INDEX(Inputs!$J$313:$AI$1312,Inputs!$F$311,AD29)+(Time!AD30-AD30)*IF(AD29+1&lt;=Inputs!$F$1321,INDEX(Inputs!$J$313:$AI$1312,Inputs!$F$311,AD29+1),0))/Time!AD30,0),0)</f>
        <v/>
      </c>
      <c r="AE31" s="13">
        <f>IF(Time!AE30&gt;0,(AE30*INDEX(Inputs!$J$302:$Q$302,1,MOD(AE29-1,Inputs!$F$220)+1)+(Time!AE30-AE30)*INDEX(Inputs!$J$302:$Q$302,1,MOD(AE29,Inputs!$F$220)+1))/Time!AE30+IF(Inputs!$F$312=1,(AE30*INDEX(Inputs!$J$313:$AI$1312,Inputs!$F$311,AE29)+(Time!AE30-AE30)*IF(AE29+1&lt;=Inputs!$F$1321,INDEX(Inputs!$J$313:$AI$1312,Inputs!$F$311,AE29+1),0))/Time!AE30,0),0)</f>
        <v/>
      </c>
      <c r="AF31" s="13">
        <f>IF(Time!AF30&gt;0,(AF30*INDEX(Inputs!$J$302:$Q$302,1,MOD(AF29-1,Inputs!$F$220)+1)+(Time!AF30-AF30)*INDEX(Inputs!$J$302:$Q$302,1,MOD(AF29,Inputs!$F$220)+1))/Time!AF30+IF(Inputs!$F$312=1,(AF30*INDEX(Inputs!$J$313:$AI$1312,Inputs!$F$311,AF29)+(Time!AF30-AF30)*IF(AF29+1&lt;=Inputs!$F$1321,INDEX(Inputs!$J$313:$AI$1312,Inputs!$F$311,AF29+1),0))/Time!AF30,0),0)</f>
        <v/>
      </c>
      <c r="AG31" s="13">
        <f>IF(Time!AG30&gt;0,(AG30*INDEX(Inputs!$J$302:$Q$302,1,MOD(AG29-1,Inputs!$F$220)+1)+(Time!AG30-AG30)*INDEX(Inputs!$J$302:$Q$302,1,MOD(AG29,Inputs!$F$220)+1))/Time!AG30+IF(Inputs!$F$312=1,(AG30*INDEX(Inputs!$J$313:$AI$1312,Inputs!$F$311,AG29)+(Time!AG30-AG30)*IF(AG29+1&lt;=Inputs!$F$1321,INDEX(Inputs!$J$313:$AI$1312,Inputs!$F$311,AG29+1),0))/Time!AG30,0),0)</f>
        <v/>
      </c>
      <c r="AH31" s="13">
        <f>IF(Time!AH30&gt;0,(AH30*INDEX(Inputs!$J$302:$Q$302,1,MOD(AH29-1,Inputs!$F$220)+1)+(Time!AH30-AH30)*INDEX(Inputs!$J$302:$Q$302,1,MOD(AH29,Inputs!$F$220)+1))/Time!AH30+IF(Inputs!$F$312=1,(AH30*INDEX(Inputs!$J$313:$AI$1312,Inputs!$F$311,AH29)+(Time!AH30-AH30)*IF(AH29+1&lt;=Inputs!$F$1321,INDEX(Inputs!$J$313:$AI$1312,Inputs!$F$311,AH29+1),0))/Time!AH30,0),0)</f>
        <v/>
      </c>
      <c r="AI31" s="13">
        <f>IF(Time!AI30&gt;0,(AI30*INDEX(Inputs!$J$302:$Q$302,1,MOD(AI29-1,Inputs!$F$220)+1)+(Time!AI30-AI30)*INDEX(Inputs!$J$302:$Q$302,1,MOD(AI29,Inputs!$F$220)+1))/Time!AI30+IF(Inputs!$F$312=1,(AI30*INDEX(Inputs!$J$313:$AI$1312,Inputs!$F$311,AI29)+(Time!AI30-AI30)*IF(AI29+1&lt;=Inputs!$F$1321,INDEX(Inputs!$J$313:$AI$1312,Inputs!$F$311,AI29+1),0))/Time!AI30,0),0)</f>
        <v/>
      </c>
      <c r="AJ31" s="13">
        <f>IF(Time!AJ30&gt;0,(AJ30*INDEX(Inputs!$J$302:$Q$302,1,MOD(AJ29-1,Inputs!$F$220)+1)+(Time!AJ30-AJ30)*INDEX(Inputs!$J$302:$Q$302,1,MOD(AJ29,Inputs!$F$220)+1))/Time!AJ30+IF(Inputs!$F$312=1,(AJ30*INDEX(Inputs!$J$313:$AI$1312,Inputs!$F$311,AJ29)+(Time!AJ30-AJ30)*IF(AJ29+1&lt;=Inputs!$F$1321,INDEX(Inputs!$J$313:$AI$1312,Inputs!$F$311,AJ29+1),0))/Time!AJ30,0),0)</f>
        <v/>
      </c>
      <c r="AK31" s="13">
        <f>IF(Time!AK30&gt;0,(AK30*INDEX(Inputs!$J$302:$Q$302,1,MOD(AK29-1,Inputs!$F$220)+1)+(Time!AK30-AK30)*INDEX(Inputs!$J$302:$Q$302,1,MOD(AK29,Inputs!$F$220)+1))/Time!AK30+IF(Inputs!$F$312=1,(AK30*INDEX(Inputs!$J$313:$AI$1312,Inputs!$F$311,AK29)+(Time!AK30-AK30)*IF(AK29+1&lt;=Inputs!$F$1321,INDEX(Inputs!$J$313:$AI$1312,Inputs!$F$311,AK29+1),0))/Time!AK30,0),0)</f>
        <v/>
      </c>
      <c r="AL31" s="13">
        <f>IF(Time!AL30&gt;0,(AL30*INDEX(Inputs!$J$302:$Q$302,1,MOD(AL29-1,Inputs!$F$220)+1)+(Time!AL30-AL30)*INDEX(Inputs!$J$302:$Q$302,1,MOD(AL29,Inputs!$F$220)+1))/Time!AL30+IF(Inputs!$F$312=1,(AL30*INDEX(Inputs!$J$313:$AI$1312,Inputs!$F$311,AL29)+(Time!AL30-AL30)*IF(AL29+1&lt;=Inputs!$F$1321,INDEX(Inputs!$J$313:$AI$1312,Inputs!$F$311,AL29+1),0))/Time!AL30,0),0)</f>
        <v/>
      </c>
      <c r="AM31" s="13">
        <f>IF(Time!AM30&gt;0,(AM30*INDEX(Inputs!$J$302:$Q$302,1,MOD(AM29-1,Inputs!$F$220)+1)+(Time!AM30-AM30)*INDEX(Inputs!$J$302:$Q$302,1,MOD(AM29,Inputs!$F$220)+1))/Time!AM30+IF(Inputs!$F$312=1,(AM30*INDEX(Inputs!$J$313:$AI$1312,Inputs!$F$311,AM29)+(Time!AM30-AM30)*IF(AM29+1&lt;=Inputs!$F$1321,INDEX(Inputs!$J$313:$AI$1312,Inputs!$F$311,AM29+1),0))/Time!AM30,0),0)</f>
        <v/>
      </c>
      <c r="AN31" s="13">
        <f>IF(Time!AN30&gt;0,(AN30*INDEX(Inputs!$J$302:$Q$302,1,MOD(AN29-1,Inputs!$F$220)+1)+(Time!AN30-AN30)*INDEX(Inputs!$J$302:$Q$302,1,MOD(AN29,Inputs!$F$220)+1))/Time!AN30+IF(Inputs!$F$312=1,(AN30*INDEX(Inputs!$J$313:$AI$1312,Inputs!$F$311,AN29)+(Time!AN30-AN30)*IF(AN29+1&lt;=Inputs!$F$1321,INDEX(Inputs!$J$313:$AI$1312,Inputs!$F$311,AN29+1),0))/Time!AN30,0),0)</f>
        <v/>
      </c>
      <c r="AO31" s="13">
        <f>IF(Time!AO30&gt;0,(AO30*INDEX(Inputs!$J$302:$Q$302,1,MOD(AO29-1,Inputs!$F$220)+1)+(Time!AO30-AO30)*INDEX(Inputs!$J$302:$Q$302,1,MOD(AO29,Inputs!$F$220)+1))/Time!AO30+IF(Inputs!$F$312=1,(AO30*INDEX(Inputs!$J$313:$AI$1312,Inputs!$F$311,AO29)+(Time!AO30-AO30)*IF(AO29+1&lt;=Inputs!$F$1321,INDEX(Inputs!$J$313:$AI$1312,Inputs!$F$311,AO29+1),0))/Time!AO30,0),0)</f>
        <v/>
      </c>
      <c r="AP31" s="13">
        <f>IF(Time!AP30&gt;0,(AP30*INDEX(Inputs!$J$302:$Q$302,1,MOD(AP29-1,Inputs!$F$220)+1)+(Time!AP30-AP30)*INDEX(Inputs!$J$302:$Q$302,1,MOD(AP29,Inputs!$F$220)+1))/Time!AP30+IF(Inputs!$F$312=1,(AP30*INDEX(Inputs!$J$313:$AI$1312,Inputs!$F$311,AP29)+(Time!AP30-AP30)*IF(AP29+1&lt;=Inputs!$F$1321,INDEX(Inputs!$J$313:$AI$1312,Inputs!$F$311,AP29+1),0))/Time!AP30,0),0)</f>
        <v/>
      </c>
      <c r="AQ31" s="13">
        <f>IF(Time!AQ30&gt;0,(AQ30*INDEX(Inputs!$J$302:$Q$302,1,MOD(AQ29-1,Inputs!$F$220)+1)+(Time!AQ30-AQ30)*INDEX(Inputs!$J$302:$Q$302,1,MOD(AQ29,Inputs!$F$220)+1))/Time!AQ30+IF(Inputs!$F$312=1,(AQ30*INDEX(Inputs!$J$313:$AI$1312,Inputs!$F$311,AQ29)+(Time!AQ30-AQ30)*IF(AQ29+1&lt;=Inputs!$F$1321,INDEX(Inputs!$J$313:$AI$1312,Inputs!$F$311,AQ29+1),0))/Time!AQ30,0),0)</f>
        <v/>
      </c>
      <c r="AR31" s="13">
        <f>IF(Time!AR30&gt;0,(AR30*INDEX(Inputs!$J$302:$Q$302,1,MOD(AR29-1,Inputs!$F$220)+1)+(Time!AR30-AR30)*INDEX(Inputs!$J$302:$Q$302,1,MOD(AR29,Inputs!$F$220)+1))/Time!AR30+IF(Inputs!$F$312=1,(AR30*INDEX(Inputs!$J$313:$AI$1312,Inputs!$F$311,AR29)+(Time!AR30-AR30)*IF(AR29+1&lt;=Inputs!$F$1321,INDEX(Inputs!$J$313:$AI$1312,Inputs!$F$311,AR29+1),0))/Time!AR30,0),0)</f>
        <v/>
      </c>
      <c r="AS31" s="13">
        <f>IF(Time!AS30&gt;0,(AS30*INDEX(Inputs!$J$302:$Q$302,1,MOD(AS29-1,Inputs!$F$220)+1)+(Time!AS30-AS30)*INDEX(Inputs!$J$302:$Q$302,1,MOD(AS29,Inputs!$F$220)+1))/Time!AS30+IF(Inputs!$F$312=1,(AS30*INDEX(Inputs!$J$313:$AI$1312,Inputs!$F$311,AS29)+(Time!AS30-AS30)*IF(AS29+1&lt;=Inputs!$F$1321,INDEX(Inputs!$J$313:$AI$1312,Inputs!$F$311,AS29+1),0))/Time!AS30,0),0)</f>
        <v/>
      </c>
      <c r="AT31" s="13">
        <f>IF(Time!AT30&gt;0,(AT30*INDEX(Inputs!$J$302:$Q$302,1,MOD(AT29-1,Inputs!$F$220)+1)+(Time!AT30-AT30)*INDEX(Inputs!$J$302:$Q$302,1,MOD(AT29,Inputs!$F$220)+1))/Time!AT30+IF(Inputs!$F$312=1,(AT30*INDEX(Inputs!$J$313:$AI$1312,Inputs!$F$311,AT29)+(Time!AT30-AT30)*IF(AT29+1&lt;=Inputs!$F$1321,INDEX(Inputs!$J$313:$AI$1312,Inputs!$F$311,AT29+1),0))/Time!AT30,0),0)</f>
        <v/>
      </c>
      <c r="AU31" s="13">
        <f>IF(Time!AU30&gt;0,(AU30*INDEX(Inputs!$J$302:$Q$302,1,MOD(AU29-1,Inputs!$F$220)+1)+(Time!AU30-AU30)*INDEX(Inputs!$J$302:$Q$302,1,MOD(AU29,Inputs!$F$220)+1))/Time!AU30+IF(Inputs!$F$312=1,(AU30*INDEX(Inputs!$J$313:$AI$1312,Inputs!$F$311,AU29)+(Time!AU30-AU30)*IF(AU29+1&lt;=Inputs!$F$1321,INDEX(Inputs!$J$313:$AI$1312,Inputs!$F$311,AU29+1),0))/Time!AU30,0),0)</f>
        <v/>
      </c>
      <c r="AV31" s="13">
        <f>IF(Time!AV30&gt;0,(AV30*INDEX(Inputs!$J$302:$Q$302,1,MOD(AV29-1,Inputs!$F$220)+1)+(Time!AV30-AV30)*INDEX(Inputs!$J$302:$Q$302,1,MOD(AV29,Inputs!$F$220)+1))/Time!AV30+IF(Inputs!$F$312=1,(AV30*INDEX(Inputs!$J$313:$AI$1312,Inputs!$F$311,AV29)+(Time!AV30-AV30)*IF(AV29+1&lt;=Inputs!$F$1321,INDEX(Inputs!$J$313:$AI$1312,Inputs!$F$311,AV29+1),0))/Time!AV30,0),0)</f>
        <v/>
      </c>
      <c r="AW31" s="13">
        <f>IF(Time!AW30&gt;0,(AW30*INDEX(Inputs!$J$302:$Q$302,1,MOD(AW29-1,Inputs!$F$220)+1)+(Time!AW30-AW30)*INDEX(Inputs!$J$302:$Q$302,1,MOD(AW29,Inputs!$F$220)+1))/Time!AW30+IF(Inputs!$F$312=1,(AW30*INDEX(Inputs!$J$313:$AI$1312,Inputs!$F$311,AW29)+(Time!AW30-AW30)*IF(AW29+1&lt;=Inputs!$F$1321,INDEX(Inputs!$J$313:$AI$1312,Inputs!$F$311,AW29+1),0))/Time!AW30,0),0)</f>
        <v/>
      </c>
      <c r="AX31" s="13">
        <f>IF(Time!AX30&gt;0,(AX30*INDEX(Inputs!$J$302:$Q$302,1,MOD(AX29-1,Inputs!$F$220)+1)+(Time!AX30-AX30)*INDEX(Inputs!$J$302:$Q$302,1,MOD(AX29,Inputs!$F$220)+1))/Time!AX30+IF(Inputs!$F$312=1,(AX30*INDEX(Inputs!$J$313:$AI$1312,Inputs!$F$311,AX29)+(Time!AX30-AX30)*IF(AX29+1&lt;=Inputs!$F$1321,INDEX(Inputs!$J$313:$AI$1312,Inputs!$F$311,AX29+1),0))/Time!AX30,0),0)</f>
        <v/>
      </c>
      <c r="AY31" s="13">
        <f>IF(Time!AY30&gt;0,(AY30*INDEX(Inputs!$J$302:$Q$302,1,MOD(AY29-1,Inputs!$F$220)+1)+(Time!AY30-AY30)*INDEX(Inputs!$J$302:$Q$302,1,MOD(AY29,Inputs!$F$220)+1))/Time!AY30+IF(Inputs!$F$312=1,(AY30*INDEX(Inputs!$J$313:$AI$1312,Inputs!$F$311,AY29)+(Time!AY30-AY30)*IF(AY29+1&lt;=Inputs!$F$1321,INDEX(Inputs!$J$313:$AI$1312,Inputs!$F$311,AY29+1),0))/Time!AY30,0),0)</f>
        <v/>
      </c>
      <c r="AZ31" s="13">
        <f>IF(Time!AZ30&gt;0,(AZ30*INDEX(Inputs!$J$302:$Q$302,1,MOD(AZ29-1,Inputs!$F$220)+1)+(Time!AZ30-AZ30)*INDEX(Inputs!$J$302:$Q$302,1,MOD(AZ29,Inputs!$F$220)+1))/Time!AZ30+IF(Inputs!$F$312=1,(AZ30*INDEX(Inputs!$J$313:$AI$1312,Inputs!$F$311,AZ29)+(Time!AZ30-AZ30)*IF(AZ29+1&lt;=Inputs!$F$1321,INDEX(Inputs!$J$313:$AI$1312,Inputs!$F$311,AZ29+1),0))/Time!AZ30,0),0)</f>
        <v/>
      </c>
      <c r="BA31" s="13">
        <f>IF(Time!BA30&gt;0,(BA30*INDEX(Inputs!$J$302:$Q$302,1,MOD(BA29-1,Inputs!$F$220)+1)+(Time!BA30-BA30)*INDEX(Inputs!$J$302:$Q$302,1,MOD(BA29,Inputs!$F$220)+1))/Time!BA30+IF(Inputs!$F$312=1,(BA30*INDEX(Inputs!$J$313:$AI$1312,Inputs!$F$311,BA29)+(Time!BA30-BA30)*IF(BA29+1&lt;=Inputs!$F$1321,INDEX(Inputs!$J$313:$AI$1312,Inputs!$F$311,BA29+1),0))/Time!BA30,0),0)</f>
        <v/>
      </c>
      <c r="BB31" s="13">
        <f>IF(Time!BB30&gt;0,(BB30*INDEX(Inputs!$J$302:$Q$302,1,MOD(BB29-1,Inputs!$F$220)+1)+(Time!BB30-BB30)*INDEX(Inputs!$J$302:$Q$302,1,MOD(BB29,Inputs!$F$220)+1))/Time!BB30+IF(Inputs!$F$312=1,(BB30*INDEX(Inputs!$J$313:$AI$1312,Inputs!$F$311,BB29)+(Time!BB30-BB30)*IF(BB29+1&lt;=Inputs!$F$1321,INDEX(Inputs!$J$313:$AI$1312,Inputs!$F$311,BB29+1),0))/Time!BB30,0),0)</f>
        <v/>
      </c>
      <c r="BC31" s="13">
        <f>IF(Time!BC30&gt;0,(BC30*INDEX(Inputs!$J$302:$Q$302,1,MOD(BC29-1,Inputs!$F$220)+1)+(Time!BC30-BC30)*INDEX(Inputs!$J$302:$Q$302,1,MOD(BC29,Inputs!$F$220)+1))/Time!BC30+IF(Inputs!$F$312=1,(BC30*INDEX(Inputs!$J$313:$AI$1312,Inputs!$F$311,BC29)+(Time!BC30-BC30)*IF(BC29+1&lt;=Inputs!$F$1321,INDEX(Inputs!$J$313:$AI$1312,Inputs!$F$311,BC29+1),0))/Time!BC30,0),0)</f>
        <v/>
      </c>
      <c r="BD31" s="13">
        <f>IF(Time!BD30&gt;0,(BD30*INDEX(Inputs!$J$302:$Q$302,1,MOD(BD29-1,Inputs!$F$220)+1)+(Time!BD30-BD30)*INDEX(Inputs!$J$302:$Q$302,1,MOD(BD29,Inputs!$F$220)+1))/Time!BD30+IF(Inputs!$F$312=1,(BD30*INDEX(Inputs!$J$313:$AI$1312,Inputs!$F$311,BD29)+(Time!BD30-BD30)*IF(BD29+1&lt;=Inputs!$F$1321,INDEX(Inputs!$J$313:$AI$1312,Inputs!$F$311,BD29+1),0))/Time!BD30,0),0)</f>
        <v/>
      </c>
      <c r="BE31" s="13">
        <f>IF(Time!BE30&gt;0,(BE30*INDEX(Inputs!$J$302:$Q$302,1,MOD(BE29-1,Inputs!$F$220)+1)+(Time!BE30-BE30)*INDEX(Inputs!$J$302:$Q$302,1,MOD(BE29,Inputs!$F$220)+1))/Time!BE30+IF(Inputs!$F$312=1,(BE30*INDEX(Inputs!$J$313:$AI$1312,Inputs!$F$311,BE29)+(Time!BE30-BE30)*IF(BE29+1&lt;=Inputs!$F$1321,INDEX(Inputs!$J$313:$AI$1312,Inputs!$F$311,BE29+1),0))/Time!BE30,0),0)</f>
        <v/>
      </c>
      <c r="BF31" s="13">
        <f>IF(Time!BF30&gt;0,(BF30*INDEX(Inputs!$J$302:$Q$302,1,MOD(BF29-1,Inputs!$F$220)+1)+(Time!BF30-BF30)*INDEX(Inputs!$J$302:$Q$302,1,MOD(BF29,Inputs!$F$220)+1))/Time!BF30+IF(Inputs!$F$312=1,(BF30*INDEX(Inputs!$J$313:$AI$1312,Inputs!$F$311,BF29)+(Time!BF30-BF30)*IF(BF29+1&lt;=Inputs!$F$1321,INDEX(Inputs!$J$313:$AI$1312,Inputs!$F$311,BF29+1),0))/Time!BF30,0),0)</f>
        <v/>
      </c>
      <c r="BG31" s="13">
        <f>IF(Time!BG30&gt;0,(BG30*INDEX(Inputs!$J$302:$Q$302,1,MOD(BG29-1,Inputs!$F$220)+1)+(Time!BG30-BG30)*INDEX(Inputs!$J$302:$Q$302,1,MOD(BG29,Inputs!$F$220)+1))/Time!BG30+IF(Inputs!$F$312=1,(BG30*INDEX(Inputs!$J$313:$AI$1312,Inputs!$F$311,BG29)+(Time!BG30-BG30)*IF(BG29+1&lt;=Inputs!$F$1321,INDEX(Inputs!$J$313:$AI$1312,Inputs!$F$311,BG29+1),0))/Time!BG30,0),0)</f>
        <v/>
      </c>
      <c r="BH31" s="13">
        <f>IF(Time!BH30&gt;0,(BH30*INDEX(Inputs!$J$302:$Q$302,1,MOD(BH29-1,Inputs!$F$220)+1)+(Time!BH30-BH30)*INDEX(Inputs!$J$302:$Q$302,1,MOD(BH29,Inputs!$F$220)+1))/Time!BH30+IF(Inputs!$F$312=1,(BH30*INDEX(Inputs!$J$313:$AI$1312,Inputs!$F$311,BH29)+(Time!BH30-BH30)*IF(BH29+1&lt;=Inputs!$F$1321,INDEX(Inputs!$J$313:$AI$1312,Inputs!$F$311,BH29+1),0))/Time!BH30,0),0)</f>
        <v/>
      </c>
      <c r="BI31" s="13">
        <f>IF(Time!BI30&gt;0,(BI30*INDEX(Inputs!$J$302:$Q$302,1,MOD(BI29-1,Inputs!$F$220)+1)+(Time!BI30-BI30)*INDEX(Inputs!$J$302:$Q$302,1,MOD(BI29,Inputs!$F$220)+1))/Time!BI30+IF(Inputs!$F$312=1,(BI30*INDEX(Inputs!$J$313:$AI$1312,Inputs!$F$311,BI29)+(Time!BI30-BI30)*IF(BI29+1&lt;=Inputs!$F$1321,INDEX(Inputs!$J$313:$AI$1312,Inputs!$F$311,BI29+1),0))/Time!BI30,0),0)</f>
        <v/>
      </c>
      <c r="BJ31" s="13">
        <f>IF(Time!BJ30&gt;0,(BJ30*INDEX(Inputs!$J$302:$Q$302,1,MOD(BJ29-1,Inputs!$F$220)+1)+(Time!BJ30-BJ30)*INDEX(Inputs!$J$302:$Q$302,1,MOD(BJ29,Inputs!$F$220)+1))/Time!BJ30+IF(Inputs!$F$312=1,(BJ30*INDEX(Inputs!$J$313:$AI$1312,Inputs!$F$311,BJ29)+(Time!BJ30-BJ30)*IF(BJ29+1&lt;=Inputs!$F$1321,INDEX(Inputs!$J$313:$AI$1312,Inputs!$F$311,BJ29+1),0))/Time!BJ30,0),0)</f>
        <v/>
      </c>
      <c r="BK31" s="13">
        <f>IF(Time!BK30&gt;0,(BK30*INDEX(Inputs!$J$302:$Q$302,1,MOD(BK29-1,Inputs!$F$220)+1)+(Time!BK30-BK30)*INDEX(Inputs!$J$302:$Q$302,1,MOD(BK29,Inputs!$F$220)+1))/Time!BK30+IF(Inputs!$F$312=1,(BK30*INDEX(Inputs!$J$313:$AI$1312,Inputs!$F$311,BK29)+(Time!BK30-BK30)*IF(BK29+1&lt;=Inputs!$F$1321,INDEX(Inputs!$J$313:$AI$1312,Inputs!$F$311,BK29+1),0))/Time!BK30,0),0)</f>
        <v/>
      </c>
      <c r="BL31" s="13">
        <f>IF(Time!BL30&gt;0,(BL30*INDEX(Inputs!$J$302:$Q$302,1,MOD(BL29-1,Inputs!$F$220)+1)+(Time!BL30-BL30)*INDEX(Inputs!$J$302:$Q$302,1,MOD(BL29,Inputs!$F$220)+1))/Time!BL30+IF(Inputs!$F$312=1,(BL30*INDEX(Inputs!$J$313:$AI$1312,Inputs!$F$311,BL29)+(Time!BL30-BL30)*IF(BL29+1&lt;=Inputs!$F$1321,INDEX(Inputs!$J$313:$AI$1312,Inputs!$F$311,BL29+1),0))/Time!BL30,0),0)</f>
        <v/>
      </c>
      <c r="BM31" s="13">
        <f>IF(Time!BM30&gt;0,(BM30*INDEX(Inputs!$J$302:$Q$302,1,MOD(BM29-1,Inputs!$F$220)+1)+(Time!BM30-BM30)*INDEX(Inputs!$J$302:$Q$302,1,MOD(BM29,Inputs!$F$220)+1))/Time!BM30+IF(Inputs!$F$312=1,(BM30*INDEX(Inputs!$J$313:$AI$1312,Inputs!$F$311,BM29)+(Time!BM30-BM30)*IF(BM29+1&lt;=Inputs!$F$1321,INDEX(Inputs!$J$313:$AI$1312,Inputs!$F$311,BM29+1),0))/Time!BM30,0),0)</f>
        <v/>
      </c>
      <c r="BN31" s="13">
        <f>IF(Time!BN30&gt;0,(BN30*INDEX(Inputs!$J$302:$Q$302,1,MOD(BN29-1,Inputs!$F$220)+1)+(Time!BN30-BN30)*INDEX(Inputs!$J$302:$Q$302,1,MOD(BN29,Inputs!$F$220)+1))/Time!BN30+IF(Inputs!$F$312=1,(BN30*INDEX(Inputs!$J$313:$AI$1312,Inputs!$F$311,BN29)+(Time!BN30-BN30)*IF(BN29+1&lt;=Inputs!$F$1321,INDEX(Inputs!$J$313:$AI$1312,Inputs!$F$311,BN29+1),0))/Time!BN30,0),0)</f>
        <v/>
      </c>
    </row>
    <row r="32">
      <c r="D32" t="inlineStr">
        <is>
          <t>Availability</t>
        </is>
      </c>
      <c r="E32" t="inlineStr">
        <is>
          <t>%</t>
        </is>
      </c>
      <c r="J32" s="13">
        <f>IF(Time!J30&gt;0,J31+Inputs!$F$37,0)</f>
        <v/>
      </c>
      <c r="K32" s="13">
        <f>IF(Time!K30&gt;0,K31+Inputs!$F$37,0)</f>
        <v/>
      </c>
      <c r="L32" s="13">
        <f>IF(Time!L30&gt;0,L31+Inputs!$F$37,0)</f>
        <v/>
      </c>
      <c r="M32" s="13">
        <f>IF(Time!M30&gt;0,M31+Inputs!$F$37,0)</f>
        <v/>
      </c>
      <c r="N32" s="13">
        <f>IF(Time!N30&gt;0,N31+Inputs!$F$37,0)</f>
        <v/>
      </c>
      <c r="O32" s="13">
        <f>IF(Time!O30&gt;0,O31+Inputs!$F$37,0)</f>
        <v/>
      </c>
      <c r="P32" s="13">
        <f>IF(Time!P30&gt;0,P31+Inputs!$F$37,0)</f>
        <v/>
      </c>
      <c r="Q32" s="13">
        <f>IF(Time!Q30&gt;0,Q31+Inputs!$F$37,0)</f>
        <v/>
      </c>
      <c r="R32" s="13">
        <f>IF(Time!R30&gt;0,R31+Inputs!$F$37,0)</f>
        <v/>
      </c>
      <c r="S32" s="13">
        <f>IF(Time!S30&gt;0,S31+Inputs!$F$37,0)</f>
        <v/>
      </c>
      <c r="T32" s="13">
        <f>IF(Time!T30&gt;0,T31+Inputs!$F$37,0)</f>
        <v/>
      </c>
      <c r="U32" s="13">
        <f>IF(Time!U30&gt;0,U31+Inputs!$F$37,0)</f>
        <v/>
      </c>
      <c r="V32" s="13">
        <f>IF(Time!V30&gt;0,V31+Inputs!$F$37,0)</f>
        <v/>
      </c>
      <c r="W32" s="13">
        <f>IF(Time!W30&gt;0,W31+Inputs!$F$37,0)</f>
        <v/>
      </c>
      <c r="X32" s="13">
        <f>IF(Time!X30&gt;0,X31+Inputs!$F$37,0)</f>
        <v/>
      </c>
      <c r="Y32" s="13">
        <f>IF(Time!Y30&gt;0,Y31+Inputs!$F$37,0)</f>
        <v/>
      </c>
      <c r="Z32" s="13">
        <f>IF(Time!Z30&gt;0,Z31+Inputs!$F$37,0)</f>
        <v/>
      </c>
      <c r="AA32" s="13">
        <f>IF(Time!AA30&gt;0,AA31+Inputs!$F$37,0)</f>
        <v/>
      </c>
      <c r="AB32" s="13">
        <f>IF(Time!AB30&gt;0,AB31+Inputs!$F$37,0)</f>
        <v/>
      </c>
      <c r="AC32" s="13">
        <f>IF(Time!AC30&gt;0,AC31+Inputs!$F$37,0)</f>
        <v/>
      </c>
      <c r="AD32" s="13">
        <f>IF(Time!AD30&gt;0,AD31+Inputs!$F$37,0)</f>
        <v/>
      </c>
      <c r="AE32" s="13">
        <f>IF(Time!AE30&gt;0,AE31+Inputs!$F$37,0)</f>
        <v/>
      </c>
      <c r="AF32" s="13">
        <f>IF(Time!AF30&gt;0,AF31+Inputs!$F$37,0)</f>
        <v/>
      </c>
      <c r="AG32" s="13">
        <f>IF(Time!AG30&gt;0,AG31+Inputs!$F$37,0)</f>
        <v/>
      </c>
      <c r="AH32" s="13">
        <f>IF(Time!AH30&gt;0,AH31+Inputs!$F$37,0)</f>
        <v/>
      </c>
      <c r="AI32" s="13">
        <f>IF(Time!AI30&gt;0,AI31+Inputs!$F$37,0)</f>
        <v/>
      </c>
      <c r="AJ32" s="13">
        <f>IF(Time!AJ30&gt;0,AJ31+Inputs!$F$37,0)</f>
        <v/>
      </c>
      <c r="AK32" s="13">
        <f>IF(Time!AK30&gt;0,AK31+Inputs!$F$37,0)</f>
        <v/>
      </c>
      <c r="AL32" s="13">
        <f>IF(Time!AL30&gt;0,AL31+Inputs!$F$37,0)</f>
        <v/>
      </c>
      <c r="AM32" s="13">
        <f>IF(Time!AM30&gt;0,AM31+Inputs!$F$37,0)</f>
        <v/>
      </c>
      <c r="AN32" s="13">
        <f>IF(Time!AN30&gt;0,AN31+Inputs!$F$37,0)</f>
        <v/>
      </c>
      <c r="AO32" s="13">
        <f>IF(Time!AO30&gt;0,AO31+Inputs!$F$37,0)</f>
        <v/>
      </c>
      <c r="AP32" s="13">
        <f>IF(Time!AP30&gt;0,AP31+Inputs!$F$37,0)</f>
        <v/>
      </c>
      <c r="AQ32" s="13">
        <f>IF(Time!AQ30&gt;0,AQ31+Inputs!$F$37,0)</f>
        <v/>
      </c>
      <c r="AR32" s="13">
        <f>IF(Time!AR30&gt;0,AR31+Inputs!$F$37,0)</f>
        <v/>
      </c>
      <c r="AS32" s="13">
        <f>IF(Time!AS30&gt;0,AS31+Inputs!$F$37,0)</f>
        <v/>
      </c>
      <c r="AT32" s="13">
        <f>IF(Time!AT30&gt;0,AT31+Inputs!$F$37,0)</f>
        <v/>
      </c>
      <c r="AU32" s="13">
        <f>IF(Time!AU30&gt;0,AU31+Inputs!$F$37,0)</f>
        <v/>
      </c>
      <c r="AV32" s="13">
        <f>IF(Time!AV30&gt;0,AV31+Inputs!$F$37,0)</f>
        <v/>
      </c>
      <c r="AW32" s="13">
        <f>IF(Time!AW30&gt;0,AW31+Inputs!$F$37,0)</f>
        <v/>
      </c>
      <c r="AX32" s="13">
        <f>IF(Time!AX30&gt;0,AX31+Inputs!$F$37,0)</f>
        <v/>
      </c>
      <c r="AY32" s="13">
        <f>IF(Time!AY30&gt;0,AY31+Inputs!$F$37,0)</f>
        <v/>
      </c>
      <c r="AZ32" s="13">
        <f>IF(Time!AZ30&gt;0,AZ31+Inputs!$F$37,0)</f>
        <v/>
      </c>
      <c r="BA32" s="13">
        <f>IF(Time!BA30&gt;0,BA31+Inputs!$F$37,0)</f>
        <v/>
      </c>
      <c r="BB32" s="13">
        <f>IF(Time!BB30&gt;0,BB31+Inputs!$F$37,0)</f>
        <v/>
      </c>
      <c r="BC32" s="13">
        <f>IF(Time!BC30&gt;0,BC31+Inputs!$F$37,0)</f>
        <v/>
      </c>
      <c r="BD32" s="13">
        <f>IF(Time!BD30&gt;0,BD31+Inputs!$F$37,0)</f>
        <v/>
      </c>
      <c r="BE32" s="13">
        <f>IF(Time!BE30&gt;0,BE31+Inputs!$F$37,0)</f>
        <v/>
      </c>
      <c r="BF32" s="13">
        <f>IF(Time!BF30&gt;0,BF31+Inputs!$F$37,0)</f>
        <v/>
      </c>
      <c r="BG32" s="13">
        <f>IF(Time!BG30&gt;0,BG31+Inputs!$F$37,0)</f>
        <v/>
      </c>
      <c r="BH32" s="13">
        <f>IF(Time!BH30&gt;0,BH31+Inputs!$F$37,0)</f>
        <v/>
      </c>
      <c r="BI32" s="13">
        <f>IF(Time!BI30&gt;0,BI31+Inputs!$F$37,0)</f>
        <v/>
      </c>
      <c r="BJ32" s="13">
        <f>IF(Time!BJ30&gt;0,BJ31+Inputs!$F$37,0)</f>
        <v/>
      </c>
      <c r="BK32" s="13">
        <f>IF(Time!BK30&gt;0,BK31+Inputs!$F$37,0)</f>
        <v/>
      </c>
      <c r="BL32" s="13">
        <f>IF(Time!BL30&gt;0,BL31+Inputs!$F$37,0)</f>
        <v/>
      </c>
      <c r="BM32" s="13">
        <f>IF(Time!BM30&gt;0,BM31+Inputs!$F$37,0)</f>
        <v/>
      </c>
      <c r="BN32" s="13">
        <f>IF(Time!BN30&gt;0,BN31+Inputs!$F$37,0)</f>
        <v/>
      </c>
    </row>
    <row r="33">
      <c r="D33" t="inlineStr">
        <is>
          <t>Years since COD (period mid-point)</t>
        </is>
      </c>
      <c r="E33" t="inlineStr">
        <is>
          <t>years</t>
        </is>
      </c>
      <c r="J33" s="13">
        <f>IF(Time!J30&gt;0,AVERAGE(Time!J32,Time!J33)/12,0)</f>
        <v/>
      </c>
      <c r="K33" s="13">
        <f>IF(Time!K30&gt;0,AVERAGE(Time!K32,Time!K33)/12,0)</f>
        <v/>
      </c>
      <c r="L33" s="13">
        <f>IF(Time!L30&gt;0,AVERAGE(Time!L32,Time!L33)/12,0)</f>
        <v/>
      </c>
      <c r="M33" s="13">
        <f>IF(Time!M30&gt;0,AVERAGE(Time!M32,Time!M33)/12,0)</f>
        <v/>
      </c>
      <c r="N33" s="13">
        <f>IF(Time!N30&gt;0,AVERAGE(Time!N32,Time!N33)/12,0)</f>
        <v/>
      </c>
      <c r="O33" s="13">
        <f>IF(Time!O30&gt;0,AVERAGE(Time!O32,Time!O33)/12,0)</f>
        <v/>
      </c>
      <c r="P33" s="13">
        <f>IF(Time!P30&gt;0,AVERAGE(Time!P32,Time!P33)/12,0)</f>
        <v/>
      </c>
      <c r="Q33" s="13">
        <f>IF(Time!Q30&gt;0,AVERAGE(Time!Q32,Time!Q33)/12,0)</f>
        <v/>
      </c>
      <c r="R33" s="13">
        <f>IF(Time!R30&gt;0,AVERAGE(Time!R32,Time!R33)/12,0)</f>
        <v/>
      </c>
      <c r="S33" s="13">
        <f>IF(Time!S30&gt;0,AVERAGE(Time!S32,Time!S33)/12,0)</f>
        <v/>
      </c>
      <c r="T33" s="13">
        <f>IF(Time!T30&gt;0,AVERAGE(Time!T32,Time!T33)/12,0)</f>
        <v/>
      </c>
      <c r="U33" s="13">
        <f>IF(Time!U30&gt;0,AVERAGE(Time!U32,Time!U33)/12,0)</f>
        <v/>
      </c>
      <c r="V33" s="13">
        <f>IF(Time!V30&gt;0,AVERAGE(Time!V32,Time!V33)/12,0)</f>
        <v/>
      </c>
      <c r="W33" s="13">
        <f>IF(Time!W30&gt;0,AVERAGE(Time!W32,Time!W33)/12,0)</f>
        <v/>
      </c>
      <c r="X33" s="13">
        <f>IF(Time!X30&gt;0,AVERAGE(Time!X32,Time!X33)/12,0)</f>
        <v/>
      </c>
      <c r="Y33" s="13">
        <f>IF(Time!Y30&gt;0,AVERAGE(Time!Y32,Time!Y33)/12,0)</f>
        <v/>
      </c>
      <c r="Z33" s="13">
        <f>IF(Time!Z30&gt;0,AVERAGE(Time!Z32,Time!Z33)/12,0)</f>
        <v/>
      </c>
      <c r="AA33" s="13">
        <f>IF(Time!AA30&gt;0,AVERAGE(Time!AA32,Time!AA33)/12,0)</f>
        <v/>
      </c>
      <c r="AB33" s="13">
        <f>IF(Time!AB30&gt;0,AVERAGE(Time!AB32,Time!AB33)/12,0)</f>
        <v/>
      </c>
      <c r="AC33" s="13">
        <f>IF(Time!AC30&gt;0,AVERAGE(Time!AC32,Time!AC33)/12,0)</f>
        <v/>
      </c>
      <c r="AD33" s="13">
        <f>IF(Time!AD30&gt;0,AVERAGE(Time!AD32,Time!AD33)/12,0)</f>
        <v/>
      </c>
      <c r="AE33" s="13">
        <f>IF(Time!AE30&gt;0,AVERAGE(Time!AE32,Time!AE33)/12,0)</f>
        <v/>
      </c>
      <c r="AF33" s="13">
        <f>IF(Time!AF30&gt;0,AVERAGE(Time!AF32,Time!AF33)/12,0)</f>
        <v/>
      </c>
      <c r="AG33" s="13">
        <f>IF(Time!AG30&gt;0,AVERAGE(Time!AG32,Time!AG33)/12,0)</f>
        <v/>
      </c>
      <c r="AH33" s="13">
        <f>IF(Time!AH30&gt;0,AVERAGE(Time!AH32,Time!AH33)/12,0)</f>
        <v/>
      </c>
      <c r="AI33" s="13">
        <f>IF(Time!AI30&gt;0,AVERAGE(Time!AI32,Time!AI33)/12,0)</f>
        <v/>
      </c>
      <c r="AJ33" s="13">
        <f>IF(Time!AJ30&gt;0,AVERAGE(Time!AJ32,Time!AJ33)/12,0)</f>
        <v/>
      </c>
      <c r="AK33" s="13">
        <f>IF(Time!AK30&gt;0,AVERAGE(Time!AK32,Time!AK33)/12,0)</f>
        <v/>
      </c>
      <c r="AL33" s="13">
        <f>IF(Time!AL30&gt;0,AVERAGE(Time!AL32,Time!AL33)/12,0)</f>
        <v/>
      </c>
      <c r="AM33" s="13">
        <f>IF(Time!AM30&gt;0,AVERAGE(Time!AM32,Time!AM33)/12,0)</f>
        <v/>
      </c>
      <c r="AN33" s="13">
        <f>IF(Time!AN30&gt;0,AVERAGE(Time!AN32,Time!AN33)/12,0)</f>
        <v/>
      </c>
      <c r="AO33" s="13">
        <f>IF(Time!AO30&gt;0,AVERAGE(Time!AO32,Time!AO33)/12,0)</f>
        <v/>
      </c>
      <c r="AP33" s="13">
        <f>IF(Time!AP30&gt;0,AVERAGE(Time!AP32,Time!AP33)/12,0)</f>
        <v/>
      </c>
      <c r="AQ33" s="13">
        <f>IF(Time!AQ30&gt;0,AVERAGE(Time!AQ32,Time!AQ33)/12,0)</f>
        <v/>
      </c>
      <c r="AR33" s="13">
        <f>IF(Time!AR30&gt;0,AVERAGE(Time!AR32,Time!AR33)/12,0)</f>
        <v/>
      </c>
      <c r="AS33" s="13">
        <f>IF(Time!AS30&gt;0,AVERAGE(Time!AS32,Time!AS33)/12,0)</f>
        <v/>
      </c>
      <c r="AT33" s="13">
        <f>IF(Time!AT30&gt;0,AVERAGE(Time!AT32,Time!AT33)/12,0)</f>
        <v/>
      </c>
      <c r="AU33" s="13">
        <f>IF(Time!AU30&gt;0,AVERAGE(Time!AU32,Time!AU33)/12,0)</f>
        <v/>
      </c>
      <c r="AV33" s="13">
        <f>IF(Time!AV30&gt;0,AVERAGE(Time!AV32,Time!AV33)/12,0)</f>
        <v/>
      </c>
      <c r="AW33" s="13">
        <f>IF(Time!AW30&gt;0,AVERAGE(Time!AW32,Time!AW33)/12,0)</f>
        <v/>
      </c>
      <c r="AX33" s="13">
        <f>IF(Time!AX30&gt;0,AVERAGE(Time!AX32,Time!AX33)/12,0)</f>
        <v/>
      </c>
      <c r="AY33" s="13">
        <f>IF(Time!AY30&gt;0,AVERAGE(Time!AY32,Time!AY33)/12,0)</f>
        <v/>
      </c>
      <c r="AZ33" s="13">
        <f>IF(Time!AZ30&gt;0,AVERAGE(Time!AZ32,Time!AZ33)/12,0)</f>
        <v/>
      </c>
      <c r="BA33" s="13">
        <f>IF(Time!BA30&gt;0,AVERAGE(Time!BA32,Time!BA33)/12,0)</f>
        <v/>
      </c>
      <c r="BB33" s="13">
        <f>IF(Time!BB30&gt;0,AVERAGE(Time!BB32,Time!BB33)/12,0)</f>
        <v/>
      </c>
      <c r="BC33" s="13">
        <f>IF(Time!BC30&gt;0,AVERAGE(Time!BC32,Time!BC33)/12,0)</f>
        <v/>
      </c>
      <c r="BD33" s="13">
        <f>IF(Time!BD30&gt;0,AVERAGE(Time!BD32,Time!BD33)/12,0)</f>
        <v/>
      </c>
      <c r="BE33" s="13">
        <f>IF(Time!BE30&gt;0,AVERAGE(Time!BE32,Time!BE33)/12,0)</f>
        <v/>
      </c>
      <c r="BF33" s="13">
        <f>IF(Time!BF30&gt;0,AVERAGE(Time!BF32,Time!BF33)/12,0)</f>
        <v/>
      </c>
      <c r="BG33" s="13">
        <f>IF(Time!BG30&gt;0,AVERAGE(Time!BG32,Time!BG33)/12,0)</f>
        <v/>
      </c>
      <c r="BH33" s="13">
        <f>IF(Time!BH30&gt;0,AVERAGE(Time!BH32,Time!BH33)/12,0)</f>
        <v/>
      </c>
      <c r="BI33" s="13">
        <f>IF(Time!BI30&gt;0,AVERAGE(Time!BI32,Time!BI33)/12,0)</f>
        <v/>
      </c>
      <c r="BJ33" s="13">
        <f>IF(Time!BJ30&gt;0,AVERAGE(Time!BJ32,Time!BJ33)/12,0)</f>
        <v/>
      </c>
      <c r="BK33" s="13">
        <f>IF(Time!BK30&gt;0,AVERAGE(Time!BK32,Time!BK33)/12,0)</f>
        <v/>
      </c>
      <c r="BL33" s="13">
        <f>IF(Time!BL30&gt;0,AVERAGE(Time!BL32,Time!BL33)/12,0)</f>
        <v/>
      </c>
      <c r="BM33" s="13">
        <f>IF(Time!BM30&gt;0,AVERAGE(Time!BM32,Time!BM33)/12,0)</f>
        <v/>
      </c>
      <c r="BN33" s="13">
        <f>IF(Time!BN30&gt;0,AVERAGE(Time!BN32,Time!BN33)/12,0)</f>
        <v/>
      </c>
    </row>
    <row r="34">
      <c r="D34" t="inlineStr">
        <is>
          <t>Contracted capacity</t>
        </is>
      </c>
      <c r="E34" t="inlineStr">
        <is>
          <t>MW</t>
        </is>
      </c>
      <c r="F34" s="14">
        <f>IF(Inputs!$F$34&lt;&gt;1,Inputs!$F$117,Inputs!$F$116)</f>
        <v/>
      </c>
    </row>
    <row r="35">
      <c r="D35" t="inlineStr">
        <is>
          <t>Plant net heat rate, new and clean</t>
        </is>
      </c>
      <c r="E35" t="inlineStr">
        <is>
          <t>kJ/kWh</t>
        </is>
      </c>
      <c r="F35" s="9">
        <f>IF(Inputs!$F$34&lt;&gt;1,Inputs!$F$119,Inputs!$F$118)</f>
        <v/>
      </c>
    </row>
    <row r="36">
      <c r="D36" t="inlineStr">
        <is>
          <t>Output degradation factor</t>
        </is>
      </c>
      <c r="E36" t="inlineStr">
        <is>
          <t>factor</t>
        </is>
      </c>
      <c r="J36" s="13">
        <f>(1-Inputs!$F$125/100*J33)*(1-Inputs!$F$126/100)</f>
        <v/>
      </c>
      <c r="K36" s="13">
        <f>(1-Inputs!$F$125/100*K33)*(1-Inputs!$F$126/100)</f>
        <v/>
      </c>
      <c r="L36" s="13">
        <f>(1-Inputs!$F$125/100*L33)*(1-Inputs!$F$126/100)</f>
        <v/>
      </c>
      <c r="M36" s="13">
        <f>(1-Inputs!$F$125/100*M33)*(1-Inputs!$F$126/100)</f>
        <v/>
      </c>
      <c r="N36" s="13">
        <f>(1-Inputs!$F$125/100*N33)*(1-Inputs!$F$126/100)</f>
        <v/>
      </c>
      <c r="O36" s="13">
        <f>(1-Inputs!$F$125/100*O33)*(1-Inputs!$F$126/100)</f>
        <v/>
      </c>
      <c r="P36" s="13">
        <f>(1-Inputs!$F$125/100*P33)*(1-Inputs!$F$126/100)</f>
        <v/>
      </c>
      <c r="Q36" s="13">
        <f>(1-Inputs!$F$125/100*Q33)*(1-Inputs!$F$126/100)</f>
        <v/>
      </c>
      <c r="R36" s="13">
        <f>(1-Inputs!$F$125/100*R33)*(1-Inputs!$F$126/100)</f>
        <v/>
      </c>
      <c r="S36" s="13">
        <f>(1-Inputs!$F$125/100*S33)*(1-Inputs!$F$126/100)</f>
        <v/>
      </c>
      <c r="T36" s="13">
        <f>(1-Inputs!$F$125/100*T33)*(1-Inputs!$F$126/100)</f>
        <v/>
      </c>
      <c r="U36" s="13">
        <f>(1-Inputs!$F$125/100*U33)*(1-Inputs!$F$126/100)</f>
        <v/>
      </c>
      <c r="V36" s="13">
        <f>(1-Inputs!$F$125/100*V33)*(1-Inputs!$F$126/100)</f>
        <v/>
      </c>
      <c r="W36" s="13">
        <f>(1-Inputs!$F$125/100*W33)*(1-Inputs!$F$126/100)</f>
        <v/>
      </c>
      <c r="X36" s="13">
        <f>(1-Inputs!$F$125/100*X33)*(1-Inputs!$F$126/100)</f>
        <v/>
      </c>
      <c r="Y36" s="13">
        <f>(1-Inputs!$F$125/100*Y33)*(1-Inputs!$F$126/100)</f>
        <v/>
      </c>
      <c r="Z36" s="13">
        <f>(1-Inputs!$F$125/100*Z33)*(1-Inputs!$F$126/100)</f>
        <v/>
      </c>
      <c r="AA36" s="13">
        <f>(1-Inputs!$F$125/100*AA33)*(1-Inputs!$F$126/100)</f>
        <v/>
      </c>
      <c r="AB36" s="13">
        <f>(1-Inputs!$F$125/100*AB33)*(1-Inputs!$F$126/100)</f>
        <v/>
      </c>
      <c r="AC36" s="13">
        <f>(1-Inputs!$F$125/100*AC33)*(1-Inputs!$F$126/100)</f>
        <v/>
      </c>
      <c r="AD36" s="13">
        <f>(1-Inputs!$F$125/100*AD33)*(1-Inputs!$F$126/100)</f>
        <v/>
      </c>
      <c r="AE36" s="13">
        <f>(1-Inputs!$F$125/100*AE33)*(1-Inputs!$F$126/100)</f>
        <v/>
      </c>
      <c r="AF36" s="13">
        <f>(1-Inputs!$F$125/100*AF33)*(1-Inputs!$F$126/100)</f>
        <v/>
      </c>
      <c r="AG36" s="13">
        <f>(1-Inputs!$F$125/100*AG33)*(1-Inputs!$F$126/100)</f>
        <v/>
      </c>
      <c r="AH36" s="13">
        <f>(1-Inputs!$F$125/100*AH33)*(1-Inputs!$F$126/100)</f>
        <v/>
      </c>
      <c r="AI36" s="13">
        <f>(1-Inputs!$F$125/100*AI33)*(1-Inputs!$F$126/100)</f>
        <v/>
      </c>
      <c r="AJ36" s="13">
        <f>(1-Inputs!$F$125/100*AJ33)*(1-Inputs!$F$126/100)</f>
        <v/>
      </c>
      <c r="AK36" s="13">
        <f>(1-Inputs!$F$125/100*AK33)*(1-Inputs!$F$126/100)</f>
        <v/>
      </c>
      <c r="AL36" s="13">
        <f>(1-Inputs!$F$125/100*AL33)*(1-Inputs!$F$126/100)</f>
        <v/>
      </c>
      <c r="AM36" s="13">
        <f>(1-Inputs!$F$125/100*AM33)*(1-Inputs!$F$126/100)</f>
        <v/>
      </c>
      <c r="AN36" s="13">
        <f>(1-Inputs!$F$125/100*AN33)*(1-Inputs!$F$126/100)</f>
        <v/>
      </c>
      <c r="AO36" s="13">
        <f>(1-Inputs!$F$125/100*AO33)*(1-Inputs!$F$126/100)</f>
        <v/>
      </c>
      <c r="AP36" s="13">
        <f>(1-Inputs!$F$125/100*AP33)*(1-Inputs!$F$126/100)</f>
        <v/>
      </c>
      <c r="AQ36" s="13">
        <f>(1-Inputs!$F$125/100*AQ33)*(1-Inputs!$F$126/100)</f>
        <v/>
      </c>
      <c r="AR36" s="13">
        <f>(1-Inputs!$F$125/100*AR33)*(1-Inputs!$F$126/100)</f>
        <v/>
      </c>
      <c r="AS36" s="13">
        <f>(1-Inputs!$F$125/100*AS33)*(1-Inputs!$F$126/100)</f>
        <v/>
      </c>
      <c r="AT36" s="13">
        <f>(1-Inputs!$F$125/100*AT33)*(1-Inputs!$F$126/100)</f>
        <v/>
      </c>
      <c r="AU36" s="13">
        <f>(1-Inputs!$F$125/100*AU33)*(1-Inputs!$F$126/100)</f>
        <v/>
      </c>
      <c r="AV36" s="13">
        <f>(1-Inputs!$F$125/100*AV33)*(1-Inputs!$F$126/100)</f>
        <v/>
      </c>
      <c r="AW36" s="13">
        <f>(1-Inputs!$F$125/100*AW33)*(1-Inputs!$F$126/100)</f>
        <v/>
      </c>
      <c r="AX36" s="13">
        <f>(1-Inputs!$F$125/100*AX33)*(1-Inputs!$F$126/100)</f>
        <v/>
      </c>
      <c r="AY36" s="13">
        <f>(1-Inputs!$F$125/100*AY33)*(1-Inputs!$F$126/100)</f>
        <v/>
      </c>
      <c r="AZ36" s="13">
        <f>(1-Inputs!$F$125/100*AZ33)*(1-Inputs!$F$126/100)</f>
        <v/>
      </c>
      <c r="BA36" s="13">
        <f>(1-Inputs!$F$125/100*BA33)*(1-Inputs!$F$126/100)</f>
        <v/>
      </c>
      <c r="BB36" s="13">
        <f>(1-Inputs!$F$125/100*BB33)*(1-Inputs!$F$126/100)</f>
        <v/>
      </c>
      <c r="BC36" s="13">
        <f>(1-Inputs!$F$125/100*BC33)*(1-Inputs!$F$126/100)</f>
        <v/>
      </c>
      <c r="BD36" s="13">
        <f>(1-Inputs!$F$125/100*BD33)*(1-Inputs!$F$126/100)</f>
        <v/>
      </c>
      <c r="BE36" s="13">
        <f>(1-Inputs!$F$125/100*BE33)*(1-Inputs!$F$126/100)</f>
        <v/>
      </c>
      <c r="BF36" s="13">
        <f>(1-Inputs!$F$125/100*BF33)*(1-Inputs!$F$126/100)</f>
        <v/>
      </c>
      <c r="BG36" s="13">
        <f>(1-Inputs!$F$125/100*BG33)*(1-Inputs!$F$126/100)</f>
        <v/>
      </c>
      <c r="BH36" s="13">
        <f>(1-Inputs!$F$125/100*BH33)*(1-Inputs!$F$126/100)</f>
        <v/>
      </c>
      <c r="BI36" s="13">
        <f>(1-Inputs!$F$125/100*BI33)*(1-Inputs!$F$126/100)</f>
        <v/>
      </c>
      <c r="BJ36" s="13">
        <f>(1-Inputs!$F$125/100*BJ33)*(1-Inputs!$F$126/100)</f>
        <v/>
      </c>
      <c r="BK36" s="13">
        <f>(1-Inputs!$F$125/100*BK33)*(1-Inputs!$F$126/100)</f>
        <v/>
      </c>
      <c r="BL36" s="13">
        <f>(1-Inputs!$F$125/100*BL33)*(1-Inputs!$F$126/100)</f>
        <v/>
      </c>
      <c r="BM36" s="13">
        <f>(1-Inputs!$F$125/100*BM33)*(1-Inputs!$F$126/100)</f>
        <v/>
      </c>
      <c r="BN36" s="13">
        <f>(1-Inputs!$F$125/100*BN33)*(1-Inputs!$F$126/100)</f>
        <v/>
      </c>
    </row>
    <row r="37">
      <c r="D37" t="inlineStr">
        <is>
          <t>Dispatch factor when available</t>
        </is>
      </c>
      <c r="E37" t="inlineStr">
        <is>
          <t>%</t>
        </is>
      </c>
      <c r="J37" s="13">
        <f>IF(Inputs!$F$312=1,INDEX(Inputs!$AJ$313:$AJ$1312,Inputs!$F$311),IF(AND(Inputs!$F$55=1,Inputs!J303&gt;0),Inputs!J303,Inputs!$F$38))</f>
        <v/>
      </c>
      <c r="K37" s="13">
        <f>IF(Inputs!$F$312=1,INDEX(Inputs!$AJ$313:$AJ$1312,Inputs!$F$311),IF(AND(Inputs!$F$55=1,Inputs!K303&gt;0),Inputs!K303,Inputs!$F$38))</f>
        <v/>
      </c>
      <c r="L37" s="13">
        <f>IF(Inputs!$F$312=1,INDEX(Inputs!$AJ$313:$AJ$1312,Inputs!$F$311),IF(AND(Inputs!$F$55=1,Inputs!L303&gt;0),Inputs!L303,Inputs!$F$38))</f>
        <v/>
      </c>
      <c r="M37" s="13">
        <f>IF(Inputs!$F$312=1,INDEX(Inputs!$AJ$313:$AJ$1312,Inputs!$F$311),IF(AND(Inputs!$F$55=1,Inputs!M303&gt;0),Inputs!M303,Inputs!$F$38))</f>
        <v/>
      </c>
      <c r="N37" s="13">
        <f>IF(Inputs!$F$312=1,INDEX(Inputs!$AJ$313:$AJ$1312,Inputs!$F$311),IF(AND(Inputs!$F$55=1,Inputs!N303&gt;0),Inputs!N303,Inputs!$F$38))</f>
        <v/>
      </c>
      <c r="O37" s="13">
        <f>IF(Inputs!$F$312=1,INDEX(Inputs!$AJ$313:$AJ$1312,Inputs!$F$311),IF(AND(Inputs!$F$55=1,Inputs!O303&gt;0),Inputs!O303,Inputs!$F$38))</f>
        <v/>
      </c>
      <c r="P37" s="13">
        <f>IF(Inputs!$F$312=1,INDEX(Inputs!$AJ$313:$AJ$1312,Inputs!$F$311),IF(AND(Inputs!$F$55=1,Inputs!P303&gt;0),Inputs!P303,Inputs!$F$38))</f>
        <v/>
      </c>
      <c r="Q37" s="13">
        <f>IF(Inputs!$F$312=1,INDEX(Inputs!$AJ$313:$AJ$1312,Inputs!$F$311),IF(AND(Inputs!$F$55=1,Inputs!Q303&gt;0),Inputs!Q303,Inputs!$F$38))</f>
        <v/>
      </c>
      <c r="R37" s="13">
        <f>IF(Inputs!$F$312=1,INDEX(Inputs!$AJ$313:$AJ$1312,Inputs!$F$311),IF(AND(Inputs!$F$55=1,Inputs!R303&gt;0),Inputs!R303,Inputs!$F$38))</f>
        <v/>
      </c>
      <c r="S37" s="13">
        <f>IF(Inputs!$F$312=1,INDEX(Inputs!$AJ$313:$AJ$1312,Inputs!$F$311),IF(AND(Inputs!$F$55=1,Inputs!S303&gt;0),Inputs!S303,Inputs!$F$38))</f>
        <v/>
      </c>
      <c r="T37" s="13">
        <f>IF(Inputs!$F$312=1,INDEX(Inputs!$AJ$313:$AJ$1312,Inputs!$F$311),IF(AND(Inputs!$F$55=1,Inputs!T303&gt;0),Inputs!T303,Inputs!$F$38))</f>
        <v/>
      </c>
      <c r="U37" s="13">
        <f>IF(Inputs!$F$312=1,INDEX(Inputs!$AJ$313:$AJ$1312,Inputs!$F$311),IF(AND(Inputs!$F$55=1,Inputs!U303&gt;0),Inputs!U303,Inputs!$F$38))</f>
        <v/>
      </c>
      <c r="V37" s="13">
        <f>IF(Inputs!$F$312=1,INDEX(Inputs!$AJ$313:$AJ$1312,Inputs!$F$311),IF(AND(Inputs!$F$55=1,Inputs!V303&gt;0),Inputs!V303,Inputs!$F$38))</f>
        <v/>
      </c>
      <c r="W37" s="13">
        <f>IF(Inputs!$F$312=1,INDEX(Inputs!$AJ$313:$AJ$1312,Inputs!$F$311),IF(AND(Inputs!$F$55=1,Inputs!W303&gt;0),Inputs!W303,Inputs!$F$38))</f>
        <v/>
      </c>
      <c r="X37" s="13">
        <f>IF(Inputs!$F$312=1,INDEX(Inputs!$AJ$313:$AJ$1312,Inputs!$F$311),IF(AND(Inputs!$F$55=1,Inputs!X303&gt;0),Inputs!X303,Inputs!$F$38))</f>
        <v/>
      </c>
      <c r="Y37" s="13">
        <f>IF(Inputs!$F$312=1,INDEX(Inputs!$AJ$313:$AJ$1312,Inputs!$F$311),IF(AND(Inputs!$F$55=1,Inputs!Y303&gt;0),Inputs!Y303,Inputs!$F$38))</f>
        <v/>
      </c>
      <c r="Z37" s="13">
        <f>IF(Inputs!$F$312=1,INDEX(Inputs!$AJ$313:$AJ$1312,Inputs!$F$311),IF(AND(Inputs!$F$55=1,Inputs!Z303&gt;0),Inputs!Z303,Inputs!$F$38))</f>
        <v/>
      </c>
      <c r="AA37" s="13">
        <f>IF(Inputs!$F$312=1,INDEX(Inputs!$AJ$313:$AJ$1312,Inputs!$F$311),IF(AND(Inputs!$F$55=1,Inputs!AA303&gt;0),Inputs!AA303,Inputs!$F$38))</f>
        <v/>
      </c>
      <c r="AB37" s="13">
        <f>IF(Inputs!$F$312=1,INDEX(Inputs!$AJ$313:$AJ$1312,Inputs!$F$311),IF(AND(Inputs!$F$55=1,Inputs!AB303&gt;0),Inputs!AB303,Inputs!$F$38))</f>
        <v/>
      </c>
      <c r="AC37" s="13">
        <f>IF(Inputs!$F$312=1,INDEX(Inputs!$AJ$313:$AJ$1312,Inputs!$F$311),IF(AND(Inputs!$F$55=1,Inputs!AC303&gt;0),Inputs!AC303,Inputs!$F$38))</f>
        <v/>
      </c>
      <c r="AD37" s="13">
        <f>IF(Inputs!$F$312=1,INDEX(Inputs!$AJ$313:$AJ$1312,Inputs!$F$311),IF(AND(Inputs!$F$55=1,Inputs!AD303&gt;0),Inputs!AD303,Inputs!$F$38))</f>
        <v/>
      </c>
      <c r="AE37" s="13">
        <f>IF(Inputs!$F$312=1,INDEX(Inputs!$AJ$313:$AJ$1312,Inputs!$F$311),IF(AND(Inputs!$F$55=1,Inputs!AE303&gt;0),Inputs!AE303,Inputs!$F$38))</f>
        <v/>
      </c>
      <c r="AF37" s="13">
        <f>IF(Inputs!$F$312=1,INDEX(Inputs!$AJ$313:$AJ$1312,Inputs!$F$311),IF(AND(Inputs!$F$55=1,Inputs!AF303&gt;0),Inputs!AF303,Inputs!$F$38))</f>
        <v/>
      </c>
      <c r="AG37" s="13">
        <f>IF(Inputs!$F$312=1,INDEX(Inputs!$AJ$313:$AJ$1312,Inputs!$F$311),IF(AND(Inputs!$F$55=1,Inputs!AG303&gt;0),Inputs!AG303,Inputs!$F$38))</f>
        <v/>
      </c>
      <c r="AH37" s="13">
        <f>IF(Inputs!$F$312=1,INDEX(Inputs!$AJ$313:$AJ$1312,Inputs!$F$311),IF(AND(Inputs!$F$55=1,Inputs!AH303&gt;0),Inputs!AH303,Inputs!$F$38))</f>
        <v/>
      </c>
      <c r="AI37" s="13">
        <f>IF(Inputs!$F$312=1,INDEX(Inputs!$AJ$313:$AJ$1312,Inputs!$F$311),IF(AND(Inputs!$F$55=1,Inputs!AI303&gt;0),Inputs!AI303,Inputs!$F$38))</f>
        <v/>
      </c>
      <c r="AJ37" s="13">
        <f>IF(Inputs!$F$312=1,INDEX(Inputs!$AJ$313:$AJ$1312,Inputs!$F$311),IF(AND(Inputs!$F$55=1,Inputs!AJ303&gt;0),Inputs!AJ303,Inputs!$F$38))</f>
        <v/>
      </c>
      <c r="AK37" s="13">
        <f>IF(Inputs!$F$312=1,INDEX(Inputs!$AJ$313:$AJ$1312,Inputs!$F$311),IF(AND(Inputs!$F$55=1,Inputs!AK303&gt;0),Inputs!AK303,Inputs!$F$38))</f>
        <v/>
      </c>
      <c r="AL37" s="13">
        <f>IF(Inputs!$F$312=1,INDEX(Inputs!$AJ$313:$AJ$1312,Inputs!$F$311),IF(AND(Inputs!$F$55=1,Inputs!AL303&gt;0),Inputs!AL303,Inputs!$F$38))</f>
        <v/>
      </c>
      <c r="AM37" s="13">
        <f>IF(Inputs!$F$312=1,INDEX(Inputs!$AJ$313:$AJ$1312,Inputs!$F$311),IF(AND(Inputs!$F$55=1,Inputs!AM303&gt;0),Inputs!AM303,Inputs!$F$38))</f>
        <v/>
      </c>
      <c r="AN37" s="13">
        <f>IF(Inputs!$F$312=1,INDEX(Inputs!$AJ$313:$AJ$1312,Inputs!$F$311),IF(AND(Inputs!$F$55=1,Inputs!AN303&gt;0),Inputs!AN303,Inputs!$F$38))</f>
        <v/>
      </c>
      <c r="AO37" s="13">
        <f>IF(Inputs!$F$312=1,INDEX(Inputs!$AJ$313:$AJ$1312,Inputs!$F$311),IF(AND(Inputs!$F$55=1,Inputs!AO303&gt;0),Inputs!AO303,Inputs!$F$38))</f>
        <v/>
      </c>
      <c r="AP37" s="13">
        <f>IF(Inputs!$F$312=1,INDEX(Inputs!$AJ$313:$AJ$1312,Inputs!$F$311),IF(AND(Inputs!$F$55=1,Inputs!AP303&gt;0),Inputs!AP303,Inputs!$F$38))</f>
        <v/>
      </c>
      <c r="AQ37" s="13">
        <f>IF(Inputs!$F$312=1,INDEX(Inputs!$AJ$313:$AJ$1312,Inputs!$F$311),IF(AND(Inputs!$F$55=1,Inputs!AQ303&gt;0),Inputs!AQ303,Inputs!$F$38))</f>
        <v/>
      </c>
      <c r="AR37" s="13">
        <f>IF(Inputs!$F$312=1,INDEX(Inputs!$AJ$313:$AJ$1312,Inputs!$F$311),IF(AND(Inputs!$F$55=1,Inputs!AR303&gt;0),Inputs!AR303,Inputs!$F$38))</f>
        <v/>
      </c>
      <c r="AS37" s="13">
        <f>IF(Inputs!$F$312=1,INDEX(Inputs!$AJ$313:$AJ$1312,Inputs!$F$311),IF(AND(Inputs!$F$55=1,Inputs!AS303&gt;0),Inputs!AS303,Inputs!$F$38))</f>
        <v/>
      </c>
      <c r="AT37" s="13">
        <f>IF(Inputs!$F$312=1,INDEX(Inputs!$AJ$313:$AJ$1312,Inputs!$F$311),IF(AND(Inputs!$F$55=1,Inputs!AT303&gt;0),Inputs!AT303,Inputs!$F$38))</f>
        <v/>
      </c>
      <c r="AU37" s="13">
        <f>IF(Inputs!$F$312=1,INDEX(Inputs!$AJ$313:$AJ$1312,Inputs!$F$311),IF(AND(Inputs!$F$55=1,Inputs!AU303&gt;0),Inputs!AU303,Inputs!$F$38))</f>
        <v/>
      </c>
      <c r="AV37" s="13">
        <f>IF(Inputs!$F$312=1,INDEX(Inputs!$AJ$313:$AJ$1312,Inputs!$F$311),IF(AND(Inputs!$F$55=1,Inputs!AV303&gt;0),Inputs!AV303,Inputs!$F$38))</f>
        <v/>
      </c>
      <c r="AW37" s="13">
        <f>IF(Inputs!$F$312=1,INDEX(Inputs!$AJ$313:$AJ$1312,Inputs!$F$311),IF(AND(Inputs!$F$55=1,Inputs!AW303&gt;0),Inputs!AW303,Inputs!$F$38))</f>
        <v/>
      </c>
      <c r="AX37" s="13">
        <f>IF(Inputs!$F$312=1,INDEX(Inputs!$AJ$313:$AJ$1312,Inputs!$F$311),IF(AND(Inputs!$F$55=1,Inputs!AX303&gt;0),Inputs!AX303,Inputs!$F$38))</f>
        <v/>
      </c>
      <c r="AY37" s="13">
        <f>IF(Inputs!$F$312=1,INDEX(Inputs!$AJ$313:$AJ$1312,Inputs!$F$311),IF(AND(Inputs!$F$55=1,Inputs!AY303&gt;0),Inputs!AY303,Inputs!$F$38))</f>
        <v/>
      </c>
      <c r="AZ37" s="13">
        <f>IF(Inputs!$F$312=1,INDEX(Inputs!$AJ$313:$AJ$1312,Inputs!$F$311),IF(AND(Inputs!$F$55=1,Inputs!AZ303&gt;0),Inputs!AZ303,Inputs!$F$38))</f>
        <v/>
      </c>
      <c r="BA37" s="13">
        <f>IF(Inputs!$F$312=1,INDEX(Inputs!$AJ$313:$AJ$1312,Inputs!$F$311),IF(AND(Inputs!$F$55=1,Inputs!BA303&gt;0),Inputs!BA303,Inputs!$F$38))</f>
        <v/>
      </c>
      <c r="BB37" s="13">
        <f>IF(Inputs!$F$312=1,INDEX(Inputs!$AJ$313:$AJ$1312,Inputs!$F$311),IF(AND(Inputs!$F$55=1,Inputs!BB303&gt;0),Inputs!BB303,Inputs!$F$38))</f>
        <v/>
      </c>
      <c r="BC37" s="13">
        <f>IF(Inputs!$F$312=1,INDEX(Inputs!$AJ$313:$AJ$1312,Inputs!$F$311),IF(AND(Inputs!$F$55=1,Inputs!BC303&gt;0),Inputs!BC303,Inputs!$F$38))</f>
        <v/>
      </c>
      <c r="BD37" s="13">
        <f>IF(Inputs!$F$312=1,INDEX(Inputs!$AJ$313:$AJ$1312,Inputs!$F$311),IF(AND(Inputs!$F$55=1,Inputs!BD303&gt;0),Inputs!BD303,Inputs!$F$38))</f>
        <v/>
      </c>
      <c r="BE37" s="13">
        <f>IF(Inputs!$F$312=1,INDEX(Inputs!$AJ$313:$AJ$1312,Inputs!$F$311),IF(AND(Inputs!$F$55=1,Inputs!BE303&gt;0),Inputs!BE303,Inputs!$F$38))</f>
        <v/>
      </c>
      <c r="BF37" s="13">
        <f>IF(Inputs!$F$312=1,INDEX(Inputs!$AJ$313:$AJ$1312,Inputs!$F$311),IF(AND(Inputs!$F$55=1,Inputs!BF303&gt;0),Inputs!BF303,Inputs!$F$38))</f>
        <v/>
      </c>
      <c r="BG37" s="13">
        <f>IF(Inputs!$F$312=1,INDEX(Inputs!$AJ$313:$AJ$1312,Inputs!$F$311),IF(AND(Inputs!$F$55=1,Inputs!BG303&gt;0),Inputs!BG303,Inputs!$F$38))</f>
        <v/>
      </c>
      <c r="BH37" s="13">
        <f>IF(Inputs!$F$312=1,INDEX(Inputs!$AJ$313:$AJ$1312,Inputs!$F$311),IF(AND(Inputs!$F$55=1,Inputs!BH303&gt;0),Inputs!BH303,Inputs!$F$38))</f>
        <v/>
      </c>
      <c r="BI37" s="13">
        <f>IF(Inputs!$F$312=1,INDEX(Inputs!$AJ$313:$AJ$1312,Inputs!$F$311),IF(AND(Inputs!$F$55=1,Inputs!BI303&gt;0),Inputs!BI303,Inputs!$F$38))</f>
        <v/>
      </c>
      <c r="BJ37" s="13">
        <f>IF(Inputs!$F$312=1,INDEX(Inputs!$AJ$313:$AJ$1312,Inputs!$F$311),IF(AND(Inputs!$F$55=1,Inputs!BJ303&gt;0),Inputs!BJ303,Inputs!$F$38))</f>
        <v/>
      </c>
      <c r="BK37" s="13">
        <f>IF(Inputs!$F$312=1,INDEX(Inputs!$AJ$313:$AJ$1312,Inputs!$F$311),IF(AND(Inputs!$F$55=1,Inputs!BK303&gt;0),Inputs!BK303,Inputs!$F$38))</f>
        <v/>
      </c>
      <c r="BL37" s="13">
        <f>IF(Inputs!$F$312=1,INDEX(Inputs!$AJ$313:$AJ$1312,Inputs!$F$311),IF(AND(Inputs!$F$55=1,Inputs!BL303&gt;0),Inputs!BL303,Inputs!$F$38))</f>
        <v/>
      </c>
      <c r="BM37" s="13">
        <f>IF(Inputs!$F$312=1,INDEX(Inputs!$AJ$313:$AJ$1312,Inputs!$F$311),IF(AND(Inputs!$F$55=1,Inputs!BM303&gt;0),Inputs!BM303,Inputs!$F$38))</f>
        <v/>
      </c>
      <c r="BN37" s="13">
        <f>IF(Inputs!$F$312=1,INDEX(Inputs!$AJ$313:$AJ$1312,Inputs!$F$311),IF(AND(Inputs!$F$55=1,Inputs!BN303&gt;0),Inputs!BN303,Inputs!$F$38))</f>
        <v/>
      </c>
    </row>
    <row r="38">
      <c r="D38" t="inlineStr">
        <is>
          <t>Net energy delivered</t>
        </is>
      </c>
      <c r="E38" t="inlineStr">
        <is>
          <t>MWh</t>
        </is>
      </c>
      <c r="J38" s="15">
        <f>$F$34*Inputs!$F$215*Time!J30*J32/100*J37/100*J36</f>
        <v/>
      </c>
      <c r="K38" s="15">
        <f>$F$34*Inputs!$F$215*Time!K30*K32/100*K37/100*K36</f>
        <v/>
      </c>
      <c r="L38" s="15">
        <f>$F$34*Inputs!$F$215*Time!L30*L32/100*L37/100*L36</f>
        <v/>
      </c>
      <c r="M38" s="15">
        <f>$F$34*Inputs!$F$215*Time!M30*M32/100*M37/100*M36</f>
        <v/>
      </c>
      <c r="N38" s="15">
        <f>$F$34*Inputs!$F$215*Time!N30*N32/100*N37/100*N36</f>
        <v/>
      </c>
      <c r="O38" s="15">
        <f>$F$34*Inputs!$F$215*Time!O30*O32/100*O37/100*O36</f>
        <v/>
      </c>
      <c r="P38" s="15">
        <f>$F$34*Inputs!$F$215*Time!P30*P32/100*P37/100*P36</f>
        <v/>
      </c>
      <c r="Q38" s="15">
        <f>$F$34*Inputs!$F$215*Time!Q30*Q32/100*Q37/100*Q36</f>
        <v/>
      </c>
      <c r="R38" s="15">
        <f>$F$34*Inputs!$F$215*Time!R30*R32/100*R37/100*R36</f>
        <v/>
      </c>
      <c r="S38" s="15">
        <f>$F$34*Inputs!$F$215*Time!S30*S32/100*S37/100*S36</f>
        <v/>
      </c>
      <c r="T38" s="15">
        <f>$F$34*Inputs!$F$215*Time!T30*T32/100*T37/100*T36</f>
        <v/>
      </c>
      <c r="U38" s="15">
        <f>$F$34*Inputs!$F$215*Time!U30*U32/100*U37/100*U36</f>
        <v/>
      </c>
      <c r="V38" s="15">
        <f>$F$34*Inputs!$F$215*Time!V30*V32/100*V37/100*V36</f>
        <v/>
      </c>
      <c r="W38" s="15">
        <f>$F$34*Inputs!$F$215*Time!W30*W32/100*W37/100*W36</f>
        <v/>
      </c>
      <c r="X38" s="15">
        <f>$F$34*Inputs!$F$215*Time!X30*X32/100*X37/100*X36</f>
        <v/>
      </c>
      <c r="Y38" s="15">
        <f>$F$34*Inputs!$F$215*Time!Y30*Y32/100*Y37/100*Y36</f>
        <v/>
      </c>
      <c r="Z38" s="15">
        <f>$F$34*Inputs!$F$215*Time!Z30*Z32/100*Z37/100*Z36</f>
        <v/>
      </c>
      <c r="AA38" s="15">
        <f>$F$34*Inputs!$F$215*Time!AA30*AA32/100*AA37/100*AA36</f>
        <v/>
      </c>
      <c r="AB38" s="15">
        <f>$F$34*Inputs!$F$215*Time!AB30*AB32/100*AB37/100*AB36</f>
        <v/>
      </c>
      <c r="AC38" s="15">
        <f>$F$34*Inputs!$F$215*Time!AC30*AC32/100*AC37/100*AC36</f>
        <v/>
      </c>
      <c r="AD38" s="15">
        <f>$F$34*Inputs!$F$215*Time!AD30*AD32/100*AD37/100*AD36</f>
        <v/>
      </c>
      <c r="AE38" s="15">
        <f>$F$34*Inputs!$F$215*Time!AE30*AE32/100*AE37/100*AE36</f>
        <v/>
      </c>
      <c r="AF38" s="15">
        <f>$F$34*Inputs!$F$215*Time!AF30*AF32/100*AF37/100*AF36</f>
        <v/>
      </c>
      <c r="AG38" s="15">
        <f>$F$34*Inputs!$F$215*Time!AG30*AG32/100*AG37/100*AG36</f>
        <v/>
      </c>
      <c r="AH38" s="15">
        <f>$F$34*Inputs!$F$215*Time!AH30*AH32/100*AH37/100*AH36</f>
        <v/>
      </c>
      <c r="AI38" s="15">
        <f>$F$34*Inputs!$F$215*Time!AI30*AI32/100*AI37/100*AI36</f>
        <v/>
      </c>
      <c r="AJ38" s="15">
        <f>$F$34*Inputs!$F$215*Time!AJ30*AJ32/100*AJ37/100*AJ36</f>
        <v/>
      </c>
      <c r="AK38" s="15">
        <f>$F$34*Inputs!$F$215*Time!AK30*AK32/100*AK37/100*AK36</f>
        <v/>
      </c>
      <c r="AL38" s="15">
        <f>$F$34*Inputs!$F$215*Time!AL30*AL32/100*AL37/100*AL36</f>
        <v/>
      </c>
      <c r="AM38" s="15">
        <f>$F$34*Inputs!$F$215*Time!AM30*AM32/100*AM37/100*AM36</f>
        <v/>
      </c>
      <c r="AN38" s="15">
        <f>$F$34*Inputs!$F$215*Time!AN30*AN32/100*AN37/100*AN36</f>
        <v/>
      </c>
      <c r="AO38" s="15">
        <f>$F$34*Inputs!$F$215*Time!AO30*AO32/100*AO37/100*AO36</f>
        <v/>
      </c>
      <c r="AP38" s="15">
        <f>$F$34*Inputs!$F$215*Time!AP30*AP32/100*AP37/100*AP36</f>
        <v/>
      </c>
      <c r="AQ38" s="15">
        <f>$F$34*Inputs!$F$215*Time!AQ30*AQ32/100*AQ37/100*AQ36</f>
        <v/>
      </c>
      <c r="AR38" s="15">
        <f>$F$34*Inputs!$F$215*Time!AR30*AR32/100*AR37/100*AR36</f>
        <v/>
      </c>
      <c r="AS38" s="15">
        <f>$F$34*Inputs!$F$215*Time!AS30*AS32/100*AS37/100*AS36</f>
        <v/>
      </c>
      <c r="AT38" s="15">
        <f>$F$34*Inputs!$F$215*Time!AT30*AT32/100*AT37/100*AT36</f>
        <v/>
      </c>
      <c r="AU38" s="15">
        <f>$F$34*Inputs!$F$215*Time!AU30*AU32/100*AU37/100*AU36</f>
        <v/>
      </c>
      <c r="AV38" s="15">
        <f>$F$34*Inputs!$F$215*Time!AV30*AV32/100*AV37/100*AV36</f>
        <v/>
      </c>
      <c r="AW38" s="15">
        <f>$F$34*Inputs!$F$215*Time!AW30*AW32/100*AW37/100*AW36</f>
        <v/>
      </c>
      <c r="AX38" s="15">
        <f>$F$34*Inputs!$F$215*Time!AX30*AX32/100*AX37/100*AX36</f>
        <v/>
      </c>
      <c r="AY38" s="15">
        <f>$F$34*Inputs!$F$215*Time!AY30*AY32/100*AY37/100*AY36</f>
        <v/>
      </c>
      <c r="AZ38" s="15">
        <f>$F$34*Inputs!$F$215*Time!AZ30*AZ32/100*AZ37/100*AZ36</f>
        <v/>
      </c>
      <c r="BA38" s="15">
        <f>$F$34*Inputs!$F$215*Time!BA30*BA32/100*BA37/100*BA36</f>
        <v/>
      </c>
      <c r="BB38" s="15">
        <f>$F$34*Inputs!$F$215*Time!BB30*BB32/100*BB37/100*BB36</f>
        <v/>
      </c>
      <c r="BC38" s="15">
        <f>$F$34*Inputs!$F$215*Time!BC30*BC32/100*BC37/100*BC36</f>
        <v/>
      </c>
      <c r="BD38" s="15">
        <f>$F$34*Inputs!$F$215*Time!BD30*BD32/100*BD37/100*BD36</f>
        <v/>
      </c>
      <c r="BE38" s="15">
        <f>$F$34*Inputs!$F$215*Time!BE30*BE32/100*BE37/100*BE36</f>
        <v/>
      </c>
      <c r="BF38" s="15">
        <f>$F$34*Inputs!$F$215*Time!BF30*BF32/100*BF37/100*BF36</f>
        <v/>
      </c>
      <c r="BG38" s="15">
        <f>$F$34*Inputs!$F$215*Time!BG30*BG32/100*BG37/100*BG36</f>
        <v/>
      </c>
      <c r="BH38" s="15">
        <f>$F$34*Inputs!$F$215*Time!BH30*BH32/100*BH37/100*BH36</f>
        <v/>
      </c>
      <c r="BI38" s="15">
        <f>$F$34*Inputs!$F$215*Time!BI30*BI32/100*BI37/100*BI36</f>
        <v/>
      </c>
      <c r="BJ38" s="15">
        <f>$F$34*Inputs!$F$215*Time!BJ30*BJ32/100*BJ37/100*BJ36</f>
        <v/>
      </c>
      <c r="BK38" s="15">
        <f>$F$34*Inputs!$F$215*Time!BK30*BK32/100*BK37/100*BK36</f>
        <v/>
      </c>
      <c r="BL38" s="15">
        <f>$F$34*Inputs!$F$215*Time!BL30*BL32/100*BL37/100*BL36</f>
        <v/>
      </c>
      <c r="BM38" s="15">
        <f>$F$34*Inputs!$F$215*Time!BM30*BM32/100*BM37/100*BM36</f>
        <v/>
      </c>
      <c r="BN38" s="15">
        <f>$F$34*Inputs!$F$215*Time!BN30*BN32/100*BN37/100*BN36</f>
        <v/>
      </c>
    </row>
    <row r="39">
      <c r="D39" t="inlineStr">
        <is>
          <t>Plant net heat rate</t>
        </is>
      </c>
      <c r="E39" t="inlineStr">
        <is>
          <t>kJ/kWh</t>
        </is>
      </c>
      <c r="J39" s="13">
        <f>$F$35*(1+IF(Inputs!$F$312=1,INDEX(Inputs!$AK$313:$AK$1312,Inputs!$F$311),Inputs!$F$127)/100*J33)*(1+Inputs!$F$128/100)*(1+Inputs!$F$122/100)*Inputs!$F$39</f>
        <v/>
      </c>
      <c r="K39" s="13">
        <f>$F$35*(1+IF(Inputs!$F$312=1,INDEX(Inputs!$AK$313:$AK$1312,Inputs!$F$311),Inputs!$F$127)/100*K33)*(1+Inputs!$F$128/100)*(1+Inputs!$F$122/100)*Inputs!$F$39</f>
        <v/>
      </c>
      <c r="L39" s="13">
        <f>$F$35*(1+IF(Inputs!$F$312=1,INDEX(Inputs!$AK$313:$AK$1312,Inputs!$F$311),Inputs!$F$127)/100*L33)*(1+Inputs!$F$128/100)*(1+Inputs!$F$122/100)*Inputs!$F$39</f>
        <v/>
      </c>
      <c r="M39" s="13">
        <f>$F$35*(1+IF(Inputs!$F$312=1,INDEX(Inputs!$AK$313:$AK$1312,Inputs!$F$311),Inputs!$F$127)/100*M33)*(1+Inputs!$F$128/100)*(1+Inputs!$F$122/100)*Inputs!$F$39</f>
        <v/>
      </c>
      <c r="N39" s="13">
        <f>$F$35*(1+IF(Inputs!$F$312=1,INDEX(Inputs!$AK$313:$AK$1312,Inputs!$F$311),Inputs!$F$127)/100*N33)*(1+Inputs!$F$128/100)*(1+Inputs!$F$122/100)*Inputs!$F$39</f>
        <v/>
      </c>
      <c r="O39" s="13">
        <f>$F$35*(1+IF(Inputs!$F$312=1,INDEX(Inputs!$AK$313:$AK$1312,Inputs!$F$311),Inputs!$F$127)/100*O33)*(1+Inputs!$F$128/100)*(1+Inputs!$F$122/100)*Inputs!$F$39</f>
        <v/>
      </c>
      <c r="P39" s="13">
        <f>$F$35*(1+IF(Inputs!$F$312=1,INDEX(Inputs!$AK$313:$AK$1312,Inputs!$F$311),Inputs!$F$127)/100*P33)*(1+Inputs!$F$128/100)*(1+Inputs!$F$122/100)*Inputs!$F$39</f>
        <v/>
      </c>
      <c r="Q39" s="13">
        <f>$F$35*(1+IF(Inputs!$F$312=1,INDEX(Inputs!$AK$313:$AK$1312,Inputs!$F$311),Inputs!$F$127)/100*Q33)*(1+Inputs!$F$128/100)*(1+Inputs!$F$122/100)*Inputs!$F$39</f>
        <v/>
      </c>
      <c r="R39" s="13">
        <f>$F$35*(1+IF(Inputs!$F$312=1,INDEX(Inputs!$AK$313:$AK$1312,Inputs!$F$311),Inputs!$F$127)/100*R33)*(1+Inputs!$F$128/100)*(1+Inputs!$F$122/100)*Inputs!$F$39</f>
        <v/>
      </c>
      <c r="S39" s="13">
        <f>$F$35*(1+IF(Inputs!$F$312=1,INDEX(Inputs!$AK$313:$AK$1312,Inputs!$F$311),Inputs!$F$127)/100*S33)*(1+Inputs!$F$128/100)*(1+Inputs!$F$122/100)*Inputs!$F$39</f>
        <v/>
      </c>
      <c r="T39" s="13">
        <f>$F$35*(1+IF(Inputs!$F$312=1,INDEX(Inputs!$AK$313:$AK$1312,Inputs!$F$311),Inputs!$F$127)/100*T33)*(1+Inputs!$F$128/100)*(1+Inputs!$F$122/100)*Inputs!$F$39</f>
        <v/>
      </c>
      <c r="U39" s="13">
        <f>$F$35*(1+IF(Inputs!$F$312=1,INDEX(Inputs!$AK$313:$AK$1312,Inputs!$F$311),Inputs!$F$127)/100*U33)*(1+Inputs!$F$128/100)*(1+Inputs!$F$122/100)*Inputs!$F$39</f>
        <v/>
      </c>
      <c r="V39" s="13">
        <f>$F$35*(1+IF(Inputs!$F$312=1,INDEX(Inputs!$AK$313:$AK$1312,Inputs!$F$311),Inputs!$F$127)/100*V33)*(1+Inputs!$F$128/100)*(1+Inputs!$F$122/100)*Inputs!$F$39</f>
        <v/>
      </c>
      <c r="W39" s="13">
        <f>$F$35*(1+IF(Inputs!$F$312=1,INDEX(Inputs!$AK$313:$AK$1312,Inputs!$F$311),Inputs!$F$127)/100*W33)*(1+Inputs!$F$128/100)*(1+Inputs!$F$122/100)*Inputs!$F$39</f>
        <v/>
      </c>
      <c r="X39" s="13">
        <f>$F$35*(1+IF(Inputs!$F$312=1,INDEX(Inputs!$AK$313:$AK$1312,Inputs!$F$311),Inputs!$F$127)/100*X33)*(1+Inputs!$F$128/100)*(1+Inputs!$F$122/100)*Inputs!$F$39</f>
        <v/>
      </c>
      <c r="Y39" s="13">
        <f>$F$35*(1+IF(Inputs!$F$312=1,INDEX(Inputs!$AK$313:$AK$1312,Inputs!$F$311),Inputs!$F$127)/100*Y33)*(1+Inputs!$F$128/100)*(1+Inputs!$F$122/100)*Inputs!$F$39</f>
        <v/>
      </c>
      <c r="Z39" s="13">
        <f>$F$35*(1+IF(Inputs!$F$312=1,INDEX(Inputs!$AK$313:$AK$1312,Inputs!$F$311),Inputs!$F$127)/100*Z33)*(1+Inputs!$F$128/100)*(1+Inputs!$F$122/100)*Inputs!$F$39</f>
        <v/>
      </c>
      <c r="AA39" s="13">
        <f>$F$35*(1+IF(Inputs!$F$312=1,INDEX(Inputs!$AK$313:$AK$1312,Inputs!$F$311),Inputs!$F$127)/100*AA33)*(1+Inputs!$F$128/100)*(1+Inputs!$F$122/100)*Inputs!$F$39</f>
        <v/>
      </c>
      <c r="AB39" s="13">
        <f>$F$35*(1+IF(Inputs!$F$312=1,INDEX(Inputs!$AK$313:$AK$1312,Inputs!$F$311),Inputs!$F$127)/100*AB33)*(1+Inputs!$F$128/100)*(1+Inputs!$F$122/100)*Inputs!$F$39</f>
        <v/>
      </c>
      <c r="AC39" s="13">
        <f>$F$35*(1+IF(Inputs!$F$312=1,INDEX(Inputs!$AK$313:$AK$1312,Inputs!$F$311),Inputs!$F$127)/100*AC33)*(1+Inputs!$F$128/100)*(1+Inputs!$F$122/100)*Inputs!$F$39</f>
        <v/>
      </c>
      <c r="AD39" s="13">
        <f>$F$35*(1+IF(Inputs!$F$312=1,INDEX(Inputs!$AK$313:$AK$1312,Inputs!$F$311),Inputs!$F$127)/100*AD33)*(1+Inputs!$F$128/100)*(1+Inputs!$F$122/100)*Inputs!$F$39</f>
        <v/>
      </c>
      <c r="AE39" s="13">
        <f>$F$35*(1+IF(Inputs!$F$312=1,INDEX(Inputs!$AK$313:$AK$1312,Inputs!$F$311),Inputs!$F$127)/100*AE33)*(1+Inputs!$F$128/100)*(1+Inputs!$F$122/100)*Inputs!$F$39</f>
        <v/>
      </c>
      <c r="AF39" s="13">
        <f>$F$35*(1+IF(Inputs!$F$312=1,INDEX(Inputs!$AK$313:$AK$1312,Inputs!$F$311),Inputs!$F$127)/100*AF33)*(1+Inputs!$F$128/100)*(1+Inputs!$F$122/100)*Inputs!$F$39</f>
        <v/>
      </c>
      <c r="AG39" s="13">
        <f>$F$35*(1+IF(Inputs!$F$312=1,INDEX(Inputs!$AK$313:$AK$1312,Inputs!$F$311),Inputs!$F$127)/100*AG33)*(1+Inputs!$F$128/100)*(1+Inputs!$F$122/100)*Inputs!$F$39</f>
        <v/>
      </c>
      <c r="AH39" s="13">
        <f>$F$35*(1+IF(Inputs!$F$312=1,INDEX(Inputs!$AK$313:$AK$1312,Inputs!$F$311),Inputs!$F$127)/100*AH33)*(1+Inputs!$F$128/100)*(1+Inputs!$F$122/100)*Inputs!$F$39</f>
        <v/>
      </c>
      <c r="AI39" s="13">
        <f>$F$35*(1+IF(Inputs!$F$312=1,INDEX(Inputs!$AK$313:$AK$1312,Inputs!$F$311),Inputs!$F$127)/100*AI33)*(1+Inputs!$F$128/100)*(1+Inputs!$F$122/100)*Inputs!$F$39</f>
        <v/>
      </c>
      <c r="AJ39" s="13">
        <f>$F$35*(1+IF(Inputs!$F$312=1,INDEX(Inputs!$AK$313:$AK$1312,Inputs!$F$311),Inputs!$F$127)/100*AJ33)*(1+Inputs!$F$128/100)*(1+Inputs!$F$122/100)*Inputs!$F$39</f>
        <v/>
      </c>
      <c r="AK39" s="13">
        <f>$F$35*(1+IF(Inputs!$F$312=1,INDEX(Inputs!$AK$313:$AK$1312,Inputs!$F$311),Inputs!$F$127)/100*AK33)*(1+Inputs!$F$128/100)*(1+Inputs!$F$122/100)*Inputs!$F$39</f>
        <v/>
      </c>
      <c r="AL39" s="13">
        <f>$F$35*(1+IF(Inputs!$F$312=1,INDEX(Inputs!$AK$313:$AK$1312,Inputs!$F$311),Inputs!$F$127)/100*AL33)*(1+Inputs!$F$128/100)*(1+Inputs!$F$122/100)*Inputs!$F$39</f>
        <v/>
      </c>
      <c r="AM39" s="13">
        <f>$F$35*(1+IF(Inputs!$F$312=1,INDEX(Inputs!$AK$313:$AK$1312,Inputs!$F$311),Inputs!$F$127)/100*AM33)*(1+Inputs!$F$128/100)*(1+Inputs!$F$122/100)*Inputs!$F$39</f>
        <v/>
      </c>
      <c r="AN39" s="13">
        <f>$F$35*(1+IF(Inputs!$F$312=1,INDEX(Inputs!$AK$313:$AK$1312,Inputs!$F$311),Inputs!$F$127)/100*AN33)*(1+Inputs!$F$128/100)*(1+Inputs!$F$122/100)*Inputs!$F$39</f>
        <v/>
      </c>
      <c r="AO39" s="13">
        <f>$F$35*(1+IF(Inputs!$F$312=1,INDEX(Inputs!$AK$313:$AK$1312,Inputs!$F$311),Inputs!$F$127)/100*AO33)*(1+Inputs!$F$128/100)*(1+Inputs!$F$122/100)*Inputs!$F$39</f>
        <v/>
      </c>
      <c r="AP39" s="13">
        <f>$F$35*(1+IF(Inputs!$F$312=1,INDEX(Inputs!$AK$313:$AK$1312,Inputs!$F$311),Inputs!$F$127)/100*AP33)*(1+Inputs!$F$128/100)*(1+Inputs!$F$122/100)*Inputs!$F$39</f>
        <v/>
      </c>
      <c r="AQ39" s="13">
        <f>$F$35*(1+IF(Inputs!$F$312=1,INDEX(Inputs!$AK$313:$AK$1312,Inputs!$F$311),Inputs!$F$127)/100*AQ33)*(1+Inputs!$F$128/100)*(1+Inputs!$F$122/100)*Inputs!$F$39</f>
        <v/>
      </c>
      <c r="AR39" s="13">
        <f>$F$35*(1+IF(Inputs!$F$312=1,INDEX(Inputs!$AK$313:$AK$1312,Inputs!$F$311),Inputs!$F$127)/100*AR33)*(1+Inputs!$F$128/100)*(1+Inputs!$F$122/100)*Inputs!$F$39</f>
        <v/>
      </c>
      <c r="AS39" s="13">
        <f>$F$35*(1+IF(Inputs!$F$312=1,INDEX(Inputs!$AK$313:$AK$1312,Inputs!$F$311),Inputs!$F$127)/100*AS33)*(1+Inputs!$F$128/100)*(1+Inputs!$F$122/100)*Inputs!$F$39</f>
        <v/>
      </c>
      <c r="AT39" s="13">
        <f>$F$35*(1+IF(Inputs!$F$312=1,INDEX(Inputs!$AK$313:$AK$1312,Inputs!$F$311),Inputs!$F$127)/100*AT33)*(1+Inputs!$F$128/100)*(1+Inputs!$F$122/100)*Inputs!$F$39</f>
        <v/>
      </c>
      <c r="AU39" s="13">
        <f>$F$35*(1+IF(Inputs!$F$312=1,INDEX(Inputs!$AK$313:$AK$1312,Inputs!$F$311),Inputs!$F$127)/100*AU33)*(1+Inputs!$F$128/100)*(1+Inputs!$F$122/100)*Inputs!$F$39</f>
        <v/>
      </c>
      <c r="AV39" s="13">
        <f>$F$35*(1+IF(Inputs!$F$312=1,INDEX(Inputs!$AK$313:$AK$1312,Inputs!$F$311),Inputs!$F$127)/100*AV33)*(1+Inputs!$F$128/100)*(1+Inputs!$F$122/100)*Inputs!$F$39</f>
        <v/>
      </c>
      <c r="AW39" s="13">
        <f>$F$35*(1+IF(Inputs!$F$312=1,INDEX(Inputs!$AK$313:$AK$1312,Inputs!$F$311),Inputs!$F$127)/100*AW33)*(1+Inputs!$F$128/100)*(1+Inputs!$F$122/100)*Inputs!$F$39</f>
        <v/>
      </c>
      <c r="AX39" s="13">
        <f>$F$35*(1+IF(Inputs!$F$312=1,INDEX(Inputs!$AK$313:$AK$1312,Inputs!$F$311),Inputs!$F$127)/100*AX33)*(1+Inputs!$F$128/100)*(1+Inputs!$F$122/100)*Inputs!$F$39</f>
        <v/>
      </c>
      <c r="AY39" s="13">
        <f>$F$35*(1+IF(Inputs!$F$312=1,INDEX(Inputs!$AK$313:$AK$1312,Inputs!$F$311),Inputs!$F$127)/100*AY33)*(1+Inputs!$F$128/100)*(1+Inputs!$F$122/100)*Inputs!$F$39</f>
        <v/>
      </c>
      <c r="AZ39" s="13">
        <f>$F$35*(1+IF(Inputs!$F$312=1,INDEX(Inputs!$AK$313:$AK$1312,Inputs!$F$311),Inputs!$F$127)/100*AZ33)*(1+Inputs!$F$128/100)*(1+Inputs!$F$122/100)*Inputs!$F$39</f>
        <v/>
      </c>
      <c r="BA39" s="13">
        <f>$F$35*(1+IF(Inputs!$F$312=1,INDEX(Inputs!$AK$313:$AK$1312,Inputs!$F$311),Inputs!$F$127)/100*BA33)*(1+Inputs!$F$128/100)*(1+Inputs!$F$122/100)*Inputs!$F$39</f>
        <v/>
      </c>
      <c r="BB39" s="13">
        <f>$F$35*(1+IF(Inputs!$F$312=1,INDEX(Inputs!$AK$313:$AK$1312,Inputs!$F$311),Inputs!$F$127)/100*BB33)*(1+Inputs!$F$128/100)*(1+Inputs!$F$122/100)*Inputs!$F$39</f>
        <v/>
      </c>
      <c r="BC39" s="13">
        <f>$F$35*(1+IF(Inputs!$F$312=1,INDEX(Inputs!$AK$313:$AK$1312,Inputs!$F$311),Inputs!$F$127)/100*BC33)*(1+Inputs!$F$128/100)*(1+Inputs!$F$122/100)*Inputs!$F$39</f>
        <v/>
      </c>
      <c r="BD39" s="13">
        <f>$F$35*(1+IF(Inputs!$F$312=1,INDEX(Inputs!$AK$313:$AK$1312,Inputs!$F$311),Inputs!$F$127)/100*BD33)*(1+Inputs!$F$128/100)*(1+Inputs!$F$122/100)*Inputs!$F$39</f>
        <v/>
      </c>
      <c r="BE39" s="13">
        <f>$F$35*(1+IF(Inputs!$F$312=1,INDEX(Inputs!$AK$313:$AK$1312,Inputs!$F$311),Inputs!$F$127)/100*BE33)*(1+Inputs!$F$128/100)*(1+Inputs!$F$122/100)*Inputs!$F$39</f>
        <v/>
      </c>
      <c r="BF39" s="13">
        <f>$F$35*(1+IF(Inputs!$F$312=1,INDEX(Inputs!$AK$313:$AK$1312,Inputs!$F$311),Inputs!$F$127)/100*BF33)*(1+Inputs!$F$128/100)*(1+Inputs!$F$122/100)*Inputs!$F$39</f>
        <v/>
      </c>
      <c r="BG39" s="13">
        <f>$F$35*(1+IF(Inputs!$F$312=1,INDEX(Inputs!$AK$313:$AK$1312,Inputs!$F$311),Inputs!$F$127)/100*BG33)*(1+Inputs!$F$128/100)*(1+Inputs!$F$122/100)*Inputs!$F$39</f>
        <v/>
      </c>
      <c r="BH39" s="13">
        <f>$F$35*(1+IF(Inputs!$F$312=1,INDEX(Inputs!$AK$313:$AK$1312,Inputs!$F$311),Inputs!$F$127)/100*BH33)*(1+Inputs!$F$128/100)*(1+Inputs!$F$122/100)*Inputs!$F$39</f>
        <v/>
      </c>
      <c r="BI39" s="13">
        <f>$F$35*(1+IF(Inputs!$F$312=1,INDEX(Inputs!$AK$313:$AK$1312,Inputs!$F$311),Inputs!$F$127)/100*BI33)*(1+Inputs!$F$128/100)*(1+Inputs!$F$122/100)*Inputs!$F$39</f>
        <v/>
      </c>
      <c r="BJ39" s="13">
        <f>$F$35*(1+IF(Inputs!$F$312=1,INDEX(Inputs!$AK$313:$AK$1312,Inputs!$F$311),Inputs!$F$127)/100*BJ33)*(1+Inputs!$F$128/100)*(1+Inputs!$F$122/100)*Inputs!$F$39</f>
        <v/>
      </c>
      <c r="BK39" s="13">
        <f>$F$35*(1+IF(Inputs!$F$312=1,INDEX(Inputs!$AK$313:$AK$1312,Inputs!$F$311),Inputs!$F$127)/100*BK33)*(1+Inputs!$F$128/100)*(1+Inputs!$F$122/100)*Inputs!$F$39</f>
        <v/>
      </c>
      <c r="BL39" s="13">
        <f>$F$35*(1+IF(Inputs!$F$312=1,INDEX(Inputs!$AK$313:$AK$1312,Inputs!$F$311),Inputs!$F$127)/100*BL33)*(1+Inputs!$F$128/100)*(1+Inputs!$F$122/100)*Inputs!$F$39</f>
        <v/>
      </c>
      <c r="BM39" s="13">
        <f>$F$35*(1+IF(Inputs!$F$312=1,INDEX(Inputs!$AK$313:$AK$1312,Inputs!$F$311),Inputs!$F$127)/100*BM33)*(1+Inputs!$F$128/100)*(1+Inputs!$F$122/100)*Inputs!$F$39</f>
        <v/>
      </c>
      <c r="BN39" s="13">
        <f>$F$35*(1+IF(Inputs!$F$312=1,INDEX(Inputs!$AK$313:$AK$1312,Inputs!$F$311),Inputs!$F$127)/100*BN33)*(1+Inputs!$F$128/100)*(1+Inputs!$F$122/100)*Inputs!$F$39</f>
        <v/>
      </c>
    </row>
    <row r="40">
      <c r="D40" t="inlineStr">
        <is>
          <t>Contracted heat rate at dispatched load</t>
        </is>
      </c>
      <c r="E40" t="inlineStr">
        <is>
          <t>kJ/kWh</t>
        </is>
      </c>
      <c r="J40" s="13">
        <f>Inputs!$F$120*(1+Inputs!$F$121/100*J33)*(1+Inputs!$F$122/100)</f>
        <v/>
      </c>
      <c r="K40" s="13">
        <f>Inputs!$F$120*(1+Inputs!$F$121/100*K33)*(1+Inputs!$F$122/100)</f>
        <v/>
      </c>
      <c r="L40" s="13">
        <f>Inputs!$F$120*(1+Inputs!$F$121/100*L33)*(1+Inputs!$F$122/100)</f>
        <v/>
      </c>
      <c r="M40" s="13">
        <f>Inputs!$F$120*(1+Inputs!$F$121/100*M33)*(1+Inputs!$F$122/100)</f>
        <v/>
      </c>
      <c r="N40" s="13">
        <f>Inputs!$F$120*(1+Inputs!$F$121/100*N33)*(1+Inputs!$F$122/100)</f>
        <v/>
      </c>
      <c r="O40" s="13">
        <f>Inputs!$F$120*(1+Inputs!$F$121/100*O33)*(1+Inputs!$F$122/100)</f>
        <v/>
      </c>
      <c r="P40" s="13">
        <f>Inputs!$F$120*(1+Inputs!$F$121/100*P33)*(1+Inputs!$F$122/100)</f>
        <v/>
      </c>
      <c r="Q40" s="13">
        <f>Inputs!$F$120*(1+Inputs!$F$121/100*Q33)*(1+Inputs!$F$122/100)</f>
        <v/>
      </c>
      <c r="R40" s="13">
        <f>Inputs!$F$120*(1+Inputs!$F$121/100*R33)*(1+Inputs!$F$122/100)</f>
        <v/>
      </c>
      <c r="S40" s="13">
        <f>Inputs!$F$120*(1+Inputs!$F$121/100*S33)*(1+Inputs!$F$122/100)</f>
        <v/>
      </c>
      <c r="T40" s="13">
        <f>Inputs!$F$120*(1+Inputs!$F$121/100*T33)*(1+Inputs!$F$122/100)</f>
        <v/>
      </c>
      <c r="U40" s="13">
        <f>Inputs!$F$120*(1+Inputs!$F$121/100*U33)*(1+Inputs!$F$122/100)</f>
        <v/>
      </c>
      <c r="V40" s="13">
        <f>Inputs!$F$120*(1+Inputs!$F$121/100*V33)*(1+Inputs!$F$122/100)</f>
        <v/>
      </c>
      <c r="W40" s="13">
        <f>Inputs!$F$120*(1+Inputs!$F$121/100*W33)*(1+Inputs!$F$122/100)</f>
        <v/>
      </c>
      <c r="X40" s="13">
        <f>Inputs!$F$120*(1+Inputs!$F$121/100*X33)*(1+Inputs!$F$122/100)</f>
        <v/>
      </c>
      <c r="Y40" s="13">
        <f>Inputs!$F$120*(1+Inputs!$F$121/100*Y33)*(1+Inputs!$F$122/100)</f>
        <v/>
      </c>
      <c r="Z40" s="13">
        <f>Inputs!$F$120*(1+Inputs!$F$121/100*Z33)*(1+Inputs!$F$122/100)</f>
        <v/>
      </c>
      <c r="AA40" s="13">
        <f>Inputs!$F$120*(1+Inputs!$F$121/100*AA33)*(1+Inputs!$F$122/100)</f>
        <v/>
      </c>
      <c r="AB40" s="13">
        <f>Inputs!$F$120*(1+Inputs!$F$121/100*AB33)*(1+Inputs!$F$122/100)</f>
        <v/>
      </c>
      <c r="AC40" s="13">
        <f>Inputs!$F$120*(1+Inputs!$F$121/100*AC33)*(1+Inputs!$F$122/100)</f>
        <v/>
      </c>
      <c r="AD40" s="13">
        <f>Inputs!$F$120*(1+Inputs!$F$121/100*AD33)*(1+Inputs!$F$122/100)</f>
        <v/>
      </c>
      <c r="AE40" s="13">
        <f>Inputs!$F$120*(1+Inputs!$F$121/100*AE33)*(1+Inputs!$F$122/100)</f>
        <v/>
      </c>
      <c r="AF40" s="13">
        <f>Inputs!$F$120*(1+Inputs!$F$121/100*AF33)*(1+Inputs!$F$122/100)</f>
        <v/>
      </c>
      <c r="AG40" s="13">
        <f>Inputs!$F$120*(1+Inputs!$F$121/100*AG33)*(1+Inputs!$F$122/100)</f>
        <v/>
      </c>
      <c r="AH40" s="13">
        <f>Inputs!$F$120*(1+Inputs!$F$121/100*AH33)*(1+Inputs!$F$122/100)</f>
        <v/>
      </c>
      <c r="AI40" s="13">
        <f>Inputs!$F$120*(1+Inputs!$F$121/100*AI33)*(1+Inputs!$F$122/100)</f>
        <v/>
      </c>
      <c r="AJ40" s="13">
        <f>Inputs!$F$120*(1+Inputs!$F$121/100*AJ33)*(1+Inputs!$F$122/100)</f>
        <v/>
      </c>
      <c r="AK40" s="13">
        <f>Inputs!$F$120*(1+Inputs!$F$121/100*AK33)*(1+Inputs!$F$122/100)</f>
        <v/>
      </c>
      <c r="AL40" s="13">
        <f>Inputs!$F$120*(1+Inputs!$F$121/100*AL33)*(1+Inputs!$F$122/100)</f>
        <v/>
      </c>
      <c r="AM40" s="13">
        <f>Inputs!$F$120*(1+Inputs!$F$121/100*AM33)*(1+Inputs!$F$122/100)</f>
        <v/>
      </c>
      <c r="AN40" s="13">
        <f>Inputs!$F$120*(1+Inputs!$F$121/100*AN33)*(1+Inputs!$F$122/100)</f>
        <v/>
      </c>
      <c r="AO40" s="13">
        <f>Inputs!$F$120*(1+Inputs!$F$121/100*AO33)*(1+Inputs!$F$122/100)</f>
        <v/>
      </c>
      <c r="AP40" s="13">
        <f>Inputs!$F$120*(1+Inputs!$F$121/100*AP33)*(1+Inputs!$F$122/100)</f>
        <v/>
      </c>
      <c r="AQ40" s="13">
        <f>Inputs!$F$120*(1+Inputs!$F$121/100*AQ33)*(1+Inputs!$F$122/100)</f>
        <v/>
      </c>
      <c r="AR40" s="13">
        <f>Inputs!$F$120*(1+Inputs!$F$121/100*AR33)*(1+Inputs!$F$122/100)</f>
        <v/>
      </c>
      <c r="AS40" s="13">
        <f>Inputs!$F$120*(1+Inputs!$F$121/100*AS33)*(1+Inputs!$F$122/100)</f>
        <v/>
      </c>
      <c r="AT40" s="13">
        <f>Inputs!$F$120*(1+Inputs!$F$121/100*AT33)*(1+Inputs!$F$122/100)</f>
        <v/>
      </c>
      <c r="AU40" s="13">
        <f>Inputs!$F$120*(1+Inputs!$F$121/100*AU33)*(1+Inputs!$F$122/100)</f>
        <v/>
      </c>
      <c r="AV40" s="13">
        <f>Inputs!$F$120*(1+Inputs!$F$121/100*AV33)*(1+Inputs!$F$122/100)</f>
        <v/>
      </c>
      <c r="AW40" s="13">
        <f>Inputs!$F$120*(1+Inputs!$F$121/100*AW33)*(1+Inputs!$F$122/100)</f>
        <v/>
      </c>
      <c r="AX40" s="13">
        <f>Inputs!$F$120*(1+Inputs!$F$121/100*AX33)*(1+Inputs!$F$122/100)</f>
        <v/>
      </c>
      <c r="AY40" s="13">
        <f>Inputs!$F$120*(1+Inputs!$F$121/100*AY33)*(1+Inputs!$F$122/100)</f>
        <v/>
      </c>
      <c r="AZ40" s="13">
        <f>Inputs!$F$120*(1+Inputs!$F$121/100*AZ33)*(1+Inputs!$F$122/100)</f>
        <v/>
      </c>
      <c r="BA40" s="13">
        <f>Inputs!$F$120*(1+Inputs!$F$121/100*BA33)*(1+Inputs!$F$122/100)</f>
        <v/>
      </c>
      <c r="BB40" s="13">
        <f>Inputs!$F$120*(1+Inputs!$F$121/100*BB33)*(1+Inputs!$F$122/100)</f>
        <v/>
      </c>
      <c r="BC40" s="13">
        <f>Inputs!$F$120*(1+Inputs!$F$121/100*BC33)*(1+Inputs!$F$122/100)</f>
        <v/>
      </c>
      <c r="BD40" s="13">
        <f>Inputs!$F$120*(1+Inputs!$F$121/100*BD33)*(1+Inputs!$F$122/100)</f>
        <v/>
      </c>
      <c r="BE40" s="13">
        <f>Inputs!$F$120*(1+Inputs!$F$121/100*BE33)*(1+Inputs!$F$122/100)</f>
        <v/>
      </c>
      <c r="BF40" s="13">
        <f>Inputs!$F$120*(1+Inputs!$F$121/100*BF33)*(1+Inputs!$F$122/100)</f>
        <v/>
      </c>
      <c r="BG40" s="13">
        <f>Inputs!$F$120*(1+Inputs!$F$121/100*BG33)*(1+Inputs!$F$122/100)</f>
        <v/>
      </c>
      <c r="BH40" s="13">
        <f>Inputs!$F$120*(1+Inputs!$F$121/100*BH33)*(1+Inputs!$F$122/100)</f>
        <v/>
      </c>
      <c r="BI40" s="13">
        <f>Inputs!$F$120*(1+Inputs!$F$121/100*BI33)*(1+Inputs!$F$122/100)</f>
        <v/>
      </c>
      <c r="BJ40" s="13">
        <f>Inputs!$F$120*(1+Inputs!$F$121/100*BJ33)*(1+Inputs!$F$122/100)</f>
        <v/>
      </c>
      <c r="BK40" s="13">
        <f>Inputs!$F$120*(1+Inputs!$F$121/100*BK33)*(1+Inputs!$F$122/100)</f>
        <v/>
      </c>
      <c r="BL40" s="13">
        <f>Inputs!$F$120*(1+Inputs!$F$121/100*BL33)*(1+Inputs!$F$122/100)</f>
        <v/>
      </c>
      <c r="BM40" s="13">
        <f>Inputs!$F$120*(1+Inputs!$F$121/100*BM33)*(1+Inputs!$F$122/100)</f>
        <v/>
      </c>
      <c r="BN40" s="13">
        <f>Inputs!$F$120*(1+Inputs!$F$121/100*BN33)*(1+Inputs!$F$122/100)</f>
        <v/>
      </c>
    </row>
    <row r="41">
      <c r="D41" t="inlineStr">
        <is>
          <t>Gas price (GCV)</t>
        </is>
      </c>
      <c r="E41" t="inlineStr">
        <is>
          <t>USD/MMBtu</t>
        </is>
      </c>
      <c r="J41" s="13">
        <f>Inputs!$F$142*(1+Inputs!$F$143/100)^(Time!J26-Inputs!$F$256)*Inputs!$F$41</f>
        <v/>
      </c>
      <c r="K41" s="13">
        <f>Inputs!$F$142*(1+Inputs!$F$143/100)^(Time!K26-Inputs!$F$256)*Inputs!$F$41</f>
        <v/>
      </c>
      <c r="L41" s="13">
        <f>Inputs!$F$142*(1+Inputs!$F$143/100)^(Time!L26-Inputs!$F$256)*Inputs!$F$41</f>
        <v/>
      </c>
      <c r="M41" s="13">
        <f>Inputs!$F$142*(1+Inputs!$F$143/100)^(Time!M26-Inputs!$F$256)*Inputs!$F$41</f>
        <v/>
      </c>
      <c r="N41" s="13">
        <f>Inputs!$F$142*(1+Inputs!$F$143/100)^(Time!N26-Inputs!$F$256)*Inputs!$F$41</f>
        <v/>
      </c>
      <c r="O41" s="13">
        <f>Inputs!$F$142*(1+Inputs!$F$143/100)^(Time!O26-Inputs!$F$256)*Inputs!$F$41</f>
        <v/>
      </c>
      <c r="P41" s="13">
        <f>Inputs!$F$142*(1+Inputs!$F$143/100)^(Time!P26-Inputs!$F$256)*Inputs!$F$41</f>
        <v/>
      </c>
      <c r="Q41" s="13">
        <f>Inputs!$F$142*(1+Inputs!$F$143/100)^(Time!Q26-Inputs!$F$256)*Inputs!$F$41</f>
        <v/>
      </c>
      <c r="R41" s="13">
        <f>Inputs!$F$142*(1+Inputs!$F$143/100)^(Time!R26-Inputs!$F$256)*Inputs!$F$41</f>
        <v/>
      </c>
      <c r="S41" s="13">
        <f>Inputs!$F$142*(1+Inputs!$F$143/100)^(Time!S26-Inputs!$F$256)*Inputs!$F$41</f>
        <v/>
      </c>
      <c r="T41" s="13">
        <f>Inputs!$F$142*(1+Inputs!$F$143/100)^(Time!T26-Inputs!$F$256)*Inputs!$F$41</f>
        <v/>
      </c>
      <c r="U41" s="13">
        <f>Inputs!$F$142*(1+Inputs!$F$143/100)^(Time!U26-Inputs!$F$256)*Inputs!$F$41</f>
        <v/>
      </c>
      <c r="V41" s="13">
        <f>Inputs!$F$142*(1+Inputs!$F$143/100)^(Time!V26-Inputs!$F$256)*Inputs!$F$41</f>
        <v/>
      </c>
      <c r="W41" s="13">
        <f>Inputs!$F$142*(1+Inputs!$F$143/100)^(Time!W26-Inputs!$F$256)*Inputs!$F$41</f>
        <v/>
      </c>
      <c r="X41" s="13">
        <f>Inputs!$F$142*(1+Inputs!$F$143/100)^(Time!X26-Inputs!$F$256)*Inputs!$F$41</f>
        <v/>
      </c>
      <c r="Y41" s="13">
        <f>Inputs!$F$142*(1+Inputs!$F$143/100)^(Time!Y26-Inputs!$F$256)*Inputs!$F$41</f>
        <v/>
      </c>
      <c r="Z41" s="13">
        <f>Inputs!$F$142*(1+Inputs!$F$143/100)^(Time!Z26-Inputs!$F$256)*Inputs!$F$41</f>
        <v/>
      </c>
      <c r="AA41" s="13">
        <f>Inputs!$F$142*(1+Inputs!$F$143/100)^(Time!AA26-Inputs!$F$256)*Inputs!$F$41</f>
        <v/>
      </c>
      <c r="AB41" s="13">
        <f>Inputs!$F$142*(1+Inputs!$F$143/100)^(Time!AB26-Inputs!$F$256)*Inputs!$F$41</f>
        <v/>
      </c>
      <c r="AC41" s="13">
        <f>Inputs!$F$142*(1+Inputs!$F$143/100)^(Time!AC26-Inputs!$F$256)*Inputs!$F$41</f>
        <v/>
      </c>
      <c r="AD41" s="13">
        <f>Inputs!$F$142*(1+Inputs!$F$143/100)^(Time!AD26-Inputs!$F$256)*Inputs!$F$41</f>
        <v/>
      </c>
      <c r="AE41" s="13">
        <f>Inputs!$F$142*(1+Inputs!$F$143/100)^(Time!AE26-Inputs!$F$256)*Inputs!$F$41</f>
        <v/>
      </c>
      <c r="AF41" s="13">
        <f>Inputs!$F$142*(1+Inputs!$F$143/100)^(Time!AF26-Inputs!$F$256)*Inputs!$F$41</f>
        <v/>
      </c>
      <c r="AG41" s="13">
        <f>Inputs!$F$142*(1+Inputs!$F$143/100)^(Time!AG26-Inputs!$F$256)*Inputs!$F$41</f>
        <v/>
      </c>
      <c r="AH41" s="13">
        <f>Inputs!$F$142*(1+Inputs!$F$143/100)^(Time!AH26-Inputs!$F$256)*Inputs!$F$41</f>
        <v/>
      </c>
      <c r="AI41" s="13">
        <f>Inputs!$F$142*(1+Inputs!$F$143/100)^(Time!AI26-Inputs!$F$256)*Inputs!$F$41</f>
        <v/>
      </c>
      <c r="AJ41" s="13">
        <f>Inputs!$F$142*(1+Inputs!$F$143/100)^(Time!AJ26-Inputs!$F$256)*Inputs!$F$41</f>
        <v/>
      </c>
      <c r="AK41" s="13">
        <f>Inputs!$F$142*(1+Inputs!$F$143/100)^(Time!AK26-Inputs!$F$256)*Inputs!$F$41</f>
        <v/>
      </c>
      <c r="AL41" s="13">
        <f>Inputs!$F$142*(1+Inputs!$F$143/100)^(Time!AL26-Inputs!$F$256)*Inputs!$F$41</f>
        <v/>
      </c>
      <c r="AM41" s="13">
        <f>Inputs!$F$142*(1+Inputs!$F$143/100)^(Time!AM26-Inputs!$F$256)*Inputs!$F$41</f>
        <v/>
      </c>
      <c r="AN41" s="13">
        <f>Inputs!$F$142*(1+Inputs!$F$143/100)^(Time!AN26-Inputs!$F$256)*Inputs!$F$41</f>
        <v/>
      </c>
      <c r="AO41" s="13">
        <f>Inputs!$F$142*(1+Inputs!$F$143/100)^(Time!AO26-Inputs!$F$256)*Inputs!$F$41</f>
        <v/>
      </c>
      <c r="AP41" s="13">
        <f>Inputs!$F$142*(1+Inputs!$F$143/100)^(Time!AP26-Inputs!$F$256)*Inputs!$F$41</f>
        <v/>
      </c>
      <c r="AQ41" s="13">
        <f>Inputs!$F$142*(1+Inputs!$F$143/100)^(Time!AQ26-Inputs!$F$256)*Inputs!$F$41</f>
        <v/>
      </c>
      <c r="AR41" s="13">
        <f>Inputs!$F$142*(1+Inputs!$F$143/100)^(Time!AR26-Inputs!$F$256)*Inputs!$F$41</f>
        <v/>
      </c>
      <c r="AS41" s="13">
        <f>Inputs!$F$142*(1+Inputs!$F$143/100)^(Time!AS26-Inputs!$F$256)*Inputs!$F$41</f>
        <v/>
      </c>
      <c r="AT41" s="13">
        <f>Inputs!$F$142*(1+Inputs!$F$143/100)^(Time!AT26-Inputs!$F$256)*Inputs!$F$41</f>
        <v/>
      </c>
      <c r="AU41" s="13">
        <f>Inputs!$F$142*(1+Inputs!$F$143/100)^(Time!AU26-Inputs!$F$256)*Inputs!$F$41</f>
        <v/>
      </c>
      <c r="AV41" s="13">
        <f>Inputs!$F$142*(1+Inputs!$F$143/100)^(Time!AV26-Inputs!$F$256)*Inputs!$F$41</f>
        <v/>
      </c>
      <c r="AW41" s="13">
        <f>Inputs!$F$142*(1+Inputs!$F$143/100)^(Time!AW26-Inputs!$F$256)*Inputs!$F$41</f>
        <v/>
      </c>
      <c r="AX41" s="13">
        <f>Inputs!$F$142*(1+Inputs!$F$143/100)^(Time!AX26-Inputs!$F$256)*Inputs!$F$41</f>
        <v/>
      </c>
      <c r="AY41" s="13">
        <f>Inputs!$F$142*(1+Inputs!$F$143/100)^(Time!AY26-Inputs!$F$256)*Inputs!$F$41</f>
        <v/>
      </c>
      <c r="AZ41" s="13">
        <f>Inputs!$F$142*(1+Inputs!$F$143/100)^(Time!AZ26-Inputs!$F$256)*Inputs!$F$41</f>
        <v/>
      </c>
      <c r="BA41" s="13">
        <f>Inputs!$F$142*(1+Inputs!$F$143/100)^(Time!BA26-Inputs!$F$256)*Inputs!$F$41</f>
        <v/>
      </c>
      <c r="BB41" s="13">
        <f>Inputs!$F$142*(1+Inputs!$F$143/100)^(Time!BB26-Inputs!$F$256)*Inputs!$F$41</f>
        <v/>
      </c>
      <c r="BC41" s="13">
        <f>Inputs!$F$142*(1+Inputs!$F$143/100)^(Time!BC26-Inputs!$F$256)*Inputs!$F$41</f>
        <v/>
      </c>
      <c r="BD41" s="13">
        <f>Inputs!$F$142*(1+Inputs!$F$143/100)^(Time!BD26-Inputs!$F$256)*Inputs!$F$41</f>
        <v/>
      </c>
      <c r="BE41" s="13">
        <f>Inputs!$F$142*(1+Inputs!$F$143/100)^(Time!BE26-Inputs!$F$256)*Inputs!$F$41</f>
        <v/>
      </c>
      <c r="BF41" s="13">
        <f>Inputs!$F$142*(1+Inputs!$F$143/100)^(Time!BF26-Inputs!$F$256)*Inputs!$F$41</f>
        <v/>
      </c>
      <c r="BG41" s="13">
        <f>Inputs!$F$142*(1+Inputs!$F$143/100)^(Time!BG26-Inputs!$F$256)*Inputs!$F$41</f>
        <v/>
      </c>
      <c r="BH41" s="13">
        <f>Inputs!$F$142*(1+Inputs!$F$143/100)^(Time!BH26-Inputs!$F$256)*Inputs!$F$41</f>
        <v/>
      </c>
      <c r="BI41" s="13">
        <f>Inputs!$F$142*(1+Inputs!$F$143/100)^(Time!BI26-Inputs!$F$256)*Inputs!$F$41</f>
        <v/>
      </c>
      <c r="BJ41" s="13">
        <f>Inputs!$F$142*(1+Inputs!$F$143/100)^(Time!BJ26-Inputs!$F$256)*Inputs!$F$41</f>
        <v/>
      </c>
      <c r="BK41" s="13">
        <f>Inputs!$F$142*(1+Inputs!$F$143/100)^(Time!BK26-Inputs!$F$256)*Inputs!$F$41</f>
        <v/>
      </c>
      <c r="BL41" s="13">
        <f>Inputs!$F$142*(1+Inputs!$F$143/100)^(Time!BL26-Inputs!$F$256)*Inputs!$F$41</f>
        <v/>
      </c>
      <c r="BM41" s="13">
        <f>Inputs!$F$142*(1+Inputs!$F$143/100)^(Time!BM26-Inputs!$F$256)*Inputs!$F$41</f>
        <v/>
      </c>
      <c r="BN41" s="13">
        <f>Inputs!$F$142*(1+Inputs!$F$143/100)^(Time!BN26-Inputs!$F$256)*Inputs!$F$41</f>
        <v/>
      </c>
    </row>
    <row r="42">
      <c r="D42" t="inlineStr">
        <is>
          <t>Gas burned</t>
        </is>
      </c>
      <c r="E42" t="inlineStr">
        <is>
          <t>MMBtu</t>
        </is>
      </c>
      <c r="J42" s="15">
        <f>J38*J39*(1000*Inputs!$F$123/Inputs!$F$124)</f>
        <v/>
      </c>
      <c r="K42" s="15">
        <f>K38*K39*(1000*Inputs!$F$123/Inputs!$F$124)</f>
        <v/>
      </c>
      <c r="L42" s="15">
        <f>L38*L39*(1000*Inputs!$F$123/Inputs!$F$124)</f>
        <v/>
      </c>
      <c r="M42" s="15">
        <f>M38*M39*(1000*Inputs!$F$123/Inputs!$F$124)</f>
        <v/>
      </c>
      <c r="N42" s="15">
        <f>N38*N39*(1000*Inputs!$F$123/Inputs!$F$124)</f>
        <v/>
      </c>
      <c r="O42" s="15">
        <f>O38*O39*(1000*Inputs!$F$123/Inputs!$F$124)</f>
        <v/>
      </c>
      <c r="P42" s="15">
        <f>P38*P39*(1000*Inputs!$F$123/Inputs!$F$124)</f>
        <v/>
      </c>
      <c r="Q42" s="15">
        <f>Q38*Q39*(1000*Inputs!$F$123/Inputs!$F$124)</f>
        <v/>
      </c>
      <c r="R42" s="15">
        <f>R38*R39*(1000*Inputs!$F$123/Inputs!$F$124)</f>
        <v/>
      </c>
      <c r="S42" s="15">
        <f>S38*S39*(1000*Inputs!$F$123/Inputs!$F$124)</f>
        <v/>
      </c>
      <c r="T42" s="15">
        <f>T38*T39*(1000*Inputs!$F$123/Inputs!$F$124)</f>
        <v/>
      </c>
      <c r="U42" s="15">
        <f>U38*U39*(1000*Inputs!$F$123/Inputs!$F$124)</f>
        <v/>
      </c>
      <c r="V42" s="15">
        <f>V38*V39*(1000*Inputs!$F$123/Inputs!$F$124)</f>
        <v/>
      </c>
      <c r="W42" s="15">
        <f>W38*W39*(1000*Inputs!$F$123/Inputs!$F$124)</f>
        <v/>
      </c>
      <c r="X42" s="15">
        <f>X38*X39*(1000*Inputs!$F$123/Inputs!$F$124)</f>
        <v/>
      </c>
      <c r="Y42" s="15">
        <f>Y38*Y39*(1000*Inputs!$F$123/Inputs!$F$124)</f>
        <v/>
      </c>
      <c r="Z42" s="15">
        <f>Z38*Z39*(1000*Inputs!$F$123/Inputs!$F$124)</f>
        <v/>
      </c>
      <c r="AA42" s="15">
        <f>AA38*AA39*(1000*Inputs!$F$123/Inputs!$F$124)</f>
        <v/>
      </c>
      <c r="AB42" s="15">
        <f>AB38*AB39*(1000*Inputs!$F$123/Inputs!$F$124)</f>
        <v/>
      </c>
      <c r="AC42" s="15">
        <f>AC38*AC39*(1000*Inputs!$F$123/Inputs!$F$124)</f>
        <v/>
      </c>
      <c r="AD42" s="15">
        <f>AD38*AD39*(1000*Inputs!$F$123/Inputs!$F$124)</f>
        <v/>
      </c>
      <c r="AE42" s="15">
        <f>AE38*AE39*(1000*Inputs!$F$123/Inputs!$F$124)</f>
        <v/>
      </c>
      <c r="AF42" s="15">
        <f>AF38*AF39*(1000*Inputs!$F$123/Inputs!$F$124)</f>
        <v/>
      </c>
      <c r="AG42" s="15">
        <f>AG38*AG39*(1000*Inputs!$F$123/Inputs!$F$124)</f>
        <v/>
      </c>
      <c r="AH42" s="15">
        <f>AH38*AH39*(1000*Inputs!$F$123/Inputs!$F$124)</f>
        <v/>
      </c>
      <c r="AI42" s="15">
        <f>AI38*AI39*(1000*Inputs!$F$123/Inputs!$F$124)</f>
        <v/>
      </c>
      <c r="AJ42" s="15">
        <f>AJ38*AJ39*(1000*Inputs!$F$123/Inputs!$F$124)</f>
        <v/>
      </c>
      <c r="AK42" s="15">
        <f>AK38*AK39*(1000*Inputs!$F$123/Inputs!$F$124)</f>
        <v/>
      </c>
      <c r="AL42" s="15">
        <f>AL38*AL39*(1000*Inputs!$F$123/Inputs!$F$124)</f>
        <v/>
      </c>
      <c r="AM42" s="15">
        <f>AM38*AM39*(1000*Inputs!$F$123/Inputs!$F$124)</f>
        <v/>
      </c>
      <c r="AN42" s="15">
        <f>AN38*AN39*(1000*Inputs!$F$123/Inputs!$F$124)</f>
        <v/>
      </c>
      <c r="AO42" s="15">
        <f>AO38*AO39*(1000*Inputs!$F$123/Inputs!$F$124)</f>
        <v/>
      </c>
      <c r="AP42" s="15">
        <f>AP38*AP39*(1000*Inputs!$F$123/Inputs!$F$124)</f>
        <v/>
      </c>
      <c r="AQ42" s="15">
        <f>AQ38*AQ39*(1000*Inputs!$F$123/Inputs!$F$124)</f>
        <v/>
      </c>
      <c r="AR42" s="15">
        <f>AR38*AR39*(1000*Inputs!$F$123/Inputs!$F$124)</f>
        <v/>
      </c>
      <c r="AS42" s="15">
        <f>AS38*AS39*(1000*Inputs!$F$123/Inputs!$F$124)</f>
        <v/>
      </c>
      <c r="AT42" s="15">
        <f>AT38*AT39*(1000*Inputs!$F$123/Inputs!$F$124)</f>
        <v/>
      </c>
      <c r="AU42" s="15">
        <f>AU38*AU39*(1000*Inputs!$F$123/Inputs!$F$124)</f>
        <v/>
      </c>
      <c r="AV42" s="15">
        <f>AV38*AV39*(1000*Inputs!$F$123/Inputs!$F$124)</f>
        <v/>
      </c>
      <c r="AW42" s="15">
        <f>AW38*AW39*(1000*Inputs!$F$123/Inputs!$F$124)</f>
        <v/>
      </c>
      <c r="AX42" s="15">
        <f>AX38*AX39*(1000*Inputs!$F$123/Inputs!$F$124)</f>
        <v/>
      </c>
      <c r="AY42" s="15">
        <f>AY38*AY39*(1000*Inputs!$F$123/Inputs!$F$124)</f>
        <v/>
      </c>
      <c r="AZ42" s="15">
        <f>AZ38*AZ39*(1000*Inputs!$F$123/Inputs!$F$124)</f>
        <v/>
      </c>
      <c r="BA42" s="15">
        <f>BA38*BA39*(1000*Inputs!$F$123/Inputs!$F$124)</f>
        <v/>
      </c>
      <c r="BB42" s="15">
        <f>BB38*BB39*(1000*Inputs!$F$123/Inputs!$F$124)</f>
        <v/>
      </c>
      <c r="BC42" s="15">
        <f>BC38*BC39*(1000*Inputs!$F$123/Inputs!$F$124)</f>
        <v/>
      </c>
      <c r="BD42" s="15">
        <f>BD38*BD39*(1000*Inputs!$F$123/Inputs!$F$124)</f>
        <v/>
      </c>
      <c r="BE42" s="15">
        <f>BE38*BE39*(1000*Inputs!$F$123/Inputs!$F$124)</f>
        <v/>
      </c>
      <c r="BF42" s="15">
        <f>BF38*BF39*(1000*Inputs!$F$123/Inputs!$F$124)</f>
        <v/>
      </c>
      <c r="BG42" s="15">
        <f>BG38*BG39*(1000*Inputs!$F$123/Inputs!$F$124)</f>
        <v/>
      </c>
      <c r="BH42" s="15">
        <f>BH38*BH39*(1000*Inputs!$F$123/Inputs!$F$124)</f>
        <v/>
      </c>
      <c r="BI42" s="15">
        <f>BI38*BI39*(1000*Inputs!$F$123/Inputs!$F$124)</f>
        <v/>
      </c>
      <c r="BJ42" s="15">
        <f>BJ38*BJ39*(1000*Inputs!$F$123/Inputs!$F$124)</f>
        <v/>
      </c>
      <c r="BK42" s="15">
        <f>BK38*BK39*(1000*Inputs!$F$123/Inputs!$F$124)</f>
        <v/>
      </c>
      <c r="BL42" s="15">
        <f>BL38*BL39*(1000*Inputs!$F$123/Inputs!$F$124)</f>
        <v/>
      </c>
      <c r="BM42" s="15">
        <f>BM38*BM39*(1000*Inputs!$F$123/Inputs!$F$124)</f>
        <v/>
      </c>
      <c r="BN42" s="15">
        <f>BN38*BN39*(1000*Inputs!$F$123/Inputs!$F$124)</f>
        <v/>
      </c>
    </row>
    <row r="43">
      <c r="D43" t="inlineStr">
        <is>
          <t>Take-or-pay quantity</t>
        </is>
      </c>
      <c r="E43" t="inlineStr">
        <is>
          <t>MMBtu</t>
        </is>
      </c>
      <c r="J43" s="15">
        <f>Inputs!$F$145*Inputs!$F$144*Time!J31</f>
        <v/>
      </c>
      <c r="K43" s="15">
        <f>Inputs!$F$145*Inputs!$F$144*Time!K31</f>
        <v/>
      </c>
      <c r="L43" s="15">
        <f>Inputs!$F$145*Inputs!$F$144*Time!L31</f>
        <v/>
      </c>
      <c r="M43" s="15">
        <f>Inputs!$F$145*Inputs!$F$144*Time!M31</f>
        <v/>
      </c>
      <c r="N43" s="15">
        <f>Inputs!$F$145*Inputs!$F$144*Time!N31</f>
        <v/>
      </c>
      <c r="O43" s="15">
        <f>Inputs!$F$145*Inputs!$F$144*Time!O31</f>
        <v/>
      </c>
      <c r="P43" s="15">
        <f>Inputs!$F$145*Inputs!$F$144*Time!P31</f>
        <v/>
      </c>
      <c r="Q43" s="15">
        <f>Inputs!$F$145*Inputs!$F$144*Time!Q31</f>
        <v/>
      </c>
      <c r="R43" s="15">
        <f>Inputs!$F$145*Inputs!$F$144*Time!R31</f>
        <v/>
      </c>
      <c r="S43" s="15">
        <f>Inputs!$F$145*Inputs!$F$144*Time!S31</f>
        <v/>
      </c>
      <c r="T43" s="15">
        <f>Inputs!$F$145*Inputs!$F$144*Time!T31</f>
        <v/>
      </c>
      <c r="U43" s="15">
        <f>Inputs!$F$145*Inputs!$F$144*Time!U31</f>
        <v/>
      </c>
      <c r="V43" s="15">
        <f>Inputs!$F$145*Inputs!$F$144*Time!V31</f>
        <v/>
      </c>
      <c r="W43" s="15">
        <f>Inputs!$F$145*Inputs!$F$144*Time!W31</f>
        <v/>
      </c>
      <c r="X43" s="15">
        <f>Inputs!$F$145*Inputs!$F$144*Time!X31</f>
        <v/>
      </c>
      <c r="Y43" s="15">
        <f>Inputs!$F$145*Inputs!$F$144*Time!Y31</f>
        <v/>
      </c>
      <c r="Z43" s="15">
        <f>Inputs!$F$145*Inputs!$F$144*Time!Z31</f>
        <v/>
      </c>
      <c r="AA43" s="15">
        <f>Inputs!$F$145*Inputs!$F$144*Time!AA31</f>
        <v/>
      </c>
      <c r="AB43" s="15">
        <f>Inputs!$F$145*Inputs!$F$144*Time!AB31</f>
        <v/>
      </c>
      <c r="AC43" s="15">
        <f>Inputs!$F$145*Inputs!$F$144*Time!AC31</f>
        <v/>
      </c>
      <c r="AD43" s="15">
        <f>Inputs!$F$145*Inputs!$F$144*Time!AD31</f>
        <v/>
      </c>
      <c r="AE43" s="15">
        <f>Inputs!$F$145*Inputs!$F$144*Time!AE31</f>
        <v/>
      </c>
      <c r="AF43" s="15">
        <f>Inputs!$F$145*Inputs!$F$144*Time!AF31</f>
        <v/>
      </c>
      <c r="AG43" s="15">
        <f>Inputs!$F$145*Inputs!$F$144*Time!AG31</f>
        <v/>
      </c>
      <c r="AH43" s="15">
        <f>Inputs!$F$145*Inputs!$F$144*Time!AH31</f>
        <v/>
      </c>
      <c r="AI43" s="15">
        <f>Inputs!$F$145*Inputs!$F$144*Time!AI31</f>
        <v/>
      </c>
      <c r="AJ43" s="15">
        <f>Inputs!$F$145*Inputs!$F$144*Time!AJ31</f>
        <v/>
      </c>
      <c r="AK43" s="15">
        <f>Inputs!$F$145*Inputs!$F$144*Time!AK31</f>
        <v/>
      </c>
      <c r="AL43" s="15">
        <f>Inputs!$F$145*Inputs!$F$144*Time!AL31</f>
        <v/>
      </c>
      <c r="AM43" s="15">
        <f>Inputs!$F$145*Inputs!$F$144*Time!AM31</f>
        <v/>
      </c>
      <c r="AN43" s="15">
        <f>Inputs!$F$145*Inputs!$F$144*Time!AN31</f>
        <v/>
      </c>
      <c r="AO43" s="15">
        <f>Inputs!$F$145*Inputs!$F$144*Time!AO31</f>
        <v/>
      </c>
      <c r="AP43" s="15">
        <f>Inputs!$F$145*Inputs!$F$144*Time!AP31</f>
        <v/>
      </c>
      <c r="AQ43" s="15">
        <f>Inputs!$F$145*Inputs!$F$144*Time!AQ31</f>
        <v/>
      </c>
      <c r="AR43" s="15">
        <f>Inputs!$F$145*Inputs!$F$144*Time!AR31</f>
        <v/>
      </c>
      <c r="AS43" s="15">
        <f>Inputs!$F$145*Inputs!$F$144*Time!AS31</f>
        <v/>
      </c>
      <c r="AT43" s="15">
        <f>Inputs!$F$145*Inputs!$F$144*Time!AT31</f>
        <v/>
      </c>
      <c r="AU43" s="15">
        <f>Inputs!$F$145*Inputs!$F$144*Time!AU31</f>
        <v/>
      </c>
      <c r="AV43" s="15">
        <f>Inputs!$F$145*Inputs!$F$144*Time!AV31</f>
        <v/>
      </c>
      <c r="AW43" s="15">
        <f>Inputs!$F$145*Inputs!$F$144*Time!AW31</f>
        <v/>
      </c>
      <c r="AX43" s="15">
        <f>Inputs!$F$145*Inputs!$F$144*Time!AX31</f>
        <v/>
      </c>
      <c r="AY43" s="15">
        <f>Inputs!$F$145*Inputs!$F$144*Time!AY31</f>
        <v/>
      </c>
      <c r="AZ43" s="15">
        <f>Inputs!$F$145*Inputs!$F$144*Time!AZ31</f>
        <v/>
      </c>
      <c r="BA43" s="15">
        <f>Inputs!$F$145*Inputs!$F$144*Time!BA31</f>
        <v/>
      </c>
      <c r="BB43" s="15">
        <f>Inputs!$F$145*Inputs!$F$144*Time!BB31</f>
        <v/>
      </c>
      <c r="BC43" s="15">
        <f>Inputs!$F$145*Inputs!$F$144*Time!BC31</f>
        <v/>
      </c>
      <c r="BD43" s="15">
        <f>Inputs!$F$145*Inputs!$F$144*Time!BD31</f>
        <v/>
      </c>
      <c r="BE43" s="15">
        <f>Inputs!$F$145*Inputs!$F$144*Time!BE31</f>
        <v/>
      </c>
      <c r="BF43" s="15">
        <f>Inputs!$F$145*Inputs!$F$144*Time!BF31</f>
        <v/>
      </c>
      <c r="BG43" s="15">
        <f>Inputs!$F$145*Inputs!$F$144*Time!BG31</f>
        <v/>
      </c>
      <c r="BH43" s="15">
        <f>Inputs!$F$145*Inputs!$F$144*Time!BH31</f>
        <v/>
      </c>
      <c r="BI43" s="15">
        <f>Inputs!$F$145*Inputs!$F$144*Time!BI31</f>
        <v/>
      </c>
      <c r="BJ43" s="15">
        <f>Inputs!$F$145*Inputs!$F$144*Time!BJ31</f>
        <v/>
      </c>
      <c r="BK43" s="15">
        <f>Inputs!$F$145*Inputs!$F$144*Time!BK31</f>
        <v/>
      </c>
      <c r="BL43" s="15">
        <f>Inputs!$F$145*Inputs!$F$144*Time!BL31</f>
        <v/>
      </c>
      <c r="BM43" s="15">
        <f>Inputs!$F$145*Inputs!$F$144*Time!BM31</f>
        <v/>
      </c>
      <c r="BN43" s="15">
        <f>Inputs!$F$145*Inputs!$F$144*Time!BN31</f>
        <v/>
      </c>
    </row>
    <row r="44">
      <c r="B44" s="2" t="inlineStr">
        <is>
          <t>Revenue (USD m)</t>
        </is>
      </c>
    </row>
    <row r="45">
      <c r="D45" t="inlineStr">
        <is>
          <t>Capital charge, indexed</t>
        </is>
      </c>
      <c r="E45" t="inlineStr">
        <is>
          <t>USD/kW-month</t>
        </is>
      </c>
      <c r="J45" s="13">
        <f>Inputs!$F$134*Inputs!$F$54*(1-Inputs!$F$135+Inputs!$F$135*J20/100)</f>
        <v/>
      </c>
      <c r="K45" s="13">
        <f>Inputs!$F$134*Inputs!$F$54*(1-Inputs!$F$135+Inputs!$F$135*K20/100)</f>
        <v/>
      </c>
      <c r="L45" s="13">
        <f>Inputs!$F$134*Inputs!$F$54*(1-Inputs!$F$135+Inputs!$F$135*L20/100)</f>
        <v/>
      </c>
      <c r="M45" s="13">
        <f>Inputs!$F$134*Inputs!$F$54*(1-Inputs!$F$135+Inputs!$F$135*M20/100)</f>
        <v/>
      </c>
      <c r="N45" s="13">
        <f>Inputs!$F$134*Inputs!$F$54*(1-Inputs!$F$135+Inputs!$F$135*N20/100)</f>
        <v/>
      </c>
      <c r="O45" s="13">
        <f>Inputs!$F$134*Inputs!$F$54*(1-Inputs!$F$135+Inputs!$F$135*O20/100)</f>
        <v/>
      </c>
      <c r="P45" s="13">
        <f>Inputs!$F$134*Inputs!$F$54*(1-Inputs!$F$135+Inputs!$F$135*P20/100)</f>
        <v/>
      </c>
      <c r="Q45" s="13">
        <f>Inputs!$F$134*Inputs!$F$54*(1-Inputs!$F$135+Inputs!$F$135*Q20/100)</f>
        <v/>
      </c>
      <c r="R45" s="13">
        <f>Inputs!$F$134*Inputs!$F$54*(1-Inputs!$F$135+Inputs!$F$135*R20/100)</f>
        <v/>
      </c>
      <c r="S45" s="13">
        <f>Inputs!$F$134*Inputs!$F$54*(1-Inputs!$F$135+Inputs!$F$135*S20/100)</f>
        <v/>
      </c>
      <c r="T45" s="13">
        <f>Inputs!$F$134*Inputs!$F$54*(1-Inputs!$F$135+Inputs!$F$135*T20/100)</f>
        <v/>
      </c>
      <c r="U45" s="13">
        <f>Inputs!$F$134*Inputs!$F$54*(1-Inputs!$F$135+Inputs!$F$135*U20/100)</f>
        <v/>
      </c>
      <c r="V45" s="13">
        <f>Inputs!$F$134*Inputs!$F$54*(1-Inputs!$F$135+Inputs!$F$135*V20/100)</f>
        <v/>
      </c>
      <c r="W45" s="13">
        <f>Inputs!$F$134*Inputs!$F$54*(1-Inputs!$F$135+Inputs!$F$135*W20/100)</f>
        <v/>
      </c>
      <c r="X45" s="13">
        <f>Inputs!$F$134*Inputs!$F$54*(1-Inputs!$F$135+Inputs!$F$135*X20/100)</f>
        <v/>
      </c>
      <c r="Y45" s="13">
        <f>Inputs!$F$134*Inputs!$F$54*(1-Inputs!$F$135+Inputs!$F$135*Y20/100)</f>
        <v/>
      </c>
      <c r="Z45" s="13">
        <f>Inputs!$F$134*Inputs!$F$54*(1-Inputs!$F$135+Inputs!$F$135*Z20/100)</f>
        <v/>
      </c>
      <c r="AA45" s="13">
        <f>Inputs!$F$134*Inputs!$F$54*(1-Inputs!$F$135+Inputs!$F$135*AA20/100)</f>
        <v/>
      </c>
      <c r="AB45" s="13">
        <f>Inputs!$F$134*Inputs!$F$54*(1-Inputs!$F$135+Inputs!$F$135*AB20/100)</f>
        <v/>
      </c>
      <c r="AC45" s="13">
        <f>Inputs!$F$134*Inputs!$F$54*(1-Inputs!$F$135+Inputs!$F$135*AC20/100)</f>
        <v/>
      </c>
      <c r="AD45" s="13">
        <f>Inputs!$F$134*Inputs!$F$54*(1-Inputs!$F$135+Inputs!$F$135*AD20/100)</f>
        <v/>
      </c>
      <c r="AE45" s="13">
        <f>Inputs!$F$134*Inputs!$F$54*(1-Inputs!$F$135+Inputs!$F$135*AE20/100)</f>
        <v/>
      </c>
      <c r="AF45" s="13">
        <f>Inputs!$F$134*Inputs!$F$54*(1-Inputs!$F$135+Inputs!$F$135*AF20/100)</f>
        <v/>
      </c>
      <c r="AG45" s="13">
        <f>Inputs!$F$134*Inputs!$F$54*(1-Inputs!$F$135+Inputs!$F$135*AG20/100)</f>
        <v/>
      </c>
      <c r="AH45" s="13">
        <f>Inputs!$F$134*Inputs!$F$54*(1-Inputs!$F$135+Inputs!$F$135*AH20/100)</f>
        <v/>
      </c>
      <c r="AI45" s="13">
        <f>Inputs!$F$134*Inputs!$F$54*(1-Inputs!$F$135+Inputs!$F$135*AI20/100)</f>
        <v/>
      </c>
      <c r="AJ45" s="13">
        <f>Inputs!$F$134*Inputs!$F$54*(1-Inputs!$F$135+Inputs!$F$135*AJ20/100)</f>
        <v/>
      </c>
      <c r="AK45" s="13">
        <f>Inputs!$F$134*Inputs!$F$54*(1-Inputs!$F$135+Inputs!$F$135*AK20/100)</f>
        <v/>
      </c>
      <c r="AL45" s="13">
        <f>Inputs!$F$134*Inputs!$F$54*(1-Inputs!$F$135+Inputs!$F$135*AL20/100)</f>
        <v/>
      </c>
      <c r="AM45" s="13">
        <f>Inputs!$F$134*Inputs!$F$54*(1-Inputs!$F$135+Inputs!$F$135*AM20/100)</f>
        <v/>
      </c>
      <c r="AN45" s="13">
        <f>Inputs!$F$134*Inputs!$F$54*(1-Inputs!$F$135+Inputs!$F$135*AN20/100)</f>
        <v/>
      </c>
      <c r="AO45" s="13">
        <f>Inputs!$F$134*Inputs!$F$54*(1-Inputs!$F$135+Inputs!$F$135*AO20/100)</f>
        <v/>
      </c>
      <c r="AP45" s="13">
        <f>Inputs!$F$134*Inputs!$F$54*(1-Inputs!$F$135+Inputs!$F$135*AP20/100)</f>
        <v/>
      </c>
      <c r="AQ45" s="13">
        <f>Inputs!$F$134*Inputs!$F$54*(1-Inputs!$F$135+Inputs!$F$135*AQ20/100)</f>
        <v/>
      </c>
      <c r="AR45" s="13">
        <f>Inputs!$F$134*Inputs!$F$54*(1-Inputs!$F$135+Inputs!$F$135*AR20/100)</f>
        <v/>
      </c>
      <c r="AS45" s="13">
        <f>Inputs!$F$134*Inputs!$F$54*(1-Inputs!$F$135+Inputs!$F$135*AS20/100)</f>
        <v/>
      </c>
      <c r="AT45" s="13">
        <f>Inputs!$F$134*Inputs!$F$54*(1-Inputs!$F$135+Inputs!$F$135*AT20/100)</f>
        <v/>
      </c>
      <c r="AU45" s="13">
        <f>Inputs!$F$134*Inputs!$F$54*(1-Inputs!$F$135+Inputs!$F$135*AU20/100)</f>
        <v/>
      </c>
      <c r="AV45" s="13">
        <f>Inputs!$F$134*Inputs!$F$54*(1-Inputs!$F$135+Inputs!$F$135*AV20/100)</f>
        <v/>
      </c>
      <c r="AW45" s="13">
        <f>Inputs!$F$134*Inputs!$F$54*(1-Inputs!$F$135+Inputs!$F$135*AW20/100)</f>
        <v/>
      </c>
      <c r="AX45" s="13">
        <f>Inputs!$F$134*Inputs!$F$54*(1-Inputs!$F$135+Inputs!$F$135*AX20/100)</f>
        <v/>
      </c>
      <c r="AY45" s="13">
        <f>Inputs!$F$134*Inputs!$F$54*(1-Inputs!$F$135+Inputs!$F$135*AY20/100)</f>
        <v/>
      </c>
      <c r="AZ45" s="13">
        <f>Inputs!$F$134*Inputs!$F$54*(1-Inputs!$F$135+Inputs!$F$135*AZ20/100)</f>
        <v/>
      </c>
      <c r="BA45" s="13">
        <f>Inputs!$F$134*Inputs!$F$54*(1-Inputs!$F$135+Inputs!$F$135*BA20/100)</f>
        <v/>
      </c>
      <c r="BB45" s="13">
        <f>Inputs!$F$134*Inputs!$F$54*(1-Inputs!$F$135+Inputs!$F$135*BB20/100)</f>
        <v/>
      </c>
      <c r="BC45" s="13">
        <f>Inputs!$F$134*Inputs!$F$54*(1-Inputs!$F$135+Inputs!$F$135*BC20/100)</f>
        <v/>
      </c>
      <c r="BD45" s="13">
        <f>Inputs!$F$134*Inputs!$F$54*(1-Inputs!$F$135+Inputs!$F$135*BD20/100)</f>
        <v/>
      </c>
      <c r="BE45" s="13">
        <f>Inputs!$F$134*Inputs!$F$54*(1-Inputs!$F$135+Inputs!$F$135*BE20/100)</f>
        <v/>
      </c>
      <c r="BF45" s="13">
        <f>Inputs!$F$134*Inputs!$F$54*(1-Inputs!$F$135+Inputs!$F$135*BF20/100)</f>
        <v/>
      </c>
      <c r="BG45" s="13">
        <f>Inputs!$F$134*Inputs!$F$54*(1-Inputs!$F$135+Inputs!$F$135*BG20/100)</f>
        <v/>
      </c>
      <c r="BH45" s="13">
        <f>Inputs!$F$134*Inputs!$F$54*(1-Inputs!$F$135+Inputs!$F$135*BH20/100)</f>
        <v/>
      </c>
      <c r="BI45" s="13">
        <f>Inputs!$F$134*Inputs!$F$54*(1-Inputs!$F$135+Inputs!$F$135*BI20/100)</f>
        <v/>
      </c>
      <c r="BJ45" s="13">
        <f>Inputs!$F$134*Inputs!$F$54*(1-Inputs!$F$135+Inputs!$F$135*BJ20/100)</f>
        <v/>
      </c>
      <c r="BK45" s="13">
        <f>Inputs!$F$134*Inputs!$F$54*(1-Inputs!$F$135+Inputs!$F$135*BK20/100)</f>
        <v/>
      </c>
      <c r="BL45" s="13">
        <f>Inputs!$F$134*Inputs!$F$54*(1-Inputs!$F$135+Inputs!$F$135*BL20/100)</f>
        <v/>
      </c>
      <c r="BM45" s="13">
        <f>Inputs!$F$134*Inputs!$F$54*(1-Inputs!$F$135+Inputs!$F$135*BM20/100)</f>
        <v/>
      </c>
      <c r="BN45" s="13">
        <f>Inputs!$F$134*Inputs!$F$54*(1-Inputs!$F$135+Inputs!$F$135*BN20/100)</f>
        <v/>
      </c>
    </row>
    <row r="46">
      <c r="D46" t="inlineStr">
        <is>
          <t>Fixed O&amp;M charge, indexed</t>
        </is>
      </c>
      <c r="E46" t="inlineStr">
        <is>
          <t>USD/kW-month</t>
        </is>
      </c>
      <c r="J46" s="13">
        <f>Inputs!$F$136*(Inputs!$F$137*J20/100+(1-Inputs!$F$137)*J26/100*Inputs!$F$138/J11)</f>
        <v/>
      </c>
      <c r="K46" s="13">
        <f>Inputs!$F$136*(Inputs!$F$137*K20/100+(1-Inputs!$F$137)*K26/100*Inputs!$F$138/K11)</f>
        <v/>
      </c>
      <c r="L46" s="13">
        <f>Inputs!$F$136*(Inputs!$F$137*L20/100+(1-Inputs!$F$137)*L26/100*Inputs!$F$138/L11)</f>
        <v/>
      </c>
      <c r="M46" s="13">
        <f>Inputs!$F$136*(Inputs!$F$137*M20/100+(1-Inputs!$F$137)*M26/100*Inputs!$F$138/M11)</f>
        <v/>
      </c>
      <c r="N46" s="13">
        <f>Inputs!$F$136*(Inputs!$F$137*N20/100+(1-Inputs!$F$137)*N26/100*Inputs!$F$138/N11)</f>
        <v/>
      </c>
      <c r="O46" s="13">
        <f>Inputs!$F$136*(Inputs!$F$137*O20/100+(1-Inputs!$F$137)*O26/100*Inputs!$F$138/O11)</f>
        <v/>
      </c>
      <c r="P46" s="13">
        <f>Inputs!$F$136*(Inputs!$F$137*P20/100+(1-Inputs!$F$137)*P26/100*Inputs!$F$138/P11)</f>
        <v/>
      </c>
      <c r="Q46" s="13">
        <f>Inputs!$F$136*(Inputs!$F$137*Q20/100+(1-Inputs!$F$137)*Q26/100*Inputs!$F$138/Q11)</f>
        <v/>
      </c>
      <c r="R46" s="13">
        <f>Inputs!$F$136*(Inputs!$F$137*R20/100+(1-Inputs!$F$137)*R26/100*Inputs!$F$138/R11)</f>
        <v/>
      </c>
      <c r="S46" s="13">
        <f>Inputs!$F$136*(Inputs!$F$137*S20/100+(1-Inputs!$F$137)*S26/100*Inputs!$F$138/S11)</f>
        <v/>
      </c>
      <c r="T46" s="13">
        <f>Inputs!$F$136*(Inputs!$F$137*T20/100+(1-Inputs!$F$137)*T26/100*Inputs!$F$138/T11)</f>
        <v/>
      </c>
      <c r="U46" s="13">
        <f>Inputs!$F$136*(Inputs!$F$137*U20/100+(1-Inputs!$F$137)*U26/100*Inputs!$F$138/U11)</f>
        <v/>
      </c>
      <c r="V46" s="13">
        <f>Inputs!$F$136*(Inputs!$F$137*V20/100+(1-Inputs!$F$137)*V26/100*Inputs!$F$138/V11)</f>
        <v/>
      </c>
      <c r="W46" s="13">
        <f>Inputs!$F$136*(Inputs!$F$137*W20/100+(1-Inputs!$F$137)*W26/100*Inputs!$F$138/W11)</f>
        <v/>
      </c>
      <c r="X46" s="13">
        <f>Inputs!$F$136*(Inputs!$F$137*X20/100+(1-Inputs!$F$137)*X26/100*Inputs!$F$138/X11)</f>
        <v/>
      </c>
      <c r="Y46" s="13">
        <f>Inputs!$F$136*(Inputs!$F$137*Y20/100+(1-Inputs!$F$137)*Y26/100*Inputs!$F$138/Y11)</f>
        <v/>
      </c>
      <c r="Z46" s="13">
        <f>Inputs!$F$136*(Inputs!$F$137*Z20/100+(1-Inputs!$F$137)*Z26/100*Inputs!$F$138/Z11)</f>
        <v/>
      </c>
      <c r="AA46" s="13">
        <f>Inputs!$F$136*(Inputs!$F$137*AA20/100+(1-Inputs!$F$137)*AA26/100*Inputs!$F$138/AA11)</f>
        <v/>
      </c>
      <c r="AB46" s="13">
        <f>Inputs!$F$136*(Inputs!$F$137*AB20/100+(1-Inputs!$F$137)*AB26/100*Inputs!$F$138/AB11)</f>
        <v/>
      </c>
      <c r="AC46" s="13">
        <f>Inputs!$F$136*(Inputs!$F$137*AC20/100+(1-Inputs!$F$137)*AC26/100*Inputs!$F$138/AC11)</f>
        <v/>
      </c>
      <c r="AD46" s="13">
        <f>Inputs!$F$136*(Inputs!$F$137*AD20/100+(1-Inputs!$F$137)*AD26/100*Inputs!$F$138/AD11)</f>
        <v/>
      </c>
      <c r="AE46" s="13">
        <f>Inputs!$F$136*(Inputs!$F$137*AE20/100+(1-Inputs!$F$137)*AE26/100*Inputs!$F$138/AE11)</f>
        <v/>
      </c>
      <c r="AF46" s="13">
        <f>Inputs!$F$136*(Inputs!$F$137*AF20/100+(1-Inputs!$F$137)*AF26/100*Inputs!$F$138/AF11)</f>
        <v/>
      </c>
      <c r="AG46" s="13">
        <f>Inputs!$F$136*(Inputs!$F$137*AG20/100+(1-Inputs!$F$137)*AG26/100*Inputs!$F$138/AG11)</f>
        <v/>
      </c>
      <c r="AH46" s="13">
        <f>Inputs!$F$136*(Inputs!$F$137*AH20/100+(1-Inputs!$F$137)*AH26/100*Inputs!$F$138/AH11)</f>
        <v/>
      </c>
      <c r="AI46" s="13">
        <f>Inputs!$F$136*(Inputs!$F$137*AI20/100+(1-Inputs!$F$137)*AI26/100*Inputs!$F$138/AI11)</f>
        <v/>
      </c>
      <c r="AJ46" s="13">
        <f>Inputs!$F$136*(Inputs!$F$137*AJ20/100+(1-Inputs!$F$137)*AJ26/100*Inputs!$F$138/AJ11)</f>
        <v/>
      </c>
      <c r="AK46" s="13">
        <f>Inputs!$F$136*(Inputs!$F$137*AK20/100+(1-Inputs!$F$137)*AK26/100*Inputs!$F$138/AK11)</f>
        <v/>
      </c>
      <c r="AL46" s="13">
        <f>Inputs!$F$136*(Inputs!$F$137*AL20/100+(1-Inputs!$F$137)*AL26/100*Inputs!$F$138/AL11)</f>
        <v/>
      </c>
      <c r="AM46" s="13">
        <f>Inputs!$F$136*(Inputs!$F$137*AM20/100+(1-Inputs!$F$137)*AM26/100*Inputs!$F$138/AM11)</f>
        <v/>
      </c>
      <c r="AN46" s="13">
        <f>Inputs!$F$136*(Inputs!$F$137*AN20/100+(1-Inputs!$F$137)*AN26/100*Inputs!$F$138/AN11)</f>
        <v/>
      </c>
      <c r="AO46" s="13">
        <f>Inputs!$F$136*(Inputs!$F$137*AO20/100+(1-Inputs!$F$137)*AO26/100*Inputs!$F$138/AO11)</f>
        <v/>
      </c>
      <c r="AP46" s="13">
        <f>Inputs!$F$136*(Inputs!$F$137*AP20/100+(1-Inputs!$F$137)*AP26/100*Inputs!$F$138/AP11)</f>
        <v/>
      </c>
      <c r="AQ46" s="13">
        <f>Inputs!$F$136*(Inputs!$F$137*AQ20/100+(1-Inputs!$F$137)*AQ26/100*Inputs!$F$138/AQ11)</f>
        <v/>
      </c>
      <c r="AR46" s="13">
        <f>Inputs!$F$136*(Inputs!$F$137*AR20/100+(1-Inputs!$F$137)*AR26/100*Inputs!$F$138/AR11)</f>
        <v/>
      </c>
      <c r="AS46" s="13">
        <f>Inputs!$F$136*(Inputs!$F$137*AS20/100+(1-Inputs!$F$137)*AS26/100*Inputs!$F$138/AS11)</f>
        <v/>
      </c>
      <c r="AT46" s="13">
        <f>Inputs!$F$136*(Inputs!$F$137*AT20/100+(1-Inputs!$F$137)*AT26/100*Inputs!$F$138/AT11)</f>
        <v/>
      </c>
      <c r="AU46" s="13">
        <f>Inputs!$F$136*(Inputs!$F$137*AU20/100+(1-Inputs!$F$137)*AU26/100*Inputs!$F$138/AU11)</f>
        <v/>
      </c>
      <c r="AV46" s="13">
        <f>Inputs!$F$136*(Inputs!$F$137*AV20/100+(1-Inputs!$F$137)*AV26/100*Inputs!$F$138/AV11)</f>
        <v/>
      </c>
      <c r="AW46" s="13">
        <f>Inputs!$F$136*(Inputs!$F$137*AW20/100+(1-Inputs!$F$137)*AW26/100*Inputs!$F$138/AW11)</f>
        <v/>
      </c>
      <c r="AX46" s="13">
        <f>Inputs!$F$136*(Inputs!$F$137*AX20/100+(1-Inputs!$F$137)*AX26/100*Inputs!$F$138/AX11)</f>
        <v/>
      </c>
      <c r="AY46" s="13">
        <f>Inputs!$F$136*(Inputs!$F$137*AY20/100+(1-Inputs!$F$137)*AY26/100*Inputs!$F$138/AY11)</f>
        <v/>
      </c>
      <c r="AZ46" s="13">
        <f>Inputs!$F$136*(Inputs!$F$137*AZ20/100+(1-Inputs!$F$137)*AZ26/100*Inputs!$F$138/AZ11)</f>
        <v/>
      </c>
      <c r="BA46" s="13">
        <f>Inputs!$F$136*(Inputs!$F$137*BA20/100+(1-Inputs!$F$137)*BA26/100*Inputs!$F$138/BA11)</f>
        <v/>
      </c>
      <c r="BB46" s="13">
        <f>Inputs!$F$136*(Inputs!$F$137*BB20/100+(1-Inputs!$F$137)*BB26/100*Inputs!$F$138/BB11)</f>
        <v/>
      </c>
      <c r="BC46" s="13">
        <f>Inputs!$F$136*(Inputs!$F$137*BC20/100+(1-Inputs!$F$137)*BC26/100*Inputs!$F$138/BC11)</f>
        <v/>
      </c>
      <c r="BD46" s="13">
        <f>Inputs!$F$136*(Inputs!$F$137*BD20/100+(1-Inputs!$F$137)*BD26/100*Inputs!$F$138/BD11)</f>
        <v/>
      </c>
      <c r="BE46" s="13">
        <f>Inputs!$F$136*(Inputs!$F$137*BE20/100+(1-Inputs!$F$137)*BE26/100*Inputs!$F$138/BE11)</f>
        <v/>
      </c>
      <c r="BF46" s="13">
        <f>Inputs!$F$136*(Inputs!$F$137*BF20/100+(1-Inputs!$F$137)*BF26/100*Inputs!$F$138/BF11)</f>
        <v/>
      </c>
      <c r="BG46" s="13">
        <f>Inputs!$F$136*(Inputs!$F$137*BG20/100+(1-Inputs!$F$137)*BG26/100*Inputs!$F$138/BG11)</f>
        <v/>
      </c>
      <c r="BH46" s="13">
        <f>Inputs!$F$136*(Inputs!$F$137*BH20/100+(1-Inputs!$F$137)*BH26/100*Inputs!$F$138/BH11)</f>
        <v/>
      </c>
      <c r="BI46" s="13">
        <f>Inputs!$F$136*(Inputs!$F$137*BI20/100+(1-Inputs!$F$137)*BI26/100*Inputs!$F$138/BI11)</f>
        <v/>
      </c>
      <c r="BJ46" s="13">
        <f>Inputs!$F$136*(Inputs!$F$137*BJ20/100+(1-Inputs!$F$137)*BJ26/100*Inputs!$F$138/BJ11)</f>
        <v/>
      </c>
      <c r="BK46" s="13">
        <f>Inputs!$F$136*(Inputs!$F$137*BK20/100+(1-Inputs!$F$137)*BK26/100*Inputs!$F$138/BK11)</f>
        <v/>
      </c>
      <c r="BL46" s="13">
        <f>Inputs!$F$136*(Inputs!$F$137*BL20/100+(1-Inputs!$F$137)*BL26/100*Inputs!$F$138/BL11)</f>
        <v/>
      </c>
      <c r="BM46" s="13">
        <f>Inputs!$F$136*(Inputs!$F$137*BM20/100+(1-Inputs!$F$137)*BM26/100*Inputs!$F$138/BM11)</f>
        <v/>
      </c>
      <c r="BN46" s="13">
        <f>Inputs!$F$136*(Inputs!$F$137*BN20/100+(1-Inputs!$F$137)*BN26/100*Inputs!$F$138/BN11)</f>
        <v/>
      </c>
    </row>
    <row r="47">
      <c r="D47" t="inlineStr">
        <is>
          <t>Availability factor min(1, A/90%)</t>
        </is>
      </c>
      <c r="E47" t="inlineStr">
        <is>
          <t>factor</t>
        </is>
      </c>
      <c r="J47" s="13">
        <f>MIN(1,J32/Inputs!$F$133)</f>
        <v/>
      </c>
      <c r="K47" s="13">
        <f>MIN(1,K32/Inputs!$F$133)</f>
        <v/>
      </c>
      <c r="L47" s="13">
        <f>MIN(1,L32/Inputs!$F$133)</f>
        <v/>
      </c>
      <c r="M47" s="13">
        <f>MIN(1,M32/Inputs!$F$133)</f>
        <v/>
      </c>
      <c r="N47" s="13">
        <f>MIN(1,N32/Inputs!$F$133)</f>
        <v/>
      </c>
      <c r="O47" s="13">
        <f>MIN(1,O32/Inputs!$F$133)</f>
        <v/>
      </c>
      <c r="P47" s="13">
        <f>MIN(1,P32/Inputs!$F$133)</f>
        <v/>
      </c>
      <c r="Q47" s="13">
        <f>MIN(1,Q32/Inputs!$F$133)</f>
        <v/>
      </c>
      <c r="R47" s="13">
        <f>MIN(1,R32/Inputs!$F$133)</f>
        <v/>
      </c>
      <c r="S47" s="13">
        <f>MIN(1,S32/Inputs!$F$133)</f>
        <v/>
      </c>
      <c r="T47" s="13">
        <f>MIN(1,T32/Inputs!$F$133)</f>
        <v/>
      </c>
      <c r="U47" s="13">
        <f>MIN(1,U32/Inputs!$F$133)</f>
        <v/>
      </c>
      <c r="V47" s="13">
        <f>MIN(1,V32/Inputs!$F$133)</f>
        <v/>
      </c>
      <c r="W47" s="13">
        <f>MIN(1,W32/Inputs!$F$133)</f>
        <v/>
      </c>
      <c r="X47" s="13">
        <f>MIN(1,X32/Inputs!$F$133)</f>
        <v/>
      </c>
      <c r="Y47" s="13">
        <f>MIN(1,Y32/Inputs!$F$133)</f>
        <v/>
      </c>
      <c r="Z47" s="13">
        <f>MIN(1,Z32/Inputs!$F$133)</f>
        <v/>
      </c>
      <c r="AA47" s="13">
        <f>MIN(1,AA32/Inputs!$F$133)</f>
        <v/>
      </c>
      <c r="AB47" s="13">
        <f>MIN(1,AB32/Inputs!$F$133)</f>
        <v/>
      </c>
      <c r="AC47" s="13">
        <f>MIN(1,AC32/Inputs!$F$133)</f>
        <v/>
      </c>
      <c r="AD47" s="13">
        <f>MIN(1,AD32/Inputs!$F$133)</f>
        <v/>
      </c>
      <c r="AE47" s="13">
        <f>MIN(1,AE32/Inputs!$F$133)</f>
        <v/>
      </c>
      <c r="AF47" s="13">
        <f>MIN(1,AF32/Inputs!$F$133)</f>
        <v/>
      </c>
      <c r="AG47" s="13">
        <f>MIN(1,AG32/Inputs!$F$133)</f>
        <v/>
      </c>
      <c r="AH47" s="13">
        <f>MIN(1,AH32/Inputs!$F$133)</f>
        <v/>
      </c>
      <c r="AI47" s="13">
        <f>MIN(1,AI32/Inputs!$F$133)</f>
        <v/>
      </c>
      <c r="AJ47" s="13">
        <f>MIN(1,AJ32/Inputs!$F$133)</f>
        <v/>
      </c>
      <c r="AK47" s="13">
        <f>MIN(1,AK32/Inputs!$F$133)</f>
        <v/>
      </c>
      <c r="AL47" s="13">
        <f>MIN(1,AL32/Inputs!$F$133)</f>
        <v/>
      </c>
      <c r="AM47" s="13">
        <f>MIN(1,AM32/Inputs!$F$133)</f>
        <v/>
      </c>
      <c r="AN47" s="13">
        <f>MIN(1,AN32/Inputs!$F$133)</f>
        <v/>
      </c>
      <c r="AO47" s="13">
        <f>MIN(1,AO32/Inputs!$F$133)</f>
        <v/>
      </c>
      <c r="AP47" s="13">
        <f>MIN(1,AP32/Inputs!$F$133)</f>
        <v/>
      </c>
      <c r="AQ47" s="13">
        <f>MIN(1,AQ32/Inputs!$F$133)</f>
        <v/>
      </c>
      <c r="AR47" s="13">
        <f>MIN(1,AR32/Inputs!$F$133)</f>
        <v/>
      </c>
      <c r="AS47" s="13">
        <f>MIN(1,AS32/Inputs!$F$133)</f>
        <v/>
      </c>
      <c r="AT47" s="13">
        <f>MIN(1,AT32/Inputs!$F$133)</f>
        <v/>
      </c>
      <c r="AU47" s="13">
        <f>MIN(1,AU32/Inputs!$F$133)</f>
        <v/>
      </c>
      <c r="AV47" s="13">
        <f>MIN(1,AV32/Inputs!$F$133)</f>
        <v/>
      </c>
      <c r="AW47" s="13">
        <f>MIN(1,AW32/Inputs!$F$133)</f>
        <v/>
      </c>
      <c r="AX47" s="13">
        <f>MIN(1,AX32/Inputs!$F$133)</f>
        <v/>
      </c>
      <c r="AY47" s="13">
        <f>MIN(1,AY32/Inputs!$F$133)</f>
        <v/>
      </c>
      <c r="AZ47" s="13">
        <f>MIN(1,AZ32/Inputs!$F$133)</f>
        <v/>
      </c>
      <c r="BA47" s="13">
        <f>MIN(1,BA32/Inputs!$F$133)</f>
        <v/>
      </c>
      <c r="BB47" s="13">
        <f>MIN(1,BB32/Inputs!$F$133)</f>
        <v/>
      </c>
      <c r="BC47" s="13">
        <f>MIN(1,BC32/Inputs!$F$133)</f>
        <v/>
      </c>
      <c r="BD47" s="13">
        <f>MIN(1,BD32/Inputs!$F$133)</f>
        <v/>
      </c>
      <c r="BE47" s="13">
        <f>MIN(1,BE32/Inputs!$F$133)</f>
        <v/>
      </c>
      <c r="BF47" s="13">
        <f>MIN(1,BF32/Inputs!$F$133)</f>
        <v/>
      </c>
      <c r="BG47" s="13">
        <f>MIN(1,BG32/Inputs!$F$133)</f>
        <v/>
      </c>
      <c r="BH47" s="13">
        <f>MIN(1,BH32/Inputs!$F$133)</f>
        <v/>
      </c>
      <c r="BI47" s="13">
        <f>MIN(1,BI32/Inputs!$F$133)</f>
        <v/>
      </c>
      <c r="BJ47" s="13">
        <f>MIN(1,BJ32/Inputs!$F$133)</f>
        <v/>
      </c>
      <c r="BK47" s="13">
        <f>MIN(1,BK32/Inputs!$F$133)</f>
        <v/>
      </c>
      <c r="BL47" s="13">
        <f>MIN(1,BL32/Inputs!$F$133)</f>
        <v/>
      </c>
      <c r="BM47" s="13">
        <f>MIN(1,BM32/Inputs!$F$133)</f>
        <v/>
      </c>
      <c r="BN47" s="13">
        <f>MIN(1,BN32/Inputs!$F$133)</f>
        <v/>
      </c>
    </row>
    <row r="48">
      <c r="D48" t="inlineStr">
        <is>
          <t>Capacity payment</t>
        </is>
      </c>
      <c r="E48" t="inlineStr">
        <is>
          <t>USD m</t>
        </is>
      </c>
      <c r="G48" s="13">
        <f>SUM(J48:BN48)</f>
        <v/>
      </c>
      <c r="J48" s="13">
        <f>$F$34*1000*Time!J30*(J45+J46)*J47/1000000</f>
        <v/>
      </c>
      <c r="K48" s="13">
        <f>$F$34*1000*Time!K30*(K45+K46)*K47/1000000</f>
        <v/>
      </c>
      <c r="L48" s="13">
        <f>$F$34*1000*Time!L30*(L45+L46)*L47/1000000</f>
        <v/>
      </c>
      <c r="M48" s="13">
        <f>$F$34*1000*Time!M30*(M45+M46)*M47/1000000</f>
        <v/>
      </c>
      <c r="N48" s="13">
        <f>$F$34*1000*Time!N30*(N45+N46)*N47/1000000</f>
        <v/>
      </c>
      <c r="O48" s="13">
        <f>$F$34*1000*Time!O30*(O45+O46)*O47/1000000</f>
        <v/>
      </c>
      <c r="P48" s="13">
        <f>$F$34*1000*Time!P30*(P45+P46)*P47/1000000</f>
        <v/>
      </c>
      <c r="Q48" s="13">
        <f>$F$34*1000*Time!Q30*(Q45+Q46)*Q47/1000000</f>
        <v/>
      </c>
      <c r="R48" s="13">
        <f>$F$34*1000*Time!R30*(R45+R46)*R47/1000000</f>
        <v/>
      </c>
      <c r="S48" s="13">
        <f>$F$34*1000*Time!S30*(S45+S46)*S47/1000000</f>
        <v/>
      </c>
      <c r="T48" s="13">
        <f>$F$34*1000*Time!T30*(T45+T46)*T47/1000000</f>
        <v/>
      </c>
      <c r="U48" s="13">
        <f>$F$34*1000*Time!U30*(U45+U46)*U47/1000000</f>
        <v/>
      </c>
      <c r="V48" s="13">
        <f>$F$34*1000*Time!V30*(V45+V46)*V47/1000000</f>
        <v/>
      </c>
      <c r="W48" s="13">
        <f>$F$34*1000*Time!W30*(W45+W46)*W47/1000000</f>
        <v/>
      </c>
      <c r="X48" s="13">
        <f>$F$34*1000*Time!X30*(X45+X46)*X47/1000000</f>
        <v/>
      </c>
      <c r="Y48" s="13">
        <f>$F$34*1000*Time!Y30*(Y45+Y46)*Y47/1000000</f>
        <v/>
      </c>
      <c r="Z48" s="13">
        <f>$F$34*1000*Time!Z30*(Z45+Z46)*Z47/1000000</f>
        <v/>
      </c>
      <c r="AA48" s="13">
        <f>$F$34*1000*Time!AA30*(AA45+AA46)*AA47/1000000</f>
        <v/>
      </c>
      <c r="AB48" s="13">
        <f>$F$34*1000*Time!AB30*(AB45+AB46)*AB47/1000000</f>
        <v/>
      </c>
      <c r="AC48" s="13">
        <f>$F$34*1000*Time!AC30*(AC45+AC46)*AC47/1000000</f>
        <v/>
      </c>
      <c r="AD48" s="13">
        <f>$F$34*1000*Time!AD30*(AD45+AD46)*AD47/1000000</f>
        <v/>
      </c>
      <c r="AE48" s="13">
        <f>$F$34*1000*Time!AE30*(AE45+AE46)*AE47/1000000</f>
        <v/>
      </c>
      <c r="AF48" s="13">
        <f>$F$34*1000*Time!AF30*(AF45+AF46)*AF47/1000000</f>
        <v/>
      </c>
      <c r="AG48" s="13">
        <f>$F$34*1000*Time!AG30*(AG45+AG46)*AG47/1000000</f>
        <v/>
      </c>
      <c r="AH48" s="13">
        <f>$F$34*1000*Time!AH30*(AH45+AH46)*AH47/1000000</f>
        <v/>
      </c>
      <c r="AI48" s="13">
        <f>$F$34*1000*Time!AI30*(AI45+AI46)*AI47/1000000</f>
        <v/>
      </c>
      <c r="AJ48" s="13">
        <f>$F$34*1000*Time!AJ30*(AJ45+AJ46)*AJ47/1000000</f>
        <v/>
      </c>
      <c r="AK48" s="13">
        <f>$F$34*1000*Time!AK30*(AK45+AK46)*AK47/1000000</f>
        <v/>
      </c>
      <c r="AL48" s="13">
        <f>$F$34*1000*Time!AL30*(AL45+AL46)*AL47/1000000</f>
        <v/>
      </c>
      <c r="AM48" s="13">
        <f>$F$34*1000*Time!AM30*(AM45+AM46)*AM47/1000000</f>
        <v/>
      </c>
      <c r="AN48" s="13">
        <f>$F$34*1000*Time!AN30*(AN45+AN46)*AN47/1000000</f>
        <v/>
      </c>
      <c r="AO48" s="13">
        <f>$F$34*1000*Time!AO30*(AO45+AO46)*AO47/1000000</f>
        <v/>
      </c>
      <c r="AP48" s="13">
        <f>$F$34*1000*Time!AP30*(AP45+AP46)*AP47/1000000</f>
        <v/>
      </c>
      <c r="AQ48" s="13">
        <f>$F$34*1000*Time!AQ30*(AQ45+AQ46)*AQ47/1000000</f>
        <v/>
      </c>
      <c r="AR48" s="13">
        <f>$F$34*1000*Time!AR30*(AR45+AR46)*AR47/1000000</f>
        <v/>
      </c>
      <c r="AS48" s="13">
        <f>$F$34*1000*Time!AS30*(AS45+AS46)*AS47/1000000</f>
        <v/>
      </c>
      <c r="AT48" s="13">
        <f>$F$34*1000*Time!AT30*(AT45+AT46)*AT47/1000000</f>
        <v/>
      </c>
      <c r="AU48" s="13">
        <f>$F$34*1000*Time!AU30*(AU45+AU46)*AU47/1000000</f>
        <v/>
      </c>
      <c r="AV48" s="13">
        <f>$F$34*1000*Time!AV30*(AV45+AV46)*AV47/1000000</f>
        <v/>
      </c>
      <c r="AW48" s="13">
        <f>$F$34*1000*Time!AW30*(AW45+AW46)*AW47/1000000</f>
        <v/>
      </c>
      <c r="AX48" s="13">
        <f>$F$34*1000*Time!AX30*(AX45+AX46)*AX47/1000000</f>
        <v/>
      </c>
      <c r="AY48" s="13">
        <f>$F$34*1000*Time!AY30*(AY45+AY46)*AY47/1000000</f>
        <v/>
      </c>
      <c r="AZ48" s="13">
        <f>$F$34*1000*Time!AZ30*(AZ45+AZ46)*AZ47/1000000</f>
        <v/>
      </c>
      <c r="BA48" s="13">
        <f>$F$34*1000*Time!BA30*(BA45+BA46)*BA47/1000000</f>
        <v/>
      </c>
      <c r="BB48" s="13">
        <f>$F$34*1000*Time!BB30*(BB45+BB46)*BB47/1000000</f>
        <v/>
      </c>
      <c r="BC48" s="13">
        <f>$F$34*1000*Time!BC30*(BC45+BC46)*BC47/1000000</f>
        <v/>
      </c>
      <c r="BD48" s="13">
        <f>$F$34*1000*Time!BD30*(BD45+BD46)*BD47/1000000</f>
        <v/>
      </c>
      <c r="BE48" s="13">
        <f>$F$34*1000*Time!BE30*(BE45+BE46)*BE47/1000000</f>
        <v/>
      </c>
      <c r="BF48" s="13">
        <f>$F$34*1000*Time!BF30*(BF45+BF46)*BF47/1000000</f>
        <v/>
      </c>
      <c r="BG48" s="13">
        <f>$F$34*1000*Time!BG30*(BG45+BG46)*BG47/1000000</f>
        <v/>
      </c>
      <c r="BH48" s="13">
        <f>$F$34*1000*Time!BH30*(BH45+BH46)*BH47/1000000</f>
        <v/>
      </c>
      <c r="BI48" s="13">
        <f>$F$34*1000*Time!BI30*(BI45+BI46)*BI47/1000000</f>
        <v/>
      </c>
      <c r="BJ48" s="13">
        <f>$F$34*1000*Time!BJ30*(BJ45+BJ46)*BJ47/1000000</f>
        <v/>
      </c>
      <c r="BK48" s="13">
        <f>$F$34*1000*Time!BK30*(BK45+BK46)*BK47/1000000</f>
        <v/>
      </c>
      <c r="BL48" s="13">
        <f>$F$34*1000*Time!BL30*(BL45+BL46)*BL47/1000000</f>
        <v/>
      </c>
      <c r="BM48" s="13">
        <f>$F$34*1000*Time!BM30*(BM45+BM46)*BM47/1000000</f>
        <v/>
      </c>
      <c r="BN48" s="13">
        <f>$F$34*1000*Time!BN30*(BN45+BN46)*BN47/1000000</f>
        <v/>
      </c>
    </row>
    <row r="49">
      <c r="D49" t="inlineStr">
        <is>
          <t>VOM charge, indexed</t>
        </is>
      </c>
      <c r="E49" t="inlineStr">
        <is>
          <t>USD/MWh</t>
        </is>
      </c>
      <c r="J49" s="13">
        <f>Inputs!$F$139*(Inputs!$F$140*J20/100+(1-Inputs!$F$140)*J26/100*Inputs!$F$138/J11)</f>
        <v/>
      </c>
      <c r="K49" s="13">
        <f>Inputs!$F$139*(Inputs!$F$140*K20/100+(1-Inputs!$F$140)*K26/100*Inputs!$F$138/K11)</f>
        <v/>
      </c>
      <c r="L49" s="13">
        <f>Inputs!$F$139*(Inputs!$F$140*L20/100+(1-Inputs!$F$140)*L26/100*Inputs!$F$138/L11)</f>
        <v/>
      </c>
      <c r="M49" s="13">
        <f>Inputs!$F$139*(Inputs!$F$140*M20/100+(1-Inputs!$F$140)*M26/100*Inputs!$F$138/M11)</f>
        <v/>
      </c>
      <c r="N49" s="13">
        <f>Inputs!$F$139*(Inputs!$F$140*N20/100+(1-Inputs!$F$140)*N26/100*Inputs!$F$138/N11)</f>
        <v/>
      </c>
      <c r="O49" s="13">
        <f>Inputs!$F$139*(Inputs!$F$140*O20/100+(1-Inputs!$F$140)*O26/100*Inputs!$F$138/O11)</f>
        <v/>
      </c>
      <c r="P49" s="13">
        <f>Inputs!$F$139*(Inputs!$F$140*P20/100+(1-Inputs!$F$140)*P26/100*Inputs!$F$138/P11)</f>
        <v/>
      </c>
      <c r="Q49" s="13">
        <f>Inputs!$F$139*(Inputs!$F$140*Q20/100+(1-Inputs!$F$140)*Q26/100*Inputs!$F$138/Q11)</f>
        <v/>
      </c>
      <c r="R49" s="13">
        <f>Inputs!$F$139*(Inputs!$F$140*R20/100+(1-Inputs!$F$140)*R26/100*Inputs!$F$138/R11)</f>
        <v/>
      </c>
      <c r="S49" s="13">
        <f>Inputs!$F$139*(Inputs!$F$140*S20/100+(1-Inputs!$F$140)*S26/100*Inputs!$F$138/S11)</f>
        <v/>
      </c>
      <c r="T49" s="13">
        <f>Inputs!$F$139*(Inputs!$F$140*T20/100+(1-Inputs!$F$140)*T26/100*Inputs!$F$138/T11)</f>
        <v/>
      </c>
      <c r="U49" s="13">
        <f>Inputs!$F$139*(Inputs!$F$140*U20/100+(1-Inputs!$F$140)*U26/100*Inputs!$F$138/U11)</f>
        <v/>
      </c>
      <c r="V49" s="13">
        <f>Inputs!$F$139*(Inputs!$F$140*V20/100+(1-Inputs!$F$140)*V26/100*Inputs!$F$138/V11)</f>
        <v/>
      </c>
      <c r="W49" s="13">
        <f>Inputs!$F$139*(Inputs!$F$140*W20/100+(1-Inputs!$F$140)*W26/100*Inputs!$F$138/W11)</f>
        <v/>
      </c>
      <c r="X49" s="13">
        <f>Inputs!$F$139*(Inputs!$F$140*X20/100+(1-Inputs!$F$140)*X26/100*Inputs!$F$138/X11)</f>
        <v/>
      </c>
      <c r="Y49" s="13">
        <f>Inputs!$F$139*(Inputs!$F$140*Y20/100+(1-Inputs!$F$140)*Y26/100*Inputs!$F$138/Y11)</f>
        <v/>
      </c>
      <c r="Z49" s="13">
        <f>Inputs!$F$139*(Inputs!$F$140*Z20/100+(1-Inputs!$F$140)*Z26/100*Inputs!$F$138/Z11)</f>
        <v/>
      </c>
      <c r="AA49" s="13">
        <f>Inputs!$F$139*(Inputs!$F$140*AA20/100+(1-Inputs!$F$140)*AA26/100*Inputs!$F$138/AA11)</f>
        <v/>
      </c>
      <c r="AB49" s="13">
        <f>Inputs!$F$139*(Inputs!$F$140*AB20/100+(1-Inputs!$F$140)*AB26/100*Inputs!$F$138/AB11)</f>
        <v/>
      </c>
      <c r="AC49" s="13">
        <f>Inputs!$F$139*(Inputs!$F$140*AC20/100+(1-Inputs!$F$140)*AC26/100*Inputs!$F$138/AC11)</f>
        <v/>
      </c>
      <c r="AD49" s="13">
        <f>Inputs!$F$139*(Inputs!$F$140*AD20/100+(1-Inputs!$F$140)*AD26/100*Inputs!$F$138/AD11)</f>
        <v/>
      </c>
      <c r="AE49" s="13">
        <f>Inputs!$F$139*(Inputs!$F$140*AE20/100+(1-Inputs!$F$140)*AE26/100*Inputs!$F$138/AE11)</f>
        <v/>
      </c>
      <c r="AF49" s="13">
        <f>Inputs!$F$139*(Inputs!$F$140*AF20/100+(1-Inputs!$F$140)*AF26/100*Inputs!$F$138/AF11)</f>
        <v/>
      </c>
      <c r="AG49" s="13">
        <f>Inputs!$F$139*(Inputs!$F$140*AG20/100+(1-Inputs!$F$140)*AG26/100*Inputs!$F$138/AG11)</f>
        <v/>
      </c>
      <c r="AH49" s="13">
        <f>Inputs!$F$139*(Inputs!$F$140*AH20/100+(1-Inputs!$F$140)*AH26/100*Inputs!$F$138/AH11)</f>
        <v/>
      </c>
      <c r="AI49" s="13">
        <f>Inputs!$F$139*(Inputs!$F$140*AI20/100+(1-Inputs!$F$140)*AI26/100*Inputs!$F$138/AI11)</f>
        <v/>
      </c>
      <c r="AJ49" s="13">
        <f>Inputs!$F$139*(Inputs!$F$140*AJ20/100+(1-Inputs!$F$140)*AJ26/100*Inputs!$F$138/AJ11)</f>
        <v/>
      </c>
      <c r="AK49" s="13">
        <f>Inputs!$F$139*(Inputs!$F$140*AK20/100+(1-Inputs!$F$140)*AK26/100*Inputs!$F$138/AK11)</f>
        <v/>
      </c>
      <c r="AL49" s="13">
        <f>Inputs!$F$139*(Inputs!$F$140*AL20/100+(1-Inputs!$F$140)*AL26/100*Inputs!$F$138/AL11)</f>
        <v/>
      </c>
      <c r="AM49" s="13">
        <f>Inputs!$F$139*(Inputs!$F$140*AM20/100+(1-Inputs!$F$140)*AM26/100*Inputs!$F$138/AM11)</f>
        <v/>
      </c>
      <c r="AN49" s="13">
        <f>Inputs!$F$139*(Inputs!$F$140*AN20/100+(1-Inputs!$F$140)*AN26/100*Inputs!$F$138/AN11)</f>
        <v/>
      </c>
      <c r="AO49" s="13">
        <f>Inputs!$F$139*(Inputs!$F$140*AO20/100+(1-Inputs!$F$140)*AO26/100*Inputs!$F$138/AO11)</f>
        <v/>
      </c>
      <c r="AP49" s="13">
        <f>Inputs!$F$139*(Inputs!$F$140*AP20/100+(1-Inputs!$F$140)*AP26/100*Inputs!$F$138/AP11)</f>
        <v/>
      </c>
      <c r="AQ49" s="13">
        <f>Inputs!$F$139*(Inputs!$F$140*AQ20/100+(1-Inputs!$F$140)*AQ26/100*Inputs!$F$138/AQ11)</f>
        <v/>
      </c>
      <c r="AR49" s="13">
        <f>Inputs!$F$139*(Inputs!$F$140*AR20/100+(1-Inputs!$F$140)*AR26/100*Inputs!$F$138/AR11)</f>
        <v/>
      </c>
      <c r="AS49" s="13">
        <f>Inputs!$F$139*(Inputs!$F$140*AS20/100+(1-Inputs!$F$140)*AS26/100*Inputs!$F$138/AS11)</f>
        <v/>
      </c>
      <c r="AT49" s="13">
        <f>Inputs!$F$139*(Inputs!$F$140*AT20/100+(1-Inputs!$F$140)*AT26/100*Inputs!$F$138/AT11)</f>
        <v/>
      </c>
      <c r="AU49" s="13">
        <f>Inputs!$F$139*(Inputs!$F$140*AU20/100+(1-Inputs!$F$140)*AU26/100*Inputs!$F$138/AU11)</f>
        <v/>
      </c>
      <c r="AV49" s="13">
        <f>Inputs!$F$139*(Inputs!$F$140*AV20/100+(1-Inputs!$F$140)*AV26/100*Inputs!$F$138/AV11)</f>
        <v/>
      </c>
      <c r="AW49" s="13">
        <f>Inputs!$F$139*(Inputs!$F$140*AW20/100+(1-Inputs!$F$140)*AW26/100*Inputs!$F$138/AW11)</f>
        <v/>
      </c>
      <c r="AX49" s="13">
        <f>Inputs!$F$139*(Inputs!$F$140*AX20/100+(1-Inputs!$F$140)*AX26/100*Inputs!$F$138/AX11)</f>
        <v/>
      </c>
      <c r="AY49" s="13">
        <f>Inputs!$F$139*(Inputs!$F$140*AY20/100+(1-Inputs!$F$140)*AY26/100*Inputs!$F$138/AY11)</f>
        <v/>
      </c>
      <c r="AZ49" s="13">
        <f>Inputs!$F$139*(Inputs!$F$140*AZ20/100+(1-Inputs!$F$140)*AZ26/100*Inputs!$F$138/AZ11)</f>
        <v/>
      </c>
      <c r="BA49" s="13">
        <f>Inputs!$F$139*(Inputs!$F$140*BA20/100+(1-Inputs!$F$140)*BA26/100*Inputs!$F$138/BA11)</f>
        <v/>
      </c>
      <c r="BB49" s="13">
        <f>Inputs!$F$139*(Inputs!$F$140*BB20/100+(1-Inputs!$F$140)*BB26/100*Inputs!$F$138/BB11)</f>
        <v/>
      </c>
      <c r="BC49" s="13">
        <f>Inputs!$F$139*(Inputs!$F$140*BC20/100+(1-Inputs!$F$140)*BC26/100*Inputs!$F$138/BC11)</f>
        <v/>
      </c>
      <c r="BD49" s="13">
        <f>Inputs!$F$139*(Inputs!$F$140*BD20/100+(1-Inputs!$F$140)*BD26/100*Inputs!$F$138/BD11)</f>
        <v/>
      </c>
      <c r="BE49" s="13">
        <f>Inputs!$F$139*(Inputs!$F$140*BE20/100+(1-Inputs!$F$140)*BE26/100*Inputs!$F$138/BE11)</f>
        <v/>
      </c>
      <c r="BF49" s="13">
        <f>Inputs!$F$139*(Inputs!$F$140*BF20/100+(1-Inputs!$F$140)*BF26/100*Inputs!$F$138/BF11)</f>
        <v/>
      </c>
      <c r="BG49" s="13">
        <f>Inputs!$F$139*(Inputs!$F$140*BG20/100+(1-Inputs!$F$140)*BG26/100*Inputs!$F$138/BG11)</f>
        <v/>
      </c>
      <c r="BH49" s="13">
        <f>Inputs!$F$139*(Inputs!$F$140*BH20/100+(1-Inputs!$F$140)*BH26/100*Inputs!$F$138/BH11)</f>
        <v/>
      </c>
      <c r="BI49" s="13">
        <f>Inputs!$F$139*(Inputs!$F$140*BI20/100+(1-Inputs!$F$140)*BI26/100*Inputs!$F$138/BI11)</f>
        <v/>
      </c>
      <c r="BJ49" s="13">
        <f>Inputs!$F$139*(Inputs!$F$140*BJ20/100+(1-Inputs!$F$140)*BJ26/100*Inputs!$F$138/BJ11)</f>
        <v/>
      </c>
      <c r="BK49" s="13">
        <f>Inputs!$F$139*(Inputs!$F$140*BK20/100+(1-Inputs!$F$140)*BK26/100*Inputs!$F$138/BK11)</f>
        <v/>
      </c>
      <c r="BL49" s="13">
        <f>Inputs!$F$139*(Inputs!$F$140*BL20/100+(1-Inputs!$F$140)*BL26/100*Inputs!$F$138/BL11)</f>
        <v/>
      </c>
      <c r="BM49" s="13">
        <f>Inputs!$F$139*(Inputs!$F$140*BM20/100+(1-Inputs!$F$140)*BM26/100*Inputs!$F$138/BM11)</f>
        <v/>
      </c>
      <c r="BN49" s="13">
        <f>Inputs!$F$139*(Inputs!$F$140*BN20/100+(1-Inputs!$F$140)*BN26/100*Inputs!$F$138/BN11)</f>
        <v/>
      </c>
    </row>
    <row r="50">
      <c r="D50" t="inlineStr">
        <is>
          <t>Variable O&amp;M payment</t>
        </is>
      </c>
      <c r="E50" t="inlineStr">
        <is>
          <t>USD m</t>
        </is>
      </c>
      <c r="G50" s="13">
        <f>SUM(J50:BN50)</f>
        <v/>
      </c>
      <c r="J50" s="13">
        <f>J38*J49/1000000</f>
        <v/>
      </c>
      <c r="K50" s="13">
        <f>K38*K49/1000000</f>
        <v/>
      </c>
      <c r="L50" s="13">
        <f>L38*L49/1000000</f>
        <v/>
      </c>
      <c r="M50" s="13">
        <f>M38*M49/1000000</f>
        <v/>
      </c>
      <c r="N50" s="13">
        <f>N38*N49/1000000</f>
        <v/>
      </c>
      <c r="O50" s="13">
        <f>O38*O49/1000000</f>
        <v/>
      </c>
      <c r="P50" s="13">
        <f>P38*P49/1000000</f>
        <v/>
      </c>
      <c r="Q50" s="13">
        <f>Q38*Q49/1000000</f>
        <v/>
      </c>
      <c r="R50" s="13">
        <f>R38*R49/1000000</f>
        <v/>
      </c>
      <c r="S50" s="13">
        <f>S38*S49/1000000</f>
        <v/>
      </c>
      <c r="T50" s="13">
        <f>T38*T49/1000000</f>
        <v/>
      </c>
      <c r="U50" s="13">
        <f>U38*U49/1000000</f>
        <v/>
      </c>
      <c r="V50" s="13">
        <f>V38*V49/1000000</f>
        <v/>
      </c>
      <c r="W50" s="13">
        <f>W38*W49/1000000</f>
        <v/>
      </c>
      <c r="X50" s="13">
        <f>X38*X49/1000000</f>
        <v/>
      </c>
      <c r="Y50" s="13">
        <f>Y38*Y49/1000000</f>
        <v/>
      </c>
      <c r="Z50" s="13">
        <f>Z38*Z49/1000000</f>
        <v/>
      </c>
      <c r="AA50" s="13">
        <f>AA38*AA49/1000000</f>
        <v/>
      </c>
      <c r="AB50" s="13">
        <f>AB38*AB49/1000000</f>
        <v/>
      </c>
      <c r="AC50" s="13">
        <f>AC38*AC49/1000000</f>
        <v/>
      </c>
      <c r="AD50" s="13">
        <f>AD38*AD49/1000000</f>
        <v/>
      </c>
      <c r="AE50" s="13">
        <f>AE38*AE49/1000000</f>
        <v/>
      </c>
      <c r="AF50" s="13">
        <f>AF38*AF49/1000000</f>
        <v/>
      </c>
      <c r="AG50" s="13">
        <f>AG38*AG49/1000000</f>
        <v/>
      </c>
      <c r="AH50" s="13">
        <f>AH38*AH49/1000000</f>
        <v/>
      </c>
      <c r="AI50" s="13">
        <f>AI38*AI49/1000000</f>
        <v/>
      </c>
      <c r="AJ50" s="13">
        <f>AJ38*AJ49/1000000</f>
        <v/>
      </c>
      <c r="AK50" s="13">
        <f>AK38*AK49/1000000</f>
        <v/>
      </c>
      <c r="AL50" s="13">
        <f>AL38*AL49/1000000</f>
        <v/>
      </c>
      <c r="AM50" s="13">
        <f>AM38*AM49/1000000</f>
        <v/>
      </c>
      <c r="AN50" s="13">
        <f>AN38*AN49/1000000</f>
        <v/>
      </c>
      <c r="AO50" s="13">
        <f>AO38*AO49/1000000</f>
        <v/>
      </c>
      <c r="AP50" s="13">
        <f>AP38*AP49/1000000</f>
        <v/>
      </c>
      <c r="AQ50" s="13">
        <f>AQ38*AQ49/1000000</f>
        <v/>
      </c>
      <c r="AR50" s="13">
        <f>AR38*AR49/1000000</f>
        <v/>
      </c>
      <c r="AS50" s="13">
        <f>AS38*AS49/1000000</f>
        <v/>
      </c>
      <c r="AT50" s="13">
        <f>AT38*AT49/1000000</f>
        <v/>
      </c>
      <c r="AU50" s="13">
        <f>AU38*AU49/1000000</f>
        <v/>
      </c>
      <c r="AV50" s="13">
        <f>AV38*AV49/1000000</f>
        <v/>
      </c>
      <c r="AW50" s="13">
        <f>AW38*AW49/1000000</f>
        <v/>
      </c>
      <c r="AX50" s="13">
        <f>AX38*AX49/1000000</f>
        <v/>
      </c>
      <c r="AY50" s="13">
        <f>AY38*AY49/1000000</f>
        <v/>
      </c>
      <c r="AZ50" s="13">
        <f>AZ38*AZ49/1000000</f>
        <v/>
      </c>
      <c r="BA50" s="13">
        <f>BA38*BA49/1000000</f>
        <v/>
      </c>
      <c r="BB50" s="13">
        <f>BB38*BB49/1000000</f>
        <v/>
      </c>
      <c r="BC50" s="13">
        <f>BC38*BC49/1000000</f>
        <v/>
      </c>
      <c r="BD50" s="13">
        <f>BD38*BD49/1000000</f>
        <v/>
      </c>
      <c r="BE50" s="13">
        <f>BE38*BE49/1000000</f>
        <v/>
      </c>
      <c r="BF50" s="13">
        <f>BF38*BF49/1000000</f>
        <v/>
      </c>
      <c r="BG50" s="13">
        <f>BG38*BG49/1000000</f>
        <v/>
      </c>
      <c r="BH50" s="13">
        <f>BH38*BH49/1000000</f>
        <v/>
      </c>
      <c r="BI50" s="13">
        <f>BI38*BI49/1000000</f>
        <v/>
      </c>
      <c r="BJ50" s="13">
        <f>BJ38*BJ49/1000000</f>
        <v/>
      </c>
      <c r="BK50" s="13">
        <f>BK38*BK49/1000000</f>
        <v/>
      </c>
      <c r="BL50" s="13">
        <f>BL38*BL49/1000000</f>
        <v/>
      </c>
      <c r="BM50" s="13">
        <f>BM38*BM49/1000000</f>
        <v/>
      </c>
      <c r="BN50" s="13">
        <f>BN38*BN49/1000000</f>
        <v/>
      </c>
    </row>
    <row r="51">
      <c r="D51" t="inlineStr">
        <is>
          <t>Fuel charge (pass-through)</t>
        </is>
      </c>
      <c r="E51" t="inlineStr">
        <is>
          <t>USD m</t>
        </is>
      </c>
      <c r="G51" s="13">
        <f>SUM(J51:BN51)</f>
        <v/>
      </c>
      <c r="J51" s="13">
        <f>J38*J40*(1000*Inputs!$F$123/Inputs!$F$124)*J41/1000000</f>
        <v/>
      </c>
      <c r="K51" s="13">
        <f>K38*K40*(1000*Inputs!$F$123/Inputs!$F$124)*K41/1000000</f>
        <v/>
      </c>
      <c r="L51" s="13">
        <f>L38*L40*(1000*Inputs!$F$123/Inputs!$F$124)*L41/1000000</f>
        <v/>
      </c>
      <c r="M51" s="13">
        <f>M38*M40*(1000*Inputs!$F$123/Inputs!$F$124)*M41/1000000</f>
        <v/>
      </c>
      <c r="N51" s="13">
        <f>N38*N40*(1000*Inputs!$F$123/Inputs!$F$124)*N41/1000000</f>
        <v/>
      </c>
      <c r="O51" s="13">
        <f>O38*O40*(1000*Inputs!$F$123/Inputs!$F$124)*O41/1000000</f>
        <v/>
      </c>
      <c r="P51" s="13">
        <f>P38*P40*(1000*Inputs!$F$123/Inputs!$F$124)*P41/1000000</f>
        <v/>
      </c>
      <c r="Q51" s="13">
        <f>Q38*Q40*(1000*Inputs!$F$123/Inputs!$F$124)*Q41/1000000</f>
        <v/>
      </c>
      <c r="R51" s="13">
        <f>R38*R40*(1000*Inputs!$F$123/Inputs!$F$124)*R41/1000000</f>
        <v/>
      </c>
      <c r="S51" s="13">
        <f>S38*S40*(1000*Inputs!$F$123/Inputs!$F$124)*S41/1000000</f>
        <v/>
      </c>
      <c r="T51" s="13">
        <f>T38*T40*(1000*Inputs!$F$123/Inputs!$F$124)*T41/1000000</f>
        <v/>
      </c>
      <c r="U51" s="13">
        <f>U38*U40*(1000*Inputs!$F$123/Inputs!$F$124)*U41/1000000</f>
        <v/>
      </c>
      <c r="V51" s="13">
        <f>V38*V40*(1000*Inputs!$F$123/Inputs!$F$124)*V41/1000000</f>
        <v/>
      </c>
      <c r="W51" s="13">
        <f>W38*W40*(1000*Inputs!$F$123/Inputs!$F$124)*W41/1000000</f>
        <v/>
      </c>
      <c r="X51" s="13">
        <f>X38*X40*(1000*Inputs!$F$123/Inputs!$F$124)*X41/1000000</f>
        <v/>
      </c>
      <c r="Y51" s="13">
        <f>Y38*Y40*(1000*Inputs!$F$123/Inputs!$F$124)*Y41/1000000</f>
        <v/>
      </c>
      <c r="Z51" s="13">
        <f>Z38*Z40*(1000*Inputs!$F$123/Inputs!$F$124)*Z41/1000000</f>
        <v/>
      </c>
      <c r="AA51" s="13">
        <f>AA38*AA40*(1000*Inputs!$F$123/Inputs!$F$124)*AA41/1000000</f>
        <v/>
      </c>
      <c r="AB51" s="13">
        <f>AB38*AB40*(1000*Inputs!$F$123/Inputs!$F$124)*AB41/1000000</f>
        <v/>
      </c>
      <c r="AC51" s="13">
        <f>AC38*AC40*(1000*Inputs!$F$123/Inputs!$F$124)*AC41/1000000</f>
        <v/>
      </c>
      <c r="AD51" s="13">
        <f>AD38*AD40*(1000*Inputs!$F$123/Inputs!$F$124)*AD41/1000000</f>
        <v/>
      </c>
      <c r="AE51" s="13">
        <f>AE38*AE40*(1000*Inputs!$F$123/Inputs!$F$124)*AE41/1000000</f>
        <v/>
      </c>
      <c r="AF51" s="13">
        <f>AF38*AF40*(1000*Inputs!$F$123/Inputs!$F$124)*AF41/1000000</f>
        <v/>
      </c>
      <c r="AG51" s="13">
        <f>AG38*AG40*(1000*Inputs!$F$123/Inputs!$F$124)*AG41/1000000</f>
        <v/>
      </c>
      <c r="AH51" s="13">
        <f>AH38*AH40*(1000*Inputs!$F$123/Inputs!$F$124)*AH41/1000000</f>
        <v/>
      </c>
      <c r="AI51" s="13">
        <f>AI38*AI40*(1000*Inputs!$F$123/Inputs!$F$124)*AI41/1000000</f>
        <v/>
      </c>
      <c r="AJ51" s="13">
        <f>AJ38*AJ40*(1000*Inputs!$F$123/Inputs!$F$124)*AJ41/1000000</f>
        <v/>
      </c>
      <c r="AK51" s="13">
        <f>AK38*AK40*(1000*Inputs!$F$123/Inputs!$F$124)*AK41/1000000</f>
        <v/>
      </c>
      <c r="AL51" s="13">
        <f>AL38*AL40*(1000*Inputs!$F$123/Inputs!$F$124)*AL41/1000000</f>
        <v/>
      </c>
      <c r="AM51" s="13">
        <f>AM38*AM40*(1000*Inputs!$F$123/Inputs!$F$124)*AM41/1000000</f>
        <v/>
      </c>
      <c r="AN51" s="13">
        <f>AN38*AN40*(1000*Inputs!$F$123/Inputs!$F$124)*AN41/1000000</f>
        <v/>
      </c>
      <c r="AO51" s="13">
        <f>AO38*AO40*(1000*Inputs!$F$123/Inputs!$F$124)*AO41/1000000</f>
        <v/>
      </c>
      <c r="AP51" s="13">
        <f>AP38*AP40*(1000*Inputs!$F$123/Inputs!$F$124)*AP41/1000000</f>
        <v/>
      </c>
      <c r="AQ51" s="13">
        <f>AQ38*AQ40*(1000*Inputs!$F$123/Inputs!$F$124)*AQ41/1000000</f>
        <v/>
      </c>
      <c r="AR51" s="13">
        <f>AR38*AR40*(1000*Inputs!$F$123/Inputs!$F$124)*AR41/1000000</f>
        <v/>
      </c>
      <c r="AS51" s="13">
        <f>AS38*AS40*(1000*Inputs!$F$123/Inputs!$F$124)*AS41/1000000</f>
        <v/>
      </c>
      <c r="AT51" s="13">
        <f>AT38*AT40*(1000*Inputs!$F$123/Inputs!$F$124)*AT41/1000000</f>
        <v/>
      </c>
      <c r="AU51" s="13">
        <f>AU38*AU40*(1000*Inputs!$F$123/Inputs!$F$124)*AU41/1000000</f>
        <v/>
      </c>
      <c r="AV51" s="13">
        <f>AV38*AV40*(1000*Inputs!$F$123/Inputs!$F$124)*AV41/1000000</f>
        <v/>
      </c>
      <c r="AW51" s="13">
        <f>AW38*AW40*(1000*Inputs!$F$123/Inputs!$F$124)*AW41/1000000</f>
        <v/>
      </c>
      <c r="AX51" s="13">
        <f>AX38*AX40*(1000*Inputs!$F$123/Inputs!$F$124)*AX41/1000000</f>
        <v/>
      </c>
      <c r="AY51" s="13">
        <f>AY38*AY40*(1000*Inputs!$F$123/Inputs!$F$124)*AY41/1000000</f>
        <v/>
      </c>
      <c r="AZ51" s="13">
        <f>AZ38*AZ40*(1000*Inputs!$F$123/Inputs!$F$124)*AZ41/1000000</f>
        <v/>
      </c>
      <c r="BA51" s="13">
        <f>BA38*BA40*(1000*Inputs!$F$123/Inputs!$F$124)*BA41/1000000</f>
        <v/>
      </c>
      <c r="BB51" s="13">
        <f>BB38*BB40*(1000*Inputs!$F$123/Inputs!$F$124)*BB41/1000000</f>
        <v/>
      </c>
      <c r="BC51" s="13">
        <f>BC38*BC40*(1000*Inputs!$F$123/Inputs!$F$124)*BC41/1000000</f>
        <v/>
      </c>
      <c r="BD51" s="13">
        <f>BD38*BD40*(1000*Inputs!$F$123/Inputs!$F$124)*BD41/1000000</f>
        <v/>
      </c>
      <c r="BE51" s="13">
        <f>BE38*BE40*(1000*Inputs!$F$123/Inputs!$F$124)*BE41/1000000</f>
        <v/>
      </c>
      <c r="BF51" s="13">
        <f>BF38*BF40*(1000*Inputs!$F$123/Inputs!$F$124)*BF41/1000000</f>
        <v/>
      </c>
      <c r="BG51" s="13">
        <f>BG38*BG40*(1000*Inputs!$F$123/Inputs!$F$124)*BG41/1000000</f>
        <v/>
      </c>
      <c r="BH51" s="13">
        <f>BH38*BH40*(1000*Inputs!$F$123/Inputs!$F$124)*BH41/1000000</f>
        <v/>
      </c>
      <c r="BI51" s="13">
        <f>BI38*BI40*(1000*Inputs!$F$123/Inputs!$F$124)*BI41/1000000</f>
        <v/>
      </c>
      <c r="BJ51" s="13">
        <f>BJ38*BJ40*(1000*Inputs!$F$123/Inputs!$F$124)*BJ41/1000000</f>
        <v/>
      </c>
      <c r="BK51" s="13">
        <f>BK38*BK40*(1000*Inputs!$F$123/Inputs!$F$124)*BK41/1000000</f>
        <v/>
      </c>
      <c r="BL51" s="13">
        <f>BL38*BL40*(1000*Inputs!$F$123/Inputs!$F$124)*BL41/1000000</f>
        <v/>
      </c>
      <c r="BM51" s="13">
        <f>BM38*BM40*(1000*Inputs!$F$123/Inputs!$F$124)*BM41/1000000</f>
        <v/>
      </c>
      <c r="BN51" s="13">
        <f>BN38*BN40*(1000*Inputs!$F$123/Inputs!$F$124)*BN41/1000000</f>
        <v/>
      </c>
    </row>
    <row r="52">
      <c r="D52" t="inlineStr">
        <is>
          <t>GTA reservation charge (pass-through)</t>
        </is>
      </c>
      <c r="E52" t="inlineStr">
        <is>
          <t>USD m</t>
        </is>
      </c>
      <c r="G52" s="13">
        <f>SUM(J52:BN52)</f>
        <v/>
      </c>
      <c r="J52" s="13">
        <f>Inputs!$F$146*Time!J31*Inputs!$F$147*(1+Inputs!$F$149/100)^(Time!J26-Inputs!$F$256)/1000000</f>
        <v/>
      </c>
      <c r="K52" s="13">
        <f>Inputs!$F$146*Time!K31*Inputs!$F$147*(1+Inputs!$F$149/100)^(Time!K26-Inputs!$F$256)/1000000</f>
        <v/>
      </c>
      <c r="L52" s="13">
        <f>Inputs!$F$146*Time!L31*Inputs!$F$147*(1+Inputs!$F$149/100)^(Time!L26-Inputs!$F$256)/1000000</f>
        <v/>
      </c>
      <c r="M52" s="13">
        <f>Inputs!$F$146*Time!M31*Inputs!$F$147*(1+Inputs!$F$149/100)^(Time!M26-Inputs!$F$256)/1000000</f>
        <v/>
      </c>
      <c r="N52" s="13">
        <f>Inputs!$F$146*Time!N31*Inputs!$F$147*(1+Inputs!$F$149/100)^(Time!N26-Inputs!$F$256)/1000000</f>
        <v/>
      </c>
      <c r="O52" s="13">
        <f>Inputs!$F$146*Time!O31*Inputs!$F$147*(1+Inputs!$F$149/100)^(Time!O26-Inputs!$F$256)/1000000</f>
        <v/>
      </c>
      <c r="P52" s="13">
        <f>Inputs!$F$146*Time!P31*Inputs!$F$147*(1+Inputs!$F$149/100)^(Time!P26-Inputs!$F$256)/1000000</f>
        <v/>
      </c>
      <c r="Q52" s="13">
        <f>Inputs!$F$146*Time!Q31*Inputs!$F$147*(1+Inputs!$F$149/100)^(Time!Q26-Inputs!$F$256)/1000000</f>
        <v/>
      </c>
      <c r="R52" s="13">
        <f>Inputs!$F$146*Time!R31*Inputs!$F$147*(1+Inputs!$F$149/100)^(Time!R26-Inputs!$F$256)/1000000</f>
        <v/>
      </c>
      <c r="S52" s="13">
        <f>Inputs!$F$146*Time!S31*Inputs!$F$147*(1+Inputs!$F$149/100)^(Time!S26-Inputs!$F$256)/1000000</f>
        <v/>
      </c>
      <c r="T52" s="13">
        <f>Inputs!$F$146*Time!T31*Inputs!$F$147*(1+Inputs!$F$149/100)^(Time!T26-Inputs!$F$256)/1000000</f>
        <v/>
      </c>
      <c r="U52" s="13">
        <f>Inputs!$F$146*Time!U31*Inputs!$F$147*(1+Inputs!$F$149/100)^(Time!U26-Inputs!$F$256)/1000000</f>
        <v/>
      </c>
      <c r="V52" s="13">
        <f>Inputs!$F$146*Time!V31*Inputs!$F$147*(1+Inputs!$F$149/100)^(Time!V26-Inputs!$F$256)/1000000</f>
        <v/>
      </c>
      <c r="W52" s="13">
        <f>Inputs!$F$146*Time!W31*Inputs!$F$147*(1+Inputs!$F$149/100)^(Time!W26-Inputs!$F$256)/1000000</f>
        <v/>
      </c>
      <c r="X52" s="13">
        <f>Inputs!$F$146*Time!X31*Inputs!$F$147*(1+Inputs!$F$149/100)^(Time!X26-Inputs!$F$256)/1000000</f>
        <v/>
      </c>
      <c r="Y52" s="13">
        <f>Inputs!$F$146*Time!Y31*Inputs!$F$147*(1+Inputs!$F$149/100)^(Time!Y26-Inputs!$F$256)/1000000</f>
        <v/>
      </c>
      <c r="Z52" s="13">
        <f>Inputs!$F$146*Time!Z31*Inputs!$F$147*(1+Inputs!$F$149/100)^(Time!Z26-Inputs!$F$256)/1000000</f>
        <v/>
      </c>
      <c r="AA52" s="13">
        <f>Inputs!$F$146*Time!AA31*Inputs!$F$147*(1+Inputs!$F$149/100)^(Time!AA26-Inputs!$F$256)/1000000</f>
        <v/>
      </c>
      <c r="AB52" s="13">
        <f>Inputs!$F$146*Time!AB31*Inputs!$F$147*(1+Inputs!$F$149/100)^(Time!AB26-Inputs!$F$256)/1000000</f>
        <v/>
      </c>
      <c r="AC52" s="13">
        <f>Inputs!$F$146*Time!AC31*Inputs!$F$147*(1+Inputs!$F$149/100)^(Time!AC26-Inputs!$F$256)/1000000</f>
        <v/>
      </c>
      <c r="AD52" s="13">
        <f>Inputs!$F$146*Time!AD31*Inputs!$F$147*(1+Inputs!$F$149/100)^(Time!AD26-Inputs!$F$256)/1000000</f>
        <v/>
      </c>
      <c r="AE52" s="13">
        <f>Inputs!$F$146*Time!AE31*Inputs!$F$147*(1+Inputs!$F$149/100)^(Time!AE26-Inputs!$F$256)/1000000</f>
        <v/>
      </c>
      <c r="AF52" s="13">
        <f>Inputs!$F$146*Time!AF31*Inputs!$F$147*(1+Inputs!$F$149/100)^(Time!AF26-Inputs!$F$256)/1000000</f>
        <v/>
      </c>
      <c r="AG52" s="13">
        <f>Inputs!$F$146*Time!AG31*Inputs!$F$147*(1+Inputs!$F$149/100)^(Time!AG26-Inputs!$F$256)/1000000</f>
        <v/>
      </c>
      <c r="AH52" s="13">
        <f>Inputs!$F$146*Time!AH31*Inputs!$F$147*(1+Inputs!$F$149/100)^(Time!AH26-Inputs!$F$256)/1000000</f>
        <v/>
      </c>
      <c r="AI52" s="13">
        <f>Inputs!$F$146*Time!AI31*Inputs!$F$147*(1+Inputs!$F$149/100)^(Time!AI26-Inputs!$F$256)/1000000</f>
        <v/>
      </c>
      <c r="AJ52" s="13">
        <f>Inputs!$F$146*Time!AJ31*Inputs!$F$147*(1+Inputs!$F$149/100)^(Time!AJ26-Inputs!$F$256)/1000000</f>
        <v/>
      </c>
      <c r="AK52" s="13">
        <f>Inputs!$F$146*Time!AK31*Inputs!$F$147*(1+Inputs!$F$149/100)^(Time!AK26-Inputs!$F$256)/1000000</f>
        <v/>
      </c>
      <c r="AL52" s="13">
        <f>Inputs!$F$146*Time!AL31*Inputs!$F$147*(1+Inputs!$F$149/100)^(Time!AL26-Inputs!$F$256)/1000000</f>
        <v/>
      </c>
      <c r="AM52" s="13">
        <f>Inputs!$F$146*Time!AM31*Inputs!$F$147*(1+Inputs!$F$149/100)^(Time!AM26-Inputs!$F$256)/1000000</f>
        <v/>
      </c>
      <c r="AN52" s="13">
        <f>Inputs!$F$146*Time!AN31*Inputs!$F$147*(1+Inputs!$F$149/100)^(Time!AN26-Inputs!$F$256)/1000000</f>
        <v/>
      </c>
      <c r="AO52" s="13">
        <f>Inputs!$F$146*Time!AO31*Inputs!$F$147*(1+Inputs!$F$149/100)^(Time!AO26-Inputs!$F$256)/1000000</f>
        <v/>
      </c>
      <c r="AP52" s="13">
        <f>Inputs!$F$146*Time!AP31*Inputs!$F$147*(1+Inputs!$F$149/100)^(Time!AP26-Inputs!$F$256)/1000000</f>
        <v/>
      </c>
      <c r="AQ52" s="13">
        <f>Inputs!$F$146*Time!AQ31*Inputs!$F$147*(1+Inputs!$F$149/100)^(Time!AQ26-Inputs!$F$256)/1000000</f>
        <v/>
      </c>
      <c r="AR52" s="13">
        <f>Inputs!$F$146*Time!AR31*Inputs!$F$147*(1+Inputs!$F$149/100)^(Time!AR26-Inputs!$F$256)/1000000</f>
        <v/>
      </c>
      <c r="AS52" s="13">
        <f>Inputs!$F$146*Time!AS31*Inputs!$F$147*(1+Inputs!$F$149/100)^(Time!AS26-Inputs!$F$256)/1000000</f>
        <v/>
      </c>
      <c r="AT52" s="13">
        <f>Inputs!$F$146*Time!AT31*Inputs!$F$147*(1+Inputs!$F$149/100)^(Time!AT26-Inputs!$F$256)/1000000</f>
        <v/>
      </c>
      <c r="AU52" s="13">
        <f>Inputs!$F$146*Time!AU31*Inputs!$F$147*(1+Inputs!$F$149/100)^(Time!AU26-Inputs!$F$256)/1000000</f>
        <v/>
      </c>
      <c r="AV52" s="13">
        <f>Inputs!$F$146*Time!AV31*Inputs!$F$147*(1+Inputs!$F$149/100)^(Time!AV26-Inputs!$F$256)/1000000</f>
        <v/>
      </c>
      <c r="AW52" s="13">
        <f>Inputs!$F$146*Time!AW31*Inputs!$F$147*(1+Inputs!$F$149/100)^(Time!AW26-Inputs!$F$256)/1000000</f>
        <v/>
      </c>
      <c r="AX52" s="13">
        <f>Inputs!$F$146*Time!AX31*Inputs!$F$147*(1+Inputs!$F$149/100)^(Time!AX26-Inputs!$F$256)/1000000</f>
        <v/>
      </c>
      <c r="AY52" s="13">
        <f>Inputs!$F$146*Time!AY31*Inputs!$F$147*(1+Inputs!$F$149/100)^(Time!AY26-Inputs!$F$256)/1000000</f>
        <v/>
      </c>
      <c r="AZ52" s="13">
        <f>Inputs!$F$146*Time!AZ31*Inputs!$F$147*(1+Inputs!$F$149/100)^(Time!AZ26-Inputs!$F$256)/1000000</f>
        <v/>
      </c>
      <c r="BA52" s="13">
        <f>Inputs!$F$146*Time!BA31*Inputs!$F$147*(1+Inputs!$F$149/100)^(Time!BA26-Inputs!$F$256)/1000000</f>
        <v/>
      </c>
      <c r="BB52" s="13">
        <f>Inputs!$F$146*Time!BB31*Inputs!$F$147*(1+Inputs!$F$149/100)^(Time!BB26-Inputs!$F$256)/1000000</f>
        <v/>
      </c>
      <c r="BC52" s="13">
        <f>Inputs!$F$146*Time!BC31*Inputs!$F$147*(1+Inputs!$F$149/100)^(Time!BC26-Inputs!$F$256)/1000000</f>
        <v/>
      </c>
      <c r="BD52" s="13">
        <f>Inputs!$F$146*Time!BD31*Inputs!$F$147*(1+Inputs!$F$149/100)^(Time!BD26-Inputs!$F$256)/1000000</f>
        <v/>
      </c>
      <c r="BE52" s="13">
        <f>Inputs!$F$146*Time!BE31*Inputs!$F$147*(1+Inputs!$F$149/100)^(Time!BE26-Inputs!$F$256)/1000000</f>
        <v/>
      </c>
      <c r="BF52" s="13">
        <f>Inputs!$F$146*Time!BF31*Inputs!$F$147*(1+Inputs!$F$149/100)^(Time!BF26-Inputs!$F$256)/1000000</f>
        <v/>
      </c>
      <c r="BG52" s="13">
        <f>Inputs!$F$146*Time!BG31*Inputs!$F$147*(1+Inputs!$F$149/100)^(Time!BG26-Inputs!$F$256)/1000000</f>
        <v/>
      </c>
      <c r="BH52" s="13">
        <f>Inputs!$F$146*Time!BH31*Inputs!$F$147*(1+Inputs!$F$149/100)^(Time!BH26-Inputs!$F$256)/1000000</f>
        <v/>
      </c>
      <c r="BI52" s="13">
        <f>Inputs!$F$146*Time!BI31*Inputs!$F$147*(1+Inputs!$F$149/100)^(Time!BI26-Inputs!$F$256)/1000000</f>
        <v/>
      </c>
      <c r="BJ52" s="13">
        <f>Inputs!$F$146*Time!BJ31*Inputs!$F$147*(1+Inputs!$F$149/100)^(Time!BJ26-Inputs!$F$256)/1000000</f>
        <v/>
      </c>
      <c r="BK52" s="13">
        <f>Inputs!$F$146*Time!BK31*Inputs!$F$147*(1+Inputs!$F$149/100)^(Time!BK26-Inputs!$F$256)/1000000</f>
        <v/>
      </c>
      <c r="BL52" s="13">
        <f>Inputs!$F$146*Time!BL31*Inputs!$F$147*(1+Inputs!$F$149/100)^(Time!BL26-Inputs!$F$256)/1000000</f>
        <v/>
      </c>
      <c r="BM52" s="13">
        <f>Inputs!$F$146*Time!BM31*Inputs!$F$147*(1+Inputs!$F$149/100)^(Time!BM26-Inputs!$F$256)/1000000</f>
        <v/>
      </c>
      <c r="BN52" s="13">
        <f>Inputs!$F$146*Time!BN31*Inputs!$F$147*(1+Inputs!$F$149/100)^(Time!BN26-Inputs!$F$256)/1000000</f>
        <v/>
      </c>
    </row>
    <row r="53">
      <c r="D53" t="inlineStr">
        <is>
          <t>GTA commodity charge (pass-through)</t>
        </is>
      </c>
      <c r="E53" t="inlineStr">
        <is>
          <t>USD m</t>
        </is>
      </c>
      <c r="G53" s="13">
        <f>SUM(J53:BN53)</f>
        <v/>
      </c>
      <c r="J53" s="13">
        <f>J42*Inputs!$F$148*(1+Inputs!$F$149/100)^(Time!J26-Inputs!$F$256)/1000000</f>
        <v/>
      </c>
      <c r="K53" s="13">
        <f>K42*Inputs!$F$148*(1+Inputs!$F$149/100)^(Time!K26-Inputs!$F$256)/1000000</f>
        <v/>
      </c>
      <c r="L53" s="13">
        <f>L42*Inputs!$F$148*(1+Inputs!$F$149/100)^(Time!L26-Inputs!$F$256)/1000000</f>
        <v/>
      </c>
      <c r="M53" s="13">
        <f>M42*Inputs!$F$148*(1+Inputs!$F$149/100)^(Time!M26-Inputs!$F$256)/1000000</f>
        <v/>
      </c>
      <c r="N53" s="13">
        <f>N42*Inputs!$F$148*(1+Inputs!$F$149/100)^(Time!N26-Inputs!$F$256)/1000000</f>
        <v/>
      </c>
      <c r="O53" s="13">
        <f>O42*Inputs!$F$148*(1+Inputs!$F$149/100)^(Time!O26-Inputs!$F$256)/1000000</f>
        <v/>
      </c>
      <c r="P53" s="13">
        <f>P42*Inputs!$F$148*(1+Inputs!$F$149/100)^(Time!P26-Inputs!$F$256)/1000000</f>
        <v/>
      </c>
      <c r="Q53" s="13">
        <f>Q42*Inputs!$F$148*(1+Inputs!$F$149/100)^(Time!Q26-Inputs!$F$256)/1000000</f>
        <v/>
      </c>
      <c r="R53" s="13">
        <f>R42*Inputs!$F$148*(1+Inputs!$F$149/100)^(Time!R26-Inputs!$F$256)/1000000</f>
        <v/>
      </c>
      <c r="S53" s="13">
        <f>S42*Inputs!$F$148*(1+Inputs!$F$149/100)^(Time!S26-Inputs!$F$256)/1000000</f>
        <v/>
      </c>
      <c r="T53" s="13">
        <f>T42*Inputs!$F$148*(1+Inputs!$F$149/100)^(Time!T26-Inputs!$F$256)/1000000</f>
        <v/>
      </c>
      <c r="U53" s="13">
        <f>U42*Inputs!$F$148*(1+Inputs!$F$149/100)^(Time!U26-Inputs!$F$256)/1000000</f>
        <v/>
      </c>
      <c r="V53" s="13">
        <f>V42*Inputs!$F$148*(1+Inputs!$F$149/100)^(Time!V26-Inputs!$F$256)/1000000</f>
        <v/>
      </c>
      <c r="W53" s="13">
        <f>W42*Inputs!$F$148*(1+Inputs!$F$149/100)^(Time!W26-Inputs!$F$256)/1000000</f>
        <v/>
      </c>
      <c r="X53" s="13">
        <f>X42*Inputs!$F$148*(1+Inputs!$F$149/100)^(Time!X26-Inputs!$F$256)/1000000</f>
        <v/>
      </c>
      <c r="Y53" s="13">
        <f>Y42*Inputs!$F$148*(1+Inputs!$F$149/100)^(Time!Y26-Inputs!$F$256)/1000000</f>
        <v/>
      </c>
      <c r="Z53" s="13">
        <f>Z42*Inputs!$F$148*(1+Inputs!$F$149/100)^(Time!Z26-Inputs!$F$256)/1000000</f>
        <v/>
      </c>
      <c r="AA53" s="13">
        <f>AA42*Inputs!$F$148*(1+Inputs!$F$149/100)^(Time!AA26-Inputs!$F$256)/1000000</f>
        <v/>
      </c>
      <c r="AB53" s="13">
        <f>AB42*Inputs!$F$148*(1+Inputs!$F$149/100)^(Time!AB26-Inputs!$F$256)/1000000</f>
        <v/>
      </c>
      <c r="AC53" s="13">
        <f>AC42*Inputs!$F$148*(1+Inputs!$F$149/100)^(Time!AC26-Inputs!$F$256)/1000000</f>
        <v/>
      </c>
      <c r="AD53" s="13">
        <f>AD42*Inputs!$F$148*(1+Inputs!$F$149/100)^(Time!AD26-Inputs!$F$256)/1000000</f>
        <v/>
      </c>
      <c r="AE53" s="13">
        <f>AE42*Inputs!$F$148*(1+Inputs!$F$149/100)^(Time!AE26-Inputs!$F$256)/1000000</f>
        <v/>
      </c>
      <c r="AF53" s="13">
        <f>AF42*Inputs!$F$148*(1+Inputs!$F$149/100)^(Time!AF26-Inputs!$F$256)/1000000</f>
        <v/>
      </c>
      <c r="AG53" s="13">
        <f>AG42*Inputs!$F$148*(1+Inputs!$F$149/100)^(Time!AG26-Inputs!$F$256)/1000000</f>
        <v/>
      </c>
      <c r="AH53" s="13">
        <f>AH42*Inputs!$F$148*(1+Inputs!$F$149/100)^(Time!AH26-Inputs!$F$256)/1000000</f>
        <v/>
      </c>
      <c r="AI53" s="13">
        <f>AI42*Inputs!$F$148*(1+Inputs!$F$149/100)^(Time!AI26-Inputs!$F$256)/1000000</f>
        <v/>
      </c>
      <c r="AJ53" s="13">
        <f>AJ42*Inputs!$F$148*(1+Inputs!$F$149/100)^(Time!AJ26-Inputs!$F$256)/1000000</f>
        <v/>
      </c>
      <c r="AK53" s="13">
        <f>AK42*Inputs!$F$148*(1+Inputs!$F$149/100)^(Time!AK26-Inputs!$F$256)/1000000</f>
        <v/>
      </c>
      <c r="AL53" s="13">
        <f>AL42*Inputs!$F$148*(1+Inputs!$F$149/100)^(Time!AL26-Inputs!$F$256)/1000000</f>
        <v/>
      </c>
      <c r="AM53" s="13">
        <f>AM42*Inputs!$F$148*(1+Inputs!$F$149/100)^(Time!AM26-Inputs!$F$256)/1000000</f>
        <v/>
      </c>
      <c r="AN53" s="13">
        <f>AN42*Inputs!$F$148*(1+Inputs!$F$149/100)^(Time!AN26-Inputs!$F$256)/1000000</f>
        <v/>
      </c>
      <c r="AO53" s="13">
        <f>AO42*Inputs!$F$148*(1+Inputs!$F$149/100)^(Time!AO26-Inputs!$F$256)/1000000</f>
        <v/>
      </c>
      <c r="AP53" s="13">
        <f>AP42*Inputs!$F$148*(1+Inputs!$F$149/100)^(Time!AP26-Inputs!$F$256)/1000000</f>
        <v/>
      </c>
      <c r="AQ53" s="13">
        <f>AQ42*Inputs!$F$148*(1+Inputs!$F$149/100)^(Time!AQ26-Inputs!$F$256)/1000000</f>
        <v/>
      </c>
      <c r="AR53" s="13">
        <f>AR42*Inputs!$F$148*(1+Inputs!$F$149/100)^(Time!AR26-Inputs!$F$256)/1000000</f>
        <v/>
      </c>
      <c r="AS53" s="13">
        <f>AS42*Inputs!$F$148*(1+Inputs!$F$149/100)^(Time!AS26-Inputs!$F$256)/1000000</f>
        <v/>
      </c>
      <c r="AT53" s="13">
        <f>AT42*Inputs!$F$148*(1+Inputs!$F$149/100)^(Time!AT26-Inputs!$F$256)/1000000</f>
        <v/>
      </c>
      <c r="AU53" s="13">
        <f>AU42*Inputs!$F$148*(1+Inputs!$F$149/100)^(Time!AU26-Inputs!$F$256)/1000000</f>
        <v/>
      </c>
      <c r="AV53" s="13">
        <f>AV42*Inputs!$F$148*(1+Inputs!$F$149/100)^(Time!AV26-Inputs!$F$256)/1000000</f>
        <v/>
      </c>
      <c r="AW53" s="13">
        <f>AW42*Inputs!$F$148*(1+Inputs!$F$149/100)^(Time!AW26-Inputs!$F$256)/1000000</f>
        <v/>
      </c>
      <c r="AX53" s="13">
        <f>AX42*Inputs!$F$148*(1+Inputs!$F$149/100)^(Time!AX26-Inputs!$F$256)/1000000</f>
        <v/>
      </c>
      <c r="AY53" s="13">
        <f>AY42*Inputs!$F$148*(1+Inputs!$F$149/100)^(Time!AY26-Inputs!$F$256)/1000000</f>
        <v/>
      </c>
      <c r="AZ53" s="13">
        <f>AZ42*Inputs!$F$148*(1+Inputs!$F$149/100)^(Time!AZ26-Inputs!$F$256)/1000000</f>
        <v/>
      </c>
      <c r="BA53" s="13">
        <f>BA42*Inputs!$F$148*(1+Inputs!$F$149/100)^(Time!BA26-Inputs!$F$256)/1000000</f>
        <v/>
      </c>
      <c r="BB53" s="13">
        <f>BB42*Inputs!$F$148*(1+Inputs!$F$149/100)^(Time!BB26-Inputs!$F$256)/1000000</f>
        <v/>
      </c>
      <c r="BC53" s="13">
        <f>BC42*Inputs!$F$148*(1+Inputs!$F$149/100)^(Time!BC26-Inputs!$F$256)/1000000</f>
        <v/>
      </c>
      <c r="BD53" s="13">
        <f>BD42*Inputs!$F$148*(1+Inputs!$F$149/100)^(Time!BD26-Inputs!$F$256)/1000000</f>
        <v/>
      </c>
      <c r="BE53" s="13">
        <f>BE42*Inputs!$F$148*(1+Inputs!$F$149/100)^(Time!BE26-Inputs!$F$256)/1000000</f>
        <v/>
      </c>
      <c r="BF53" s="13">
        <f>BF42*Inputs!$F$148*(1+Inputs!$F$149/100)^(Time!BF26-Inputs!$F$256)/1000000</f>
        <v/>
      </c>
      <c r="BG53" s="13">
        <f>BG42*Inputs!$F$148*(1+Inputs!$F$149/100)^(Time!BG26-Inputs!$F$256)/1000000</f>
        <v/>
      </c>
      <c r="BH53" s="13">
        <f>BH42*Inputs!$F$148*(1+Inputs!$F$149/100)^(Time!BH26-Inputs!$F$256)/1000000</f>
        <v/>
      </c>
      <c r="BI53" s="13">
        <f>BI42*Inputs!$F$148*(1+Inputs!$F$149/100)^(Time!BI26-Inputs!$F$256)/1000000</f>
        <v/>
      </c>
      <c r="BJ53" s="13">
        <f>BJ42*Inputs!$F$148*(1+Inputs!$F$149/100)^(Time!BJ26-Inputs!$F$256)/1000000</f>
        <v/>
      </c>
      <c r="BK53" s="13">
        <f>BK42*Inputs!$F$148*(1+Inputs!$F$149/100)^(Time!BK26-Inputs!$F$256)/1000000</f>
        <v/>
      </c>
      <c r="BL53" s="13">
        <f>BL42*Inputs!$F$148*(1+Inputs!$F$149/100)^(Time!BL26-Inputs!$F$256)/1000000</f>
        <v/>
      </c>
      <c r="BM53" s="13">
        <f>BM42*Inputs!$F$148*(1+Inputs!$F$149/100)^(Time!BM26-Inputs!$F$256)/1000000</f>
        <v/>
      </c>
      <c r="BN53" s="13">
        <f>BN42*Inputs!$F$148*(1+Inputs!$F$149/100)^(Time!BN26-Inputs!$F$256)/1000000</f>
        <v/>
      </c>
    </row>
    <row r="54">
      <c r="D54" t="inlineStr">
        <is>
          <t>Take-or-pay payment (pass-through)</t>
        </is>
      </c>
      <c r="E54" t="inlineStr">
        <is>
          <t>USD m</t>
        </is>
      </c>
      <c r="G54" s="13">
        <f>SUM(J54:BN54)</f>
        <v/>
      </c>
      <c r="J54" s="13">
        <f>MAX(0,J43-J42)*J41/1000000</f>
        <v/>
      </c>
      <c r="K54" s="13">
        <f>MAX(0,K43-K42)*K41/1000000</f>
        <v/>
      </c>
      <c r="L54" s="13">
        <f>MAX(0,L43-L42)*L41/1000000</f>
        <v/>
      </c>
      <c r="M54" s="13">
        <f>MAX(0,M43-M42)*M41/1000000</f>
        <v/>
      </c>
      <c r="N54" s="13">
        <f>MAX(0,N43-N42)*N41/1000000</f>
        <v/>
      </c>
      <c r="O54" s="13">
        <f>MAX(0,O43-O42)*O41/1000000</f>
        <v/>
      </c>
      <c r="P54" s="13">
        <f>MAX(0,P43-P42)*P41/1000000</f>
        <v/>
      </c>
      <c r="Q54" s="13">
        <f>MAX(0,Q43-Q42)*Q41/1000000</f>
        <v/>
      </c>
      <c r="R54" s="13">
        <f>MAX(0,R43-R42)*R41/1000000</f>
        <v/>
      </c>
      <c r="S54" s="13">
        <f>MAX(0,S43-S42)*S41/1000000</f>
        <v/>
      </c>
      <c r="T54" s="13">
        <f>MAX(0,T43-T42)*T41/1000000</f>
        <v/>
      </c>
      <c r="U54" s="13">
        <f>MAX(0,U43-U42)*U41/1000000</f>
        <v/>
      </c>
      <c r="V54" s="13">
        <f>MAX(0,V43-V42)*V41/1000000</f>
        <v/>
      </c>
      <c r="W54" s="13">
        <f>MAX(0,W43-W42)*W41/1000000</f>
        <v/>
      </c>
      <c r="X54" s="13">
        <f>MAX(0,X43-X42)*X41/1000000</f>
        <v/>
      </c>
      <c r="Y54" s="13">
        <f>MAX(0,Y43-Y42)*Y41/1000000</f>
        <v/>
      </c>
      <c r="Z54" s="13">
        <f>MAX(0,Z43-Z42)*Z41/1000000</f>
        <v/>
      </c>
      <c r="AA54" s="13">
        <f>MAX(0,AA43-AA42)*AA41/1000000</f>
        <v/>
      </c>
      <c r="AB54" s="13">
        <f>MAX(0,AB43-AB42)*AB41/1000000</f>
        <v/>
      </c>
      <c r="AC54" s="13">
        <f>MAX(0,AC43-AC42)*AC41/1000000</f>
        <v/>
      </c>
      <c r="AD54" s="13">
        <f>MAX(0,AD43-AD42)*AD41/1000000</f>
        <v/>
      </c>
      <c r="AE54" s="13">
        <f>MAX(0,AE43-AE42)*AE41/1000000</f>
        <v/>
      </c>
      <c r="AF54" s="13">
        <f>MAX(0,AF43-AF42)*AF41/1000000</f>
        <v/>
      </c>
      <c r="AG54" s="13">
        <f>MAX(0,AG43-AG42)*AG41/1000000</f>
        <v/>
      </c>
      <c r="AH54" s="13">
        <f>MAX(0,AH43-AH42)*AH41/1000000</f>
        <v/>
      </c>
      <c r="AI54" s="13">
        <f>MAX(0,AI43-AI42)*AI41/1000000</f>
        <v/>
      </c>
      <c r="AJ54" s="13">
        <f>MAX(0,AJ43-AJ42)*AJ41/1000000</f>
        <v/>
      </c>
      <c r="AK54" s="13">
        <f>MAX(0,AK43-AK42)*AK41/1000000</f>
        <v/>
      </c>
      <c r="AL54" s="13">
        <f>MAX(0,AL43-AL42)*AL41/1000000</f>
        <v/>
      </c>
      <c r="AM54" s="13">
        <f>MAX(0,AM43-AM42)*AM41/1000000</f>
        <v/>
      </c>
      <c r="AN54" s="13">
        <f>MAX(0,AN43-AN42)*AN41/1000000</f>
        <v/>
      </c>
      <c r="AO54" s="13">
        <f>MAX(0,AO43-AO42)*AO41/1000000</f>
        <v/>
      </c>
      <c r="AP54" s="13">
        <f>MAX(0,AP43-AP42)*AP41/1000000</f>
        <v/>
      </c>
      <c r="AQ54" s="13">
        <f>MAX(0,AQ43-AQ42)*AQ41/1000000</f>
        <v/>
      </c>
      <c r="AR54" s="13">
        <f>MAX(0,AR43-AR42)*AR41/1000000</f>
        <v/>
      </c>
      <c r="AS54" s="13">
        <f>MAX(0,AS43-AS42)*AS41/1000000</f>
        <v/>
      </c>
      <c r="AT54" s="13">
        <f>MAX(0,AT43-AT42)*AT41/1000000</f>
        <v/>
      </c>
      <c r="AU54" s="13">
        <f>MAX(0,AU43-AU42)*AU41/1000000</f>
        <v/>
      </c>
      <c r="AV54" s="13">
        <f>MAX(0,AV43-AV42)*AV41/1000000</f>
        <v/>
      </c>
      <c r="AW54" s="13">
        <f>MAX(0,AW43-AW42)*AW41/1000000</f>
        <v/>
      </c>
      <c r="AX54" s="13">
        <f>MAX(0,AX43-AX42)*AX41/1000000</f>
        <v/>
      </c>
      <c r="AY54" s="13">
        <f>MAX(0,AY43-AY42)*AY41/1000000</f>
        <v/>
      </c>
      <c r="AZ54" s="13">
        <f>MAX(0,AZ43-AZ42)*AZ41/1000000</f>
        <v/>
      </c>
      <c r="BA54" s="13">
        <f>MAX(0,BA43-BA42)*BA41/1000000</f>
        <v/>
      </c>
      <c r="BB54" s="13">
        <f>MAX(0,BB43-BB42)*BB41/1000000</f>
        <v/>
      </c>
      <c r="BC54" s="13">
        <f>MAX(0,BC43-BC42)*BC41/1000000</f>
        <v/>
      </c>
      <c r="BD54" s="13">
        <f>MAX(0,BD43-BD42)*BD41/1000000</f>
        <v/>
      </c>
      <c r="BE54" s="13">
        <f>MAX(0,BE43-BE42)*BE41/1000000</f>
        <v/>
      </c>
      <c r="BF54" s="13">
        <f>MAX(0,BF43-BF42)*BF41/1000000</f>
        <v/>
      </c>
      <c r="BG54" s="13">
        <f>MAX(0,BG43-BG42)*BG41/1000000</f>
        <v/>
      </c>
      <c r="BH54" s="13">
        <f>MAX(0,BH43-BH42)*BH41/1000000</f>
        <v/>
      </c>
      <c r="BI54" s="13">
        <f>MAX(0,BI43-BI42)*BI41/1000000</f>
        <v/>
      </c>
      <c r="BJ54" s="13">
        <f>MAX(0,BJ43-BJ42)*BJ41/1000000</f>
        <v/>
      </c>
      <c r="BK54" s="13">
        <f>MAX(0,BK43-BK42)*BK41/1000000</f>
        <v/>
      </c>
      <c r="BL54" s="13">
        <f>MAX(0,BL43-BL42)*BL41/1000000</f>
        <v/>
      </c>
      <c r="BM54" s="13">
        <f>MAX(0,BM43-BM42)*BM41/1000000</f>
        <v/>
      </c>
      <c r="BN54" s="13">
        <f>MAX(0,BN43-BN42)*BN41/1000000</f>
        <v/>
      </c>
    </row>
    <row r="55">
      <c r="D55" t="inlineStr">
        <is>
          <t>Non-fuel revenue</t>
        </is>
      </c>
      <c r="E55" t="inlineStr">
        <is>
          <t>USD m</t>
        </is>
      </c>
      <c r="G55" s="13">
        <f>SUM(J55:BN55)</f>
        <v/>
      </c>
      <c r="J55" s="13">
        <f>J48+J50</f>
        <v/>
      </c>
      <c r="K55" s="13">
        <f>K48+K50</f>
        <v/>
      </c>
      <c r="L55" s="13">
        <f>L48+L50</f>
        <v/>
      </c>
      <c r="M55" s="13">
        <f>M48+M50</f>
        <v/>
      </c>
      <c r="N55" s="13">
        <f>N48+N50</f>
        <v/>
      </c>
      <c r="O55" s="13">
        <f>O48+O50</f>
        <v/>
      </c>
      <c r="P55" s="13">
        <f>P48+P50</f>
        <v/>
      </c>
      <c r="Q55" s="13">
        <f>Q48+Q50</f>
        <v/>
      </c>
      <c r="R55" s="13">
        <f>R48+R50</f>
        <v/>
      </c>
      <c r="S55" s="13">
        <f>S48+S50</f>
        <v/>
      </c>
      <c r="T55" s="13">
        <f>T48+T50</f>
        <v/>
      </c>
      <c r="U55" s="13">
        <f>U48+U50</f>
        <v/>
      </c>
      <c r="V55" s="13">
        <f>V48+V50</f>
        <v/>
      </c>
      <c r="W55" s="13">
        <f>W48+W50</f>
        <v/>
      </c>
      <c r="X55" s="13">
        <f>X48+X50</f>
        <v/>
      </c>
      <c r="Y55" s="13">
        <f>Y48+Y50</f>
        <v/>
      </c>
      <c r="Z55" s="13">
        <f>Z48+Z50</f>
        <v/>
      </c>
      <c r="AA55" s="13">
        <f>AA48+AA50</f>
        <v/>
      </c>
      <c r="AB55" s="13">
        <f>AB48+AB50</f>
        <v/>
      </c>
      <c r="AC55" s="13">
        <f>AC48+AC50</f>
        <v/>
      </c>
      <c r="AD55" s="13">
        <f>AD48+AD50</f>
        <v/>
      </c>
      <c r="AE55" s="13">
        <f>AE48+AE50</f>
        <v/>
      </c>
      <c r="AF55" s="13">
        <f>AF48+AF50</f>
        <v/>
      </c>
      <c r="AG55" s="13">
        <f>AG48+AG50</f>
        <v/>
      </c>
      <c r="AH55" s="13">
        <f>AH48+AH50</f>
        <v/>
      </c>
      <c r="AI55" s="13">
        <f>AI48+AI50</f>
        <v/>
      </c>
      <c r="AJ55" s="13">
        <f>AJ48+AJ50</f>
        <v/>
      </c>
      <c r="AK55" s="13">
        <f>AK48+AK50</f>
        <v/>
      </c>
      <c r="AL55" s="13">
        <f>AL48+AL50</f>
        <v/>
      </c>
      <c r="AM55" s="13">
        <f>AM48+AM50</f>
        <v/>
      </c>
      <c r="AN55" s="13">
        <f>AN48+AN50</f>
        <v/>
      </c>
      <c r="AO55" s="13">
        <f>AO48+AO50</f>
        <v/>
      </c>
      <c r="AP55" s="13">
        <f>AP48+AP50</f>
        <v/>
      </c>
      <c r="AQ55" s="13">
        <f>AQ48+AQ50</f>
        <v/>
      </c>
      <c r="AR55" s="13">
        <f>AR48+AR50</f>
        <v/>
      </c>
      <c r="AS55" s="13">
        <f>AS48+AS50</f>
        <v/>
      </c>
      <c r="AT55" s="13">
        <f>AT48+AT50</f>
        <v/>
      </c>
      <c r="AU55" s="13">
        <f>AU48+AU50</f>
        <v/>
      </c>
      <c r="AV55" s="13">
        <f>AV48+AV50</f>
        <v/>
      </c>
      <c r="AW55" s="13">
        <f>AW48+AW50</f>
        <v/>
      </c>
      <c r="AX55" s="13">
        <f>AX48+AX50</f>
        <v/>
      </c>
      <c r="AY55" s="13">
        <f>AY48+AY50</f>
        <v/>
      </c>
      <c r="AZ55" s="13">
        <f>AZ48+AZ50</f>
        <v/>
      </c>
      <c r="BA55" s="13">
        <f>BA48+BA50</f>
        <v/>
      </c>
      <c r="BB55" s="13">
        <f>BB48+BB50</f>
        <v/>
      </c>
      <c r="BC55" s="13">
        <f>BC48+BC50</f>
        <v/>
      </c>
      <c r="BD55" s="13">
        <f>BD48+BD50</f>
        <v/>
      </c>
      <c r="BE55" s="13">
        <f>BE48+BE50</f>
        <v/>
      </c>
      <c r="BF55" s="13">
        <f>BF48+BF50</f>
        <v/>
      </c>
      <c r="BG55" s="13">
        <f>BG48+BG50</f>
        <v/>
      </c>
      <c r="BH55" s="13">
        <f>BH48+BH50</f>
        <v/>
      </c>
      <c r="BI55" s="13">
        <f>BI48+BI50</f>
        <v/>
      </c>
      <c r="BJ55" s="13">
        <f>BJ48+BJ50</f>
        <v/>
      </c>
      <c r="BK55" s="13">
        <f>BK48+BK50</f>
        <v/>
      </c>
      <c r="BL55" s="13">
        <f>BL48+BL50</f>
        <v/>
      </c>
      <c r="BM55" s="13">
        <f>BM48+BM50</f>
        <v/>
      </c>
      <c r="BN55" s="13">
        <f>BN48+BN50</f>
        <v/>
      </c>
    </row>
    <row r="56">
      <c r="D56" t="inlineStr">
        <is>
          <t>Total revenue</t>
        </is>
      </c>
      <c r="E56" t="inlineStr">
        <is>
          <t>USD m</t>
        </is>
      </c>
      <c r="G56" s="13">
        <f>SUM(J56:BN56)</f>
        <v/>
      </c>
      <c r="J56" s="13">
        <f>J55+J51+J52+J53+J54</f>
        <v/>
      </c>
      <c r="K56" s="13">
        <f>K55+K51+K52+K53+K54</f>
        <v/>
      </c>
      <c r="L56" s="13">
        <f>L55+L51+L52+L53+L54</f>
        <v/>
      </c>
      <c r="M56" s="13">
        <f>M55+M51+M52+M53+M54</f>
        <v/>
      </c>
      <c r="N56" s="13">
        <f>N55+N51+N52+N53+N54</f>
        <v/>
      </c>
      <c r="O56" s="13">
        <f>O55+O51+O52+O53+O54</f>
        <v/>
      </c>
      <c r="P56" s="13">
        <f>P55+P51+P52+P53+P54</f>
        <v/>
      </c>
      <c r="Q56" s="13">
        <f>Q55+Q51+Q52+Q53+Q54</f>
        <v/>
      </c>
      <c r="R56" s="13">
        <f>R55+R51+R52+R53+R54</f>
        <v/>
      </c>
      <c r="S56" s="13">
        <f>S55+S51+S52+S53+S54</f>
        <v/>
      </c>
      <c r="T56" s="13">
        <f>T55+T51+T52+T53+T54</f>
        <v/>
      </c>
      <c r="U56" s="13">
        <f>U55+U51+U52+U53+U54</f>
        <v/>
      </c>
      <c r="V56" s="13">
        <f>V55+V51+V52+V53+V54</f>
        <v/>
      </c>
      <c r="W56" s="13">
        <f>W55+W51+W52+W53+W54</f>
        <v/>
      </c>
      <c r="X56" s="13">
        <f>X55+X51+X52+X53+X54</f>
        <v/>
      </c>
      <c r="Y56" s="13">
        <f>Y55+Y51+Y52+Y53+Y54</f>
        <v/>
      </c>
      <c r="Z56" s="13">
        <f>Z55+Z51+Z52+Z53+Z54</f>
        <v/>
      </c>
      <c r="AA56" s="13">
        <f>AA55+AA51+AA52+AA53+AA54</f>
        <v/>
      </c>
      <c r="AB56" s="13">
        <f>AB55+AB51+AB52+AB53+AB54</f>
        <v/>
      </c>
      <c r="AC56" s="13">
        <f>AC55+AC51+AC52+AC53+AC54</f>
        <v/>
      </c>
      <c r="AD56" s="13">
        <f>AD55+AD51+AD52+AD53+AD54</f>
        <v/>
      </c>
      <c r="AE56" s="13">
        <f>AE55+AE51+AE52+AE53+AE54</f>
        <v/>
      </c>
      <c r="AF56" s="13">
        <f>AF55+AF51+AF52+AF53+AF54</f>
        <v/>
      </c>
      <c r="AG56" s="13">
        <f>AG55+AG51+AG52+AG53+AG54</f>
        <v/>
      </c>
      <c r="AH56" s="13">
        <f>AH55+AH51+AH52+AH53+AH54</f>
        <v/>
      </c>
      <c r="AI56" s="13">
        <f>AI55+AI51+AI52+AI53+AI54</f>
        <v/>
      </c>
      <c r="AJ56" s="13">
        <f>AJ55+AJ51+AJ52+AJ53+AJ54</f>
        <v/>
      </c>
      <c r="AK56" s="13">
        <f>AK55+AK51+AK52+AK53+AK54</f>
        <v/>
      </c>
      <c r="AL56" s="13">
        <f>AL55+AL51+AL52+AL53+AL54</f>
        <v/>
      </c>
      <c r="AM56" s="13">
        <f>AM55+AM51+AM52+AM53+AM54</f>
        <v/>
      </c>
      <c r="AN56" s="13">
        <f>AN55+AN51+AN52+AN53+AN54</f>
        <v/>
      </c>
      <c r="AO56" s="13">
        <f>AO55+AO51+AO52+AO53+AO54</f>
        <v/>
      </c>
      <c r="AP56" s="13">
        <f>AP55+AP51+AP52+AP53+AP54</f>
        <v/>
      </c>
      <c r="AQ56" s="13">
        <f>AQ55+AQ51+AQ52+AQ53+AQ54</f>
        <v/>
      </c>
      <c r="AR56" s="13">
        <f>AR55+AR51+AR52+AR53+AR54</f>
        <v/>
      </c>
      <c r="AS56" s="13">
        <f>AS55+AS51+AS52+AS53+AS54</f>
        <v/>
      </c>
      <c r="AT56" s="13">
        <f>AT55+AT51+AT52+AT53+AT54</f>
        <v/>
      </c>
      <c r="AU56" s="13">
        <f>AU55+AU51+AU52+AU53+AU54</f>
        <v/>
      </c>
      <c r="AV56" s="13">
        <f>AV55+AV51+AV52+AV53+AV54</f>
        <v/>
      </c>
      <c r="AW56" s="13">
        <f>AW55+AW51+AW52+AW53+AW54</f>
        <v/>
      </c>
      <c r="AX56" s="13">
        <f>AX55+AX51+AX52+AX53+AX54</f>
        <v/>
      </c>
      <c r="AY56" s="13">
        <f>AY55+AY51+AY52+AY53+AY54</f>
        <v/>
      </c>
      <c r="AZ56" s="13">
        <f>AZ55+AZ51+AZ52+AZ53+AZ54</f>
        <v/>
      </c>
      <c r="BA56" s="13">
        <f>BA55+BA51+BA52+BA53+BA54</f>
        <v/>
      </c>
      <c r="BB56" s="13">
        <f>BB55+BB51+BB52+BB53+BB54</f>
        <v/>
      </c>
      <c r="BC56" s="13">
        <f>BC55+BC51+BC52+BC53+BC54</f>
        <v/>
      </c>
      <c r="BD56" s="13">
        <f>BD55+BD51+BD52+BD53+BD54</f>
        <v/>
      </c>
      <c r="BE56" s="13">
        <f>BE55+BE51+BE52+BE53+BE54</f>
        <v/>
      </c>
      <c r="BF56" s="13">
        <f>BF55+BF51+BF52+BF53+BF54</f>
        <v/>
      </c>
      <c r="BG56" s="13">
        <f>BG55+BG51+BG52+BG53+BG54</f>
        <v/>
      </c>
      <c r="BH56" s="13">
        <f>BH55+BH51+BH52+BH53+BH54</f>
        <v/>
      </c>
      <c r="BI56" s="13">
        <f>BI55+BI51+BI52+BI53+BI54</f>
        <v/>
      </c>
      <c r="BJ56" s="13">
        <f>BJ55+BJ51+BJ52+BJ53+BJ54</f>
        <v/>
      </c>
      <c r="BK56" s="13">
        <f>BK55+BK51+BK52+BK53+BK54</f>
        <v/>
      </c>
      <c r="BL56" s="13">
        <f>BL55+BL51+BL52+BL53+BL54</f>
        <v/>
      </c>
      <c r="BM56" s="13">
        <f>BM55+BM51+BM52+BM53+BM54</f>
        <v/>
      </c>
      <c r="BN56" s="13">
        <f>BN55+BN51+BN52+BN53+BN54</f>
        <v/>
      </c>
    </row>
    <row r="57">
      <c r="D57" t="inlineStr">
        <is>
          <t>Late payment interest accrued (to settlement 2024-03-21)</t>
        </is>
      </c>
      <c r="E57" t="inlineStr">
        <is>
          <t>USD m</t>
        </is>
      </c>
      <c r="G57" s="13">
        <f>SUM(J57:BN57)</f>
        <v/>
      </c>
      <c r="J57" s="13">
        <f>IF(Inputs!$F$45=1,AVERAGE(I89,J89)*(J9-Time!J40*Inputs!$F$98+Inputs!$F$263)/100*Time!J55/Inputs!$F$247,0)</f>
        <v/>
      </c>
      <c r="K57" s="13">
        <f>IF(Inputs!$F$45=1,AVERAGE(J89,K89)*(K9-Time!K40*Inputs!$F$98+Inputs!$F$263)/100*Time!K55/Inputs!$F$247,0)</f>
        <v/>
      </c>
      <c r="L57" s="13">
        <f>IF(Inputs!$F$45=1,AVERAGE(K89,L89)*(L9-Time!L40*Inputs!$F$98+Inputs!$F$263)/100*Time!L55/Inputs!$F$247,0)</f>
        <v/>
      </c>
      <c r="M57" s="13">
        <f>IF(Inputs!$F$45=1,AVERAGE(L89,M89)*(M9-Time!M40*Inputs!$F$98+Inputs!$F$263)/100*Time!M55/Inputs!$F$247,0)</f>
        <v/>
      </c>
      <c r="N57" s="13">
        <f>IF(Inputs!$F$45=1,AVERAGE(M89,N89)*(N9-Time!N40*Inputs!$F$98+Inputs!$F$263)/100*Time!N55/Inputs!$F$247,0)</f>
        <v/>
      </c>
      <c r="O57" s="13">
        <f>IF(Inputs!$F$45=1,AVERAGE(N89,O89)*(O9-Time!O40*Inputs!$F$98+Inputs!$F$263)/100*Time!O55/Inputs!$F$247,0)</f>
        <v/>
      </c>
      <c r="P57" s="13">
        <f>IF(Inputs!$F$45=1,AVERAGE(O89,P89)*(P9-Time!P40*Inputs!$F$98+Inputs!$F$263)/100*Time!P55/Inputs!$F$247,0)</f>
        <v/>
      </c>
      <c r="Q57" s="13">
        <f>IF(Inputs!$F$45=1,AVERAGE(P89,Q89)*(Q9-Time!Q40*Inputs!$F$98+Inputs!$F$263)/100*Time!Q55/Inputs!$F$247,0)</f>
        <v/>
      </c>
      <c r="R57" s="13">
        <f>IF(Inputs!$F$45=1,AVERAGE(Q89,R89)*(R9-Time!R40*Inputs!$F$98+Inputs!$F$263)/100*Time!R55/Inputs!$F$247,0)</f>
        <v/>
      </c>
      <c r="S57" s="13">
        <f>IF(Inputs!$F$45=1,AVERAGE(R89,S89)*(S9-Time!S40*Inputs!$F$98+Inputs!$F$263)/100*Time!S55/Inputs!$F$247,0)</f>
        <v/>
      </c>
      <c r="T57" s="13">
        <f>IF(Inputs!$F$45=1,AVERAGE(S89,T89)*(T9-Time!T40*Inputs!$F$98+Inputs!$F$263)/100*Time!T55/Inputs!$F$247,0)</f>
        <v/>
      </c>
      <c r="U57" s="13">
        <f>IF(Inputs!$F$45=1,AVERAGE(T89,U89)*(U9-Time!U40*Inputs!$F$98+Inputs!$F$263)/100*Time!U55/Inputs!$F$247,0)</f>
        <v/>
      </c>
      <c r="V57" s="13">
        <f>IF(Inputs!$F$45=1,AVERAGE(U89,V89)*(V9-Time!V40*Inputs!$F$98+Inputs!$F$263)/100*Time!V55/Inputs!$F$247,0)</f>
        <v/>
      </c>
      <c r="W57" s="13">
        <f>IF(Inputs!$F$45=1,AVERAGE(V89,W89)*(W9-Time!W40*Inputs!$F$98+Inputs!$F$263)/100*Time!W55/Inputs!$F$247,0)</f>
        <v/>
      </c>
      <c r="X57" s="13">
        <f>IF(Inputs!$F$45=1,AVERAGE(W89,X89)*(X9-Time!X40*Inputs!$F$98+Inputs!$F$263)/100*Time!X55/Inputs!$F$247,0)</f>
        <v/>
      </c>
      <c r="Y57" s="13">
        <f>IF(Inputs!$F$45=1,AVERAGE(X89,Y89)*(Y9-Time!Y40*Inputs!$F$98+Inputs!$F$263)/100*Time!Y55/Inputs!$F$247,0)</f>
        <v/>
      </c>
      <c r="Z57" s="13">
        <f>IF(Inputs!$F$45=1,AVERAGE(Y89,Z89)*(Z9-Time!Z40*Inputs!$F$98+Inputs!$F$263)/100*Time!Z55/Inputs!$F$247,0)</f>
        <v/>
      </c>
      <c r="AA57" s="13">
        <f>IF(Inputs!$F$45=1,AVERAGE(Z89,AA89)*(AA9-Time!AA40*Inputs!$F$98+Inputs!$F$263)/100*Time!AA55/Inputs!$F$247,0)</f>
        <v/>
      </c>
      <c r="AB57" s="13">
        <f>IF(Inputs!$F$45=1,AVERAGE(AA89,AB89)*(AB9-Time!AB40*Inputs!$F$98+Inputs!$F$263)/100*Time!AB55/Inputs!$F$247,0)</f>
        <v/>
      </c>
      <c r="AC57" s="13">
        <f>IF(Inputs!$F$45=1,AVERAGE(AB89,AC89)*(AC9-Time!AC40*Inputs!$F$98+Inputs!$F$263)/100*Time!AC55/Inputs!$F$247,0)</f>
        <v/>
      </c>
      <c r="AD57" s="13">
        <f>IF(Inputs!$F$45=1,AVERAGE(AC89,AD89)*(AD9-Time!AD40*Inputs!$F$98+Inputs!$F$263)/100*Time!AD55/Inputs!$F$247,0)</f>
        <v/>
      </c>
      <c r="AE57" s="13">
        <f>IF(Inputs!$F$45=1,AVERAGE(AD89,AE89)*(AE9-Time!AE40*Inputs!$F$98+Inputs!$F$263)/100*Time!AE55/Inputs!$F$247,0)</f>
        <v/>
      </c>
      <c r="AF57" s="13">
        <f>IF(Inputs!$F$45=1,AVERAGE(AE89,AF89)*(AF9-Time!AF40*Inputs!$F$98+Inputs!$F$263)/100*Time!AF55/Inputs!$F$247,0)</f>
        <v/>
      </c>
      <c r="AG57" s="13">
        <f>IF(Inputs!$F$45=1,AVERAGE(AF89,AG89)*(AG9-Time!AG40*Inputs!$F$98+Inputs!$F$263)/100*Time!AG55/Inputs!$F$247,0)</f>
        <v/>
      </c>
      <c r="AH57" s="13">
        <f>IF(Inputs!$F$45=1,AVERAGE(AG89,AH89)*(AH9-Time!AH40*Inputs!$F$98+Inputs!$F$263)/100*Time!AH55/Inputs!$F$247,0)</f>
        <v/>
      </c>
      <c r="AI57" s="13">
        <f>IF(Inputs!$F$45=1,AVERAGE(AH89,AI89)*(AI9-Time!AI40*Inputs!$F$98+Inputs!$F$263)/100*Time!AI55/Inputs!$F$247,0)</f>
        <v/>
      </c>
      <c r="AJ57" s="13">
        <f>IF(Inputs!$F$45=1,AVERAGE(AI89,AJ89)*(AJ9-Time!AJ40*Inputs!$F$98+Inputs!$F$263)/100*Time!AJ55/Inputs!$F$247,0)</f>
        <v/>
      </c>
      <c r="AK57" s="13">
        <f>IF(Inputs!$F$45=1,AVERAGE(AJ89,AK89)*(AK9-Time!AK40*Inputs!$F$98+Inputs!$F$263)/100*Time!AK55/Inputs!$F$247,0)</f>
        <v/>
      </c>
      <c r="AL57" s="13">
        <f>IF(Inputs!$F$45=1,AVERAGE(AK89,AL89)*(AL9-Time!AL40*Inputs!$F$98+Inputs!$F$263)/100*Time!AL55/Inputs!$F$247,0)</f>
        <v/>
      </c>
      <c r="AM57" s="13">
        <f>IF(Inputs!$F$45=1,AVERAGE(AL89,AM89)*(AM9-Time!AM40*Inputs!$F$98+Inputs!$F$263)/100*Time!AM55/Inputs!$F$247,0)</f>
        <v/>
      </c>
      <c r="AN57" s="13">
        <f>IF(Inputs!$F$45=1,AVERAGE(AM89,AN89)*(AN9-Time!AN40*Inputs!$F$98+Inputs!$F$263)/100*Time!AN55/Inputs!$F$247,0)</f>
        <v/>
      </c>
      <c r="AO57" s="13">
        <f>IF(Inputs!$F$45=1,AVERAGE(AN89,AO89)*(AO9-Time!AO40*Inputs!$F$98+Inputs!$F$263)/100*Time!AO55/Inputs!$F$247,0)</f>
        <v/>
      </c>
      <c r="AP57" s="13">
        <f>IF(Inputs!$F$45=1,AVERAGE(AO89,AP89)*(AP9-Time!AP40*Inputs!$F$98+Inputs!$F$263)/100*Time!AP55/Inputs!$F$247,0)</f>
        <v/>
      </c>
      <c r="AQ57" s="13">
        <f>IF(Inputs!$F$45=1,AVERAGE(AP89,AQ89)*(AQ9-Time!AQ40*Inputs!$F$98+Inputs!$F$263)/100*Time!AQ55/Inputs!$F$247,0)</f>
        <v/>
      </c>
      <c r="AR57" s="13">
        <f>IF(Inputs!$F$45=1,AVERAGE(AQ89,AR89)*(AR9-Time!AR40*Inputs!$F$98+Inputs!$F$263)/100*Time!AR55/Inputs!$F$247,0)</f>
        <v/>
      </c>
      <c r="AS57" s="13">
        <f>IF(Inputs!$F$45=1,AVERAGE(AR89,AS89)*(AS9-Time!AS40*Inputs!$F$98+Inputs!$F$263)/100*Time!AS55/Inputs!$F$247,0)</f>
        <v/>
      </c>
      <c r="AT57" s="13">
        <f>IF(Inputs!$F$45=1,AVERAGE(AS89,AT89)*(AT9-Time!AT40*Inputs!$F$98+Inputs!$F$263)/100*Time!AT55/Inputs!$F$247,0)</f>
        <v/>
      </c>
      <c r="AU57" s="13">
        <f>IF(Inputs!$F$45=1,AVERAGE(AT89,AU89)*(AU9-Time!AU40*Inputs!$F$98+Inputs!$F$263)/100*Time!AU55/Inputs!$F$247,0)</f>
        <v/>
      </c>
      <c r="AV57" s="13">
        <f>IF(Inputs!$F$45=1,AVERAGE(AU89,AV89)*(AV9-Time!AV40*Inputs!$F$98+Inputs!$F$263)/100*Time!AV55/Inputs!$F$247,0)</f>
        <v/>
      </c>
      <c r="AW57" s="13">
        <f>IF(Inputs!$F$45=1,AVERAGE(AV89,AW89)*(AW9-Time!AW40*Inputs!$F$98+Inputs!$F$263)/100*Time!AW55/Inputs!$F$247,0)</f>
        <v/>
      </c>
      <c r="AX57" s="13">
        <f>IF(Inputs!$F$45=1,AVERAGE(AW89,AX89)*(AX9-Time!AX40*Inputs!$F$98+Inputs!$F$263)/100*Time!AX55/Inputs!$F$247,0)</f>
        <v/>
      </c>
      <c r="AY57" s="13">
        <f>IF(Inputs!$F$45=1,AVERAGE(AX89,AY89)*(AY9-Time!AY40*Inputs!$F$98+Inputs!$F$263)/100*Time!AY55/Inputs!$F$247,0)</f>
        <v/>
      </c>
      <c r="AZ57" s="13">
        <f>IF(Inputs!$F$45=1,AVERAGE(AY89,AZ89)*(AZ9-Time!AZ40*Inputs!$F$98+Inputs!$F$263)/100*Time!AZ55/Inputs!$F$247,0)</f>
        <v/>
      </c>
      <c r="BA57" s="13">
        <f>IF(Inputs!$F$45=1,AVERAGE(AZ89,BA89)*(BA9-Time!BA40*Inputs!$F$98+Inputs!$F$263)/100*Time!BA55/Inputs!$F$247,0)</f>
        <v/>
      </c>
      <c r="BB57" s="13">
        <f>IF(Inputs!$F$45=1,AVERAGE(BA89,BB89)*(BB9-Time!BB40*Inputs!$F$98+Inputs!$F$263)/100*Time!BB55/Inputs!$F$247,0)</f>
        <v/>
      </c>
      <c r="BC57" s="13">
        <f>IF(Inputs!$F$45=1,AVERAGE(BB89,BC89)*(BC9-Time!BC40*Inputs!$F$98+Inputs!$F$263)/100*Time!BC55/Inputs!$F$247,0)</f>
        <v/>
      </c>
      <c r="BD57" s="13">
        <f>IF(Inputs!$F$45=1,AVERAGE(BC89,BD89)*(BD9-Time!BD40*Inputs!$F$98+Inputs!$F$263)/100*Time!BD55/Inputs!$F$247,0)</f>
        <v/>
      </c>
      <c r="BE57" s="13">
        <f>IF(Inputs!$F$45=1,AVERAGE(BD89,BE89)*(BE9-Time!BE40*Inputs!$F$98+Inputs!$F$263)/100*Time!BE55/Inputs!$F$247,0)</f>
        <v/>
      </c>
      <c r="BF57" s="13">
        <f>IF(Inputs!$F$45=1,AVERAGE(BE89,BF89)*(BF9-Time!BF40*Inputs!$F$98+Inputs!$F$263)/100*Time!BF55/Inputs!$F$247,0)</f>
        <v/>
      </c>
      <c r="BG57" s="13">
        <f>IF(Inputs!$F$45=1,AVERAGE(BF89,BG89)*(BG9-Time!BG40*Inputs!$F$98+Inputs!$F$263)/100*Time!BG55/Inputs!$F$247,0)</f>
        <v/>
      </c>
      <c r="BH57" s="13">
        <f>IF(Inputs!$F$45=1,AVERAGE(BG89,BH89)*(BH9-Time!BH40*Inputs!$F$98+Inputs!$F$263)/100*Time!BH55/Inputs!$F$247,0)</f>
        <v/>
      </c>
      <c r="BI57" s="13">
        <f>IF(Inputs!$F$45=1,AVERAGE(BH89,BI89)*(BI9-Time!BI40*Inputs!$F$98+Inputs!$F$263)/100*Time!BI55/Inputs!$F$247,0)</f>
        <v/>
      </c>
      <c r="BJ57" s="13">
        <f>IF(Inputs!$F$45=1,AVERAGE(BI89,BJ89)*(BJ9-Time!BJ40*Inputs!$F$98+Inputs!$F$263)/100*Time!BJ55/Inputs!$F$247,0)</f>
        <v/>
      </c>
      <c r="BK57" s="13">
        <f>IF(Inputs!$F$45=1,AVERAGE(BJ89,BK89)*(BK9-Time!BK40*Inputs!$F$98+Inputs!$F$263)/100*Time!BK55/Inputs!$F$247,0)</f>
        <v/>
      </c>
      <c r="BL57" s="13">
        <f>IF(Inputs!$F$45=1,AVERAGE(BK89,BL89)*(BL9-Time!BL40*Inputs!$F$98+Inputs!$F$263)/100*Time!BL55/Inputs!$F$247,0)</f>
        <v/>
      </c>
      <c r="BM57" s="13">
        <f>IF(Inputs!$F$45=1,AVERAGE(BL89,BM89)*(BM9-Time!BM40*Inputs!$F$98+Inputs!$F$263)/100*Time!BM55/Inputs!$F$247,0)</f>
        <v/>
      </c>
      <c r="BN57" s="13">
        <f>IF(Inputs!$F$45=1,AVERAGE(BM89,BN89)*(BN9-Time!BN40*Inputs!$F$98+Inputs!$F$263)/100*Time!BN55/Inputs!$F$247,0)</f>
        <v/>
      </c>
    </row>
    <row r="58">
      <c r="D58" t="inlineStr">
        <is>
          <t>Late payment interest received (60%, with settlement installments)</t>
        </is>
      </c>
      <c r="E58" t="inlineStr">
        <is>
          <t>USD m</t>
        </is>
      </c>
      <c r="G58" s="13">
        <f>SUM(J58:BN58)</f>
        <v/>
      </c>
      <c r="J58" s="13">
        <f>Inputs!$F$264*SUM($J$57:$BN$57)*Inputs!J297</f>
        <v/>
      </c>
      <c r="K58" s="13">
        <f>Inputs!$F$264*SUM($J$57:$BN$57)*Inputs!K297</f>
        <v/>
      </c>
      <c r="L58" s="13">
        <f>Inputs!$F$264*SUM($J$57:$BN$57)*Inputs!L297</f>
        <v/>
      </c>
      <c r="M58" s="13">
        <f>Inputs!$F$264*SUM($J$57:$BN$57)*Inputs!M297</f>
        <v/>
      </c>
      <c r="N58" s="13">
        <f>Inputs!$F$264*SUM($J$57:$BN$57)*Inputs!N297</f>
        <v/>
      </c>
      <c r="O58" s="13">
        <f>Inputs!$F$264*SUM($J$57:$BN$57)*Inputs!O297</f>
        <v/>
      </c>
      <c r="P58" s="13">
        <f>Inputs!$F$264*SUM($J$57:$BN$57)*Inputs!P297</f>
        <v/>
      </c>
      <c r="Q58" s="13">
        <f>Inputs!$F$264*SUM($J$57:$BN$57)*Inputs!Q297</f>
        <v/>
      </c>
      <c r="R58" s="13">
        <f>Inputs!$F$264*SUM($J$57:$BN$57)*Inputs!R297</f>
        <v/>
      </c>
      <c r="S58" s="13">
        <f>Inputs!$F$264*SUM($J$57:$BN$57)*Inputs!S297</f>
        <v/>
      </c>
      <c r="T58" s="13">
        <f>Inputs!$F$264*SUM($J$57:$BN$57)*Inputs!T297</f>
        <v/>
      </c>
      <c r="U58" s="13">
        <f>Inputs!$F$264*SUM($J$57:$BN$57)*Inputs!U297</f>
        <v/>
      </c>
      <c r="V58" s="13">
        <f>Inputs!$F$264*SUM($J$57:$BN$57)*Inputs!V297</f>
        <v/>
      </c>
      <c r="W58" s="13">
        <f>Inputs!$F$264*SUM($J$57:$BN$57)*Inputs!W297</f>
        <v/>
      </c>
      <c r="X58" s="13">
        <f>Inputs!$F$264*SUM($J$57:$BN$57)*Inputs!X297</f>
        <v/>
      </c>
      <c r="Y58" s="13">
        <f>Inputs!$F$264*SUM($J$57:$BN$57)*Inputs!Y297</f>
        <v/>
      </c>
      <c r="Z58" s="13">
        <f>Inputs!$F$264*SUM($J$57:$BN$57)*Inputs!Z297</f>
        <v/>
      </c>
      <c r="AA58" s="13">
        <f>Inputs!$F$264*SUM($J$57:$BN$57)*Inputs!AA297</f>
        <v/>
      </c>
      <c r="AB58" s="13">
        <f>Inputs!$F$264*SUM($J$57:$BN$57)*Inputs!AB297</f>
        <v/>
      </c>
      <c r="AC58" s="13">
        <f>Inputs!$F$264*SUM($J$57:$BN$57)*Inputs!AC297</f>
        <v/>
      </c>
      <c r="AD58" s="13">
        <f>Inputs!$F$264*SUM($J$57:$BN$57)*Inputs!AD297</f>
        <v/>
      </c>
      <c r="AE58" s="13">
        <f>Inputs!$F$264*SUM($J$57:$BN$57)*Inputs!AE297</f>
        <v/>
      </c>
      <c r="AF58" s="13">
        <f>Inputs!$F$264*SUM($J$57:$BN$57)*Inputs!AF297</f>
        <v/>
      </c>
      <c r="AG58" s="13">
        <f>Inputs!$F$264*SUM($J$57:$BN$57)*Inputs!AG297</f>
        <v/>
      </c>
      <c r="AH58" s="13">
        <f>Inputs!$F$264*SUM($J$57:$BN$57)*Inputs!AH297</f>
        <v/>
      </c>
      <c r="AI58" s="13">
        <f>Inputs!$F$264*SUM($J$57:$BN$57)*Inputs!AI297</f>
        <v/>
      </c>
      <c r="AJ58" s="13">
        <f>Inputs!$F$264*SUM($J$57:$BN$57)*Inputs!AJ297</f>
        <v/>
      </c>
      <c r="AK58" s="13">
        <f>Inputs!$F$264*SUM($J$57:$BN$57)*Inputs!AK297</f>
        <v/>
      </c>
      <c r="AL58" s="13">
        <f>Inputs!$F$264*SUM($J$57:$BN$57)*Inputs!AL297</f>
        <v/>
      </c>
      <c r="AM58" s="13">
        <f>Inputs!$F$264*SUM($J$57:$BN$57)*Inputs!AM297</f>
        <v/>
      </c>
      <c r="AN58" s="13">
        <f>Inputs!$F$264*SUM($J$57:$BN$57)*Inputs!AN297</f>
        <v/>
      </c>
      <c r="AO58" s="13">
        <f>Inputs!$F$264*SUM($J$57:$BN$57)*Inputs!AO297</f>
        <v/>
      </c>
      <c r="AP58" s="13">
        <f>Inputs!$F$264*SUM($J$57:$BN$57)*Inputs!AP297</f>
        <v/>
      </c>
      <c r="AQ58" s="13">
        <f>Inputs!$F$264*SUM($J$57:$BN$57)*Inputs!AQ297</f>
        <v/>
      </c>
      <c r="AR58" s="13">
        <f>Inputs!$F$264*SUM($J$57:$BN$57)*Inputs!AR297</f>
        <v/>
      </c>
      <c r="AS58" s="13">
        <f>Inputs!$F$264*SUM($J$57:$BN$57)*Inputs!AS297</f>
        <v/>
      </c>
      <c r="AT58" s="13">
        <f>Inputs!$F$264*SUM($J$57:$BN$57)*Inputs!AT297</f>
        <v/>
      </c>
      <c r="AU58" s="13">
        <f>Inputs!$F$264*SUM($J$57:$BN$57)*Inputs!AU297</f>
        <v/>
      </c>
      <c r="AV58" s="13">
        <f>Inputs!$F$264*SUM($J$57:$BN$57)*Inputs!AV297</f>
        <v/>
      </c>
      <c r="AW58" s="13">
        <f>Inputs!$F$264*SUM($J$57:$BN$57)*Inputs!AW297</f>
        <v/>
      </c>
      <c r="AX58" s="13">
        <f>Inputs!$F$264*SUM($J$57:$BN$57)*Inputs!AX297</f>
        <v/>
      </c>
      <c r="AY58" s="13">
        <f>Inputs!$F$264*SUM($J$57:$BN$57)*Inputs!AY297</f>
        <v/>
      </c>
      <c r="AZ58" s="13">
        <f>Inputs!$F$264*SUM($J$57:$BN$57)*Inputs!AZ297</f>
        <v/>
      </c>
      <c r="BA58" s="13">
        <f>Inputs!$F$264*SUM($J$57:$BN$57)*Inputs!BA297</f>
        <v/>
      </c>
      <c r="BB58" s="13">
        <f>Inputs!$F$264*SUM($J$57:$BN$57)*Inputs!BB297</f>
        <v/>
      </c>
      <c r="BC58" s="13">
        <f>Inputs!$F$264*SUM($J$57:$BN$57)*Inputs!BC297</f>
        <v/>
      </c>
      <c r="BD58" s="13">
        <f>Inputs!$F$264*SUM($J$57:$BN$57)*Inputs!BD297</f>
        <v/>
      </c>
      <c r="BE58" s="13">
        <f>Inputs!$F$264*SUM($J$57:$BN$57)*Inputs!BE297</f>
        <v/>
      </c>
      <c r="BF58" s="13">
        <f>Inputs!$F$264*SUM($J$57:$BN$57)*Inputs!BF297</f>
        <v/>
      </c>
      <c r="BG58" s="13">
        <f>Inputs!$F$264*SUM($J$57:$BN$57)*Inputs!BG297</f>
        <v/>
      </c>
      <c r="BH58" s="13">
        <f>Inputs!$F$264*SUM($J$57:$BN$57)*Inputs!BH297</f>
        <v/>
      </c>
      <c r="BI58" s="13">
        <f>Inputs!$F$264*SUM($J$57:$BN$57)*Inputs!BI297</f>
        <v/>
      </c>
      <c r="BJ58" s="13">
        <f>Inputs!$F$264*SUM($J$57:$BN$57)*Inputs!BJ297</f>
        <v/>
      </c>
      <c r="BK58" s="13">
        <f>Inputs!$F$264*SUM($J$57:$BN$57)*Inputs!BK297</f>
        <v/>
      </c>
      <c r="BL58" s="13">
        <f>Inputs!$F$264*SUM($J$57:$BN$57)*Inputs!BL297</f>
        <v/>
      </c>
      <c r="BM58" s="13">
        <f>Inputs!$F$264*SUM($J$57:$BN$57)*Inputs!BM297</f>
        <v/>
      </c>
      <c r="BN58" s="13">
        <f>Inputs!$F$264*SUM($J$57:$BN$57)*Inputs!BN297</f>
        <v/>
      </c>
    </row>
    <row r="59">
      <c r="B59" s="2" t="inlineStr">
        <is>
          <t>Operating costs (USD m)</t>
        </is>
      </c>
    </row>
    <row r="60">
      <c r="D60" t="inlineStr">
        <is>
          <t>O&amp;M fixed fee</t>
        </is>
      </c>
      <c r="E60" t="inlineStr">
        <is>
          <t>USD m</t>
        </is>
      </c>
      <c r="G60" s="13">
        <f>SUM(J60:BN60)</f>
        <v/>
      </c>
      <c r="J60" s="13">
        <f>Inputs!$F$151*(Inputs!$F$152*J21+(1-Inputs!$F$152)*J27*Inputs!$F$153/J11)*Time!J30/12*Inputs!$F$40</f>
        <v/>
      </c>
      <c r="K60" s="13">
        <f>Inputs!$F$151*(Inputs!$F$152*K21+(1-Inputs!$F$152)*K27*Inputs!$F$153/K11)*Time!K30/12*Inputs!$F$40</f>
        <v/>
      </c>
      <c r="L60" s="13">
        <f>Inputs!$F$151*(Inputs!$F$152*L21+(1-Inputs!$F$152)*L27*Inputs!$F$153/L11)*Time!L30/12*Inputs!$F$40</f>
        <v/>
      </c>
      <c r="M60" s="13">
        <f>Inputs!$F$151*(Inputs!$F$152*M21+(1-Inputs!$F$152)*M27*Inputs!$F$153/M11)*Time!M30/12*Inputs!$F$40</f>
        <v/>
      </c>
      <c r="N60" s="13">
        <f>Inputs!$F$151*(Inputs!$F$152*N21+(1-Inputs!$F$152)*N27*Inputs!$F$153/N11)*Time!N30/12*Inputs!$F$40</f>
        <v/>
      </c>
      <c r="O60" s="13">
        <f>Inputs!$F$151*(Inputs!$F$152*O21+(1-Inputs!$F$152)*O27*Inputs!$F$153/O11)*Time!O30/12*Inputs!$F$40</f>
        <v/>
      </c>
      <c r="P60" s="13">
        <f>Inputs!$F$151*(Inputs!$F$152*P21+(1-Inputs!$F$152)*P27*Inputs!$F$153/P11)*Time!P30/12*Inputs!$F$40</f>
        <v/>
      </c>
      <c r="Q60" s="13">
        <f>Inputs!$F$151*(Inputs!$F$152*Q21+(1-Inputs!$F$152)*Q27*Inputs!$F$153/Q11)*Time!Q30/12*Inputs!$F$40</f>
        <v/>
      </c>
      <c r="R60" s="13">
        <f>Inputs!$F$151*(Inputs!$F$152*R21+(1-Inputs!$F$152)*R27*Inputs!$F$153/R11)*Time!R30/12*Inputs!$F$40</f>
        <v/>
      </c>
      <c r="S60" s="13">
        <f>Inputs!$F$151*(Inputs!$F$152*S21+(1-Inputs!$F$152)*S27*Inputs!$F$153/S11)*Time!S30/12*Inputs!$F$40</f>
        <v/>
      </c>
      <c r="T60" s="13">
        <f>Inputs!$F$151*(Inputs!$F$152*T21+(1-Inputs!$F$152)*T27*Inputs!$F$153/T11)*Time!T30/12*Inputs!$F$40</f>
        <v/>
      </c>
      <c r="U60" s="13">
        <f>Inputs!$F$151*(Inputs!$F$152*U21+(1-Inputs!$F$152)*U27*Inputs!$F$153/U11)*Time!U30/12*Inputs!$F$40</f>
        <v/>
      </c>
      <c r="V60" s="13">
        <f>Inputs!$F$151*(Inputs!$F$152*V21+(1-Inputs!$F$152)*V27*Inputs!$F$153/V11)*Time!V30/12*Inputs!$F$40</f>
        <v/>
      </c>
      <c r="W60" s="13">
        <f>Inputs!$F$151*(Inputs!$F$152*W21+(1-Inputs!$F$152)*W27*Inputs!$F$153/W11)*Time!W30/12*Inputs!$F$40</f>
        <v/>
      </c>
      <c r="X60" s="13">
        <f>Inputs!$F$151*(Inputs!$F$152*X21+(1-Inputs!$F$152)*X27*Inputs!$F$153/X11)*Time!X30/12*Inputs!$F$40</f>
        <v/>
      </c>
      <c r="Y60" s="13">
        <f>Inputs!$F$151*(Inputs!$F$152*Y21+(1-Inputs!$F$152)*Y27*Inputs!$F$153/Y11)*Time!Y30/12*Inputs!$F$40</f>
        <v/>
      </c>
      <c r="Z60" s="13">
        <f>Inputs!$F$151*(Inputs!$F$152*Z21+(1-Inputs!$F$152)*Z27*Inputs!$F$153/Z11)*Time!Z30/12*Inputs!$F$40</f>
        <v/>
      </c>
      <c r="AA60" s="13">
        <f>Inputs!$F$151*(Inputs!$F$152*AA21+(1-Inputs!$F$152)*AA27*Inputs!$F$153/AA11)*Time!AA30/12*Inputs!$F$40</f>
        <v/>
      </c>
      <c r="AB60" s="13">
        <f>Inputs!$F$151*(Inputs!$F$152*AB21+(1-Inputs!$F$152)*AB27*Inputs!$F$153/AB11)*Time!AB30/12*Inputs!$F$40</f>
        <v/>
      </c>
      <c r="AC60" s="13">
        <f>Inputs!$F$151*(Inputs!$F$152*AC21+(1-Inputs!$F$152)*AC27*Inputs!$F$153/AC11)*Time!AC30/12*Inputs!$F$40</f>
        <v/>
      </c>
      <c r="AD60" s="13">
        <f>Inputs!$F$151*(Inputs!$F$152*AD21+(1-Inputs!$F$152)*AD27*Inputs!$F$153/AD11)*Time!AD30/12*Inputs!$F$40</f>
        <v/>
      </c>
      <c r="AE60" s="13">
        <f>Inputs!$F$151*(Inputs!$F$152*AE21+(1-Inputs!$F$152)*AE27*Inputs!$F$153/AE11)*Time!AE30/12*Inputs!$F$40</f>
        <v/>
      </c>
      <c r="AF60" s="13">
        <f>Inputs!$F$151*(Inputs!$F$152*AF21+(1-Inputs!$F$152)*AF27*Inputs!$F$153/AF11)*Time!AF30/12*Inputs!$F$40</f>
        <v/>
      </c>
      <c r="AG60" s="13">
        <f>Inputs!$F$151*(Inputs!$F$152*AG21+(1-Inputs!$F$152)*AG27*Inputs!$F$153/AG11)*Time!AG30/12*Inputs!$F$40</f>
        <v/>
      </c>
      <c r="AH60" s="13">
        <f>Inputs!$F$151*(Inputs!$F$152*AH21+(1-Inputs!$F$152)*AH27*Inputs!$F$153/AH11)*Time!AH30/12*Inputs!$F$40</f>
        <v/>
      </c>
      <c r="AI60" s="13">
        <f>Inputs!$F$151*(Inputs!$F$152*AI21+(1-Inputs!$F$152)*AI27*Inputs!$F$153/AI11)*Time!AI30/12*Inputs!$F$40</f>
        <v/>
      </c>
      <c r="AJ60" s="13">
        <f>Inputs!$F$151*(Inputs!$F$152*AJ21+(1-Inputs!$F$152)*AJ27*Inputs!$F$153/AJ11)*Time!AJ30/12*Inputs!$F$40</f>
        <v/>
      </c>
      <c r="AK60" s="13">
        <f>Inputs!$F$151*(Inputs!$F$152*AK21+(1-Inputs!$F$152)*AK27*Inputs!$F$153/AK11)*Time!AK30/12*Inputs!$F$40</f>
        <v/>
      </c>
      <c r="AL60" s="13">
        <f>Inputs!$F$151*(Inputs!$F$152*AL21+(1-Inputs!$F$152)*AL27*Inputs!$F$153/AL11)*Time!AL30/12*Inputs!$F$40</f>
        <v/>
      </c>
      <c r="AM60" s="13">
        <f>Inputs!$F$151*(Inputs!$F$152*AM21+(1-Inputs!$F$152)*AM27*Inputs!$F$153/AM11)*Time!AM30/12*Inputs!$F$40</f>
        <v/>
      </c>
      <c r="AN60" s="13">
        <f>Inputs!$F$151*(Inputs!$F$152*AN21+(1-Inputs!$F$152)*AN27*Inputs!$F$153/AN11)*Time!AN30/12*Inputs!$F$40</f>
        <v/>
      </c>
      <c r="AO60" s="13">
        <f>Inputs!$F$151*(Inputs!$F$152*AO21+(1-Inputs!$F$152)*AO27*Inputs!$F$153/AO11)*Time!AO30/12*Inputs!$F$40</f>
        <v/>
      </c>
      <c r="AP60" s="13">
        <f>Inputs!$F$151*(Inputs!$F$152*AP21+(1-Inputs!$F$152)*AP27*Inputs!$F$153/AP11)*Time!AP30/12*Inputs!$F$40</f>
        <v/>
      </c>
      <c r="AQ60" s="13">
        <f>Inputs!$F$151*(Inputs!$F$152*AQ21+(1-Inputs!$F$152)*AQ27*Inputs!$F$153/AQ11)*Time!AQ30/12*Inputs!$F$40</f>
        <v/>
      </c>
      <c r="AR60" s="13">
        <f>Inputs!$F$151*(Inputs!$F$152*AR21+(1-Inputs!$F$152)*AR27*Inputs!$F$153/AR11)*Time!AR30/12*Inputs!$F$40</f>
        <v/>
      </c>
      <c r="AS60" s="13">
        <f>Inputs!$F$151*(Inputs!$F$152*AS21+(1-Inputs!$F$152)*AS27*Inputs!$F$153/AS11)*Time!AS30/12*Inputs!$F$40</f>
        <v/>
      </c>
      <c r="AT60" s="13">
        <f>Inputs!$F$151*(Inputs!$F$152*AT21+(1-Inputs!$F$152)*AT27*Inputs!$F$153/AT11)*Time!AT30/12*Inputs!$F$40</f>
        <v/>
      </c>
      <c r="AU60" s="13">
        <f>Inputs!$F$151*(Inputs!$F$152*AU21+(1-Inputs!$F$152)*AU27*Inputs!$F$153/AU11)*Time!AU30/12*Inputs!$F$40</f>
        <v/>
      </c>
      <c r="AV60" s="13">
        <f>Inputs!$F$151*(Inputs!$F$152*AV21+(1-Inputs!$F$152)*AV27*Inputs!$F$153/AV11)*Time!AV30/12*Inputs!$F$40</f>
        <v/>
      </c>
      <c r="AW60" s="13">
        <f>Inputs!$F$151*(Inputs!$F$152*AW21+(1-Inputs!$F$152)*AW27*Inputs!$F$153/AW11)*Time!AW30/12*Inputs!$F$40</f>
        <v/>
      </c>
      <c r="AX60" s="13">
        <f>Inputs!$F$151*(Inputs!$F$152*AX21+(1-Inputs!$F$152)*AX27*Inputs!$F$153/AX11)*Time!AX30/12*Inputs!$F$40</f>
        <v/>
      </c>
      <c r="AY60" s="13">
        <f>Inputs!$F$151*(Inputs!$F$152*AY21+(1-Inputs!$F$152)*AY27*Inputs!$F$153/AY11)*Time!AY30/12*Inputs!$F$40</f>
        <v/>
      </c>
      <c r="AZ60" s="13">
        <f>Inputs!$F$151*(Inputs!$F$152*AZ21+(1-Inputs!$F$152)*AZ27*Inputs!$F$153/AZ11)*Time!AZ30/12*Inputs!$F$40</f>
        <v/>
      </c>
      <c r="BA60" s="13">
        <f>Inputs!$F$151*(Inputs!$F$152*BA21+(1-Inputs!$F$152)*BA27*Inputs!$F$153/BA11)*Time!BA30/12*Inputs!$F$40</f>
        <v/>
      </c>
      <c r="BB60" s="13">
        <f>Inputs!$F$151*(Inputs!$F$152*BB21+(1-Inputs!$F$152)*BB27*Inputs!$F$153/BB11)*Time!BB30/12*Inputs!$F$40</f>
        <v/>
      </c>
      <c r="BC60" s="13">
        <f>Inputs!$F$151*(Inputs!$F$152*BC21+(1-Inputs!$F$152)*BC27*Inputs!$F$153/BC11)*Time!BC30/12*Inputs!$F$40</f>
        <v/>
      </c>
      <c r="BD60" s="13">
        <f>Inputs!$F$151*(Inputs!$F$152*BD21+(1-Inputs!$F$152)*BD27*Inputs!$F$153/BD11)*Time!BD30/12*Inputs!$F$40</f>
        <v/>
      </c>
      <c r="BE60" s="13">
        <f>Inputs!$F$151*(Inputs!$F$152*BE21+(1-Inputs!$F$152)*BE27*Inputs!$F$153/BE11)*Time!BE30/12*Inputs!$F$40</f>
        <v/>
      </c>
      <c r="BF60" s="13">
        <f>Inputs!$F$151*(Inputs!$F$152*BF21+(1-Inputs!$F$152)*BF27*Inputs!$F$153/BF11)*Time!BF30/12*Inputs!$F$40</f>
        <v/>
      </c>
      <c r="BG60" s="13">
        <f>Inputs!$F$151*(Inputs!$F$152*BG21+(1-Inputs!$F$152)*BG27*Inputs!$F$153/BG11)*Time!BG30/12*Inputs!$F$40</f>
        <v/>
      </c>
      <c r="BH60" s="13">
        <f>Inputs!$F$151*(Inputs!$F$152*BH21+(1-Inputs!$F$152)*BH27*Inputs!$F$153/BH11)*Time!BH30/12*Inputs!$F$40</f>
        <v/>
      </c>
      <c r="BI60" s="13">
        <f>Inputs!$F$151*(Inputs!$F$152*BI21+(1-Inputs!$F$152)*BI27*Inputs!$F$153/BI11)*Time!BI30/12*Inputs!$F$40</f>
        <v/>
      </c>
      <c r="BJ60" s="13">
        <f>Inputs!$F$151*(Inputs!$F$152*BJ21+(1-Inputs!$F$152)*BJ27*Inputs!$F$153/BJ11)*Time!BJ30/12*Inputs!$F$40</f>
        <v/>
      </c>
      <c r="BK60" s="13">
        <f>Inputs!$F$151*(Inputs!$F$152*BK21+(1-Inputs!$F$152)*BK27*Inputs!$F$153/BK11)*Time!BK30/12*Inputs!$F$40</f>
        <v/>
      </c>
      <c r="BL60" s="13">
        <f>Inputs!$F$151*(Inputs!$F$152*BL21+(1-Inputs!$F$152)*BL27*Inputs!$F$153/BL11)*Time!BL30/12*Inputs!$F$40</f>
        <v/>
      </c>
      <c r="BM60" s="13">
        <f>Inputs!$F$151*(Inputs!$F$152*BM21+(1-Inputs!$F$152)*BM27*Inputs!$F$153/BM11)*Time!BM30/12*Inputs!$F$40</f>
        <v/>
      </c>
      <c r="BN60" s="13">
        <f>Inputs!$F$151*(Inputs!$F$152*BN21+(1-Inputs!$F$152)*BN27*Inputs!$F$153/BN11)*Time!BN30/12*Inputs!$F$40</f>
        <v/>
      </c>
    </row>
    <row r="61">
      <c r="D61" t="inlineStr">
        <is>
          <t>O&amp;M availability incentive</t>
        </is>
      </c>
      <c r="E61" t="inlineStr">
        <is>
          <t>USD m</t>
        </is>
      </c>
      <c r="G61" s="13">
        <f>SUM(J61:BN61)</f>
        <v/>
      </c>
      <c r="J61" s="13">
        <f>IF(Time!J30&gt;0,Inputs!$F$154*MAX(-1,MIN(1,(J32-Inputs!$F$216)/Inputs!$F$217))*J21*Time!J30/12,0)</f>
        <v/>
      </c>
      <c r="K61" s="13">
        <f>IF(Time!K30&gt;0,Inputs!$F$154*MAX(-1,MIN(1,(K32-Inputs!$F$216)/Inputs!$F$217))*K21*Time!K30/12,0)</f>
        <v/>
      </c>
      <c r="L61" s="13">
        <f>IF(Time!L30&gt;0,Inputs!$F$154*MAX(-1,MIN(1,(L32-Inputs!$F$216)/Inputs!$F$217))*L21*Time!L30/12,0)</f>
        <v/>
      </c>
      <c r="M61" s="13">
        <f>IF(Time!M30&gt;0,Inputs!$F$154*MAX(-1,MIN(1,(M32-Inputs!$F$216)/Inputs!$F$217))*M21*Time!M30/12,0)</f>
        <v/>
      </c>
      <c r="N61" s="13">
        <f>IF(Time!N30&gt;0,Inputs!$F$154*MAX(-1,MIN(1,(N32-Inputs!$F$216)/Inputs!$F$217))*N21*Time!N30/12,0)</f>
        <v/>
      </c>
      <c r="O61" s="13">
        <f>IF(Time!O30&gt;0,Inputs!$F$154*MAX(-1,MIN(1,(O32-Inputs!$F$216)/Inputs!$F$217))*O21*Time!O30/12,0)</f>
        <v/>
      </c>
      <c r="P61" s="13">
        <f>IF(Time!P30&gt;0,Inputs!$F$154*MAX(-1,MIN(1,(P32-Inputs!$F$216)/Inputs!$F$217))*P21*Time!P30/12,0)</f>
        <v/>
      </c>
      <c r="Q61" s="13">
        <f>IF(Time!Q30&gt;0,Inputs!$F$154*MAX(-1,MIN(1,(Q32-Inputs!$F$216)/Inputs!$F$217))*Q21*Time!Q30/12,0)</f>
        <v/>
      </c>
      <c r="R61" s="13">
        <f>IF(Time!R30&gt;0,Inputs!$F$154*MAX(-1,MIN(1,(R32-Inputs!$F$216)/Inputs!$F$217))*R21*Time!R30/12,0)</f>
        <v/>
      </c>
      <c r="S61" s="13">
        <f>IF(Time!S30&gt;0,Inputs!$F$154*MAX(-1,MIN(1,(S32-Inputs!$F$216)/Inputs!$F$217))*S21*Time!S30/12,0)</f>
        <v/>
      </c>
      <c r="T61" s="13">
        <f>IF(Time!T30&gt;0,Inputs!$F$154*MAX(-1,MIN(1,(T32-Inputs!$F$216)/Inputs!$F$217))*T21*Time!T30/12,0)</f>
        <v/>
      </c>
      <c r="U61" s="13">
        <f>IF(Time!U30&gt;0,Inputs!$F$154*MAX(-1,MIN(1,(U32-Inputs!$F$216)/Inputs!$F$217))*U21*Time!U30/12,0)</f>
        <v/>
      </c>
      <c r="V61" s="13">
        <f>IF(Time!V30&gt;0,Inputs!$F$154*MAX(-1,MIN(1,(V32-Inputs!$F$216)/Inputs!$F$217))*V21*Time!V30/12,0)</f>
        <v/>
      </c>
      <c r="W61" s="13">
        <f>IF(Time!W30&gt;0,Inputs!$F$154*MAX(-1,MIN(1,(W32-Inputs!$F$216)/Inputs!$F$217))*W21*Time!W30/12,0)</f>
        <v/>
      </c>
      <c r="X61" s="13">
        <f>IF(Time!X30&gt;0,Inputs!$F$154*MAX(-1,MIN(1,(X32-Inputs!$F$216)/Inputs!$F$217))*X21*Time!X30/12,0)</f>
        <v/>
      </c>
      <c r="Y61" s="13">
        <f>IF(Time!Y30&gt;0,Inputs!$F$154*MAX(-1,MIN(1,(Y32-Inputs!$F$216)/Inputs!$F$217))*Y21*Time!Y30/12,0)</f>
        <v/>
      </c>
      <c r="Z61" s="13">
        <f>IF(Time!Z30&gt;0,Inputs!$F$154*MAX(-1,MIN(1,(Z32-Inputs!$F$216)/Inputs!$F$217))*Z21*Time!Z30/12,0)</f>
        <v/>
      </c>
      <c r="AA61" s="13">
        <f>IF(Time!AA30&gt;0,Inputs!$F$154*MAX(-1,MIN(1,(AA32-Inputs!$F$216)/Inputs!$F$217))*AA21*Time!AA30/12,0)</f>
        <v/>
      </c>
      <c r="AB61" s="13">
        <f>IF(Time!AB30&gt;0,Inputs!$F$154*MAX(-1,MIN(1,(AB32-Inputs!$F$216)/Inputs!$F$217))*AB21*Time!AB30/12,0)</f>
        <v/>
      </c>
      <c r="AC61" s="13">
        <f>IF(Time!AC30&gt;0,Inputs!$F$154*MAX(-1,MIN(1,(AC32-Inputs!$F$216)/Inputs!$F$217))*AC21*Time!AC30/12,0)</f>
        <v/>
      </c>
      <c r="AD61" s="13">
        <f>IF(Time!AD30&gt;0,Inputs!$F$154*MAX(-1,MIN(1,(AD32-Inputs!$F$216)/Inputs!$F$217))*AD21*Time!AD30/12,0)</f>
        <v/>
      </c>
      <c r="AE61" s="13">
        <f>IF(Time!AE30&gt;0,Inputs!$F$154*MAX(-1,MIN(1,(AE32-Inputs!$F$216)/Inputs!$F$217))*AE21*Time!AE30/12,0)</f>
        <v/>
      </c>
      <c r="AF61" s="13">
        <f>IF(Time!AF30&gt;0,Inputs!$F$154*MAX(-1,MIN(1,(AF32-Inputs!$F$216)/Inputs!$F$217))*AF21*Time!AF30/12,0)</f>
        <v/>
      </c>
      <c r="AG61" s="13">
        <f>IF(Time!AG30&gt;0,Inputs!$F$154*MAX(-1,MIN(1,(AG32-Inputs!$F$216)/Inputs!$F$217))*AG21*Time!AG30/12,0)</f>
        <v/>
      </c>
      <c r="AH61" s="13">
        <f>IF(Time!AH30&gt;0,Inputs!$F$154*MAX(-1,MIN(1,(AH32-Inputs!$F$216)/Inputs!$F$217))*AH21*Time!AH30/12,0)</f>
        <v/>
      </c>
      <c r="AI61" s="13">
        <f>IF(Time!AI30&gt;0,Inputs!$F$154*MAX(-1,MIN(1,(AI32-Inputs!$F$216)/Inputs!$F$217))*AI21*Time!AI30/12,0)</f>
        <v/>
      </c>
      <c r="AJ61" s="13">
        <f>IF(Time!AJ30&gt;0,Inputs!$F$154*MAX(-1,MIN(1,(AJ32-Inputs!$F$216)/Inputs!$F$217))*AJ21*Time!AJ30/12,0)</f>
        <v/>
      </c>
      <c r="AK61" s="13">
        <f>IF(Time!AK30&gt;0,Inputs!$F$154*MAX(-1,MIN(1,(AK32-Inputs!$F$216)/Inputs!$F$217))*AK21*Time!AK30/12,0)</f>
        <v/>
      </c>
      <c r="AL61" s="13">
        <f>IF(Time!AL30&gt;0,Inputs!$F$154*MAX(-1,MIN(1,(AL32-Inputs!$F$216)/Inputs!$F$217))*AL21*Time!AL30/12,0)</f>
        <v/>
      </c>
      <c r="AM61" s="13">
        <f>IF(Time!AM30&gt;0,Inputs!$F$154*MAX(-1,MIN(1,(AM32-Inputs!$F$216)/Inputs!$F$217))*AM21*Time!AM30/12,0)</f>
        <v/>
      </c>
      <c r="AN61" s="13">
        <f>IF(Time!AN30&gt;0,Inputs!$F$154*MAX(-1,MIN(1,(AN32-Inputs!$F$216)/Inputs!$F$217))*AN21*Time!AN30/12,0)</f>
        <v/>
      </c>
      <c r="AO61" s="13">
        <f>IF(Time!AO30&gt;0,Inputs!$F$154*MAX(-1,MIN(1,(AO32-Inputs!$F$216)/Inputs!$F$217))*AO21*Time!AO30/12,0)</f>
        <v/>
      </c>
      <c r="AP61" s="13">
        <f>IF(Time!AP30&gt;0,Inputs!$F$154*MAX(-1,MIN(1,(AP32-Inputs!$F$216)/Inputs!$F$217))*AP21*Time!AP30/12,0)</f>
        <v/>
      </c>
      <c r="AQ61" s="13">
        <f>IF(Time!AQ30&gt;0,Inputs!$F$154*MAX(-1,MIN(1,(AQ32-Inputs!$F$216)/Inputs!$F$217))*AQ21*Time!AQ30/12,0)</f>
        <v/>
      </c>
      <c r="AR61" s="13">
        <f>IF(Time!AR30&gt;0,Inputs!$F$154*MAX(-1,MIN(1,(AR32-Inputs!$F$216)/Inputs!$F$217))*AR21*Time!AR30/12,0)</f>
        <v/>
      </c>
      <c r="AS61" s="13">
        <f>IF(Time!AS30&gt;0,Inputs!$F$154*MAX(-1,MIN(1,(AS32-Inputs!$F$216)/Inputs!$F$217))*AS21*Time!AS30/12,0)</f>
        <v/>
      </c>
      <c r="AT61" s="13">
        <f>IF(Time!AT30&gt;0,Inputs!$F$154*MAX(-1,MIN(1,(AT32-Inputs!$F$216)/Inputs!$F$217))*AT21*Time!AT30/12,0)</f>
        <v/>
      </c>
      <c r="AU61" s="13">
        <f>IF(Time!AU30&gt;0,Inputs!$F$154*MAX(-1,MIN(1,(AU32-Inputs!$F$216)/Inputs!$F$217))*AU21*Time!AU30/12,0)</f>
        <v/>
      </c>
      <c r="AV61" s="13">
        <f>IF(Time!AV30&gt;0,Inputs!$F$154*MAX(-1,MIN(1,(AV32-Inputs!$F$216)/Inputs!$F$217))*AV21*Time!AV30/12,0)</f>
        <v/>
      </c>
      <c r="AW61" s="13">
        <f>IF(Time!AW30&gt;0,Inputs!$F$154*MAX(-1,MIN(1,(AW32-Inputs!$F$216)/Inputs!$F$217))*AW21*Time!AW30/12,0)</f>
        <v/>
      </c>
      <c r="AX61" s="13">
        <f>IF(Time!AX30&gt;0,Inputs!$F$154*MAX(-1,MIN(1,(AX32-Inputs!$F$216)/Inputs!$F$217))*AX21*Time!AX30/12,0)</f>
        <v/>
      </c>
      <c r="AY61" s="13">
        <f>IF(Time!AY30&gt;0,Inputs!$F$154*MAX(-1,MIN(1,(AY32-Inputs!$F$216)/Inputs!$F$217))*AY21*Time!AY30/12,0)</f>
        <v/>
      </c>
      <c r="AZ61" s="13">
        <f>IF(Time!AZ30&gt;0,Inputs!$F$154*MAX(-1,MIN(1,(AZ32-Inputs!$F$216)/Inputs!$F$217))*AZ21*Time!AZ30/12,0)</f>
        <v/>
      </c>
      <c r="BA61" s="13">
        <f>IF(Time!BA30&gt;0,Inputs!$F$154*MAX(-1,MIN(1,(BA32-Inputs!$F$216)/Inputs!$F$217))*BA21*Time!BA30/12,0)</f>
        <v/>
      </c>
      <c r="BB61" s="13">
        <f>IF(Time!BB30&gt;0,Inputs!$F$154*MAX(-1,MIN(1,(BB32-Inputs!$F$216)/Inputs!$F$217))*BB21*Time!BB30/12,0)</f>
        <v/>
      </c>
      <c r="BC61" s="13">
        <f>IF(Time!BC30&gt;0,Inputs!$F$154*MAX(-1,MIN(1,(BC32-Inputs!$F$216)/Inputs!$F$217))*BC21*Time!BC30/12,0)</f>
        <v/>
      </c>
      <c r="BD61" s="13">
        <f>IF(Time!BD30&gt;0,Inputs!$F$154*MAX(-1,MIN(1,(BD32-Inputs!$F$216)/Inputs!$F$217))*BD21*Time!BD30/12,0)</f>
        <v/>
      </c>
      <c r="BE61" s="13">
        <f>IF(Time!BE30&gt;0,Inputs!$F$154*MAX(-1,MIN(1,(BE32-Inputs!$F$216)/Inputs!$F$217))*BE21*Time!BE30/12,0)</f>
        <v/>
      </c>
      <c r="BF61" s="13">
        <f>IF(Time!BF30&gt;0,Inputs!$F$154*MAX(-1,MIN(1,(BF32-Inputs!$F$216)/Inputs!$F$217))*BF21*Time!BF30/12,0)</f>
        <v/>
      </c>
      <c r="BG61" s="13">
        <f>IF(Time!BG30&gt;0,Inputs!$F$154*MAX(-1,MIN(1,(BG32-Inputs!$F$216)/Inputs!$F$217))*BG21*Time!BG30/12,0)</f>
        <v/>
      </c>
      <c r="BH61" s="13">
        <f>IF(Time!BH30&gt;0,Inputs!$F$154*MAX(-1,MIN(1,(BH32-Inputs!$F$216)/Inputs!$F$217))*BH21*Time!BH30/12,0)</f>
        <v/>
      </c>
      <c r="BI61" s="13">
        <f>IF(Time!BI30&gt;0,Inputs!$F$154*MAX(-1,MIN(1,(BI32-Inputs!$F$216)/Inputs!$F$217))*BI21*Time!BI30/12,0)</f>
        <v/>
      </c>
      <c r="BJ61" s="13">
        <f>IF(Time!BJ30&gt;0,Inputs!$F$154*MAX(-1,MIN(1,(BJ32-Inputs!$F$216)/Inputs!$F$217))*BJ21*Time!BJ30/12,0)</f>
        <v/>
      </c>
      <c r="BK61" s="13">
        <f>IF(Time!BK30&gt;0,Inputs!$F$154*MAX(-1,MIN(1,(BK32-Inputs!$F$216)/Inputs!$F$217))*BK21*Time!BK30/12,0)</f>
        <v/>
      </c>
      <c r="BL61" s="13">
        <f>IF(Time!BL30&gt;0,Inputs!$F$154*MAX(-1,MIN(1,(BL32-Inputs!$F$216)/Inputs!$F$217))*BL21*Time!BL30/12,0)</f>
        <v/>
      </c>
      <c r="BM61" s="13">
        <f>IF(Time!BM30&gt;0,Inputs!$F$154*MAX(-1,MIN(1,(BM32-Inputs!$F$216)/Inputs!$F$217))*BM21*Time!BM30/12,0)</f>
        <v/>
      </c>
      <c r="BN61" s="13">
        <f>IF(Time!BN30&gt;0,Inputs!$F$154*MAX(-1,MIN(1,(BN32-Inputs!$F$216)/Inputs!$F$217))*BN21*Time!BN30/12,0)</f>
        <v/>
      </c>
    </row>
    <row r="62">
      <c r="D62" t="inlineStr">
        <is>
          <t>LTSA fixed fee</t>
        </is>
      </c>
      <c r="E62" t="inlineStr">
        <is>
          <t>USD m</t>
        </is>
      </c>
      <c r="G62" s="13">
        <f>SUM(J62:BN62)</f>
        <v/>
      </c>
      <c r="J62" s="13">
        <f>Inputs!$F$155*J21*Time!J30/12*Inputs!$F$40</f>
        <v/>
      </c>
      <c r="K62" s="13">
        <f>Inputs!$F$155*K21*Time!K30/12*Inputs!$F$40</f>
        <v/>
      </c>
      <c r="L62" s="13">
        <f>Inputs!$F$155*L21*Time!L30/12*Inputs!$F$40</f>
        <v/>
      </c>
      <c r="M62" s="13">
        <f>Inputs!$F$155*M21*Time!M30/12*Inputs!$F$40</f>
        <v/>
      </c>
      <c r="N62" s="13">
        <f>Inputs!$F$155*N21*Time!N30/12*Inputs!$F$40</f>
        <v/>
      </c>
      <c r="O62" s="13">
        <f>Inputs!$F$155*O21*Time!O30/12*Inputs!$F$40</f>
        <v/>
      </c>
      <c r="P62" s="13">
        <f>Inputs!$F$155*P21*Time!P30/12*Inputs!$F$40</f>
        <v/>
      </c>
      <c r="Q62" s="13">
        <f>Inputs!$F$155*Q21*Time!Q30/12*Inputs!$F$40</f>
        <v/>
      </c>
      <c r="R62" s="13">
        <f>Inputs!$F$155*R21*Time!R30/12*Inputs!$F$40</f>
        <v/>
      </c>
      <c r="S62" s="13">
        <f>Inputs!$F$155*S21*Time!S30/12*Inputs!$F$40</f>
        <v/>
      </c>
      <c r="T62" s="13">
        <f>Inputs!$F$155*T21*Time!T30/12*Inputs!$F$40</f>
        <v/>
      </c>
      <c r="U62" s="13">
        <f>Inputs!$F$155*U21*Time!U30/12*Inputs!$F$40</f>
        <v/>
      </c>
      <c r="V62" s="13">
        <f>Inputs!$F$155*V21*Time!V30/12*Inputs!$F$40</f>
        <v/>
      </c>
      <c r="W62" s="13">
        <f>Inputs!$F$155*W21*Time!W30/12*Inputs!$F$40</f>
        <v/>
      </c>
      <c r="X62" s="13">
        <f>Inputs!$F$155*X21*Time!X30/12*Inputs!$F$40</f>
        <v/>
      </c>
      <c r="Y62" s="13">
        <f>Inputs!$F$155*Y21*Time!Y30/12*Inputs!$F$40</f>
        <v/>
      </c>
      <c r="Z62" s="13">
        <f>Inputs!$F$155*Z21*Time!Z30/12*Inputs!$F$40</f>
        <v/>
      </c>
      <c r="AA62" s="13">
        <f>Inputs!$F$155*AA21*Time!AA30/12*Inputs!$F$40</f>
        <v/>
      </c>
      <c r="AB62" s="13">
        <f>Inputs!$F$155*AB21*Time!AB30/12*Inputs!$F$40</f>
        <v/>
      </c>
      <c r="AC62" s="13">
        <f>Inputs!$F$155*AC21*Time!AC30/12*Inputs!$F$40</f>
        <v/>
      </c>
      <c r="AD62" s="13">
        <f>Inputs!$F$155*AD21*Time!AD30/12*Inputs!$F$40</f>
        <v/>
      </c>
      <c r="AE62" s="13">
        <f>Inputs!$F$155*AE21*Time!AE30/12*Inputs!$F$40</f>
        <v/>
      </c>
      <c r="AF62" s="13">
        <f>Inputs!$F$155*AF21*Time!AF30/12*Inputs!$F$40</f>
        <v/>
      </c>
      <c r="AG62" s="13">
        <f>Inputs!$F$155*AG21*Time!AG30/12*Inputs!$F$40</f>
        <v/>
      </c>
      <c r="AH62" s="13">
        <f>Inputs!$F$155*AH21*Time!AH30/12*Inputs!$F$40</f>
        <v/>
      </c>
      <c r="AI62" s="13">
        <f>Inputs!$F$155*AI21*Time!AI30/12*Inputs!$F$40</f>
        <v/>
      </c>
      <c r="AJ62" s="13">
        <f>Inputs!$F$155*AJ21*Time!AJ30/12*Inputs!$F$40</f>
        <v/>
      </c>
      <c r="AK62" s="13">
        <f>Inputs!$F$155*AK21*Time!AK30/12*Inputs!$F$40</f>
        <v/>
      </c>
      <c r="AL62" s="13">
        <f>Inputs!$F$155*AL21*Time!AL30/12*Inputs!$F$40</f>
        <v/>
      </c>
      <c r="AM62" s="13">
        <f>Inputs!$F$155*AM21*Time!AM30/12*Inputs!$F$40</f>
        <v/>
      </c>
      <c r="AN62" s="13">
        <f>Inputs!$F$155*AN21*Time!AN30/12*Inputs!$F$40</f>
        <v/>
      </c>
      <c r="AO62" s="13">
        <f>Inputs!$F$155*AO21*Time!AO30/12*Inputs!$F$40</f>
        <v/>
      </c>
      <c r="AP62" s="13">
        <f>Inputs!$F$155*AP21*Time!AP30/12*Inputs!$F$40</f>
        <v/>
      </c>
      <c r="AQ62" s="13">
        <f>Inputs!$F$155*AQ21*Time!AQ30/12*Inputs!$F$40</f>
        <v/>
      </c>
      <c r="AR62" s="13">
        <f>Inputs!$F$155*AR21*Time!AR30/12*Inputs!$F$40</f>
        <v/>
      </c>
      <c r="AS62" s="13">
        <f>Inputs!$F$155*AS21*Time!AS30/12*Inputs!$F$40</f>
        <v/>
      </c>
      <c r="AT62" s="13">
        <f>Inputs!$F$155*AT21*Time!AT30/12*Inputs!$F$40</f>
        <v/>
      </c>
      <c r="AU62" s="13">
        <f>Inputs!$F$155*AU21*Time!AU30/12*Inputs!$F$40</f>
        <v/>
      </c>
      <c r="AV62" s="13">
        <f>Inputs!$F$155*AV21*Time!AV30/12*Inputs!$F$40</f>
        <v/>
      </c>
      <c r="AW62" s="13">
        <f>Inputs!$F$155*AW21*Time!AW30/12*Inputs!$F$40</f>
        <v/>
      </c>
      <c r="AX62" s="13">
        <f>Inputs!$F$155*AX21*Time!AX30/12*Inputs!$F$40</f>
        <v/>
      </c>
      <c r="AY62" s="13">
        <f>Inputs!$F$155*AY21*Time!AY30/12*Inputs!$F$40</f>
        <v/>
      </c>
      <c r="AZ62" s="13">
        <f>Inputs!$F$155*AZ21*Time!AZ30/12*Inputs!$F$40</f>
        <v/>
      </c>
      <c r="BA62" s="13">
        <f>Inputs!$F$155*BA21*Time!BA30/12*Inputs!$F$40</f>
        <v/>
      </c>
      <c r="BB62" s="13">
        <f>Inputs!$F$155*BB21*Time!BB30/12*Inputs!$F$40</f>
        <v/>
      </c>
      <c r="BC62" s="13">
        <f>Inputs!$F$155*BC21*Time!BC30/12*Inputs!$F$40</f>
        <v/>
      </c>
      <c r="BD62" s="13">
        <f>Inputs!$F$155*BD21*Time!BD30/12*Inputs!$F$40</f>
        <v/>
      </c>
      <c r="BE62" s="13">
        <f>Inputs!$F$155*BE21*Time!BE30/12*Inputs!$F$40</f>
        <v/>
      </c>
      <c r="BF62" s="13">
        <f>Inputs!$F$155*BF21*Time!BF30/12*Inputs!$F$40</f>
        <v/>
      </c>
      <c r="BG62" s="13">
        <f>Inputs!$F$155*BG21*Time!BG30/12*Inputs!$F$40</f>
        <v/>
      </c>
      <c r="BH62" s="13">
        <f>Inputs!$F$155*BH21*Time!BH30/12*Inputs!$F$40</f>
        <v/>
      </c>
      <c r="BI62" s="13">
        <f>Inputs!$F$155*BI21*Time!BI30/12*Inputs!$F$40</f>
        <v/>
      </c>
      <c r="BJ62" s="13">
        <f>Inputs!$F$155*BJ21*Time!BJ30/12*Inputs!$F$40</f>
        <v/>
      </c>
      <c r="BK62" s="13">
        <f>Inputs!$F$155*BK21*Time!BK30/12*Inputs!$F$40</f>
        <v/>
      </c>
      <c r="BL62" s="13">
        <f>Inputs!$F$155*BL21*Time!BL30/12*Inputs!$F$40</f>
        <v/>
      </c>
      <c r="BM62" s="13">
        <f>Inputs!$F$155*BM21*Time!BM30/12*Inputs!$F$40</f>
        <v/>
      </c>
      <c r="BN62" s="13">
        <f>Inputs!$F$155*BN21*Time!BN30/12*Inputs!$F$40</f>
        <v/>
      </c>
    </row>
    <row r="63">
      <c r="D63" t="inlineStr">
        <is>
          <t>Equivalent operating hours (2 GTs)</t>
        </is>
      </c>
      <c r="E63" t="inlineStr">
        <is>
          <t>EOH</t>
        </is>
      </c>
      <c r="J63" s="15">
        <f>IF(J31&gt;0,Inputs!$F$258*(Inputs!$F$129*J32/J31*J37/Inputs!$F$131+Inputs!$F$130*Inputs!$F$132)*Time!J30/12,0)</f>
        <v/>
      </c>
      <c r="K63" s="15">
        <f>IF(K31&gt;0,Inputs!$F$258*(Inputs!$F$129*K32/K31*K37/Inputs!$F$131+Inputs!$F$130*Inputs!$F$132)*Time!K30/12,0)</f>
        <v/>
      </c>
      <c r="L63" s="15">
        <f>IF(L31&gt;0,Inputs!$F$258*(Inputs!$F$129*L32/L31*L37/Inputs!$F$131+Inputs!$F$130*Inputs!$F$132)*Time!L30/12,0)</f>
        <v/>
      </c>
      <c r="M63" s="15">
        <f>IF(M31&gt;0,Inputs!$F$258*(Inputs!$F$129*M32/M31*M37/Inputs!$F$131+Inputs!$F$130*Inputs!$F$132)*Time!M30/12,0)</f>
        <v/>
      </c>
      <c r="N63" s="15">
        <f>IF(N31&gt;0,Inputs!$F$258*(Inputs!$F$129*N32/N31*N37/Inputs!$F$131+Inputs!$F$130*Inputs!$F$132)*Time!N30/12,0)</f>
        <v/>
      </c>
      <c r="O63" s="15">
        <f>IF(O31&gt;0,Inputs!$F$258*(Inputs!$F$129*O32/O31*O37/Inputs!$F$131+Inputs!$F$130*Inputs!$F$132)*Time!O30/12,0)</f>
        <v/>
      </c>
      <c r="P63" s="15">
        <f>IF(P31&gt;0,Inputs!$F$258*(Inputs!$F$129*P32/P31*P37/Inputs!$F$131+Inputs!$F$130*Inputs!$F$132)*Time!P30/12,0)</f>
        <v/>
      </c>
      <c r="Q63" s="15">
        <f>IF(Q31&gt;0,Inputs!$F$258*(Inputs!$F$129*Q32/Q31*Q37/Inputs!$F$131+Inputs!$F$130*Inputs!$F$132)*Time!Q30/12,0)</f>
        <v/>
      </c>
      <c r="R63" s="15">
        <f>IF(R31&gt;0,Inputs!$F$258*(Inputs!$F$129*R32/R31*R37/Inputs!$F$131+Inputs!$F$130*Inputs!$F$132)*Time!R30/12,0)</f>
        <v/>
      </c>
      <c r="S63" s="15">
        <f>IF(S31&gt;0,Inputs!$F$258*(Inputs!$F$129*S32/S31*S37/Inputs!$F$131+Inputs!$F$130*Inputs!$F$132)*Time!S30/12,0)</f>
        <v/>
      </c>
      <c r="T63" s="15">
        <f>IF(T31&gt;0,Inputs!$F$258*(Inputs!$F$129*T32/T31*T37/Inputs!$F$131+Inputs!$F$130*Inputs!$F$132)*Time!T30/12,0)</f>
        <v/>
      </c>
      <c r="U63" s="15">
        <f>IF(U31&gt;0,Inputs!$F$258*(Inputs!$F$129*U32/U31*U37/Inputs!$F$131+Inputs!$F$130*Inputs!$F$132)*Time!U30/12,0)</f>
        <v/>
      </c>
      <c r="V63" s="15">
        <f>IF(V31&gt;0,Inputs!$F$258*(Inputs!$F$129*V32/V31*V37/Inputs!$F$131+Inputs!$F$130*Inputs!$F$132)*Time!V30/12,0)</f>
        <v/>
      </c>
      <c r="W63" s="15">
        <f>IF(W31&gt;0,Inputs!$F$258*(Inputs!$F$129*W32/W31*W37/Inputs!$F$131+Inputs!$F$130*Inputs!$F$132)*Time!W30/12,0)</f>
        <v/>
      </c>
      <c r="X63" s="15">
        <f>IF(X31&gt;0,Inputs!$F$258*(Inputs!$F$129*X32/X31*X37/Inputs!$F$131+Inputs!$F$130*Inputs!$F$132)*Time!X30/12,0)</f>
        <v/>
      </c>
      <c r="Y63" s="15">
        <f>IF(Y31&gt;0,Inputs!$F$258*(Inputs!$F$129*Y32/Y31*Y37/Inputs!$F$131+Inputs!$F$130*Inputs!$F$132)*Time!Y30/12,0)</f>
        <v/>
      </c>
      <c r="Z63" s="15">
        <f>IF(Z31&gt;0,Inputs!$F$258*(Inputs!$F$129*Z32/Z31*Z37/Inputs!$F$131+Inputs!$F$130*Inputs!$F$132)*Time!Z30/12,0)</f>
        <v/>
      </c>
      <c r="AA63" s="15">
        <f>IF(AA31&gt;0,Inputs!$F$258*(Inputs!$F$129*AA32/AA31*AA37/Inputs!$F$131+Inputs!$F$130*Inputs!$F$132)*Time!AA30/12,0)</f>
        <v/>
      </c>
      <c r="AB63" s="15">
        <f>IF(AB31&gt;0,Inputs!$F$258*(Inputs!$F$129*AB32/AB31*AB37/Inputs!$F$131+Inputs!$F$130*Inputs!$F$132)*Time!AB30/12,0)</f>
        <v/>
      </c>
      <c r="AC63" s="15">
        <f>IF(AC31&gt;0,Inputs!$F$258*(Inputs!$F$129*AC32/AC31*AC37/Inputs!$F$131+Inputs!$F$130*Inputs!$F$132)*Time!AC30/12,0)</f>
        <v/>
      </c>
      <c r="AD63" s="15">
        <f>IF(AD31&gt;0,Inputs!$F$258*(Inputs!$F$129*AD32/AD31*AD37/Inputs!$F$131+Inputs!$F$130*Inputs!$F$132)*Time!AD30/12,0)</f>
        <v/>
      </c>
      <c r="AE63" s="15">
        <f>IF(AE31&gt;0,Inputs!$F$258*(Inputs!$F$129*AE32/AE31*AE37/Inputs!$F$131+Inputs!$F$130*Inputs!$F$132)*Time!AE30/12,0)</f>
        <v/>
      </c>
      <c r="AF63" s="15">
        <f>IF(AF31&gt;0,Inputs!$F$258*(Inputs!$F$129*AF32/AF31*AF37/Inputs!$F$131+Inputs!$F$130*Inputs!$F$132)*Time!AF30/12,0)</f>
        <v/>
      </c>
      <c r="AG63" s="15">
        <f>IF(AG31&gt;0,Inputs!$F$258*(Inputs!$F$129*AG32/AG31*AG37/Inputs!$F$131+Inputs!$F$130*Inputs!$F$132)*Time!AG30/12,0)</f>
        <v/>
      </c>
      <c r="AH63" s="15">
        <f>IF(AH31&gt;0,Inputs!$F$258*(Inputs!$F$129*AH32/AH31*AH37/Inputs!$F$131+Inputs!$F$130*Inputs!$F$132)*Time!AH30/12,0)</f>
        <v/>
      </c>
      <c r="AI63" s="15">
        <f>IF(AI31&gt;0,Inputs!$F$258*(Inputs!$F$129*AI32/AI31*AI37/Inputs!$F$131+Inputs!$F$130*Inputs!$F$132)*Time!AI30/12,0)</f>
        <v/>
      </c>
      <c r="AJ63" s="15">
        <f>IF(AJ31&gt;0,Inputs!$F$258*(Inputs!$F$129*AJ32/AJ31*AJ37/Inputs!$F$131+Inputs!$F$130*Inputs!$F$132)*Time!AJ30/12,0)</f>
        <v/>
      </c>
      <c r="AK63" s="15">
        <f>IF(AK31&gt;0,Inputs!$F$258*(Inputs!$F$129*AK32/AK31*AK37/Inputs!$F$131+Inputs!$F$130*Inputs!$F$132)*Time!AK30/12,0)</f>
        <v/>
      </c>
      <c r="AL63" s="15">
        <f>IF(AL31&gt;0,Inputs!$F$258*(Inputs!$F$129*AL32/AL31*AL37/Inputs!$F$131+Inputs!$F$130*Inputs!$F$132)*Time!AL30/12,0)</f>
        <v/>
      </c>
      <c r="AM63" s="15">
        <f>IF(AM31&gt;0,Inputs!$F$258*(Inputs!$F$129*AM32/AM31*AM37/Inputs!$F$131+Inputs!$F$130*Inputs!$F$132)*Time!AM30/12,0)</f>
        <v/>
      </c>
      <c r="AN63" s="15">
        <f>IF(AN31&gt;0,Inputs!$F$258*(Inputs!$F$129*AN32/AN31*AN37/Inputs!$F$131+Inputs!$F$130*Inputs!$F$132)*Time!AN30/12,0)</f>
        <v/>
      </c>
      <c r="AO63" s="15">
        <f>IF(AO31&gt;0,Inputs!$F$258*(Inputs!$F$129*AO32/AO31*AO37/Inputs!$F$131+Inputs!$F$130*Inputs!$F$132)*Time!AO30/12,0)</f>
        <v/>
      </c>
      <c r="AP63" s="15">
        <f>IF(AP31&gt;0,Inputs!$F$258*(Inputs!$F$129*AP32/AP31*AP37/Inputs!$F$131+Inputs!$F$130*Inputs!$F$132)*Time!AP30/12,0)</f>
        <v/>
      </c>
      <c r="AQ63" s="15">
        <f>IF(AQ31&gt;0,Inputs!$F$258*(Inputs!$F$129*AQ32/AQ31*AQ37/Inputs!$F$131+Inputs!$F$130*Inputs!$F$132)*Time!AQ30/12,0)</f>
        <v/>
      </c>
      <c r="AR63" s="15">
        <f>IF(AR31&gt;0,Inputs!$F$258*(Inputs!$F$129*AR32/AR31*AR37/Inputs!$F$131+Inputs!$F$130*Inputs!$F$132)*Time!AR30/12,0)</f>
        <v/>
      </c>
      <c r="AS63" s="15">
        <f>IF(AS31&gt;0,Inputs!$F$258*(Inputs!$F$129*AS32/AS31*AS37/Inputs!$F$131+Inputs!$F$130*Inputs!$F$132)*Time!AS30/12,0)</f>
        <v/>
      </c>
      <c r="AT63" s="15">
        <f>IF(AT31&gt;0,Inputs!$F$258*(Inputs!$F$129*AT32/AT31*AT37/Inputs!$F$131+Inputs!$F$130*Inputs!$F$132)*Time!AT30/12,0)</f>
        <v/>
      </c>
      <c r="AU63" s="15">
        <f>IF(AU31&gt;0,Inputs!$F$258*(Inputs!$F$129*AU32/AU31*AU37/Inputs!$F$131+Inputs!$F$130*Inputs!$F$132)*Time!AU30/12,0)</f>
        <v/>
      </c>
      <c r="AV63" s="15">
        <f>IF(AV31&gt;0,Inputs!$F$258*(Inputs!$F$129*AV32/AV31*AV37/Inputs!$F$131+Inputs!$F$130*Inputs!$F$132)*Time!AV30/12,0)</f>
        <v/>
      </c>
      <c r="AW63" s="15">
        <f>IF(AW31&gt;0,Inputs!$F$258*(Inputs!$F$129*AW32/AW31*AW37/Inputs!$F$131+Inputs!$F$130*Inputs!$F$132)*Time!AW30/12,0)</f>
        <v/>
      </c>
      <c r="AX63" s="15">
        <f>IF(AX31&gt;0,Inputs!$F$258*(Inputs!$F$129*AX32/AX31*AX37/Inputs!$F$131+Inputs!$F$130*Inputs!$F$132)*Time!AX30/12,0)</f>
        <v/>
      </c>
      <c r="AY63" s="15">
        <f>IF(AY31&gt;0,Inputs!$F$258*(Inputs!$F$129*AY32/AY31*AY37/Inputs!$F$131+Inputs!$F$130*Inputs!$F$132)*Time!AY30/12,0)</f>
        <v/>
      </c>
      <c r="AZ63" s="15">
        <f>IF(AZ31&gt;0,Inputs!$F$258*(Inputs!$F$129*AZ32/AZ31*AZ37/Inputs!$F$131+Inputs!$F$130*Inputs!$F$132)*Time!AZ30/12,0)</f>
        <v/>
      </c>
      <c r="BA63" s="15">
        <f>IF(BA31&gt;0,Inputs!$F$258*(Inputs!$F$129*BA32/BA31*BA37/Inputs!$F$131+Inputs!$F$130*Inputs!$F$132)*Time!BA30/12,0)</f>
        <v/>
      </c>
      <c r="BB63" s="15">
        <f>IF(BB31&gt;0,Inputs!$F$258*(Inputs!$F$129*BB32/BB31*BB37/Inputs!$F$131+Inputs!$F$130*Inputs!$F$132)*Time!BB30/12,0)</f>
        <v/>
      </c>
      <c r="BC63" s="15">
        <f>IF(BC31&gt;0,Inputs!$F$258*(Inputs!$F$129*BC32/BC31*BC37/Inputs!$F$131+Inputs!$F$130*Inputs!$F$132)*Time!BC30/12,0)</f>
        <v/>
      </c>
      <c r="BD63" s="15">
        <f>IF(BD31&gt;0,Inputs!$F$258*(Inputs!$F$129*BD32/BD31*BD37/Inputs!$F$131+Inputs!$F$130*Inputs!$F$132)*Time!BD30/12,0)</f>
        <v/>
      </c>
      <c r="BE63" s="15">
        <f>IF(BE31&gt;0,Inputs!$F$258*(Inputs!$F$129*BE32/BE31*BE37/Inputs!$F$131+Inputs!$F$130*Inputs!$F$132)*Time!BE30/12,0)</f>
        <v/>
      </c>
      <c r="BF63" s="15">
        <f>IF(BF31&gt;0,Inputs!$F$258*(Inputs!$F$129*BF32/BF31*BF37/Inputs!$F$131+Inputs!$F$130*Inputs!$F$132)*Time!BF30/12,0)</f>
        <v/>
      </c>
      <c r="BG63" s="15">
        <f>IF(BG31&gt;0,Inputs!$F$258*(Inputs!$F$129*BG32/BG31*BG37/Inputs!$F$131+Inputs!$F$130*Inputs!$F$132)*Time!BG30/12,0)</f>
        <v/>
      </c>
      <c r="BH63" s="15">
        <f>IF(BH31&gt;0,Inputs!$F$258*(Inputs!$F$129*BH32/BH31*BH37/Inputs!$F$131+Inputs!$F$130*Inputs!$F$132)*Time!BH30/12,0)</f>
        <v/>
      </c>
      <c r="BI63" s="15">
        <f>IF(BI31&gt;0,Inputs!$F$258*(Inputs!$F$129*BI32/BI31*BI37/Inputs!$F$131+Inputs!$F$130*Inputs!$F$132)*Time!BI30/12,0)</f>
        <v/>
      </c>
      <c r="BJ63" s="15">
        <f>IF(BJ31&gt;0,Inputs!$F$258*(Inputs!$F$129*BJ32/BJ31*BJ37/Inputs!$F$131+Inputs!$F$130*Inputs!$F$132)*Time!BJ30/12,0)</f>
        <v/>
      </c>
      <c r="BK63" s="15">
        <f>IF(BK31&gt;0,Inputs!$F$258*(Inputs!$F$129*BK32/BK31*BK37/Inputs!$F$131+Inputs!$F$130*Inputs!$F$132)*Time!BK30/12,0)</f>
        <v/>
      </c>
      <c r="BL63" s="15">
        <f>IF(BL31&gt;0,Inputs!$F$258*(Inputs!$F$129*BL32/BL31*BL37/Inputs!$F$131+Inputs!$F$130*Inputs!$F$132)*Time!BL30/12,0)</f>
        <v/>
      </c>
      <c r="BM63" s="15">
        <f>IF(BM31&gt;0,Inputs!$F$258*(Inputs!$F$129*BM32/BM31*BM37/Inputs!$F$131+Inputs!$F$130*Inputs!$F$132)*Time!BM30/12,0)</f>
        <v/>
      </c>
      <c r="BN63" s="15">
        <f>IF(BN31&gt;0,Inputs!$F$258*(Inputs!$F$129*BN32/BN31*BN37/Inputs!$F$131+Inputs!$F$130*Inputs!$F$132)*Time!BN30/12,0)</f>
        <v/>
      </c>
    </row>
    <row r="64">
      <c r="D64" t="inlineStr">
        <is>
          <t>LTSA variable fee</t>
        </is>
      </c>
      <c r="E64" t="inlineStr">
        <is>
          <t>USD m</t>
        </is>
      </c>
      <c r="G64" s="13">
        <f>SUM(J64:BN64)</f>
        <v/>
      </c>
      <c r="J64" s="13">
        <f>J63*Inputs!$F$156*J21/1000000</f>
        <v/>
      </c>
      <c r="K64" s="13">
        <f>K63*Inputs!$F$156*K21/1000000</f>
        <v/>
      </c>
      <c r="L64" s="13">
        <f>L63*Inputs!$F$156*L21/1000000</f>
        <v/>
      </c>
      <c r="M64" s="13">
        <f>M63*Inputs!$F$156*M21/1000000</f>
        <v/>
      </c>
      <c r="N64" s="13">
        <f>N63*Inputs!$F$156*N21/1000000</f>
        <v/>
      </c>
      <c r="O64" s="13">
        <f>O63*Inputs!$F$156*O21/1000000</f>
        <v/>
      </c>
      <c r="P64" s="13">
        <f>P63*Inputs!$F$156*P21/1000000</f>
        <v/>
      </c>
      <c r="Q64" s="13">
        <f>Q63*Inputs!$F$156*Q21/1000000</f>
        <v/>
      </c>
      <c r="R64" s="13">
        <f>R63*Inputs!$F$156*R21/1000000</f>
        <v/>
      </c>
      <c r="S64" s="13">
        <f>S63*Inputs!$F$156*S21/1000000</f>
        <v/>
      </c>
      <c r="T64" s="13">
        <f>T63*Inputs!$F$156*T21/1000000</f>
        <v/>
      </c>
      <c r="U64" s="13">
        <f>U63*Inputs!$F$156*U21/1000000</f>
        <v/>
      </c>
      <c r="V64" s="13">
        <f>V63*Inputs!$F$156*V21/1000000</f>
        <v/>
      </c>
      <c r="W64" s="13">
        <f>W63*Inputs!$F$156*W21/1000000</f>
        <v/>
      </c>
      <c r="X64" s="13">
        <f>X63*Inputs!$F$156*X21/1000000</f>
        <v/>
      </c>
      <c r="Y64" s="13">
        <f>Y63*Inputs!$F$156*Y21/1000000</f>
        <v/>
      </c>
      <c r="Z64" s="13">
        <f>Z63*Inputs!$F$156*Z21/1000000</f>
        <v/>
      </c>
      <c r="AA64" s="13">
        <f>AA63*Inputs!$F$156*AA21/1000000</f>
        <v/>
      </c>
      <c r="AB64" s="13">
        <f>AB63*Inputs!$F$156*AB21/1000000</f>
        <v/>
      </c>
      <c r="AC64" s="13">
        <f>AC63*Inputs!$F$156*AC21/1000000</f>
        <v/>
      </c>
      <c r="AD64" s="13">
        <f>AD63*Inputs!$F$156*AD21/1000000</f>
        <v/>
      </c>
      <c r="AE64" s="13">
        <f>AE63*Inputs!$F$156*AE21/1000000</f>
        <v/>
      </c>
      <c r="AF64" s="13">
        <f>AF63*Inputs!$F$156*AF21/1000000</f>
        <v/>
      </c>
      <c r="AG64" s="13">
        <f>AG63*Inputs!$F$156*AG21/1000000</f>
        <v/>
      </c>
      <c r="AH64" s="13">
        <f>AH63*Inputs!$F$156*AH21/1000000</f>
        <v/>
      </c>
      <c r="AI64" s="13">
        <f>AI63*Inputs!$F$156*AI21/1000000</f>
        <v/>
      </c>
      <c r="AJ64" s="13">
        <f>AJ63*Inputs!$F$156*AJ21/1000000</f>
        <v/>
      </c>
      <c r="AK64" s="13">
        <f>AK63*Inputs!$F$156*AK21/1000000</f>
        <v/>
      </c>
      <c r="AL64" s="13">
        <f>AL63*Inputs!$F$156*AL21/1000000</f>
        <v/>
      </c>
      <c r="AM64" s="13">
        <f>AM63*Inputs!$F$156*AM21/1000000</f>
        <v/>
      </c>
      <c r="AN64" s="13">
        <f>AN63*Inputs!$F$156*AN21/1000000</f>
        <v/>
      </c>
      <c r="AO64" s="13">
        <f>AO63*Inputs!$F$156*AO21/1000000</f>
        <v/>
      </c>
      <c r="AP64" s="13">
        <f>AP63*Inputs!$F$156*AP21/1000000</f>
        <v/>
      </c>
      <c r="AQ64" s="13">
        <f>AQ63*Inputs!$F$156*AQ21/1000000</f>
        <v/>
      </c>
      <c r="AR64" s="13">
        <f>AR63*Inputs!$F$156*AR21/1000000</f>
        <v/>
      </c>
      <c r="AS64" s="13">
        <f>AS63*Inputs!$F$156*AS21/1000000</f>
        <v/>
      </c>
      <c r="AT64" s="13">
        <f>AT63*Inputs!$F$156*AT21/1000000</f>
        <v/>
      </c>
      <c r="AU64" s="13">
        <f>AU63*Inputs!$F$156*AU21/1000000</f>
        <v/>
      </c>
      <c r="AV64" s="13">
        <f>AV63*Inputs!$F$156*AV21/1000000</f>
        <v/>
      </c>
      <c r="AW64" s="13">
        <f>AW63*Inputs!$F$156*AW21/1000000</f>
        <v/>
      </c>
      <c r="AX64" s="13">
        <f>AX63*Inputs!$F$156*AX21/1000000</f>
        <v/>
      </c>
      <c r="AY64" s="13">
        <f>AY63*Inputs!$F$156*AY21/1000000</f>
        <v/>
      </c>
      <c r="AZ64" s="13">
        <f>AZ63*Inputs!$F$156*AZ21/1000000</f>
        <v/>
      </c>
      <c r="BA64" s="13">
        <f>BA63*Inputs!$F$156*BA21/1000000</f>
        <v/>
      </c>
      <c r="BB64" s="13">
        <f>BB63*Inputs!$F$156*BB21/1000000</f>
        <v/>
      </c>
      <c r="BC64" s="13">
        <f>BC63*Inputs!$F$156*BC21/1000000</f>
        <v/>
      </c>
      <c r="BD64" s="13">
        <f>BD63*Inputs!$F$156*BD21/1000000</f>
        <v/>
      </c>
      <c r="BE64" s="13">
        <f>BE63*Inputs!$F$156*BE21/1000000</f>
        <v/>
      </c>
      <c r="BF64" s="13">
        <f>BF63*Inputs!$F$156*BF21/1000000</f>
        <v/>
      </c>
      <c r="BG64" s="13">
        <f>BG63*Inputs!$F$156*BG21/1000000</f>
        <v/>
      </c>
      <c r="BH64" s="13">
        <f>BH63*Inputs!$F$156*BH21/1000000</f>
        <v/>
      </c>
      <c r="BI64" s="13">
        <f>BI63*Inputs!$F$156*BI21/1000000</f>
        <v/>
      </c>
      <c r="BJ64" s="13">
        <f>BJ63*Inputs!$F$156*BJ21/1000000</f>
        <v/>
      </c>
      <c r="BK64" s="13">
        <f>BK63*Inputs!$F$156*BK21/1000000</f>
        <v/>
      </c>
      <c r="BL64" s="13">
        <f>BL63*Inputs!$F$156*BL21/1000000</f>
        <v/>
      </c>
      <c r="BM64" s="13">
        <f>BM63*Inputs!$F$156*BM21/1000000</f>
        <v/>
      </c>
      <c r="BN64" s="13">
        <f>BN63*Inputs!$F$156*BN21/1000000</f>
        <v/>
      </c>
    </row>
    <row r="65">
      <c r="D65" t="inlineStr">
        <is>
          <t>Operational insurance</t>
        </is>
      </c>
      <c r="E65" t="inlineStr">
        <is>
          <t>USD m</t>
        </is>
      </c>
      <c r="G65" s="13">
        <f>SUM(J65:BN65)</f>
        <v/>
      </c>
      <c r="J65" s="13">
        <f>Inputs!$F$157*J21*Time!J30/12*(1+Inputs!$F$158*Inputs!$F$46*Time!J41)*Inputs!$F$40</f>
        <v/>
      </c>
      <c r="K65" s="13">
        <f>Inputs!$F$157*K21*Time!K30/12*(1+Inputs!$F$158*Inputs!$F$46*Time!K41)*Inputs!$F$40</f>
        <v/>
      </c>
      <c r="L65" s="13">
        <f>Inputs!$F$157*L21*Time!L30/12*(1+Inputs!$F$158*Inputs!$F$46*Time!L41)*Inputs!$F$40</f>
        <v/>
      </c>
      <c r="M65" s="13">
        <f>Inputs!$F$157*M21*Time!M30/12*(1+Inputs!$F$158*Inputs!$F$46*Time!M41)*Inputs!$F$40</f>
        <v/>
      </c>
      <c r="N65" s="13">
        <f>Inputs!$F$157*N21*Time!N30/12*(1+Inputs!$F$158*Inputs!$F$46*Time!N41)*Inputs!$F$40</f>
        <v/>
      </c>
      <c r="O65" s="13">
        <f>Inputs!$F$157*O21*Time!O30/12*(1+Inputs!$F$158*Inputs!$F$46*Time!O41)*Inputs!$F$40</f>
        <v/>
      </c>
      <c r="P65" s="13">
        <f>Inputs!$F$157*P21*Time!P30/12*(1+Inputs!$F$158*Inputs!$F$46*Time!P41)*Inputs!$F$40</f>
        <v/>
      </c>
      <c r="Q65" s="13">
        <f>Inputs!$F$157*Q21*Time!Q30/12*(1+Inputs!$F$158*Inputs!$F$46*Time!Q41)*Inputs!$F$40</f>
        <v/>
      </c>
      <c r="R65" s="13">
        <f>Inputs!$F$157*R21*Time!R30/12*(1+Inputs!$F$158*Inputs!$F$46*Time!R41)*Inputs!$F$40</f>
        <v/>
      </c>
      <c r="S65" s="13">
        <f>Inputs!$F$157*S21*Time!S30/12*(1+Inputs!$F$158*Inputs!$F$46*Time!S41)*Inputs!$F$40</f>
        <v/>
      </c>
      <c r="T65" s="13">
        <f>Inputs!$F$157*T21*Time!T30/12*(1+Inputs!$F$158*Inputs!$F$46*Time!T41)*Inputs!$F$40</f>
        <v/>
      </c>
      <c r="U65" s="13">
        <f>Inputs!$F$157*U21*Time!U30/12*(1+Inputs!$F$158*Inputs!$F$46*Time!U41)*Inputs!$F$40</f>
        <v/>
      </c>
      <c r="V65" s="13">
        <f>Inputs!$F$157*V21*Time!V30/12*(1+Inputs!$F$158*Inputs!$F$46*Time!V41)*Inputs!$F$40</f>
        <v/>
      </c>
      <c r="W65" s="13">
        <f>Inputs!$F$157*W21*Time!W30/12*(1+Inputs!$F$158*Inputs!$F$46*Time!W41)*Inputs!$F$40</f>
        <v/>
      </c>
      <c r="X65" s="13">
        <f>Inputs!$F$157*X21*Time!X30/12*(1+Inputs!$F$158*Inputs!$F$46*Time!X41)*Inputs!$F$40</f>
        <v/>
      </c>
      <c r="Y65" s="13">
        <f>Inputs!$F$157*Y21*Time!Y30/12*(1+Inputs!$F$158*Inputs!$F$46*Time!Y41)*Inputs!$F$40</f>
        <v/>
      </c>
      <c r="Z65" s="13">
        <f>Inputs!$F$157*Z21*Time!Z30/12*(1+Inputs!$F$158*Inputs!$F$46*Time!Z41)*Inputs!$F$40</f>
        <v/>
      </c>
      <c r="AA65" s="13">
        <f>Inputs!$F$157*AA21*Time!AA30/12*(1+Inputs!$F$158*Inputs!$F$46*Time!AA41)*Inputs!$F$40</f>
        <v/>
      </c>
      <c r="AB65" s="13">
        <f>Inputs!$F$157*AB21*Time!AB30/12*(1+Inputs!$F$158*Inputs!$F$46*Time!AB41)*Inputs!$F$40</f>
        <v/>
      </c>
      <c r="AC65" s="13">
        <f>Inputs!$F$157*AC21*Time!AC30/12*(1+Inputs!$F$158*Inputs!$F$46*Time!AC41)*Inputs!$F$40</f>
        <v/>
      </c>
      <c r="AD65" s="13">
        <f>Inputs!$F$157*AD21*Time!AD30/12*(1+Inputs!$F$158*Inputs!$F$46*Time!AD41)*Inputs!$F$40</f>
        <v/>
      </c>
      <c r="AE65" s="13">
        <f>Inputs!$F$157*AE21*Time!AE30/12*(1+Inputs!$F$158*Inputs!$F$46*Time!AE41)*Inputs!$F$40</f>
        <v/>
      </c>
      <c r="AF65" s="13">
        <f>Inputs!$F$157*AF21*Time!AF30/12*(1+Inputs!$F$158*Inputs!$F$46*Time!AF41)*Inputs!$F$40</f>
        <v/>
      </c>
      <c r="AG65" s="13">
        <f>Inputs!$F$157*AG21*Time!AG30/12*(1+Inputs!$F$158*Inputs!$F$46*Time!AG41)*Inputs!$F$40</f>
        <v/>
      </c>
      <c r="AH65" s="13">
        <f>Inputs!$F$157*AH21*Time!AH30/12*(1+Inputs!$F$158*Inputs!$F$46*Time!AH41)*Inputs!$F$40</f>
        <v/>
      </c>
      <c r="AI65" s="13">
        <f>Inputs!$F$157*AI21*Time!AI30/12*(1+Inputs!$F$158*Inputs!$F$46*Time!AI41)*Inputs!$F$40</f>
        <v/>
      </c>
      <c r="AJ65" s="13">
        <f>Inputs!$F$157*AJ21*Time!AJ30/12*(1+Inputs!$F$158*Inputs!$F$46*Time!AJ41)*Inputs!$F$40</f>
        <v/>
      </c>
      <c r="AK65" s="13">
        <f>Inputs!$F$157*AK21*Time!AK30/12*(1+Inputs!$F$158*Inputs!$F$46*Time!AK41)*Inputs!$F$40</f>
        <v/>
      </c>
      <c r="AL65" s="13">
        <f>Inputs!$F$157*AL21*Time!AL30/12*(1+Inputs!$F$158*Inputs!$F$46*Time!AL41)*Inputs!$F$40</f>
        <v/>
      </c>
      <c r="AM65" s="13">
        <f>Inputs!$F$157*AM21*Time!AM30/12*(1+Inputs!$F$158*Inputs!$F$46*Time!AM41)*Inputs!$F$40</f>
        <v/>
      </c>
      <c r="AN65" s="13">
        <f>Inputs!$F$157*AN21*Time!AN30/12*(1+Inputs!$F$158*Inputs!$F$46*Time!AN41)*Inputs!$F$40</f>
        <v/>
      </c>
      <c r="AO65" s="13">
        <f>Inputs!$F$157*AO21*Time!AO30/12*(1+Inputs!$F$158*Inputs!$F$46*Time!AO41)*Inputs!$F$40</f>
        <v/>
      </c>
      <c r="AP65" s="13">
        <f>Inputs!$F$157*AP21*Time!AP30/12*(1+Inputs!$F$158*Inputs!$F$46*Time!AP41)*Inputs!$F$40</f>
        <v/>
      </c>
      <c r="AQ65" s="13">
        <f>Inputs!$F$157*AQ21*Time!AQ30/12*(1+Inputs!$F$158*Inputs!$F$46*Time!AQ41)*Inputs!$F$40</f>
        <v/>
      </c>
      <c r="AR65" s="13">
        <f>Inputs!$F$157*AR21*Time!AR30/12*(1+Inputs!$F$158*Inputs!$F$46*Time!AR41)*Inputs!$F$40</f>
        <v/>
      </c>
      <c r="AS65" s="13">
        <f>Inputs!$F$157*AS21*Time!AS30/12*(1+Inputs!$F$158*Inputs!$F$46*Time!AS41)*Inputs!$F$40</f>
        <v/>
      </c>
      <c r="AT65" s="13">
        <f>Inputs!$F$157*AT21*Time!AT30/12*(1+Inputs!$F$158*Inputs!$F$46*Time!AT41)*Inputs!$F$40</f>
        <v/>
      </c>
      <c r="AU65" s="13">
        <f>Inputs!$F$157*AU21*Time!AU30/12*(1+Inputs!$F$158*Inputs!$F$46*Time!AU41)*Inputs!$F$40</f>
        <v/>
      </c>
      <c r="AV65" s="13">
        <f>Inputs!$F$157*AV21*Time!AV30/12*(1+Inputs!$F$158*Inputs!$F$46*Time!AV41)*Inputs!$F$40</f>
        <v/>
      </c>
      <c r="AW65" s="13">
        <f>Inputs!$F$157*AW21*Time!AW30/12*(1+Inputs!$F$158*Inputs!$F$46*Time!AW41)*Inputs!$F$40</f>
        <v/>
      </c>
      <c r="AX65" s="13">
        <f>Inputs!$F$157*AX21*Time!AX30/12*(1+Inputs!$F$158*Inputs!$F$46*Time!AX41)*Inputs!$F$40</f>
        <v/>
      </c>
      <c r="AY65" s="13">
        <f>Inputs!$F$157*AY21*Time!AY30/12*(1+Inputs!$F$158*Inputs!$F$46*Time!AY41)*Inputs!$F$40</f>
        <v/>
      </c>
      <c r="AZ65" s="13">
        <f>Inputs!$F$157*AZ21*Time!AZ30/12*(1+Inputs!$F$158*Inputs!$F$46*Time!AZ41)*Inputs!$F$40</f>
        <v/>
      </c>
      <c r="BA65" s="13">
        <f>Inputs!$F$157*BA21*Time!BA30/12*(1+Inputs!$F$158*Inputs!$F$46*Time!BA41)*Inputs!$F$40</f>
        <v/>
      </c>
      <c r="BB65" s="13">
        <f>Inputs!$F$157*BB21*Time!BB30/12*(1+Inputs!$F$158*Inputs!$F$46*Time!BB41)*Inputs!$F$40</f>
        <v/>
      </c>
      <c r="BC65" s="13">
        <f>Inputs!$F$157*BC21*Time!BC30/12*(1+Inputs!$F$158*Inputs!$F$46*Time!BC41)*Inputs!$F$40</f>
        <v/>
      </c>
      <c r="BD65" s="13">
        <f>Inputs!$F$157*BD21*Time!BD30/12*(1+Inputs!$F$158*Inputs!$F$46*Time!BD41)*Inputs!$F$40</f>
        <v/>
      </c>
      <c r="BE65" s="13">
        <f>Inputs!$F$157*BE21*Time!BE30/12*(1+Inputs!$F$158*Inputs!$F$46*Time!BE41)*Inputs!$F$40</f>
        <v/>
      </c>
      <c r="BF65" s="13">
        <f>Inputs!$F$157*BF21*Time!BF30/12*(1+Inputs!$F$158*Inputs!$F$46*Time!BF41)*Inputs!$F$40</f>
        <v/>
      </c>
      <c r="BG65" s="13">
        <f>Inputs!$F$157*BG21*Time!BG30/12*(1+Inputs!$F$158*Inputs!$F$46*Time!BG41)*Inputs!$F$40</f>
        <v/>
      </c>
      <c r="BH65" s="13">
        <f>Inputs!$F$157*BH21*Time!BH30/12*(1+Inputs!$F$158*Inputs!$F$46*Time!BH41)*Inputs!$F$40</f>
        <v/>
      </c>
      <c r="BI65" s="13">
        <f>Inputs!$F$157*BI21*Time!BI30/12*(1+Inputs!$F$158*Inputs!$F$46*Time!BI41)*Inputs!$F$40</f>
        <v/>
      </c>
      <c r="BJ65" s="13">
        <f>Inputs!$F$157*BJ21*Time!BJ30/12*(1+Inputs!$F$158*Inputs!$F$46*Time!BJ41)*Inputs!$F$40</f>
        <v/>
      </c>
      <c r="BK65" s="13">
        <f>Inputs!$F$157*BK21*Time!BK30/12*(1+Inputs!$F$158*Inputs!$F$46*Time!BK41)*Inputs!$F$40</f>
        <v/>
      </c>
      <c r="BL65" s="13">
        <f>Inputs!$F$157*BL21*Time!BL30/12*(1+Inputs!$F$158*Inputs!$F$46*Time!BL41)*Inputs!$F$40</f>
        <v/>
      </c>
      <c r="BM65" s="13">
        <f>Inputs!$F$157*BM21*Time!BM30/12*(1+Inputs!$F$158*Inputs!$F$46*Time!BM41)*Inputs!$F$40</f>
        <v/>
      </c>
      <c r="BN65" s="13">
        <f>Inputs!$F$157*BN21*Time!BN30/12*(1+Inputs!$F$158*Inputs!$F$46*Time!BN41)*Inputs!$F$40</f>
        <v/>
      </c>
    </row>
    <row r="66">
      <c r="D66" t="inlineStr">
        <is>
          <t>G&amp;A</t>
        </is>
      </c>
      <c r="E66" t="inlineStr">
        <is>
          <t>USD m</t>
        </is>
      </c>
      <c r="G66" s="13">
        <f>SUM(J66:BN66)</f>
        <v/>
      </c>
      <c r="J66" s="13">
        <f>Inputs!$F$159*(Inputs!$F$218*J21+(1-Inputs!$F$218)*J27*Inputs!$F$153/J11)*Time!J30/12*Inputs!$F$40</f>
        <v/>
      </c>
      <c r="K66" s="13">
        <f>Inputs!$F$159*(Inputs!$F$218*K21+(1-Inputs!$F$218)*K27*Inputs!$F$153/K11)*Time!K30/12*Inputs!$F$40</f>
        <v/>
      </c>
      <c r="L66" s="13">
        <f>Inputs!$F$159*(Inputs!$F$218*L21+(1-Inputs!$F$218)*L27*Inputs!$F$153/L11)*Time!L30/12*Inputs!$F$40</f>
        <v/>
      </c>
      <c r="M66" s="13">
        <f>Inputs!$F$159*(Inputs!$F$218*M21+(1-Inputs!$F$218)*M27*Inputs!$F$153/M11)*Time!M30/12*Inputs!$F$40</f>
        <v/>
      </c>
      <c r="N66" s="13">
        <f>Inputs!$F$159*(Inputs!$F$218*N21+(1-Inputs!$F$218)*N27*Inputs!$F$153/N11)*Time!N30/12*Inputs!$F$40</f>
        <v/>
      </c>
      <c r="O66" s="13">
        <f>Inputs!$F$159*(Inputs!$F$218*O21+(1-Inputs!$F$218)*O27*Inputs!$F$153/O11)*Time!O30/12*Inputs!$F$40</f>
        <v/>
      </c>
      <c r="P66" s="13">
        <f>Inputs!$F$159*(Inputs!$F$218*P21+(1-Inputs!$F$218)*P27*Inputs!$F$153/P11)*Time!P30/12*Inputs!$F$40</f>
        <v/>
      </c>
      <c r="Q66" s="13">
        <f>Inputs!$F$159*(Inputs!$F$218*Q21+(1-Inputs!$F$218)*Q27*Inputs!$F$153/Q11)*Time!Q30/12*Inputs!$F$40</f>
        <v/>
      </c>
      <c r="R66" s="13">
        <f>Inputs!$F$159*(Inputs!$F$218*R21+(1-Inputs!$F$218)*R27*Inputs!$F$153/R11)*Time!R30/12*Inputs!$F$40</f>
        <v/>
      </c>
      <c r="S66" s="13">
        <f>Inputs!$F$159*(Inputs!$F$218*S21+(1-Inputs!$F$218)*S27*Inputs!$F$153/S11)*Time!S30/12*Inputs!$F$40</f>
        <v/>
      </c>
      <c r="T66" s="13">
        <f>Inputs!$F$159*(Inputs!$F$218*T21+(1-Inputs!$F$218)*T27*Inputs!$F$153/T11)*Time!T30/12*Inputs!$F$40</f>
        <v/>
      </c>
      <c r="U66" s="13">
        <f>Inputs!$F$159*(Inputs!$F$218*U21+(1-Inputs!$F$218)*U27*Inputs!$F$153/U11)*Time!U30/12*Inputs!$F$40</f>
        <v/>
      </c>
      <c r="V66" s="13">
        <f>Inputs!$F$159*(Inputs!$F$218*V21+(1-Inputs!$F$218)*V27*Inputs!$F$153/V11)*Time!V30/12*Inputs!$F$40</f>
        <v/>
      </c>
      <c r="W66" s="13">
        <f>Inputs!$F$159*(Inputs!$F$218*W21+(1-Inputs!$F$218)*W27*Inputs!$F$153/W11)*Time!W30/12*Inputs!$F$40</f>
        <v/>
      </c>
      <c r="X66" s="13">
        <f>Inputs!$F$159*(Inputs!$F$218*X21+(1-Inputs!$F$218)*X27*Inputs!$F$153/X11)*Time!X30/12*Inputs!$F$40</f>
        <v/>
      </c>
      <c r="Y66" s="13">
        <f>Inputs!$F$159*(Inputs!$F$218*Y21+(1-Inputs!$F$218)*Y27*Inputs!$F$153/Y11)*Time!Y30/12*Inputs!$F$40</f>
        <v/>
      </c>
      <c r="Z66" s="13">
        <f>Inputs!$F$159*(Inputs!$F$218*Z21+(1-Inputs!$F$218)*Z27*Inputs!$F$153/Z11)*Time!Z30/12*Inputs!$F$40</f>
        <v/>
      </c>
      <c r="AA66" s="13">
        <f>Inputs!$F$159*(Inputs!$F$218*AA21+(1-Inputs!$F$218)*AA27*Inputs!$F$153/AA11)*Time!AA30/12*Inputs!$F$40</f>
        <v/>
      </c>
      <c r="AB66" s="13">
        <f>Inputs!$F$159*(Inputs!$F$218*AB21+(1-Inputs!$F$218)*AB27*Inputs!$F$153/AB11)*Time!AB30/12*Inputs!$F$40</f>
        <v/>
      </c>
      <c r="AC66" s="13">
        <f>Inputs!$F$159*(Inputs!$F$218*AC21+(1-Inputs!$F$218)*AC27*Inputs!$F$153/AC11)*Time!AC30/12*Inputs!$F$40</f>
        <v/>
      </c>
      <c r="AD66" s="13">
        <f>Inputs!$F$159*(Inputs!$F$218*AD21+(1-Inputs!$F$218)*AD27*Inputs!$F$153/AD11)*Time!AD30/12*Inputs!$F$40</f>
        <v/>
      </c>
      <c r="AE66" s="13">
        <f>Inputs!$F$159*(Inputs!$F$218*AE21+(1-Inputs!$F$218)*AE27*Inputs!$F$153/AE11)*Time!AE30/12*Inputs!$F$40</f>
        <v/>
      </c>
      <c r="AF66" s="13">
        <f>Inputs!$F$159*(Inputs!$F$218*AF21+(1-Inputs!$F$218)*AF27*Inputs!$F$153/AF11)*Time!AF30/12*Inputs!$F$40</f>
        <v/>
      </c>
      <c r="AG66" s="13">
        <f>Inputs!$F$159*(Inputs!$F$218*AG21+(1-Inputs!$F$218)*AG27*Inputs!$F$153/AG11)*Time!AG30/12*Inputs!$F$40</f>
        <v/>
      </c>
      <c r="AH66" s="13">
        <f>Inputs!$F$159*(Inputs!$F$218*AH21+(1-Inputs!$F$218)*AH27*Inputs!$F$153/AH11)*Time!AH30/12*Inputs!$F$40</f>
        <v/>
      </c>
      <c r="AI66" s="13">
        <f>Inputs!$F$159*(Inputs!$F$218*AI21+(1-Inputs!$F$218)*AI27*Inputs!$F$153/AI11)*Time!AI30/12*Inputs!$F$40</f>
        <v/>
      </c>
      <c r="AJ66" s="13">
        <f>Inputs!$F$159*(Inputs!$F$218*AJ21+(1-Inputs!$F$218)*AJ27*Inputs!$F$153/AJ11)*Time!AJ30/12*Inputs!$F$40</f>
        <v/>
      </c>
      <c r="AK66" s="13">
        <f>Inputs!$F$159*(Inputs!$F$218*AK21+(1-Inputs!$F$218)*AK27*Inputs!$F$153/AK11)*Time!AK30/12*Inputs!$F$40</f>
        <v/>
      </c>
      <c r="AL66" s="13">
        <f>Inputs!$F$159*(Inputs!$F$218*AL21+(1-Inputs!$F$218)*AL27*Inputs!$F$153/AL11)*Time!AL30/12*Inputs!$F$40</f>
        <v/>
      </c>
      <c r="AM66" s="13">
        <f>Inputs!$F$159*(Inputs!$F$218*AM21+(1-Inputs!$F$218)*AM27*Inputs!$F$153/AM11)*Time!AM30/12*Inputs!$F$40</f>
        <v/>
      </c>
      <c r="AN66" s="13">
        <f>Inputs!$F$159*(Inputs!$F$218*AN21+(1-Inputs!$F$218)*AN27*Inputs!$F$153/AN11)*Time!AN30/12*Inputs!$F$40</f>
        <v/>
      </c>
      <c r="AO66" s="13">
        <f>Inputs!$F$159*(Inputs!$F$218*AO21+(1-Inputs!$F$218)*AO27*Inputs!$F$153/AO11)*Time!AO30/12*Inputs!$F$40</f>
        <v/>
      </c>
      <c r="AP66" s="13">
        <f>Inputs!$F$159*(Inputs!$F$218*AP21+(1-Inputs!$F$218)*AP27*Inputs!$F$153/AP11)*Time!AP30/12*Inputs!$F$40</f>
        <v/>
      </c>
      <c r="AQ66" s="13">
        <f>Inputs!$F$159*(Inputs!$F$218*AQ21+(1-Inputs!$F$218)*AQ27*Inputs!$F$153/AQ11)*Time!AQ30/12*Inputs!$F$40</f>
        <v/>
      </c>
      <c r="AR66" s="13">
        <f>Inputs!$F$159*(Inputs!$F$218*AR21+(1-Inputs!$F$218)*AR27*Inputs!$F$153/AR11)*Time!AR30/12*Inputs!$F$40</f>
        <v/>
      </c>
      <c r="AS66" s="13">
        <f>Inputs!$F$159*(Inputs!$F$218*AS21+(1-Inputs!$F$218)*AS27*Inputs!$F$153/AS11)*Time!AS30/12*Inputs!$F$40</f>
        <v/>
      </c>
      <c r="AT66" s="13">
        <f>Inputs!$F$159*(Inputs!$F$218*AT21+(1-Inputs!$F$218)*AT27*Inputs!$F$153/AT11)*Time!AT30/12*Inputs!$F$40</f>
        <v/>
      </c>
      <c r="AU66" s="13">
        <f>Inputs!$F$159*(Inputs!$F$218*AU21+(1-Inputs!$F$218)*AU27*Inputs!$F$153/AU11)*Time!AU30/12*Inputs!$F$40</f>
        <v/>
      </c>
      <c r="AV66" s="13">
        <f>Inputs!$F$159*(Inputs!$F$218*AV21+(1-Inputs!$F$218)*AV27*Inputs!$F$153/AV11)*Time!AV30/12*Inputs!$F$40</f>
        <v/>
      </c>
      <c r="AW66" s="13">
        <f>Inputs!$F$159*(Inputs!$F$218*AW21+(1-Inputs!$F$218)*AW27*Inputs!$F$153/AW11)*Time!AW30/12*Inputs!$F$40</f>
        <v/>
      </c>
      <c r="AX66" s="13">
        <f>Inputs!$F$159*(Inputs!$F$218*AX21+(1-Inputs!$F$218)*AX27*Inputs!$F$153/AX11)*Time!AX30/12*Inputs!$F$40</f>
        <v/>
      </c>
      <c r="AY66" s="13">
        <f>Inputs!$F$159*(Inputs!$F$218*AY21+(1-Inputs!$F$218)*AY27*Inputs!$F$153/AY11)*Time!AY30/12*Inputs!$F$40</f>
        <v/>
      </c>
      <c r="AZ66" s="13">
        <f>Inputs!$F$159*(Inputs!$F$218*AZ21+(1-Inputs!$F$218)*AZ27*Inputs!$F$153/AZ11)*Time!AZ30/12*Inputs!$F$40</f>
        <v/>
      </c>
      <c r="BA66" s="13">
        <f>Inputs!$F$159*(Inputs!$F$218*BA21+(1-Inputs!$F$218)*BA27*Inputs!$F$153/BA11)*Time!BA30/12*Inputs!$F$40</f>
        <v/>
      </c>
      <c r="BB66" s="13">
        <f>Inputs!$F$159*(Inputs!$F$218*BB21+(1-Inputs!$F$218)*BB27*Inputs!$F$153/BB11)*Time!BB30/12*Inputs!$F$40</f>
        <v/>
      </c>
      <c r="BC66" s="13">
        <f>Inputs!$F$159*(Inputs!$F$218*BC21+(1-Inputs!$F$218)*BC27*Inputs!$F$153/BC11)*Time!BC30/12*Inputs!$F$40</f>
        <v/>
      </c>
      <c r="BD66" s="13">
        <f>Inputs!$F$159*(Inputs!$F$218*BD21+(1-Inputs!$F$218)*BD27*Inputs!$F$153/BD11)*Time!BD30/12*Inputs!$F$40</f>
        <v/>
      </c>
      <c r="BE66" s="13">
        <f>Inputs!$F$159*(Inputs!$F$218*BE21+(1-Inputs!$F$218)*BE27*Inputs!$F$153/BE11)*Time!BE30/12*Inputs!$F$40</f>
        <v/>
      </c>
      <c r="BF66" s="13">
        <f>Inputs!$F$159*(Inputs!$F$218*BF21+(1-Inputs!$F$218)*BF27*Inputs!$F$153/BF11)*Time!BF30/12*Inputs!$F$40</f>
        <v/>
      </c>
      <c r="BG66" s="13">
        <f>Inputs!$F$159*(Inputs!$F$218*BG21+(1-Inputs!$F$218)*BG27*Inputs!$F$153/BG11)*Time!BG30/12*Inputs!$F$40</f>
        <v/>
      </c>
      <c r="BH66" s="13">
        <f>Inputs!$F$159*(Inputs!$F$218*BH21+(1-Inputs!$F$218)*BH27*Inputs!$F$153/BH11)*Time!BH30/12*Inputs!$F$40</f>
        <v/>
      </c>
      <c r="BI66" s="13">
        <f>Inputs!$F$159*(Inputs!$F$218*BI21+(1-Inputs!$F$218)*BI27*Inputs!$F$153/BI11)*Time!BI30/12*Inputs!$F$40</f>
        <v/>
      </c>
      <c r="BJ66" s="13">
        <f>Inputs!$F$159*(Inputs!$F$218*BJ21+(1-Inputs!$F$218)*BJ27*Inputs!$F$153/BJ11)*Time!BJ30/12*Inputs!$F$40</f>
        <v/>
      </c>
      <c r="BK66" s="13">
        <f>Inputs!$F$159*(Inputs!$F$218*BK21+(1-Inputs!$F$218)*BK27*Inputs!$F$153/BK11)*Time!BK30/12*Inputs!$F$40</f>
        <v/>
      </c>
      <c r="BL66" s="13">
        <f>Inputs!$F$159*(Inputs!$F$218*BL21+(1-Inputs!$F$218)*BL27*Inputs!$F$153/BL11)*Time!BL30/12*Inputs!$F$40</f>
        <v/>
      </c>
      <c r="BM66" s="13">
        <f>Inputs!$F$159*(Inputs!$F$218*BM21+(1-Inputs!$F$218)*BM27*Inputs!$F$153/BM11)*Time!BM30/12*Inputs!$F$40</f>
        <v/>
      </c>
      <c r="BN66" s="13">
        <f>Inputs!$F$159*(Inputs!$F$218*BN21+(1-Inputs!$F$218)*BN27*Inputs!$F$153/BN11)*Time!BN30/12*Inputs!$F$40</f>
        <v/>
      </c>
    </row>
    <row r="67">
      <c r="D67" t="inlineStr">
        <is>
          <t>Land lease and permits</t>
        </is>
      </c>
      <c r="E67" t="inlineStr">
        <is>
          <t>USD m</t>
        </is>
      </c>
      <c r="G67" s="13">
        <f>SUM(J67:BN67)</f>
        <v/>
      </c>
      <c r="J67" s="13">
        <f>Inputs!$F$160*J27/J11*Time!J30/12*Inputs!$F$40</f>
        <v/>
      </c>
      <c r="K67" s="13">
        <f>Inputs!$F$160*K27/K11*Time!K30/12*Inputs!$F$40</f>
        <v/>
      </c>
      <c r="L67" s="13">
        <f>Inputs!$F$160*L27/L11*Time!L30/12*Inputs!$F$40</f>
        <v/>
      </c>
      <c r="M67" s="13">
        <f>Inputs!$F$160*M27/M11*Time!M30/12*Inputs!$F$40</f>
        <v/>
      </c>
      <c r="N67" s="13">
        <f>Inputs!$F$160*N27/N11*Time!N30/12*Inputs!$F$40</f>
        <v/>
      </c>
      <c r="O67" s="13">
        <f>Inputs!$F$160*O27/O11*Time!O30/12*Inputs!$F$40</f>
        <v/>
      </c>
      <c r="P67" s="13">
        <f>Inputs!$F$160*P27/P11*Time!P30/12*Inputs!$F$40</f>
        <v/>
      </c>
      <c r="Q67" s="13">
        <f>Inputs!$F$160*Q27/Q11*Time!Q30/12*Inputs!$F$40</f>
        <v/>
      </c>
      <c r="R67" s="13">
        <f>Inputs!$F$160*R27/R11*Time!R30/12*Inputs!$F$40</f>
        <v/>
      </c>
      <c r="S67" s="13">
        <f>Inputs!$F$160*S27/S11*Time!S30/12*Inputs!$F$40</f>
        <v/>
      </c>
      <c r="T67" s="13">
        <f>Inputs!$F$160*T27/T11*Time!T30/12*Inputs!$F$40</f>
        <v/>
      </c>
      <c r="U67" s="13">
        <f>Inputs!$F$160*U27/U11*Time!U30/12*Inputs!$F$40</f>
        <v/>
      </c>
      <c r="V67" s="13">
        <f>Inputs!$F$160*V27/V11*Time!V30/12*Inputs!$F$40</f>
        <v/>
      </c>
      <c r="W67" s="13">
        <f>Inputs!$F$160*W27/W11*Time!W30/12*Inputs!$F$40</f>
        <v/>
      </c>
      <c r="X67" s="13">
        <f>Inputs!$F$160*X27/X11*Time!X30/12*Inputs!$F$40</f>
        <v/>
      </c>
      <c r="Y67" s="13">
        <f>Inputs!$F$160*Y27/Y11*Time!Y30/12*Inputs!$F$40</f>
        <v/>
      </c>
      <c r="Z67" s="13">
        <f>Inputs!$F$160*Z27/Z11*Time!Z30/12*Inputs!$F$40</f>
        <v/>
      </c>
      <c r="AA67" s="13">
        <f>Inputs!$F$160*AA27/AA11*Time!AA30/12*Inputs!$F$40</f>
        <v/>
      </c>
      <c r="AB67" s="13">
        <f>Inputs!$F$160*AB27/AB11*Time!AB30/12*Inputs!$F$40</f>
        <v/>
      </c>
      <c r="AC67" s="13">
        <f>Inputs!$F$160*AC27/AC11*Time!AC30/12*Inputs!$F$40</f>
        <v/>
      </c>
      <c r="AD67" s="13">
        <f>Inputs!$F$160*AD27/AD11*Time!AD30/12*Inputs!$F$40</f>
        <v/>
      </c>
      <c r="AE67" s="13">
        <f>Inputs!$F$160*AE27/AE11*Time!AE30/12*Inputs!$F$40</f>
        <v/>
      </c>
      <c r="AF67" s="13">
        <f>Inputs!$F$160*AF27/AF11*Time!AF30/12*Inputs!$F$40</f>
        <v/>
      </c>
      <c r="AG67" s="13">
        <f>Inputs!$F$160*AG27/AG11*Time!AG30/12*Inputs!$F$40</f>
        <v/>
      </c>
      <c r="AH67" s="13">
        <f>Inputs!$F$160*AH27/AH11*Time!AH30/12*Inputs!$F$40</f>
        <v/>
      </c>
      <c r="AI67" s="13">
        <f>Inputs!$F$160*AI27/AI11*Time!AI30/12*Inputs!$F$40</f>
        <v/>
      </c>
      <c r="AJ67" s="13">
        <f>Inputs!$F$160*AJ27/AJ11*Time!AJ30/12*Inputs!$F$40</f>
        <v/>
      </c>
      <c r="AK67" s="13">
        <f>Inputs!$F$160*AK27/AK11*Time!AK30/12*Inputs!$F$40</f>
        <v/>
      </c>
      <c r="AL67" s="13">
        <f>Inputs!$F$160*AL27/AL11*Time!AL30/12*Inputs!$F$40</f>
        <v/>
      </c>
      <c r="AM67" s="13">
        <f>Inputs!$F$160*AM27/AM11*Time!AM30/12*Inputs!$F$40</f>
        <v/>
      </c>
      <c r="AN67" s="13">
        <f>Inputs!$F$160*AN27/AN11*Time!AN30/12*Inputs!$F$40</f>
        <v/>
      </c>
      <c r="AO67" s="13">
        <f>Inputs!$F$160*AO27/AO11*Time!AO30/12*Inputs!$F$40</f>
        <v/>
      </c>
      <c r="AP67" s="13">
        <f>Inputs!$F$160*AP27/AP11*Time!AP30/12*Inputs!$F$40</f>
        <v/>
      </c>
      <c r="AQ67" s="13">
        <f>Inputs!$F$160*AQ27/AQ11*Time!AQ30/12*Inputs!$F$40</f>
        <v/>
      </c>
      <c r="AR67" s="13">
        <f>Inputs!$F$160*AR27/AR11*Time!AR30/12*Inputs!$F$40</f>
        <v/>
      </c>
      <c r="AS67" s="13">
        <f>Inputs!$F$160*AS27/AS11*Time!AS30/12*Inputs!$F$40</f>
        <v/>
      </c>
      <c r="AT67" s="13">
        <f>Inputs!$F$160*AT27/AT11*Time!AT30/12*Inputs!$F$40</f>
        <v/>
      </c>
      <c r="AU67" s="13">
        <f>Inputs!$F$160*AU27/AU11*Time!AU30/12*Inputs!$F$40</f>
        <v/>
      </c>
      <c r="AV67" s="13">
        <f>Inputs!$F$160*AV27/AV11*Time!AV30/12*Inputs!$F$40</f>
        <v/>
      </c>
      <c r="AW67" s="13">
        <f>Inputs!$F$160*AW27/AW11*Time!AW30/12*Inputs!$F$40</f>
        <v/>
      </c>
      <c r="AX67" s="13">
        <f>Inputs!$F$160*AX27/AX11*Time!AX30/12*Inputs!$F$40</f>
        <v/>
      </c>
      <c r="AY67" s="13">
        <f>Inputs!$F$160*AY27/AY11*Time!AY30/12*Inputs!$F$40</f>
        <v/>
      </c>
      <c r="AZ67" s="13">
        <f>Inputs!$F$160*AZ27/AZ11*Time!AZ30/12*Inputs!$F$40</f>
        <v/>
      </c>
      <c r="BA67" s="13">
        <f>Inputs!$F$160*BA27/BA11*Time!BA30/12*Inputs!$F$40</f>
        <v/>
      </c>
      <c r="BB67" s="13">
        <f>Inputs!$F$160*BB27/BB11*Time!BB30/12*Inputs!$F$40</f>
        <v/>
      </c>
      <c r="BC67" s="13">
        <f>Inputs!$F$160*BC27/BC11*Time!BC30/12*Inputs!$F$40</f>
        <v/>
      </c>
      <c r="BD67" s="13">
        <f>Inputs!$F$160*BD27/BD11*Time!BD30/12*Inputs!$F$40</f>
        <v/>
      </c>
      <c r="BE67" s="13">
        <f>Inputs!$F$160*BE27/BE11*Time!BE30/12*Inputs!$F$40</f>
        <v/>
      </c>
      <c r="BF67" s="13">
        <f>Inputs!$F$160*BF27/BF11*Time!BF30/12*Inputs!$F$40</f>
        <v/>
      </c>
      <c r="BG67" s="13">
        <f>Inputs!$F$160*BG27/BG11*Time!BG30/12*Inputs!$F$40</f>
        <v/>
      </c>
      <c r="BH67" s="13">
        <f>Inputs!$F$160*BH27/BH11*Time!BH30/12*Inputs!$F$40</f>
        <v/>
      </c>
      <c r="BI67" s="13">
        <f>Inputs!$F$160*BI27/BI11*Time!BI30/12*Inputs!$F$40</f>
        <v/>
      </c>
      <c r="BJ67" s="13">
        <f>Inputs!$F$160*BJ27/BJ11*Time!BJ30/12*Inputs!$F$40</f>
        <v/>
      </c>
      <c r="BK67" s="13">
        <f>Inputs!$F$160*BK27/BK11*Time!BK30/12*Inputs!$F$40</f>
        <v/>
      </c>
      <c r="BL67" s="13">
        <f>Inputs!$F$160*BL27/BL11*Time!BL30/12*Inputs!$F$40</f>
        <v/>
      </c>
      <c r="BM67" s="13">
        <f>Inputs!$F$160*BM27/BM11*Time!BM30/12*Inputs!$F$40</f>
        <v/>
      </c>
      <c r="BN67" s="13">
        <f>Inputs!$F$160*BN27/BN11*Time!BN30/12*Inputs!$F$40</f>
        <v/>
      </c>
    </row>
    <row r="68">
      <c r="D68" t="inlineStr">
        <is>
          <t>Community fund and OREK levy</t>
        </is>
      </c>
      <c r="E68" t="inlineStr">
        <is>
          <t>USD m</t>
        </is>
      </c>
      <c r="G68" s="13">
        <f>SUM(J68:BN68)</f>
        <v/>
      </c>
      <c r="J68" s="13">
        <f>Inputs!$F$161/100*J55</f>
        <v/>
      </c>
      <c r="K68" s="13">
        <f>Inputs!$F$161/100*K55</f>
        <v/>
      </c>
      <c r="L68" s="13">
        <f>Inputs!$F$161/100*L55</f>
        <v/>
      </c>
      <c r="M68" s="13">
        <f>Inputs!$F$161/100*M55</f>
        <v/>
      </c>
      <c r="N68" s="13">
        <f>Inputs!$F$161/100*N55</f>
        <v/>
      </c>
      <c r="O68" s="13">
        <f>Inputs!$F$161/100*O55</f>
        <v/>
      </c>
      <c r="P68" s="13">
        <f>Inputs!$F$161/100*P55</f>
        <v/>
      </c>
      <c r="Q68" s="13">
        <f>Inputs!$F$161/100*Q55</f>
        <v/>
      </c>
      <c r="R68" s="13">
        <f>Inputs!$F$161/100*R55</f>
        <v/>
      </c>
      <c r="S68" s="13">
        <f>Inputs!$F$161/100*S55</f>
        <v/>
      </c>
      <c r="T68" s="13">
        <f>Inputs!$F$161/100*T55</f>
        <v/>
      </c>
      <c r="U68" s="13">
        <f>Inputs!$F$161/100*U55</f>
        <v/>
      </c>
      <c r="V68" s="13">
        <f>Inputs!$F$161/100*V55</f>
        <v/>
      </c>
      <c r="W68" s="13">
        <f>Inputs!$F$161/100*W55</f>
        <v/>
      </c>
      <c r="X68" s="13">
        <f>Inputs!$F$161/100*X55</f>
        <v/>
      </c>
      <c r="Y68" s="13">
        <f>Inputs!$F$161/100*Y55</f>
        <v/>
      </c>
      <c r="Z68" s="13">
        <f>Inputs!$F$161/100*Z55</f>
        <v/>
      </c>
      <c r="AA68" s="13">
        <f>Inputs!$F$161/100*AA55</f>
        <v/>
      </c>
      <c r="AB68" s="13">
        <f>Inputs!$F$161/100*AB55</f>
        <v/>
      </c>
      <c r="AC68" s="13">
        <f>Inputs!$F$161/100*AC55</f>
        <v/>
      </c>
      <c r="AD68" s="13">
        <f>Inputs!$F$161/100*AD55</f>
        <v/>
      </c>
      <c r="AE68" s="13">
        <f>Inputs!$F$161/100*AE55</f>
        <v/>
      </c>
      <c r="AF68" s="13">
        <f>Inputs!$F$161/100*AF55</f>
        <v/>
      </c>
      <c r="AG68" s="13">
        <f>Inputs!$F$161/100*AG55</f>
        <v/>
      </c>
      <c r="AH68" s="13">
        <f>Inputs!$F$161/100*AH55</f>
        <v/>
      </c>
      <c r="AI68" s="13">
        <f>Inputs!$F$161/100*AI55</f>
        <v/>
      </c>
      <c r="AJ68" s="13">
        <f>Inputs!$F$161/100*AJ55</f>
        <v/>
      </c>
      <c r="AK68" s="13">
        <f>Inputs!$F$161/100*AK55</f>
        <v/>
      </c>
      <c r="AL68" s="13">
        <f>Inputs!$F$161/100*AL55</f>
        <v/>
      </c>
      <c r="AM68" s="13">
        <f>Inputs!$F$161/100*AM55</f>
        <v/>
      </c>
      <c r="AN68" s="13">
        <f>Inputs!$F$161/100*AN55</f>
        <v/>
      </c>
      <c r="AO68" s="13">
        <f>Inputs!$F$161/100*AO55</f>
        <v/>
      </c>
      <c r="AP68" s="13">
        <f>Inputs!$F$161/100*AP55</f>
        <v/>
      </c>
      <c r="AQ68" s="13">
        <f>Inputs!$F$161/100*AQ55</f>
        <v/>
      </c>
      <c r="AR68" s="13">
        <f>Inputs!$F$161/100*AR55</f>
        <v/>
      </c>
      <c r="AS68" s="13">
        <f>Inputs!$F$161/100*AS55</f>
        <v/>
      </c>
      <c r="AT68" s="13">
        <f>Inputs!$F$161/100*AT55</f>
        <v/>
      </c>
      <c r="AU68" s="13">
        <f>Inputs!$F$161/100*AU55</f>
        <v/>
      </c>
      <c r="AV68" s="13">
        <f>Inputs!$F$161/100*AV55</f>
        <v/>
      </c>
      <c r="AW68" s="13">
        <f>Inputs!$F$161/100*AW55</f>
        <v/>
      </c>
      <c r="AX68" s="13">
        <f>Inputs!$F$161/100*AX55</f>
        <v/>
      </c>
      <c r="AY68" s="13">
        <f>Inputs!$F$161/100*AY55</f>
        <v/>
      </c>
      <c r="AZ68" s="13">
        <f>Inputs!$F$161/100*AZ55</f>
        <v/>
      </c>
      <c r="BA68" s="13">
        <f>Inputs!$F$161/100*BA55</f>
        <v/>
      </c>
      <c r="BB68" s="13">
        <f>Inputs!$F$161/100*BB55</f>
        <v/>
      </c>
      <c r="BC68" s="13">
        <f>Inputs!$F$161/100*BC55</f>
        <v/>
      </c>
      <c r="BD68" s="13">
        <f>Inputs!$F$161/100*BD55</f>
        <v/>
      </c>
      <c r="BE68" s="13">
        <f>Inputs!$F$161/100*BE55</f>
        <v/>
      </c>
      <c r="BF68" s="13">
        <f>Inputs!$F$161/100*BF55</f>
        <v/>
      </c>
      <c r="BG68" s="13">
        <f>Inputs!$F$161/100*BG55</f>
        <v/>
      </c>
      <c r="BH68" s="13">
        <f>Inputs!$F$161/100*BH55</f>
        <v/>
      </c>
      <c r="BI68" s="13">
        <f>Inputs!$F$161/100*BI55</f>
        <v/>
      </c>
      <c r="BJ68" s="13">
        <f>Inputs!$F$161/100*BJ55</f>
        <v/>
      </c>
      <c r="BK68" s="13">
        <f>Inputs!$F$161/100*BK55</f>
        <v/>
      </c>
      <c r="BL68" s="13">
        <f>Inputs!$F$161/100*BL55</f>
        <v/>
      </c>
      <c r="BM68" s="13">
        <f>Inputs!$F$161/100*BM55</f>
        <v/>
      </c>
      <c r="BN68" s="13">
        <f>Inputs!$F$161/100*BN55</f>
        <v/>
      </c>
    </row>
    <row r="69">
      <c r="D69" t="inlineStr">
        <is>
          <t>Variable consumables</t>
        </is>
      </c>
      <c r="E69" t="inlineStr">
        <is>
          <t>USD m</t>
        </is>
      </c>
      <c r="G69" s="13">
        <f>SUM(J69:BN69)</f>
        <v/>
      </c>
      <c r="J69" s="13">
        <f>Inputs!$F$162*(Inputs!$F$219*J21+(1-Inputs!$F$219)*J27*Inputs!$F$153/J11)*J38/1000000</f>
        <v/>
      </c>
      <c r="K69" s="13">
        <f>Inputs!$F$162*(Inputs!$F$219*K21+(1-Inputs!$F$219)*K27*Inputs!$F$153/K11)*K38/1000000</f>
        <v/>
      </c>
      <c r="L69" s="13">
        <f>Inputs!$F$162*(Inputs!$F$219*L21+(1-Inputs!$F$219)*L27*Inputs!$F$153/L11)*L38/1000000</f>
        <v/>
      </c>
      <c r="M69" s="13">
        <f>Inputs!$F$162*(Inputs!$F$219*M21+(1-Inputs!$F$219)*M27*Inputs!$F$153/M11)*M38/1000000</f>
        <v/>
      </c>
      <c r="N69" s="13">
        <f>Inputs!$F$162*(Inputs!$F$219*N21+(1-Inputs!$F$219)*N27*Inputs!$F$153/N11)*N38/1000000</f>
        <v/>
      </c>
      <c r="O69" s="13">
        <f>Inputs!$F$162*(Inputs!$F$219*O21+(1-Inputs!$F$219)*O27*Inputs!$F$153/O11)*O38/1000000</f>
        <v/>
      </c>
      <c r="P69" s="13">
        <f>Inputs!$F$162*(Inputs!$F$219*P21+(1-Inputs!$F$219)*P27*Inputs!$F$153/P11)*P38/1000000</f>
        <v/>
      </c>
      <c r="Q69" s="13">
        <f>Inputs!$F$162*(Inputs!$F$219*Q21+(1-Inputs!$F$219)*Q27*Inputs!$F$153/Q11)*Q38/1000000</f>
        <v/>
      </c>
      <c r="R69" s="13">
        <f>Inputs!$F$162*(Inputs!$F$219*R21+(1-Inputs!$F$219)*R27*Inputs!$F$153/R11)*R38/1000000</f>
        <v/>
      </c>
      <c r="S69" s="13">
        <f>Inputs!$F$162*(Inputs!$F$219*S21+(1-Inputs!$F$219)*S27*Inputs!$F$153/S11)*S38/1000000</f>
        <v/>
      </c>
      <c r="T69" s="13">
        <f>Inputs!$F$162*(Inputs!$F$219*T21+(1-Inputs!$F$219)*T27*Inputs!$F$153/T11)*T38/1000000</f>
        <v/>
      </c>
      <c r="U69" s="13">
        <f>Inputs!$F$162*(Inputs!$F$219*U21+(1-Inputs!$F$219)*U27*Inputs!$F$153/U11)*U38/1000000</f>
        <v/>
      </c>
      <c r="V69" s="13">
        <f>Inputs!$F$162*(Inputs!$F$219*V21+(1-Inputs!$F$219)*V27*Inputs!$F$153/V11)*V38/1000000</f>
        <v/>
      </c>
      <c r="W69" s="13">
        <f>Inputs!$F$162*(Inputs!$F$219*W21+(1-Inputs!$F$219)*W27*Inputs!$F$153/W11)*W38/1000000</f>
        <v/>
      </c>
      <c r="X69" s="13">
        <f>Inputs!$F$162*(Inputs!$F$219*X21+(1-Inputs!$F$219)*X27*Inputs!$F$153/X11)*X38/1000000</f>
        <v/>
      </c>
      <c r="Y69" s="13">
        <f>Inputs!$F$162*(Inputs!$F$219*Y21+(1-Inputs!$F$219)*Y27*Inputs!$F$153/Y11)*Y38/1000000</f>
        <v/>
      </c>
      <c r="Z69" s="13">
        <f>Inputs!$F$162*(Inputs!$F$219*Z21+(1-Inputs!$F$219)*Z27*Inputs!$F$153/Z11)*Z38/1000000</f>
        <v/>
      </c>
      <c r="AA69" s="13">
        <f>Inputs!$F$162*(Inputs!$F$219*AA21+(1-Inputs!$F$219)*AA27*Inputs!$F$153/AA11)*AA38/1000000</f>
        <v/>
      </c>
      <c r="AB69" s="13">
        <f>Inputs!$F$162*(Inputs!$F$219*AB21+(1-Inputs!$F$219)*AB27*Inputs!$F$153/AB11)*AB38/1000000</f>
        <v/>
      </c>
      <c r="AC69" s="13">
        <f>Inputs!$F$162*(Inputs!$F$219*AC21+(1-Inputs!$F$219)*AC27*Inputs!$F$153/AC11)*AC38/1000000</f>
        <v/>
      </c>
      <c r="AD69" s="13">
        <f>Inputs!$F$162*(Inputs!$F$219*AD21+(1-Inputs!$F$219)*AD27*Inputs!$F$153/AD11)*AD38/1000000</f>
        <v/>
      </c>
      <c r="AE69" s="13">
        <f>Inputs!$F$162*(Inputs!$F$219*AE21+(1-Inputs!$F$219)*AE27*Inputs!$F$153/AE11)*AE38/1000000</f>
        <v/>
      </c>
      <c r="AF69" s="13">
        <f>Inputs!$F$162*(Inputs!$F$219*AF21+(1-Inputs!$F$219)*AF27*Inputs!$F$153/AF11)*AF38/1000000</f>
        <v/>
      </c>
      <c r="AG69" s="13">
        <f>Inputs!$F$162*(Inputs!$F$219*AG21+(1-Inputs!$F$219)*AG27*Inputs!$F$153/AG11)*AG38/1000000</f>
        <v/>
      </c>
      <c r="AH69" s="13">
        <f>Inputs!$F$162*(Inputs!$F$219*AH21+(1-Inputs!$F$219)*AH27*Inputs!$F$153/AH11)*AH38/1000000</f>
        <v/>
      </c>
      <c r="AI69" s="13">
        <f>Inputs!$F$162*(Inputs!$F$219*AI21+(1-Inputs!$F$219)*AI27*Inputs!$F$153/AI11)*AI38/1000000</f>
        <v/>
      </c>
      <c r="AJ69" s="13">
        <f>Inputs!$F$162*(Inputs!$F$219*AJ21+(1-Inputs!$F$219)*AJ27*Inputs!$F$153/AJ11)*AJ38/1000000</f>
        <v/>
      </c>
      <c r="AK69" s="13">
        <f>Inputs!$F$162*(Inputs!$F$219*AK21+(1-Inputs!$F$219)*AK27*Inputs!$F$153/AK11)*AK38/1000000</f>
        <v/>
      </c>
      <c r="AL69" s="13">
        <f>Inputs!$F$162*(Inputs!$F$219*AL21+(1-Inputs!$F$219)*AL27*Inputs!$F$153/AL11)*AL38/1000000</f>
        <v/>
      </c>
      <c r="AM69" s="13">
        <f>Inputs!$F$162*(Inputs!$F$219*AM21+(1-Inputs!$F$219)*AM27*Inputs!$F$153/AM11)*AM38/1000000</f>
        <v/>
      </c>
      <c r="AN69" s="13">
        <f>Inputs!$F$162*(Inputs!$F$219*AN21+(1-Inputs!$F$219)*AN27*Inputs!$F$153/AN11)*AN38/1000000</f>
        <v/>
      </c>
      <c r="AO69" s="13">
        <f>Inputs!$F$162*(Inputs!$F$219*AO21+(1-Inputs!$F$219)*AO27*Inputs!$F$153/AO11)*AO38/1000000</f>
        <v/>
      </c>
      <c r="AP69" s="13">
        <f>Inputs!$F$162*(Inputs!$F$219*AP21+(1-Inputs!$F$219)*AP27*Inputs!$F$153/AP11)*AP38/1000000</f>
        <v/>
      </c>
      <c r="AQ69" s="13">
        <f>Inputs!$F$162*(Inputs!$F$219*AQ21+(1-Inputs!$F$219)*AQ27*Inputs!$F$153/AQ11)*AQ38/1000000</f>
        <v/>
      </c>
      <c r="AR69" s="13">
        <f>Inputs!$F$162*(Inputs!$F$219*AR21+(1-Inputs!$F$219)*AR27*Inputs!$F$153/AR11)*AR38/1000000</f>
        <v/>
      </c>
      <c r="AS69" s="13">
        <f>Inputs!$F$162*(Inputs!$F$219*AS21+(1-Inputs!$F$219)*AS27*Inputs!$F$153/AS11)*AS38/1000000</f>
        <v/>
      </c>
      <c r="AT69" s="13">
        <f>Inputs!$F$162*(Inputs!$F$219*AT21+(1-Inputs!$F$219)*AT27*Inputs!$F$153/AT11)*AT38/1000000</f>
        <v/>
      </c>
      <c r="AU69" s="13">
        <f>Inputs!$F$162*(Inputs!$F$219*AU21+(1-Inputs!$F$219)*AU27*Inputs!$F$153/AU11)*AU38/1000000</f>
        <v/>
      </c>
      <c r="AV69" s="13">
        <f>Inputs!$F$162*(Inputs!$F$219*AV21+(1-Inputs!$F$219)*AV27*Inputs!$F$153/AV11)*AV38/1000000</f>
        <v/>
      </c>
      <c r="AW69" s="13">
        <f>Inputs!$F$162*(Inputs!$F$219*AW21+(1-Inputs!$F$219)*AW27*Inputs!$F$153/AW11)*AW38/1000000</f>
        <v/>
      </c>
      <c r="AX69" s="13">
        <f>Inputs!$F$162*(Inputs!$F$219*AX21+(1-Inputs!$F$219)*AX27*Inputs!$F$153/AX11)*AX38/1000000</f>
        <v/>
      </c>
      <c r="AY69" s="13">
        <f>Inputs!$F$162*(Inputs!$F$219*AY21+(1-Inputs!$F$219)*AY27*Inputs!$F$153/AY11)*AY38/1000000</f>
        <v/>
      </c>
      <c r="AZ69" s="13">
        <f>Inputs!$F$162*(Inputs!$F$219*AZ21+(1-Inputs!$F$219)*AZ27*Inputs!$F$153/AZ11)*AZ38/1000000</f>
        <v/>
      </c>
      <c r="BA69" s="13">
        <f>Inputs!$F$162*(Inputs!$F$219*BA21+(1-Inputs!$F$219)*BA27*Inputs!$F$153/BA11)*BA38/1000000</f>
        <v/>
      </c>
      <c r="BB69" s="13">
        <f>Inputs!$F$162*(Inputs!$F$219*BB21+(1-Inputs!$F$219)*BB27*Inputs!$F$153/BB11)*BB38/1000000</f>
        <v/>
      </c>
      <c r="BC69" s="13">
        <f>Inputs!$F$162*(Inputs!$F$219*BC21+(1-Inputs!$F$219)*BC27*Inputs!$F$153/BC11)*BC38/1000000</f>
        <v/>
      </c>
      <c r="BD69" s="13">
        <f>Inputs!$F$162*(Inputs!$F$219*BD21+(1-Inputs!$F$219)*BD27*Inputs!$F$153/BD11)*BD38/1000000</f>
        <v/>
      </c>
      <c r="BE69" s="13">
        <f>Inputs!$F$162*(Inputs!$F$219*BE21+(1-Inputs!$F$219)*BE27*Inputs!$F$153/BE11)*BE38/1000000</f>
        <v/>
      </c>
      <c r="BF69" s="13">
        <f>Inputs!$F$162*(Inputs!$F$219*BF21+(1-Inputs!$F$219)*BF27*Inputs!$F$153/BF11)*BF38/1000000</f>
        <v/>
      </c>
      <c r="BG69" s="13">
        <f>Inputs!$F$162*(Inputs!$F$219*BG21+(1-Inputs!$F$219)*BG27*Inputs!$F$153/BG11)*BG38/1000000</f>
        <v/>
      </c>
      <c r="BH69" s="13">
        <f>Inputs!$F$162*(Inputs!$F$219*BH21+(1-Inputs!$F$219)*BH27*Inputs!$F$153/BH11)*BH38/1000000</f>
        <v/>
      </c>
      <c r="BI69" s="13">
        <f>Inputs!$F$162*(Inputs!$F$219*BI21+(1-Inputs!$F$219)*BI27*Inputs!$F$153/BI11)*BI38/1000000</f>
        <v/>
      </c>
      <c r="BJ69" s="13">
        <f>Inputs!$F$162*(Inputs!$F$219*BJ21+(1-Inputs!$F$219)*BJ27*Inputs!$F$153/BJ11)*BJ38/1000000</f>
        <v/>
      </c>
      <c r="BK69" s="13">
        <f>Inputs!$F$162*(Inputs!$F$219*BK21+(1-Inputs!$F$219)*BK27*Inputs!$F$153/BK11)*BK38/1000000</f>
        <v/>
      </c>
      <c r="BL69" s="13">
        <f>Inputs!$F$162*(Inputs!$F$219*BL21+(1-Inputs!$F$219)*BL27*Inputs!$F$153/BL11)*BL38/1000000</f>
        <v/>
      </c>
      <c r="BM69" s="13">
        <f>Inputs!$F$162*(Inputs!$F$219*BM21+(1-Inputs!$F$219)*BM27*Inputs!$F$153/BM11)*BM38/1000000</f>
        <v/>
      </c>
      <c r="BN69" s="13">
        <f>Inputs!$F$162*(Inputs!$F$219*BN21+(1-Inputs!$F$219)*BN27*Inputs!$F$153/BN11)*BN38/1000000</f>
        <v/>
      </c>
    </row>
    <row r="70">
      <c r="D70" t="inlineStr">
        <is>
          <t>Agency and account fees</t>
        </is>
      </c>
      <c r="E70" t="inlineStr">
        <is>
          <t>USD m</t>
        </is>
      </c>
      <c r="G70" s="13">
        <f>SUM(J70:BN70)</f>
        <v/>
      </c>
      <c r="J70" s="13">
        <f>Inputs!$F$107*Time!J30/12</f>
        <v/>
      </c>
      <c r="K70" s="13">
        <f>Inputs!$F$107*Time!K30/12</f>
        <v/>
      </c>
      <c r="L70" s="13">
        <f>Inputs!$F$107*Time!L30/12</f>
        <v/>
      </c>
      <c r="M70" s="13">
        <f>Inputs!$F$107*Time!M30/12</f>
        <v/>
      </c>
      <c r="N70" s="13">
        <f>Inputs!$F$107*Time!N30/12</f>
        <v/>
      </c>
      <c r="O70" s="13">
        <f>Inputs!$F$107*Time!O30/12</f>
        <v/>
      </c>
      <c r="P70" s="13">
        <f>Inputs!$F$107*Time!P30/12</f>
        <v/>
      </c>
      <c r="Q70" s="13">
        <f>Inputs!$F$107*Time!Q30/12</f>
        <v/>
      </c>
      <c r="R70" s="13">
        <f>Inputs!$F$107*Time!R30/12</f>
        <v/>
      </c>
      <c r="S70" s="13">
        <f>Inputs!$F$107*Time!S30/12</f>
        <v/>
      </c>
      <c r="T70" s="13">
        <f>Inputs!$F$107*Time!T30/12</f>
        <v/>
      </c>
      <c r="U70" s="13">
        <f>Inputs!$F$107*Time!U30/12</f>
        <v/>
      </c>
      <c r="V70" s="13">
        <f>Inputs!$F$107*Time!V30/12</f>
        <v/>
      </c>
      <c r="W70" s="13">
        <f>Inputs!$F$107*Time!W30/12</f>
        <v/>
      </c>
      <c r="X70" s="13">
        <f>Inputs!$F$107*Time!X30/12</f>
        <v/>
      </c>
      <c r="Y70" s="13">
        <f>Inputs!$F$107*Time!Y30/12</f>
        <v/>
      </c>
      <c r="Z70" s="13">
        <f>Inputs!$F$107*Time!Z30/12</f>
        <v/>
      </c>
      <c r="AA70" s="13">
        <f>Inputs!$F$107*Time!AA30/12</f>
        <v/>
      </c>
      <c r="AB70" s="13">
        <f>Inputs!$F$107*Time!AB30/12</f>
        <v/>
      </c>
      <c r="AC70" s="13">
        <f>Inputs!$F$107*Time!AC30/12</f>
        <v/>
      </c>
      <c r="AD70" s="13">
        <f>Inputs!$F$107*Time!AD30/12</f>
        <v/>
      </c>
      <c r="AE70" s="13">
        <f>Inputs!$F$107*Time!AE30/12</f>
        <v/>
      </c>
      <c r="AF70" s="13">
        <f>Inputs!$F$107*Time!AF30/12</f>
        <v/>
      </c>
      <c r="AG70" s="13">
        <f>Inputs!$F$107*Time!AG30/12</f>
        <v/>
      </c>
      <c r="AH70" s="13">
        <f>Inputs!$F$107*Time!AH30/12</f>
        <v/>
      </c>
      <c r="AI70" s="13">
        <f>Inputs!$F$107*Time!AI30/12</f>
        <v/>
      </c>
      <c r="AJ70" s="13">
        <f>Inputs!$F$107*Time!AJ30/12</f>
        <v/>
      </c>
      <c r="AK70" s="13">
        <f>Inputs!$F$107*Time!AK30/12</f>
        <v/>
      </c>
      <c r="AL70" s="13">
        <f>Inputs!$F$107*Time!AL30/12</f>
        <v/>
      </c>
      <c r="AM70" s="13">
        <f>Inputs!$F$107*Time!AM30/12</f>
        <v/>
      </c>
      <c r="AN70" s="13">
        <f>Inputs!$F$107*Time!AN30/12</f>
        <v/>
      </c>
      <c r="AO70" s="13">
        <f>Inputs!$F$107*Time!AO30/12</f>
        <v/>
      </c>
      <c r="AP70" s="13">
        <f>Inputs!$F$107*Time!AP30/12</f>
        <v/>
      </c>
      <c r="AQ70" s="13">
        <f>Inputs!$F$107*Time!AQ30/12</f>
        <v/>
      </c>
      <c r="AR70" s="13">
        <f>Inputs!$F$107*Time!AR30/12</f>
        <v/>
      </c>
      <c r="AS70" s="13">
        <f>Inputs!$F$107*Time!AS30/12</f>
        <v/>
      </c>
      <c r="AT70" s="13">
        <f>Inputs!$F$107*Time!AT30/12</f>
        <v/>
      </c>
      <c r="AU70" s="13">
        <f>Inputs!$F$107*Time!AU30/12</f>
        <v/>
      </c>
      <c r="AV70" s="13">
        <f>Inputs!$F$107*Time!AV30/12</f>
        <v/>
      </c>
      <c r="AW70" s="13">
        <f>Inputs!$F$107*Time!AW30/12</f>
        <v/>
      </c>
      <c r="AX70" s="13">
        <f>Inputs!$F$107*Time!AX30/12</f>
        <v/>
      </c>
      <c r="AY70" s="13">
        <f>Inputs!$F$107*Time!AY30/12</f>
        <v/>
      </c>
      <c r="AZ70" s="13">
        <f>Inputs!$F$107*Time!AZ30/12</f>
        <v/>
      </c>
      <c r="BA70" s="13">
        <f>Inputs!$F$107*Time!BA30/12</f>
        <v/>
      </c>
      <c r="BB70" s="13">
        <f>Inputs!$F$107*Time!BB30/12</f>
        <v/>
      </c>
      <c r="BC70" s="13">
        <f>Inputs!$F$107*Time!BC30/12</f>
        <v/>
      </c>
      <c r="BD70" s="13">
        <f>Inputs!$F$107*Time!BD30/12</f>
        <v/>
      </c>
      <c r="BE70" s="13">
        <f>Inputs!$F$107*Time!BE30/12</f>
        <v/>
      </c>
      <c r="BF70" s="13">
        <f>Inputs!$F$107*Time!BF30/12</f>
        <v/>
      </c>
      <c r="BG70" s="13">
        <f>Inputs!$F$107*Time!BG30/12</f>
        <v/>
      </c>
      <c r="BH70" s="13">
        <f>Inputs!$F$107*Time!BH30/12</f>
        <v/>
      </c>
      <c r="BI70" s="13">
        <f>Inputs!$F$107*Time!BI30/12</f>
        <v/>
      </c>
      <c r="BJ70" s="13">
        <f>Inputs!$F$107*Time!BJ30/12</f>
        <v/>
      </c>
      <c r="BK70" s="13">
        <f>Inputs!$F$107*Time!BK30/12</f>
        <v/>
      </c>
      <c r="BL70" s="13">
        <f>Inputs!$F$107*Time!BL30/12</f>
        <v/>
      </c>
      <c r="BM70" s="13">
        <f>Inputs!$F$107*Time!BM30/12</f>
        <v/>
      </c>
      <c r="BN70" s="13">
        <f>Inputs!$F$107*Time!BN30/12</f>
        <v/>
      </c>
    </row>
    <row r="71">
      <c r="D71" t="inlineStr">
        <is>
          <t>ABDB PRG fee</t>
        </is>
      </c>
      <c r="E71" t="inlineStr">
        <is>
          <t>USD m</t>
        </is>
      </c>
      <c r="G71" s="13">
        <f>SUM(J71:BN71)</f>
        <v/>
      </c>
      <c r="J71" s="13">
        <f>Inputs!$F$163*Time!J30/12</f>
        <v/>
      </c>
      <c r="K71" s="13">
        <f>Inputs!$F$163*Time!K30/12</f>
        <v/>
      </c>
      <c r="L71" s="13">
        <f>Inputs!$F$163*Time!L30/12</f>
        <v/>
      </c>
      <c r="M71" s="13">
        <f>Inputs!$F$163*Time!M30/12</f>
        <v/>
      </c>
      <c r="N71" s="13">
        <f>Inputs!$F$163*Time!N30/12</f>
        <v/>
      </c>
      <c r="O71" s="13">
        <f>Inputs!$F$163*Time!O30/12</f>
        <v/>
      </c>
      <c r="P71" s="13">
        <f>Inputs!$F$163*Time!P30/12</f>
        <v/>
      </c>
      <c r="Q71" s="13">
        <f>Inputs!$F$163*Time!Q30/12</f>
        <v/>
      </c>
      <c r="R71" s="13">
        <f>Inputs!$F$163*Time!R30/12</f>
        <v/>
      </c>
      <c r="S71" s="13">
        <f>Inputs!$F$163*Time!S30/12</f>
        <v/>
      </c>
      <c r="T71" s="13">
        <f>Inputs!$F$163*Time!T30/12</f>
        <v/>
      </c>
      <c r="U71" s="13">
        <f>Inputs!$F$163*Time!U30/12</f>
        <v/>
      </c>
      <c r="V71" s="13">
        <f>Inputs!$F$163*Time!V30/12</f>
        <v/>
      </c>
      <c r="W71" s="13">
        <f>Inputs!$F$163*Time!W30/12</f>
        <v/>
      </c>
      <c r="X71" s="13">
        <f>Inputs!$F$163*Time!X30/12</f>
        <v/>
      </c>
      <c r="Y71" s="13">
        <f>Inputs!$F$163*Time!Y30/12</f>
        <v/>
      </c>
      <c r="Z71" s="13">
        <f>Inputs!$F$163*Time!Z30/12</f>
        <v/>
      </c>
      <c r="AA71" s="13">
        <f>Inputs!$F$163*Time!AA30/12</f>
        <v/>
      </c>
      <c r="AB71" s="13">
        <f>Inputs!$F$163*Time!AB30/12</f>
        <v/>
      </c>
      <c r="AC71" s="13">
        <f>Inputs!$F$163*Time!AC30/12</f>
        <v/>
      </c>
      <c r="AD71" s="13">
        <f>Inputs!$F$163*Time!AD30/12</f>
        <v/>
      </c>
      <c r="AE71" s="13">
        <f>Inputs!$F$163*Time!AE30/12</f>
        <v/>
      </c>
      <c r="AF71" s="13">
        <f>Inputs!$F$163*Time!AF30/12</f>
        <v/>
      </c>
      <c r="AG71" s="13">
        <f>Inputs!$F$163*Time!AG30/12</f>
        <v/>
      </c>
      <c r="AH71" s="13">
        <f>Inputs!$F$163*Time!AH30/12</f>
        <v/>
      </c>
      <c r="AI71" s="13">
        <f>Inputs!$F$163*Time!AI30/12</f>
        <v/>
      </c>
      <c r="AJ71" s="13">
        <f>Inputs!$F$163*Time!AJ30/12</f>
        <v/>
      </c>
      <c r="AK71" s="13">
        <f>Inputs!$F$163*Time!AK30/12</f>
        <v/>
      </c>
      <c r="AL71" s="13">
        <f>Inputs!$F$163*Time!AL30/12</f>
        <v/>
      </c>
      <c r="AM71" s="13">
        <f>Inputs!$F$163*Time!AM30/12</f>
        <v/>
      </c>
      <c r="AN71" s="13">
        <f>Inputs!$F$163*Time!AN30/12</f>
        <v/>
      </c>
      <c r="AO71" s="13">
        <f>Inputs!$F$163*Time!AO30/12</f>
        <v/>
      </c>
      <c r="AP71" s="13">
        <f>Inputs!$F$163*Time!AP30/12</f>
        <v/>
      </c>
      <c r="AQ71" s="13">
        <f>Inputs!$F$163*Time!AQ30/12</f>
        <v/>
      </c>
      <c r="AR71" s="13">
        <f>Inputs!$F$163*Time!AR30/12</f>
        <v/>
      </c>
      <c r="AS71" s="13">
        <f>Inputs!$F$163*Time!AS30/12</f>
        <v/>
      </c>
      <c r="AT71" s="13">
        <f>Inputs!$F$163*Time!AT30/12</f>
        <v/>
      </c>
      <c r="AU71" s="13">
        <f>Inputs!$F$163*Time!AU30/12</f>
        <v/>
      </c>
      <c r="AV71" s="13">
        <f>Inputs!$F$163*Time!AV30/12</f>
        <v/>
      </c>
      <c r="AW71" s="13">
        <f>Inputs!$F$163*Time!AW30/12</f>
        <v/>
      </c>
      <c r="AX71" s="13">
        <f>Inputs!$F$163*Time!AX30/12</f>
        <v/>
      </c>
      <c r="AY71" s="13">
        <f>Inputs!$F$163*Time!AY30/12</f>
        <v/>
      </c>
      <c r="AZ71" s="13">
        <f>Inputs!$F$163*Time!AZ30/12</f>
        <v/>
      </c>
      <c r="BA71" s="13">
        <f>Inputs!$F$163*Time!BA30/12</f>
        <v/>
      </c>
      <c r="BB71" s="13">
        <f>Inputs!$F$163*Time!BB30/12</f>
        <v/>
      </c>
      <c r="BC71" s="13">
        <f>Inputs!$F$163*Time!BC30/12</f>
        <v/>
      </c>
      <c r="BD71" s="13">
        <f>Inputs!$F$163*Time!BD30/12</f>
        <v/>
      </c>
      <c r="BE71" s="13">
        <f>Inputs!$F$163*Time!BE30/12</f>
        <v/>
      </c>
      <c r="BF71" s="13">
        <f>Inputs!$F$163*Time!BF30/12</f>
        <v/>
      </c>
      <c r="BG71" s="13">
        <f>Inputs!$F$163*Time!BG30/12</f>
        <v/>
      </c>
      <c r="BH71" s="13">
        <f>Inputs!$F$163*Time!BH30/12</f>
        <v/>
      </c>
      <c r="BI71" s="13">
        <f>Inputs!$F$163*Time!BI30/12</f>
        <v/>
      </c>
      <c r="BJ71" s="13">
        <f>Inputs!$F$163*Time!BJ30/12</f>
        <v/>
      </c>
      <c r="BK71" s="13">
        <f>Inputs!$F$163*Time!BK30/12</f>
        <v/>
      </c>
      <c r="BL71" s="13">
        <f>Inputs!$F$163*Time!BL30/12</f>
        <v/>
      </c>
      <c r="BM71" s="13">
        <f>Inputs!$F$163*Time!BM30/12</f>
        <v/>
      </c>
      <c r="BN71" s="13">
        <f>Inputs!$F$163*Time!BN30/12</f>
        <v/>
      </c>
    </row>
    <row r="72">
      <c r="D72" t="inlineStr">
        <is>
          <t>Operating costs before pass-through items</t>
        </is>
      </c>
      <c r="E72" t="inlineStr">
        <is>
          <t>USD m</t>
        </is>
      </c>
      <c r="G72" s="13">
        <f>SUM(J72:BN72)</f>
        <v/>
      </c>
      <c r="J72" s="13">
        <f>J60+J61+J62+J64+J65+J66+J67+J68+J69+J70+J71</f>
        <v/>
      </c>
      <c r="K72" s="13">
        <f>K60+K61+K62+K64+K65+K66+K67+K68+K69+K70+K71</f>
        <v/>
      </c>
      <c r="L72" s="13">
        <f>L60+L61+L62+L64+L65+L66+L67+L68+L69+L70+L71</f>
        <v/>
      </c>
      <c r="M72" s="13">
        <f>M60+M61+M62+M64+M65+M66+M67+M68+M69+M70+M71</f>
        <v/>
      </c>
      <c r="N72" s="13">
        <f>N60+N61+N62+N64+N65+N66+N67+N68+N69+N70+N71</f>
        <v/>
      </c>
      <c r="O72" s="13">
        <f>O60+O61+O62+O64+O65+O66+O67+O68+O69+O70+O71</f>
        <v/>
      </c>
      <c r="P72" s="13">
        <f>P60+P61+P62+P64+P65+P66+P67+P68+P69+P70+P71</f>
        <v/>
      </c>
      <c r="Q72" s="13">
        <f>Q60+Q61+Q62+Q64+Q65+Q66+Q67+Q68+Q69+Q70+Q71</f>
        <v/>
      </c>
      <c r="R72" s="13">
        <f>R60+R61+R62+R64+R65+R66+R67+R68+R69+R70+R71</f>
        <v/>
      </c>
      <c r="S72" s="13">
        <f>S60+S61+S62+S64+S65+S66+S67+S68+S69+S70+S71</f>
        <v/>
      </c>
      <c r="T72" s="13">
        <f>T60+T61+T62+T64+T65+T66+T67+T68+T69+T70+T71</f>
        <v/>
      </c>
      <c r="U72" s="13">
        <f>U60+U61+U62+U64+U65+U66+U67+U68+U69+U70+U71</f>
        <v/>
      </c>
      <c r="V72" s="13">
        <f>V60+V61+V62+V64+V65+V66+V67+V68+V69+V70+V71</f>
        <v/>
      </c>
      <c r="W72" s="13">
        <f>W60+W61+W62+W64+W65+W66+W67+W68+W69+W70+W71</f>
        <v/>
      </c>
      <c r="X72" s="13">
        <f>X60+X61+X62+X64+X65+X66+X67+X68+X69+X70+X71</f>
        <v/>
      </c>
      <c r="Y72" s="13">
        <f>Y60+Y61+Y62+Y64+Y65+Y66+Y67+Y68+Y69+Y70+Y71</f>
        <v/>
      </c>
      <c r="Z72" s="13">
        <f>Z60+Z61+Z62+Z64+Z65+Z66+Z67+Z68+Z69+Z70+Z71</f>
        <v/>
      </c>
      <c r="AA72" s="13">
        <f>AA60+AA61+AA62+AA64+AA65+AA66+AA67+AA68+AA69+AA70+AA71</f>
        <v/>
      </c>
      <c r="AB72" s="13">
        <f>AB60+AB61+AB62+AB64+AB65+AB66+AB67+AB68+AB69+AB70+AB71</f>
        <v/>
      </c>
      <c r="AC72" s="13">
        <f>AC60+AC61+AC62+AC64+AC65+AC66+AC67+AC68+AC69+AC70+AC71</f>
        <v/>
      </c>
      <c r="AD72" s="13">
        <f>AD60+AD61+AD62+AD64+AD65+AD66+AD67+AD68+AD69+AD70+AD71</f>
        <v/>
      </c>
      <c r="AE72" s="13">
        <f>AE60+AE61+AE62+AE64+AE65+AE66+AE67+AE68+AE69+AE70+AE71</f>
        <v/>
      </c>
      <c r="AF72" s="13">
        <f>AF60+AF61+AF62+AF64+AF65+AF66+AF67+AF68+AF69+AF70+AF71</f>
        <v/>
      </c>
      <c r="AG72" s="13">
        <f>AG60+AG61+AG62+AG64+AG65+AG66+AG67+AG68+AG69+AG70+AG71</f>
        <v/>
      </c>
      <c r="AH72" s="13">
        <f>AH60+AH61+AH62+AH64+AH65+AH66+AH67+AH68+AH69+AH70+AH71</f>
        <v/>
      </c>
      <c r="AI72" s="13">
        <f>AI60+AI61+AI62+AI64+AI65+AI66+AI67+AI68+AI69+AI70+AI71</f>
        <v/>
      </c>
      <c r="AJ72" s="13">
        <f>AJ60+AJ61+AJ62+AJ64+AJ65+AJ66+AJ67+AJ68+AJ69+AJ70+AJ71</f>
        <v/>
      </c>
      <c r="AK72" s="13">
        <f>AK60+AK61+AK62+AK64+AK65+AK66+AK67+AK68+AK69+AK70+AK71</f>
        <v/>
      </c>
      <c r="AL72" s="13">
        <f>AL60+AL61+AL62+AL64+AL65+AL66+AL67+AL68+AL69+AL70+AL71</f>
        <v/>
      </c>
      <c r="AM72" s="13">
        <f>AM60+AM61+AM62+AM64+AM65+AM66+AM67+AM68+AM69+AM70+AM71</f>
        <v/>
      </c>
      <c r="AN72" s="13">
        <f>AN60+AN61+AN62+AN64+AN65+AN66+AN67+AN68+AN69+AN70+AN71</f>
        <v/>
      </c>
      <c r="AO72" s="13">
        <f>AO60+AO61+AO62+AO64+AO65+AO66+AO67+AO68+AO69+AO70+AO71</f>
        <v/>
      </c>
      <c r="AP72" s="13">
        <f>AP60+AP61+AP62+AP64+AP65+AP66+AP67+AP68+AP69+AP70+AP71</f>
        <v/>
      </c>
      <c r="AQ72" s="13">
        <f>AQ60+AQ61+AQ62+AQ64+AQ65+AQ66+AQ67+AQ68+AQ69+AQ70+AQ71</f>
        <v/>
      </c>
      <c r="AR72" s="13">
        <f>AR60+AR61+AR62+AR64+AR65+AR66+AR67+AR68+AR69+AR70+AR71</f>
        <v/>
      </c>
      <c r="AS72" s="13">
        <f>AS60+AS61+AS62+AS64+AS65+AS66+AS67+AS68+AS69+AS70+AS71</f>
        <v/>
      </c>
      <c r="AT72" s="13">
        <f>AT60+AT61+AT62+AT64+AT65+AT66+AT67+AT68+AT69+AT70+AT71</f>
        <v/>
      </c>
      <c r="AU72" s="13">
        <f>AU60+AU61+AU62+AU64+AU65+AU66+AU67+AU68+AU69+AU70+AU71</f>
        <v/>
      </c>
      <c r="AV72" s="13">
        <f>AV60+AV61+AV62+AV64+AV65+AV66+AV67+AV68+AV69+AV70+AV71</f>
        <v/>
      </c>
      <c r="AW72" s="13">
        <f>AW60+AW61+AW62+AW64+AW65+AW66+AW67+AW68+AW69+AW70+AW71</f>
        <v/>
      </c>
      <c r="AX72" s="13">
        <f>AX60+AX61+AX62+AX64+AX65+AX66+AX67+AX68+AX69+AX70+AX71</f>
        <v/>
      </c>
      <c r="AY72" s="13">
        <f>AY60+AY61+AY62+AY64+AY65+AY66+AY67+AY68+AY69+AY70+AY71</f>
        <v/>
      </c>
      <c r="AZ72" s="13">
        <f>AZ60+AZ61+AZ62+AZ64+AZ65+AZ66+AZ67+AZ68+AZ69+AZ70+AZ71</f>
        <v/>
      </c>
      <c r="BA72" s="13">
        <f>BA60+BA61+BA62+BA64+BA65+BA66+BA67+BA68+BA69+BA70+BA71</f>
        <v/>
      </c>
      <c r="BB72" s="13">
        <f>BB60+BB61+BB62+BB64+BB65+BB66+BB67+BB68+BB69+BB70+BB71</f>
        <v/>
      </c>
      <c r="BC72" s="13">
        <f>BC60+BC61+BC62+BC64+BC65+BC66+BC67+BC68+BC69+BC70+BC71</f>
        <v/>
      </c>
      <c r="BD72" s="13">
        <f>BD60+BD61+BD62+BD64+BD65+BD66+BD67+BD68+BD69+BD70+BD71</f>
        <v/>
      </c>
      <c r="BE72" s="13">
        <f>BE60+BE61+BE62+BE64+BE65+BE66+BE67+BE68+BE69+BE70+BE71</f>
        <v/>
      </c>
      <c r="BF72" s="13">
        <f>BF60+BF61+BF62+BF64+BF65+BF66+BF67+BF68+BF69+BF70+BF71</f>
        <v/>
      </c>
      <c r="BG72" s="13">
        <f>BG60+BG61+BG62+BG64+BG65+BG66+BG67+BG68+BG69+BG70+BG71</f>
        <v/>
      </c>
      <c r="BH72" s="13">
        <f>BH60+BH61+BH62+BH64+BH65+BH66+BH67+BH68+BH69+BH70+BH71</f>
        <v/>
      </c>
      <c r="BI72" s="13">
        <f>BI60+BI61+BI62+BI64+BI65+BI66+BI67+BI68+BI69+BI70+BI71</f>
        <v/>
      </c>
      <c r="BJ72" s="13">
        <f>BJ60+BJ61+BJ62+BJ64+BJ65+BJ66+BJ67+BJ68+BJ69+BJ70+BJ71</f>
        <v/>
      </c>
      <c r="BK72" s="13">
        <f>BK60+BK61+BK62+BK64+BK65+BK66+BK67+BK68+BK69+BK70+BK71</f>
        <v/>
      </c>
      <c r="BL72" s="13">
        <f>BL60+BL61+BL62+BL64+BL65+BL66+BL67+BL68+BL69+BL70+BL71</f>
        <v/>
      </c>
      <c r="BM72" s="13">
        <f>BM60+BM61+BM62+BM64+BM65+BM66+BM67+BM68+BM69+BM70+BM71</f>
        <v/>
      </c>
      <c r="BN72" s="13">
        <f>BN60+BN61+BN62+BN64+BN65+BN66+BN67+BN68+BN69+BN70+BN71</f>
        <v/>
      </c>
    </row>
    <row r="73">
      <c r="D73" t="inlineStr">
        <is>
          <t>Gas purchases</t>
        </is>
      </c>
      <c r="E73" t="inlineStr">
        <is>
          <t>USD m</t>
        </is>
      </c>
      <c r="G73" s="13">
        <f>SUM(J73:BN73)</f>
        <v/>
      </c>
      <c r="J73" s="13">
        <f>J42*J41/1000000</f>
        <v/>
      </c>
      <c r="K73" s="13">
        <f>K42*K41/1000000</f>
        <v/>
      </c>
      <c r="L73" s="13">
        <f>L42*L41/1000000</f>
        <v/>
      </c>
      <c r="M73" s="13">
        <f>M42*M41/1000000</f>
        <v/>
      </c>
      <c r="N73" s="13">
        <f>N42*N41/1000000</f>
        <v/>
      </c>
      <c r="O73" s="13">
        <f>O42*O41/1000000</f>
        <v/>
      </c>
      <c r="P73" s="13">
        <f>P42*P41/1000000</f>
        <v/>
      </c>
      <c r="Q73" s="13">
        <f>Q42*Q41/1000000</f>
        <v/>
      </c>
      <c r="R73" s="13">
        <f>R42*R41/1000000</f>
        <v/>
      </c>
      <c r="S73" s="13">
        <f>S42*S41/1000000</f>
        <v/>
      </c>
      <c r="T73" s="13">
        <f>T42*T41/1000000</f>
        <v/>
      </c>
      <c r="U73" s="13">
        <f>U42*U41/1000000</f>
        <v/>
      </c>
      <c r="V73" s="13">
        <f>V42*V41/1000000</f>
        <v/>
      </c>
      <c r="W73" s="13">
        <f>W42*W41/1000000</f>
        <v/>
      </c>
      <c r="X73" s="13">
        <f>X42*X41/1000000</f>
        <v/>
      </c>
      <c r="Y73" s="13">
        <f>Y42*Y41/1000000</f>
        <v/>
      </c>
      <c r="Z73" s="13">
        <f>Z42*Z41/1000000</f>
        <v/>
      </c>
      <c r="AA73" s="13">
        <f>AA42*AA41/1000000</f>
        <v/>
      </c>
      <c r="AB73" s="13">
        <f>AB42*AB41/1000000</f>
        <v/>
      </c>
      <c r="AC73" s="13">
        <f>AC42*AC41/1000000</f>
        <v/>
      </c>
      <c r="AD73" s="13">
        <f>AD42*AD41/1000000</f>
        <v/>
      </c>
      <c r="AE73" s="13">
        <f>AE42*AE41/1000000</f>
        <v/>
      </c>
      <c r="AF73" s="13">
        <f>AF42*AF41/1000000</f>
        <v/>
      </c>
      <c r="AG73" s="13">
        <f>AG42*AG41/1000000</f>
        <v/>
      </c>
      <c r="AH73" s="13">
        <f>AH42*AH41/1000000</f>
        <v/>
      </c>
      <c r="AI73" s="13">
        <f>AI42*AI41/1000000</f>
        <v/>
      </c>
      <c r="AJ73" s="13">
        <f>AJ42*AJ41/1000000</f>
        <v/>
      </c>
      <c r="AK73" s="13">
        <f>AK42*AK41/1000000</f>
        <v/>
      </c>
      <c r="AL73" s="13">
        <f>AL42*AL41/1000000</f>
        <v/>
      </c>
      <c r="AM73" s="13">
        <f>AM42*AM41/1000000</f>
        <v/>
      </c>
      <c r="AN73" s="13">
        <f>AN42*AN41/1000000</f>
        <v/>
      </c>
      <c r="AO73" s="13">
        <f>AO42*AO41/1000000</f>
        <v/>
      </c>
      <c r="AP73" s="13">
        <f>AP42*AP41/1000000</f>
        <v/>
      </c>
      <c r="AQ73" s="13">
        <f>AQ42*AQ41/1000000</f>
        <v/>
      </c>
      <c r="AR73" s="13">
        <f>AR42*AR41/1000000</f>
        <v/>
      </c>
      <c r="AS73" s="13">
        <f>AS42*AS41/1000000</f>
        <v/>
      </c>
      <c r="AT73" s="13">
        <f>AT42*AT41/1000000</f>
        <v/>
      </c>
      <c r="AU73" s="13">
        <f>AU42*AU41/1000000</f>
        <v/>
      </c>
      <c r="AV73" s="13">
        <f>AV42*AV41/1000000</f>
        <v/>
      </c>
      <c r="AW73" s="13">
        <f>AW42*AW41/1000000</f>
        <v/>
      </c>
      <c r="AX73" s="13">
        <f>AX42*AX41/1000000</f>
        <v/>
      </c>
      <c r="AY73" s="13">
        <f>AY42*AY41/1000000</f>
        <v/>
      </c>
      <c r="AZ73" s="13">
        <f>AZ42*AZ41/1000000</f>
        <v/>
      </c>
      <c r="BA73" s="13">
        <f>BA42*BA41/1000000</f>
        <v/>
      </c>
      <c r="BB73" s="13">
        <f>BB42*BB41/1000000</f>
        <v/>
      </c>
      <c r="BC73" s="13">
        <f>BC42*BC41/1000000</f>
        <v/>
      </c>
      <c r="BD73" s="13">
        <f>BD42*BD41/1000000</f>
        <v/>
      </c>
      <c r="BE73" s="13">
        <f>BE42*BE41/1000000</f>
        <v/>
      </c>
      <c r="BF73" s="13">
        <f>BF42*BF41/1000000</f>
        <v/>
      </c>
      <c r="BG73" s="13">
        <f>BG42*BG41/1000000</f>
        <v/>
      </c>
      <c r="BH73" s="13">
        <f>BH42*BH41/1000000</f>
        <v/>
      </c>
      <c r="BI73" s="13">
        <f>BI42*BI41/1000000</f>
        <v/>
      </c>
      <c r="BJ73" s="13">
        <f>BJ42*BJ41/1000000</f>
        <v/>
      </c>
      <c r="BK73" s="13">
        <f>BK42*BK41/1000000</f>
        <v/>
      </c>
      <c r="BL73" s="13">
        <f>BL42*BL41/1000000</f>
        <v/>
      </c>
      <c r="BM73" s="13">
        <f>BM42*BM41/1000000</f>
        <v/>
      </c>
      <c r="BN73" s="13">
        <f>BN42*BN41/1000000</f>
        <v/>
      </c>
    </row>
    <row r="74">
      <c r="D74" t="inlineStr">
        <is>
          <t>Pass-through costs (gas, GTA, take-or-pay)</t>
        </is>
      </c>
      <c r="E74" t="inlineStr">
        <is>
          <t>USD m</t>
        </is>
      </c>
      <c r="G74" s="13">
        <f>SUM(J74:BN74)</f>
        <v/>
      </c>
      <c r="J74" s="13">
        <f>J73+J52+J53+J54</f>
        <v/>
      </c>
      <c r="K74" s="13">
        <f>K73+K52+K53+K54</f>
        <v/>
      </c>
      <c r="L74" s="13">
        <f>L73+L52+L53+L54</f>
        <v/>
      </c>
      <c r="M74" s="13">
        <f>M73+M52+M53+M54</f>
        <v/>
      </c>
      <c r="N74" s="13">
        <f>N73+N52+N53+N54</f>
        <v/>
      </c>
      <c r="O74" s="13">
        <f>O73+O52+O53+O54</f>
        <v/>
      </c>
      <c r="P74" s="13">
        <f>P73+P52+P53+P54</f>
        <v/>
      </c>
      <c r="Q74" s="13">
        <f>Q73+Q52+Q53+Q54</f>
        <v/>
      </c>
      <c r="R74" s="13">
        <f>R73+R52+R53+R54</f>
        <v/>
      </c>
      <c r="S74" s="13">
        <f>S73+S52+S53+S54</f>
        <v/>
      </c>
      <c r="T74" s="13">
        <f>T73+T52+T53+T54</f>
        <v/>
      </c>
      <c r="U74" s="13">
        <f>U73+U52+U53+U54</f>
        <v/>
      </c>
      <c r="V74" s="13">
        <f>V73+V52+V53+V54</f>
        <v/>
      </c>
      <c r="W74" s="13">
        <f>W73+W52+W53+W54</f>
        <v/>
      </c>
      <c r="X74" s="13">
        <f>X73+X52+X53+X54</f>
        <v/>
      </c>
      <c r="Y74" s="13">
        <f>Y73+Y52+Y53+Y54</f>
        <v/>
      </c>
      <c r="Z74" s="13">
        <f>Z73+Z52+Z53+Z54</f>
        <v/>
      </c>
      <c r="AA74" s="13">
        <f>AA73+AA52+AA53+AA54</f>
        <v/>
      </c>
      <c r="AB74" s="13">
        <f>AB73+AB52+AB53+AB54</f>
        <v/>
      </c>
      <c r="AC74" s="13">
        <f>AC73+AC52+AC53+AC54</f>
        <v/>
      </c>
      <c r="AD74" s="13">
        <f>AD73+AD52+AD53+AD54</f>
        <v/>
      </c>
      <c r="AE74" s="13">
        <f>AE73+AE52+AE53+AE54</f>
        <v/>
      </c>
      <c r="AF74" s="13">
        <f>AF73+AF52+AF53+AF54</f>
        <v/>
      </c>
      <c r="AG74" s="13">
        <f>AG73+AG52+AG53+AG54</f>
        <v/>
      </c>
      <c r="AH74" s="13">
        <f>AH73+AH52+AH53+AH54</f>
        <v/>
      </c>
      <c r="AI74" s="13">
        <f>AI73+AI52+AI53+AI54</f>
        <v/>
      </c>
      <c r="AJ74" s="13">
        <f>AJ73+AJ52+AJ53+AJ54</f>
        <v/>
      </c>
      <c r="AK74" s="13">
        <f>AK73+AK52+AK53+AK54</f>
        <v/>
      </c>
      <c r="AL74" s="13">
        <f>AL73+AL52+AL53+AL54</f>
        <v/>
      </c>
      <c r="AM74" s="13">
        <f>AM73+AM52+AM53+AM54</f>
        <v/>
      </c>
      <c r="AN74" s="13">
        <f>AN73+AN52+AN53+AN54</f>
        <v/>
      </c>
      <c r="AO74" s="13">
        <f>AO73+AO52+AO53+AO54</f>
        <v/>
      </c>
      <c r="AP74" s="13">
        <f>AP73+AP52+AP53+AP54</f>
        <v/>
      </c>
      <c r="AQ74" s="13">
        <f>AQ73+AQ52+AQ53+AQ54</f>
        <v/>
      </c>
      <c r="AR74" s="13">
        <f>AR73+AR52+AR53+AR54</f>
        <v/>
      </c>
      <c r="AS74" s="13">
        <f>AS73+AS52+AS53+AS54</f>
        <v/>
      </c>
      <c r="AT74" s="13">
        <f>AT73+AT52+AT53+AT54</f>
        <v/>
      </c>
      <c r="AU74" s="13">
        <f>AU73+AU52+AU53+AU54</f>
        <v/>
      </c>
      <c r="AV74" s="13">
        <f>AV73+AV52+AV53+AV54</f>
        <v/>
      </c>
      <c r="AW74" s="13">
        <f>AW73+AW52+AW53+AW54</f>
        <v/>
      </c>
      <c r="AX74" s="13">
        <f>AX73+AX52+AX53+AX54</f>
        <v/>
      </c>
      <c r="AY74" s="13">
        <f>AY73+AY52+AY53+AY54</f>
        <v/>
      </c>
      <c r="AZ74" s="13">
        <f>AZ73+AZ52+AZ53+AZ54</f>
        <v/>
      </c>
      <c r="BA74" s="13">
        <f>BA73+BA52+BA53+BA54</f>
        <v/>
      </c>
      <c r="BB74" s="13">
        <f>BB73+BB52+BB53+BB54</f>
        <v/>
      </c>
      <c r="BC74" s="13">
        <f>BC73+BC52+BC53+BC54</f>
        <v/>
      </c>
      <c r="BD74" s="13">
        <f>BD73+BD52+BD53+BD54</f>
        <v/>
      </c>
      <c r="BE74" s="13">
        <f>BE73+BE52+BE53+BE54</f>
        <v/>
      </c>
      <c r="BF74" s="13">
        <f>BF73+BF52+BF53+BF54</f>
        <v/>
      </c>
      <c r="BG74" s="13">
        <f>BG73+BG52+BG53+BG54</f>
        <v/>
      </c>
      <c r="BH74" s="13">
        <f>BH73+BH52+BH53+BH54</f>
        <v/>
      </c>
      <c r="BI74" s="13">
        <f>BI73+BI52+BI53+BI54</f>
        <v/>
      </c>
      <c r="BJ74" s="13">
        <f>BJ73+BJ52+BJ53+BJ54</f>
        <v/>
      </c>
      <c r="BK74" s="13">
        <f>BK73+BK52+BK53+BK54</f>
        <v/>
      </c>
      <c r="BL74" s="13">
        <f>BL73+BL52+BL53+BL54</f>
        <v/>
      </c>
      <c r="BM74" s="13">
        <f>BM73+BM52+BM53+BM54</f>
        <v/>
      </c>
      <c r="BN74" s="13">
        <f>BN73+BN52+BN53+BN54</f>
        <v/>
      </c>
    </row>
    <row r="75">
      <c r="D75" t="inlineStr">
        <is>
          <t>VAT facility interest after the funding period</t>
        </is>
      </c>
      <c r="E75" t="inlineStr">
        <is>
          <t>USD m</t>
        </is>
      </c>
      <c r="G75" s="13">
        <f>SUM(J75:BN75)</f>
        <v/>
      </c>
      <c r="J75" s="13">
        <f>SUMIFS(Construction!$J$38:$BJ$38,Construction!$J$12:$BJ$12,Time!J20,Construction!$J$8:$BJ$8,"&gt;"&amp;Time!$F$14)</f>
        <v/>
      </c>
      <c r="K75" s="13">
        <f>SUMIFS(Construction!$J$38:$BJ$38,Construction!$J$12:$BJ$12,Time!K20,Construction!$J$8:$BJ$8,"&gt;"&amp;Time!$F$14)</f>
        <v/>
      </c>
      <c r="L75" s="13">
        <f>SUMIFS(Construction!$J$38:$BJ$38,Construction!$J$12:$BJ$12,Time!L20,Construction!$J$8:$BJ$8,"&gt;"&amp;Time!$F$14)</f>
        <v/>
      </c>
      <c r="M75" s="13">
        <f>SUMIFS(Construction!$J$38:$BJ$38,Construction!$J$12:$BJ$12,Time!M20,Construction!$J$8:$BJ$8,"&gt;"&amp;Time!$F$14)</f>
        <v/>
      </c>
      <c r="N75" s="13">
        <f>SUMIFS(Construction!$J$38:$BJ$38,Construction!$J$12:$BJ$12,Time!N20,Construction!$J$8:$BJ$8,"&gt;"&amp;Time!$F$14)</f>
        <v/>
      </c>
      <c r="O75" s="13">
        <f>SUMIFS(Construction!$J$38:$BJ$38,Construction!$J$12:$BJ$12,Time!O20,Construction!$J$8:$BJ$8,"&gt;"&amp;Time!$F$14)</f>
        <v/>
      </c>
      <c r="P75" s="13">
        <f>SUMIFS(Construction!$J$38:$BJ$38,Construction!$J$12:$BJ$12,Time!P20,Construction!$J$8:$BJ$8,"&gt;"&amp;Time!$F$14)</f>
        <v/>
      </c>
      <c r="Q75" s="13">
        <f>SUMIFS(Construction!$J$38:$BJ$38,Construction!$J$12:$BJ$12,Time!Q20,Construction!$J$8:$BJ$8,"&gt;"&amp;Time!$F$14)</f>
        <v/>
      </c>
      <c r="R75" s="13">
        <f>SUMIFS(Construction!$J$38:$BJ$38,Construction!$J$12:$BJ$12,Time!R20,Construction!$J$8:$BJ$8,"&gt;"&amp;Time!$F$14)</f>
        <v/>
      </c>
      <c r="S75" s="13">
        <f>SUMIFS(Construction!$J$38:$BJ$38,Construction!$J$12:$BJ$12,Time!S20,Construction!$J$8:$BJ$8,"&gt;"&amp;Time!$F$14)</f>
        <v/>
      </c>
      <c r="T75" s="13">
        <f>SUMIFS(Construction!$J$38:$BJ$38,Construction!$J$12:$BJ$12,Time!T20,Construction!$J$8:$BJ$8,"&gt;"&amp;Time!$F$14)</f>
        <v/>
      </c>
      <c r="U75" s="13">
        <f>SUMIFS(Construction!$J$38:$BJ$38,Construction!$J$12:$BJ$12,Time!U20,Construction!$J$8:$BJ$8,"&gt;"&amp;Time!$F$14)</f>
        <v/>
      </c>
      <c r="V75" s="13">
        <f>SUMIFS(Construction!$J$38:$BJ$38,Construction!$J$12:$BJ$12,Time!V20,Construction!$J$8:$BJ$8,"&gt;"&amp;Time!$F$14)</f>
        <v/>
      </c>
      <c r="W75" s="13">
        <f>SUMIFS(Construction!$J$38:$BJ$38,Construction!$J$12:$BJ$12,Time!W20,Construction!$J$8:$BJ$8,"&gt;"&amp;Time!$F$14)</f>
        <v/>
      </c>
      <c r="X75" s="13">
        <f>SUMIFS(Construction!$J$38:$BJ$38,Construction!$J$12:$BJ$12,Time!X20,Construction!$J$8:$BJ$8,"&gt;"&amp;Time!$F$14)</f>
        <v/>
      </c>
      <c r="Y75" s="13">
        <f>SUMIFS(Construction!$J$38:$BJ$38,Construction!$J$12:$BJ$12,Time!Y20,Construction!$J$8:$BJ$8,"&gt;"&amp;Time!$F$14)</f>
        <v/>
      </c>
      <c r="Z75" s="13">
        <f>SUMIFS(Construction!$J$38:$BJ$38,Construction!$J$12:$BJ$12,Time!Z20,Construction!$J$8:$BJ$8,"&gt;"&amp;Time!$F$14)</f>
        <v/>
      </c>
      <c r="AA75" s="13">
        <f>SUMIFS(Construction!$J$38:$BJ$38,Construction!$J$12:$BJ$12,Time!AA20,Construction!$J$8:$BJ$8,"&gt;"&amp;Time!$F$14)</f>
        <v/>
      </c>
      <c r="AB75" s="13">
        <f>SUMIFS(Construction!$J$38:$BJ$38,Construction!$J$12:$BJ$12,Time!AB20,Construction!$J$8:$BJ$8,"&gt;"&amp;Time!$F$14)</f>
        <v/>
      </c>
      <c r="AC75" s="13">
        <f>SUMIFS(Construction!$J$38:$BJ$38,Construction!$J$12:$BJ$12,Time!AC20,Construction!$J$8:$BJ$8,"&gt;"&amp;Time!$F$14)</f>
        <v/>
      </c>
      <c r="AD75" s="13">
        <f>SUMIFS(Construction!$J$38:$BJ$38,Construction!$J$12:$BJ$12,Time!AD20,Construction!$J$8:$BJ$8,"&gt;"&amp;Time!$F$14)</f>
        <v/>
      </c>
      <c r="AE75" s="13">
        <f>SUMIFS(Construction!$J$38:$BJ$38,Construction!$J$12:$BJ$12,Time!AE20,Construction!$J$8:$BJ$8,"&gt;"&amp;Time!$F$14)</f>
        <v/>
      </c>
      <c r="AF75" s="13">
        <f>SUMIFS(Construction!$J$38:$BJ$38,Construction!$J$12:$BJ$12,Time!AF20,Construction!$J$8:$BJ$8,"&gt;"&amp;Time!$F$14)</f>
        <v/>
      </c>
      <c r="AG75" s="13">
        <f>SUMIFS(Construction!$J$38:$BJ$38,Construction!$J$12:$BJ$12,Time!AG20,Construction!$J$8:$BJ$8,"&gt;"&amp;Time!$F$14)</f>
        <v/>
      </c>
      <c r="AH75" s="13">
        <f>SUMIFS(Construction!$J$38:$BJ$38,Construction!$J$12:$BJ$12,Time!AH20,Construction!$J$8:$BJ$8,"&gt;"&amp;Time!$F$14)</f>
        <v/>
      </c>
      <c r="AI75" s="13">
        <f>SUMIFS(Construction!$J$38:$BJ$38,Construction!$J$12:$BJ$12,Time!AI20,Construction!$J$8:$BJ$8,"&gt;"&amp;Time!$F$14)</f>
        <v/>
      </c>
      <c r="AJ75" s="13">
        <f>SUMIFS(Construction!$J$38:$BJ$38,Construction!$J$12:$BJ$12,Time!AJ20,Construction!$J$8:$BJ$8,"&gt;"&amp;Time!$F$14)</f>
        <v/>
      </c>
      <c r="AK75" s="13">
        <f>SUMIFS(Construction!$J$38:$BJ$38,Construction!$J$12:$BJ$12,Time!AK20,Construction!$J$8:$BJ$8,"&gt;"&amp;Time!$F$14)</f>
        <v/>
      </c>
      <c r="AL75" s="13">
        <f>SUMIFS(Construction!$J$38:$BJ$38,Construction!$J$12:$BJ$12,Time!AL20,Construction!$J$8:$BJ$8,"&gt;"&amp;Time!$F$14)</f>
        <v/>
      </c>
      <c r="AM75" s="13">
        <f>SUMIFS(Construction!$J$38:$BJ$38,Construction!$J$12:$BJ$12,Time!AM20,Construction!$J$8:$BJ$8,"&gt;"&amp;Time!$F$14)</f>
        <v/>
      </c>
      <c r="AN75" s="13">
        <f>SUMIFS(Construction!$J$38:$BJ$38,Construction!$J$12:$BJ$12,Time!AN20,Construction!$J$8:$BJ$8,"&gt;"&amp;Time!$F$14)</f>
        <v/>
      </c>
      <c r="AO75" s="13">
        <f>SUMIFS(Construction!$J$38:$BJ$38,Construction!$J$12:$BJ$12,Time!AO20,Construction!$J$8:$BJ$8,"&gt;"&amp;Time!$F$14)</f>
        <v/>
      </c>
      <c r="AP75" s="13">
        <f>SUMIFS(Construction!$J$38:$BJ$38,Construction!$J$12:$BJ$12,Time!AP20,Construction!$J$8:$BJ$8,"&gt;"&amp;Time!$F$14)</f>
        <v/>
      </c>
      <c r="AQ75" s="13">
        <f>SUMIFS(Construction!$J$38:$BJ$38,Construction!$J$12:$BJ$12,Time!AQ20,Construction!$J$8:$BJ$8,"&gt;"&amp;Time!$F$14)</f>
        <v/>
      </c>
      <c r="AR75" s="13">
        <f>SUMIFS(Construction!$J$38:$BJ$38,Construction!$J$12:$BJ$12,Time!AR20,Construction!$J$8:$BJ$8,"&gt;"&amp;Time!$F$14)</f>
        <v/>
      </c>
      <c r="AS75" s="13">
        <f>SUMIFS(Construction!$J$38:$BJ$38,Construction!$J$12:$BJ$12,Time!AS20,Construction!$J$8:$BJ$8,"&gt;"&amp;Time!$F$14)</f>
        <v/>
      </c>
      <c r="AT75" s="13">
        <f>SUMIFS(Construction!$J$38:$BJ$38,Construction!$J$12:$BJ$12,Time!AT20,Construction!$J$8:$BJ$8,"&gt;"&amp;Time!$F$14)</f>
        <v/>
      </c>
      <c r="AU75" s="13">
        <f>SUMIFS(Construction!$J$38:$BJ$38,Construction!$J$12:$BJ$12,Time!AU20,Construction!$J$8:$BJ$8,"&gt;"&amp;Time!$F$14)</f>
        <v/>
      </c>
      <c r="AV75" s="13">
        <f>SUMIFS(Construction!$J$38:$BJ$38,Construction!$J$12:$BJ$12,Time!AV20,Construction!$J$8:$BJ$8,"&gt;"&amp;Time!$F$14)</f>
        <v/>
      </c>
      <c r="AW75" s="13">
        <f>SUMIFS(Construction!$J$38:$BJ$38,Construction!$J$12:$BJ$12,Time!AW20,Construction!$J$8:$BJ$8,"&gt;"&amp;Time!$F$14)</f>
        <v/>
      </c>
      <c r="AX75" s="13">
        <f>SUMIFS(Construction!$J$38:$BJ$38,Construction!$J$12:$BJ$12,Time!AX20,Construction!$J$8:$BJ$8,"&gt;"&amp;Time!$F$14)</f>
        <v/>
      </c>
      <c r="AY75" s="13">
        <f>SUMIFS(Construction!$J$38:$BJ$38,Construction!$J$12:$BJ$12,Time!AY20,Construction!$J$8:$BJ$8,"&gt;"&amp;Time!$F$14)</f>
        <v/>
      </c>
      <c r="AZ75" s="13">
        <f>SUMIFS(Construction!$J$38:$BJ$38,Construction!$J$12:$BJ$12,Time!AZ20,Construction!$J$8:$BJ$8,"&gt;"&amp;Time!$F$14)</f>
        <v/>
      </c>
      <c r="BA75" s="13">
        <f>SUMIFS(Construction!$J$38:$BJ$38,Construction!$J$12:$BJ$12,Time!BA20,Construction!$J$8:$BJ$8,"&gt;"&amp;Time!$F$14)</f>
        <v/>
      </c>
      <c r="BB75" s="13">
        <f>SUMIFS(Construction!$J$38:$BJ$38,Construction!$J$12:$BJ$12,Time!BB20,Construction!$J$8:$BJ$8,"&gt;"&amp;Time!$F$14)</f>
        <v/>
      </c>
      <c r="BC75" s="13">
        <f>SUMIFS(Construction!$J$38:$BJ$38,Construction!$J$12:$BJ$12,Time!BC20,Construction!$J$8:$BJ$8,"&gt;"&amp;Time!$F$14)</f>
        <v/>
      </c>
      <c r="BD75" s="13">
        <f>SUMIFS(Construction!$J$38:$BJ$38,Construction!$J$12:$BJ$12,Time!BD20,Construction!$J$8:$BJ$8,"&gt;"&amp;Time!$F$14)</f>
        <v/>
      </c>
      <c r="BE75" s="13">
        <f>SUMIFS(Construction!$J$38:$BJ$38,Construction!$J$12:$BJ$12,Time!BE20,Construction!$J$8:$BJ$8,"&gt;"&amp;Time!$F$14)</f>
        <v/>
      </c>
      <c r="BF75" s="13">
        <f>SUMIFS(Construction!$J$38:$BJ$38,Construction!$J$12:$BJ$12,Time!BF20,Construction!$J$8:$BJ$8,"&gt;"&amp;Time!$F$14)</f>
        <v/>
      </c>
      <c r="BG75" s="13">
        <f>SUMIFS(Construction!$J$38:$BJ$38,Construction!$J$12:$BJ$12,Time!BG20,Construction!$J$8:$BJ$8,"&gt;"&amp;Time!$F$14)</f>
        <v/>
      </c>
      <c r="BH75" s="13">
        <f>SUMIFS(Construction!$J$38:$BJ$38,Construction!$J$12:$BJ$12,Time!BH20,Construction!$J$8:$BJ$8,"&gt;"&amp;Time!$F$14)</f>
        <v/>
      </c>
      <c r="BI75" s="13">
        <f>SUMIFS(Construction!$J$38:$BJ$38,Construction!$J$12:$BJ$12,Time!BI20,Construction!$J$8:$BJ$8,"&gt;"&amp;Time!$F$14)</f>
        <v/>
      </c>
      <c r="BJ75" s="13">
        <f>SUMIFS(Construction!$J$38:$BJ$38,Construction!$J$12:$BJ$12,Time!BJ20,Construction!$J$8:$BJ$8,"&gt;"&amp;Time!$F$14)</f>
        <v/>
      </c>
      <c r="BK75" s="13">
        <f>SUMIFS(Construction!$J$38:$BJ$38,Construction!$J$12:$BJ$12,Time!BK20,Construction!$J$8:$BJ$8,"&gt;"&amp;Time!$F$14)</f>
        <v/>
      </c>
      <c r="BL75" s="13">
        <f>SUMIFS(Construction!$J$38:$BJ$38,Construction!$J$12:$BJ$12,Time!BL20,Construction!$J$8:$BJ$8,"&gt;"&amp;Time!$F$14)</f>
        <v/>
      </c>
      <c r="BM75" s="13">
        <f>SUMIFS(Construction!$J$38:$BJ$38,Construction!$J$12:$BJ$12,Time!BM20,Construction!$J$8:$BJ$8,"&gt;"&amp;Time!$F$14)</f>
        <v/>
      </c>
      <c r="BN75" s="13">
        <f>SUMIFS(Construction!$J$38:$BJ$38,Construction!$J$12:$BJ$12,Time!BN20,Construction!$J$8:$BJ$8,"&gt;"&amp;Time!$F$14)</f>
        <v/>
      </c>
    </row>
    <row r="76">
      <c r="D76" t="inlineStr">
        <is>
          <t>FX conversion losses</t>
        </is>
      </c>
      <c r="E76" t="inlineStr">
        <is>
          <t>USD m</t>
        </is>
      </c>
      <c r="G76" s="13">
        <f>SUM(J76:BN76)</f>
        <v/>
      </c>
      <c r="J76" s="13">
        <f>Inputs!$F$45*Inputs!J296</f>
        <v/>
      </c>
      <c r="K76" s="13">
        <f>Inputs!$F$45*Inputs!K296</f>
        <v/>
      </c>
      <c r="L76" s="13">
        <f>Inputs!$F$45*Inputs!L296</f>
        <v/>
      </c>
      <c r="M76" s="13">
        <f>Inputs!$F$45*Inputs!M296</f>
        <v/>
      </c>
      <c r="N76" s="13">
        <f>Inputs!$F$45*Inputs!N296</f>
        <v/>
      </c>
      <c r="O76" s="13">
        <f>Inputs!$F$45*Inputs!O296</f>
        <v/>
      </c>
      <c r="P76" s="13">
        <f>Inputs!$F$45*Inputs!P296</f>
        <v/>
      </c>
      <c r="Q76" s="13">
        <f>Inputs!$F$45*Inputs!Q296</f>
        <v/>
      </c>
      <c r="R76" s="13">
        <f>Inputs!$F$45*Inputs!R296</f>
        <v/>
      </c>
      <c r="S76" s="13">
        <f>Inputs!$F$45*Inputs!S296</f>
        <v/>
      </c>
      <c r="T76" s="13">
        <f>Inputs!$F$45*Inputs!T296</f>
        <v/>
      </c>
      <c r="U76" s="13">
        <f>Inputs!$F$45*Inputs!U296</f>
        <v/>
      </c>
      <c r="V76" s="13">
        <f>Inputs!$F$45*Inputs!V296</f>
        <v/>
      </c>
      <c r="W76" s="13">
        <f>Inputs!$F$45*Inputs!W296</f>
        <v/>
      </c>
      <c r="X76" s="13">
        <f>Inputs!$F$45*Inputs!X296</f>
        <v/>
      </c>
      <c r="Y76" s="13">
        <f>Inputs!$F$45*Inputs!Y296</f>
        <v/>
      </c>
      <c r="Z76" s="13">
        <f>Inputs!$F$45*Inputs!Z296</f>
        <v/>
      </c>
      <c r="AA76" s="13">
        <f>Inputs!$F$45*Inputs!AA296</f>
        <v/>
      </c>
      <c r="AB76" s="13">
        <f>Inputs!$F$45*Inputs!AB296</f>
        <v/>
      </c>
      <c r="AC76" s="13">
        <f>Inputs!$F$45*Inputs!AC296</f>
        <v/>
      </c>
      <c r="AD76" s="13">
        <f>Inputs!$F$45*Inputs!AD296</f>
        <v/>
      </c>
      <c r="AE76" s="13">
        <f>Inputs!$F$45*Inputs!AE296</f>
        <v/>
      </c>
      <c r="AF76" s="13">
        <f>Inputs!$F$45*Inputs!AF296</f>
        <v/>
      </c>
      <c r="AG76" s="13">
        <f>Inputs!$F$45*Inputs!AG296</f>
        <v/>
      </c>
      <c r="AH76" s="13">
        <f>Inputs!$F$45*Inputs!AH296</f>
        <v/>
      </c>
      <c r="AI76" s="13">
        <f>Inputs!$F$45*Inputs!AI296</f>
        <v/>
      </c>
      <c r="AJ76" s="13">
        <f>Inputs!$F$45*Inputs!AJ296</f>
        <v/>
      </c>
      <c r="AK76" s="13">
        <f>Inputs!$F$45*Inputs!AK296</f>
        <v/>
      </c>
      <c r="AL76" s="13">
        <f>Inputs!$F$45*Inputs!AL296</f>
        <v/>
      </c>
      <c r="AM76" s="13">
        <f>Inputs!$F$45*Inputs!AM296</f>
        <v/>
      </c>
      <c r="AN76" s="13">
        <f>Inputs!$F$45*Inputs!AN296</f>
        <v/>
      </c>
      <c r="AO76" s="13">
        <f>Inputs!$F$45*Inputs!AO296</f>
        <v/>
      </c>
      <c r="AP76" s="13">
        <f>Inputs!$F$45*Inputs!AP296</f>
        <v/>
      </c>
      <c r="AQ76" s="13">
        <f>Inputs!$F$45*Inputs!AQ296</f>
        <v/>
      </c>
      <c r="AR76" s="13">
        <f>Inputs!$F$45*Inputs!AR296</f>
        <v/>
      </c>
      <c r="AS76" s="13">
        <f>Inputs!$F$45*Inputs!AS296</f>
        <v/>
      </c>
      <c r="AT76" s="13">
        <f>Inputs!$F$45*Inputs!AT296</f>
        <v/>
      </c>
      <c r="AU76" s="13">
        <f>Inputs!$F$45*Inputs!AU296</f>
        <v/>
      </c>
      <c r="AV76" s="13">
        <f>Inputs!$F$45*Inputs!AV296</f>
        <v/>
      </c>
      <c r="AW76" s="13">
        <f>Inputs!$F$45*Inputs!AW296</f>
        <v/>
      </c>
      <c r="AX76" s="13">
        <f>Inputs!$F$45*Inputs!AX296</f>
        <v/>
      </c>
      <c r="AY76" s="13">
        <f>Inputs!$F$45*Inputs!AY296</f>
        <v/>
      </c>
      <c r="AZ76" s="13">
        <f>Inputs!$F$45*Inputs!AZ296</f>
        <v/>
      </c>
      <c r="BA76" s="13">
        <f>Inputs!$F$45*Inputs!BA296</f>
        <v/>
      </c>
      <c r="BB76" s="13">
        <f>Inputs!$F$45*Inputs!BB296</f>
        <v/>
      </c>
      <c r="BC76" s="13">
        <f>Inputs!$F$45*Inputs!BC296</f>
        <v/>
      </c>
      <c r="BD76" s="13">
        <f>Inputs!$F$45*Inputs!BD296</f>
        <v/>
      </c>
      <c r="BE76" s="13">
        <f>Inputs!$F$45*Inputs!BE296</f>
        <v/>
      </c>
      <c r="BF76" s="13">
        <f>Inputs!$F$45*Inputs!BF296</f>
        <v/>
      </c>
      <c r="BG76" s="13">
        <f>Inputs!$F$45*Inputs!BG296</f>
        <v/>
      </c>
      <c r="BH76" s="13">
        <f>Inputs!$F$45*Inputs!BH296</f>
        <v/>
      </c>
      <c r="BI76" s="13">
        <f>Inputs!$F$45*Inputs!BI296</f>
        <v/>
      </c>
      <c r="BJ76" s="13">
        <f>Inputs!$F$45*Inputs!BJ296</f>
        <v/>
      </c>
      <c r="BK76" s="13">
        <f>Inputs!$F$45*Inputs!BK296</f>
        <v/>
      </c>
      <c r="BL76" s="13">
        <f>Inputs!$F$45*Inputs!BL296</f>
        <v/>
      </c>
      <c r="BM76" s="13">
        <f>Inputs!$F$45*Inputs!BM296</f>
        <v/>
      </c>
      <c r="BN76" s="13">
        <f>Inputs!$F$45*Inputs!BN296</f>
        <v/>
      </c>
    </row>
    <row r="77">
      <c r="D77" t="inlineStr">
        <is>
          <t>OY whose maintenance month could fall in the period</t>
        </is>
      </c>
      <c r="E77" t="inlineStr">
        <is>
          <t>OY</t>
        </is>
      </c>
      <c r="J77" s="9">
        <f>INT((Time!J33-Inputs!$F$221)/12)+1</f>
        <v/>
      </c>
      <c r="K77" s="9">
        <f>INT((Time!K33-Inputs!$F$221)/12)+1</f>
        <v/>
      </c>
      <c r="L77" s="9">
        <f>INT((Time!L33-Inputs!$F$221)/12)+1</f>
        <v/>
      </c>
      <c r="M77" s="9">
        <f>INT((Time!M33-Inputs!$F$221)/12)+1</f>
        <v/>
      </c>
      <c r="N77" s="9">
        <f>INT((Time!N33-Inputs!$F$221)/12)+1</f>
        <v/>
      </c>
      <c r="O77" s="9">
        <f>INT((Time!O33-Inputs!$F$221)/12)+1</f>
        <v/>
      </c>
      <c r="P77" s="9">
        <f>INT((Time!P33-Inputs!$F$221)/12)+1</f>
        <v/>
      </c>
      <c r="Q77" s="9">
        <f>INT((Time!Q33-Inputs!$F$221)/12)+1</f>
        <v/>
      </c>
      <c r="R77" s="9">
        <f>INT((Time!R33-Inputs!$F$221)/12)+1</f>
        <v/>
      </c>
      <c r="S77" s="9">
        <f>INT((Time!S33-Inputs!$F$221)/12)+1</f>
        <v/>
      </c>
      <c r="T77" s="9">
        <f>INT((Time!T33-Inputs!$F$221)/12)+1</f>
        <v/>
      </c>
      <c r="U77" s="9">
        <f>INT((Time!U33-Inputs!$F$221)/12)+1</f>
        <v/>
      </c>
      <c r="V77" s="9">
        <f>INT((Time!V33-Inputs!$F$221)/12)+1</f>
        <v/>
      </c>
      <c r="W77" s="9">
        <f>INT((Time!W33-Inputs!$F$221)/12)+1</f>
        <v/>
      </c>
      <c r="X77" s="9">
        <f>INT((Time!X33-Inputs!$F$221)/12)+1</f>
        <v/>
      </c>
      <c r="Y77" s="9">
        <f>INT((Time!Y33-Inputs!$F$221)/12)+1</f>
        <v/>
      </c>
      <c r="Z77" s="9">
        <f>INT((Time!Z33-Inputs!$F$221)/12)+1</f>
        <v/>
      </c>
      <c r="AA77" s="9">
        <f>INT((Time!AA33-Inputs!$F$221)/12)+1</f>
        <v/>
      </c>
      <c r="AB77" s="9">
        <f>INT((Time!AB33-Inputs!$F$221)/12)+1</f>
        <v/>
      </c>
      <c r="AC77" s="9">
        <f>INT((Time!AC33-Inputs!$F$221)/12)+1</f>
        <v/>
      </c>
      <c r="AD77" s="9">
        <f>INT((Time!AD33-Inputs!$F$221)/12)+1</f>
        <v/>
      </c>
      <c r="AE77" s="9">
        <f>INT((Time!AE33-Inputs!$F$221)/12)+1</f>
        <v/>
      </c>
      <c r="AF77" s="9">
        <f>INT((Time!AF33-Inputs!$F$221)/12)+1</f>
        <v/>
      </c>
      <c r="AG77" s="9">
        <f>INT((Time!AG33-Inputs!$F$221)/12)+1</f>
        <v/>
      </c>
      <c r="AH77" s="9">
        <f>INT((Time!AH33-Inputs!$F$221)/12)+1</f>
        <v/>
      </c>
      <c r="AI77" s="9">
        <f>INT((Time!AI33-Inputs!$F$221)/12)+1</f>
        <v/>
      </c>
      <c r="AJ77" s="9">
        <f>INT((Time!AJ33-Inputs!$F$221)/12)+1</f>
        <v/>
      </c>
      <c r="AK77" s="9">
        <f>INT((Time!AK33-Inputs!$F$221)/12)+1</f>
        <v/>
      </c>
      <c r="AL77" s="9">
        <f>INT((Time!AL33-Inputs!$F$221)/12)+1</f>
        <v/>
      </c>
      <c r="AM77" s="9">
        <f>INT((Time!AM33-Inputs!$F$221)/12)+1</f>
        <v/>
      </c>
      <c r="AN77" s="9">
        <f>INT((Time!AN33-Inputs!$F$221)/12)+1</f>
        <v/>
      </c>
      <c r="AO77" s="9">
        <f>INT((Time!AO33-Inputs!$F$221)/12)+1</f>
        <v/>
      </c>
      <c r="AP77" s="9">
        <f>INT((Time!AP33-Inputs!$F$221)/12)+1</f>
        <v/>
      </c>
      <c r="AQ77" s="9">
        <f>INT((Time!AQ33-Inputs!$F$221)/12)+1</f>
        <v/>
      </c>
      <c r="AR77" s="9">
        <f>INT((Time!AR33-Inputs!$F$221)/12)+1</f>
        <v/>
      </c>
      <c r="AS77" s="9">
        <f>INT((Time!AS33-Inputs!$F$221)/12)+1</f>
        <v/>
      </c>
      <c r="AT77" s="9">
        <f>INT((Time!AT33-Inputs!$F$221)/12)+1</f>
        <v/>
      </c>
      <c r="AU77" s="9">
        <f>INT((Time!AU33-Inputs!$F$221)/12)+1</f>
        <v/>
      </c>
      <c r="AV77" s="9">
        <f>INT((Time!AV33-Inputs!$F$221)/12)+1</f>
        <v/>
      </c>
      <c r="AW77" s="9">
        <f>INT((Time!AW33-Inputs!$F$221)/12)+1</f>
        <v/>
      </c>
      <c r="AX77" s="9">
        <f>INT((Time!AX33-Inputs!$F$221)/12)+1</f>
        <v/>
      </c>
      <c r="AY77" s="9">
        <f>INT((Time!AY33-Inputs!$F$221)/12)+1</f>
        <v/>
      </c>
      <c r="AZ77" s="9">
        <f>INT((Time!AZ33-Inputs!$F$221)/12)+1</f>
        <v/>
      </c>
      <c r="BA77" s="9">
        <f>INT((Time!BA33-Inputs!$F$221)/12)+1</f>
        <v/>
      </c>
      <c r="BB77" s="9">
        <f>INT((Time!BB33-Inputs!$F$221)/12)+1</f>
        <v/>
      </c>
      <c r="BC77" s="9">
        <f>INT((Time!BC33-Inputs!$F$221)/12)+1</f>
        <v/>
      </c>
      <c r="BD77" s="9">
        <f>INT((Time!BD33-Inputs!$F$221)/12)+1</f>
        <v/>
      </c>
      <c r="BE77" s="9">
        <f>INT((Time!BE33-Inputs!$F$221)/12)+1</f>
        <v/>
      </c>
      <c r="BF77" s="9">
        <f>INT((Time!BF33-Inputs!$F$221)/12)+1</f>
        <v/>
      </c>
      <c r="BG77" s="9">
        <f>INT((Time!BG33-Inputs!$F$221)/12)+1</f>
        <v/>
      </c>
      <c r="BH77" s="9">
        <f>INT((Time!BH33-Inputs!$F$221)/12)+1</f>
        <v/>
      </c>
      <c r="BI77" s="9">
        <f>INT((Time!BI33-Inputs!$F$221)/12)+1</f>
        <v/>
      </c>
      <c r="BJ77" s="9">
        <f>INT((Time!BJ33-Inputs!$F$221)/12)+1</f>
        <v/>
      </c>
      <c r="BK77" s="9">
        <f>INT((Time!BK33-Inputs!$F$221)/12)+1</f>
        <v/>
      </c>
      <c r="BL77" s="9">
        <f>INT((Time!BL33-Inputs!$F$221)/12)+1</f>
        <v/>
      </c>
      <c r="BM77" s="9">
        <f>INT((Time!BM33-Inputs!$F$221)/12)+1</f>
        <v/>
      </c>
      <c r="BN77" s="9">
        <f>INT((Time!BN33-Inputs!$F$221)/12)+1</f>
        <v/>
      </c>
    </row>
    <row r="78">
      <c r="D78" t="inlineStr">
        <is>
          <t>Major maintenance outside LTSA (2018 prices)</t>
        </is>
      </c>
      <c r="E78" t="inlineStr">
        <is>
          <t>USD m</t>
        </is>
      </c>
      <c r="J78" s="13">
        <f>IF(AND(Time!J30&gt;0,J77&gt;=1,J77&lt;=Inputs!$F$222,Time!J32&lt;(J77-1)*12+Inputs!$F$221,(J77-1)*12+Inputs!$F$221&lt;=Time!J33),IF(MOD(J77,Inputs!$F$223)=0,Inputs!$F$164,IF(MOD(J77,Inputs!$F$224)=0,Inputs!$F$165,0)),0)</f>
        <v/>
      </c>
      <c r="K78" s="13">
        <f>IF(AND(Time!K30&gt;0,K77&gt;=1,K77&lt;=Inputs!$F$222,Time!K32&lt;(K77-1)*12+Inputs!$F$221,(K77-1)*12+Inputs!$F$221&lt;=Time!K33),IF(MOD(K77,Inputs!$F$223)=0,Inputs!$F$164,IF(MOD(K77,Inputs!$F$224)=0,Inputs!$F$165,0)),0)</f>
        <v/>
      </c>
      <c r="L78" s="13">
        <f>IF(AND(Time!L30&gt;0,L77&gt;=1,L77&lt;=Inputs!$F$222,Time!L32&lt;(L77-1)*12+Inputs!$F$221,(L77-1)*12+Inputs!$F$221&lt;=Time!L33),IF(MOD(L77,Inputs!$F$223)=0,Inputs!$F$164,IF(MOD(L77,Inputs!$F$224)=0,Inputs!$F$165,0)),0)</f>
        <v/>
      </c>
      <c r="M78" s="13">
        <f>IF(AND(Time!M30&gt;0,M77&gt;=1,M77&lt;=Inputs!$F$222,Time!M32&lt;(M77-1)*12+Inputs!$F$221,(M77-1)*12+Inputs!$F$221&lt;=Time!M33),IF(MOD(M77,Inputs!$F$223)=0,Inputs!$F$164,IF(MOD(M77,Inputs!$F$224)=0,Inputs!$F$165,0)),0)</f>
        <v/>
      </c>
      <c r="N78" s="13">
        <f>IF(AND(Time!N30&gt;0,N77&gt;=1,N77&lt;=Inputs!$F$222,Time!N32&lt;(N77-1)*12+Inputs!$F$221,(N77-1)*12+Inputs!$F$221&lt;=Time!N33),IF(MOD(N77,Inputs!$F$223)=0,Inputs!$F$164,IF(MOD(N77,Inputs!$F$224)=0,Inputs!$F$165,0)),0)</f>
        <v/>
      </c>
      <c r="O78" s="13">
        <f>IF(AND(Time!O30&gt;0,O77&gt;=1,O77&lt;=Inputs!$F$222,Time!O32&lt;(O77-1)*12+Inputs!$F$221,(O77-1)*12+Inputs!$F$221&lt;=Time!O33),IF(MOD(O77,Inputs!$F$223)=0,Inputs!$F$164,IF(MOD(O77,Inputs!$F$224)=0,Inputs!$F$165,0)),0)</f>
        <v/>
      </c>
      <c r="P78" s="13">
        <f>IF(AND(Time!P30&gt;0,P77&gt;=1,P77&lt;=Inputs!$F$222,Time!P32&lt;(P77-1)*12+Inputs!$F$221,(P77-1)*12+Inputs!$F$221&lt;=Time!P33),IF(MOD(P77,Inputs!$F$223)=0,Inputs!$F$164,IF(MOD(P77,Inputs!$F$224)=0,Inputs!$F$165,0)),0)</f>
        <v/>
      </c>
      <c r="Q78" s="13">
        <f>IF(AND(Time!Q30&gt;0,Q77&gt;=1,Q77&lt;=Inputs!$F$222,Time!Q32&lt;(Q77-1)*12+Inputs!$F$221,(Q77-1)*12+Inputs!$F$221&lt;=Time!Q33),IF(MOD(Q77,Inputs!$F$223)=0,Inputs!$F$164,IF(MOD(Q77,Inputs!$F$224)=0,Inputs!$F$165,0)),0)</f>
        <v/>
      </c>
      <c r="R78" s="13">
        <f>IF(AND(Time!R30&gt;0,R77&gt;=1,R77&lt;=Inputs!$F$222,Time!R32&lt;(R77-1)*12+Inputs!$F$221,(R77-1)*12+Inputs!$F$221&lt;=Time!R33),IF(MOD(R77,Inputs!$F$223)=0,Inputs!$F$164,IF(MOD(R77,Inputs!$F$224)=0,Inputs!$F$165,0)),0)</f>
        <v/>
      </c>
      <c r="S78" s="13">
        <f>IF(AND(Time!S30&gt;0,S77&gt;=1,S77&lt;=Inputs!$F$222,Time!S32&lt;(S77-1)*12+Inputs!$F$221,(S77-1)*12+Inputs!$F$221&lt;=Time!S33),IF(MOD(S77,Inputs!$F$223)=0,Inputs!$F$164,IF(MOD(S77,Inputs!$F$224)=0,Inputs!$F$165,0)),0)</f>
        <v/>
      </c>
      <c r="T78" s="13">
        <f>IF(AND(Time!T30&gt;0,T77&gt;=1,T77&lt;=Inputs!$F$222,Time!T32&lt;(T77-1)*12+Inputs!$F$221,(T77-1)*12+Inputs!$F$221&lt;=Time!T33),IF(MOD(T77,Inputs!$F$223)=0,Inputs!$F$164,IF(MOD(T77,Inputs!$F$224)=0,Inputs!$F$165,0)),0)</f>
        <v/>
      </c>
      <c r="U78" s="13">
        <f>IF(AND(Time!U30&gt;0,U77&gt;=1,U77&lt;=Inputs!$F$222,Time!U32&lt;(U77-1)*12+Inputs!$F$221,(U77-1)*12+Inputs!$F$221&lt;=Time!U33),IF(MOD(U77,Inputs!$F$223)=0,Inputs!$F$164,IF(MOD(U77,Inputs!$F$224)=0,Inputs!$F$165,0)),0)</f>
        <v/>
      </c>
      <c r="V78" s="13">
        <f>IF(AND(Time!V30&gt;0,V77&gt;=1,V77&lt;=Inputs!$F$222,Time!V32&lt;(V77-1)*12+Inputs!$F$221,(V77-1)*12+Inputs!$F$221&lt;=Time!V33),IF(MOD(V77,Inputs!$F$223)=0,Inputs!$F$164,IF(MOD(V77,Inputs!$F$224)=0,Inputs!$F$165,0)),0)</f>
        <v/>
      </c>
      <c r="W78" s="13">
        <f>IF(AND(Time!W30&gt;0,W77&gt;=1,W77&lt;=Inputs!$F$222,Time!W32&lt;(W77-1)*12+Inputs!$F$221,(W77-1)*12+Inputs!$F$221&lt;=Time!W33),IF(MOD(W77,Inputs!$F$223)=0,Inputs!$F$164,IF(MOD(W77,Inputs!$F$224)=0,Inputs!$F$165,0)),0)</f>
        <v/>
      </c>
      <c r="X78" s="13">
        <f>IF(AND(Time!X30&gt;0,X77&gt;=1,X77&lt;=Inputs!$F$222,Time!X32&lt;(X77-1)*12+Inputs!$F$221,(X77-1)*12+Inputs!$F$221&lt;=Time!X33),IF(MOD(X77,Inputs!$F$223)=0,Inputs!$F$164,IF(MOD(X77,Inputs!$F$224)=0,Inputs!$F$165,0)),0)</f>
        <v/>
      </c>
      <c r="Y78" s="13">
        <f>IF(AND(Time!Y30&gt;0,Y77&gt;=1,Y77&lt;=Inputs!$F$222,Time!Y32&lt;(Y77-1)*12+Inputs!$F$221,(Y77-1)*12+Inputs!$F$221&lt;=Time!Y33),IF(MOD(Y77,Inputs!$F$223)=0,Inputs!$F$164,IF(MOD(Y77,Inputs!$F$224)=0,Inputs!$F$165,0)),0)</f>
        <v/>
      </c>
      <c r="Z78" s="13">
        <f>IF(AND(Time!Z30&gt;0,Z77&gt;=1,Z77&lt;=Inputs!$F$222,Time!Z32&lt;(Z77-1)*12+Inputs!$F$221,(Z77-1)*12+Inputs!$F$221&lt;=Time!Z33),IF(MOD(Z77,Inputs!$F$223)=0,Inputs!$F$164,IF(MOD(Z77,Inputs!$F$224)=0,Inputs!$F$165,0)),0)</f>
        <v/>
      </c>
      <c r="AA78" s="13">
        <f>IF(AND(Time!AA30&gt;0,AA77&gt;=1,AA77&lt;=Inputs!$F$222,Time!AA32&lt;(AA77-1)*12+Inputs!$F$221,(AA77-1)*12+Inputs!$F$221&lt;=Time!AA33),IF(MOD(AA77,Inputs!$F$223)=0,Inputs!$F$164,IF(MOD(AA77,Inputs!$F$224)=0,Inputs!$F$165,0)),0)</f>
        <v/>
      </c>
      <c r="AB78" s="13">
        <f>IF(AND(Time!AB30&gt;0,AB77&gt;=1,AB77&lt;=Inputs!$F$222,Time!AB32&lt;(AB77-1)*12+Inputs!$F$221,(AB77-1)*12+Inputs!$F$221&lt;=Time!AB33),IF(MOD(AB77,Inputs!$F$223)=0,Inputs!$F$164,IF(MOD(AB77,Inputs!$F$224)=0,Inputs!$F$165,0)),0)</f>
        <v/>
      </c>
      <c r="AC78" s="13">
        <f>IF(AND(Time!AC30&gt;0,AC77&gt;=1,AC77&lt;=Inputs!$F$222,Time!AC32&lt;(AC77-1)*12+Inputs!$F$221,(AC77-1)*12+Inputs!$F$221&lt;=Time!AC33),IF(MOD(AC77,Inputs!$F$223)=0,Inputs!$F$164,IF(MOD(AC77,Inputs!$F$224)=0,Inputs!$F$165,0)),0)</f>
        <v/>
      </c>
      <c r="AD78" s="13">
        <f>IF(AND(Time!AD30&gt;0,AD77&gt;=1,AD77&lt;=Inputs!$F$222,Time!AD32&lt;(AD77-1)*12+Inputs!$F$221,(AD77-1)*12+Inputs!$F$221&lt;=Time!AD33),IF(MOD(AD77,Inputs!$F$223)=0,Inputs!$F$164,IF(MOD(AD77,Inputs!$F$224)=0,Inputs!$F$165,0)),0)</f>
        <v/>
      </c>
      <c r="AE78" s="13">
        <f>IF(AND(Time!AE30&gt;0,AE77&gt;=1,AE77&lt;=Inputs!$F$222,Time!AE32&lt;(AE77-1)*12+Inputs!$F$221,(AE77-1)*12+Inputs!$F$221&lt;=Time!AE33),IF(MOD(AE77,Inputs!$F$223)=0,Inputs!$F$164,IF(MOD(AE77,Inputs!$F$224)=0,Inputs!$F$165,0)),0)</f>
        <v/>
      </c>
      <c r="AF78" s="13">
        <f>IF(AND(Time!AF30&gt;0,AF77&gt;=1,AF77&lt;=Inputs!$F$222,Time!AF32&lt;(AF77-1)*12+Inputs!$F$221,(AF77-1)*12+Inputs!$F$221&lt;=Time!AF33),IF(MOD(AF77,Inputs!$F$223)=0,Inputs!$F$164,IF(MOD(AF77,Inputs!$F$224)=0,Inputs!$F$165,0)),0)</f>
        <v/>
      </c>
      <c r="AG78" s="13">
        <f>IF(AND(Time!AG30&gt;0,AG77&gt;=1,AG77&lt;=Inputs!$F$222,Time!AG32&lt;(AG77-1)*12+Inputs!$F$221,(AG77-1)*12+Inputs!$F$221&lt;=Time!AG33),IF(MOD(AG77,Inputs!$F$223)=0,Inputs!$F$164,IF(MOD(AG77,Inputs!$F$224)=0,Inputs!$F$165,0)),0)</f>
        <v/>
      </c>
      <c r="AH78" s="13">
        <f>IF(AND(Time!AH30&gt;0,AH77&gt;=1,AH77&lt;=Inputs!$F$222,Time!AH32&lt;(AH77-1)*12+Inputs!$F$221,(AH77-1)*12+Inputs!$F$221&lt;=Time!AH33),IF(MOD(AH77,Inputs!$F$223)=0,Inputs!$F$164,IF(MOD(AH77,Inputs!$F$224)=0,Inputs!$F$165,0)),0)</f>
        <v/>
      </c>
      <c r="AI78" s="13">
        <f>IF(AND(Time!AI30&gt;0,AI77&gt;=1,AI77&lt;=Inputs!$F$222,Time!AI32&lt;(AI77-1)*12+Inputs!$F$221,(AI77-1)*12+Inputs!$F$221&lt;=Time!AI33),IF(MOD(AI77,Inputs!$F$223)=0,Inputs!$F$164,IF(MOD(AI77,Inputs!$F$224)=0,Inputs!$F$165,0)),0)</f>
        <v/>
      </c>
      <c r="AJ78" s="13">
        <f>IF(AND(Time!AJ30&gt;0,AJ77&gt;=1,AJ77&lt;=Inputs!$F$222,Time!AJ32&lt;(AJ77-1)*12+Inputs!$F$221,(AJ77-1)*12+Inputs!$F$221&lt;=Time!AJ33),IF(MOD(AJ77,Inputs!$F$223)=0,Inputs!$F$164,IF(MOD(AJ77,Inputs!$F$224)=0,Inputs!$F$165,0)),0)</f>
        <v/>
      </c>
      <c r="AK78" s="13">
        <f>IF(AND(Time!AK30&gt;0,AK77&gt;=1,AK77&lt;=Inputs!$F$222,Time!AK32&lt;(AK77-1)*12+Inputs!$F$221,(AK77-1)*12+Inputs!$F$221&lt;=Time!AK33),IF(MOD(AK77,Inputs!$F$223)=0,Inputs!$F$164,IF(MOD(AK77,Inputs!$F$224)=0,Inputs!$F$165,0)),0)</f>
        <v/>
      </c>
      <c r="AL78" s="13">
        <f>IF(AND(Time!AL30&gt;0,AL77&gt;=1,AL77&lt;=Inputs!$F$222,Time!AL32&lt;(AL77-1)*12+Inputs!$F$221,(AL77-1)*12+Inputs!$F$221&lt;=Time!AL33),IF(MOD(AL77,Inputs!$F$223)=0,Inputs!$F$164,IF(MOD(AL77,Inputs!$F$224)=0,Inputs!$F$165,0)),0)</f>
        <v/>
      </c>
      <c r="AM78" s="13">
        <f>IF(AND(Time!AM30&gt;0,AM77&gt;=1,AM77&lt;=Inputs!$F$222,Time!AM32&lt;(AM77-1)*12+Inputs!$F$221,(AM77-1)*12+Inputs!$F$221&lt;=Time!AM33),IF(MOD(AM77,Inputs!$F$223)=0,Inputs!$F$164,IF(MOD(AM77,Inputs!$F$224)=0,Inputs!$F$165,0)),0)</f>
        <v/>
      </c>
      <c r="AN78" s="13">
        <f>IF(AND(Time!AN30&gt;0,AN77&gt;=1,AN77&lt;=Inputs!$F$222,Time!AN32&lt;(AN77-1)*12+Inputs!$F$221,(AN77-1)*12+Inputs!$F$221&lt;=Time!AN33),IF(MOD(AN77,Inputs!$F$223)=0,Inputs!$F$164,IF(MOD(AN77,Inputs!$F$224)=0,Inputs!$F$165,0)),0)</f>
        <v/>
      </c>
      <c r="AO78" s="13">
        <f>IF(AND(Time!AO30&gt;0,AO77&gt;=1,AO77&lt;=Inputs!$F$222,Time!AO32&lt;(AO77-1)*12+Inputs!$F$221,(AO77-1)*12+Inputs!$F$221&lt;=Time!AO33),IF(MOD(AO77,Inputs!$F$223)=0,Inputs!$F$164,IF(MOD(AO77,Inputs!$F$224)=0,Inputs!$F$165,0)),0)</f>
        <v/>
      </c>
      <c r="AP78" s="13">
        <f>IF(AND(Time!AP30&gt;0,AP77&gt;=1,AP77&lt;=Inputs!$F$222,Time!AP32&lt;(AP77-1)*12+Inputs!$F$221,(AP77-1)*12+Inputs!$F$221&lt;=Time!AP33),IF(MOD(AP77,Inputs!$F$223)=0,Inputs!$F$164,IF(MOD(AP77,Inputs!$F$224)=0,Inputs!$F$165,0)),0)</f>
        <v/>
      </c>
      <c r="AQ78" s="13">
        <f>IF(AND(Time!AQ30&gt;0,AQ77&gt;=1,AQ77&lt;=Inputs!$F$222,Time!AQ32&lt;(AQ77-1)*12+Inputs!$F$221,(AQ77-1)*12+Inputs!$F$221&lt;=Time!AQ33),IF(MOD(AQ77,Inputs!$F$223)=0,Inputs!$F$164,IF(MOD(AQ77,Inputs!$F$224)=0,Inputs!$F$165,0)),0)</f>
        <v/>
      </c>
      <c r="AR78" s="13">
        <f>IF(AND(Time!AR30&gt;0,AR77&gt;=1,AR77&lt;=Inputs!$F$222,Time!AR32&lt;(AR77-1)*12+Inputs!$F$221,(AR77-1)*12+Inputs!$F$221&lt;=Time!AR33),IF(MOD(AR77,Inputs!$F$223)=0,Inputs!$F$164,IF(MOD(AR77,Inputs!$F$224)=0,Inputs!$F$165,0)),0)</f>
        <v/>
      </c>
      <c r="AS78" s="13">
        <f>IF(AND(Time!AS30&gt;0,AS77&gt;=1,AS77&lt;=Inputs!$F$222,Time!AS32&lt;(AS77-1)*12+Inputs!$F$221,(AS77-1)*12+Inputs!$F$221&lt;=Time!AS33),IF(MOD(AS77,Inputs!$F$223)=0,Inputs!$F$164,IF(MOD(AS77,Inputs!$F$224)=0,Inputs!$F$165,0)),0)</f>
        <v/>
      </c>
      <c r="AT78" s="13">
        <f>IF(AND(Time!AT30&gt;0,AT77&gt;=1,AT77&lt;=Inputs!$F$222,Time!AT32&lt;(AT77-1)*12+Inputs!$F$221,(AT77-1)*12+Inputs!$F$221&lt;=Time!AT33),IF(MOD(AT77,Inputs!$F$223)=0,Inputs!$F$164,IF(MOD(AT77,Inputs!$F$224)=0,Inputs!$F$165,0)),0)</f>
        <v/>
      </c>
      <c r="AU78" s="13">
        <f>IF(AND(Time!AU30&gt;0,AU77&gt;=1,AU77&lt;=Inputs!$F$222,Time!AU32&lt;(AU77-1)*12+Inputs!$F$221,(AU77-1)*12+Inputs!$F$221&lt;=Time!AU33),IF(MOD(AU77,Inputs!$F$223)=0,Inputs!$F$164,IF(MOD(AU77,Inputs!$F$224)=0,Inputs!$F$165,0)),0)</f>
        <v/>
      </c>
      <c r="AV78" s="13">
        <f>IF(AND(Time!AV30&gt;0,AV77&gt;=1,AV77&lt;=Inputs!$F$222,Time!AV32&lt;(AV77-1)*12+Inputs!$F$221,(AV77-1)*12+Inputs!$F$221&lt;=Time!AV33),IF(MOD(AV77,Inputs!$F$223)=0,Inputs!$F$164,IF(MOD(AV77,Inputs!$F$224)=0,Inputs!$F$165,0)),0)</f>
        <v/>
      </c>
      <c r="AW78" s="13">
        <f>IF(AND(Time!AW30&gt;0,AW77&gt;=1,AW77&lt;=Inputs!$F$222,Time!AW32&lt;(AW77-1)*12+Inputs!$F$221,(AW77-1)*12+Inputs!$F$221&lt;=Time!AW33),IF(MOD(AW77,Inputs!$F$223)=0,Inputs!$F$164,IF(MOD(AW77,Inputs!$F$224)=0,Inputs!$F$165,0)),0)</f>
        <v/>
      </c>
      <c r="AX78" s="13">
        <f>IF(AND(Time!AX30&gt;0,AX77&gt;=1,AX77&lt;=Inputs!$F$222,Time!AX32&lt;(AX77-1)*12+Inputs!$F$221,(AX77-1)*12+Inputs!$F$221&lt;=Time!AX33),IF(MOD(AX77,Inputs!$F$223)=0,Inputs!$F$164,IF(MOD(AX77,Inputs!$F$224)=0,Inputs!$F$165,0)),0)</f>
        <v/>
      </c>
      <c r="AY78" s="13">
        <f>IF(AND(Time!AY30&gt;0,AY77&gt;=1,AY77&lt;=Inputs!$F$222,Time!AY32&lt;(AY77-1)*12+Inputs!$F$221,(AY77-1)*12+Inputs!$F$221&lt;=Time!AY33),IF(MOD(AY77,Inputs!$F$223)=0,Inputs!$F$164,IF(MOD(AY77,Inputs!$F$224)=0,Inputs!$F$165,0)),0)</f>
        <v/>
      </c>
      <c r="AZ78" s="13">
        <f>IF(AND(Time!AZ30&gt;0,AZ77&gt;=1,AZ77&lt;=Inputs!$F$222,Time!AZ32&lt;(AZ77-1)*12+Inputs!$F$221,(AZ77-1)*12+Inputs!$F$221&lt;=Time!AZ33),IF(MOD(AZ77,Inputs!$F$223)=0,Inputs!$F$164,IF(MOD(AZ77,Inputs!$F$224)=0,Inputs!$F$165,0)),0)</f>
        <v/>
      </c>
      <c r="BA78" s="13">
        <f>IF(AND(Time!BA30&gt;0,BA77&gt;=1,BA77&lt;=Inputs!$F$222,Time!BA32&lt;(BA77-1)*12+Inputs!$F$221,(BA77-1)*12+Inputs!$F$221&lt;=Time!BA33),IF(MOD(BA77,Inputs!$F$223)=0,Inputs!$F$164,IF(MOD(BA77,Inputs!$F$224)=0,Inputs!$F$165,0)),0)</f>
        <v/>
      </c>
      <c r="BB78" s="13">
        <f>IF(AND(Time!BB30&gt;0,BB77&gt;=1,BB77&lt;=Inputs!$F$222,Time!BB32&lt;(BB77-1)*12+Inputs!$F$221,(BB77-1)*12+Inputs!$F$221&lt;=Time!BB33),IF(MOD(BB77,Inputs!$F$223)=0,Inputs!$F$164,IF(MOD(BB77,Inputs!$F$224)=0,Inputs!$F$165,0)),0)</f>
        <v/>
      </c>
      <c r="BC78" s="13">
        <f>IF(AND(Time!BC30&gt;0,BC77&gt;=1,BC77&lt;=Inputs!$F$222,Time!BC32&lt;(BC77-1)*12+Inputs!$F$221,(BC77-1)*12+Inputs!$F$221&lt;=Time!BC33),IF(MOD(BC77,Inputs!$F$223)=0,Inputs!$F$164,IF(MOD(BC77,Inputs!$F$224)=0,Inputs!$F$165,0)),0)</f>
        <v/>
      </c>
      <c r="BD78" s="13">
        <f>IF(AND(Time!BD30&gt;0,BD77&gt;=1,BD77&lt;=Inputs!$F$222,Time!BD32&lt;(BD77-1)*12+Inputs!$F$221,(BD77-1)*12+Inputs!$F$221&lt;=Time!BD33),IF(MOD(BD77,Inputs!$F$223)=0,Inputs!$F$164,IF(MOD(BD77,Inputs!$F$224)=0,Inputs!$F$165,0)),0)</f>
        <v/>
      </c>
      <c r="BE78" s="13">
        <f>IF(AND(Time!BE30&gt;0,BE77&gt;=1,BE77&lt;=Inputs!$F$222,Time!BE32&lt;(BE77-1)*12+Inputs!$F$221,(BE77-1)*12+Inputs!$F$221&lt;=Time!BE33),IF(MOD(BE77,Inputs!$F$223)=0,Inputs!$F$164,IF(MOD(BE77,Inputs!$F$224)=0,Inputs!$F$165,0)),0)</f>
        <v/>
      </c>
      <c r="BF78" s="13">
        <f>IF(AND(Time!BF30&gt;0,BF77&gt;=1,BF77&lt;=Inputs!$F$222,Time!BF32&lt;(BF77-1)*12+Inputs!$F$221,(BF77-1)*12+Inputs!$F$221&lt;=Time!BF33),IF(MOD(BF77,Inputs!$F$223)=0,Inputs!$F$164,IF(MOD(BF77,Inputs!$F$224)=0,Inputs!$F$165,0)),0)</f>
        <v/>
      </c>
      <c r="BG78" s="13">
        <f>IF(AND(Time!BG30&gt;0,BG77&gt;=1,BG77&lt;=Inputs!$F$222,Time!BG32&lt;(BG77-1)*12+Inputs!$F$221,(BG77-1)*12+Inputs!$F$221&lt;=Time!BG33),IF(MOD(BG77,Inputs!$F$223)=0,Inputs!$F$164,IF(MOD(BG77,Inputs!$F$224)=0,Inputs!$F$165,0)),0)</f>
        <v/>
      </c>
      <c r="BH78" s="13">
        <f>IF(AND(Time!BH30&gt;0,BH77&gt;=1,BH77&lt;=Inputs!$F$222,Time!BH32&lt;(BH77-1)*12+Inputs!$F$221,(BH77-1)*12+Inputs!$F$221&lt;=Time!BH33),IF(MOD(BH77,Inputs!$F$223)=0,Inputs!$F$164,IF(MOD(BH77,Inputs!$F$224)=0,Inputs!$F$165,0)),0)</f>
        <v/>
      </c>
      <c r="BI78" s="13">
        <f>IF(AND(Time!BI30&gt;0,BI77&gt;=1,BI77&lt;=Inputs!$F$222,Time!BI32&lt;(BI77-1)*12+Inputs!$F$221,(BI77-1)*12+Inputs!$F$221&lt;=Time!BI33),IF(MOD(BI77,Inputs!$F$223)=0,Inputs!$F$164,IF(MOD(BI77,Inputs!$F$224)=0,Inputs!$F$165,0)),0)</f>
        <v/>
      </c>
      <c r="BJ78" s="13">
        <f>IF(AND(Time!BJ30&gt;0,BJ77&gt;=1,BJ77&lt;=Inputs!$F$222,Time!BJ32&lt;(BJ77-1)*12+Inputs!$F$221,(BJ77-1)*12+Inputs!$F$221&lt;=Time!BJ33),IF(MOD(BJ77,Inputs!$F$223)=0,Inputs!$F$164,IF(MOD(BJ77,Inputs!$F$224)=0,Inputs!$F$165,0)),0)</f>
        <v/>
      </c>
      <c r="BK78" s="13">
        <f>IF(AND(Time!BK30&gt;0,BK77&gt;=1,BK77&lt;=Inputs!$F$222,Time!BK32&lt;(BK77-1)*12+Inputs!$F$221,(BK77-1)*12+Inputs!$F$221&lt;=Time!BK33),IF(MOD(BK77,Inputs!$F$223)=0,Inputs!$F$164,IF(MOD(BK77,Inputs!$F$224)=0,Inputs!$F$165,0)),0)</f>
        <v/>
      </c>
      <c r="BL78" s="13">
        <f>IF(AND(Time!BL30&gt;0,BL77&gt;=1,BL77&lt;=Inputs!$F$222,Time!BL32&lt;(BL77-1)*12+Inputs!$F$221,(BL77-1)*12+Inputs!$F$221&lt;=Time!BL33),IF(MOD(BL77,Inputs!$F$223)=0,Inputs!$F$164,IF(MOD(BL77,Inputs!$F$224)=0,Inputs!$F$165,0)),0)</f>
        <v/>
      </c>
      <c r="BM78" s="13">
        <f>IF(AND(Time!BM30&gt;0,BM77&gt;=1,BM77&lt;=Inputs!$F$222,Time!BM32&lt;(BM77-1)*12+Inputs!$F$221,(BM77-1)*12+Inputs!$F$221&lt;=Time!BM33),IF(MOD(BM77,Inputs!$F$223)=0,Inputs!$F$164,IF(MOD(BM77,Inputs!$F$224)=0,Inputs!$F$165,0)),0)</f>
        <v/>
      </c>
      <c r="BN78" s="13">
        <f>IF(AND(Time!BN30&gt;0,BN77&gt;=1,BN77&lt;=Inputs!$F$222,Time!BN32&lt;(BN77-1)*12+Inputs!$F$221,(BN77-1)*12+Inputs!$F$221&lt;=Time!BN33),IF(MOD(BN77,Inputs!$F$223)=0,Inputs!$F$164,IF(MOD(BN77,Inputs!$F$224)=0,Inputs!$F$165,0)),0)</f>
        <v/>
      </c>
    </row>
    <row r="79">
      <c r="D79" t="inlineStr">
        <is>
          <t>Major maintenance spend</t>
        </is>
      </c>
      <c r="E79" t="inlineStr">
        <is>
          <t>USD m</t>
        </is>
      </c>
      <c r="G79" s="13">
        <f>SUM(J79:BN79)</f>
        <v/>
      </c>
      <c r="J79" s="13">
        <f>J78*J21</f>
        <v/>
      </c>
      <c r="K79" s="13">
        <f>K78*K21</f>
        <v/>
      </c>
      <c r="L79" s="13">
        <f>L78*L21</f>
        <v/>
      </c>
      <c r="M79" s="13">
        <f>M78*M21</f>
        <v/>
      </c>
      <c r="N79" s="13">
        <f>N78*N21</f>
        <v/>
      </c>
      <c r="O79" s="13">
        <f>O78*O21</f>
        <v/>
      </c>
      <c r="P79" s="13">
        <f>P78*P21</f>
        <v/>
      </c>
      <c r="Q79" s="13">
        <f>Q78*Q21</f>
        <v/>
      </c>
      <c r="R79" s="13">
        <f>R78*R21</f>
        <v/>
      </c>
      <c r="S79" s="13">
        <f>S78*S21</f>
        <v/>
      </c>
      <c r="T79" s="13">
        <f>T78*T21</f>
        <v/>
      </c>
      <c r="U79" s="13">
        <f>U78*U21</f>
        <v/>
      </c>
      <c r="V79" s="13">
        <f>V78*V21</f>
        <v/>
      </c>
      <c r="W79" s="13">
        <f>W78*W21</f>
        <v/>
      </c>
      <c r="X79" s="13">
        <f>X78*X21</f>
        <v/>
      </c>
      <c r="Y79" s="13">
        <f>Y78*Y21</f>
        <v/>
      </c>
      <c r="Z79" s="13">
        <f>Z78*Z21</f>
        <v/>
      </c>
      <c r="AA79" s="13">
        <f>AA78*AA21</f>
        <v/>
      </c>
      <c r="AB79" s="13">
        <f>AB78*AB21</f>
        <v/>
      </c>
      <c r="AC79" s="13">
        <f>AC78*AC21</f>
        <v/>
      </c>
      <c r="AD79" s="13">
        <f>AD78*AD21</f>
        <v/>
      </c>
      <c r="AE79" s="13">
        <f>AE78*AE21</f>
        <v/>
      </c>
      <c r="AF79" s="13">
        <f>AF78*AF21</f>
        <v/>
      </c>
      <c r="AG79" s="13">
        <f>AG78*AG21</f>
        <v/>
      </c>
      <c r="AH79" s="13">
        <f>AH78*AH21</f>
        <v/>
      </c>
      <c r="AI79" s="13">
        <f>AI78*AI21</f>
        <v/>
      </c>
      <c r="AJ79" s="13">
        <f>AJ78*AJ21</f>
        <v/>
      </c>
      <c r="AK79" s="13">
        <f>AK78*AK21</f>
        <v/>
      </c>
      <c r="AL79" s="13">
        <f>AL78*AL21</f>
        <v/>
      </c>
      <c r="AM79" s="13">
        <f>AM78*AM21</f>
        <v/>
      </c>
      <c r="AN79" s="13">
        <f>AN78*AN21</f>
        <v/>
      </c>
      <c r="AO79" s="13">
        <f>AO78*AO21</f>
        <v/>
      </c>
      <c r="AP79" s="13">
        <f>AP78*AP21</f>
        <v/>
      </c>
      <c r="AQ79" s="13">
        <f>AQ78*AQ21</f>
        <v/>
      </c>
      <c r="AR79" s="13">
        <f>AR78*AR21</f>
        <v/>
      </c>
      <c r="AS79" s="13">
        <f>AS78*AS21</f>
        <v/>
      </c>
      <c r="AT79" s="13">
        <f>AT78*AT21</f>
        <v/>
      </c>
      <c r="AU79" s="13">
        <f>AU78*AU21</f>
        <v/>
      </c>
      <c r="AV79" s="13">
        <f>AV78*AV21</f>
        <v/>
      </c>
      <c r="AW79" s="13">
        <f>AW78*AW21</f>
        <v/>
      </c>
      <c r="AX79" s="13">
        <f>AX78*AX21</f>
        <v/>
      </c>
      <c r="AY79" s="13">
        <f>AY78*AY21</f>
        <v/>
      </c>
      <c r="AZ79" s="13">
        <f>AZ78*AZ21</f>
        <v/>
      </c>
      <c r="BA79" s="13">
        <f>BA78*BA21</f>
        <v/>
      </c>
      <c r="BB79" s="13">
        <f>BB78*BB21</f>
        <v/>
      </c>
      <c r="BC79" s="13">
        <f>BC78*BC21</f>
        <v/>
      </c>
      <c r="BD79" s="13">
        <f>BD78*BD21</f>
        <v/>
      </c>
      <c r="BE79" s="13">
        <f>BE78*BE21</f>
        <v/>
      </c>
      <c r="BF79" s="13">
        <f>BF78*BF21</f>
        <v/>
      </c>
      <c r="BG79" s="13">
        <f>BG78*BG21</f>
        <v/>
      </c>
      <c r="BH79" s="13">
        <f>BH78*BH21</f>
        <v/>
      </c>
      <c r="BI79" s="13">
        <f>BI78*BI21</f>
        <v/>
      </c>
      <c r="BJ79" s="13">
        <f>BJ78*BJ21</f>
        <v/>
      </c>
      <c r="BK79" s="13">
        <f>BK78*BK21</f>
        <v/>
      </c>
      <c r="BL79" s="13">
        <f>BL78*BL21</f>
        <v/>
      </c>
      <c r="BM79" s="13">
        <f>BM78*BM21</f>
        <v/>
      </c>
      <c r="BN79" s="13">
        <f>BN78*BN21</f>
        <v/>
      </c>
    </row>
    <row r="80">
      <c r="D80" t="inlineStr">
        <is>
          <t>Months in period from the handback reserve year</t>
        </is>
      </c>
      <c r="E80" t="inlineStr">
        <is>
          <t>months</t>
        </is>
      </c>
      <c r="J80" s="9">
        <f>MAX(0,MIN(Time!J33,Time!$F$9)-MAX(Time!J32,(Inputs!$F$227-1)*12))</f>
        <v/>
      </c>
      <c r="K80" s="9">
        <f>MAX(0,MIN(Time!K33,Time!$F$9)-MAX(Time!K32,(Inputs!$F$227-1)*12))</f>
        <v/>
      </c>
      <c r="L80" s="9">
        <f>MAX(0,MIN(Time!L33,Time!$F$9)-MAX(Time!L32,(Inputs!$F$227-1)*12))</f>
        <v/>
      </c>
      <c r="M80" s="9">
        <f>MAX(0,MIN(Time!M33,Time!$F$9)-MAX(Time!M32,(Inputs!$F$227-1)*12))</f>
        <v/>
      </c>
      <c r="N80" s="9">
        <f>MAX(0,MIN(Time!N33,Time!$F$9)-MAX(Time!N32,(Inputs!$F$227-1)*12))</f>
        <v/>
      </c>
      <c r="O80" s="9">
        <f>MAX(0,MIN(Time!O33,Time!$F$9)-MAX(Time!O32,(Inputs!$F$227-1)*12))</f>
        <v/>
      </c>
      <c r="P80" s="9">
        <f>MAX(0,MIN(Time!P33,Time!$F$9)-MAX(Time!P32,(Inputs!$F$227-1)*12))</f>
        <v/>
      </c>
      <c r="Q80" s="9">
        <f>MAX(0,MIN(Time!Q33,Time!$F$9)-MAX(Time!Q32,(Inputs!$F$227-1)*12))</f>
        <v/>
      </c>
      <c r="R80" s="9">
        <f>MAX(0,MIN(Time!R33,Time!$F$9)-MAX(Time!R32,(Inputs!$F$227-1)*12))</f>
        <v/>
      </c>
      <c r="S80" s="9">
        <f>MAX(0,MIN(Time!S33,Time!$F$9)-MAX(Time!S32,(Inputs!$F$227-1)*12))</f>
        <v/>
      </c>
      <c r="T80" s="9">
        <f>MAX(0,MIN(Time!T33,Time!$F$9)-MAX(Time!T32,(Inputs!$F$227-1)*12))</f>
        <v/>
      </c>
      <c r="U80" s="9">
        <f>MAX(0,MIN(Time!U33,Time!$F$9)-MAX(Time!U32,(Inputs!$F$227-1)*12))</f>
        <v/>
      </c>
      <c r="V80" s="9">
        <f>MAX(0,MIN(Time!V33,Time!$F$9)-MAX(Time!V32,(Inputs!$F$227-1)*12))</f>
        <v/>
      </c>
      <c r="W80" s="9">
        <f>MAX(0,MIN(Time!W33,Time!$F$9)-MAX(Time!W32,(Inputs!$F$227-1)*12))</f>
        <v/>
      </c>
      <c r="X80" s="9">
        <f>MAX(0,MIN(Time!X33,Time!$F$9)-MAX(Time!X32,(Inputs!$F$227-1)*12))</f>
        <v/>
      </c>
      <c r="Y80" s="9">
        <f>MAX(0,MIN(Time!Y33,Time!$F$9)-MAX(Time!Y32,(Inputs!$F$227-1)*12))</f>
        <v/>
      </c>
      <c r="Z80" s="9">
        <f>MAX(0,MIN(Time!Z33,Time!$F$9)-MAX(Time!Z32,(Inputs!$F$227-1)*12))</f>
        <v/>
      </c>
      <c r="AA80" s="9">
        <f>MAX(0,MIN(Time!AA33,Time!$F$9)-MAX(Time!AA32,(Inputs!$F$227-1)*12))</f>
        <v/>
      </c>
      <c r="AB80" s="9">
        <f>MAX(0,MIN(Time!AB33,Time!$F$9)-MAX(Time!AB32,(Inputs!$F$227-1)*12))</f>
        <v/>
      </c>
      <c r="AC80" s="9">
        <f>MAX(0,MIN(Time!AC33,Time!$F$9)-MAX(Time!AC32,(Inputs!$F$227-1)*12))</f>
        <v/>
      </c>
      <c r="AD80" s="9">
        <f>MAX(0,MIN(Time!AD33,Time!$F$9)-MAX(Time!AD32,(Inputs!$F$227-1)*12))</f>
        <v/>
      </c>
      <c r="AE80" s="9">
        <f>MAX(0,MIN(Time!AE33,Time!$F$9)-MAX(Time!AE32,(Inputs!$F$227-1)*12))</f>
        <v/>
      </c>
      <c r="AF80" s="9">
        <f>MAX(0,MIN(Time!AF33,Time!$F$9)-MAX(Time!AF32,(Inputs!$F$227-1)*12))</f>
        <v/>
      </c>
      <c r="AG80" s="9">
        <f>MAX(0,MIN(Time!AG33,Time!$F$9)-MAX(Time!AG32,(Inputs!$F$227-1)*12))</f>
        <v/>
      </c>
      <c r="AH80" s="9">
        <f>MAX(0,MIN(Time!AH33,Time!$F$9)-MAX(Time!AH32,(Inputs!$F$227-1)*12))</f>
        <v/>
      </c>
      <c r="AI80" s="9">
        <f>MAX(0,MIN(Time!AI33,Time!$F$9)-MAX(Time!AI32,(Inputs!$F$227-1)*12))</f>
        <v/>
      </c>
      <c r="AJ80" s="9">
        <f>MAX(0,MIN(Time!AJ33,Time!$F$9)-MAX(Time!AJ32,(Inputs!$F$227-1)*12))</f>
        <v/>
      </c>
      <c r="AK80" s="9">
        <f>MAX(0,MIN(Time!AK33,Time!$F$9)-MAX(Time!AK32,(Inputs!$F$227-1)*12))</f>
        <v/>
      </c>
      <c r="AL80" s="9">
        <f>MAX(0,MIN(Time!AL33,Time!$F$9)-MAX(Time!AL32,(Inputs!$F$227-1)*12))</f>
        <v/>
      </c>
      <c r="AM80" s="9">
        <f>MAX(0,MIN(Time!AM33,Time!$F$9)-MAX(Time!AM32,(Inputs!$F$227-1)*12))</f>
        <v/>
      </c>
      <c r="AN80" s="9">
        <f>MAX(0,MIN(Time!AN33,Time!$F$9)-MAX(Time!AN32,(Inputs!$F$227-1)*12))</f>
        <v/>
      </c>
      <c r="AO80" s="9">
        <f>MAX(0,MIN(Time!AO33,Time!$F$9)-MAX(Time!AO32,(Inputs!$F$227-1)*12))</f>
        <v/>
      </c>
      <c r="AP80" s="9">
        <f>MAX(0,MIN(Time!AP33,Time!$F$9)-MAX(Time!AP32,(Inputs!$F$227-1)*12))</f>
        <v/>
      </c>
      <c r="AQ80" s="9">
        <f>MAX(0,MIN(Time!AQ33,Time!$F$9)-MAX(Time!AQ32,(Inputs!$F$227-1)*12))</f>
        <v/>
      </c>
      <c r="AR80" s="9">
        <f>MAX(0,MIN(Time!AR33,Time!$F$9)-MAX(Time!AR32,(Inputs!$F$227-1)*12))</f>
        <v/>
      </c>
      <c r="AS80" s="9">
        <f>MAX(0,MIN(Time!AS33,Time!$F$9)-MAX(Time!AS32,(Inputs!$F$227-1)*12))</f>
        <v/>
      </c>
      <c r="AT80" s="9">
        <f>MAX(0,MIN(Time!AT33,Time!$F$9)-MAX(Time!AT32,(Inputs!$F$227-1)*12))</f>
        <v/>
      </c>
      <c r="AU80" s="9">
        <f>MAX(0,MIN(Time!AU33,Time!$F$9)-MAX(Time!AU32,(Inputs!$F$227-1)*12))</f>
        <v/>
      </c>
      <c r="AV80" s="9">
        <f>MAX(0,MIN(Time!AV33,Time!$F$9)-MAX(Time!AV32,(Inputs!$F$227-1)*12))</f>
        <v/>
      </c>
      <c r="AW80" s="9">
        <f>MAX(0,MIN(Time!AW33,Time!$F$9)-MAX(Time!AW32,(Inputs!$F$227-1)*12))</f>
        <v/>
      </c>
      <c r="AX80" s="9">
        <f>MAX(0,MIN(Time!AX33,Time!$F$9)-MAX(Time!AX32,(Inputs!$F$227-1)*12))</f>
        <v/>
      </c>
      <c r="AY80" s="9">
        <f>MAX(0,MIN(Time!AY33,Time!$F$9)-MAX(Time!AY32,(Inputs!$F$227-1)*12))</f>
        <v/>
      </c>
      <c r="AZ80" s="9">
        <f>MAX(0,MIN(Time!AZ33,Time!$F$9)-MAX(Time!AZ32,(Inputs!$F$227-1)*12))</f>
        <v/>
      </c>
      <c r="BA80" s="9">
        <f>MAX(0,MIN(Time!BA33,Time!$F$9)-MAX(Time!BA32,(Inputs!$F$227-1)*12))</f>
        <v/>
      </c>
      <c r="BB80" s="9">
        <f>MAX(0,MIN(Time!BB33,Time!$F$9)-MAX(Time!BB32,(Inputs!$F$227-1)*12))</f>
        <v/>
      </c>
      <c r="BC80" s="9">
        <f>MAX(0,MIN(Time!BC33,Time!$F$9)-MAX(Time!BC32,(Inputs!$F$227-1)*12))</f>
        <v/>
      </c>
      <c r="BD80" s="9">
        <f>MAX(0,MIN(Time!BD33,Time!$F$9)-MAX(Time!BD32,(Inputs!$F$227-1)*12))</f>
        <v/>
      </c>
      <c r="BE80" s="9">
        <f>MAX(0,MIN(Time!BE33,Time!$F$9)-MAX(Time!BE32,(Inputs!$F$227-1)*12))</f>
        <v/>
      </c>
      <c r="BF80" s="9">
        <f>MAX(0,MIN(Time!BF33,Time!$F$9)-MAX(Time!BF32,(Inputs!$F$227-1)*12))</f>
        <v/>
      </c>
      <c r="BG80" s="9">
        <f>MAX(0,MIN(Time!BG33,Time!$F$9)-MAX(Time!BG32,(Inputs!$F$227-1)*12))</f>
        <v/>
      </c>
      <c r="BH80" s="9">
        <f>MAX(0,MIN(Time!BH33,Time!$F$9)-MAX(Time!BH32,(Inputs!$F$227-1)*12))</f>
        <v/>
      </c>
      <c r="BI80" s="9">
        <f>MAX(0,MIN(Time!BI33,Time!$F$9)-MAX(Time!BI32,(Inputs!$F$227-1)*12))</f>
        <v/>
      </c>
      <c r="BJ80" s="9">
        <f>MAX(0,MIN(Time!BJ33,Time!$F$9)-MAX(Time!BJ32,(Inputs!$F$227-1)*12))</f>
        <v/>
      </c>
      <c r="BK80" s="9">
        <f>MAX(0,MIN(Time!BK33,Time!$F$9)-MAX(Time!BK32,(Inputs!$F$227-1)*12))</f>
        <v/>
      </c>
      <c r="BL80" s="9">
        <f>MAX(0,MIN(Time!BL33,Time!$F$9)-MAX(Time!BL32,(Inputs!$F$227-1)*12))</f>
        <v/>
      </c>
      <c r="BM80" s="9">
        <f>MAX(0,MIN(Time!BM33,Time!$F$9)-MAX(Time!BM32,(Inputs!$F$227-1)*12))</f>
        <v/>
      </c>
      <c r="BN80" s="9">
        <f>MAX(0,MIN(Time!BN33,Time!$F$9)-MAX(Time!BN32,(Inputs!$F$227-1)*12))</f>
        <v/>
      </c>
    </row>
    <row r="81">
      <c r="D81" t="inlineStr">
        <is>
          <t>Handback reserve contribution required</t>
        </is>
      </c>
      <c r="E81" t="inlineStr">
        <is>
          <t>USD m</t>
        </is>
      </c>
      <c r="G81" s="13">
        <f>SUM(J81:BN81)</f>
        <v/>
      </c>
      <c r="J81" s="13">
        <f>Inputs!$F$166*J21*J80/12</f>
        <v/>
      </c>
      <c r="K81" s="13">
        <f>Inputs!$F$166*K21*K80/12</f>
        <v/>
      </c>
      <c r="L81" s="13">
        <f>Inputs!$F$166*L21*L80/12</f>
        <v/>
      </c>
      <c r="M81" s="13">
        <f>Inputs!$F$166*M21*M80/12</f>
        <v/>
      </c>
      <c r="N81" s="13">
        <f>Inputs!$F$166*N21*N80/12</f>
        <v/>
      </c>
      <c r="O81" s="13">
        <f>Inputs!$F$166*O21*O80/12</f>
        <v/>
      </c>
      <c r="P81" s="13">
        <f>Inputs!$F$166*P21*P80/12</f>
        <v/>
      </c>
      <c r="Q81" s="13">
        <f>Inputs!$F$166*Q21*Q80/12</f>
        <v/>
      </c>
      <c r="R81" s="13">
        <f>Inputs!$F$166*R21*R80/12</f>
        <v/>
      </c>
      <c r="S81" s="13">
        <f>Inputs!$F$166*S21*S80/12</f>
        <v/>
      </c>
      <c r="T81" s="13">
        <f>Inputs!$F$166*T21*T80/12</f>
        <v/>
      </c>
      <c r="U81" s="13">
        <f>Inputs!$F$166*U21*U80/12</f>
        <v/>
      </c>
      <c r="V81" s="13">
        <f>Inputs!$F$166*V21*V80/12</f>
        <v/>
      </c>
      <c r="W81" s="13">
        <f>Inputs!$F$166*W21*W80/12</f>
        <v/>
      </c>
      <c r="X81" s="13">
        <f>Inputs!$F$166*X21*X80/12</f>
        <v/>
      </c>
      <c r="Y81" s="13">
        <f>Inputs!$F$166*Y21*Y80/12</f>
        <v/>
      </c>
      <c r="Z81" s="13">
        <f>Inputs!$F$166*Z21*Z80/12</f>
        <v/>
      </c>
      <c r="AA81" s="13">
        <f>Inputs!$F$166*AA21*AA80/12</f>
        <v/>
      </c>
      <c r="AB81" s="13">
        <f>Inputs!$F$166*AB21*AB80/12</f>
        <v/>
      </c>
      <c r="AC81" s="13">
        <f>Inputs!$F$166*AC21*AC80/12</f>
        <v/>
      </c>
      <c r="AD81" s="13">
        <f>Inputs!$F$166*AD21*AD80/12</f>
        <v/>
      </c>
      <c r="AE81" s="13">
        <f>Inputs!$F$166*AE21*AE80/12</f>
        <v/>
      </c>
      <c r="AF81" s="13">
        <f>Inputs!$F$166*AF21*AF80/12</f>
        <v/>
      </c>
      <c r="AG81" s="13">
        <f>Inputs!$F$166*AG21*AG80/12</f>
        <v/>
      </c>
      <c r="AH81" s="13">
        <f>Inputs!$F$166*AH21*AH80/12</f>
        <v/>
      </c>
      <c r="AI81" s="13">
        <f>Inputs!$F$166*AI21*AI80/12</f>
        <v/>
      </c>
      <c r="AJ81" s="13">
        <f>Inputs!$F$166*AJ21*AJ80/12</f>
        <v/>
      </c>
      <c r="AK81" s="13">
        <f>Inputs!$F$166*AK21*AK80/12</f>
        <v/>
      </c>
      <c r="AL81" s="13">
        <f>Inputs!$F$166*AL21*AL80/12</f>
        <v/>
      </c>
      <c r="AM81" s="13">
        <f>Inputs!$F$166*AM21*AM80/12</f>
        <v/>
      </c>
      <c r="AN81" s="13">
        <f>Inputs!$F$166*AN21*AN80/12</f>
        <v/>
      </c>
      <c r="AO81" s="13">
        <f>Inputs!$F$166*AO21*AO80/12</f>
        <v/>
      </c>
      <c r="AP81" s="13">
        <f>Inputs!$F$166*AP21*AP80/12</f>
        <v/>
      </c>
      <c r="AQ81" s="13">
        <f>Inputs!$F$166*AQ21*AQ80/12</f>
        <v/>
      </c>
      <c r="AR81" s="13">
        <f>Inputs!$F$166*AR21*AR80/12</f>
        <v/>
      </c>
      <c r="AS81" s="13">
        <f>Inputs!$F$166*AS21*AS80/12</f>
        <v/>
      </c>
      <c r="AT81" s="13">
        <f>Inputs!$F$166*AT21*AT80/12</f>
        <v/>
      </c>
      <c r="AU81" s="13">
        <f>Inputs!$F$166*AU21*AU80/12</f>
        <v/>
      </c>
      <c r="AV81" s="13">
        <f>Inputs!$F$166*AV21*AV80/12</f>
        <v/>
      </c>
      <c r="AW81" s="13">
        <f>Inputs!$F$166*AW21*AW80/12</f>
        <v/>
      </c>
      <c r="AX81" s="13">
        <f>Inputs!$F$166*AX21*AX80/12</f>
        <v/>
      </c>
      <c r="AY81" s="13">
        <f>Inputs!$F$166*AY21*AY80/12</f>
        <v/>
      </c>
      <c r="AZ81" s="13">
        <f>Inputs!$F$166*AZ21*AZ80/12</f>
        <v/>
      </c>
      <c r="BA81" s="13">
        <f>Inputs!$F$166*BA21*BA80/12</f>
        <v/>
      </c>
      <c r="BB81" s="13">
        <f>Inputs!$F$166*BB21*BB80/12</f>
        <v/>
      </c>
      <c r="BC81" s="13">
        <f>Inputs!$F$166*BC21*BC80/12</f>
        <v/>
      </c>
      <c r="BD81" s="13">
        <f>Inputs!$F$166*BD21*BD80/12</f>
        <v/>
      </c>
      <c r="BE81" s="13">
        <f>Inputs!$F$166*BE21*BE80/12</f>
        <v/>
      </c>
      <c r="BF81" s="13">
        <f>Inputs!$F$166*BF21*BF80/12</f>
        <v/>
      </c>
      <c r="BG81" s="13">
        <f>Inputs!$F$166*BG21*BG80/12</f>
        <v/>
      </c>
      <c r="BH81" s="13">
        <f>Inputs!$F$166*BH21*BH80/12</f>
        <v/>
      </c>
      <c r="BI81" s="13">
        <f>Inputs!$F$166*BI21*BI80/12</f>
        <v/>
      </c>
      <c r="BJ81" s="13">
        <f>Inputs!$F$166*BJ21*BJ80/12</f>
        <v/>
      </c>
      <c r="BK81" s="13">
        <f>Inputs!$F$166*BK21*BK80/12</f>
        <v/>
      </c>
      <c r="BL81" s="13">
        <f>Inputs!$F$166*BL21*BL80/12</f>
        <v/>
      </c>
      <c r="BM81" s="13">
        <f>Inputs!$F$166*BM21*BM80/12</f>
        <v/>
      </c>
      <c r="BN81" s="13">
        <f>Inputs!$F$166*BN21*BN80/12</f>
        <v/>
      </c>
    </row>
    <row r="82">
      <c r="D82" t="inlineStr">
        <is>
          <t>Handback works at PPA expiry</t>
        </is>
      </c>
      <c r="E82" t="inlineStr">
        <is>
          <t>USD m</t>
        </is>
      </c>
      <c r="G82" s="13">
        <f>SUM(J82:BN82)</f>
        <v/>
      </c>
      <c r="J82" s="13">
        <f>Time!J37*SUM($J$81:$BN$81)</f>
        <v/>
      </c>
      <c r="K82" s="13">
        <f>Time!K37*SUM($J$81:$BN$81)</f>
        <v/>
      </c>
      <c r="L82" s="13">
        <f>Time!L37*SUM($J$81:$BN$81)</f>
        <v/>
      </c>
      <c r="M82" s="13">
        <f>Time!M37*SUM($J$81:$BN$81)</f>
        <v/>
      </c>
      <c r="N82" s="13">
        <f>Time!N37*SUM($J$81:$BN$81)</f>
        <v/>
      </c>
      <c r="O82" s="13">
        <f>Time!O37*SUM($J$81:$BN$81)</f>
        <v/>
      </c>
      <c r="P82" s="13">
        <f>Time!P37*SUM($J$81:$BN$81)</f>
        <v/>
      </c>
      <c r="Q82" s="13">
        <f>Time!Q37*SUM($J$81:$BN$81)</f>
        <v/>
      </c>
      <c r="R82" s="13">
        <f>Time!R37*SUM($J$81:$BN$81)</f>
        <v/>
      </c>
      <c r="S82" s="13">
        <f>Time!S37*SUM($J$81:$BN$81)</f>
        <v/>
      </c>
      <c r="T82" s="13">
        <f>Time!T37*SUM($J$81:$BN$81)</f>
        <v/>
      </c>
      <c r="U82" s="13">
        <f>Time!U37*SUM($J$81:$BN$81)</f>
        <v/>
      </c>
      <c r="V82" s="13">
        <f>Time!V37*SUM($J$81:$BN$81)</f>
        <v/>
      </c>
      <c r="W82" s="13">
        <f>Time!W37*SUM($J$81:$BN$81)</f>
        <v/>
      </c>
      <c r="X82" s="13">
        <f>Time!X37*SUM($J$81:$BN$81)</f>
        <v/>
      </c>
      <c r="Y82" s="13">
        <f>Time!Y37*SUM($J$81:$BN$81)</f>
        <v/>
      </c>
      <c r="Z82" s="13">
        <f>Time!Z37*SUM($J$81:$BN$81)</f>
        <v/>
      </c>
      <c r="AA82" s="13">
        <f>Time!AA37*SUM($J$81:$BN$81)</f>
        <v/>
      </c>
      <c r="AB82" s="13">
        <f>Time!AB37*SUM($J$81:$BN$81)</f>
        <v/>
      </c>
      <c r="AC82" s="13">
        <f>Time!AC37*SUM($J$81:$BN$81)</f>
        <v/>
      </c>
      <c r="AD82" s="13">
        <f>Time!AD37*SUM($J$81:$BN$81)</f>
        <v/>
      </c>
      <c r="AE82" s="13">
        <f>Time!AE37*SUM($J$81:$BN$81)</f>
        <v/>
      </c>
      <c r="AF82" s="13">
        <f>Time!AF37*SUM($J$81:$BN$81)</f>
        <v/>
      </c>
      <c r="AG82" s="13">
        <f>Time!AG37*SUM($J$81:$BN$81)</f>
        <v/>
      </c>
      <c r="AH82" s="13">
        <f>Time!AH37*SUM($J$81:$BN$81)</f>
        <v/>
      </c>
      <c r="AI82" s="13">
        <f>Time!AI37*SUM($J$81:$BN$81)</f>
        <v/>
      </c>
      <c r="AJ82" s="13">
        <f>Time!AJ37*SUM($J$81:$BN$81)</f>
        <v/>
      </c>
      <c r="AK82" s="13">
        <f>Time!AK37*SUM($J$81:$BN$81)</f>
        <v/>
      </c>
      <c r="AL82" s="13">
        <f>Time!AL37*SUM($J$81:$BN$81)</f>
        <v/>
      </c>
      <c r="AM82" s="13">
        <f>Time!AM37*SUM($J$81:$BN$81)</f>
        <v/>
      </c>
      <c r="AN82" s="13">
        <f>Time!AN37*SUM($J$81:$BN$81)</f>
        <v/>
      </c>
      <c r="AO82" s="13">
        <f>Time!AO37*SUM($J$81:$BN$81)</f>
        <v/>
      </c>
      <c r="AP82" s="13">
        <f>Time!AP37*SUM($J$81:$BN$81)</f>
        <v/>
      </c>
      <c r="AQ82" s="13">
        <f>Time!AQ37*SUM($J$81:$BN$81)</f>
        <v/>
      </c>
      <c r="AR82" s="13">
        <f>Time!AR37*SUM($J$81:$BN$81)</f>
        <v/>
      </c>
      <c r="AS82" s="13">
        <f>Time!AS37*SUM($J$81:$BN$81)</f>
        <v/>
      </c>
      <c r="AT82" s="13">
        <f>Time!AT37*SUM($J$81:$BN$81)</f>
        <v/>
      </c>
      <c r="AU82" s="13">
        <f>Time!AU37*SUM($J$81:$BN$81)</f>
        <v/>
      </c>
      <c r="AV82" s="13">
        <f>Time!AV37*SUM($J$81:$BN$81)</f>
        <v/>
      </c>
      <c r="AW82" s="13">
        <f>Time!AW37*SUM($J$81:$BN$81)</f>
        <v/>
      </c>
      <c r="AX82" s="13">
        <f>Time!AX37*SUM($J$81:$BN$81)</f>
        <v/>
      </c>
      <c r="AY82" s="13">
        <f>Time!AY37*SUM($J$81:$BN$81)</f>
        <v/>
      </c>
      <c r="AZ82" s="13">
        <f>Time!AZ37*SUM($J$81:$BN$81)</f>
        <v/>
      </c>
      <c r="BA82" s="13">
        <f>Time!BA37*SUM($J$81:$BN$81)</f>
        <v/>
      </c>
      <c r="BB82" s="13">
        <f>Time!BB37*SUM($J$81:$BN$81)</f>
        <v/>
      </c>
      <c r="BC82" s="13">
        <f>Time!BC37*SUM($J$81:$BN$81)</f>
        <v/>
      </c>
      <c r="BD82" s="13">
        <f>Time!BD37*SUM($J$81:$BN$81)</f>
        <v/>
      </c>
      <c r="BE82" s="13">
        <f>Time!BE37*SUM($J$81:$BN$81)</f>
        <v/>
      </c>
      <c r="BF82" s="13">
        <f>Time!BF37*SUM($J$81:$BN$81)</f>
        <v/>
      </c>
      <c r="BG82" s="13">
        <f>Time!BG37*SUM($J$81:$BN$81)</f>
        <v/>
      </c>
      <c r="BH82" s="13">
        <f>Time!BH37*SUM($J$81:$BN$81)</f>
        <v/>
      </c>
      <c r="BI82" s="13">
        <f>Time!BI37*SUM($J$81:$BN$81)</f>
        <v/>
      </c>
      <c r="BJ82" s="13">
        <f>Time!BJ37*SUM($J$81:$BN$81)</f>
        <v/>
      </c>
      <c r="BK82" s="13">
        <f>Time!BK37*SUM($J$81:$BN$81)</f>
        <v/>
      </c>
      <c r="BL82" s="13">
        <f>Time!BL37*SUM($J$81:$BN$81)</f>
        <v/>
      </c>
      <c r="BM82" s="13">
        <f>Time!BM37*SUM($J$81:$BN$81)</f>
        <v/>
      </c>
      <c r="BN82" s="13">
        <f>Time!BN37*SUM($J$81:$BN$81)</f>
        <v/>
      </c>
    </row>
    <row r="83">
      <c r="D83" t="inlineStr">
        <is>
          <t>Total operating costs</t>
        </is>
      </c>
      <c r="E83" t="inlineStr">
        <is>
          <t>USD m</t>
        </is>
      </c>
      <c r="G83" s="13">
        <f>SUM(J83:BN83)</f>
        <v/>
      </c>
      <c r="J83" s="13">
        <f>J72+J74+J75+J76+J79+J82</f>
        <v/>
      </c>
      <c r="K83" s="13">
        <f>K72+K74+K75+K76+K79+K82</f>
        <v/>
      </c>
      <c r="L83" s="13">
        <f>L72+L74+L75+L76+L79+L82</f>
        <v/>
      </c>
      <c r="M83" s="13">
        <f>M72+M74+M75+M76+M79+M82</f>
        <v/>
      </c>
      <c r="N83" s="13">
        <f>N72+N74+N75+N76+N79+N82</f>
        <v/>
      </c>
      <c r="O83" s="13">
        <f>O72+O74+O75+O76+O79+O82</f>
        <v/>
      </c>
      <c r="P83" s="13">
        <f>P72+P74+P75+P76+P79+P82</f>
        <v/>
      </c>
      <c r="Q83" s="13">
        <f>Q72+Q74+Q75+Q76+Q79+Q82</f>
        <v/>
      </c>
      <c r="R83" s="13">
        <f>R72+R74+R75+R76+R79+R82</f>
        <v/>
      </c>
      <c r="S83" s="13">
        <f>S72+S74+S75+S76+S79+S82</f>
        <v/>
      </c>
      <c r="T83" s="13">
        <f>T72+T74+T75+T76+T79+T82</f>
        <v/>
      </c>
      <c r="U83" s="13">
        <f>U72+U74+U75+U76+U79+U82</f>
        <v/>
      </c>
      <c r="V83" s="13">
        <f>V72+V74+V75+V76+V79+V82</f>
        <v/>
      </c>
      <c r="W83" s="13">
        <f>W72+W74+W75+W76+W79+W82</f>
        <v/>
      </c>
      <c r="X83" s="13">
        <f>X72+X74+X75+X76+X79+X82</f>
        <v/>
      </c>
      <c r="Y83" s="13">
        <f>Y72+Y74+Y75+Y76+Y79+Y82</f>
        <v/>
      </c>
      <c r="Z83" s="13">
        <f>Z72+Z74+Z75+Z76+Z79+Z82</f>
        <v/>
      </c>
      <c r="AA83" s="13">
        <f>AA72+AA74+AA75+AA76+AA79+AA82</f>
        <v/>
      </c>
      <c r="AB83" s="13">
        <f>AB72+AB74+AB75+AB76+AB79+AB82</f>
        <v/>
      </c>
      <c r="AC83" s="13">
        <f>AC72+AC74+AC75+AC76+AC79+AC82</f>
        <v/>
      </c>
      <c r="AD83" s="13">
        <f>AD72+AD74+AD75+AD76+AD79+AD82</f>
        <v/>
      </c>
      <c r="AE83" s="13">
        <f>AE72+AE74+AE75+AE76+AE79+AE82</f>
        <v/>
      </c>
      <c r="AF83" s="13">
        <f>AF72+AF74+AF75+AF76+AF79+AF82</f>
        <v/>
      </c>
      <c r="AG83" s="13">
        <f>AG72+AG74+AG75+AG76+AG79+AG82</f>
        <v/>
      </c>
      <c r="AH83" s="13">
        <f>AH72+AH74+AH75+AH76+AH79+AH82</f>
        <v/>
      </c>
      <c r="AI83" s="13">
        <f>AI72+AI74+AI75+AI76+AI79+AI82</f>
        <v/>
      </c>
      <c r="AJ83" s="13">
        <f>AJ72+AJ74+AJ75+AJ76+AJ79+AJ82</f>
        <v/>
      </c>
      <c r="AK83" s="13">
        <f>AK72+AK74+AK75+AK76+AK79+AK82</f>
        <v/>
      </c>
      <c r="AL83" s="13">
        <f>AL72+AL74+AL75+AL76+AL79+AL82</f>
        <v/>
      </c>
      <c r="AM83" s="13">
        <f>AM72+AM74+AM75+AM76+AM79+AM82</f>
        <v/>
      </c>
      <c r="AN83" s="13">
        <f>AN72+AN74+AN75+AN76+AN79+AN82</f>
        <v/>
      </c>
      <c r="AO83" s="13">
        <f>AO72+AO74+AO75+AO76+AO79+AO82</f>
        <v/>
      </c>
      <c r="AP83" s="13">
        <f>AP72+AP74+AP75+AP76+AP79+AP82</f>
        <v/>
      </c>
      <c r="AQ83" s="13">
        <f>AQ72+AQ74+AQ75+AQ76+AQ79+AQ82</f>
        <v/>
      </c>
      <c r="AR83" s="13">
        <f>AR72+AR74+AR75+AR76+AR79+AR82</f>
        <v/>
      </c>
      <c r="AS83" s="13">
        <f>AS72+AS74+AS75+AS76+AS79+AS82</f>
        <v/>
      </c>
      <c r="AT83" s="13">
        <f>AT72+AT74+AT75+AT76+AT79+AT82</f>
        <v/>
      </c>
      <c r="AU83" s="13">
        <f>AU72+AU74+AU75+AU76+AU79+AU82</f>
        <v/>
      </c>
      <c r="AV83" s="13">
        <f>AV72+AV74+AV75+AV76+AV79+AV82</f>
        <v/>
      </c>
      <c r="AW83" s="13">
        <f>AW72+AW74+AW75+AW76+AW79+AW82</f>
        <v/>
      </c>
      <c r="AX83" s="13">
        <f>AX72+AX74+AX75+AX76+AX79+AX82</f>
        <v/>
      </c>
      <c r="AY83" s="13">
        <f>AY72+AY74+AY75+AY76+AY79+AY82</f>
        <v/>
      </c>
      <c r="AZ83" s="13">
        <f>AZ72+AZ74+AZ75+AZ76+AZ79+AZ82</f>
        <v/>
      </c>
      <c r="BA83" s="13">
        <f>BA72+BA74+BA75+BA76+BA79+BA82</f>
        <v/>
      </c>
      <c r="BB83" s="13">
        <f>BB72+BB74+BB75+BB76+BB79+BB82</f>
        <v/>
      </c>
      <c r="BC83" s="13">
        <f>BC72+BC74+BC75+BC76+BC79+BC82</f>
        <v/>
      </c>
      <c r="BD83" s="13">
        <f>BD72+BD74+BD75+BD76+BD79+BD82</f>
        <v/>
      </c>
      <c r="BE83" s="13">
        <f>BE72+BE74+BE75+BE76+BE79+BE82</f>
        <v/>
      </c>
      <c r="BF83" s="13">
        <f>BF72+BF74+BF75+BF76+BF79+BF82</f>
        <v/>
      </c>
      <c r="BG83" s="13">
        <f>BG72+BG74+BG75+BG76+BG79+BG82</f>
        <v/>
      </c>
      <c r="BH83" s="13">
        <f>BH72+BH74+BH75+BH76+BH79+BH82</f>
        <v/>
      </c>
      <c r="BI83" s="13">
        <f>BI72+BI74+BI75+BI76+BI79+BI82</f>
        <v/>
      </c>
      <c r="BJ83" s="13">
        <f>BJ72+BJ74+BJ75+BJ76+BJ79+BJ82</f>
        <v/>
      </c>
      <c r="BK83" s="13">
        <f>BK72+BK74+BK75+BK76+BK79+BK82</f>
        <v/>
      </c>
      <c r="BL83" s="13">
        <f>BL72+BL74+BL75+BL76+BL79+BL82</f>
        <v/>
      </c>
      <c r="BM83" s="13">
        <f>BM72+BM74+BM75+BM76+BM79+BM82</f>
        <v/>
      </c>
      <c r="BN83" s="13">
        <f>BN72+BN74+BN75+BN76+BN79+BN82</f>
        <v/>
      </c>
    </row>
    <row r="84">
      <c r="D84" t="inlineStr">
        <is>
          <t>EBITDA</t>
        </is>
      </c>
      <c r="E84" t="inlineStr">
        <is>
          <t>USD m</t>
        </is>
      </c>
      <c r="G84" s="13">
        <f>SUM(J84:BN84)</f>
        <v/>
      </c>
      <c r="J84" s="13">
        <f>J56-J83+J58</f>
        <v/>
      </c>
      <c r="K84" s="13">
        <f>K56-K83+K58</f>
        <v/>
      </c>
      <c r="L84" s="13">
        <f>L56-L83+L58</f>
        <v/>
      </c>
      <c r="M84" s="13">
        <f>M56-M83+M58</f>
        <v/>
      </c>
      <c r="N84" s="13">
        <f>N56-N83+N58</f>
        <v/>
      </c>
      <c r="O84" s="13">
        <f>O56-O83+O58</f>
        <v/>
      </c>
      <c r="P84" s="13">
        <f>P56-P83+P58</f>
        <v/>
      </c>
      <c r="Q84" s="13">
        <f>Q56-Q83+Q58</f>
        <v/>
      </c>
      <c r="R84" s="13">
        <f>R56-R83+R58</f>
        <v/>
      </c>
      <c r="S84" s="13">
        <f>S56-S83+S58</f>
        <v/>
      </c>
      <c r="T84" s="13">
        <f>T56-T83+T58</f>
        <v/>
      </c>
      <c r="U84" s="13">
        <f>U56-U83+U58</f>
        <v/>
      </c>
      <c r="V84" s="13">
        <f>V56-V83+V58</f>
        <v/>
      </c>
      <c r="W84" s="13">
        <f>W56-W83+W58</f>
        <v/>
      </c>
      <c r="X84" s="13">
        <f>X56-X83+X58</f>
        <v/>
      </c>
      <c r="Y84" s="13">
        <f>Y56-Y83+Y58</f>
        <v/>
      </c>
      <c r="Z84" s="13">
        <f>Z56-Z83+Z58</f>
        <v/>
      </c>
      <c r="AA84" s="13">
        <f>AA56-AA83+AA58</f>
        <v/>
      </c>
      <c r="AB84" s="13">
        <f>AB56-AB83+AB58</f>
        <v/>
      </c>
      <c r="AC84" s="13">
        <f>AC56-AC83+AC58</f>
        <v/>
      </c>
      <c r="AD84" s="13">
        <f>AD56-AD83+AD58</f>
        <v/>
      </c>
      <c r="AE84" s="13">
        <f>AE56-AE83+AE58</f>
        <v/>
      </c>
      <c r="AF84" s="13">
        <f>AF56-AF83+AF58</f>
        <v/>
      </c>
      <c r="AG84" s="13">
        <f>AG56-AG83+AG58</f>
        <v/>
      </c>
      <c r="AH84" s="13">
        <f>AH56-AH83+AH58</f>
        <v/>
      </c>
      <c r="AI84" s="13">
        <f>AI56-AI83+AI58</f>
        <v/>
      </c>
      <c r="AJ84" s="13">
        <f>AJ56-AJ83+AJ58</f>
        <v/>
      </c>
      <c r="AK84" s="13">
        <f>AK56-AK83+AK58</f>
        <v/>
      </c>
      <c r="AL84" s="13">
        <f>AL56-AL83+AL58</f>
        <v/>
      </c>
      <c r="AM84" s="13">
        <f>AM56-AM83+AM58</f>
        <v/>
      </c>
      <c r="AN84" s="13">
        <f>AN56-AN83+AN58</f>
        <v/>
      </c>
      <c r="AO84" s="13">
        <f>AO56-AO83+AO58</f>
        <v/>
      </c>
      <c r="AP84" s="13">
        <f>AP56-AP83+AP58</f>
        <v/>
      </c>
      <c r="AQ84" s="13">
        <f>AQ56-AQ83+AQ58</f>
        <v/>
      </c>
      <c r="AR84" s="13">
        <f>AR56-AR83+AR58</f>
        <v/>
      </c>
      <c r="AS84" s="13">
        <f>AS56-AS83+AS58</f>
        <v/>
      </c>
      <c r="AT84" s="13">
        <f>AT56-AT83+AT58</f>
        <v/>
      </c>
      <c r="AU84" s="13">
        <f>AU56-AU83+AU58</f>
        <v/>
      </c>
      <c r="AV84" s="13">
        <f>AV56-AV83+AV58</f>
        <v/>
      </c>
      <c r="AW84" s="13">
        <f>AW56-AW83+AW58</f>
        <v/>
      </c>
      <c r="AX84" s="13">
        <f>AX56-AX83+AX58</f>
        <v/>
      </c>
      <c r="AY84" s="13">
        <f>AY56-AY83+AY58</f>
        <v/>
      </c>
      <c r="AZ84" s="13">
        <f>AZ56-AZ83+AZ58</f>
        <v/>
      </c>
      <c r="BA84" s="13">
        <f>BA56-BA83+BA58</f>
        <v/>
      </c>
      <c r="BB84" s="13">
        <f>BB56-BB83+BB58</f>
        <v/>
      </c>
      <c r="BC84" s="13">
        <f>BC56-BC83+BC58</f>
        <v/>
      </c>
      <c r="BD84" s="13">
        <f>BD56-BD83+BD58</f>
        <v/>
      </c>
      <c r="BE84" s="13">
        <f>BE56-BE83+BE58</f>
        <v/>
      </c>
      <c r="BF84" s="13">
        <f>BF56-BF83+BF58</f>
        <v/>
      </c>
      <c r="BG84" s="13">
        <f>BG56-BG83+BG58</f>
        <v/>
      </c>
      <c r="BH84" s="13">
        <f>BH56-BH83+BH58</f>
        <v/>
      </c>
      <c r="BI84" s="13">
        <f>BI56-BI83+BI58</f>
        <v/>
      </c>
      <c r="BJ84" s="13">
        <f>BJ56-BJ83+BJ58</f>
        <v/>
      </c>
      <c r="BK84" s="13">
        <f>BK56-BK83+BK58</f>
        <v/>
      </c>
      <c r="BL84" s="13">
        <f>BL56-BL83+BL58</f>
        <v/>
      </c>
      <c r="BM84" s="13">
        <f>BM56-BM83+BM58</f>
        <v/>
      </c>
      <c r="BN84" s="13">
        <f>BN56-BN83+BN58</f>
        <v/>
      </c>
    </row>
    <row r="85">
      <c r="B85" s="2" t="inlineStr">
        <is>
          <t>Working capital (USD m, period-end balances)</t>
        </is>
      </c>
    </row>
    <row r="86">
      <c r="D86" t="inlineStr">
        <is>
          <t>Flag: final operating period or later (working capital unwinds)</t>
        </is>
      </c>
      <c r="E86" t="inlineStr">
        <is>
          <t>flag</t>
        </is>
      </c>
      <c r="J86" s="9">
        <f>IF(Time!J20&gt;=Time!$F$15,1,0)</f>
        <v/>
      </c>
      <c r="K86" s="9">
        <f>IF(Time!K20&gt;=Time!$F$15,1,0)</f>
        <v/>
      </c>
      <c r="L86" s="9">
        <f>IF(Time!L20&gt;=Time!$F$15,1,0)</f>
        <v/>
      </c>
      <c r="M86" s="9">
        <f>IF(Time!M20&gt;=Time!$F$15,1,0)</f>
        <v/>
      </c>
      <c r="N86" s="9">
        <f>IF(Time!N20&gt;=Time!$F$15,1,0)</f>
        <v/>
      </c>
      <c r="O86" s="9">
        <f>IF(Time!O20&gt;=Time!$F$15,1,0)</f>
        <v/>
      </c>
      <c r="P86" s="9">
        <f>IF(Time!P20&gt;=Time!$F$15,1,0)</f>
        <v/>
      </c>
      <c r="Q86" s="9">
        <f>IF(Time!Q20&gt;=Time!$F$15,1,0)</f>
        <v/>
      </c>
      <c r="R86" s="9">
        <f>IF(Time!R20&gt;=Time!$F$15,1,0)</f>
        <v/>
      </c>
      <c r="S86" s="9">
        <f>IF(Time!S20&gt;=Time!$F$15,1,0)</f>
        <v/>
      </c>
      <c r="T86" s="9">
        <f>IF(Time!T20&gt;=Time!$F$15,1,0)</f>
        <v/>
      </c>
      <c r="U86" s="9">
        <f>IF(Time!U20&gt;=Time!$F$15,1,0)</f>
        <v/>
      </c>
      <c r="V86" s="9">
        <f>IF(Time!V20&gt;=Time!$F$15,1,0)</f>
        <v/>
      </c>
      <c r="W86" s="9">
        <f>IF(Time!W20&gt;=Time!$F$15,1,0)</f>
        <v/>
      </c>
      <c r="X86" s="9">
        <f>IF(Time!X20&gt;=Time!$F$15,1,0)</f>
        <v/>
      </c>
      <c r="Y86" s="9">
        <f>IF(Time!Y20&gt;=Time!$F$15,1,0)</f>
        <v/>
      </c>
      <c r="Z86" s="9">
        <f>IF(Time!Z20&gt;=Time!$F$15,1,0)</f>
        <v/>
      </c>
      <c r="AA86" s="9">
        <f>IF(Time!AA20&gt;=Time!$F$15,1,0)</f>
        <v/>
      </c>
      <c r="AB86" s="9">
        <f>IF(Time!AB20&gt;=Time!$F$15,1,0)</f>
        <v/>
      </c>
      <c r="AC86" s="9">
        <f>IF(Time!AC20&gt;=Time!$F$15,1,0)</f>
        <v/>
      </c>
      <c r="AD86" s="9">
        <f>IF(Time!AD20&gt;=Time!$F$15,1,0)</f>
        <v/>
      </c>
      <c r="AE86" s="9">
        <f>IF(Time!AE20&gt;=Time!$F$15,1,0)</f>
        <v/>
      </c>
      <c r="AF86" s="9">
        <f>IF(Time!AF20&gt;=Time!$F$15,1,0)</f>
        <v/>
      </c>
      <c r="AG86" s="9">
        <f>IF(Time!AG20&gt;=Time!$F$15,1,0)</f>
        <v/>
      </c>
      <c r="AH86" s="9">
        <f>IF(Time!AH20&gt;=Time!$F$15,1,0)</f>
        <v/>
      </c>
      <c r="AI86" s="9">
        <f>IF(Time!AI20&gt;=Time!$F$15,1,0)</f>
        <v/>
      </c>
      <c r="AJ86" s="9">
        <f>IF(Time!AJ20&gt;=Time!$F$15,1,0)</f>
        <v/>
      </c>
      <c r="AK86" s="9">
        <f>IF(Time!AK20&gt;=Time!$F$15,1,0)</f>
        <v/>
      </c>
      <c r="AL86" s="9">
        <f>IF(Time!AL20&gt;=Time!$F$15,1,0)</f>
        <v/>
      </c>
      <c r="AM86" s="9">
        <f>IF(Time!AM20&gt;=Time!$F$15,1,0)</f>
        <v/>
      </c>
      <c r="AN86" s="9">
        <f>IF(Time!AN20&gt;=Time!$F$15,1,0)</f>
        <v/>
      </c>
      <c r="AO86" s="9">
        <f>IF(Time!AO20&gt;=Time!$F$15,1,0)</f>
        <v/>
      </c>
      <c r="AP86" s="9">
        <f>IF(Time!AP20&gt;=Time!$F$15,1,0)</f>
        <v/>
      </c>
      <c r="AQ86" s="9">
        <f>IF(Time!AQ20&gt;=Time!$F$15,1,0)</f>
        <v/>
      </c>
      <c r="AR86" s="9">
        <f>IF(Time!AR20&gt;=Time!$F$15,1,0)</f>
        <v/>
      </c>
      <c r="AS86" s="9">
        <f>IF(Time!AS20&gt;=Time!$F$15,1,0)</f>
        <v/>
      </c>
      <c r="AT86" s="9">
        <f>IF(Time!AT20&gt;=Time!$F$15,1,0)</f>
        <v/>
      </c>
      <c r="AU86" s="9">
        <f>IF(Time!AU20&gt;=Time!$F$15,1,0)</f>
        <v/>
      </c>
      <c r="AV86" s="9">
        <f>IF(Time!AV20&gt;=Time!$F$15,1,0)</f>
        <v/>
      </c>
      <c r="AW86" s="9">
        <f>IF(Time!AW20&gt;=Time!$F$15,1,0)</f>
        <v/>
      </c>
      <c r="AX86" s="9">
        <f>IF(Time!AX20&gt;=Time!$F$15,1,0)</f>
        <v/>
      </c>
      <c r="AY86" s="9">
        <f>IF(Time!AY20&gt;=Time!$F$15,1,0)</f>
        <v/>
      </c>
      <c r="AZ86" s="9">
        <f>IF(Time!AZ20&gt;=Time!$F$15,1,0)</f>
        <v/>
      </c>
      <c r="BA86" s="9">
        <f>IF(Time!BA20&gt;=Time!$F$15,1,0)</f>
        <v/>
      </c>
      <c r="BB86" s="9">
        <f>IF(Time!BB20&gt;=Time!$F$15,1,0)</f>
        <v/>
      </c>
      <c r="BC86" s="9">
        <f>IF(Time!BC20&gt;=Time!$F$15,1,0)</f>
        <v/>
      </c>
      <c r="BD86" s="9">
        <f>IF(Time!BD20&gt;=Time!$F$15,1,0)</f>
        <v/>
      </c>
      <c r="BE86" s="9">
        <f>IF(Time!BE20&gt;=Time!$F$15,1,0)</f>
        <v/>
      </c>
      <c r="BF86" s="9">
        <f>IF(Time!BF20&gt;=Time!$F$15,1,0)</f>
        <v/>
      </c>
      <c r="BG86" s="9">
        <f>IF(Time!BG20&gt;=Time!$F$15,1,0)</f>
        <v/>
      </c>
      <c r="BH86" s="9">
        <f>IF(Time!BH20&gt;=Time!$F$15,1,0)</f>
        <v/>
      </c>
      <c r="BI86" s="9">
        <f>IF(Time!BI20&gt;=Time!$F$15,1,0)</f>
        <v/>
      </c>
      <c r="BJ86" s="9">
        <f>IF(Time!BJ20&gt;=Time!$F$15,1,0)</f>
        <v/>
      </c>
      <c r="BK86" s="9">
        <f>IF(Time!BK20&gt;=Time!$F$15,1,0)</f>
        <v/>
      </c>
      <c r="BL86" s="9">
        <f>IF(Time!BL20&gt;=Time!$F$15,1,0)</f>
        <v/>
      </c>
      <c r="BM86" s="9">
        <f>IF(Time!BM20&gt;=Time!$F$15,1,0)</f>
        <v/>
      </c>
      <c r="BN86" s="9">
        <f>IF(Time!BN20&gt;=Time!$F$15,1,0)</f>
        <v/>
      </c>
    </row>
    <row r="87">
      <c r="D87" t="inlineStr">
        <is>
          <t>Extra receivable days on capacity and VOM (sensitivities)</t>
        </is>
      </c>
      <c r="E87" t="inlineStr">
        <is>
          <t>days</t>
        </is>
      </c>
      <c r="J87" s="9">
        <f>Inputs!$F$44*Time!J38</f>
        <v/>
      </c>
      <c r="K87" s="9">
        <f>Inputs!$F$44*Time!K38</f>
        <v/>
      </c>
      <c r="L87" s="9">
        <f>Inputs!$F$44*Time!L38</f>
        <v/>
      </c>
      <c r="M87" s="9">
        <f>Inputs!$F$44*Time!M38</f>
        <v/>
      </c>
      <c r="N87" s="9">
        <f>Inputs!$F$44*Time!N38</f>
        <v/>
      </c>
      <c r="O87" s="9">
        <f>Inputs!$F$44*Time!O38</f>
        <v/>
      </c>
      <c r="P87" s="9">
        <f>Inputs!$F$44*Time!P38</f>
        <v/>
      </c>
      <c r="Q87" s="9">
        <f>Inputs!$F$44*Time!Q38</f>
        <v/>
      </c>
      <c r="R87" s="9">
        <f>Inputs!$F$44*Time!R38</f>
        <v/>
      </c>
      <c r="S87" s="9">
        <f>Inputs!$F$44*Time!S38</f>
        <v/>
      </c>
      <c r="T87" s="9">
        <f>Inputs!$F$44*Time!T38</f>
        <v/>
      </c>
      <c r="U87" s="9">
        <f>Inputs!$F$44*Time!U38</f>
        <v/>
      </c>
      <c r="V87" s="9">
        <f>Inputs!$F$44*Time!V38</f>
        <v/>
      </c>
      <c r="W87" s="9">
        <f>Inputs!$F$44*Time!W38</f>
        <v/>
      </c>
      <c r="X87" s="9">
        <f>Inputs!$F$44*Time!X38</f>
        <v/>
      </c>
      <c r="Y87" s="9">
        <f>Inputs!$F$44*Time!Y38</f>
        <v/>
      </c>
      <c r="Z87" s="9">
        <f>Inputs!$F$44*Time!Z38</f>
        <v/>
      </c>
      <c r="AA87" s="9">
        <f>Inputs!$F$44*Time!AA38</f>
        <v/>
      </c>
      <c r="AB87" s="9">
        <f>Inputs!$F$44*Time!AB38</f>
        <v/>
      </c>
      <c r="AC87" s="9">
        <f>Inputs!$F$44*Time!AC38</f>
        <v/>
      </c>
      <c r="AD87" s="9">
        <f>Inputs!$F$44*Time!AD38</f>
        <v/>
      </c>
      <c r="AE87" s="9">
        <f>Inputs!$F$44*Time!AE38</f>
        <v/>
      </c>
      <c r="AF87" s="9">
        <f>Inputs!$F$44*Time!AF38</f>
        <v/>
      </c>
      <c r="AG87" s="9">
        <f>Inputs!$F$44*Time!AG38</f>
        <v/>
      </c>
      <c r="AH87" s="9">
        <f>Inputs!$F$44*Time!AH38</f>
        <v/>
      </c>
      <c r="AI87" s="9">
        <f>Inputs!$F$44*Time!AI38</f>
        <v/>
      </c>
      <c r="AJ87" s="9">
        <f>Inputs!$F$44*Time!AJ38</f>
        <v/>
      </c>
      <c r="AK87" s="9">
        <f>Inputs!$F$44*Time!AK38</f>
        <v/>
      </c>
      <c r="AL87" s="9">
        <f>Inputs!$F$44*Time!AL38</f>
        <v/>
      </c>
      <c r="AM87" s="9">
        <f>Inputs!$F$44*Time!AM38</f>
        <v/>
      </c>
      <c r="AN87" s="9">
        <f>Inputs!$F$44*Time!AN38</f>
        <v/>
      </c>
      <c r="AO87" s="9">
        <f>Inputs!$F$44*Time!AO38</f>
        <v/>
      </c>
      <c r="AP87" s="9">
        <f>Inputs!$F$44*Time!AP38</f>
        <v/>
      </c>
      <c r="AQ87" s="9">
        <f>Inputs!$F$44*Time!AQ38</f>
        <v/>
      </c>
      <c r="AR87" s="9">
        <f>Inputs!$F$44*Time!AR38</f>
        <v/>
      </c>
      <c r="AS87" s="9">
        <f>Inputs!$F$44*Time!AS38</f>
        <v/>
      </c>
      <c r="AT87" s="9">
        <f>Inputs!$F$44*Time!AT38</f>
        <v/>
      </c>
      <c r="AU87" s="9">
        <f>Inputs!$F$44*Time!AU38</f>
        <v/>
      </c>
      <c r="AV87" s="9">
        <f>Inputs!$F$44*Time!AV38</f>
        <v/>
      </c>
      <c r="AW87" s="9">
        <f>Inputs!$F$44*Time!AW38</f>
        <v/>
      </c>
      <c r="AX87" s="9">
        <f>Inputs!$F$44*Time!AX38</f>
        <v/>
      </c>
      <c r="AY87" s="9">
        <f>Inputs!$F$44*Time!AY38</f>
        <v/>
      </c>
      <c r="AZ87" s="9">
        <f>Inputs!$F$44*Time!AZ38</f>
        <v/>
      </c>
      <c r="BA87" s="9">
        <f>Inputs!$F$44*Time!BA38</f>
        <v/>
      </c>
      <c r="BB87" s="9">
        <f>Inputs!$F$44*Time!BB38</f>
        <v/>
      </c>
      <c r="BC87" s="9">
        <f>Inputs!$F$44*Time!BC38</f>
        <v/>
      </c>
      <c r="BD87" s="9">
        <f>Inputs!$F$44*Time!BD38</f>
        <v/>
      </c>
      <c r="BE87" s="9">
        <f>Inputs!$F$44*Time!BE38</f>
        <v/>
      </c>
      <c r="BF87" s="9">
        <f>Inputs!$F$44*Time!BF38</f>
        <v/>
      </c>
      <c r="BG87" s="9">
        <f>Inputs!$F$44*Time!BG38</f>
        <v/>
      </c>
      <c r="BH87" s="9">
        <f>Inputs!$F$44*Time!BH38</f>
        <v/>
      </c>
      <c r="BI87" s="9">
        <f>Inputs!$F$44*Time!BI38</f>
        <v/>
      </c>
      <c r="BJ87" s="9">
        <f>Inputs!$F$44*Time!BJ38</f>
        <v/>
      </c>
      <c r="BK87" s="9">
        <f>Inputs!$F$44*Time!BK38</f>
        <v/>
      </c>
      <c r="BL87" s="9">
        <f>Inputs!$F$44*Time!BL38</f>
        <v/>
      </c>
      <c r="BM87" s="9">
        <f>Inputs!$F$44*Time!BM38</f>
        <v/>
      </c>
      <c r="BN87" s="9">
        <f>Inputs!$F$44*Time!BN38</f>
        <v/>
      </c>
    </row>
    <row r="88">
      <c r="D88" t="inlineStr">
        <is>
          <t>Trade receivables (normal terms)</t>
        </is>
      </c>
      <c r="E88" t="inlineStr">
        <is>
          <t>USD m</t>
        </is>
      </c>
      <c r="J88" s="13">
        <f>(1-J86)*(J56/MAX(Time!J31,1)*Inputs!$F$168+J55/MAX(Time!J31,1)*J87)</f>
        <v/>
      </c>
      <c r="K88" s="13">
        <f>(1-K86)*(K56/MAX(Time!K31,1)*Inputs!$F$168+K55/MAX(Time!K31,1)*K87)</f>
        <v/>
      </c>
      <c r="L88" s="13">
        <f>(1-L86)*(L56/MAX(Time!L31,1)*Inputs!$F$168+L55/MAX(Time!L31,1)*L87)</f>
        <v/>
      </c>
      <c r="M88" s="13">
        <f>(1-M86)*(M56/MAX(Time!M31,1)*Inputs!$F$168+M55/MAX(Time!M31,1)*M87)</f>
        <v/>
      </c>
      <c r="N88" s="13">
        <f>(1-N86)*(N56/MAX(Time!N31,1)*Inputs!$F$168+N55/MAX(Time!N31,1)*N87)</f>
        <v/>
      </c>
      <c r="O88" s="13">
        <f>(1-O86)*(O56/MAX(Time!O31,1)*Inputs!$F$168+O55/MAX(Time!O31,1)*O87)</f>
        <v/>
      </c>
      <c r="P88" s="13">
        <f>(1-P86)*(P56/MAX(Time!P31,1)*Inputs!$F$168+P55/MAX(Time!P31,1)*P87)</f>
        <v/>
      </c>
      <c r="Q88" s="13">
        <f>(1-Q86)*(Q56/MAX(Time!Q31,1)*Inputs!$F$168+Q55/MAX(Time!Q31,1)*Q87)</f>
        <v/>
      </c>
      <c r="R88" s="13">
        <f>(1-R86)*(R56/MAX(Time!R31,1)*Inputs!$F$168+R55/MAX(Time!R31,1)*R87)</f>
        <v/>
      </c>
      <c r="S88" s="13">
        <f>(1-S86)*(S56/MAX(Time!S31,1)*Inputs!$F$168+S55/MAX(Time!S31,1)*S87)</f>
        <v/>
      </c>
      <c r="T88" s="13">
        <f>(1-T86)*(T56/MAX(Time!T31,1)*Inputs!$F$168+T55/MAX(Time!T31,1)*T87)</f>
        <v/>
      </c>
      <c r="U88" s="13">
        <f>(1-U86)*(U56/MAX(Time!U31,1)*Inputs!$F$168+U55/MAX(Time!U31,1)*U87)</f>
        <v/>
      </c>
      <c r="V88" s="13">
        <f>(1-V86)*(V56/MAX(Time!V31,1)*Inputs!$F$168+V55/MAX(Time!V31,1)*V87)</f>
        <v/>
      </c>
      <c r="W88" s="13">
        <f>(1-W86)*(W56/MAX(Time!W31,1)*Inputs!$F$168+W55/MAX(Time!W31,1)*W87)</f>
        <v/>
      </c>
      <c r="X88" s="13">
        <f>(1-X86)*(X56/MAX(Time!X31,1)*Inputs!$F$168+X55/MAX(Time!X31,1)*X87)</f>
        <v/>
      </c>
      <c r="Y88" s="13">
        <f>(1-Y86)*(Y56/MAX(Time!Y31,1)*Inputs!$F$168+Y55/MAX(Time!Y31,1)*Y87)</f>
        <v/>
      </c>
      <c r="Z88" s="13">
        <f>(1-Z86)*(Z56/MAX(Time!Z31,1)*Inputs!$F$168+Z55/MAX(Time!Z31,1)*Z87)</f>
        <v/>
      </c>
      <c r="AA88" s="13">
        <f>(1-AA86)*(AA56/MAX(Time!AA31,1)*Inputs!$F$168+AA55/MAX(Time!AA31,1)*AA87)</f>
        <v/>
      </c>
      <c r="AB88" s="13">
        <f>(1-AB86)*(AB56/MAX(Time!AB31,1)*Inputs!$F$168+AB55/MAX(Time!AB31,1)*AB87)</f>
        <v/>
      </c>
      <c r="AC88" s="13">
        <f>(1-AC86)*(AC56/MAX(Time!AC31,1)*Inputs!$F$168+AC55/MAX(Time!AC31,1)*AC87)</f>
        <v/>
      </c>
      <c r="AD88" s="13">
        <f>(1-AD86)*(AD56/MAX(Time!AD31,1)*Inputs!$F$168+AD55/MAX(Time!AD31,1)*AD87)</f>
        <v/>
      </c>
      <c r="AE88" s="13">
        <f>(1-AE86)*(AE56/MAX(Time!AE31,1)*Inputs!$F$168+AE55/MAX(Time!AE31,1)*AE87)</f>
        <v/>
      </c>
      <c r="AF88" s="13">
        <f>(1-AF86)*(AF56/MAX(Time!AF31,1)*Inputs!$F$168+AF55/MAX(Time!AF31,1)*AF87)</f>
        <v/>
      </c>
      <c r="AG88" s="13">
        <f>(1-AG86)*(AG56/MAX(Time!AG31,1)*Inputs!$F$168+AG55/MAX(Time!AG31,1)*AG87)</f>
        <v/>
      </c>
      <c r="AH88" s="13">
        <f>(1-AH86)*(AH56/MAX(Time!AH31,1)*Inputs!$F$168+AH55/MAX(Time!AH31,1)*AH87)</f>
        <v/>
      </c>
      <c r="AI88" s="13">
        <f>(1-AI86)*(AI56/MAX(Time!AI31,1)*Inputs!$F$168+AI55/MAX(Time!AI31,1)*AI87)</f>
        <v/>
      </c>
      <c r="AJ88" s="13">
        <f>(1-AJ86)*(AJ56/MAX(Time!AJ31,1)*Inputs!$F$168+AJ55/MAX(Time!AJ31,1)*AJ87)</f>
        <v/>
      </c>
      <c r="AK88" s="13">
        <f>(1-AK86)*(AK56/MAX(Time!AK31,1)*Inputs!$F$168+AK55/MAX(Time!AK31,1)*AK87)</f>
        <v/>
      </c>
      <c r="AL88" s="13">
        <f>(1-AL86)*(AL56/MAX(Time!AL31,1)*Inputs!$F$168+AL55/MAX(Time!AL31,1)*AL87)</f>
        <v/>
      </c>
      <c r="AM88" s="13">
        <f>(1-AM86)*(AM56/MAX(Time!AM31,1)*Inputs!$F$168+AM55/MAX(Time!AM31,1)*AM87)</f>
        <v/>
      </c>
      <c r="AN88" s="13">
        <f>(1-AN86)*(AN56/MAX(Time!AN31,1)*Inputs!$F$168+AN55/MAX(Time!AN31,1)*AN87)</f>
        <v/>
      </c>
      <c r="AO88" s="13">
        <f>(1-AO86)*(AO56/MAX(Time!AO31,1)*Inputs!$F$168+AO55/MAX(Time!AO31,1)*AO87)</f>
        <v/>
      </c>
      <c r="AP88" s="13">
        <f>(1-AP86)*(AP56/MAX(Time!AP31,1)*Inputs!$F$168+AP55/MAX(Time!AP31,1)*AP87)</f>
        <v/>
      </c>
      <c r="AQ88" s="13">
        <f>(1-AQ86)*(AQ56/MAX(Time!AQ31,1)*Inputs!$F$168+AQ55/MAX(Time!AQ31,1)*AQ87)</f>
        <v/>
      </c>
      <c r="AR88" s="13">
        <f>(1-AR86)*(AR56/MAX(Time!AR31,1)*Inputs!$F$168+AR55/MAX(Time!AR31,1)*AR87)</f>
        <v/>
      </c>
      <c r="AS88" s="13">
        <f>(1-AS86)*(AS56/MAX(Time!AS31,1)*Inputs!$F$168+AS55/MAX(Time!AS31,1)*AS87)</f>
        <v/>
      </c>
      <c r="AT88" s="13">
        <f>(1-AT86)*(AT56/MAX(Time!AT31,1)*Inputs!$F$168+AT55/MAX(Time!AT31,1)*AT87)</f>
        <v/>
      </c>
      <c r="AU88" s="13">
        <f>(1-AU86)*(AU56/MAX(Time!AU31,1)*Inputs!$F$168+AU55/MAX(Time!AU31,1)*AU87)</f>
        <v/>
      </c>
      <c r="AV88" s="13">
        <f>(1-AV86)*(AV56/MAX(Time!AV31,1)*Inputs!$F$168+AV55/MAX(Time!AV31,1)*AV87)</f>
        <v/>
      </c>
      <c r="AW88" s="13">
        <f>(1-AW86)*(AW56/MAX(Time!AW31,1)*Inputs!$F$168+AW55/MAX(Time!AW31,1)*AW87)</f>
        <v/>
      </c>
      <c r="AX88" s="13">
        <f>(1-AX86)*(AX56/MAX(Time!AX31,1)*Inputs!$F$168+AX55/MAX(Time!AX31,1)*AX87)</f>
        <v/>
      </c>
      <c r="AY88" s="13">
        <f>(1-AY86)*(AY56/MAX(Time!AY31,1)*Inputs!$F$168+AY55/MAX(Time!AY31,1)*AY87)</f>
        <v/>
      </c>
      <c r="AZ88" s="13">
        <f>(1-AZ86)*(AZ56/MAX(Time!AZ31,1)*Inputs!$F$168+AZ55/MAX(Time!AZ31,1)*AZ87)</f>
        <v/>
      </c>
      <c r="BA88" s="13">
        <f>(1-BA86)*(BA56/MAX(Time!BA31,1)*Inputs!$F$168+BA55/MAX(Time!BA31,1)*BA87)</f>
        <v/>
      </c>
      <c r="BB88" s="13">
        <f>(1-BB86)*(BB56/MAX(Time!BB31,1)*Inputs!$F$168+BB55/MAX(Time!BB31,1)*BB87)</f>
        <v/>
      </c>
      <c r="BC88" s="13">
        <f>(1-BC86)*(BC56/MAX(Time!BC31,1)*Inputs!$F$168+BC55/MAX(Time!BC31,1)*BC87)</f>
        <v/>
      </c>
      <c r="BD88" s="13">
        <f>(1-BD86)*(BD56/MAX(Time!BD31,1)*Inputs!$F$168+BD55/MAX(Time!BD31,1)*BD87)</f>
        <v/>
      </c>
      <c r="BE88" s="13">
        <f>(1-BE86)*(BE56/MAX(Time!BE31,1)*Inputs!$F$168+BE55/MAX(Time!BE31,1)*BE87)</f>
        <v/>
      </c>
      <c r="BF88" s="13">
        <f>(1-BF86)*(BF56/MAX(Time!BF31,1)*Inputs!$F$168+BF55/MAX(Time!BF31,1)*BF87)</f>
        <v/>
      </c>
      <c r="BG88" s="13">
        <f>(1-BG86)*(BG56/MAX(Time!BG31,1)*Inputs!$F$168+BG55/MAX(Time!BG31,1)*BG87)</f>
        <v/>
      </c>
      <c r="BH88" s="13">
        <f>(1-BH86)*(BH56/MAX(Time!BH31,1)*Inputs!$F$168+BH55/MAX(Time!BH31,1)*BH87)</f>
        <v/>
      </c>
      <c r="BI88" s="13">
        <f>(1-BI86)*(BI56/MAX(Time!BI31,1)*Inputs!$F$168+BI55/MAX(Time!BI31,1)*BI87)</f>
        <v/>
      </c>
      <c r="BJ88" s="13">
        <f>(1-BJ86)*(BJ56/MAX(Time!BJ31,1)*Inputs!$F$168+BJ55/MAX(Time!BJ31,1)*BJ87)</f>
        <v/>
      </c>
      <c r="BK88" s="13">
        <f>(1-BK86)*(BK56/MAX(Time!BK31,1)*Inputs!$F$168+BK55/MAX(Time!BK31,1)*BK87)</f>
        <v/>
      </c>
      <c r="BL88" s="13">
        <f>(1-BL86)*(BL56/MAX(Time!BL31,1)*Inputs!$F$168+BL55/MAX(Time!BL31,1)*BL87)</f>
        <v/>
      </c>
      <c r="BM88" s="13">
        <f>(1-BM86)*(BM56/MAX(Time!BM31,1)*Inputs!$F$168+BM55/MAX(Time!BM31,1)*BM87)</f>
        <v/>
      </c>
      <c r="BN88" s="13">
        <f>(1-BN86)*(BN56/MAX(Time!BN31,1)*Inputs!$F$168+BN55/MAX(Time!BN31,1)*BN87)</f>
        <v/>
      </c>
    </row>
    <row r="89">
      <c r="D89" t="inlineStr">
        <is>
          <t>SEKA overdue receivables</t>
        </is>
      </c>
      <c r="E89" t="inlineStr">
        <is>
          <t>USD m</t>
        </is>
      </c>
      <c r="J89" s="13">
        <f>Inputs!$F$45*Inputs!J295</f>
        <v/>
      </c>
      <c r="K89" s="13">
        <f>Inputs!$F$45*Inputs!K295</f>
        <v/>
      </c>
      <c r="L89" s="13">
        <f>Inputs!$F$45*Inputs!L295</f>
        <v/>
      </c>
      <c r="M89" s="13">
        <f>Inputs!$F$45*Inputs!M295</f>
        <v/>
      </c>
      <c r="N89" s="13">
        <f>Inputs!$F$45*Inputs!N295</f>
        <v/>
      </c>
      <c r="O89" s="13">
        <f>Inputs!$F$45*Inputs!O295</f>
        <v/>
      </c>
      <c r="P89" s="13">
        <f>Inputs!$F$45*Inputs!P295</f>
        <v/>
      </c>
      <c r="Q89" s="13">
        <f>Inputs!$F$45*Inputs!Q295</f>
        <v/>
      </c>
      <c r="R89" s="13">
        <f>Inputs!$F$45*Inputs!R295</f>
        <v/>
      </c>
      <c r="S89" s="13">
        <f>Inputs!$F$45*Inputs!S295</f>
        <v/>
      </c>
      <c r="T89" s="13">
        <f>Inputs!$F$45*Inputs!T295</f>
        <v/>
      </c>
      <c r="U89" s="13">
        <f>Inputs!$F$45*Inputs!U295</f>
        <v/>
      </c>
      <c r="V89" s="13">
        <f>Inputs!$F$45*Inputs!V295</f>
        <v/>
      </c>
      <c r="W89" s="13">
        <f>Inputs!$F$45*Inputs!W295</f>
        <v/>
      </c>
      <c r="X89" s="13">
        <f>Inputs!$F$45*Inputs!X295</f>
        <v/>
      </c>
      <c r="Y89" s="13">
        <f>Inputs!$F$45*Inputs!Y295</f>
        <v/>
      </c>
      <c r="Z89" s="13">
        <f>Inputs!$F$45*Inputs!Z295</f>
        <v/>
      </c>
      <c r="AA89" s="13">
        <f>Inputs!$F$45*Inputs!AA295</f>
        <v/>
      </c>
      <c r="AB89" s="13">
        <f>Inputs!$F$45*Inputs!AB295</f>
        <v/>
      </c>
      <c r="AC89" s="13">
        <f>Inputs!$F$45*Inputs!AC295</f>
        <v/>
      </c>
      <c r="AD89" s="13">
        <f>Inputs!$F$45*Inputs!AD295</f>
        <v/>
      </c>
      <c r="AE89" s="13">
        <f>Inputs!$F$45*Inputs!AE295</f>
        <v/>
      </c>
      <c r="AF89" s="13">
        <f>Inputs!$F$45*Inputs!AF295</f>
        <v/>
      </c>
      <c r="AG89" s="13">
        <f>Inputs!$F$45*Inputs!AG295</f>
        <v/>
      </c>
      <c r="AH89" s="13">
        <f>Inputs!$F$45*Inputs!AH295</f>
        <v/>
      </c>
      <c r="AI89" s="13">
        <f>Inputs!$F$45*Inputs!AI295</f>
        <v/>
      </c>
      <c r="AJ89" s="13">
        <f>Inputs!$F$45*Inputs!AJ295</f>
        <v/>
      </c>
      <c r="AK89" s="13">
        <f>Inputs!$F$45*Inputs!AK295</f>
        <v/>
      </c>
      <c r="AL89" s="13">
        <f>Inputs!$F$45*Inputs!AL295</f>
        <v/>
      </c>
      <c r="AM89" s="13">
        <f>Inputs!$F$45*Inputs!AM295</f>
        <v/>
      </c>
      <c r="AN89" s="13">
        <f>Inputs!$F$45*Inputs!AN295</f>
        <v/>
      </c>
      <c r="AO89" s="13">
        <f>Inputs!$F$45*Inputs!AO295</f>
        <v/>
      </c>
      <c r="AP89" s="13">
        <f>Inputs!$F$45*Inputs!AP295</f>
        <v/>
      </c>
      <c r="AQ89" s="13">
        <f>Inputs!$F$45*Inputs!AQ295</f>
        <v/>
      </c>
      <c r="AR89" s="13">
        <f>Inputs!$F$45*Inputs!AR295</f>
        <v/>
      </c>
      <c r="AS89" s="13">
        <f>Inputs!$F$45*Inputs!AS295</f>
        <v/>
      </c>
      <c r="AT89" s="13">
        <f>Inputs!$F$45*Inputs!AT295</f>
        <v/>
      </c>
      <c r="AU89" s="13">
        <f>Inputs!$F$45*Inputs!AU295</f>
        <v/>
      </c>
      <c r="AV89" s="13">
        <f>Inputs!$F$45*Inputs!AV295</f>
        <v/>
      </c>
      <c r="AW89" s="13">
        <f>Inputs!$F$45*Inputs!AW295</f>
        <v/>
      </c>
      <c r="AX89" s="13">
        <f>Inputs!$F$45*Inputs!AX295</f>
        <v/>
      </c>
      <c r="AY89" s="13">
        <f>Inputs!$F$45*Inputs!AY295</f>
        <v/>
      </c>
      <c r="AZ89" s="13">
        <f>Inputs!$F$45*Inputs!AZ295</f>
        <v/>
      </c>
      <c r="BA89" s="13">
        <f>Inputs!$F$45*Inputs!BA295</f>
        <v/>
      </c>
      <c r="BB89" s="13">
        <f>Inputs!$F$45*Inputs!BB295</f>
        <v/>
      </c>
      <c r="BC89" s="13">
        <f>Inputs!$F$45*Inputs!BC295</f>
        <v/>
      </c>
      <c r="BD89" s="13">
        <f>Inputs!$F$45*Inputs!BD295</f>
        <v/>
      </c>
      <c r="BE89" s="13">
        <f>Inputs!$F$45*Inputs!BE295</f>
        <v/>
      </c>
      <c r="BF89" s="13">
        <f>Inputs!$F$45*Inputs!BF295</f>
        <v/>
      </c>
      <c r="BG89" s="13">
        <f>Inputs!$F$45*Inputs!BG295</f>
        <v/>
      </c>
      <c r="BH89" s="13">
        <f>Inputs!$F$45*Inputs!BH295</f>
        <v/>
      </c>
      <c r="BI89" s="13">
        <f>Inputs!$F$45*Inputs!BI295</f>
        <v/>
      </c>
      <c r="BJ89" s="13">
        <f>Inputs!$F$45*Inputs!BJ295</f>
        <v/>
      </c>
      <c r="BK89" s="13">
        <f>Inputs!$F$45*Inputs!BK295</f>
        <v/>
      </c>
      <c r="BL89" s="13">
        <f>Inputs!$F$45*Inputs!BL295</f>
        <v/>
      </c>
      <c r="BM89" s="13">
        <f>Inputs!$F$45*Inputs!BM295</f>
        <v/>
      </c>
      <c r="BN89" s="13">
        <f>Inputs!$F$45*Inputs!BN295</f>
        <v/>
      </c>
    </row>
    <row r="90">
      <c r="D90" t="inlineStr">
        <is>
          <t>Gas payables</t>
        </is>
      </c>
      <c r="E90" t="inlineStr">
        <is>
          <t>USD m</t>
        </is>
      </c>
      <c r="J90" s="13">
        <f>(1-J86)*(J73+J54)/MAX(Time!J31,1)*Inputs!$F$169</f>
        <v/>
      </c>
      <c r="K90" s="13">
        <f>(1-K86)*(K73+K54)/MAX(Time!K31,1)*Inputs!$F$169</f>
        <v/>
      </c>
      <c r="L90" s="13">
        <f>(1-L86)*(L73+L54)/MAX(Time!L31,1)*Inputs!$F$169</f>
        <v/>
      </c>
      <c r="M90" s="13">
        <f>(1-M86)*(M73+M54)/MAX(Time!M31,1)*Inputs!$F$169</f>
        <v/>
      </c>
      <c r="N90" s="13">
        <f>(1-N86)*(N73+N54)/MAX(Time!N31,1)*Inputs!$F$169</f>
        <v/>
      </c>
      <c r="O90" s="13">
        <f>(1-O86)*(O73+O54)/MAX(Time!O31,1)*Inputs!$F$169</f>
        <v/>
      </c>
      <c r="P90" s="13">
        <f>(1-P86)*(P73+P54)/MAX(Time!P31,1)*Inputs!$F$169</f>
        <v/>
      </c>
      <c r="Q90" s="13">
        <f>(1-Q86)*(Q73+Q54)/MAX(Time!Q31,1)*Inputs!$F$169</f>
        <v/>
      </c>
      <c r="R90" s="13">
        <f>(1-R86)*(R73+R54)/MAX(Time!R31,1)*Inputs!$F$169</f>
        <v/>
      </c>
      <c r="S90" s="13">
        <f>(1-S86)*(S73+S54)/MAX(Time!S31,1)*Inputs!$F$169</f>
        <v/>
      </c>
      <c r="T90" s="13">
        <f>(1-T86)*(T73+T54)/MAX(Time!T31,1)*Inputs!$F$169</f>
        <v/>
      </c>
      <c r="U90" s="13">
        <f>(1-U86)*(U73+U54)/MAX(Time!U31,1)*Inputs!$F$169</f>
        <v/>
      </c>
      <c r="V90" s="13">
        <f>(1-V86)*(V73+V54)/MAX(Time!V31,1)*Inputs!$F$169</f>
        <v/>
      </c>
      <c r="W90" s="13">
        <f>(1-W86)*(W73+W54)/MAX(Time!W31,1)*Inputs!$F$169</f>
        <v/>
      </c>
      <c r="X90" s="13">
        <f>(1-X86)*(X73+X54)/MAX(Time!X31,1)*Inputs!$F$169</f>
        <v/>
      </c>
      <c r="Y90" s="13">
        <f>(1-Y86)*(Y73+Y54)/MAX(Time!Y31,1)*Inputs!$F$169</f>
        <v/>
      </c>
      <c r="Z90" s="13">
        <f>(1-Z86)*(Z73+Z54)/MAX(Time!Z31,1)*Inputs!$F$169</f>
        <v/>
      </c>
      <c r="AA90" s="13">
        <f>(1-AA86)*(AA73+AA54)/MAX(Time!AA31,1)*Inputs!$F$169</f>
        <v/>
      </c>
      <c r="AB90" s="13">
        <f>(1-AB86)*(AB73+AB54)/MAX(Time!AB31,1)*Inputs!$F$169</f>
        <v/>
      </c>
      <c r="AC90" s="13">
        <f>(1-AC86)*(AC73+AC54)/MAX(Time!AC31,1)*Inputs!$F$169</f>
        <v/>
      </c>
      <c r="AD90" s="13">
        <f>(1-AD86)*(AD73+AD54)/MAX(Time!AD31,1)*Inputs!$F$169</f>
        <v/>
      </c>
      <c r="AE90" s="13">
        <f>(1-AE86)*(AE73+AE54)/MAX(Time!AE31,1)*Inputs!$F$169</f>
        <v/>
      </c>
      <c r="AF90" s="13">
        <f>(1-AF86)*(AF73+AF54)/MAX(Time!AF31,1)*Inputs!$F$169</f>
        <v/>
      </c>
      <c r="AG90" s="13">
        <f>(1-AG86)*(AG73+AG54)/MAX(Time!AG31,1)*Inputs!$F$169</f>
        <v/>
      </c>
      <c r="AH90" s="13">
        <f>(1-AH86)*(AH73+AH54)/MAX(Time!AH31,1)*Inputs!$F$169</f>
        <v/>
      </c>
      <c r="AI90" s="13">
        <f>(1-AI86)*(AI73+AI54)/MAX(Time!AI31,1)*Inputs!$F$169</f>
        <v/>
      </c>
      <c r="AJ90" s="13">
        <f>(1-AJ86)*(AJ73+AJ54)/MAX(Time!AJ31,1)*Inputs!$F$169</f>
        <v/>
      </c>
      <c r="AK90" s="13">
        <f>(1-AK86)*(AK73+AK54)/MAX(Time!AK31,1)*Inputs!$F$169</f>
        <v/>
      </c>
      <c r="AL90" s="13">
        <f>(1-AL86)*(AL73+AL54)/MAX(Time!AL31,1)*Inputs!$F$169</f>
        <v/>
      </c>
      <c r="AM90" s="13">
        <f>(1-AM86)*(AM73+AM54)/MAX(Time!AM31,1)*Inputs!$F$169</f>
        <v/>
      </c>
      <c r="AN90" s="13">
        <f>(1-AN86)*(AN73+AN54)/MAX(Time!AN31,1)*Inputs!$F$169</f>
        <v/>
      </c>
      <c r="AO90" s="13">
        <f>(1-AO86)*(AO73+AO54)/MAX(Time!AO31,1)*Inputs!$F$169</f>
        <v/>
      </c>
      <c r="AP90" s="13">
        <f>(1-AP86)*(AP73+AP54)/MAX(Time!AP31,1)*Inputs!$F$169</f>
        <v/>
      </c>
      <c r="AQ90" s="13">
        <f>(1-AQ86)*(AQ73+AQ54)/MAX(Time!AQ31,1)*Inputs!$F$169</f>
        <v/>
      </c>
      <c r="AR90" s="13">
        <f>(1-AR86)*(AR73+AR54)/MAX(Time!AR31,1)*Inputs!$F$169</f>
        <v/>
      </c>
      <c r="AS90" s="13">
        <f>(1-AS86)*(AS73+AS54)/MAX(Time!AS31,1)*Inputs!$F$169</f>
        <v/>
      </c>
      <c r="AT90" s="13">
        <f>(1-AT86)*(AT73+AT54)/MAX(Time!AT31,1)*Inputs!$F$169</f>
        <v/>
      </c>
      <c r="AU90" s="13">
        <f>(1-AU86)*(AU73+AU54)/MAX(Time!AU31,1)*Inputs!$F$169</f>
        <v/>
      </c>
      <c r="AV90" s="13">
        <f>(1-AV86)*(AV73+AV54)/MAX(Time!AV31,1)*Inputs!$F$169</f>
        <v/>
      </c>
      <c r="AW90" s="13">
        <f>(1-AW86)*(AW73+AW54)/MAX(Time!AW31,1)*Inputs!$F$169</f>
        <v/>
      </c>
      <c r="AX90" s="13">
        <f>(1-AX86)*(AX73+AX54)/MAX(Time!AX31,1)*Inputs!$F$169</f>
        <v/>
      </c>
      <c r="AY90" s="13">
        <f>(1-AY86)*(AY73+AY54)/MAX(Time!AY31,1)*Inputs!$F$169</f>
        <v/>
      </c>
      <c r="AZ90" s="13">
        <f>(1-AZ86)*(AZ73+AZ54)/MAX(Time!AZ31,1)*Inputs!$F$169</f>
        <v/>
      </c>
      <c r="BA90" s="13">
        <f>(1-BA86)*(BA73+BA54)/MAX(Time!BA31,1)*Inputs!$F$169</f>
        <v/>
      </c>
      <c r="BB90" s="13">
        <f>(1-BB86)*(BB73+BB54)/MAX(Time!BB31,1)*Inputs!$F$169</f>
        <v/>
      </c>
      <c r="BC90" s="13">
        <f>(1-BC86)*(BC73+BC54)/MAX(Time!BC31,1)*Inputs!$F$169</f>
        <v/>
      </c>
      <c r="BD90" s="13">
        <f>(1-BD86)*(BD73+BD54)/MAX(Time!BD31,1)*Inputs!$F$169</f>
        <v/>
      </c>
      <c r="BE90" s="13">
        <f>(1-BE86)*(BE73+BE54)/MAX(Time!BE31,1)*Inputs!$F$169</f>
        <v/>
      </c>
      <c r="BF90" s="13">
        <f>(1-BF86)*(BF73+BF54)/MAX(Time!BF31,1)*Inputs!$F$169</f>
        <v/>
      </c>
      <c r="BG90" s="13">
        <f>(1-BG86)*(BG73+BG54)/MAX(Time!BG31,1)*Inputs!$F$169</f>
        <v/>
      </c>
      <c r="BH90" s="13">
        <f>(1-BH86)*(BH73+BH54)/MAX(Time!BH31,1)*Inputs!$F$169</f>
        <v/>
      </c>
      <c r="BI90" s="13">
        <f>(1-BI86)*(BI73+BI54)/MAX(Time!BI31,1)*Inputs!$F$169</f>
        <v/>
      </c>
      <c r="BJ90" s="13">
        <f>(1-BJ86)*(BJ73+BJ54)/MAX(Time!BJ31,1)*Inputs!$F$169</f>
        <v/>
      </c>
      <c r="BK90" s="13">
        <f>(1-BK86)*(BK73+BK54)/MAX(Time!BK31,1)*Inputs!$F$169</f>
        <v/>
      </c>
      <c r="BL90" s="13">
        <f>(1-BL86)*(BL73+BL54)/MAX(Time!BL31,1)*Inputs!$F$169</f>
        <v/>
      </c>
      <c r="BM90" s="13">
        <f>(1-BM86)*(BM73+BM54)/MAX(Time!BM31,1)*Inputs!$F$169</f>
        <v/>
      </c>
      <c r="BN90" s="13">
        <f>(1-BN86)*(BN73+BN54)/MAX(Time!BN31,1)*Inputs!$F$169</f>
        <v/>
      </c>
    </row>
    <row r="91">
      <c r="D91" t="inlineStr">
        <is>
          <t>GTA payables</t>
        </is>
      </c>
      <c r="E91" t="inlineStr">
        <is>
          <t>USD m</t>
        </is>
      </c>
      <c r="J91" s="13">
        <f>(1-J86)*(J52+J53)/MAX(Time!J31,1)*Inputs!$F$170</f>
        <v/>
      </c>
      <c r="K91" s="13">
        <f>(1-K86)*(K52+K53)/MAX(Time!K31,1)*Inputs!$F$170</f>
        <v/>
      </c>
      <c r="L91" s="13">
        <f>(1-L86)*(L52+L53)/MAX(Time!L31,1)*Inputs!$F$170</f>
        <v/>
      </c>
      <c r="M91" s="13">
        <f>(1-M86)*(M52+M53)/MAX(Time!M31,1)*Inputs!$F$170</f>
        <v/>
      </c>
      <c r="N91" s="13">
        <f>(1-N86)*(N52+N53)/MAX(Time!N31,1)*Inputs!$F$170</f>
        <v/>
      </c>
      <c r="O91" s="13">
        <f>(1-O86)*(O52+O53)/MAX(Time!O31,1)*Inputs!$F$170</f>
        <v/>
      </c>
      <c r="P91" s="13">
        <f>(1-P86)*(P52+P53)/MAX(Time!P31,1)*Inputs!$F$170</f>
        <v/>
      </c>
      <c r="Q91" s="13">
        <f>(1-Q86)*(Q52+Q53)/MAX(Time!Q31,1)*Inputs!$F$170</f>
        <v/>
      </c>
      <c r="R91" s="13">
        <f>(1-R86)*(R52+R53)/MAX(Time!R31,1)*Inputs!$F$170</f>
        <v/>
      </c>
      <c r="S91" s="13">
        <f>(1-S86)*(S52+S53)/MAX(Time!S31,1)*Inputs!$F$170</f>
        <v/>
      </c>
      <c r="T91" s="13">
        <f>(1-T86)*(T52+T53)/MAX(Time!T31,1)*Inputs!$F$170</f>
        <v/>
      </c>
      <c r="U91" s="13">
        <f>(1-U86)*(U52+U53)/MAX(Time!U31,1)*Inputs!$F$170</f>
        <v/>
      </c>
      <c r="V91" s="13">
        <f>(1-V86)*(V52+V53)/MAX(Time!V31,1)*Inputs!$F$170</f>
        <v/>
      </c>
      <c r="W91" s="13">
        <f>(1-W86)*(W52+W53)/MAX(Time!W31,1)*Inputs!$F$170</f>
        <v/>
      </c>
      <c r="X91" s="13">
        <f>(1-X86)*(X52+X53)/MAX(Time!X31,1)*Inputs!$F$170</f>
        <v/>
      </c>
      <c r="Y91" s="13">
        <f>(1-Y86)*(Y52+Y53)/MAX(Time!Y31,1)*Inputs!$F$170</f>
        <v/>
      </c>
      <c r="Z91" s="13">
        <f>(1-Z86)*(Z52+Z53)/MAX(Time!Z31,1)*Inputs!$F$170</f>
        <v/>
      </c>
      <c r="AA91" s="13">
        <f>(1-AA86)*(AA52+AA53)/MAX(Time!AA31,1)*Inputs!$F$170</f>
        <v/>
      </c>
      <c r="AB91" s="13">
        <f>(1-AB86)*(AB52+AB53)/MAX(Time!AB31,1)*Inputs!$F$170</f>
        <v/>
      </c>
      <c r="AC91" s="13">
        <f>(1-AC86)*(AC52+AC53)/MAX(Time!AC31,1)*Inputs!$F$170</f>
        <v/>
      </c>
      <c r="AD91" s="13">
        <f>(1-AD86)*(AD52+AD53)/MAX(Time!AD31,1)*Inputs!$F$170</f>
        <v/>
      </c>
      <c r="AE91" s="13">
        <f>(1-AE86)*(AE52+AE53)/MAX(Time!AE31,1)*Inputs!$F$170</f>
        <v/>
      </c>
      <c r="AF91" s="13">
        <f>(1-AF86)*(AF52+AF53)/MAX(Time!AF31,1)*Inputs!$F$170</f>
        <v/>
      </c>
      <c r="AG91" s="13">
        <f>(1-AG86)*(AG52+AG53)/MAX(Time!AG31,1)*Inputs!$F$170</f>
        <v/>
      </c>
      <c r="AH91" s="13">
        <f>(1-AH86)*(AH52+AH53)/MAX(Time!AH31,1)*Inputs!$F$170</f>
        <v/>
      </c>
      <c r="AI91" s="13">
        <f>(1-AI86)*(AI52+AI53)/MAX(Time!AI31,1)*Inputs!$F$170</f>
        <v/>
      </c>
      <c r="AJ91" s="13">
        <f>(1-AJ86)*(AJ52+AJ53)/MAX(Time!AJ31,1)*Inputs!$F$170</f>
        <v/>
      </c>
      <c r="AK91" s="13">
        <f>(1-AK86)*(AK52+AK53)/MAX(Time!AK31,1)*Inputs!$F$170</f>
        <v/>
      </c>
      <c r="AL91" s="13">
        <f>(1-AL86)*(AL52+AL53)/MAX(Time!AL31,1)*Inputs!$F$170</f>
        <v/>
      </c>
      <c r="AM91" s="13">
        <f>(1-AM86)*(AM52+AM53)/MAX(Time!AM31,1)*Inputs!$F$170</f>
        <v/>
      </c>
      <c r="AN91" s="13">
        <f>(1-AN86)*(AN52+AN53)/MAX(Time!AN31,1)*Inputs!$F$170</f>
        <v/>
      </c>
      <c r="AO91" s="13">
        <f>(1-AO86)*(AO52+AO53)/MAX(Time!AO31,1)*Inputs!$F$170</f>
        <v/>
      </c>
      <c r="AP91" s="13">
        <f>(1-AP86)*(AP52+AP53)/MAX(Time!AP31,1)*Inputs!$F$170</f>
        <v/>
      </c>
      <c r="AQ91" s="13">
        <f>(1-AQ86)*(AQ52+AQ53)/MAX(Time!AQ31,1)*Inputs!$F$170</f>
        <v/>
      </c>
      <c r="AR91" s="13">
        <f>(1-AR86)*(AR52+AR53)/MAX(Time!AR31,1)*Inputs!$F$170</f>
        <v/>
      </c>
      <c r="AS91" s="13">
        <f>(1-AS86)*(AS52+AS53)/MAX(Time!AS31,1)*Inputs!$F$170</f>
        <v/>
      </c>
      <c r="AT91" s="13">
        <f>(1-AT86)*(AT52+AT53)/MAX(Time!AT31,1)*Inputs!$F$170</f>
        <v/>
      </c>
      <c r="AU91" s="13">
        <f>(1-AU86)*(AU52+AU53)/MAX(Time!AU31,1)*Inputs!$F$170</f>
        <v/>
      </c>
      <c r="AV91" s="13">
        <f>(1-AV86)*(AV52+AV53)/MAX(Time!AV31,1)*Inputs!$F$170</f>
        <v/>
      </c>
      <c r="AW91" s="13">
        <f>(1-AW86)*(AW52+AW53)/MAX(Time!AW31,1)*Inputs!$F$170</f>
        <v/>
      </c>
      <c r="AX91" s="13">
        <f>(1-AX86)*(AX52+AX53)/MAX(Time!AX31,1)*Inputs!$F$170</f>
        <v/>
      </c>
      <c r="AY91" s="13">
        <f>(1-AY86)*(AY52+AY53)/MAX(Time!AY31,1)*Inputs!$F$170</f>
        <v/>
      </c>
      <c r="AZ91" s="13">
        <f>(1-AZ86)*(AZ52+AZ53)/MAX(Time!AZ31,1)*Inputs!$F$170</f>
        <v/>
      </c>
      <c r="BA91" s="13">
        <f>(1-BA86)*(BA52+BA53)/MAX(Time!BA31,1)*Inputs!$F$170</f>
        <v/>
      </c>
      <c r="BB91" s="13">
        <f>(1-BB86)*(BB52+BB53)/MAX(Time!BB31,1)*Inputs!$F$170</f>
        <v/>
      </c>
      <c r="BC91" s="13">
        <f>(1-BC86)*(BC52+BC53)/MAX(Time!BC31,1)*Inputs!$F$170</f>
        <v/>
      </c>
      <c r="BD91" s="13">
        <f>(1-BD86)*(BD52+BD53)/MAX(Time!BD31,1)*Inputs!$F$170</f>
        <v/>
      </c>
      <c r="BE91" s="13">
        <f>(1-BE86)*(BE52+BE53)/MAX(Time!BE31,1)*Inputs!$F$170</f>
        <v/>
      </c>
      <c r="BF91" s="13">
        <f>(1-BF86)*(BF52+BF53)/MAX(Time!BF31,1)*Inputs!$F$170</f>
        <v/>
      </c>
      <c r="BG91" s="13">
        <f>(1-BG86)*(BG52+BG53)/MAX(Time!BG31,1)*Inputs!$F$170</f>
        <v/>
      </c>
      <c r="BH91" s="13">
        <f>(1-BH86)*(BH52+BH53)/MAX(Time!BH31,1)*Inputs!$F$170</f>
        <v/>
      </c>
      <c r="BI91" s="13">
        <f>(1-BI86)*(BI52+BI53)/MAX(Time!BI31,1)*Inputs!$F$170</f>
        <v/>
      </c>
      <c r="BJ91" s="13">
        <f>(1-BJ86)*(BJ52+BJ53)/MAX(Time!BJ31,1)*Inputs!$F$170</f>
        <v/>
      </c>
      <c r="BK91" s="13">
        <f>(1-BK86)*(BK52+BK53)/MAX(Time!BK31,1)*Inputs!$F$170</f>
        <v/>
      </c>
      <c r="BL91" s="13">
        <f>(1-BL86)*(BL52+BL53)/MAX(Time!BL31,1)*Inputs!$F$170</f>
        <v/>
      </c>
      <c r="BM91" s="13">
        <f>(1-BM86)*(BM52+BM53)/MAX(Time!BM31,1)*Inputs!$F$170</f>
        <v/>
      </c>
      <c r="BN91" s="13">
        <f>(1-BN86)*(BN52+BN53)/MAX(Time!BN31,1)*Inputs!$F$170</f>
        <v/>
      </c>
    </row>
    <row r="92">
      <c r="D92" t="inlineStr">
        <is>
          <t>O&amp;M and LTSA payables</t>
        </is>
      </c>
      <c r="E92" t="inlineStr">
        <is>
          <t>USD m</t>
        </is>
      </c>
      <c r="J92" s="13">
        <f>(1-J86)*(J60+J61+J62+J64)/MAX(Time!J31,1)*Inputs!$F$171</f>
        <v/>
      </c>
      <c r="K92" s="13">
        <f>(1-K86)*(K60+K61+K62+K64)/MAX(Time!K31,1)*Inputs!$F$171</f>
        <v/>
      </c>
      <c r="L92" s="13">
        <f>(1-L86)*(L60+L61+L62+L64)/MAX(Time!L31,1)*Inputs!$F$171</f>
        <v/>
      </c>
      <c r="M92" s="13">
        <f>(1-M86)*(M60+M61+M62+M64)/MAX(Time!M31,1)*Inputs!$F$171</f>
        <v/>
      </c>
      <c r="N92" s="13">
        <f>(1-N86)*(N60+N61+N62+N64)/MAX(Time!N31,1)*Inputs!$F$171</f>
        <v/>
      </c>
      <c r="O92" s="13">
        <f>(1-O86)*(O60+O61+O62+O64)/MAX(Time!O31,1)*Inputs!$F$171</f>
        <v/>
      </c>
      <c r="P92" s="13">
        <f>(1-P86)*(P60+P61+P62+P64)/MAX(Time!P31,1)*Inputs!$F$171</f>
        <v/>
      </c>
      <c r="Q92" s="13">
        <f>(1-Q86)*(Q60+Q61+Q62+Q64)/MAX(Time!Q31,1)*Inputs!$F$171</f>
        <v/>
      </c>
      <c r="R92" s="13">
        <f>(1-R86)*(R60+R61+R62+R64)/MAX(Time!R31,1)*Inputs!$F$171</f>
        <v/>
      </c>
      <c r="S92" s="13">
        <f>(1-S86)*(S60+S61+S62+S64)/MAX(Time!S31,1)*Inputs!$F$171</f>
        <v/>
      </c>
      <c r="T92" s="13">
        <f>(1-T86)*(T60+T61+T62+T64)/MAX(Time!T31,1)*Inputs!$F$171</f>
        <v/>
      </c>
      <c r="U92" s="13">
        <f>(1-U86)*(U60+U61+U62+U64)/MAX(Time!U31,1)*Inputs!$F$171</f>
        <v/>
      </c>
      <c r="V92" s="13">
        <f>(1-V86)*(V60+V61+V62+V64)/MAX(Time!V31,1)*Inputs!$F$171</f>
        <v/>
      </c>
      <c r="W92" s="13">
        <f>(1-W86)*(W60+W61+W62+W64)/MAX(Time!W31,1)*Inputs!$F$171</f>
        <v/>
      </c>
      <c r="X92" s="13">
        <f>(1-X86)*(X60+X61+X62+X64)/MAX(Time!X31,1)*Inputs!$F$171</f>
        <v/>
      </c>
      <c r="Y92" s="13">
        <f>(1-Y86)*(Y60+Y61+Y62+Y64)/MAX(Time!Y31,1)*Inputs!$F$171</f>
        <v/>
      </c>
      <c r="Z92" s="13">
        <f>(1-Z86)*(Z60+Z61+Z62+Z64)/MAX(Time!Z31,1)*Inputs!$F$171</f>
        <v/>
      </c>
      <c r="AA92" s="13">
        <f>(1-AA86)*(AA60+AA61+AA62+AA64)/MAX(Time!AA31,1)*Inputs!$F$171</f>
        <v/>
      </c>
      <c r="AB92" s="13">
        <f>(1-AB86)*(AB60+AB61+AB62+AB64)/MAX(Time!AB31,1)*Inputs!$F$171</f>
        <v/>
      </c>
      <c r="AC92" s="13">
        <f>(1-AC86)*(AC60+AC61+AC62+AC64)/MAX(Time!AC31,1)*Inputs!$F$171</f>
        <v/>
      </c>
      <c r="AD92" s="13">
        <f>(1-AD86)*(AD60+AD61+AD62+AD64)/MAX(Time!AD31,1)*Inputs!$F$171</f>
        <v/>
      </c>
      <c r="AE92" s="13">
        <f>(1-AE86)*(AE60+AE61+AE62+AE64)/MAX(Time!AE31,1)*Inputs!$F$171</f>
        <v/>
      </c>
      <c r="AF92" s="13">
        <f>(1-AF86)*(AF60+AF61+AF62+AF64)/MAX(Time!AF31,1)*Inputs!$F$171</f>
        <v/>
      </c>
      <c r="AG92" s="13">
        <f>(1-AG86)*(AG60+AG61+AG62+AG64)/MAX(Time!AG31,1)*Inputs!$F$171</f>
        <v/>
      </c>
      <c r="AH92" s="13">
        <f>(1-AH86)*(AH60+AH61+AH62+AH64)/MAX(Time!AH31,1)*Inputs!$F$171</f>
        <v/>
      </c>
      <c r="AI92" s="13">
        <f>(1-AI86)*(AI60+AI61+AI62+AI64)/MAX(Time!AI31,1)*Inputs!$F$171</f>
        <v/>
      </c>
      <c r="AJ92" s="13">
        <f>(1-AJ86)*(AJ60+AJ61+AJ62+AJ64)/MAX(Time!AJ31,1)*Inputs!$F$171</f>
        <v/>
      </c>
      <c r="AK92" s="13">
        <f>(1-AK86)*(AK60+AK61+AK62+AK64)/MAX(Time!AK31,1)*Inputs!$F$171</f>
        <v/>
      </c>
      <c r="AL92" s="13">
        <f>(1-AL86)*(AL60+AL61+AL62+AL64)/MAX(Time!AL31,1)*Inputs!$F$171</f>
        <v/>
      </c>
      <c r="AM92" s="13">
        <f>(1-AM86)*(AM60+AM61+AM62+AM64)/MAX(Time!AM31,1)*Inputs!$F$171</f>
        <v/>
      </c>
      <c r="AN92" s="13">
        <f>(1-AN86)*(AN60+AN61+AN62+AN64)/MAX(Time!AN31,1)*Inputs!$F$171</f>
        <v/>
      </c>
      <c r="AO92" s="13">
        <f>(1-AO86)*(AO60+AO61+AO62+AO64)/MAX(Time!AO31,1)*Inputs!$F$171</f>
        <v/>
      </c>
      <c r="AP92" s="13">
        <f>(1-AP86)*(AP60+AP61+AP62+AP64)/MAX(Time!AP31,1)*Inputs!$F$171</f>
        <v/>
      </c>
      <c r="AQ92" s="13">
        <f>(1-AQ86)*(AQ60+AQ61+AQ62+AQ64)/MAX(Time!AQ31,1)*Inputs!$F$171</f>
        <v/>
      </c>
      <c r="AR92" s="13">
        <f>(1-AR86)*(AR60+AR61+AR62+AR64)/MAX(Time!AR31,1)*Inputs!$F$171</f>
        <v/>
      </c>
      <c r="AS92" s="13">
        <f>(1-AS86)*(AS60+AS61+AS62+AS64)/MAX(Time!AS31,1)*Inputs!$F$171</f>
        <v/>
      </c>
      <c r="AT92" s="13">
        <f>(1-AT86)*(AT60+AT61+AT62+AT64)/MAX(Time!AT31,1)*Inputs!$F$171</f>
        <v/>
      </c>
      <c r="AU92" s="13">
        <f>(1-AU86)*(AU60+AU61+AU62+AU64)/MAX(Time!AU31,1)*Inputs!$F$171</f>
        <v/>
      </c>
      <c r="AV92" s="13">
        <f>(1-AV86)*(AV60+AV61+AV62+AV64)/MAX(Time!AV31,1)*Inputs!$F$171</f>
        <v/>
      </c>
      <c r="AW92" s="13">
        <f>(1-AW86)*(AW60+AW61+AW62+AW64)/MAX(Time!AW31,1)*Inputs!$F$171</f>
        <v/>
      </c>
      <c r="AX92" s="13">
        <f>(1-AX86)*(AX60+AX61+AX62+AX64)/MAX(Time!AX31,1)*Inputs!$F$171</f>
        <v/>
      </c>
      <c r="AY92" s="13">
        <f>(1-AY86)*(AY60+AY61+AY62+AY64)/MAX(Time!AY31,1)*Inputs!$F$171</f>
        <v/>
      </c>
      <c r="AZ92" s="13">
        <f>(1-AZ86)*(AZ60+AZ61+AZ62+AZ64)/MAX(Time!AZ31,1)*Inputs!$F$171</f>
        <v/>
      </c>
      <c r="BA92" s="13">
        <f>(1-BA86)*(BA60+BA61+BA62+BA64)/MAX(Time!BA31,1)*Inputs!$F$171</f>
        <v/>
      </c>
      <c r="BB92" s="13">
        <f>(1-BB86)*(BB60+BB61+BB62+BB64)/MAX(Time!BB31,1)*Inputs!$F$171</f>
        <v/>
      </c>
      <c r="BC92" s="13">
        <f>(1-BC86)*(BC60+BC61+BC62+BC64)/MAX(Time!BC31,1)*Inputs!$F$171</f>
        <v/>
      </c>
      <c r="BD92" s="13">
        <f>(1-BD86)*(BD60+BD61+BD62+BD64)/MAX(Time!BD31,1)*Inputs!$F$171</f>
        <v/>
      </c>
      <c r="BE92" s="13">
        <f>(1-BE86)*(BE60+BE61+BE62+BE64)/MAX(Time!BE31,1)*Inputs!$F$171</f>
        <v/>
      </c>
      <c r="BF92" s="13">
        <f>(1-BF86)*(BF60+BF61+BF62+BF64)/MAX(Time!BF31,1)*Inputs!$F$171</f>
        <v/>
      </c>
      <c r="BG92" s="13">
        <f>(1-BG86)*(BG60+BG61+BG62+BG64)/MAX(Time!BG31,1)*Inputs!$F$171</f>
        <v/>
      </c>
      <c r="BH92" s="13">
        <f>(1-BH86)*(BH60+BH61+BH62+BH64)/MAX(Time!BH31,1)*Inputs!$F$171</f>
        <v/>
      </c>
      <c r="BI92" s="13">
        <f>(1-BI86)*(BI60+BI61+BI62+BI64)/MAX(Time!BI31,1)*Inputs!$F$171</f>
        <v/>
      </c>
      <c r="BJ92" s="13">
        <f>(1-BJ86)*(BJ60+BJ61+BJ62+BJ64)/MAX(Time!BJ31,1)*Inputs!$F$171</f>
        <v/>
      </c>
      <c r="BK92" s="13">
        <f>(1-BK86)*(BK60+BK61+BK62+BK64)/MAX(Time!BK31,1)*Inputs!$F$171</f>
        <v/>
      </c>
      <c r="BL92" s="13">
        <f>(1-BL86)*(BL60+BL61+BL62+BL64)/MAX(Time!BL31,1)*Inputs!$F$171</f>
        <v/>
      </c>
      <c r="BM92" s="13">
        <f>(1-BM86)*(BM60+BM61+BM62+BM64)/MAX(Time!BM31,1)*Inputs!$F$171</f>
        <v/>
      </c>
      <c r="BN92" s="13">
        <f>(1-BN86)*(BN60+BN61+BN62+BN64)/MAX(Time!BN31,1)*Inputs!$F$171</f>
        <v/>
      </c>
    </row>
    <row r="93">
      <c r="D93" t="inlineStr">
        <is>
          <t>Other payables</t>
        </is>
      </c>
      <c r="E93" t="inlineStr">
        <is>
          <t>USD m</t>
        </is>
      </c>
      <c r="J93" s="13">
        <f>(1-J86)*(J65+J66+J67+J68+J69+J70+J71)/MAX(Time!J31,1)*Inputs!$F$172</f>
        <v/>
      </c>
      <c r="K93" s="13">
        <f>(1-K86)*(K65+K66+K67+K68+K69+K70+K71)/MAX(Time!K31,1)*Inputs!$F$172</f>
        <v/>
      </c>
      <c r="L93" s="13">
        <f>(1-L86)*(L65+L66+L67+L68+L69+L70+L71)/MAX(Time!L31,1)*Inputs!$F$172</f>
        <v/>
      </c>
      <c r="M93" s="13">
        <f>(1-M86)*(M65+M66+M67+M68+M69+M70+M71)/MAX(Time!M31,1)*Inputs!$F$172</f>
        <v/>
      </c>
      <c r="N93" s="13">
        <f>(1-N86)*(N65+N66+N67+N68+N69+N70+N71)/MAX(Time!N31,1)*Inputs!$F$172</f>
        <v/>
      </c>
      <c r="O93" s="13">
        <f>(1-O86)*(O65+O66+O67+O68+O69+O70+O71)/MAX(Time!O31,1)*Inputs!$F$172</f>
        <v/>
      </c>
      <c r="P93" s="13">
        <f>(1-P86)*(P65+P66+P67+P68+P69+P70+P71)/MAX(Time!P31,1)*Inputs!$F$172</f>
        <v/>
      </c>
      <c r="Q93" s="13">
        <f>(1-Q86)*(Q65+Q66+Q67+Q68+Q69+Q70+Q71)/MAX(Time!Q31,1)*Inputs!$F$172</f>
        <v/>
      </c>
      <c r="R93" s="13">
        <f>(1-R86)*(R65+R66+R67+R68+R69+R70+R71)/MAX(Time!R31,1)*Inputs!$F$172</f>
        <v/>
      </c>
      <c r="S93" s="13">
        <f>(1-S86)*(S65+S66+S67+S68+S69+S70+S71)/MAX(Time!S31,1)*Inputs!$F$172</f>
        <v/>
      </c>
      <c r="T93" s="13">
        <f>(1-T86)*(T65+T66+T67+T68+T69+T70+T71)/MAX(Time!T31,1)*Inputs!$F$172</f>
        <v/>
      </c>
      <c r="U93" s="13">
        <f>(1-U86)*(U65+U66+U67+U68+U69+U70+U71)/MAX(Time!U31,1)*Inputs!$F$172</f>
        <v/>
      </c>
      <c r="V93" s="13">
        <f>(1-V86)*(V65+V66+V67+V68+V69+V70+V71)/MAX(Time!V31,1)*Inputs!$F$172</f>
        <v/>
      </c>
      <c r="W93" s="13">
        <f>(1-W86)*(W65+W66+W67+W68+W69+W70+W71)/MAX(Time!W31,1)*Inputs!$F$172</f>
        <v/>
      </c>
      <c r="X93" s="13">
        <f>(1-X86)*(X65+X66+X67+X68+X69+X70+X71)/MAX(Time!X31,1)*Inputs!$F$172</f>
        <v/>
      </c>
      <c r="Y93" s="13">
        <f>(1-Y86)*(Y65+Y66+Y67+Y68+Y69+Y70+Y71)/MAX(Time!Y31,1)*Inputs!$F$172</f>
        <v/>
      </c>
      <c r="Z93" s="13">
        <f>(1-Z86)*(Z65+Z66+Z67+Z68+Z69+Z70+Z71)/MAX(Time!Z31,1)*Inputs!$F$172</f>
        <v/>
      </c>
      <c r="AA93" s="13">
        <f>(1-AA86)*(AA65+AA66+AA67+AA68+AA69+AA70+AA71)/MAX(Time!AA31,1)*Inputs!$F$172</f>
        <v/>
      </c>
      <c r="AB93" s="13">
        <f>(1-AB86)*(AB65+AB66+AB67+AB68+AB69+AB70+AB71)/MAX(Time!AB31,1)*Inputs!$F$172</f>
        <v/>
      </c>
      <c r="AC93" s="13">
        <f>(1-AC86)*(AC65+AC66+AC67+AC68+AC69+AC70+AC71)/MAX(Time!AC31,1)*Inputs!$F$172</f>
        <v/>
      </c>
      <c r="AD93" s="13">
        <f>(1-AD86)*(AD65+AD66+AD67+AD68+AD69+AD70+AD71)/MAX(Time!AD31,1)*Inputs!$F$172</f>
        <v/>
      </c>
      <c r="AE93" s="13">
        <f>(1-AE86)*(AE65+AE66+AE67+AE68+AE69+AE70+AE71)/MAX(Time!AE31,1)*Inputs!$F$172</f>
        <v/>
      </c>
      <c r="AF93" s="13">
        <f>(1-AF86)*(AF65+AF66+AF67+AF68+AF69+AF70+AF71)/MAX(Time!AF31,1)*Inputs!$F$172</f>
        <v/>
      </c>
      <c r="AG93" s="13">
        <f>(1-AG86)*(AG65+AG66+AG67+AG68+AG69+AG70+AG71)/MAX(Time!AG31,1)*Inputs!$F$172</f>
        <v/>
      </c>
      <c r="AH93" s="13">
        <f>(1-AH86)*(AH65+AH66+AH67+AH68+AH69+AH70+AH71)/MAX(Time!AH31,1)*Inputs!$F$172</f>
        <v/>
      </c>
      <c r="AI93" s="13">
        <f>(1-AI86)*(AI65+AI66+AI67+AI68+AI69+AI70+AI71)/MAX(Time!AI31,1)*Inputs!$F$172</f>
        <v/>
      </c>
      <c r="AJ93" s="13">
        <f>(1-AJ86)*(AJ65+AJ66+AJ67+AJ68+AJ69+AJ70+AJ71)/MAX(Time!AJ31,1)*Inputs!$F$172</f>
        <v/>
      </c>
      <c r="AK93" s="13">
        <f>(1-AK86)*(AK65+AK66+AK67+AK68+AK69+AK70+AK71)/MAX(Time!AK31,1)*Inputs!$F$172</f>
        <v/>
      </c>
      <c r="AL93" s="13">
        <f>(1-AL86)*(AL65+AL66+AL67+AL68+AL69+AL70+AL71)/MAX(Time!AL31,1)*Inputs!$F$172</f>
        <v/>
      </c>
      <c r="AM93" s="13">
        <f>(1-AM86)*(AM65+AM66+AM67+AM68+AM69+AM70+AM71)/MAX(Time!AM31,1)*Inputs!$F$172</f>
        <v/>
      </c>
      <c r="AN93" s="13">
        <f>(1-AN86)*(AN65+AN66+AN67+AN68+AN69+AN70+AN71)/MAX(Time!AN31,1)*Inputs!$F$172</f>
        <v/>
      </c>
      <c r="AO93" s="13">
        <f>(1-AO86)*(AO65+AO66+AO67+AO68+AO69+AO70+AO71)/MAX(Time!AO31,1)*Inputs!$F$172</f>
        <v/>
      </c>
      <c r="AP93" s="13">
        <f>(1-AP86)*(AP65+AP66+AP67+AP68+AP69+AP70+AP71)/MAX(Time!AP31,1)*Inputs!$F$172</f>
        <v/>
      </c>
      <c r="AQ93" s="13">
        <f>(1-AQ86)*(AQ65+AQ66+AQ67+AQ68+AQ69+AQ70+AQ71)/MAX(Time!AQ31,1)*Inputs!$F$172</f>
        <v/>
      </c>
      <c r="AR93" s="13">
        <f>(1-AR86)*(AR65+AR66+AR67+AR68+AR69+AR70+AR71)/MAX(Time!AR31,1)*Inputs!$F$172</f>
        <v/>
      </c>
      <c r="AS93" s="13">
        <f>(1-AS86)*(AS65+AS66+AS67+AS68+AS69+AS70+AS71)/MAX(Time!AS31,1)*Inputs!$F$172</f>
        <v/>
      </c>
      <c r="AT93" s="13">
        <f>(1-AT86)*(AT65+AT66+AT67+AT68+AT69+AT70+AT71)/MAX(Time!AT31,1)*Inputs!$F$172</f>
        <v/>
      </c>
      <c r="AU93" s="13">
        <f>(1-AU86)*(AU65+AU66+AU67+AU68+AU69+AU70+AU71)/MAX(Time!AU31,1)*Inputs!$F$172</f>
        <v/>
      </c>
      <c r="AV93" s="13">
        <f>(1-AV86)*(AV65+AV66+AV67+AV68+AV69+AV70+AV71)/MAX(Time!AV31,1)*Inputs!$F$172</f>
        <v/>
      </c>
      <c r="AW93" s="13">
        <f>(1-AW86)*(AW65+AW66+AW67+AW68+AW69+AW70+AW71)/MAX(Time!AW31,1)*Inputs!$F$172</f>
        <v/>
      </c>
      <c r="AX93" s="13">
        <f>(1-AX86)*(AX65+AX66+AX67+AX68+AX69+AX70+AX71)/MAX(Time!AX31,1)*Inputs!$F$172</f>
        <v/>
      </c>
      <c r="AY93" s="13">
        <f>(1-AY86)*(AY65+AY66+AY67+AY68+AY69+AY70+AY71)/MAX(Time!AY31,1)*Inputs!$F$172</f>
        <v/>
      </c>
      <c r="AZ93" s="13">
        <f>(1-AZ86)*(AZ65+AZ66+AZ67+AZ68+AZ69+AZ70+AZ71)/MAX(Time!AZ31,1)*Inputs!$F$172</f>
        <v/>
      </c>
      <c r="BA93" s="13">
        <f>(1-BA86)*(BA65+BA66+BA67+BA68+BA69+BA70+BA71)/MAX(Time!BA31,1)*Inputs!$F$172</f>
        <v/>
      </c>
      <c r="BB93" s="13">
        <f>(1-BB86)*(BB65+BB66+BB67+BB68+BB69+BB70+BB71)/MAX(Time!BB31,1)*Inputs!$F$172</f>
        <v/>
      </c>
      <c r="BC93" s="13">
        <f>(1-BC86)*(BC65+BC66+BC67+BC68+BC69+BC70+BC71)/MAX(Time!BC31,1)*Inputs!$F$172</f>
        <v/>
      </c>
      <c r="BD93" s="13">
        <f>(1-BD86)*(BD65+BD66+BD67+BD68+BD69+BD70+BD71)/MAX(Time!BD31,1)*Inputs!$F$172</f>
        <v/>
      </c>
      <c r="BE93" s="13">
        <f>(1-BE86)*(BE65+BE66+BE67+BE68+BE69+BE70+BE71)/MAX(Time!BE31,1)*Inputs!$F$172</f>
        <v/>
      </c>
      <c r="BF93" s="13">
        <f>(1-BF86)*(BF65+BF66+BF67+BF68+BF69+BF70+BF71)/MAX(Time!BF31,1)*Inputs!$F$172</f>
        <v/>
      </c>
      <c r="BG93" s="13">
        <f>(1-BG86)*(BG65+BG66+BG67+BG68+BG69+BG70+BG71)/MAX(Time!BG31,1)*Inputs!$F$172</f>
        <v/>
      </c>
      <c r="BH93" s="13">
        <f>(1-BH86)*(BH65+BH66+BH67+BH68+BH69+BH70+BH71)/MAX(Time!BH31,1)*Inputs!$F$172</f>
        <v/>
      </c>
      <c r="BI93" s="13">
        <f>(1-BI86)*(BI65+BI66+BI67+BI68+BI69+BI70+BI71)/MAX(Time!BI31,1)*Inputs!$F$172</f>
        <v/>
      </c>
      <c r="BJ93" s="13">
        <f>(1-BJ86)*(BJ65+BJ66+BJ67+BJ68+BJ69+BJ70+BJ71)/MAX(Time!BJ31,1)*Inputs!$F$172</f>
        <v/>
      </c>
      <c r="BK93" s="13">
        <f>(1-BK86)*(BK65+BK66+BK67+BK68+BK69+BK70+BK71)/MAX(Time!BK31,1)*Inputs!$F$172</f>
        <v/>
      </c>
      <c r="BL93" s="13">
        <f>(1-BL86)*(BL65+BL66+BL67+BL68+BL69+BL70+BL71)/MAX(Time!BL31,1)*Inputs!$F$172</f>
        <v/>
      </c>
      <c r="BM93" s="13">
        <f>(1-BM86)*(BM65+BM66+BM67+BM68+BM69+BM70+BM71)/MAX(Time!BM31,1)*Inputs!$F$172</f>
        <v/>
      </c>
      <c r="BN93" s="13">
        <f>(1-BN86)*(BN65+BN66+BN67+BN68+BN69+BN70+BN71)/MAX(Time!BN31,1)*Inputs!$F$172</f>
        <v/>
      </c>
    </row>
    <row r="94">
      <c r="D94" t="inlineStr">
        <is>
          <t>Deferred SNHK/GCK payables matching SEKA energy-charge arrears</t>
        </is>
      </c>
      <c r="E94" t="inlineStr">
        <is>
          <t>USD m</t>
        </is>
      </c>
      <c r="J94" s="13">
        <f>Inputs!$F$262*J89</f>
        <v/>
      </c>
      <c r="K94" s="13">
        <f>Inputs!$F$262*K89</f>
        <v/>
      </c>
      <c r="L94" s="13">
        <f>Inputs!$F$262*L89</f>
        <v/>
      </c>
      <c r="M94" s="13">
        <f>Inputs!$F$262*M89</f>
        <v/>
      </c>
      <c r="N94" s="13">
        <f>Inputs!$F$262*N89</f>
        <v/>
      </c>
      <c r="O94" s="13">
        <f>Inputs!$F$262*O89</f>
        <v/>
      </c>
      <c r="P94" s="13">
        <f>Inputs!$F$262*P89</f>
        <v/>
      </c>
      <c r="Q94" s="13">
        <f>Inputs!$F$262*Q89</f>
        <v/>
      </c>
      <c r="R94" s="13">
        <f>Inputs!$F$262*R89</f>
        <v/>
      </c>
      <c r="S94" s="13">
        <f>Inputs!$F$262*S89</f>
        <v/>
      </c>
      <c r="T94" s="13">
        <f>Inputs!$F$262*T89</f>
        <v/>
      </c>
      <c r="U94" s="13">
        <f>Inputs!$F$262*U89</f>
        <v/>
      </c>
      <c r="V94" s="13">
        <f>Inputs!$F$262*V89</f>
        <v/>
      </c>
      <c r="W94" s="13">
        <f>Inputs!$F$262*W89</f>
        <v/>
      </c>
      <c r="X94" s="13">
        <f>Inputs!$F$262*X89</f>
        <v/>
      </c>
      <c r="Y94" s="13">
        <f>Inputs!$F$262*Y89</f>
        <v/>
      </c>
      <c r="Z94" s="13">
        <f>Inputs!$F$262*Z89</f>
        <v/>
      </c>
      <c r="AA94" s="13">
        <f>Inputs!$F$262*AA89</f>
        <v/>
      </c>
      <c r="AB94" s="13">
        <f>Inputs!$F$262*AB89</f>
        <v/>
      </c>
      <c r="AC94" s="13">
        <f>Inputs!$F$262*AC89</f>
        <v/>
      </c>
      <c r="AD94" s="13">
        <f>Inputs!$F$262*AD89</f>
        <v/>
      </c>
      <c r="AE94" s="13">
        <f>Inputs!$F$262*AE89</f>
        <v/>
      </c>
      <c r="AF94" s="13">
        <f>Inputs!$F$262*AF89</f>
        <v/>
      </c>
      <c r="AG94" s="13">
        <f>Inputs!$F$262*AG89</f>
        <v/>
      </c>
      <c r="AH94" s="13">
        <f>Inputs!$F$262*AH89</f>
        <v/>
      </c>
      <c r="AI94" s="13">
        <f>Inputs!$F$262*AI89</f>
        <v/>
      </c>
      <c r="AJ94" s="13">
        <f>Inputs!$F$262*AJ89</f>
        <v/>
      </c>
      <c r="AK94" s="13">
        <f>Inputs!$F$262*AK89</f>
        <v/>
      </c>
      <c r="AL94" s="13">
        <f>Inputs!$F$262*AL89</f>
        <v/>
      </c>
      <c r="AM94" s="13">
        <f>Inputs!$F$262*AM89</f>
        <v/>
      </c>
      <c r="AN94" s="13">
        <f>Inputs!$F$262*AN89</f>
        <v/>
      </c>
      <c r="AO94" s="13">
        <f>Inputs!$F$262*AO89</f>
        <v/>
      </c>
      <c r="AP94" s="13">
        <f>Inputs!$F$262*AP89</f>
        <v/>
      </c>
      <c r="AQ94" s="13">
        <f>Inputs!$F$262*AQ89</f>
        <v/>
      </c>
      <c r="AR94" s="13">
        <f>Inputs!$F$262*AR89</f>
        <v/>
      </c>
      <c r="AS94" s="13">
        <f>Inputs!$F$262*AS89</f>
        <v/>
      </c>
      <c r="AT94" s="13">
        <f>Inputs!$F$262*AT89</f>
        <v/>
      </c>
      <c r="AU94" s="13">
        <f>Inputs!$F$262*AU89</f>
        <v/>
      </c>
      <c r="AV94" s="13">
        <f>Inputs!$F$262*AV89</f>
        <v/>
      </c>
      <c r="AW94" s="13">
        <f>Inputs!$F$262*AW89</f>
        <v/>
      </c>
      <c r="AX94" s="13">
        <f>Inputs!$F$262*AX89</f>
        <v/>
      </c>
      <c r="AY94" s="13">
        <f>Inputs!$F$262*AY89</f>
        <v/>
      </c>
      <c r="AZ94" s="13">
        <f>Inputs!$F$262*AZ89</f>
        <v/>
      </c>
      <c r="BA94" s="13">
        <f>Inputs!$F$262*BA89</f>
        <v/>
      </c>
      <c r="BB94" s="13">
        <f>Inputs!$F$262*BB89</f>
        <v/>
      </c>
      <c r="BC94" s="13">
        <f>Inputs!$F$262*BC89</f>
        <v/>
      </c>
      <c r="BD94" s="13">
        <f>Inputs!$F$262*BD89</f>
        <v/>
      </c>
      <c r="BE94" s="13">
        <f>Inputs!$F$262*BE89</f>
        <v/>
      </c>
      <c r="BF94" s="13">
        <f>Inputs!$F$262*BF89</f>
        <v/>
      </c>
      <c r="BG94" s="13">
        <f>Inputs!$F$262*BG89</f>
        <v/>
      </c>
      <c r="BH94" s="13">
        <f>Inputs!$F$262*BH89</f>
        <v/>
      </c>
      <c r="BI94" s="13">
        <f>Inputs!$F$262*BI89</f>
        <v/>
      </c>
      <c r="BJ94" s="13">
        <f>Inputs!$F$262*BJ89</f>
        <v/>
      </c>
      <c r="BK94" s="13">
        <f>Inputs!$F$262*BK89</f>
        <v/>
      </c>
      <c r="BL94" s="13">
        <f>Inputs!$F$262*BL89</f>
        <v/>
      </c>
      <c r="BM94" s="13">
        <f>Inputs!$F$262*BM89</f>
        <v/>
      </c>
      <c r="BN94" s="13">
        <f>Inputs!$F$262*BN89</f>
        <v/>
      </c>
    </row>
    <row r="95">
      <c r="D95" t="inlineStr">
        <is>
          <t>Net working capital (excl. spares inventory)</t>
        </is>
      </c>
      <c r="E95" t="inlineStr">
        <is>
          <t>USD m</t>
        </is>
      </c>
      <c r="J95" s="13">
        <f>J88+J89-J90-J91-J92-J93-J94</f>
        <v/>
      </c>
      <c r="K95" s="13">
        <f>K88+K89-K90-K91-K92-K93-K94</f>
        <v/>
      </c>
      <c r="L95" s="13">
        <f>L88+L89-L90-L91-L92-L93-L94</f>
        <v/>
      </c>
      <c r="M95" s="13">
        <f>M88+M89-M90-M91-M92-M93-M94</f>
        <v/>
      </c>
      <c r="N95" s="13">
        <f>N88+N89-N90-N91-N92-N93-N94</f>
        <v/>
      </c>
      <c r="O95" s="13">
        <f>O88+O89-O90-O91-O92-O93-O94</f>
        <v/>
      </c>
      <c r="P95" s="13">
        <f>P88+P89-P90-P91-P92-P93-P94</f>
        <v/>
      </c>
      <c r="Q95" s="13">
        <f>Q88+Q89-Q90-Q91-Q92-Q93-Q94</f>
        <v/>
      </c>
      <c r="R95" s="13">
        <f>R88+R89-R90-R91-R92-R93-R94</f>
        <v/>
      </c>
      <c r="S95" s="13">
        <f>S88+S89-S90-S91-S92-S93-S94</f>
        <v/>
      </c>
      <c r="T95" s="13">
        <f>T88+T89-T90-T91-T92-T93-T94</f>
        <v/>
      </c>
      <c r="U95" s="13">
        <f>U88+U89-U90-U91-U92-U93-U94</f>
        <v/>
      </c>
      <c r="V95" s="13">
        <f>V88+V89-V90-V91-V92-V93-V94</f>
        <v/>
      </c>
      <c r="W95" s="13">
        <f>W88+W89-W90-W91-W92-W93-W94</f>
        <v/>
      </c>
      <c r="X95" s="13">
        <f>X88+X89-X90-X91-X92-X93-X94</f>
        <v/>
      </c>
      <c r="Y95" s="13">
        <f>Y88+Y89-Y90-Y91-Y92-Y93-Y94</f>
        <v/>
      </c>
      <c r="Z95" s="13">
        <f>Z88+Z89-Z90-Z91-Z92-Z93-Z94</f>
        <v/>
      </c>
      <c r="AA95" s="13">
        <f>AA88+AA89-AA90-AA91-AA92-AA93-AA94</f>
        <v/>
      </c>
      <c r="AB95" s="13">
        <f>AB88+AB89-AB90-AB91-AB92-AB93-AB94</f>
        <v/>
      </c>
      <c r="AC95" s="13">
        <f>AC88+AC89-AC90-AC91-AC92-AC93-AC94</f>
        <v/>
      </c>
      <c r="AD95" s="13">
        <f>AD88+AD89-AD90-AD91-AD92-AD93-AD94</f>
        <v/>
      </c>
      <c r="AE95" s="13">
        <f>AE88+AE89-AE90-AE91-AE92-AE93-AE94</f>
        <v/>
      </c>
      <c r="AF95" s="13">
        <f>AF88+AF89-AF90-AF91-AF92-AF93-AF94</f>
        <v/>
      </c>
      <c r="AG95" s="13">
        <f>AG88+AG89-AG90-AG91-AG92-AG93-AG94</f>
        <v/>
      </c>
      <c r="AH95" s="13">
        <f>AH88+AH89-AH90-AH91-AH92-AH93-AH94</f>
        <v/>
      </c>
      <c r="AI95" s="13">
        <f>AI88+AI89-AI90-AI91-AI92-AI93-AI94</f>
        <v/>
      </c>
      <c r="AJ95" s="13">
        <f>AJ88+AJ89-AJ90-AJ91-AJ92-AJ93-AJ94</f>
        <v/>
      </c>
      <c r="AK95" s="13">
        <f>AK88+AK89-AK90-AK91-AK92-AK93-AK94</f>
        <v/>
      </c>
      <c r="AL95" s="13">
        <f>AL88+AL89-AL90-AL91-AL92-AL93-AL94</f>
        <v/>
      </c>
      <c r="AM95" s="13">
        <f>AM88+AM89-AM90-AM91-AM92-AM93-AM94</f>
        <v/>
      </c>
      <c r="AN95" s="13">
        <f>AN88+AN89-AN90-AN91-AN92-AN93-AN94</f>
        <v/>
      </c>
      <c r="AO95" s="13">
        <f>AO88+AO89-AO90-AO91-AO92-AO93-AO94</f>
        <v/>
      </c>
      <c r="AP95" s="13">
        <f>AP88+AP89-AP90-AP91-AP92-AP93-AP94</f>
        <v/>
      </c>
      <c r="AQ95" s="13">
        <f>AQ88+AQ89-AQ90-AQ91-AQ92-AQ93-AQ94</f>
        <v/>
      </c>
      <c r="AR95" s="13">
        <f>AR88+AR89-AR90-AR91-AR92-AR93-AR94</f>
        <v/>
      </c>
      <c r="AS95" s="13">
        <f>AS88+AS89-AS90-AS91-AS92-AS93-AS94</f>
        <v/>
      </c>
      <c r="AT95" s="13">
        <f>AT88+AT89-AT90-AT91-AT92-AT93-AT94</f>
        <v/>
      </c>
      <c r="AU95" s="13">
        <f>AU88+AU89-AU90-AU91-AU92-AU93-AU94</f>
        <v/>
      </c>
      <c r="AV95" s="13">
        <f>AV88+AV89-AV90-AV91-AV92-AV93-AV94</f>
        <v/>
      </c>
      <c r="AW95" s="13">
        <f>AW88+AW89-AW90-AW91-AW92-AW93-AW94</f>
        <v/>
      </c>
      <c r="AX95" s="13">
        <f>AX88+AX89-AX90-AX91-AX92-AX93-AX94</f>
        <v/>
      </c>
      <c r="AY95" s="13">
        <f>AY88+AY89-AY90-AY91-AY92-AY93-AY94</f>
        <v/>
      </c>
      <c r="AZ95" s="13">
        <f>AZ88+AZ89-AZ90-AZ91-AZ92-AZ93-AZ94</f>
        <v/>
      </c>
      <c r="BA95" s="13">
        <f>BA88+BA89-BA90-BA91-BA92-BA93-BA94</f>
        <v/>
      </c>
      <c r="BB95" s="13">
        <f>BB88+BB89-BB90-BB91-BB92-BB93-BB94</f>
        <v/>
      </c>
      <c r="BC95" s="13">
        <f>BC88+BC89-BC90-BC91-BC92-BC93-BC94</f>
        <v/>
      </c>
      <c r="BD95" s="13">
        <f>BD88+BD89-BD90-BD91-BD92-BD93-BD94</f>
        <v/>
      </c>
      <c r="BE95" s="13">
        <f>BE88+BE89-BE90-BE91-BE92-BE93-BE94</f>
        <v/>
      </c>
      <c r="BF95" s="13">
        <f>BF88+BF89-BF90-BF91-BF92-BF93-BF94</f>
        <v/>
      </c>
      <c r="BG95" s="13">
        <f>BG88+BG89-BG90-BG91-BG92-BG93-BG94</f>
        <v/>
      </c>
      <c r="BH95" s="13">
        <f>BH88+BH89-BH90-BH91-BH92-BH93-BH94</f>
        <v/>
      </c>
      <c r="BI95" s="13">
        <f>BI88+BI89-BI90-BI91-BI92-BI93-BI94</f>
        <v/>
      </c>
      <c r="BJ95" s="13">
        <f>BJ88+BJ89-BJ90-BJ91-BJ92-BJ93-BJ94</f>
        <v/>
      </c>
      <c r="BK95" s="13">
        <f>BK88+BK89-BK90-BK91-BK92-BK93-BK94</f>
        <v/>
      </c>
      <c r="BL95" s="13">
        <f>BL88+BL89-BL90-BL91-BL92-BL93-BL94</f>
        <v/>
      </c>
      <c r="BM95" s="13">
        <f>BM88+BM89-BM90-BM91-BM92-BM93-BM94</f>
        <v/>
      </c>
      <c r="BN95" s="13">
        <f>BN88+BN89-BN90-BN91-BN92-BN93-BN94</f>
        <v/>
      </c>
    </row>
    <row r="96">
      <c r="D96" t="inlineStr">
        <is>
          <t>Increase in net working capital</t>
        </is>
      </c>
      <c r="E96" t="inlineStr">
        <is>
          <t>USD m</t>
        </is>
      </c>
      <c r="G96" s="13">
        <f>SUM(J96:BN96)</f>
        <v/>
      </c>
      <c r="J96" s="13">
        <f>J95-I95</f>
        <v/>
      </c>
      <c r="K96" s="13">
        <f>K95-J95</f>
        <v/>
      </c>
      <c r="L96" s="13">
        <f>L95-K95</f>
        <v/>
      </c>
      <c r="M96" s="13">
        <f>M95-L95</f>
        <v/>
      </c>
      <c r="N96" s="13">
        <f>N95-M95</f>
        <v/>
      </c>
      <c r="O96" s="13">
        <f>O95-N95</f>
        <v/>
      </c>
      <c r="P96" s="13">
        <f>P95-O95</f>
        <v/>
      </c>
      <c r="Q96" s="13">
        <f>Q95-P95</f>
        <v/>
      </c>
      <c r="R96" s="13">
        <f>R95-Q95</f>
        <v/>
      </c>
      <c r="S96" s="13">
        <f>S95-R95</f>
        <v/>
      </c>
      <c r="T96" s="13">
        <f>T95-S95</f>
        <v/>
      </c>
      <c r="U96" s="13">
        <f>U95-T95</f>
        <v/>
      </c>
      <c r="V96" s="13">
        <f>V95-U95</f>
        <v/>
      </c>
      <c r="W96" s="13">
        <f>W95-V95</f>
        <v/>
      </c>
      <c r="X96" s="13">
        <f>X95-W95</f>
        <v/>
      </c>
      <c r="Y96" s="13">
        <f>Y95-X95</f>
        <v/>
      </c>
      <c r="Z96" s="13">
        <f>Z95-Y95</f>
        <v/>
      </c>
      <c r="AA96" s="13">
        <f>AA95-Z95</f>
        <v/>
      </c>
      <c r="AB96" s="13">
        <f>AB95-AA95</f>
        <v/>
      </c>
      <c r="AC96" s="13">
        <f>AC95-AB95</f>
        <v/>
      </c>
      <c r="AD96" s="13">
        <f>AD95-AC95</f>
        <v/>
      </c>
      <c r="AE96" s="13">
        <f>AE95-AD95</f>
        <v/>
      </c>
      <c r="AF96" s="13">
        <f>AF95-AE95</f>
        <v/>
      </c>
      <c r="AG96" s="13">
        <f>AG95-AF95</f>
        <v/>
      </c>
      <c r="AH96" s="13">
        <f>AH95-AG95</f>
        <v/>
      </c>
      <c r="AI96" s="13">
        <f>AI95-AH95</f>
        <v/>
      </c>
      <c r="AJ96" s="13">
        <f>AJ95-AI95</f>
        <v/>
      </c>
      <c r="AK96" s="13">
        <f>AK95-AJ95</f>
        <v/>
      </c>
      <c r="AL96" s="13">
        <f>AL95-AK95</f>
        <v/>
      </c>
      <c r="AM96" s="13">
        <f>AM95-AL95</f>
        <v/>
      </c>
      <c r="AN96" s="13">
        <f>AN95-AM95</f>
        <v/>
      </c>
      <c r="AO96" s="13">
        <f>AO95-AN95</f>
        <v/>
      </c>
      <c r="AP96" s="13">
        <f>AP95-AO95</f>
        <v/>
      </c>
      <c r="AQ96" s="13">
        <f>AQ95-AP95</f>
        <v/>
      </c>
      <c r="AR96" s="13">
        <f>AR95-AQ95</f>
        <v/>
      </c>
      <c r="AS96" s="13">
        <f>AS95-AR95</f>
        <v/>
      </c>
      <c r="AT96" s="13">
        <f>AT95-AS95</f>
        <v/>
      </c>
      <c r="AU96" s="13">
        <f>AU95-AT95</f>
        <v/>
      </c>
      <c r="AV96" s="13">
        <f>AV95-AU95</f>
        <v/>
      </c>
      <c r="AW96" s="13">
        <f>AW95-AV95</f>
        <v/>
      </c>
      <c r="AX96" s="13">
        <f>AX95-AW95</f>
        <v/>
      </c>
      <c r="AY96" s="13">
        <f>AY95-AX95</f>
        <v/>
      </c>
      <c r="AZ96" s="13">
        <f>AZ95-AY95</f>
        <v/>
      </c>
      <c r="BA96" s="13">
        <f>BA95-AZ95</f>
        <v/>
      </c>
      <c r="BB96" s="13">
        <f>BB95-BA95</f>
        <v/>
      </c>
      <c r="BC96" s="13">
        <f>BC95-BB95</f>
        <v/>
      </c>
      <c r="BD96" s="13">
        <f>BD95-BC95</f>
        <v/>
      </c>
      <c r="BE96" s="13">
        <f>BE95-BD95</f>
        <v/>
      </c>
      <c r="BF96" s="13">
        <f>BF95-BE95</f>
        <v/>
      </c>
      <c r="BG96" s="13">
        <f>BG95-BF95</f>
        <v/>
      </c>
      <c r="BH96" s="13">
        <f>BH95-BG95</f>
        <v/>
      </c>
      <c r="BI96" s="13">
        <f>BI95-BH95</f>
        <v/>
      </c>
      <c r="BJ96" s="13">
        <f>BJ95-BI95</f>
        <v/>
      </c>
      <c r="BK96" s="13">
        <f>BK95-BJ95</f>
        <v/>
      </c>
      <c r="BL96" s="13">
        <f>BL95-BK95</f>
        <v/>
      </c>
      <c r="BM96" s="13">
        <f>BM95-BL95</f>
        <v/>
      </c>
      <c r="BN96" s="13">
        <f>BN95-BM95</f>
        <v/>
      </c>
    </row>
    <row r="97">
      <c r="D97" t="inlineStr">
        <is>
          <t>Release of spares inventory at expiry</t>
        </is>
      </c>
      <c r="E97" t="inlineStr">
        <is>
          <t>USD m</t>
        </is>
      </c>
      <c r="G97" s="13">
        <f>SUM(J97:BN97)</f>
        <v/>
      </c>
      <c r="J97" s="13">
        <f>Time!J37*Inputs!$F$67*Inputs!$F$36</f>
        <v/>
      </c>
      <c r="K97" s="13">
        <f>Time!K37*Inputs!$F$67*Inputs!$F$36</f>
        <v/>
      </c>
      <c r="L97" s="13">
        <f>Time!L37*Inputs!$F$67*Inputs!$F$36</f>
        <v/>
      </c>
      <c r="M97" s="13">
        <f>Time!M37*Inputs!$F$67*Inputs!$F$36</f>
        <v/>
      </c>
      <c r="N97" s="13">
        <f>Time!N37*Inputs!$F$67*Inputs!$F$36</f>
        <v/>
      </c>
      <c r="O97" s="13">
        <f>Time!O37*Inputs!$F$67*Inputs!$F$36</f>
        <v/>
      </c>
      <c r="P97" s="13">
        <f>Time!P37*Inputs!$F$67*Inputs!$F$36</f>
        <v/>
      </c>
      <c r="Q97" s="13">
        <f>Time!Q37*Inputs!$F$67*Inputs!$F$36</f>
        <v/>
      </c>
      <c r="R97" s="13">
        <f>Time!R37*Inputs!$F$67*Inputs!$F$36</f>
        <v/>
      </c>
      <c r="S97" s="13">
        <f>Time!S37*Inputs!$F$67*Inputs!$F$36</f>
        <v/>
      </c>
      <c r="T97" s="13">
        <f>Time!T37*Inputs!$F$67*Inputs!$F$36</f>
        <v/>
      </c>
      <c r="U97" s="13">
        <f>Time!U37*Inputs!$F$67*Inputs!$F$36</f>
        <v/>
      </c>
      <c r="V97" s="13">
        <f>Time!V37*Inputs!$F$67*Inputs!$F$36</f>
        <v/>
      </c>
      <c r="W97" s="13">
        <f>Time!W37*Inputs!$F$67*Inputs!$F$36</f>
        <v/>
      </c>
      <c r="X97" s="13">
        <f>Time!X37*Inputs!$F$67*Inputs!$F$36</f>
        <v/>
      </c>
      <c r="Y97" s="13">
        <f>Time!Y37*Inputs!$F$67*Inputs!$F$36</f>
        <v/>
      </c>
      <c r="Z97" s="13">
        <f>Time!Z37*Inputs!$F$67*Inputs!$F$36</f>
        <v/>
      </c>
      <c r="AA97" s="13">
        <f>Time!AA37*Inputs!$F$67*Inputs!$F$36</f>
        <v/>
      </c>
      <c r="AB97" s="13">
        <f>Time!AB37*Inputs!$F$67*Inputs!$F$36</f>
        <v/>
      </c>
      <c r="AC97" s="13">
        <f>Time!AC37*Inputs!$F$67*Inputs!$F$36</f>
        <v/>
      </c>
      <c r="AD97" s="13">
        <f>Time!AD37*Inputs!$F$67*Inputs!$F$36</f>
        <v/>
      </c>
      <c r="AE97" s="13">
        <f>Time!AE37*Inputs!$F$67*Inputs!$F$36</f>
        <v/>
      </c>
      <c r="AF97" s="13">
        <f>Time!AF37*Inputs!$F$67*Inputs!$F$36</f>
        <v/>
      </c>
      <c r="AG97" s="13">
        <f>Time!AG37*Inputs!$F$67*Inputs!$F$36</f>
        <v/>
      </c>
      <c r="AH97" s="13">
        <f>Time!AH37*Inputs!$F$67*Inputs!$F$36</f>
        <v/>
      </c>
      <c r="AI97" s="13">
        <f>Time!AI37*Inputs!$F$67*Inputs!$F$36</f>
        <v/>
      </c>
      <c r="AJ97" s="13">
        <f>Time!AJ37*Inputs!$F$67*Inputs!$F$36</f>
        <v/>
      </c>
      <c r="AK97" s="13">
        <f>Time!AK37*Inputs!$F$67*Inputs!$F$36</f>
        <v/>
      </c>
      <c r="AL97" s="13">
        <f>Time!AL37*Inputs!$F$67*Inputs!$F$36</f>
        <v/>
      </c>
      <c r="AM97" s="13">
        <f>Time!AM37*Inputs!$F$67*Inputs!$F$36</f>
        <v/>
      </c>
      <c r="AN97" s="13">
        <f>Time!AN37*Inputs!$F$67*Inputs!$F$36</f>
        <v/>
      </c>
      <c r="AO97" s="13">
        <f>Time!AO37*Inputs!$F$67*Inputs!$F$36</f>
        <v/>
      </c>
      <c r="AP97" s="13">
        <f>Time!AP37*Inputs!$F$67*Inputs!$F$36</f>
        <v/>
      </c>
      <c r="AQ97" s="13">
        <f>Time!AQ37*Inputs!$F$67*Inputs!$F$36</f>
        <v/>
      </c>
      <c r="AR97" s="13">
        <f>Time!AR37*Inputs!$F$67*Inputs!$F$36</f>
        <v/>
      </c>
      <c r="AS97" s="13">
        <f>Time!AS37*Inputs!$F$67*Inputs!$F$36</f>
        <v/>
      </c>
      <c r="AT97" s="13">
        <f>Time!AT37*Inputs!$F$67*Inputs!$F$36</f>
        <v/>
      </c>
      <c r="AU97" s="13">
        <f>Time!AU37*Inputs!$F$67*Inputs!$F$36</f>
        <v/>
      </c>
      <c r="AV97" s="13">
        <f>Time!AV37*Inputs!$F$67*Inputs!$F$36</f>
        <v/>
      </c>
      <c r="AW97" s="13">
        <f>Time!AW37*Inputs!$F$67*Inputs!$F$36</f>
        <v/>
      </c>
      <c r="AX97" s="13">
        <f>Time!AX37*Inputs!$F$67*Inputs!$F$36</f>
        <v/>
      </c>
      <c r="AY97" s="13">
        <f>Time!AY37*Inputs!$F$67*Inputs!$F$36</f>
        <v/>
      </c>
      <c r="AZ97" s="13">
        <f>Time!AZ37*Inputs!$F$67*Inputs!$F$36</f>
        <v/>
      </c>
      <c r="BA97" s="13">
        <f>Time!BA37*Inputs!$F$67*Inputs!$F$36</f>
        <v/>
      </c>
      <c r="BB97" s="13">
        <f>Time!BB37*Inputs!$F$67*Inputs!$F$36</f>
        <v/>
      </c>
      <c r="BC97" s="13">
        <f>Time!BC37*Inputs!$F$67*Inputs!$F$36</f>
        <v/>
      </c>
      <c r="BD97" s="13">
        <f>Time!BD37*Inputs!$F$67*Inputs!$F$36</f>
        <v/>
      </c>
      <c r="BE97" s="13">
        <f>Time!BE37*Inputs!$F$67*Inputs!$F$36</f>
        <v/>
      </c>
      <c r="BF97" s="13">
        <f>Time!BF37*Inputs!$F$67*Inputs!$F$36</f>
        <v/>
      </c>
      <c r="BG97" s="13">
        <f>Time!BG37*Inputs!$F$67*Inputs!$F$36</f>
        <v/>
      </c>
      <c r="BH97" s="13">
        <f>Time!BH37*Inputs!$F$67*Inputs!$F$36</f>
        <v/>
      </c>
      <c r="BI97" s="13">
        <f>Time!BI37*Inputs!$F$67*Inputs!$F$36</f>
        <v/>
      </c>
      <c r="BJ97" s="13">
        <f>Time!BJ37*Inputs!$F$67*Inputs!$F$36</f>
        <v/>
      </c>
      <c r="BK97" s="13">
        <f>Time!BK37*Inputs!$F$67*Inputs!$F$36</f>
        <v/>
      </c>
      <c r="BL97" s="13">
        <f>Time!BL37*Inputs!$F$67*Inputs!$F$36</f>
        <v/>
      </c>
      <c r="BM97" s="13">
        <f>Time!BM37*Inputs!$F$67*Inputs!$F$36</f>
        <v/>
      </c>
      <c r="BN97" s="13">
        <f>Time!BN37*Inputs!$F$67*Inputs!$F$36</f>
        <v/>
      </c>
    </row>
    <row r="98">
      <c r="D98" t="inlineStr">
        <is>
          <t>Fuel pass-through test: fuel charge less gas purchases (= heat-rate headroom margin)</t>
        </is>
      </c>
      <c r="E98" t="inlineStr">
        <is>
          <t>USD m</t>
        </is>
      </c>
      <c r="G98" s="13">
        <f>SUM(J98:BN98)</f>
        <v/>
      </c>
      <c r="J98" s="13">
        <f>J51-J73</f>
        <v/>
      </c>
      <c r="K98" s="13">
        <f>K51-K73</f>
        <v/>
      </c>
      <c r="L98" s="13">
        <f>L51-L73</f>
        <v/>
      </c>
      <c r="M98" s="13">
        <f>M51-M73</f>
        <v/>
      </c>
      <c r="N98" s="13">
        <f>N51-N73</f>
        <v/>
      </c>
      <c r="O98" s="13">
        <f>O51-O73</f>
        <v/>
      </c>
      <c r="P98" s="13">
        <f>P51-P73</f>
        <v/>
      </c>
      <c r="Q98" s="13">
        <f>Q51-Q73</f>
        <v/>
      </c>
      <c r="R98" s="13">
        <f>R51-R73</f>
        <v/>
      </c>
      <c r="S98" s="13">
        <f>S51-S73</f>
        <v/>
      </c>
      <c r="T98" s="13">
        <f>T51-T73</f>
        <v/>
      </c>
      <c r="U98" s="13">
        <f>U51-U73</f>
        <v/>
      </c>
      <c r="V98" s="13">
        <f>V51-V73</f>
        <v/>
      </c>
      <c r="W98" s="13">
        <f>W51-W73</f>
        <v/>
      </c>
      <c r="X98" s="13">
        <f>X51-X73</f>
        <v/>
      </c>
      <c r="Y98" s="13">
        <f>Y51-Y73</f>
        <v/>
      </c>
      <c r="Z98" s="13">
        <f>Z51-Z73</f>
        <v/>
      </c>
      <c r="AA98" s="13">
        <f>AA51-AA73</f>
        <v/>
      </c>
      <c r="AB98" s="13">
        <f>AB51-AB73</f>
        <v/>
      </c>
      <c r="AC98" s="13">
        <f>AC51-AC73</f>
        <v/>
      </c>
      <c r="AD98" s="13">
        <f>AD51-AD73</f>
        <v/>
      </c>
      <c r="AE98" s="13">
        <f>AE51-AE73</f>
        <v/>
      </c>
      <c r="AF98" s="13">
        <f>AF51-AF73</f>
        <v/>
      </c>
      <c r="AG98" s="13">
        <f>AG51-AG73</f>
        <v/>
      </c>
      <c r="AH98" s="13">
        <f>AH51-AH73</f>
        <v/>
      </c>
      <c r="AI98" s="13">
        <f>AI51-AI73</f>
        <v/>
      </c>
      <c r="AJ98" s="13">
        <f>AJ51-AJ73</f>
        <v/>
      </c>
      <c r="AK98" s="13">
        <f>AK51-AK73</f>
        <v/>
      </c>
      <c r="AL98" s="13">
        <f>AL51-AL73</f>
        <v/>
      </c>
      <c r="AM98" s="13">
        <f>AM51-AM73</f>
        <v/>
      </c>
      <c r="AN98" s="13">
        <f>AN51-AN73</f>
        <v/>
      </c>
      <c r="AO98" s="13">
        <f>AO51-AO73</f>
        <v/>
      </c>
      <c r="AP98" s="13">
        <f>AP51-AP73</f>
        <v/>
      </c>
      <c r="AQ98" s="13">
        <f>AQ51-AQ73</f>
        <v/>
      </c>
      <c r="AR98" s="13">
        <f>AR51-AR73</f>
        <v/>
      </c>
      <c r="AS98" s="13">
        <f>AS51-AS73</f>
        <v/>
      </c>
      <c r="AT98" s="13">
        <f>AT51-AT73</f>
        <v/>
      </c>
      <c r="AU98" s="13">
        <f>AU51-AU73</f>
        <v/>
      </c>
      <c r="AV98" s="13">
        <f>AV51-AV73</f>
        <v/>
      </c>
      <c r="AW98" s="13">
        <f>AW51-AW73</f>
        <v/>
      </c>
      <c r="AX98" s="13">
        <f>AX51-AX73</f>
        <v/>
      </c>
      <c r="AY98" s="13">
        <f>AY51-AY73</f>
        <v/>
      </c>
      <c r="AZ98" s="13">
        <f>AZ51-AZ73</f>
        <v/>
      </c>
      <c r="BA98" s="13">
        <f>BA51-BA73</f>
        <v/>
      </c>
      <c r="BB98" s="13">
        <f>BB51-BB73</f>
        <v/>
      </c>
      <c r="BC98" s="13">
        <f>BC51-BC73</f>
        <v/>
      </c>
      <c r="BD98" s="13">
        <f>BD51-BD73</f>
        <v/>
      </c>
      <c r="BE98" s="13">
        <f>BE51-BE73</f>
        <v/>
      </c>
      <c r="BF98" s="13">
        <f>BF51-BF73</f>
        <v/>
      </c>
      <c r="BG98" s="13">
        <f>BG51-BG73</f>
        <v/>
      </c>
      <c r="BH98" s="13">
        <f>BH51-BH73</f>
        <v/>
      </c>
      <c r="BI98" s="13">
        <f>BI51-BI73</f>
        <v/>
      </c>
      <c r="BJ98" s="13">
        <f>BJ51-BJ73</f>
        <v/>
      </c>
      <c r="BK98" s="13">
        <f>BK51-BK73</f>
        <v/>
      </c>
      <c r="BL98" s="13">
        <f>BL51-BL73</f>
        <v/>
      </c>
      <c r="BM98" s="13">
        <f>BM51-BM73</f>
        <v/>
      </c>
      <c r="BN98" s="13">
        <f>BN51-BN73</f>
        <v/>
      </c>
    </row>
    <row r="99">
      <c r="D99" t="inlineStr">
        <is>
          <t>GTA pass-through test (0 in every period)</t>
        </is>
      </c>
      <c r="E99" t="inlineStr">
        <is>
          <t>USD m</t>
        </is>
      </c>
      <c r="G99" s="13">
        <f>SUM(J99:BN99)</f>
        <v/>
      </c>
      <c r="J99" s="13">
        <f>J52+J53-(J74-J73-J54)</f>
        <v/>
      </c>
      <c r="K99" s="13">
        <f>K52+K53-(K74-K73-K54)</f>
        <v/>
      </c>
      <c r="L99" s="13">
        <f>L52+L53-(L74-L73-L54)</f>
        <v/>
      </c>
      <c r="M99" s="13">
        <f>M52+M53-(M74-M73-M54)</f>
        <v/>
      </c>
      <c r="N99" s="13">
        <f>N52+N53-(N74-N73-N54)</f>
        <v/>
      </c>
      <c r="O99" s="13">
        <f>O52+O53-(O74-O73-O54)</f>
        <v/>
      </c>
      <c r="P99" s="13">
        <f>P52+P53-(P74-P73-P54)</f>
        <v/>
      </c>
      <c r="Q99" s="13">
        <f>Q52+Q53-(Q74-Q73-Q54)</f>
        <v/>
      </c>
      <c r="R99" s="13">
        <f>R52+R53-(R74-R73-R54)</f>
        <v/>
      </c>
      <c r="S99" s="13">
        <f>S52+S53-(S74-S73-S54)</f>
        <v/>
      </c>
      <c r="T99" s="13">
        <f>T52+T53-(T74-T73-T54)</f>
        <v/>
      </c>
      <c r="U99" s="13">
        <f>U52+U53-(U74-U73-U54)</f>
        <v/>
      </c>
      <c r="V99" s="13">
        <f>V52+V53-(V74-V73-V54)</f>
        <v/>
      </c>
      <c r="W99" s="13">
        <f>W52+W53-(W74-W73-W54)</f>
        <v/>
      </c>
      <c r="X99" s="13">
        <f>X52+X53-(X74-X73-X54)</f>
        <v/>
      </c>
      <c r="Y99" s="13">
        <f>Y52+Y53-(Y74-Y73-Y54)</f>
        <v/>
      </c>
      <c r="Z99" s="13">
        <f>Z52+Z53-(Z74-Z73-Z54)</f>
        <v/>
      </c>
      <c r="AA99" s="13">
        <f>AA52+AA53-(AA74-AA73-AA54)</f>
        <v/>
      </c>
      <c r="AB99" s="13">
        <f>AB52+AB53-(AB74-AB73-AB54)</f>
        <v/>
      </c>
      <c r="AC99" s="13">
        <f>AC52+AC53-(AC74-AC73-AC54)</f>
        <v/>
      </c>
      <c r="AD99" s="13">
        <f>AD52+AD53-(AD74-AD73-AD54)</f>
        <v/>
      </c>
      <c r="AE99" s="13">
        <f>AE52+AE53-(AE74-AE73-AE54)</f>
        <v/>
      </c>
      <c r="AF99" s="13">
        <f>AF52+AF53-(AF74-AF73-AF54)</f>
        <v/>
      </c>
      <c r="AG99" s="13">
        <f>AG52+AG53-(AG74-AG73-AG54)</f>
        <v/>
      </c>
      <c r="AH99" s="13">
        <f>AH52+AH53-(AH74-AH73-AH54)</f>
        <v/>
      </c>
      <c r="AI99" s="13">
        <f>AI52+AI53-(AI74-AI73-AI54)</f>
        <v/>
      </c>
      <c r="AJ99" s="13">
        <f>AJ52+AJ53-(AJ74-AJ73-AJ54)</f>
        <v/>
      </c>
      <c r="AK99" s="13">
        <f>AK52+AK53-(AK74-AK73-AK54)</f>
        <v/>
      </c>
      <c r="AL99" s="13">
        <f>AL52+AL53-(AL74-AL73-AL54)</f>
        <v/>
      </c>
      <c r="AM99" s="13">
        <f>AM52+AM53-(AM74-AM73-AM54)</f>
        <v/>
      </c>
      <c r="AN99" s="13">
        <f>AN52+AN53-(AN74-AN73-AN54)</f>
        <v/>
      </c>
      <c r="AO99" s="13">
        <f>AO52+AO53-(AO74-AO73-AO54)</f>
        <v/>
      </c>
      <c r="AP99" s="13">
        <f>AP52+AP53-(AP74-AP73-AP54)</f>
        <v/>
      </c>
      <c r="AQ99" s="13">
        <f>AQ52+AQ53-(AQ74-AQ73-AQ54)</f>
        <v/>
      </c>
      <c r="AR99" s="13">
        <f>AR52+AR53-(AR74-AR73-AR54)</f>
        <v/>
      </c>
      <c r="AS99" s="13">
        <f>AS52+AS53-(AS74-AS73-AS54)</f>
        <v/>
      </c>
      <c r="AT99" s="13">
        <f>AT52+AT53-(AT74-AT73-AT54)</f>
        <v/>
      </c>
      <c r="AU99" s="13">
        <f>AU52+AU53-(AU74-AU73-AU54)</f>
        <v/>
      </c>
      <c r="AV99" s="13">
        <f>AV52+AV53-(AV74-AV73-AV54)</f>
        <v/>
      </c>
      <c r="AW99" s="13">
        <f>AW52+AW53-(AW74-AW73-AW54)</f>
        <v/>
      </c>
      <c r="AX99" s="13">
        <f>AX52+AX53-(AX74-AX73-AX54)</f>
        <v/>
      </c>
      <c r="AY99" s="13">
        <f>AY52+AY53-(AY74-AY73-AY54)</f>
        <v/>
      </c>
      <c r="AZ99" s="13">
        <f>AZ52+AZ53-(AZ74-AZ73-AZ54)</f>
        <v/>
      </c>
      <c r="BA99" s="13">
        <f>BA52+BA53-(BA74-BA73-BA54)</f>
        <v/>
      </c>
      <c r="BB99" s="13">
        <f>BB52+BB53-(BB74-BB73-BB54)</f>
        <v/>
      </c>
      <c r="BC99" s="13">
        <f>BC52+BC53-(BC74-BC73-BC54)</f>
        <v/>
      </c>
      <c r="BD99" s="13">
        <f>BD52+BD53-(BD74-BD73-BD54)</f>
        <v/>
      </c>
      <c r="BE99" s="13">
        <f>BE52+BE53-(BE74-BE73-BE54)</f>
        <v/>
      </c>
      <c r="BF99" s="13">
        <f>BF52+BF53-(BF74-BF73-BF54)</f>
        <v/>
      </c>
      <c r="BG99" s="13">
        <f>BG52+BG53-(BG74-BG73-BG54)</f>
        <v/>
      </c>
      <c r="BH99" s="13">
        <f>BH52+BH53-(BH74-BH73-BH54)</f>
        <v/>
      </c>
      <c r="BI99" s="13">
        <f>BI52+BI53-(BI74-BI73-BI54)</f>
        <v/>
      </c>
      <c r="BJ99" s="13">
        <f>BJ52+BJ53-(BJ74-BJ73-BJ54)</f>
        <v/>
      </c>
      <c r="BK99" s="13">
        <f>BK52+BK53-(BK74-BK73-BK54)</f>
        <v/>
      </c>
      <c r="BL99" s="13">
        <f>BL52+BL53-(BL74-BL73-BL54)</f>
        <v/>
      </c>
      <c r="BM99" s="13">
        <f>BM52+BM53-(BM74-BM73-BM54)</f>
        <v/>
      </c>
      <c r="BN99" s="13">
        <f>BN52+BN53-(BN74-BN73-BN54)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28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Tax: holiday, deferred depreciation, thin capitalization, minimum turnover tax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Holiday months (OY1-OY5)</t>
        </is>
      </c>
      <c r="E7" t="inlineStr">
        <is>
          <t>months</t>
        </is>
      </c>
      <c r="J7" s="9">
        <f>MAX(0,MIN(Time!J33,Inputs!$F$228*12)-MIN(Time!J32,Inputs!$F$228*12))</f>
        <v/>
      </c>
      <c r="K7" s="9">
        <f>MAX(0,MIN(Time!K33,Inputs!$F$228*12)-MIN(Time!K32,Inputs!$F$228*12))</f>
        <v/>
      </c>
      <c r="L7" s="9">
        <f>MAX(0,MIN(Time!L33,Inputs!$F$228*12)-MIN(Time!L32,Inputs!$F$228*12))</f>
        <v/>
      </c>
      <c r="M7" s="9">
        <f>MAX(0,MIN(Time!M33,Inputs!$F$228*12)-MIN(Time!M32,Inputs!$F$228*12))</f>
        <v/>
      </c>
      <c r="N7" s="9">
        <f>MAX(0,MIN(Time!N33,Inputs!$F$228*12)-MIN(Time!N32,Inputs!$F$228*12))</f>
        <v/>
      </c>
      <c r="O7" s="9">
        <f>MAX(0,MIN(Time!O33,Inputs!$F$228*12)-MIN(Time!O32,Inputs!$F$228*12))</f>
        <v/>
      </c>
      <c r="P7" s="9">
        <f>MAX(0,MIN(Time!P33,Inputs!$F$228*12)-MIN(Time!P32,Inputs!$F$228*12))</f>
        <v/>
      </c>
      <c r="Q7" s="9">
        <f>MAX(0,MIN(Time!Q33,Inputs!$F$228*12)-MIN(Time!Q32,Inputs!$F$228*12))</f>
        <v/>
      </c>
      <c r="R7" s="9">
        <f>MAX(0,MIN(Time!R33,Inputs!$F$228*12)-MIN(Time!R32,Inputs!$F$228*12))</f>
        <v/>
      </c>
      <c r="S7" s="9">
        <f>MAX(0,MIN(Time!S33,Inputs!$F$228*12)-MIN(Time!S32,Inputs!$F$228*12))</f>
        <v/>
      </c>
      <c r="T7" s="9">
        <f>MAX(0,MIN(Time!T33,Inputs!$F$228*12)-MIN(Time!T32,Inputs!$F$228*12))</f>
        <v/>
      </c>
      <c r="U7" s="9">
        <f>MAX(0,MIN(Time!U33,Inputs!$F$228*12)-MIN(Time!U32,Inputs!$F$228*12))</f>
        <v/>
      </c>
      <c r="V7" s="9">
        <f>MAX(0,MIN(Time!V33,Inputs!$F$228*12)-MIN(Time!V32,Inputs!$F$228*12))</f>
        <v/>
      </c>
      <c r="W7" s="9">
        <f>MAX(0,MIN(Time!W33,Inputs!$F$228*12)-MIN(Time!W32,Inputs!$F$228*12))</f>
        <v/>
      </c>
      <c r="X7" s="9">
        <f>MAX(0,MIN(Time!X33,Inputs!$F$228*12)-MIN(Time!X32,Inputs!$F$228*12))</f>
        <v/>
      </c>
      <c r="Y7" s="9">
        <f>MAX(0,MIN(Time!Y33,Inputs!$F$228*12)-MIN(Time!Y32,Inputs!$F$228*12))</f>
        <v/>
      </c>
      <c r="Z7" s="9">
        <f>MAX(0,MIN(Time!Z33,Inputs!$F$228*12)-MIN(Time!Z32,Inputs!$F$228*12))</f>
        <v/>
      </c>
      <c r="AA7" s="9">
        <f>MAX(0,MIN(Time!AA33,Inputs!$F$228*12)-MIN(Time!AA32,Inputs!$F$228*12))</f>
        <v/>
      </c>
      <c r="AB7" s="9">
        <f>MAX(0,MIN(Time!AB33,Inputs!$F$228*12)-MIN(Time!AB32,Inputs!$F$228*12))</f>
        <v/>
      </c>
      <c r="AC7" s="9">
        <f>MAX(0,MIN(Time!AC33,Inputs!$F$228*12)-MIN(Time!AC32,Inputs!$F$228*12))</f>
        <v/>
      </c>
      <c r="AD7" s="9">
        <f>MAX(0,MIN(Time!AD33,Inputs!$F$228*12)-MIN(Time!AD32,Inputs!$F$228*12))</f>
        <v/>
      </c>
      <c r="AE7" s="9">
        <f>MAX(0,MIN(Time!AE33,Inputs!$F$228*12)-MIN(Time!AE32,Inputs!$F$228*12))</f>
        <v/>
      </c>
      <c r="AF7" s="9">
        <f>MAX(0,MIN(Time!AF33,Inputs!$F$228*12)-MIN(Time!AF32,Inputs!$F$228*12))</f>
        <v/>
      </c>
      <c r="AG7" s="9">
        <f>MAX(0,MIN(Time!AG33,Inputs!$F$228*12)-MIN(Time!AG32,Inputs!$F$228*12))</f>
        <v/>
      </c>
      <c r="AH7" s="9">
        <f>MAX(0,MIN(Time!AH33,Inputs!$F$228*12)-MIN(Time!AH32,Inputs!$F$228*12))</f>
        <v/>
      </c>
      <c r="AI7" s="9">
        <f>MAX(0,MIN(Time!AI33,Inputs!$F$228*12)-MIN(Time!AI32,Inputs!$F$228*12))</f>
        <v/>
      </c>
      <c r="AJ7" s="9">
        <f>MAX(0,MIN(Time!AJ33,Inputs!$F$228*12)-MIN(Time!AJ32,Inputs!$F$228*12))</f>
        <v/>
      </c>
      <c r="AK7" s="9">
        <f>MAX(0,MIN(Time!AK33,Inputs!$F$228*12)-MIN(Time!AK32,Inputs!$F$228*12))</f>
        <v/>
      </c>
      <c r="AL7" s="9">
        <f>MAX(0,MIN(Time!AL33,Inputs!$F$228*12)-MIN(Time!AL32,Inputs!$F$228*12))</f>
        <v/>
      </c>
      <c r="AM7" s="9">
        <f>MAX(0,MIN(Time!AM33,Inputs!$F$228*12)-MIN(Time!AM32,Inputs!$F$228*12))</f>
        <v/>
      </c>
      <c r="AN7" s="9">
        <f>MAX(0,MIN(Time!AN33,Inputs!$F$228*12)-MIN(Time!AN32,Inputs!$F$228*12))</f>
        <v/>
      </c>
      <c r="AO7" s="9">
        <f>MAX(0,MIN(Time!AO33,Inputs!$F$228*12)-MIN(Time!AO32,Inputs!$F$228*12))</f>
        <v/>
      </c>
      <c r="AP7" s="9">
        <f>MAX(0,MIN(Time!AP33,Inputs!$F$228*12)-MIN(Time!AP32,Inputs!$F$228*12))</f>
        <v/>
      </c>
      <c r="AQ7" s="9">
        <f>MAX(0,MIN(Time!AQ33,Inputs!$F$228*12)-MIN(Time!AQ32,Inputs!$F$228*12))</f>
        <v/>
      </c>
      <c r="AR7" s="9">
        <f>MAX(0,MIN(Time!AR33,Inputs!$F$228*12)-MIN(Time!AR32,Inputs!$F$228*12))</f>
        <v/>
      </c>
      <c r="AS7" s="9">
        <f>MAX(0,MIN(Time!AS33,Inputs!$F$228*12)-MIN(Time!AS32,Inputs!$F$228*12))</f>
        <v/>
      </c>
      <c r="AT7" s="9">
        <f>MAX(0,MIN(Time!AT33,Inputs!$F$228*12)-MIN(Time!AT32,Inputs!$F$228*12))</f>
        <v/>
      </c>
      <c r="AU7" s="9">
        <f>MAX(0,MIN(Time!AU33,Inputs!$F$228*12)-MIN(Time!AU32,Inputs!$F$228*12))</f>
        <v/>
      </c>
      <c r="AV7" s="9">
        <f>MAX(0,MIN(Time!AV33,Inputs!$F$228*12)-MIN(Time!AV32,Inputs!$F$228*12))</f>
        <v/>
      </c>
      <c r="AW7" s="9">
        <f>MAX(0,MIN(Time!AW33,Inputs!$F$228*12)-MIN(Time!AW32,Inputs!$F$228*12))</f>
        <v/>
      </c>
      <c r="AX7" s="9">
        <f>MAX(0,MIN(Time!AX33,Inputs!$F$228*12)-MIN(Time!AX32,Inputs!$F$228*12))</f>
        <v/>
      </c>
      <c r="AY7" s="9">
        <f>MAX(0,MIN(Time!AY33,Inputs!$F$228*12)-MIN(Time!AY32,Inputs!$F$228*12))</f>
        <v/>
      </c>
      <c r="AZ7" s="9">
        <f>MAX(0,MIN(Time!AZ33,Inputs!$F$228*12)-MIN(Time!AZ32,Inputs!$F$228*12))</f>
        <v/>
      </c>
      <c r="BA7" s="9">
        <f>MAX(0,MIN(Time!BA33,Inputs!$F$228*12)-MIN(Time!BA32,Inputs!$F$228*12))</f>
        <v/>
      </c>
      <c r="BB7" s="9">
        <f>MAX(0,MIN(Time!BB33,Inputs!$F$228*12)-MIN(Time!BB32,Inputs!$F$228*12))</f>
        <v/>
      </c>
      <c r="BC7" s="9">
        <f>MAX(0,MIN(Time!BC33,Inputs!$F$228*12)-MIN(Time!BC32,Inputs!$F$228*12))</f>
        <v/>
      </c>
      <c r="BD7" s="9">
        <f>MAX(0,MIN(Time!BD33,Inputs!$F$228*12)-MIN(Time!BD32,Inputs!$F$228*12))</f>
        <v/>
      </c>
      <c r="BE7" s="9">
        <f>MAX(0,MIN(Time!BE33,Inputs!$F$228*12)-MIN(Time!BE32,Inputs!$F$228*12))</f>
        <v/>
      </c>
      <c r="BF7" s="9">
        <f>MAX(0,MIN(Time!BF33,Inputs!$F$228*12)-MIN(Time!BF32,Inputs!$F$228*12))</f>
        <v/>
      </c>
      <c r="BG7" s="9">
        <f>MAX(0,MIN(Time!BG33,Inputs!$F$228*12)-MIN(Time!BG32,Inputs!$F$228*12))</f>
        <v/>
      </c>
      <c r="BH7" s="9">
        <f>MAX(0,MIN(Time!BH33,Inputs!$F$228*12)-MIN(Time!BH32,Inputs!$F$228*12))</f>
        <v/>
      </c>
      <c r="BI7" s="9">
        <f>MAX(0,MIN(Time!BI33,Inputs!$F$228*12)-MIN(Time!BI32,Inputs!$F$228*12))</f>
        <v/>
      </c>
      <c r="BJ7" s="9">
        <f>MAX(0,MIN(Time!BJ33,Inputs!$F$228*12)-MIN(Time!BJ32,Inputs!$F$228*12))</f>
        <v/>
      </c>
      <c r="BK7" s="9">
        <f>MAX(0,MIN(Time!BK33,Inputs!$F$228*12)-MIN(Time!BK32,Inputs!$F$228*12))</f>
        <v/>
      </c>
      <c r="BL7" s="9">
        <f>MAX(0,MIN(Time!BL33,Inputs!$F$228*12)-MIN(Time!BL32,Inputs!$F$228*12))</f>
        <v/>
      </c>
      <c r="BM7" s="9">
        <f>MAX(0,MIN(Time!BM33,Inputs!$F$228*12)-MIN(Time!BM32,Inputs!$F$228*12))</f>
        <v/>
      </c>
      <c r="BN7" s="9">
        <f>MAX(0,MIN(Time!BN33,Inputs!$F$228*12)-MIN(Time!BN32,Inputs!$F$228*12))</f>
        <v/>
      </c>
    </row>
    <row r="8">
      <c r="D8" t="inlineStr">
        <is>
          <t>Reduced-rate months (OY6-OY8)</t>
        </is>
      </c>
      <c r="E8" t="inlineStr">
        <is>
          <t>months</t>
        </is>
      </c>
      <c r="J8" s="9">
        <f>MAX(0,MIN(Time!J33,Inputs!$F$229*12)-MIN(MAX(Time!J32,Inputs!$F$228*12),Inputs!$F$229*12))</f>
        <v/>
      </c>
      <c r="K8" s="9">
        <f>MAX(0,MIN(Time!K33,Inputs!$F$229*12)-MIN(MAX(Time!K32,Inputs!$F$228*12),Inputs!$F$229*12))</f>
        <v/>
      </c>
      <c r="L8" s="9">
        <f>MAX(0,MIN(Time!L33,Inputs!$F$229*12)-MIN(MAX(Time!L32,Inputs!$F$228*12),Inputs!$F$229*12))</f>
        <v/>
      </c>
      <c r="M8" s="9">
        <f>MAX(0,MIN(Time!M33,Inputs!$F$229*12)-MIN(MAX(Time!M32,Inputs!$F$228*12),Inputs!$F$229*12))</f>
        <v/>
      </c>
      <c r="N8" s="9">
        <f>MAX(0,MIN(Time!N33,Inputs!$F$229*12)-MIN(MAX(Time!N32,Inputs!$F$228*12),Inputs!$F$229*12))</f>
        <v/>
      </c>
      <c r="O8" s="9">
        <f>MAX(0,MIN(Time!O33,Inputs!$F$229*12)-MIN(MAX(Time!O32,Inputs!$F$228*12),Inputs!$F$229*12))</f>
        <v/>
      </c>
      <c r="P8" s="9">
        <f>MAX(0,MIN(Time!P33,Inputs!$F$229*12)-MIN(MAX(Time!P32,Inputs!$F$228*12),Inputs!$F$229*12))</f>
        <v/>
      </c>
      <c r="Q8" s="9">
        <f>MAX(0,MIN(Time!Q33,Inputs!$F$229*12)-MIN(MAX(Time!Q32,Inputs!$F$228*12),Inputs!$F$229*12))</f>
        <v/>
      </c>
      <c r="R8" s="9">
        <f>MAX(0,MIN(Time!R33,Inputs!$F$229*12)-MIN(MAX(Time!R32,Inputs!$F$228*12),Inputs!$F$229*12))</f>
        <v/>
      </c>
      <c r="S8" s="9">
        <f>MAX(0,MIN(Time!S33,Inputs!$F$229*12)-MIN(MAX(Time!S32,Inputs!$F$228*12),Inputs!$F$229*12))</f>
        <v/>
      </c>
      <c r="T8" s="9">
        <f>MAX(0,MIN(Time!T33,Inputs!$F$229*12)-MIN(MAX(Time!T32,Inputs!$F$228*12),Inputs!$F$229*12))</f>
        <v/>
      </c>
      <c r="U8" s="9">
        <f>MAX(0,MIN(Time!U33,Inputs!$F$229*12)-MIN(MAX(Time!U32,Inputs!$F$228*12),Inputs!$F$229*12))</f>
        <v/>
      </c>
      <c r="V8" s="9">
        <f>MAX(0,MIN(Time!V33,Inputs!$F$229*12)-MIN(MAX(Time!V32,Inputs!$F$228*12),Inputs!$F$229*12))</f>
        <v/>
      </c>
      <c r="W8" s="9">
        <f>MAX(0,MIN(Time!W33,Inputs!$F$229*12)-MIN(MAX(Time!W32,Inputs!$F$228*12),Inputs!$F$229*12))</f>
        <v/>
      </c>
      <c r="X8" s="9">
        <f>MAX(0,MIN(Time!X33,Inputs!$F$229*12)-MIN(MAX(Time!X32,Inputs!$F$228*12),Inputs!$F$229*12))</f>
        <v/>
      </c>
      <c r="Y8" s="9">
        <f>MAX(0,MIN(Time!Y33,Inputs!$F$229*12)-MIN(MAX(Time!Y32,Inputs!$F$228*12),Inputs!$F$229*12))</f>
        <v/>
      </c>
      <c r="Z8" s="9">
        <f>MAX(0,MIN(Time!Z33,Inputs!$F$229*12)-MIN(MAX(Time!Z32,Inputs!$F$228*12),Inputs!$F$229*12))</f>
        <v/>
      </c>
      <c r="AA8" s="9">
        <f>MAX(0,MIN(Time!AA33,Inputs!$F$229*12)-MIN(MAX(Time!AA32,Inputs!$F$228*12),Inputs!$F$229*12))</f>
        <v/>
      </c>
      <c r="AB8" s="9">
        <f>MAX(0,MIN(Time!AB33,Inputs!$F$229*12)-MIN(MAX(Time!AB32,Inputs!$F$228*12),Inputs!$F$229*12))</f>
        <v/>
      </c>
      <c r="AC8" s="9">
        <f>MAX(0,MIN(Time!AC33,Inputs!$F$229*12)-MIN(MAX(Time!AC32,Inputs!$F$228*12),Inputs!$F$229*12))</f>
        <v/>
      </c>
      <c r="AD8" s="9">
        <f>MAX(0,MIN(Time!AD33,Inputs!$F$229*12)-MIN(MAX(Time!AD32,Inputs!$F$228*12),Inputs!$F$229*12))</f>
        <v/>
      </c>
      <c r="AE8" s="9">
        <f>MAX(0,MIN(Time!AE33,Inputs!$F$229*12)-MIN(MAX(Time!AE32,Inputs!$F$228*12),Inputs!$F$229*12))</f>
        <v/>
      </c>
      <c r="AF8" s="9">
        <f>MAX(0,MIN(Time!AF33,Inputs!$F$229*12)-MIN(MAX(Time!AF32,Inputs!$F$228*12),Inputs!$F$229*12))</f>
        <v/>
      </c>
      <c r="AG8" s="9">
        <f>MAX(0,MIN(Time!AG33,Inputs!$F$229*12)-MIN(MAX(Time!AG32,Inputs!$F$228*12),Inputs!$F$229*12))</f>
        <v/>
      </c>
      <c r="AH8" s="9">
        <f>MAX(0,MIN(Time!AH33,Inputs!$F$229*12)-MIN(MAX(Time!AH32,Inputs!$F$228*12),Inputs!$F$229*12))</f>
        <v/>
      </c>
      <c r="AI8" s="9">
        <f>MAX(0,MIN(Time!AI33,Inputs!$F$229*12)-MIN(MAX(Time!AI32,Inputs!$F$228*12),Inputs!$F$229*12))</f>
        <v/>
      </c>
      <c r="AJ8" s="9">
        <f>MAX(0,MIN(Time!AJ33,Inputs!$F$229*12)-MIN(MAX(Time!AJ32,Inputs!$F$228*12),Inputs!$F$229*12))</f>
        <v/>
      </c>
      <c r="AK8" s="9">
        <f>MAX(0,MIN(Time!AK33,Inputs!$F$229*12)-MIN(MAX(Time!AK32,Inputs!$F$228*12),Inputs!$F$229*12))</f>
        <v/>
      </c>
      <c r="AL8" s="9">
        <f>MAX(0,MIN(Time!AL33,Inputs!$F$229*12)-MIN(MAX(Time!AL32,Inputs!$F$228*12),Inputs!$F$229*12))</f>
        <v/>
      </c>
      <c r="AM8" s="9">
        <f>MAX(0,MIN(Time!AM33,Inputs!$F$229*12)-MIN(MAX(Time!AM32,Inputs!$F$228*12),Inputs!$F$229*12))</f>
        <v/>
      </c>
      <c r="AN8" s="9">
        <f>MAX(0,MIN(Time!AN33,Inputs!$F$229*12)-MIN(MAX(Time!AN32,Inputs!$F$228*12),Inputs!$F$229*12))</f>
        <v/>
      </c>
      <c r="AO8" s="9">
        <f>MAX(0,MIN(Time!AO33,Inputs!$F$229*12)-MIN(MAX(Time!AO32,Inputs!$F$228*12),Inputs!$F$229*12))</f>
        <v/>
      </c>
      <c r="AP8" s="9">
        <f>MAX(0,MIN(Time!AP33,Inputs!$F$229*12)-MIN(MAX(Time!AP32,Inputs!$F$228*12),Inputs!$F$229*12))</f>
        <v/>
      </c>
      <c r="AQ8" s="9">
        <f>MAX(0,MIN(Time!AQ33,Inputs!$F$229*12)-MIN(MAX(Time!AQ32,Inputs!$F$228*12),Inputs!$F$229*12))</f>
        <v/>
      </c>
      <c r="AR8" s="9">
        <f>MAX(0,MIN(Time!AR33,Inputs!$F$229*12)-MIN(MAX(Time!AR32,Inputs!$F$228*12),Inputs!$F$229*12))</f>
        <v/>
      </c>
      <c r="AS8" s="9">
        <f>MAX(0,MIN(Time!AS33,Inputs!$F$229*12)-MIN(MAX(Time!AS32,Inputs!$F$228*12),Inputs!$F$229*12))</f>
        <v/>
      </c>
      <c r="AT8" s="9">
        <f>MAX(0,MIN(Time!AT33,Inputs!$F$229*12)-MIN(MAX(Time!AT32,Inputs!$F$228*12),Inputs!$F$229*12))</f>
        <v/>
      </c>
      <c r="AU8" s="9">
        <f>MAX(0,MIN(Time!AU33,Inputs!$F$229*12)-MIN(MAX(Time!AU32,Inputs!$F$228*12),Inputs!$F$229*12))</f>
        <v/>
      </c>
      <c r="AV8" s="9">
        <f>MAX(0,MIN(Time!AV33,Inputs!$F$229*12)-MIN(MAX(Time!AV32,Inputs!$F$228*12),Inputs!$F$229*12))</f>
        <v/>
      </c>
      <c r="AW8" s="9">
        <f>MAX(0,MIN(Time!AW33,Inputs!$F$229*12)-MIN(MAX(Time!AW32,Inputs!$F$228*12),Inputs!$F$229*12))</f>
        <v/>
      </c>
      <c r="AX8" s="9">
        <f>MAX(0,MIN(Time!AX33,Inputs!$F$229*12)-MIN(MAX(Time!AX32,Inputs!$F$228*12),Inputs!$F$229*12))</f>
        <v/>
      </c>
      <c r="AY8" s="9">
        <f>MAX(0,MIN(Time!AY33,Inputs!$F$229*12)-MIN(MAX(Time!AY32,Inputs!$F$228*12),Inputs!$F$229*12))</f>
        <v/>
      </c>
      <c r="AZ8" s="9">
        <f>MAX(0,MIN(Time!AZ33,Inputs!$F$229*12)-MIN(MAX(Time!AZ32,Inputs!$F$228*12),Inputs!$F$229*12))</f>
        <v/>
      </c>
      <c r="BA8" s="9">
        <f>MAX(0,MIN(Time!BA33,Inputs!$F$229*12)-MIN(MAX(Time!BA32,Inputs!$F$228*12),Inputs!$F$229*12))</f>
        <v/>
      </c>
      <c r="BB8" s="9">
        <f>MAX(0,MIN(Time!BB33,Inputs!$F$229*12)-MIN(MAX(Time!BB32,Inputs!$F$228*12),Inputs!$F$229*12))</f>
        <v/>
      </c>
      <c r="BC8" s="9">
        <f>MAX(0,MIN(Time!BC33,Inputs!$F$229*12)-MIN(MAX(Time!BC32,Inputs!$F$228*12),Inputs!$F$229*12))</f>
        <v/>
      </c>
      <c r="BD8" s="9">
        <f>MAX(0,MIN(Time!BD33,Inputs!$F$229*12)-MIN(MAX(Time!BD32,Inputs!$F$228*12),Inputs!$F$229*12))</f>
        <v/>
      </c>
      <c r="BE8" s="9">
        <f>MAX(0,MIN(Time!BE33,Inputs!$F$229*12)-MIN(MAX(Time!BE32,Inputs!$F$228*12),Inputs!$F$229*12))</f>
        <v/>
      </c>
      <c r="BF8" s="9">
        <f>MAX(0,MIN(Time!BF33,Inputs!$F$229*12)-MIN(MAX(Time!BF32,Inputs!$F$228*12),Inputs!$F$229*12))</f>
        <v/>
      </c>
      <c r="BG8" s="9">
        <f>MAX(0,MIN(Time!BG33,Inputs!$F$229*12)-MIN(MAX(Time!BG32,Inputs!$F$228*12),Inputs!$F$229*12))</f>
        <v/>
      </c>
      <c r="BH8" s="9">
        <f>MAX(0,MIN(Time!BH33,Inputs!$F$229*12)-MIN(MAX(Time!BH32,Inputs!$F$228*12),Inputs!$F$229*12))</f>
        <v/>
      </c>
      <c r="BI8" s="9">
        <f>MAX(0,MIN(Time!BI33,Inputs!$F$229*12)-MIN(MAX(Time!BI32,Inputs!$F$228*12),Inputs!$F$229*12))</f>
        <v/>
      </c>
      <c r="BJ8" s="9">
        <f>MAX(0,MIN(Time!BJ33,Inputs!$F$229*12)-MIN(MAX(Time!BJ32,Inputs!$F$228*12),Inputs!$F$229*12))</f>
        <v/>
      </c>
      <c r="BK8" s="9">
        <f>MAX(0,MIN(Time!BK33,Inputs!$F$229*12)-MIN(MAX(Time!BK32,Inputs!$F$228*12),Inputs!$F$229*12))</f>
        <v/>
      </c>
      <c r="BL8" s="9">
        <f>MAX(0,MIN(Time!BL33,Inputs!$F$229*12)-MIN(MAX(Time!BL32,Inputs!$F$228*12),Inputs!$F$229*12))</f>
        <v/>
      </c>
      <c r="BM8" s="9">
        <f>MAX(0,MIN(Time!BM33,Inputs!$F$229*12)-MIN(MAX(Time!BM32,Inputs!$F$228*12),Inputs!$F$229*12))</f>
        <v/>
      </c>
      <c r="BN8" s="9">
        <f>MAX(0,MIN(Time!BN33,Inputs!$F$229*12)-MIN(MAX(Time!BN32,Inputs!$F$228*12),Inputs!$F$229*12))</f>
        <v/>
      </c>
    </row>
    <row r="9">
      <c r="D9" t="inlineStr">
        <is>
          <t>Full-rate months (OY9+)</t>
        </is>
      </c>
      <c r="E9" t="inlineStr">
        <is>
          <t>months</t>
        </is>
      </c>
      <c r="J9" s="9">
        <f>Time!J30-J7-J8</f>
        <v/>
      </c>
      <c r="K9" s="9">
        <f>Time!K30-K7-K8</f>
        <v/>
      </c>
      <c r="L9" s="9">
        <f>Time!L30-L7-L8</f>
        <v/>
      </c>
      <c r="M9" s="9">
        <f>Time!M30-M7-M8</f>
        <v/>
      </c>
      <c r="N9" s="9">
        <f>Time!N30-N7-N8</f>
        <v/>
      </c>
      <c r="O9" s="9">
        <f>Time!O30-O7-O8</f>
        <v/>
      </c>
      <c r="P9" s="9">
        <f>Time!P30-P7-P8</f>
        <v/>
      </c>
      <c r="Q9" s="9">
        <f>Time!Q30-Q7-Q8</f>
        <v/>
      </c>
      <c r="R9" s="9">
        <f>Time!R30-R7-R8</f>
        <v/>
      </c>
      <c r="S9" s="9">
        <f>Time!S30-S7-S8</f>
        <v/>
      </c>
      <c r="T9" s="9">
        <f>Time!T30-T7-T8</f>
        <v/>
      </c>
      <c r="U9" s="9">
        <f>Time!U30-U7-U8</f>
        <v/>
      </c>
      <c r="V9" s="9">
        <f>Time!V30-V7-V8</f>
        <v/>
      </c>
      <c r="W9" s="9">
        <f>Time!W30-W7-W8</f>
        <v/>
      </c>
      <c r="X9" s="9">
        <f>Time!X30-X7-X8</f>
        <v/>
      </c>
      <c r="Y9" s="9">
        <f>Time!Y30-Y7-Y8</f>
        <v/>
      </c>
      <c r="Z9" s="9">
        <f>Time!Z30-Z7-Z8</f>
        <v/>
      </c>
      <c r="AA9" s="9">
        <f>Time!AA30-AA7-AA8</f>
        <v/>
      </c>
      <c r="AB9" s="9">
        <f>Time!AB30-AB7-AB8</f>
        <v/>
      </c>
      <c r="AC9" s="9">
        <f>Time!AC30-AC7-AC8</f>
        <v/>
      </c>
      <c r="AD9" s="9">
        <f>Time!AD30-AD7-AD8</f>
        <v/>
      </c>
      <c r="AE9" s="9">
        <f>Time!AE30-AE7-AE8</f>
        <v/>
      </c>
      <c r="AF9" s="9">
        <f>Time!AF30-AF7-AF8</f>
        <v/>
      </c>
      <c r="AG9" s="9">
        <f>Time!AG30-AG7-AG8</f>
        <v/>
      </c>
      <c r="AH9" s="9">
        <f>Time!AH30-AH7-AH8</f>
        <v/>
      </c>
      <c r="AI9" s="9">
        <f>Time!AI30-AI7-AI8</f>
        <v/>
      </c>
      <c r="AJ9" s="9">
        <f>Time!AJ30-AJ7-AJ8</f>
        <v/>
      </c>
      <c r="AK9" s="9">
        <f>Time!AK30-AK7-AK8</f>
        <v/>
      </c>
      <c r="AL9" s="9">
        <f>Time!AL30-AL7-AL8</f>
        <v/>
      </c>
      <c r="AM9" s="9">
        <f>Time!AM30-AM7-AM8</f>
        <v/>
      </c>
      <c r="AN9" s="9">
        <f>Time!AN30-AN7-AN8</f>
        <v/>
      </c>
      <c r="AO9" s="9">
        <f>Time!AO30-AO7-AO8</f>
        <v/>
      </c>
      <c r="AP9" s="9">
        <f>Time!AP30-AP7-AP8</f>
        <v/>
      </c>
      <c r="AQ9" s="9">
        <f>Time!AQ30-AQ7-AQ8</f>
        <v/>
      </c>
      <c r="AR9" s="9">
        <f>Time!AR30-AR7-AR8</f>
        <v/>
      </c>
      <c r="AS9" s="9">
        <f>Time!AS30-AS7-AS8</f>
        <v/>
      </c>
      <c r="AT9" s="9">
        <f>Time!AT30-AT7-AT8</f>
        <v/>
      </c>
      <c r="AU9" s="9">
        <f>Time!AU30-AU7-AU8</f>
        <v/>
      </c>
      <c r="AV9" s="9">
        <f>Time!AV30-AV7-AV8</f>
        <v/>
      </c>
      <c r="AW9" s="9">
        <f>Time!AW30-AW7-AW8</f>
        <v/>
      </c>
      <c r="AX9" s="9">
        <f>Time!AX30-AX7-AX8</f>
        <v/>
      </c>
      <c r="AY9" s="9">
        <f>Time!AY30-AY7-AY8</f>
        <v/>
      </c>
      <c r="AZ9" s="9">
        <f>Time!AZ30-AZ7-AZ8</f>
        <v/>
      </c>
      <c r="BA9" s="9">
        <f>Time!BA30-BA7-BA8</f>
        <v/>
      </c>
      <c r="BB9" s="9">
        <f>Time!BB30-BB7-BB8</f>
        <v/>
      </c>
      <c r="BC9" s="9">
        <f>Time!BC30-BC7-BC8</f>
        <v/>
      </c>
      <c r="BD9" s="9">
        <f>Time!BD30-BD7-BD8</f>
        <v/>
      </c>
      <c r="BE9" s="9">
        <f>Time!BE30-BE7-BE8</f>
        <v/>
      </c>
      <c r="BF9" s="9">
        <f>Time!BF30-BF7-BF8</f>
        <v/>
      </c>
      <c r="BG9" s="9">
        <f>Time!BG30-BG7-BG8</f>
        <v/>
      </c>
      <c r="BH9" s="9">
        <f>Time!BH30-BH7-BH8</f>
        <v/>
      </c>
      <c r="BI9" s="9">
        <f>Time!BI30-BI7-BI8</f>
        <v/>
      </c>
      <c r="BJ9" s="9">
        <f>Time!BJ30-BJ7-BJ8</f>
        <v/>
      </c>
      <c r="BK9" s="9">
        <f>Time!BK30-BK7-BK8</f>
        <v/>
      </c>
      <c r="BL9" s="9">
        <f>Time!BL30-BL7-BL8</f>
        <v/>
      </c>
      <c r="BM9" s="9">
        <f>Time!BM30-BM7-BM8</f>
        <v/>
      </c>
      <c r="BN9" s="9">
        <f>Time!BN30-BN7-BN8</f>
        <v/>
      </c>
    </row>
    <row r="10">
      <c r="D10" t="inlineStr">
        <is>
          <t>Tax depreciation (straight line from COD)</t>
        </is>
      </c>
      <c r="E10" t="inlineStr">
        <is>
          <t>USD m</t>
        </is>
      </c>
      <c r="G10" s="13">
        <f>SUM(J10:BN10)</f>
        <v/>
      </c>
      <c r="J10" s="13">
        <f>Inputs!$F$177*Funding!$F$76/Inputs!$F$178*MAX(0,MIN(Time!J33,Inputs!$F$178)-MIN(Time!J32,Inputs!$F$178))+Inputs!$F$179*Funding!$F$76/Inputs!$F$180*MAX(0,MIN(Time!J33,Inputs!$F$180)-MIN(Time!J32,Inputs!$F$180))+Inputs!$F$181*Funding!$F$76/Inputs!$F$182*MAX(0,MIN(Time!J33,Inputs!$F$182)-MIN(Time!J32,Inputs!$F$182))</f>
        <v/>
      </c>
      <c r="K10" s="13">
        <f>Inputs!$F$177*Funding!$F$76/Inputs!$F$178*MAX(0,MIN(Time!K33,Inputs!$F$178)-MIN(Time!K32,Inputs!$F$178))+Inputs!$F$179*Funding!$F$76/Inputs!$F$180*MAX(0,MIN(Time!K33,Inputs!$F$180)-MIN(Time!K32,Inputs!$F$180))+Inputs!$F$181*Funding!$F$76/Inputs!$F$182*MAX(0,MIN(Time!K33,Inputs!$F$182)-MIN(Time!K32,Inputs!$F$182))</f>
        <v/>
      </c>
      <c r="L10" s="13">
        <f>Inputs!$F$177*Funding!$F$76/Inputs!$F$178*MAX(0,MIN(Time!L33,Inputs!$F$178)-MIN(Time!L32,Inputs!$F$178))+Inputs!$F$179*Funding!$F$76/Inputs!$F$180*MAX(0,MIN(Time!L33,Inputs!$F$180)-MIN(Time!L32,Inputs!$F$180))+Inputs!$F$181*Funding!$F$76/Inputs!$F$182*MAX(0,MIN(Time!L33,Inputs!$F$182)-MIN(Time!L32,Inputs!$F$182))</f>
        <v/>
      </c>
      <c r="M10" s="13">
        <f>Inputs!$F$177*Funding!$F$76/Inputs!$F$178*MAX(0,MIN(Time!M33,Inputs!$F$178)-MIN(Time!M32,Inputs!$F$178))+Inputs!$F$179*Funding!$F$76/Inputs!$F$180*MAX(0,MIN(Time!M33,Inputs!$F$180)-MIN(Time!M32,Inputs!$F$180))+Inputs!$F$181*Funding!$F$76/Inputs!$F$182*MAX(0,MIN(Time!M33,Inputs!$F$182)-MIN(Time!M32,Inputs!$F$182))</f>
        <v/>
      </c>
      <c r="N10" s="13">
        <f>Inputs!$F$177*Funding!$F$76/Inputs!$F$178*MAX(0,MIN(Time!N33,Inputs!$F$178)-MIN(Time!N32,Inputs!$F$178))+Inputs!$F$179*Funding!$F$76/Inputs!$F$180*MAX(0,MIN(Time!N33,Inputs!$F$180)-MIN(Time!N32,Inputs!$F$180))+Inputs!$F$181*Funding!$F$76/Inputs!$F$182*MAX(0,MIN(Time!N33,Inputs!$F$182)-MIN(Time!N32,Inputs!$F$182))</f>
        <v/>
      </c>
      <c r="O10" s="13">
        <f>Inputs!$F$177*Funding!$F$76/Inputs!$F$178*MAX(0,MIN(Time!O33,Inputs!$F$178)-MIN(Time!O32,Inputs!$F$178))+Inputs!$F$179*Funding!$F$76/Inputs!$F$180*MAX(0,MIN(Time!O33,Inputs!$F$180)-MIN(Time!O32,Inputs!$F$180))+Inputs!$F$181*Funding!$F$76/Inputs!$F$182*MAX(0,MIN(Time!O33,Inputs!$F$182)-MIN(Time!O32,Inputs!$F$182))</f>
        <v/>
      </c>
      <c r="P10" s="13">
        <f>Inputs!$F$177*Funding!$F$76/Inputs!$F$178*MAX(0,MIN(Time!P33,Inputs!$F$178)-MIN(Time!P32,Inputs!$F$178))+Inputs!$F$179*Funding!$F$76/Inputs!$F$180*MAX(0,MIN(Time!P33,Inputs!$F$180)-MIN(Time!P32,Inputs!$F$180))+Inputs!$F$181*Funding!$F$76/Inputs!$F$182*MAX(0,MIN(Time!P33,Inputs!$F$182)-MIN(Time!P32,Inputs!$F$182))</f>
        <v/>
      </c>
      <c r="Q10" s="13">
        <f>Inputs!$F$177*Funding!$F$76/Inputs!$F$178*MAX(0,MIN(Time!Q33,Inputs!$F$178)-MIN(Time!Q32,Inputs!$F$178))+Inputs!$F$179*Funding!$F$76/Inputs!$F$180*MAX(0,MIN(Time!Q33,Inputs!$F$180)-MIN(Time!Q32,Inputs!$F$180))+Inputs!$F$181*Funding!$F$76/Inputs!$F$182*MAX(0,MIN(Time!Q33,Inputs!$F$182)-MIN(Time!Q32,Inputs!$F$182))</f>
        <v/>
      </c>
      <c r="R10" s="13">
        <f>Inputs!$F$177*Funding!$F$76/Inputs!$F$178*MAX(0,MIN(Time!R33,Inputs!$F$178)-MIN(Time!R32,Inputs!$F$178))+Inputs!$F$179*Funding!$F$76/Inputs!$F$180*MAX(0,MIN(Time!R33,Inputs!$F$180)-MIN(Time!R32,Inputs!$F$180))+Inputs!$F$181*Funding!$F$76/Inputs!$F$182*MAX(0,MIN(Time!R33,Inputs!$F$182)-MIN(Time!R32,Inputs!$F$182))</f>
        <v/>
      </c>
      <c r="S10" s="13">
        <f>Inputs!$F$177*Funding!$F$76/Inputs!$F$178*MAX(0,MIN(Time!S33,Inputs!$F$178)-MIN(Time!S32,Inputs!$F$178))+Inputs!$F$179*Funding!$F$76/Inputs!$F$180*MAX(0,MIN(Time!S33,Inputs!$F$180)-MIN(Time!S32,Inputs!$F$180))+Inputs!$F$181*Funding!$F$76/Inputs!$F$182*MAX(0,MIN(Time!S33,Inputs!$F$182)-MIN(Time!S32,Inputs!$F$182))</f>
        <v/>
      </c>
      <c r="T10" s="13">
        <f>Inputs!$F$177*Funding!$F$76/Inputs!$F$178*MAX(0,MIN(Time!T33,Inputs!$F$178)-MIN(Time!T32,Inputs!$F$178))+Inputs!$F$179*Funding!$F$76/Inputs!$F$180*MAX(0,MIN(Time!T33,Inputs!$F$180)-MIN(Time!T32,Inputs!$F$180))+Inputs!$F$181*Funding!$F$76/Inputs!$F$182*MAX(0,MIN(Time!T33,Inputs!$F$182)-MIN(Time!T32,Inputs!$F$182))</f>
        <v/>
      </c>
      <c r="U10" s="13">
        <f>Inputs!$F$177*Funding!$F$76/Inputs!$F$178*MAX(0,MIN(Time!U33,Inputs!$F$178)-MIN(Time!U32,Inputs!$F$178))+Inputs!$F$179*Funding!$F$76/Inputs!$F$180*MAX(0,MIN(Time!U33,Inputs!$F$180)-MIN(Time!U32,Inputs!$F$180))+Inputs!$F$181*Funding!$F$76/Inputs!$F$182*MAX(0,MIN(Time!U33,Inputs!$F$182)-MIN(Time!U32,Inputs!$F$182))</f>
        <v/>
      </c>
      <c r="V10" s="13">
        <f>Inputs!$F$177*Funding!$F$76/Inputs!$F$178*MAX(0,MIN(Time!V33,Inputs!$F$178)-MIN(Time!V32,Inputs!$F$178))+Inputs!$F$179*Funding!$F$76/Inputs!$F$180*MAX(0,MIN(Time!V33,Inputs!$F$180)-MIN(Time!V32,Inputs!$F$180))+Inputs!$F$181*Funding!$F$76/Inputs!$F$182*MAX(0,MIN(Time!V33,Inputs!$F$182)-MIN(Time!V32,Inputs!$F$182))</f>
        <v/>
      </c>
      <c r="W10" s="13">
        <f>Inputs!$F$177*Funding!$F$76/Inputs!$F$178*MAX(0,MIN(Time!W33,Inputs!$F$178)-MIN(Time!W32,Inputs!$F$178))+Inputs!$F$179*Funding!$F$76/Inputs!$F$180*MAX(0,MIN(Time!W33,Inputs!$F$180)-MIN(Time!W32,Inputs!$F$180))+Inputs!$F$181*Funding!$F$76/Inputs!$F$182*MAX(0,MIN(Time!W33,Inputs!$F$182)-MIN(Time!W32,Inputs!$F$182))</f>
        <v/>
      </c>
      <c r="X10" s="13">
        <f>Inputs!$F$177*Funding!$F$76/Inputs!$F$178*MAX(0,MIN(Time!X33,Inputs!$F$178)-MIN(Time!X32,Inputs!$F$178))+Inputs!$F$179*Funding!$F$76/Inputs!$F$180*MAX(0,MIN(Time!X33,Inputs!$F$180)-MIN(Time!X32,Inputs!$F$180))+Inputs!$F$181*Funding!$F$76/Inputs!$F$182*MAX(0,MIN(Time!X33,Inputs!$F$182)-MIN(Time!X32,Inputs!$F$182))</f>
        <v/>
      </c>
      <c r="Y10" s="13">
        <f>Inputs!$F$177*Funding!$F$76/Inputs!$F$178*MAX(0,MIN(Time!Y33,Inputs!$F$178)-MIN(Time!Y32,Inputs!$F$178))+Inputs!$F$179*Funding!$F$76/Inputs!$F$180*MAX(0,MIN(Time!Y33,Inputs!$F$180)-MIN(Time!Y32,Inputs!$F$180))+Inputs!$F$181*Funding!$F$76/Inputs!$F$182*MAX(0,MIN(Time!Y33,Inputs!$F$182)-MIN(Time!Y32,Inputs!$F$182))</f>
        <v/>
      </c>
      <c r="Z10" s="13">
        <f>Inputs!$F$177*Funding!$F$76/Inputs!$F$178*MAX(0,MIN(Time!Z33,Inputs!$F$178)-MIN(Time!Z32,Inputs!$F$178))+Inputs!$F$179*Funding!$F$76/Inputs!$F$180*MAX(0,MIN(Time!Z33,Inputs!$F$180)-MIN(Time!Z32,Inputs!$F$180))+Inputs!$F$181*Funding!$F$76/Inputs!$F$182*MAX(0,MIN(Time!Z33,Inputs!$F$182)-MIN(Time!Z32,Inputs!$F$182))</f>
        <v/>
      </c>
      <c r="AA10" s="13">
        <f>Inputs!$F$177*Funding!$F$76/Inputs!$F$178*MAX(0,MIN(Time!AA33,Inputs!$F$178)-MIN(Time!AA32,Inputs!$F$178))+Inputs!$F$179*Funding!$F$76/Inputs!$F$180*MAX(0,MIN(Time!AA33,Inputs!$F$180)-MIN(Time!AA32,Inputs!$F$180))+Inputs!$F$181*Funding!$F$76/Inputs!$F$182*MAX(0,MIN(Time!AA33,Inputs!$F$182)-MIN(Time!AA32,Inputs!$F$182))</f>
        <v/>
      </c>
      <c r="AB10" s="13">
        <f>Inputs!$F$177*Funding!$F$76/Inputs!$F$178*MAX(0,MIN(Time!AB33,Inputs!$F$178)-MIN(Time!AB32,Inputs!$F$178))+Inputs!$F$179*Funding!$F$76/Inputs!$F$180*MAX(0,MIN(Time!AB33,Inputs!$F$180)-MIN(Time!AB32,Inputs!$F$180))+Inputs!$F$181*Funding!$F$76/Inputs!$F$182*MAX(0,MIN(Time!AB33,Inputs!$F$182)-MIN(Time!AB32,Inputs!$F$182))</f>
        <v/>
      </c>
      <c r="AC10" s="13">
        <f>Inputs!$F$177*Funding!$F$76/Inputs!$F$178*MAX(0,MIN(Time!AC33,Inputs!$F$178)-MIN(Time!AC32,Inputs!$F$178))+Inputs!$F$179*Funding!$F$76/Inputs!$F$180*MAX(0,MIN(Time!AC33,Inputs!$F$180)-MIN(Time!AC32,Inputs!$F$180))+Inputs!$F$181*Funding!$F$76/Inputs!$F$182*MAX(0,MIN(Time!AC33,Inputs!$F$182)-MIN(Time!AC32,Inputs!$F$182))</f>
        <v/>
      </c>
      <c r="AD10" s="13">
        <f>Inputs!$F$177*Funding!$F$76/Inputs!$F$178*MAX(0,MIN(Time!AD33,Inputs!$F$178)-MIN(Time!AD32,Inputs!$F$178))+Inputs!$F$179*Funding!$F$76/Inputs!$F$180*MAX(0,MIN(Time!AD33,Inputs!$F$180)-MIN(Time!AD32,Inputs!$F$180))+Inputs!$F$181*Funding!$F$76/Inputs!$F$182*MAX(0,MIN(Time!AD33,Inputs!$F$182)-MIN(Time!AD32,Inputs!$F$182))</f>
        <v/>
      </c>
      <c r="AE10" s="13">
        <f>Inputs!$F$177*Funding!$F$76/Inputs!$F$178*MAX(0,MIN(Time!AE33,Inputs!$F$178)-MIN(Time!AE32,Inputs!$F$178))+Inputs!$F$179*Funding!$F$76/Inputs!$F$180*MAX(0,MIN(Time!AE33,Inputs!$F$180)-MIN(Time!AE32,Inputs!$F$180))+Inputs!$F$181*Funding!$F$76/Inputs!$F$182*MAX(0,MIN(Time!AE33,Inputs!$F$182)-MIN(Time!AE32,Inputs!$F$182))</f>
        <v/>
      </c>
      <c r="AF10" s="13">
        <f>Inputs!$F$177*Funding!$F$76/Inputs!$F$178*MAX(0,MIN(Time!AF33,Inputs!$F$178)-MIN(Time!AF32,Inputs!$F$178))+Inputs!$F$179*Funding!$F$76/Inputs!$F$180*MAX(0,MIN(Time!AF33,Inputs!$F$180)-MIN(Time!AF32,Inputs!$F$180))+Inputs!$F$181*Funding!$F$76/Inputs!$F$182*MAX(0,MIN(Time!AF33,Inputs!$F$182)-MIN(Time!AF32,Inputs!$F$182))</f>
        <v/>
      </c>
      <c r="AG10" s="13">
        <f>Inputs!$F$177*Funding!$F$76/Inputs!$F$178*MAX(0,MIN(Time!AG33,Inputs!$F$178)-MIN(Time!AG32,Inputs!$F$178))+Inputs!$F$179*Funding!$F$76/Inputs!$F$180*MAX(0,MIN(Time!AG33,Inputs!$F$180)-MIN(Time!AG32,Inputs!$F$180))+Inputs!$F$181*Funding!$F$76/Inputs!$F$182*MAX(0,MIN(Time!AG33,Inputs!$F$182)-MIN(Time!AG32,Inputs!$F$182))</f>
        <v/>
      </c>
      <c r="AH10" s="13">
        <f>Inputs!$F$177*Funding!$F$76/Inputs!$F$178*MAX(0,MIN(Time!AH33,Inputs!$F$178)-MIN(Time!AH32,Inputs!$F$178))+Inputs!$F$179*Funding!$F$76/Inputs!$F$180*MAX(0,MIN(Time!AH33,Inputs!$F$180)-MIN(Time!AH32,Inputs!$F$180))+Inputs!$F$181*Funding!$F$76/Inputs!$F$182*MAX(0,MIN(Time!AH33,Inputs!$F$182)-MIN(Time!AH32,Inputs!$F$182))</f>
        <v/>
      </c>
      <c r="AI10" s="13">
        <f>Inputs!$F$177*Funding!$F$76/Inputs!$F$178*MAX(0,MIN(Time!AI33,Inputs!$F$178)-MIN(Time!AI32,Inputs!$F$178))+Inputs!$F$179*Funding!$F$76/Inputs!$F$180*MAX(0,MIN(Time!AI33,Inputs!$F$180)-MIN(Time!AI32,Inputs!$F$180))+Inputs!$F$181*Funding!$F$76/Inputs!$F$182*MAX(0,MIN(Time!AI33,Inputs!$F$182)-MIN(Time!AI32,Inputs!$F$182))</f>
        <v/>
      </c>
      <c r="AJ10" s="13">
        <f>Inputs!$F$177*Funding!$F$76/Inputs!$F$178*MAX(0,MIN(Time!AJ33,Inputs!$F$178)-MIN(Time!AJ32,Inputs!$F$178))+Inputs!$F$179*Funding!$F$76/Inputs!$F$180*MAX(0,MIN(Time!AJ33,Inputs!$F$180)-MIN(Time!AJ32,Inputs!$F$180))+Inputs!$F$181*Funding!$F$76/Inputs!$F$182*MAX(0,MIN(Time!AJ33,Inputs!$F$182)-MIN(Time!AJ32,Inputs!$F$182))</f>
        <v/>
      </c>
      <c r="AK10" s="13">
        <f>Inputs!$F$177*Funding!$F$76/Inputs!$F$178*MAX(0,MIN(Time!AK33,Inputs!$F$178)-MIN(Time!AK32,Inputs!$F$178))+Inputs!$F$179*Funding!$F$76/Inputs!$F$180*MAX(0,MIN(Time!AK33,Inputs!$F$180)-MIN(Time!AK32,Inputs!$F$180))+Inputs!$F$181*Funding!$F$76/Inputs!$F$182*MAX(0,MIN(Time!AK33,Inputs!$F$182)-MIN(Time!AK32,Inputs!$F$182))</f>
        <v/>
      </c>
      <c r="AL10" s="13">
        <f>Inputs!$F$177*Funding!$F$76/Inputs!$F$178*MAX(0,MIN(Time!AL33,Inputs!$F$178)-MIN(Time!AL32,Inputs!$F$178))+Inputs!$F$179*Funding!$F$76/Inputs!$F$180*MAX(0,MIN(Time!AL33,Inputs!$F$180)-MIN(Time!AL32,Inputs!$F$180))+Inputs!$F$181*Funding!$F$76/Inputs!$F$182*MAX(0,MIN(Time!AL33,Inputs!$F$182)-MIN(Time!AL32,Inputs!$F$182))</f>
        <v/>
      </c>
      <c r="AM10" s="13">
        <f>Inputs!$F$177*Funding!$F$76/Inputs!$F$178*MAX(0,MIN(Time!AM33,Inputs!$F$178)-MIN(Time!AM32,Inputs!$F$178))+Inputs!$F$179*Funding!$F$76/Inputs!$F$180*MAX(0,MIN(Time!AM33,Inputs!$F$180)-MIN(Time!AM32,Inputs!$F$180))+Inputs!$F$181*Funding!$F$76/Inputs!$F$182*MAX(0,MIN(Time!AM33,Inputs!$F$182)-MIN(Time!AM32,Inputs!$F$182))</f>
        <v/>
      </c>
      <c r="AN10" s="13">
        <f>Inputs!$F$177*Funding!$F$76/Inputs!$F$178*MAX(0,MIN(Time!AN33,Inputs!$F$178)-MIN(Time!AN32,Inputs!$F$178))+Inputs!$F$179*Funding!$F$76/Inputs!$F$180*MAX(0,MIN(Time!AN33,Inputs!$F$180)-MIN(Time!AN32,Inputs!$F$180))+Inputs!$F$181*Funding!$F$76/Inputs!$F$182*MAX(0,MIN(Time!AN33,Inputs!$F$182)-MIN(Time!AN32,Inputs!$F$182))</f>
        <v/>
      </c>
      <c r="AO10" s="13">
        <f>Inputs!$F$177*Funding!$F$76/Inputs!$F$178*MAX(0,MIN(Time!AO33,Inputs!$F$178)-MIN(Time!AO32,Inputs!$F$178))+Inputs!$F$179*Funding!$F$76/Inputs!$F$180*MAX(0,MIN(Time!AO33,Inputs!$F$180)-MIN(Time!AO32,Inputs!$F$180))+Inputs!$F$181*Funding!$F$76/Inputs!$F$182*MAX(0,MIN(Time!AO33,Inputs!$F$182)-MIN(Time!AO32,Inputs!$F$182))</f>
        <v/>
      </c>
      <c r="AP10" s="13">
        <f>Inputs!$F$177*Funding!$F$76/Inputs!$F$178*MAX(0,MIN(Time!AP33,Inputs!$F$178)-MIN(Time!AP32,Inputs!$F$178))+Inputs!$F$179*Funding!$F$76/Inputs!$F$180*MAX(0,MIN(Time!AP33,Inputs!$F$180)-MIN(Time!AP32,Inputs!$F$180))+Inputs!$F$181*Funding!$F$76/Inputs!$F$182*MAX(0,MIN(Time!AP33,Inputs!$F$182)-MIN(Time!AP32,Inputs!$F$182))</f>
        <v/>
      </c>
      <c r="AQ10" s="13">
        <f>Inputs!$F$177*Funding!$F$76/Inputs!$F$178*MAX(0,MIN(Time!AQ33,Inputs!$F$178)-MIN(Time!AQ32,Inputs!$F$178))+Inputs!$F$179*Funding!$F$76/Inputs!$F$180*MAX(0,MIN(Time!AQ33,Inputs!$F$180)-MIN(Time!AQ32,Inputs!$F$180))+Inputs!$F$181*Funding!$F$76/Inputs!$F$182*MAX(0,MIN(Time!AQ33,Inputs!$F$182)-MIN(Time!AQ32,Inputs!$F$182))</f>
        <v/>
      </c>
      <c r="AR10" s="13">
        <f>Inputs!$F$177*Funding!$F$76/Inputs!$F$178*MAX(0,MIN(Time!AR33,Inputs!$F$178)-MIN(Time!AR32,Inputs!$F$178))+Inputs!$F$179*Funding!$F$76/Inputs!$F$180*MAX(0,MIN(Time!AR33,Inputs!$F$180)-MIN(Time!AR32,Inputs!$F$180))+Inputs!$F$181*Funding!$F$76/Inputs!$F$182*MAX(0,MIN(Time!AR33,Inputs!$F$182)-MIN(Time!AR32,Inputs!$F$182))</f>
        <v/>
      </c>
      <c r="AS10" s="13">
        <f>Inputs!$F$177*Funding!$F$76/Inputs!$F$178*MAX(0,MIN(Time!AS33,Inputs!$F$178)-MIN(Time!AS32,Inputs!$F$178))+Inputs!$F$179*Funding!$F$76/Inputs!$F$180*MAX(0,MIN(Time!AS33,Inputs!$F$180)-MIN(Time!AS32,Inputs!$F$180))+Inputs!$F$181*Funding!$F$76/Inputs!$F$182*MAX(0,MIN(Time!AS33,Inputs!$F$182)-MIN(Time!AS32,Inputs!$F$182))</f>
        <v/>
      </c>
      <c r="AT10" s="13">
        <f>Inputs!$F$177*Funding!$F$76/Inputs!$F$178*MAX(0,MIN(Time!AT33,Inputs!$F$178)-MIN(Time!AT32,Inputs!$F$178))+Inputs!$F$179*Funding!$F$76/Inputs!$F$180*MAX(0,MIN(Time!AT33,Inputs!$F$180)-MIN(Time!AT32,Inputs!$F$180))+Inputs!$F$181*Funding!$F$76/Inputs!$F$182*MAX(0,MIN(Time!AT33,Inputs!$F$182)-MIN(Time!AT32,Inputs!$F$182))</f>
        <v/>
      </c>
      <c r="AU10" s="13">
        <f>Inputs!$F$177*Funding!$F$76/Inputs!$F$178*MAX(0,MIN(Time!AU33,Inputs!$F$178)-MIN(Time!AU32,Inputs!$F$178))+Inputs!$F$179*Funding!$F$76/Inputs!$F$180*MAX(0,MIN(Time!AU33,Inputs!$F$180)-MIN(Time!AU32,Inputs!$F$180))+Inputs!$F$181*Funding!$F$76/Inputs!$F$182*MAX(0,MIN(Time!AU33,Inputs!$F$182)-MIN(Time!AU32,Inputs!$F$182))</f>
        <v/>
      </c>
      <c r="AV10" s="13">
        <f>Inputs!$F$177*Funding!$F$76/Inputs!$F$178*MAX(0,MIN(Time!AV33,Inputs!$F$178)-MIN(Time!AV32,Inputs!$F$178))+Inputs!$F$179*Funding!$F$76/Inputs!$F$180*MAX(0,MIN(Time!AV33,Inputs!$F$180)-MIN(Time!AV32,Inputs!$F$180))+Inputs!$F$181*Funding!$F$76/Inputs!$F$182*MAX(0,MIN(Time!AV33,Inputs!$F$182)-MIN(Time!AV32,Inputs!$F$182))</f>
        <v/>
      </c>
      <c r="AW10" s="13">
        <f>Inputs!$F$177*Funding!$F$76/Inputs!$F$178*MAX(0,MIN(Time!AW33,Inputs!$F$178)-MIN(Time!AW32,Inputs!$F$178))+Inputs!$F$179*Funding!$F$76/Inputs!$F$180*MAX(0,MIN(Time!AW33,Inputs!$F$180)-MIN(Time!AW32,Inputs!$F$180))+Inputs!$F$181*Funding!$F$76/Inputs!$F$182*MAX(0,MIN(Time!AW33,Inputs!$F$182)-MIN(Time!AW32,Inputs!$F$182))</f>
        <v/>
      </c>
      <c r="AX10" s="13">
        <f>Inputs!$F$177*Funding!$F$76/Inputs!$F$178*MAX(0,MIN(Time!AX33,Inputs!$F$178)-MIN(Time!AX32,Inputs!$F$178))+Inputs!$F$179*Funding!$F$76/Inputs!$F$180*MAX(0,MIN(Time!AX33,Inputs!$F$180)-MIN(Time!AX32,Inputs!$F$180))+Inputs!$F$181*Funding!$F$76/Inputs!$F$182*MAX(0,MIN(Time!AX33,Inputs!$F$182)-MIN(Time!AX32,Inputs!$F$182))</f>
        <v/>
      </c>
      <c r="AY10" s="13">
        <f>Inputs!$F$177*Funding!$F$76/Inputs!$F$178*MAX(0,MIN(Time!AY33,Inputs!$F$178)-MIN(Time!AY32,Inputs!$F$178))+Inputs!$F$179*Funding!$F$76/Inputs!$F$180*MAX(0,MIN(Time!AY33,Inputs!$F$180)-MIN(Time!AY32,Inputs!$F$180))+Inputs!$F$181*Funding!$F$76/Inputs!$F$182*MAX(0,MIN(Time!AY33,Inputs!$F$182)-MIN(Time!AY32,Inputs!$F$182))</f>
        <v/>
      </c>
      <c r="AZ10" s="13">
        <f>Inputs!$F$177*Funding!$F$76/Inputs!$F$178*MAX(0,MIN(Time!AZ33,Inputs!$F$178)-MIN(Time!AZ32,Inputs!$F$178))+Inputs!$F$179*Funding!$F$76/Inputs!$F$180*MAX(0,MIN(Time!AZ33,Inputs!$F$180)-MIN(Time!AZ32,Inputs!$F$180))+Inputs!$F$181*Funding!$F$76/Inputs!$F$182*MAX(0,MIN(Time!AZ33,Inputs!$F$182)-MIN(Time!AZ32,Inputs!$F$182))</f>
        <v/>
      </c>
      <c r="BA10" s="13">
        <f>Inputs!$F$177*Funding!$F$76/Inputs!$F$178*MAX(0,MIN(Time!BA33,Inputs!$F$178)-MIN(Time!BA32,Inputs!$F$178))+Inputs!$F$179*Funding!$F$76/Inputs!$F$180*MAX(0,MIN(Time!BA33,Inputs!$F$180)-MIN(Time!BA32,Inputs!$F$180))+Inputs!$F$181*Funding!$F$76/Inputs!$F$182*MAX(0,MIN(Time!BA33,Inputs!$F$182)-MIN(Time!BA32,Inputs!$F$182))</f>
        <v/>
      </c>
      <c r="BB10" s="13">
        <f>Inputs!$F$177*Funding!$F$76/Inputs!$F$178*MAX(0,MIN(Time!BB33,Inputs!$F$178)-MIN(Time!BB32,Inputs!$F$178))+Inputs!$F$179*Funding!$F$76/Inputs!$F$180*MAX(0,MIN(Time!BB33,Inputs!$F$180)-MIN(Time!BB32,Inputs!$F$180))+Inputs!$F$181*Funding!$F$76/Inputs!$F$182*MAX(0,MIN(Time!BB33,Inputs!$F$182)-MIN(Time!BB32,Inputs!$F$182))</f>
        <v/>
      </c>
      <c r="BC10" s="13">
        <f>Inputs!$F$177*Funding!$F$76/Inputs!$F$178*MAX(0,MIN(Time!BC33,Inputs!$F$178)-MIN(Time!BC32,Inputs!$F$178))+Inputs!$F$179*Funding!$F$76/Inputs!$F$180*MAX(0,MIN(Time!BC33,Inputs!$F$180)-MIN(Time!BC32,Inputs!$F$180))+Inputs!$F$181*Funding!$F$76/Inputs!$F$182*MAX(0,MIN(Time!BC33,Inputs!$F$182)-MIN(Time!BC32,Inputs!$F$182))</f>
        <v/>
      </c>
      <c r="BD10" s="13">
        <f>Inputs!$F$177*Funding!$F$76/Inputs!$F$178*MAX(0,MIN(Time!BD33,Inputs!$F$178)-MIN(Time!BD32,Inputs!$F$178))+Inputs!$F$179*Funding!$F$76/Inputs!$F$180*MAX(0,MIN(Time!BD33,Inputs!$F$180)-MIN(Time!BD32,Inputs!$F$180))+Inputs!$F$181*Funding!$F$76/Inputs!$F$182*MAX(0,MIN(Time!BD33,Inputs!$F$182)-MIN(Time!BD32,Inputs!$F$182))</f>
        <v/>
      </c>
      <c r="BE10" s="13">
        <f>Inputs!$F$177*Funding!$F$76/Inputs!$F$178*MAX(0,MIN(Time!BE33,Inputs!$F$178)-MIN(Time!BE32,Inputs!$F$178))+Inputs!$F$179*Funding!$F$76/Inputs!$F$180*MAX(0,MIN(Time!BE33,Inputs!$F$180)-MIN(Time!BE32,Inputs!$F$180))+Inputs!$F$181*Funding!$F$76/Inputs!$F$182*MAX(0,MIN(Time!BE33,Inputs!$F$182)-MIN(Time!BE32,Inputs!$F$182))</f>
        <v/>
      </c>
      <c r="BF10" s="13">
        <f>Inputs!$F$177*Funding!$F$76/Inputs!$F$178*MAX(0,MIN(Time!BF33,Inputs!$F$178)-MIN(Time!BF32,Inputs!$F$178))+Inputs!$F$179*Funding!$F$76/Inputs!$F$180*MAX(0,MIN(Time!BF33,Inputs!$F$180)-MIN(Time!BF32,Inputs!$F$180))+Inputs!$F$181*Funding!$F$76/Inputs!$F$182*MAX(0,MIN(Time!BF33,Inputs!$F$182)-MIN(Time!BF32,Inputs!$F$182))</f>
        <v/>
      </c>
      <c r="BG10" s="13">
        <f>Inputs!$F$177*Funding!$F$76/Inputs!$F$178*MAX(0,MIN(Time!BG33,Inputs!$F$178)-MIN(Time!BG32,Inputs!$F$178))+Inputs!$F$179*Funding!$F$76/Inputs!$F$180*MAX(0,MIN(Time!BG33,Inputs!$F$180)-MIN(Time!BG32,Inputs!$F$180))+Inputs!$F$181*Funding!$F$76/Inputs!$F$182*MAX(0,MIN(Time!BG33,Inputs!$F$182)-MIN(Time!BG32,Inputs!$F$182))</f>
        <v/>
      </c>
      <c r="BH10" s="13">
        <f>Inputs!$F$177*Funding!$F$76/Inputs!$F$178*MAX(0,MIN(Time!BH33,Inputs!$F$178)-MIN(Time!BH32,Inputs!$F$178))+Inputs!$F$179*Funding!$F$76/Inputs!$F$180*MAX(0,MIN(Time!BH33,Inputs!$F$180)-MIN(Time!BH32,Inputs!$F$180))+Inputs!$F$181*Funding!$F$76/Inputs!$F$182*MAX(0,MIN(Time!BH33,Inputs!$F$182)-MIN(Time!BH32,Inputs!$F$182))</f>
        <v/>
      </c>
      <c r="BI10" s="13">
        <f>Inputs!$F$177*Funding!$F$76/Inputs!$F$178*MAX(0,MIN(Time!BI33,Inputs!$F$178)-MIN(Time!BI32,Inputs!$F$178))+Inputs!$F$179*Funding!$F$76/Inputs!$F$180*MAX(0,MIN(Time!BI33,Inputs!$F$180)-MIN(Time!BI32,Inputs!$F$180))+Inputs!$F$181*Funding!$F$76/Inputs!$F$182*MAX(0,MIN(Time!BI33,Inputs!$F$182)-MIN(Time!BI32,Inputs!$F$182))</f>
        <v/>
      </c>
      <c r="BJ10" s="13">
        <f>Inputs!$F$177*Funding!$F$76/Inputs!$F$178*MAX(0,MIN(Time!BJ33,Inputs!$F$178)-MIN(Time!BJ32,Inputs!$F$178))+Inputs!$F$179*Funding!$F$76/Inputs!$F$180*MAX(0,MIN(Time!BJ33,Inputs!$F$180)-MIN(Time!BJ32,Inputs!$F$180))+Inputs!$F$181*Funding!$F$76/Inputs!$F$182*MAX(0,MIN(Time!BJ33,Inputs!$F$182)-MIN(Time!BJ32,Inputs!$F$182))</f>
        <v/>
      </c>
      <c r="BK10" s="13">
        <f>Inputs!$F$177*Funding!$F$76/Inputs!$F$178*MAX(0,MIN(Time!BK33,Inputs!$F$178)-MIN(Time!BK32,Inputs!$F$178))+Inputs!$F$179*Funding!$F$76/Inputs!$F$180*MAX(0,MIN(Time!BK33,Inputs!$F$180)-MIN(Time!BK32,Inputs!$F$180))+Inputs!$F$181*Funding!$F$76/Inputs!$F$182*MAX(0,MIN(Time!BK33,Inputs!$F$182)-MIN(Time!BK32,Inputs!$F$182))</f>
        <v/>
      </c>
      <c r="BL10" s="13">
        <f>Inputs!$F$177*Funding!$F$76/Inputs!$F$178*MAX(0,MIN(Time!BL33,Inputs!$F$178)-MIN(Time!BL32,Inputs!$F$178))+Inputs!$F$179*Funding!$F$76/Inputs!$F$180*MAX(0,MIN(Time!BL33,Inputs!$F$180)-MIN(Time!BL32,Inputs!$F$180))+Inputs!$F$181*Funding!$F$76/Inputs!$F$182*MAX(0,MIN(Time!BL33,Inputs!$F$182)-MIN(Time!BL32,Inputs!$F$182))</f>
        <v/>
      </c>
      <c r="BM10" s="13">
        <f>Inputs!$F$177*Funding!$F$76/Inputs!$F$178*MAX(0,MIN(Time!BM33,Inputs!$F$178)-MIN(Time!BM32,Inputs!$F$178))+Inputs!$F$179*Funding!$F$76/Inputs!$F$180*MAX(0,MIN(Time!BM33,Inputs!$F$180)-MIN(Time!BM32,Inputs!$F$180))+Inputs!$F$181*Funding!$F$76/Inputs!$F$182*MAX(0,MIN(Time!BM33,Inputs!$F$182)-MIN(Time!BM32,Inputs!$F$182))</f>
        <v/>
      </c>
      <c r="BN10" s="13">
        <f>Inputs!$F$177*Funding!$F$76/Inputs!$F$178*MAX(0,MIN(Time!BN33,Inputs!$F$178)-MIN(Time!BN32,Inputs!$F$178))+Inputs!$F$179*Funding!$F$76/Inputs!$F$180*MAX(0,MIN(Time!BN33,Inputs!$F$180)-MIN(Time!BN32,Inputs!$F$180))+Inputs!$F$181*Funding!$F$76/Inputs!$F$182*MAX(0,MIN(Time!BN33,Inputs!$F$182)-MIN(Time!BN32,Inputs!$F$182))</f>
        <v/>
      </c>
    </row>
    <row r="11">
      <c r="D11" t="inlineStr">
        <is>
          <t>Depreciation of holiday months (deemed deferred)</t>
        </is>
      </c>
      <c r="E11" t="inlineStr">
        <is>
          <t>USD m</t>
        </is>
      </c>
      <c r="G11" s="13">
        <f>SUM(J11:BN11)</f>
        <v/>
      </c>
      <c r="J11" s="13">
        <f>(Inputs!$F$177*Funding!$F$76/Inputs!$F$178+Inputs!$F$179*Funding!$F$76/Inputs!$F$180)*J7+Inputs!$F$181*Funding!$F$76/Inputs!$F$182*MAX(0,MIN(Time!J33,MIN(Inputs!$F$182,Inputs!$F$228*12))-MIN(Time!J32,MIN(Inputs!$F$182,Inputs!$F$228*12)))</f>
        <v/>
      </c>
      <c r="K11" s="13">
        <f>(Inputs!$F$177*Funding!$F$76/Inputs!$F$178+Inputs!$F$179*Funding!$F$76/Inputs!$F$180)*K7+Inputs!$F$181*Funding!$F$76/Inputs!$F$182*MAX(0,MIN(Time!K33,MIN(Inputs!$F$182,Inputs!$F$228*12))-MIN(Time!K32,MIN(Inputs!$F$182,Inputs!$F$228*12)))</f>
        <v/>
      </c>
      <c r="L11" s="13">
        <f>(Inputs!$F$177*Funding!$F$76/Inputs!$F$178+Inputs!$F$179*Funding!$F$76/Inputs!$F$180)*L7+Inputs!$F$181*Funding!$F$76/Inputs!$F$182*MAX(0,MIN(Time!L33,MIN(Inputs!$F$182,Inputs!$F$228*12))-MIN(Time!L32,MIN(Inputs!$F$182,Inputs!$F$228*12)))</f>
        <v/>
      </c>
      <c r="M11" s="13">
        <f>(Inputs!$F$177*Funding!$F$76/Inputs!$F$178+Inputs!$F$179*Funding!$F$76/Inputs!$F$180)*M7+Inputs!$F$181*Funding!$F$76/Inputs!$F$182*MAX(0,MIN(Time!M33,MIN(Inputs!$F$182,Inputs!$F$228*12))-MIN(Time!M32,MIN(Inputs!$F$182,Inputs!$F$228*12)))</f>
        <v/>
      </c>
      <c r="N11" s="13">
        <f>(Inputs!$F$177*Funding!$F$76/Inputs!$F$178+Inputs!$F$179*Funding!$F$76/Inputs!$F$180)*N7+Inputs!$F$181*Funding!$F$76/Inputs!$F$182*MAX(0,MIN(Time!N33,MIN(Inputs!$F$182,Inputs!$F$228*12))-MIN(Time!N32,MIN(Inputs!$F$182,Inputs!$F$228*12)))</f>
        <v/>
      </c>
      <c r="O11" s="13">
        <f>(Inputs!$F$177*Funding!$F$76/Inputs!$F$178+Inputs!$F$179*Funding!$F$76/Inputs!$F$180)*O7+Inputs!$F$181*Funding!$F$76/Inputs!$F$182*MAX(0,MIN(Time!O33,MIN(Inputs!$F$182,Inputs!$F$228*12))-MIN(Time!O32,MIN(Inputs!$F$182,Inputs!$F$228*12)))</f>
        <v/>
      </c>
      <c r="P11" s="13">
        <f>(Inputs!$F$177*Funding!$F$76/Inputs!$F$178+Inputs!$F$179*Funding!$F$76/Inputs!$F$180)*P7+Inputs!$F$181*Funding!$F$76/Inputs!$F$182*MAX(0,MIN(Time!P33,MIN(Inputs!$F$182,Inputs!$F$228*12))-MIN(Time!P32,MIN(Inputs!$F$182,Inputs!$F$228*12)))</f>
        <v/>
      </c>
      <c r="Q11" s="13">
        <f>(Inputs!$F$177*Funding!$F$76/Inputs!$F$178+Inputs!$F$179*Funding!$F$76/Inputs!$F$180)*Q7+Inputs!$F$181*Funding!$F$76/Inputs!$F$182*MAX(0,MIN(Time!Q33,MIN(Inputs!$F$182,Inputs!$F$228*12))-MIN(Time!Q32,MIN(Inputs!$F$182,Inputs!$F$228*12)))</f>
        <v/>
      </c>
      <c r="R11" s="13">
        <f>(Inputs!$F$177*Funding!$F$76/Inputs!$F$178+Inputs!$F$179*Funding!$F$76/Inputs!$F$180)*R7+Inputs!$F$181*Funding!$F$76/Inputs!$F$182*MAX(0,MIN(Time!R33,MIN(Inputs!$F$182,Inputs!$F$228*12))-MIN(Time!R32,MIN(Inputs!$F$182,Inputs!$F$228*12)))</f>
        <v/>
      </c>
      <c r="S11" s="13">
        <f>(Inputs!$F$177*Funding!$F$76/Inputs!$F$178+Inputs!$F$179*Funding!$F$76/Inputs!$F$180)*S7+Inputs!$F$181*Funding!$F$76/Inputs!$F$182*MAX(0,MIN(Time!S33,MIN(Inputs!$F$182,Inputs!$F$228*12))-MIN(Time!S32,MIN(Inputs!$F$182,Inputs!$F$228*12)))</f>
        <v/>
      </c>
      <c r="T11" s="13">
        <f>(Inputs!$F$177*Funding!$F$76/Inputs!$F$178+Inputs!$F$179*Funding!$F$76/Inputs!$F$180)*T7+Inputs!$F$181*Funding!$F$76/Inputs!$F$182*MAX(0,MIN(Time!T33,MIN(Inputs!$F$182,Inputs!$F$228*12))-MIN(Time!T32,MIN(Inputs!$F$182,Inputs!$F$228*12)))</f>
        <v/>
      </c>
      <c r="U11" s="13">
        <f>(Inputs!$F$177*Funding!$F$76/Inputs!$F$178+Inputs!$F$179*Funding!$F$76/Inputs!$F$180)*U7+Inputs!$F$181*Funding!$F$76/Inputs!$F$182*MAX(0,MIN(Time!U33,MIN(Inputs!$F$182,Inputs!$F$228*12))-MIN(Time!U32,MIN(Inputs!$F$182,Inputs!$F$228*12)))</f>
        <v/>
      </c>
      <c r="V11" s="13">
        <f>(Inputs!$F$177*Funding!$F$76/Inputs!$F$178+Inputs!$F$179*Funding!$F$76/Inputs!$F$180)*V7+Inputs!$F$181*Funding!$F$76/Inputs!$F$182*MAX(0,MIN(Time!V33,MIN(Inputs!$F$182,Inputs!$F$228*12))-MIN(Time!V32,MIN(Inputs!$F$182,Inputs!$F$228*12)))</f>
        <v/>
      </c>
      <c r="W11" s="13">
        <f>(Inputs!$F$177*Funding!$F$76/Inputs!$F$178+Inputs!$F$179*Funding!$F$76/Inputs!$F$180)*W7+Inputs!$F$181*Funding!$F$76/Inputs!$F$182*MAX(0,MIN(Time!W33,MIN(Inputs!$F$182,Inputs!$F$228*12))-MIN(Time!W32,MIN(Inputs!$F$182,Inputs!$F$228*12)))</f>
        <v/>
      </c>
      <c r="X11" s="13">
        <f>(Inputs!$F$177*Funding!$F$76/Inputs!$F$178+Inputs!$F$179*Funding!$F$76/Inputs!$F$180)*X7+Inputs!$F$181*Funding!$F$76/Inputs!$F$182*MAX(0,MIN(Time!X33,MIN(Inputs!$F$182,Inputs!$F$228*12))-MIN(Time!X32,MIN(Inputs!$F$182,Inputs!$F$228*12)))</f>
        <v/>
      </c>
      <c r="Y11" s="13">
        <f>(Inputs!$F$177*Funding!$F$76/Inputs!$F$178+Inputs!$F$179*Funding!$F$76/Inputs!$F$180)*Y7+Inputs!$F$181*Funding!$F$76/Inputs!$F$182*MAX(0,MIN(Time!Y33,MIN(Inputs!$F$182,Inputs!$F$228*12))-MIN(Time!Y32,MIN(Inputs!$F$182,Inputs!$F$228*12)))</f>
        <v/>
      </c>
      <c r="Z11" s="13">
        <f>(Inputs!$F$177*Funding!$F$76/Inputs!$F$178+Inputs!$F$179*Funding!$F$76/Inputs!$F$180)*Z7+Inputs!$F$181*Funding!$F$76/Inputs!$F$182*MAX(0,MIN(Time!Z33,MIN(Inputs!$F$182,Inputs!$F$228*12))-MIN(Time!Z32,MIN(Inputs!$F$182,Inputs!$F$228*12)))</f>
        <v/>
      </c>
      <c r="AA11" s="13">
        <f>(Inputs!$F$177*Funding!$F$76/Inputs!$F$178+Inputs!$F$179*Funding!$F$76/Inputs!$F$180)*AA7+Inputs!$F$181*Funding!$F$76/Inputs!$F$182*MAX(0,MIN(Time!AA33,MIN(Inputs!$F$182,Inputs!$F$228*12))-MIN(Time!AA32,MIN(Inputs!$F$182,Inputs!$F$228*12)))</f>
        <v/>
      </c>
      <c r="AB11" s="13">
        <f>(Inputs!$F$177*Funding!$F$76/Inputs!$F$178+Inputs!$F$179*Funding!$F$76/Inputs!$F$180)*AB7+Inputs!$F$181*Funding!$F$76/Inputs!$F$182*MAX(0,MIN(Time!AB33,MIN(Inputs!$F$182,Inputs!$F$228*12))-MIN(Time!AB32,MIN(Inputs!$F$182,Inputs!$F$228*12)))</f>
        <v/>
      </c>
      <c r="AC11" s="13">
        <f>(Inputs!$F$177*Funding!$F$76/Inputs!$F$178+Inputs!$F$179*Funding!$F$76/Inputs!$F$180)*AC7+Inputs!$F$181*Funding!$F$76/Inputs!$F$182*MAX(0,MIN(Time!AC33,MIN(Inputs!$F$182,Inputs!$F$228*12))-MIN(Time!AC32,MIN(Inputs!$F$182,Inputs!$F$228*12)))</f>
        <v/>
      </c>
      <c r="AD11" s="13">
        <f>(Inputs!$F$177*Funding!$F$76/Inputs!$F$178+Inputs!$F$179*Funding!$F$76/Inputs!$F$180)*AD7+Inputs!$F$181*Funding!$F$76/Inputs!$F$182*MAX(0,MIN(Time!AD33,MIN(Inputs!$F$182,Inputs!$F$228*12))-MIN(Time!AD32,MIN(Inputs!$F$182,Inputs!$F$228*12)))</f>
        <v/>
      </c>
      <c r="AE11" s="13">
        <f>(Inputs!$F$177*Funding!$F$76/Inputs!$F$178+Inputs!$F$179*Funding!$F$76/Inputs!$F$180)*AE7+Inputs!$F$181*Funding!$F$76/Inputs!$F$182*MAX(0,MIN(Time!AE33,MIN(Inputs!$F$182,Inputs!$F$228*12))-MIN(Time!AE32,MIN(Inputs!$F$182,Inputs!$F$228*12)))</f>
        <v/>
      </c>
      <c r="AF11" s="13">
        <f>(Inputs!$F$177*Funding!$F$76/Inputs!$F$178+Inputs!$F$179*Funding!$F$76/Inputs!$F$180)*AF7+Inputs!$F$181*Funding!$F$76/Inputs!$F$182*MAX(0,MIN(Time!AF33,MIN(Inputs!$F$182,Inputs!$F$228*12))-MIN(Time!AF32,MIN(Inputs!$F$182,Inputs!$F$228*12)))</f>
        <v/>
      </c>
      <c r="AG11" s="13">
        <f>(Inputs!$F$177*Funding!$F$76/Inputs!$F$178+Inputs!$F$179*Funding!$F$76/Inputs!$F$180)*AG7+Inputs!$F$181*Funding!$F$76/Inputs!$F$182*MAX(0,MIN(Time!AG33,MIN(Inputs!$F$182,Inputs!$F$228*12))-MIN(Time!AG32,MIN(Inputs!$F$182,Inputs!$F$228*12)))</f>
        <v/>
      </c>
      <c r="AH11" s="13">
        <f>(Inputs!$F$177*Funding!$F$76/Inputs!$F$178+Inputs!$F$179*Funding!$F$76/Inputs!$F$180)*AH7+Inputs!$F$181*Funding!$F$76/Inputs!$F$182*MAX(0,MIN(Time!AH33,MIN(Inputs!$F$182,Inputs!$F$228*12))-MIN(Time!AH32,MIN(Inputs!$F$182,Inputs!$F$228*12)))</f>
        <v/>
      </c>
      <c r="AI11" s="13">
        <f>(Inputs!$F$177*Funding!$F$76/Inputs!$F$178+Inputs!$F$179*Funding!$F$76/Inputs!$F$180)*AI7+Inputs!$F$181*Funding!$F$76/Inputs!$F$182*MAX(0,MIN(Time!AI33,MIN(Inputs!$F$182,Inputs!$F$228*12))-MIN(Time!AI32,MIN(Inputs!$F$182,Inputs!$F$228*12)))</f>
        <v/>
      </c>
      <c r="AJ11" s="13">
        <f>(Inputs!$F$177*Funding!$F$76/Inputs!$F$178+Inputs!$F$179*Funding!$F$76/Inputs!$F$180)*AJ7+Inputs!$F$181*Funding!$F$76/Inputs!$F$182*MAX(0,MIN(Time!AJ33,MIN(Inputs!$F$182,Inputs!$F$228*12))-MIN(Time!AJ32,MIN(Inputs!$F$182,Inputs!$F$228*12)))</f>
        <v/>
      </c>
      <c r="AK11" s="13">
        <f>(Inputs!$F$177*Funding!$F$76/Inputs!$F$178+Inputs!$F$179*Funding!$F$76/Inputs!$F$180)*AK7+Inputs!$F$181*Funding!$F$76/Inputs!$F$182*MAX(0,MIN(Time!AK33,MIN(Inputs!$F$182,Inputs!$F$228*12))-MIN(Time!AK32,MIN(Inputs!$F$182,Inputs!$F$228*12)))</f>
        <v/>
      </c>
      <c r="AL11" s="13">
        <f>(Inputs!$F$177*Funding!$F$76/Inputs!$F$178+Inputs!$F$179*Funding!$F$76/Inputs!$F$180)*AL7+Inputs!$F$181*Funding!$F$76/Inputs!$F$182*MAX(0,MIN(Time!AL33,MIN(Inputs!$F$182,Inputs!$F$228*12))-MIN(Time!AL32,MIN(Inputs!$F$182,Inputs!$F$228*12)))</f>
        <v/>
      </c>
      <c r="AM11" s="13">
        <f>(Inputs!$F$177*Funding!$F$76/Inputs!$F$178+Inputs!$F$179*Funding!$F$76/Inputs!$F$180)*AM7+Inputs!$F$181*Funding!$F$76/Inputs!$F$182*MAX(0,MIN(Time!AM33,MIN(Inputs!$F$182,Inputs!$F$228*12))-MIN(Time!AM32,MIN(Inputs!$F$182,Inputs!$F$228*12)))</f>
        <v/>
      </c>
      <c r="AN11" s="13">
        <f>(Inputs!$F$177*Funding!$F$76/Inputs!$F$178+Inputs!$F$179*Funding!$F$76/Inputs!$F$180)*AN7+Inputs!$F$181*Funding!$F$76/Inputs!$F$182*MAX(0,MIN(Time!AN33,MIN(Inputs!$F$182,Inputs!$F$228*12))-MIN(Time!AN32,MIN(Inputs!$F$182,Inputs!$F$228*12)))</f>
        <v/>
      </c>
      <c r="AO11" s="13">
        <f>(Inputs!$F$177*Funding!$F$76/Inputs!$F$178+Inputs!$F$179*Funding!$F$76/Inputs!$F$180)*AO7+Inputs!$F$181*Funding!$F$76/Inputs!$F$182*MAX(0,MIN(Time!AO33,MIN(Inputs!$F$182,Inputs!$F$228*12))-MIN(Time!AO32,MIN(Inputs!$F$182,Inputs!$F$228*12)))</f>
        <v/>
      </c>
      <c r="AP11" s="13">
        <f>(Inputs!$F$177*Funding!$F$76/Inputs!$F$178+Inputs!$F$179*Funding!$F$76/Inputs!$F$180)*AP7+Inputs!$F$181*Funding!$F$76/Inputs!$F$182*MAX(0,MIN(Time!AP33,MIN(Inputs!$F$182,Inputs!$F$228*12))-MIN(Time!AP32,MIN(Inputs!$F$182,Inputs!$F$228*12)))</f>
        <v/>
      </c>
      <c r="AQ11" s="13">
        <f>(Inputs!$F$177*Funding!$F$76/Inputs!$F$178+Inputs!$F$179*Funding!$F$76/Inputs!$F$180)*AQ7+Inputs!$F$181*Funding!$F$76/Inputs!$F$182*MAX(0,MIN(Time!AQ33,MIN(Inputs!$F$182,Inputs!$F$228*12))-MIN(Time!AQ32,MIN(Inputs!$F$182,Inputs!$F$228*12)))</f>
        <v/>
      </c>
      <c r="AR11" s="13">
        <f>(Inputs!$F$177*Funding!$F$76/Inputs!$F$178+Inputs!$F$179*Funding!$F$76/Inputs!$F$180)*AR7+Inputs!$F$181*Funding!$F$76/Inputs!$F$182*MAX(0,MIN(Time!AR33,MIN(Inputs!$F$182,Inputs!$F$228*12))-MIN(Time!AR32,MIN(Inputs!$F$182,Inputs!$F$228*12)))</f>
        <v/>
      </c>
      <c r="AS11" s="13">
        <f>(Inputs!$F$177*Funding!$F$76/Inputs!$F$178+Inputs!$F$179*Funding!$F$76/Inputs!$F$180)*AS7+Inputs!$F$181*Funding!$F$76/Inputs!$F$182*MAX(0,MIN(Time!AS33,MIN(Inputs!$F$182,Inputs!$F$228*12))-MIN(Time!AS32,MIN(Inputs!$F$182,Inputs!$F$228*12)))</f>
        <v/>
      </c>
      <c r="AT11" s="13">
        <f>(Inputs!$F$177*Funding!$F$76/Inputs!$F$178+Inputs!$F$179*Funding!$F$76/Inputs!$F$180)*AT7+Inputs!$F$181*Funding!$F$76/Inputs!$F$182*MAX(0,MIN(Time!AT33,MIN(Inputs!$F$182,Inputs!$F$228*12))-MIN(Time!AT32,MIN(Inputs!$F$182,Inputs!$F$228*12)))</f>
        <v/>
      </c>
      <c r="AU11" s="13">
        <f>(Inputs!$F$177*Funding!$F$76/Inputs!$F$178+Inputs!$F$179*Funding!$F$76/Inputs!$F$180)*AU7+Inputs!$F$181*Funding!$F$76/Inputs!$F$182*MAX(0,MIN(Time!AU33,MIN(Inputs!$F$182,Inputs!$F$228*12))-MIN(Time!AU32,MIN(Inputs!$F$182,Inputs!$F$228*12)))</f>
        <v/>
      </c>
      <c r="AV11" s="13">
        <f>(Inputs!$F$177*Funding!$F$76/Inputs!$F$178+Inputs!$F$179*Funding!$F$76/Inputs!$F$180)*AV7+Inputs!$F$181*Funding!$F$76/Inputs!$F$182*MAX(0,MIN(Time!AV33,MIN(Inputs!$F$182,Inputs!$F$228*12))-MIN(Time!AV32,MIN(Inputs!$F$182,Inputs!$F$228*12)))</f>
        <v/>
      </c>
      <c r="AW11" s="13">
        <f>(Inputs!$F$177*Funding!$F$76/Inputs!$F$178+Inputs!$F$179*Funding!$F$76/Inputs!$F$180)*AW7+Inputs!$F$181*Funding!$F$76/Inputs!$F$182*MAX(0,MIN(Time!AW33,MIN(Inputs!$F$182,Inputs!$F$228*12))-MIN(Time!AW32,MIN(Inputs!$F$182,Inputs!$F$228*12)))</f>
        <v/>
      </c>
      <c r="AX11" s="13">
        <f>(Inputs!$F$177*Funding!$F$76/Inputs!$F$178+Inputs!$F$179*Funding!$F$76/Inputs!$F$180)*AX7+Inputs!$F$181*Funding!$F$76/Inputs!$F$182*MAX(0,MIN(Time!AX33,MIN(Inputs!$F$182,Inputs!$F$228*12))-MIN(Time!AX32,MIN(Inputs!$F$182,Inputs!$F$228*12)))</f>
        <v/>
      </c>
      <c r="AY11" s="13">
        <f>(Inputs!$F$177*Funding!$F$76/Inputs!$F$178+Inputs!$F$179*Funding!$F$76/Inputs!$F$180)*AY7+Inputs!$F$181*Funding!$F$76/Inputs!$F$182*MAX(0,MIN(Time!AY33,MIN(Inputs!$F$182,Inputs!$F$228*12))-MIN(Time!AY32,MIN(Inputs!$F$182,Inputs!$F$228*12)))</f>
        <v/>
      </c>
      <c r="AZ11" s="13">
        <f>(Inputs!$F$177*Funding!$F$76/Inputs!$F$178+Inputs!$F$179*Funding!$F$76/Inputs!$F$180)*AZ7+Inputs!$F$181*Funding!$F$76/Inputs!$F$182*MAX(0,MIN(Time!AZ33,MIN(Inputs!$F$182,Inputs!$F$228*12))-MIN(Time!AZ32,MIN(Inputs!$F$182,Inputs!$F$228*12)))</f>
        <v/>
      </c>
      <c r="BA11" s="13">
        <f>(Inputs!$F$177*Funding!$F$76/Inputs!$F$178+Inputs!$F$179*Funding!$F$76/Inputs!$F$180)*BA7+Inputs!$F$181*Funding!$F$76/Inputs!$F$182*MAX(0,MIN(Time!BA33,MIN(Inputs!$F$182,Inputs!$F$228*12))-MIN(Time!BA32,MIN(Inputs!$F$182,Inputs!$F$228*12)))</f>
        <v/>
      </c>
      <c r="BB11" s="13">
        <f>(Inputs!$F$177*Funding!$F$76/Inputs!$F$178+Inputs!$F$179*Funding!$F$76/Inputs!$F$180)*BB7+Inputs!$F$181*Funding!$F$76/Inputs!$F$182*MAX(0,MIN(Time!BB33,MIN(Inputs!$F$182,Inputs!$F$228*12))-MIN(Time!BB32,MIN(Inputs!$F$182,Inputs!$F$228*12)))</f>
        <v/>
      </c>
      <c r="BC11" s="13">
        <f>(Inputs!$F$177*Funding!$F$76/Inputs!$F$178+Inputs!$F$179*Funding!$F$76/Inputs!$F$180)*BC7+Inputs!$F$181*Funding!$F$76/Inputs!$F$182*MAX(0,MIN(Time!BC33,MIN(Inputs!$F$182,Inputs!$F$228*12))-MIN(Time!BC32,MIN(Inputs!$F$182,Inputs!$F$228*12)))</f>
        <v/>
      </c>
      <c r="BD11" s="13">
        <f>(Inputs!$F$177*Funding!$F$76/Inputs!$F$178+Inputs!$F$179*Funding!$F$76/Inputs!$F$180)*BD7+Inputs!$F$181*Funding!$F$76/Inputs!$F$182*MAX(0,MIN(Time!BD33,MIN(Inputs!$F$182,Inputs!$F$228*12))-MIN(Time!BD32,MIN(Inputs!$F$182,Inputs!$F$228*12)))</f>
        <v/>
      </c>
      <c r="BE11" s="13">
        <f>(Inputs!$F$177*Funding!$F$76/Inputs!$F$178+Inputs!$F$179*Funding!$F$76/Inputs!$F$180)*BE7+Inputs!$F$181*Funding!$F$76/Inputs!$F$182*MAX(0,MIN(Time!BE33,MIN(Inputs!$F$182,Inputs!$F$228*12))-MIN(Time!BE32,MIN(Inputs!$F$182,Inputs!$F$228*12)))</f>
        <v/>
      </c>
      <c r="BF11" s="13">
        <f>(Inputs!$F$177*Funding!$F$76/Inputs!$F$178+Inputs!$F$179*Funding!$F$76/Inputs!$F$180)*BF7+Inputs!$F$181*Funding!$F$76/Inputs!$F$182*MAX(0,MIN(Time!BF33,MIN(Inputs!$F$182,Inputs!$F$228*12))-MIN(Time!BF32,MIN(Inputs!$F$182,Inputs!$F$228*12)))</f>
        <v/>
      </c>
      <c r="BG11" s="13">
        <f>(Inputs!$F$177*Funding!$F$76/Inputs!$F$178+Inputs!$F$179*Funding!$F$76/Inputs!$F$180)*BG7+Inputs!$F$181*Funding!$F$76/Inputs!$F$182*MAX(0,MIN(Time!BG33,MIN(Inputs!$F$182,Inputs!$F$228*12))-MIN(Time!BG32,MIN(Inputs!$F$182,Inputs!$F$228*12)))</f>
        <v/>
      </c>
      <c r="BH11" s="13">
        <f>(Inputs!$F$177*Funding!$F$76/Inputs!$F$178+Inputs!$F$179*Funding!$F$76/Inputs!$F$180)*BH7+Inputs!$F$181*Funding!$F$76/Inputs!$F$182*MAX(0,MIN(Time!BH33,MIN(Inputs!$F$182,Inputs!$F$228*12))-MIN(Time!BH32,MIN(Inputs!$F$182,Inputs!$F$228*12)))</f>
        <v/>
      </c>
      <c r="BI11" s="13">
        <f>(Inputs!$F$177*Funding!$F$76/Inputs!$F$178+Inputs!$F$179*Funding!$F$76/Inputs!$F$180)*BI7+Inputs!$F$181*Funding!$F$76/Inputs!$F$182*MAX(0,MIN(Time!BI33,MIN(Inputs!$F$182,Inputs!$F$228*12))-MIN(Time!BI32,MIN(Inputs!$F$182,Inputs!$F$228*12)))</f>
        <v/>
      </c>
      <c r="BJ11" s="13">
        <f>(Inputs!$F$177*Funding!$F$76/Inputs!$F$178+Inputs!$F$179*Funding!$F$76/Inputs!$F$180)*BJ7+Inputs!$F$181*Funding!$F$76/Inputs!$F$182*MAX(0,MIN(Time!BJ33,MIN(Inputs!$F$182,Inputs!$F$228*12))-MIN(Time!BJ32,MIN(Inputs!$F$182,Inputs!$F$228*12)))</f>
        <v/>
      </c>
      <c r="BK11" s="13">
        <f>(Inputs!$F$177*Funding!$F$76/Inputs!$F$178+Inputs!$F$179*Funding!$F$76/Inputs!$F$180)*BK7+Inputs!$F$181*Funding!$F$76/Inputs!$F$182*MAX(0,MIN(Time!BK33,MIN(Inputs!$F$182,Inputs!$F$228*12))-MIN(Time!BK32,MIN(Inputs!$F$182,Inputs!$F$228*12)))</f>
        <v/>
      </c>
      <c r="BL11" s="13">
        <f>(Inputs!$F$177*Funding!$F$76/Inputs!$F$178+Inputs!$F$179*Funding!$F$76/Inputs!$F$180)*BL7+Inputs!$F$181*Funding!$F$76/Inputs!$F$182*MAX(0,MIN(Time!BL33,MIN(Inputs!$F$182,Inputs!$F$228*12))-MIN(Time!BL32,MIN(Inputs!$F$182,Inputs!$F$228*12)))</f>
        <v/>
      </c>
      <c r="BM11" s="13">
        <f>(Inputs!$F$177*Funding!$F$76/Inputs!$F$178+Inputs!$F$179*Funding!$F$76/Inputs!$F$180)*BM7+Inputs!$F$181*Funding!$F$76/Inputs!$F$182*MAX(0,MIN(Time!BM33,MIN(Inputs!$F$182,Inputs!$F$228*12))-MIN(Time!BM32,MIN(Inputs!$F$182,Inputs!$F$228*12)))</f>
        <v/>
      </c>
      <c r="BN11" s="13">
        <f>(Inputs!$F$177*Funding!$F$76/Inputs!$F$178+Inputs!$F$179*Funding!$F$76/Inputs!$F$180)*BN7+Inputs!$F$181*Funding!$F$76/Inputs!$F$182*MAX(0,MIN(Time!BN33,MIN(Inputs!$F$182,Inputs!$F$228*12))-MIN(Time!BN32,MIN(Inputs!$F$182,Inputs!$F$228*12)))</f>
        <v/>
      </c>
    </row>
    <row r="12">
      <c r="D12" t="inlineStr">
        <is>
          <t>Depreciation deducted currently</t>
        </is>
      </c>
      <c r="E12" t="inlineStr">
        <is>
          <t>USD m</t>
        </is>
      </c>
      <c r="G12" s="13">
        <f>SUM(J12:BN12)</f>
        <v/>
      </c>
      <c r="J12" s="13">
        <f>J10-J11</f>
        <v/>
      </c>
      <c r="K12" s="13">
        <f>K10-K11</f>
        <v/>
      </c>
      <c r="L12" s="13">
        <f>L10-L11</f>
        <v/>
      </c>
      <c r="M12" s="13">
        <f>M10-M11</f>
        <v/>
      </c>
      <c r="N12" s="13">
        <f>N10-N11</f>
        <v/>
      </c>
      <c r="O12" s="13">
        <f>O10-O11</f>
        <v/>
      </c>
      <c r="P12" s="13">
        <f>P10-P11</f>
        <v/>
      </c>
      <c r="Q12" s="13">
        <f>Q10-Q11</f>
        <v/>
      </c>
      <c r="R12" s="13">
        <f>R10-R11</f>
        <v/>
      </c>
      <c r="S12" s="13">
        <f>S10-S11</f>
        <v/>
      </c>
      <c r="T12" s="13">
        <f>T10-T11</f>
        <v/>
      </c>
      <c r="U12" s="13">
        <f>U10-U11</f>
        <v/>
      </c>
      <c r="V12" s="13">
        <f>V10-V11</f>
        <v/>
      </c>
      <c r="W12" s="13">
        <f>W10-W11</f>
        <v/>
      </c>
      <c r="X12" s="13">
        <f>X10-X11</f>
        <v/>
      </c>
      <c r="Y12" s="13">
        <f>Y10-Y11</f>
        <v/>
      </c>
      <c r="Z12" s="13">
        <f>Z10-Z11</f>
        <v/>
      </c>
      <c r="AA12" s="13">
        <f>AA10-AA11</f>
        <v/>
      </c>
      <c r="AB12" s="13">
        <f>AB10-AB11</f>
        <v/>
      </c>
      <c r="AC12" s="13">
        <f>AC10-AC11</f>
        <v/>
      </c>
      <c r="AD12" s="13">
        <f>AD10-AD11</f>
        <v/>
      </c>
      <c r="AE12" s="13">
        <f>AE10-AE11</f>
        <v/>
      </c>
      <c r="AF12" s="13">
        <f>AF10-AF11</f>
        <v/>
      </c>
      <c r="AG12" s="13">
        <f>AG10-AG11</f>
        <v/>
      </c>
      <c r="AH12" s="13">
        <f>AH10-AH11</f>
        <v/>
      </c>
      <c r="AI12" s="13">
        <f>AI10-AI11</f>
        <v/>
      </c>
      <c r="AJ12" s="13">
        <f>AJ10-AJ11</f>
        <v/>
      </c>
      <c r="AK12" s="13">
        <f>AK10-AK11</f>
        <v/>
      </c>
      <c r="AL12" s="13">
        <f>AL10-AL11</f>
        <v/>
      </c>
      <c r="AM12" s="13">
        <f>AM10-AM11</f>
        <v/>
      </c>
      <c r="AN12" s="13">
        <f>AN10-AN11</f>
        <v/>
      </c>
      <c r="AO12" s="13">
        <f>AO10-AO11</f>
        <v/>
      </c>
      <c r="AP12" s="13">
        <f>AP10-AP11</f>
        <v/>
      </c>
      <c r="AQ12" s="13">
        <f>AQ10-AQ11</f>
        <v/>
      </c>
      <c r="AR12" s="13">
        <f>AR10-AR11</f>
        <v/>
      </c>
      <c r="AS12" s="13">
        <f>AS10-AS11</f>
        <v/>
      </c>
      <c r="AT12" s="13">
        <f>AT10-AT11</f>
        <v/>
      </c>
      <c r="AU12" s="13">
        <f>AU10-AU11</f>
        <v/>
      </c>
      <c r="AV12" s="13">
        <f>AV10-AV11</f>
        <v/>
      </c>
      <c r="AW12" s="13">
        <f>AW10-AW11</f>
        <v/>
      </c>
      <c r="AX12" s="13">
        <f>AX10-AX11</f>
        <v/>
      </c>
      <c r="AY12" s="13">
        <f>AY10-AY11</f>
        <v/>
      </c>
      <c r="AZ12" s="13">
        <f>AZ10-AZ11</f>
        <v/>
      </c>
      <c r="BA12" s="13">
        <f>BA10-BA11</f>
        <v/>
      </c>
      <c r="BB12" s="13">
        <f>BB10-BB11</f>
        <v/>
      </c>
      <c r="BC12" s="13">
        <f>BC10-BC11</f>
        <v/>
      </c>
      <c r="BD12" s="13">
        <f>BD10-BD11</f>
        <v/>
      </c>
      <c r="BE12" s="13">
        <f>BE10-BE11</f>
        <v/>
      </c>
      <c r="BF12" s="13">
        <f>BF10-BF11</f>
        <v/>
      </c>
      <c r="BG12" s="13">
        <f>BG10-BG11</f>
        <v/>
      </c>
      <c r="BH12" s="13">
        <f>BH10-BH11</f>
        <v/>
      </c>
      <c r="BI12" s="13">
        <f>BI10-BI11</f>
        <v/>
      </c>
      <c r="BJ12" s="13">
        <f>BJ10-BJ11</f>
        <v/>
      </c>
      <c r="BK12" s="13">
        <f>BK10-BK11</f>
        <v/>
      </c>
      <c r="BL12" s="13">
        <f>BL10-BL11</f>
        <v/>
      </c>
      <c r="BM12" s="13">
        <f>BM10-BM11</f>
        <v/>
      </c>
      <c r="BN12" s="13">
        <f>BN10-BN11</f>
        <v/>
      </c>
    </row>
    <row r="13">
      <c r="D13" t="inlineStr">
        <is>
          <t>Shareholder loan interest accrued</t>
        </is>
      </c>
      <c r="E13" t="inlineStr">
        <is>
          <t>USD m</t>
        </is>
      </c>
      <c r="G13" s="13">
        <f>SUM(J13:BN13)</f>
        <v/>
      </c>
      <c r="J13" s="13">
        <f>IF(Time!J20&gt;=Time!$F$12,Waterfall!J33*Inputs!$F$104/100*Time!J31/Inputs!$F$248,0)</f>
        <v/>
      </c>
      <c r="K13" s="13">
        <f>IF(Time!K20&gt;=Time!$F$12,Waterfall!K33*Inputs!$F$104/100*Time!K31/Inputs!$F$248,0)</f>
        <v/>
      </c>
      <c r="L13" s="13">
        <f>IF(Time!L20&gt;=Time!$F$12,Waterfall!L33*Inputs!$F$104/100*Time!L31/Inputs!$F$248,0)</f>
        <v/>
      </c>
      <c r="M13" s="13">
        <f>IF(Time!M20&gt;=Time!$F$12,Waterfall!M33*Inputs!$F$104/100*Time!M31/Inputs!$F$248,0)</f>
        <v/>
      </c>
      <c r="N13" s="13">
        <f>IF(Time!N20&gt;=Time!$F$12,Waterfall!N33*Inputs!$F$104/100*Time!N31/Inputs!$F$248,0)</f>
        <v/>
      </c>
      <c r="O13" s="13">
        <f>IF(Time!O20&gt;=Time!$F$12,Waterfall!O33*Inputs!$F$104/100*Time!O31/Inputs!$F$248,0)</f>
        <v/>
      </c>
      <c r="P13" s="13">
        <f>IF(Time!P20&gt;=Time!$F$12,Waterfall!P33*Inputs!$F$104/100*Time!P31/Inputs!$F$248,0)</f>
        <v/>
      </c>
      <c r="Q13" s="13">
        <f>IF(Time!Q20&gt;=Time!$F$12,Waterfall!Q33*Inputs!$F$104/100*Time!Q31/Inputs!$F$248,0)</f>
        <v/>
      </c>
      <c r="R13" s="13">
        <f>IF(Time!R20&gt;=Time!$F$12,Waterfall!R33*Inputs!$F$104/100*Time!R31/Inputs!$F$248,0)</f>
        <v/>
      </c>
      <c r="S13" s="13">
        <f>IF(Time!S20&gt;=Time!$F$12,Waterfall!S33*Inputs!$F$104/100*Time!S31/Inputs!$F$248,0)</f>
        <v/>
      </c>
      <c r="T13" s="13">
        <f>IF(Time!T20&gt;=Time!$F$12,Waterfall!T33*Inputs!$F$104/100*Time!T31/Inputs!$F$248,0)</f>
        <v/>
      </c>
      <c r="U13" s="13">
        <f>IF(Time!U20&gt;=Time!$F$12,Waterfall!U33*Inputs!$F$104/100*Time!U31/Inputs!$F$248,0)</f>
        <v/>
      </c>
      <c r="V13" s="13">
        <f>IF(Time!V20&gt;=Time!$F$12,Waterfall!V33*Inputs!$F$104/100*Time!V31/Inputs!$F$248,0)</f>
        <v/>
      </c>
      <c r="W13" s="13">
        <f>IF(Time!W20&gt;=Time!$F$12,Waterfall!W33*Inputs!$F$104/100*Time!W31/Inputs!$F$248,0)</f>
        <v/>
      </c>
      <c r="X13" s="13">
        <f>IF(Time!X20&gt;=Time!$F$12,Waterfall!X33*Inputs!$F$104/100*Time!X31/Inputs!$F$248,0)</f>
        <v/>
      </c>
      <c r="Y13" s="13">
        <f>IF(Time!Y20&gt;=Time!$F$12,Waterfall!Y33*Inputs!$F$104/100*Time!Y31/Inputs!$F$248,0)</f>
        <v/>
      </c>
      <c r="Z13" s="13">
        <f>IF(Time!Z20&gt;=Time!$F$12,Waterfall!Z33*Inputs!$F$104/100*Time!Z31/Inputs!$F$248,0)</f>
        <v/>
      </c>
      <c r="AA13" s="13">
        <f>IF(Time!AA20&gt;=Time!$F$12,Waterfall!AA33*Inputs!$F$104/100*Time!AA31/Inputs!$F$248,0)</f>
        <v/>
      </c>
      <c r="AB13" s="13">
        <f>IF(Time!AB20&gt;=Time!$F$12,Waterfall!AB33*Inputs!$F$104/100*Time!AB31/Inputs!$F$248,0)</f>
        <v/>
      </c>
      <c r="AC13" s="13">
        <f>IF(Time!AC20&gt;=Time!$F$12,Waterfall!AC33*Inputs!$F$104/100*Time!AC31/Inputs!$F$248,0)</f>
        <v/>
      </c>
      <c r="AD13" s="13">
        <f>IF(Time!AD20&gt;=Time!$F$12,Waterfall!AD33*Inputs!$F$104/100*Time!AD31/Inputs!$F$248,0)</f>
        <v/>
      </c>
      <c r="AE13" s="13">
        <f>IF(Time!AE20&gt;=Time!$F$12,Waterfall!AE33*Inputs!$F$104/100*Time!AE31/Inputs!$F$248,0)</f>
        <v/>
      </c>
      <c r="AF13" s="13">
        <f>IF(Time!AF20&gt;=Time!$F$12,Waterfall!AF33*Inputs!$F$104/100*Time!AF31/Inputs!$F$248,0)</f>
        <v/>
      </c>
      <c r="AG13" s="13">
        <f>IF(Time!AG20&gt;=Time!$F$12,Waterfall!AG33*Inputs!$F$104/100*Time!AG31/Inputs!$F$248,0)</f>
        <v/>
      </c>
      <c r="AH13" s="13">
        <f>IF(Time!AH20&gt;=Time!$F$12,Waterfall!AH33*Inputs!$F$104/100*Time!AH31/Inputs!$F$248,0)</f>
        <v/>
      </c>
      <c r="AI13" s="13">
        <f>IF(Time!AI20&gt;=Time!$F$12,Waterfall!AI33*Inputs!$F$104/100*Time!AI31/Inputs!$F$248,0)</f>
        <v/>
      </c>
      <c r="AJ13" s="13">
        <f>IF(Time!AJ20&gt;=Time!$F$12,Waterfall!AJ33*Inputs!$F$104/100*Time!AJ31/Inputs!$F$248,0)</f>
        <v/>
      </c>
      <c r="AK13" s="13">
        <f>IF(Time!AK20&gt;=Time!$F$12,Waterfall!AK33*Inputs!$F$104/100*Time!AK31/Inputs!$F$248,0)</f>
        <v/>
      </c>
      <c r="AL13" s="13">
        <f>IF(Time!AL20&gt;=Time!$F$12,Waterfall!AL33*Inputs!$F$104/100*Time!AL31/Inputs!$F$248,0)</f>
        <v/>
      </c>
      <c r="AM13" s="13">
        <f>IF(Time!AM20&gt;=Time!$F$12,Waterfall!AM33*Inputs!$F$104/100*Time!AM31/Inputs!$F$248,0)</f>
        <v/>
      </c>
      <c r="AN13" s="13">
        <f>IF(Time!AN20&gt;=Time!$F$12,Waterfall!AN33*Inputs!$F$104/100*Time!AN31/Inputs!$F$248,0)</f>
        <v/>
      </c>
      <c r="AO13" s="13">
        <f>IF(Time!AO20&gt;=Time!$F$12,Waterfall!AO33*Inputs!$F$104/100*Time!AO31/Inputs!$F$248,0)</f>
        <v/>
      </c>
      <c r="AP13" s="13">
        <f>IF(Time!AP20&gt;=Time!$F$12,Waterfall!AP33*Inputs!$F$104/100*Time!AP31/Inputs!$F$248,0)</f>
        <v/>
      </c>
      <c r="AQ13" s="13">
        <f>IF(Time!AQ20&gt;=Time!$F$12,Waterfall!AQ33*Inputs!$F$104/100*Time!AQ31/Inputs!$F$248,0)</f>
        <v/>
      </c>
      <c r="AR13" s="13">
        <f>IF(Time!AR20&gt;=Time!$F$12,Waterfall!AR33*Inputs!$F$104/100*Time!AR31/Inputs!$F$248,0)</f>
        <v/>
      </c>
      <c r="AS13" s="13">
        <f>IF(Time!AS20&gt;=Time!$F$12,Waterfall!AS33*Inputs!$F$104/100*Time!AS31/Inputs!$F$248,0)</f>
        <v/>
      </c>
      <c r="AT13" s="13">
        <f>IF(Time!AT20&gt;=Time!$F$12,Waterfall!AT33*Inputs!$F$104/100*Time!AT31/Inputs!$F$248,0)</f>
        <v/>
      </c>
      <c r="AU13" s="13">
        <f>IF(Time!AU20&gt;=Time!$F$12,Waterfall!AU33*Inputs!$F$104/100*Time!AU31/Inputs!$F$248,0)</f>
        <v/>
      </c>
      <c r="AV13" s="13">
        <f>IF(Time!AV20&gt;=Time!$F$12,Waterfall!AV33*Inputs!$F$104/100*Time!AV31/Inputs!$F$248,0)</f>
        <v/>
      </c>
      <c r="AW13" s="13">
        <f>IF(Time!AW20&gt;=Time!$F$12,Waterfall!AW33*Inputs!$F$104/100*Time!AW31/Inputs!$F$248,0)</f>
        <v/>
      </c>
      <c r="AX13" s="13">
        <f>IF(Time!AX20&gt;=Time!$F$12,Waterfall!AX33*Inputs!$F$104/100*Time!AX31/Inputs!$F$248,0)</f>
        <v/>
      </c>
      <c r="AY13" s="13">
        <f>IF(Time!AY20&gt;=Time!$F$12,Waterfall!AY33*Inputs!$F$104/100*Time!AY31/Inputs!$F$248,0)</f>
        <v/>
      </c>
      <c r="AZ13" s="13">
        <f>IF(Time!AZ20&gt;=Time!$F$12,Waterfall!AZ33*Inputs!$F$104/100*Time!AZ31/Inputs!$F$248,0)</f>
        <v/>
      </c>
      <c r="BA13" s="13">
        <f>IF(Time!BA20&gt;=Time!$F$12,Waterfall!BA33*Inputs!$F$104/100*Time!BA31/Inputs!$F$248,0)</f>
        <v/>
      </c>
      <c r="BB13" s="13">
        <f>IF(Time!BB20&gt;=Time!$F$12,Waterfall!BB33*Inputs!$F$104/100*Time!BB31/Inputs!$F$248,0)</f>
        <v/>
      </c>
      <c r="BC13" s="13">
        <f>IF(Time!BC20&gt;=Time!$F$12,Waterfall!BC33*Inputs!$F$104/100*Time!BC31/Inputs!$F$248,0)</f>
        <v/>
      </c>
      <c r="BD13" s="13">
        <f>IF(Time!BD20&gt;=Time!$F$12,Waterfall!BD33*Inputs!$F$104/100*Time!BD31/Inputs!$F$248,0)</f>
        <v/>
      </c>
      <c r="BE13" s="13">
        <f>IF(Time!BE20&gt;=Time!$F$12,Waterfall!BE33*Inputs!$F$104/100*Time!BE31/Inputs!$F$248,0)</f>
        <v/>
      </c>
      <c r="BF13" s="13">
        <f>IF(Time!BF20&gt;=Time!$F$12,Waterfall!BF33*Inputs!$F$104/100*Time!BF31/Inputs!$F$248,0)</f>
        <v/>
      </c>
      <c r="BG13" s="13">
        <f>IF(Time!BG20&gt;=Time!$F$12,Waterfall!BG33*Inputs!$F$104/100*Time!BG31/Inputs!$F$248,0)</f>
        <v/>
      </c>
      <c r="BH13" s="13">
        <f>IF(Time!BH20&gt;=Time!$F$12,Waterfall!BH33*Inputs!$F$104/100*Time!BH31/Inputs!$F$248,0)</f>
        <v/>
      </c>
      <c r="BI13" s="13">
        <f>IF(Time!BI20&gt;=Time!$F$12,Waterfall!BI33*Inputs!$F$104/100*Time!BI31/Inputs!$F$248,0)</f>
        <v/>
      </c>
      <c r="BJ13" s="13">
        <f>IF(Time!BJ20&gt;=Time!$F$12,Waterfall!BJ33*Inputs!$F$104/100*Time!BJ31/Inputs!$F$248,0)</f>
        <v/>
      </c>
      <c r="BK13" s="13">
        <f>IF(Time!BK20&gt;=Time!$F$12,Waterfall!BK33*Inputs!$F$104/100*Time!BK31/Inputs!$F$248,0)</f>
        <v/>
      </c>
      <c r="BL13" s="13">
        <f>IF(Time!BL20&gt;=Time!$F$12,Waterfall!BL33*Inputs!$F$104/100*Time!BL31/Inputs!$F$248,0)</f>
        <v/>
      </c>
      <c r="BM13" s="13">
        <f>IF(Time!BM20&gt;=Time!$F$12,Waterfall!BM33*Inputs!$F$104/100*Time!BM31/Inputs!$F$248,0)</f>
        <v/>
      </c>
      <c r="BN13" s="13">
        <f>IF(Time!BN20&gt;=Time!$F$12,Waterfall!BN33*Inputs!$F$104/100*Time!BN31/Inputs!$F$248,0)</f>
        <v/>
      </c>
    </row>
    <row r="14">
      <c r="D14" t="inlineStr">
        <is>
          <t>Thin cap: deductible share = min(1, 3 x equity / SHL)</t>
        </is>
      </c>
      <c r="E14" t="inlineStr">
        <is>
          <t>fraction</t>
        </is>
      </c>
      <c r="J14" s="3">
        <f>IF(Waterfall!J33&gt;0,MIN(1,Inputs!$F$183*(Waterfall!$F$32+MAX(0,Waterfall!I43))/Waterfall!J33),1)</f>
        <v/>
      </c>
      <c r="K14" s="3">
        <f>IF(Waterfall!K33&gt;0,MIN(1,Inputs!$F$183*(Waterfall!$F$32+MAX(0,Waterfall!J43))/Waterfall!K33),1)</f>
        <v/>
      </c>
      <c r="L14" s="3">
        <f>IF(Waterfall!L33&gt;0,MIN(1,Inputs!$F$183*(Waterfall!$F$32+MAX(0,Waterfall!K43))/Waterfall!L33),1)</f>
        <v/>
      </c>
      <c r="M14" s="3">
        <f>IF(Waterfall!M33&gt;0,MIN(1,Inputs!$F$183*(Waterfall!$F$32+MAX(0,Waterfall!L43))/Waterfall!M33),1)</f>
        <v/>
      </c>
      <c r="N14" s="3">
        <f>IF(Waterfall!N33&gt;0,MIN(1,Inputs!$F$183*(Waterfall!$F$32+MAX(0,Waterfall!M43))/Waterfall!N33),1)</f>
        <v/>
      </c>
      <c r="O14" s="3">
        <f>IF(Waterfall!O33&gt;0,MIN(1,Inputs!$F$183*(Waterfall!$F$32+MAX(0,Waterfall!N43))/Waterfall!O33),1)</f>
        <v/>
      </c>
      <c r="P14" s="3">
        <f>IF(Waterfall!P33&gt;0,MIN(1,Inputs!$F$183*(Waterfall!$F$32+MAX(0,Waterfall!O43))/Waterfall!P33),1)</f>
        <v/>
      </c>
      <c r="Q14" s="3">
        <f>IF(Waterfall!Q33&gt;0,MIN(1,Inputs!$F$183*(Waterfall!$F$32+MAX(0,Waterfall!P43))/Waterfall!Q33),1)</f>
        <v/>
      </c>
      <c r="R14" s="3">
        <f>IF(Waterfall!R33&gt;0,MIN(1,Inputs!$F$183*(Waterfall!$F$32+MAX(0,Waterfall!Q43))/Waterfall!R33),1)</f>
        <v/>
      </c>
      <c r="S14" s="3">
        <f>IF(Waterfall!S33&gt;0,MIN(1,Inputs!$F$183*(Waterfall!$F$32+MAX(0,Waterfall!R43))/Waterfall!S33),1)</f>
        <v/>
      </c>
      <c r="T14" s="3">
        <f>IF(Waterfall!T33&gt;0,MIN(1,Inputs!$F$183*(Waterfall!$F$32+MAX(0,Waterfall!S43))/Waterfall!T33),1)</f>
        <v/>
      </c>
      <c r="U14" s="3">
        <f>IF(Waterfall!U33&gt;0,MIN(1,Inputs!$F$183*(Waterfall!$F$32+MAX(0,Waterfall!T43))/Waterfall!U33),1)</f>
        <v/>
      </c>
      <c r="V14" s="3">
        <f>IF(Waterfall!V33&gt;0,MIN(1,Inputs!$F$183*(Waterfall!$F$32+MAX(0,Waterfall!U43))/Waterfall!V33),1)</f>
        <v/>
      </c>
      <c r="W14" s="3">
        <f>IF(Waterfall!W33&gt;0,MIN(1,Inputs!$F$183*(Waterfall!$F$32+MAX(0,Waterfall!V43))/Waterfall!W33),1)</f>
        <v/>
      </c>
      <c r="X14" s="3">
        <f>IF(Waterfall!X33&gt;0,MIN(1,Inputs!$F$183*(Waterfall!$F$32+MAX(0,Waterfall!W43))/Waterfall!X33),1)</f>
        <v/>
      </c>
      <c r="Y14" s="3">
        <f>IF(Waterfall!Y33&gt;0,MIN(1,Inputs!$F$183*(Waterfall!$F$32+MAX(0,Waterfall!X43))/Waterfall!Y33),1)</f>
        <v/>
      </c>
      <c r="Z14" s="3">
        <f>IF(Waterfall!Z33&gt;0,MIN(1,Inputs!$F$183*(Waterfall!$F$32+MAX(0,Waterfall!Y43))/Waterfall!Z33),1)</f>
        <v/>
      </c>
      <c r="AA14" s="3">
        <f>IF(Waterfall!AA33&gt;0,MIN(1,Inputs!$F$183*(Waterfall!$F$32+MAX(0,Waterfall!Z43))/Waterfall!AA33),1)</f>
        <v/>
      </c>
      <c r="AB14" s="3">
        <f>IF(Waterfall!AB33&gt;0,MIN(1,Inputs!$F$183*(Waterfall!$F$32+MAX(0,Waterfall!AA43))/Waterfall!AB33),1)</f>
        <v/>
      </c>
      <c r="AC14" s="3">
        <f>IF(Waterfall!AC33&gt;0,MIN(1,Inputs!$F$183*(Waterfall!$F$32+MAX(0,Waterfall!AB43))/Waterfall!AC33),1)</f>
        <v/>
      </c>
      <c r="AD14" s="3">
        <f>IF(Waterfall!AD33&gt;0,MIN(1,Inputs!$F$183*(Waterfall!$F$32+MAX(0,Waterfall!AC43))/Waterfall!AD33),1)</f>
        <v/>
      </c>
      <c r="AE14" s="3">
        <f>IF(Waterfall!AE33&gt;0,MIN(1,Inputs!$F$183*(Waterfall!$F$32+MAX(0,Waterfall!AD43))/Waterfall!AE33),1)</f>
        <v/>
      </c>
      <c r="AF14" s="3">
        <f>IF(Waterfall!AF33&gt;0,MIN(1,Inputs!$F$183*(Waterfall!$F$32+MAX(0,Waterfall!AE43))/Waterfall!AF33),1)</f>
        <v/>
      </c>
      <c r="AG14" s="3">
        <f>IF(Waterfall!AG33&gt;0,MIN(1,Inputs!$F$183*(Waterfall!$F$32+MAX(0,Waterfall!AF43))/Waterfall!AG33),1)</f>
        <v/>
      </c>
      <c r="AH14" s="3">
        <f>IF(Waterfall!AH33&gt;0,MIN(1,Inputs!$F$183*(Waterfall!$F$32+MAX(0,Waterfall!AG43))/Waterfall!AH33),1)</f>
        <v/>
      </c>
      <c r="AI14" s="3">
        <f>IF(Waterfall!AI33&gt;0,MIN(1,Inputs!$F$183*(Waterfall!$F$32+MAX(0,Waterfall!AH43))/Waterfall!AI33),1)</f>
        <v/>
      </c>
      <c r="AJ14" s="3">
        <f>IF(Waterfall!AJ33&gt;0,MIN(1,Inputs!$F$183*(Waterfall!$F$32+MAX(0,Waterfall!AI43))/Waterfall!AJ33),1)</f>
        <v/>
      </c>
      <c r="AK14" s="3">
        <f>IF(Waterfall!AK33&gt;0,MIN(1,Inputs!$F$183*(Waterfall!$F$32+MAX(0,Waterfall!AJ43))/Waterfall!AK33),1)</f>
        <v/>
      </c>
      <c r="AL14" s="3">
        <f>IF(Waterfall!AL33&gt;0,MIN(1,Inputs!$F$183*(Waterfall!$F$32+MAX(0,Waterfall!AK43))/Waterfall!AL33),1)</f>
        <v/>
      </c>
      <c r="AM14" s="3">
        <f>IF(Waterfall!AM33&gt;0,MIN(1,Inputs!$F$183*(Waterfall!$F$32+MAX(0,Waterfall!AL43))/Waterfall!AM33),1)</f>
        <v/>
      </c>
      <c r="AN14" s="3">
        <f>IF(Waterfall!AN33&gt;0,MIN(1,Inputs!$F$183*(Waterfall!$F$32+MAX(0,Waterfall!AM43))/Waterfall!AN33),1)</f>
        <v/>
      </c>
      <c r="AO14" s="3">
        <f>IF(Waterfall!AO33&gt;0,MIN(1,Inputs!$F$183*(Waterfall!$F$32+MAX(0,Waterfall!AN43))/Waterfall!AO33),1)</f>
        <v/>
      </c>
      <c r="AP14" s="3">
        <f>IF(Waterfall!AP33&gt;0,MIN(1,Inputs!$F$183*(Waterfall!$F$32+MAX(0,Waterfall!AO43))/Waterfall!AP33),1)</f>
        <v/>
      </c>
      <c r="AQ14" s="3">
        <f>IF(Waterfall!AQ33&gt;0,MIN(1,Inputs!$F$183*(Waterfall!$F$32+MAX(0,Waterfall!AP43))/Waterfall!AQ33),1)</f>
        <v/>
      </c>
      <c r="AR14" s="3">
        <f>IF(Waterfall!AR33&gt;0,MIN(1,Inputs!$F$183*(Waterfall!$F$32+MAX(0,Waterfall!AQ43))/Waterfall!AR33),1)</f>
        <v/>
      </c>
      <c r="AS14" s="3">
        <f>IF(Waterfall!AS33&gt;0,MIN(1,Inputs!$F$183*(Waterfall!$F$32+MAX(0,Waterfall!AR43))/Waterfall!AS33),1)</f>
        <v/>
      </c>
      <c r="AT14" s="3">
        <f>IF(Waterfall!AT33&gt;0,MIN(1,Inputs!$F$183*(Waterfall!$F$32+MAX(0,Waterfall!AS43))/Waterfall!AT33),1)</f>
        <v/>
      </c>
      <c r="AU14" s="3">
        <f>IF(Waterfall!AU33&gt;0,MIN(1,Inputs!$F$183*(Waterfall!$F$32+MAX(0,Waterfall!AT43))/Waterfall!AU33),1)</f>
        <v/>
      </c>
      <c r="AV14" s="3">
        <f>IF(Waterfall!AV33&gt;0,MIN(1,Inputs!$F$183*(Waterfall!$F$32+MAX(0,Waterfall!AU43))/Waterfall!AV33),1)</f>
        <v/>
      </c>
      <c r="AW14" s="3">
        <f>IF(Waterfall!AW33&gt;0,MIN(1,Inputs!$F$183*(Waterfall!$F$32+MAX(0,Waterfall!AV43))/Waterfall!AW33),1)</f>
        <v/>
      </c>
      <c r="AX14" s="3">
        <f>IF(Waterfall!AX33&gt;0,MIN(1,Inputs!$F$183*(Waterfall!$F$32+MAX(0,Waterfall!AW43))/Waterfall!AX33),1)</f>
        <v/>
      </c>
      <c r="AY14" s="3">
        <f>IF(Waterfall!AY33&gt;0,MIN(1,Inputs!$F$183*(Waterfall!$F$32+MAX(0,Waterfall!AX43))/Waterfall!AY33),1)</f>
        <v/>
      </c>
      <c r="AZ14" s="3">
        <f>IF(Waterfall!AZ33&gt;0,MIN(1,Inputs!$F$183*(Waterfall!$F$32+MAX(0,Waterfall!AY43))/Waterfall!AZ33),1)</f>
        <v/>
      </c>
      <c r="BA14" s="3">
        <f>IF(Waterfall!BA33&gt;0,MIN(1,Inputs!$F$183*(Waterfall!$F$32+MAX(0,Waterfall!AZ43))/Waterfall!BA33),1)</f>
        <v/>
      </c>
      <c r="BB14" s="3">
        <f>IF(Waterfall!BB33&gt;0,MIN(1,Inputs!$F$183*(Waterfall!$F$32+MAX(0,Waterfall!BA43))/Waterfall!BB33),1)</f>
        <v/>
      </c>
      <c r="BC14" s="3">
        <f>IF(Waterfall!BC33&gt;0,MIN(1,Inputs!$F$183*(Waterfall!$F$32+MAX(0,Waterfall!BB43))/Waterfall!BC33),1)</f>
        <v/>
      </c>
      <c r="BD14" s="3">
        <f>IF(Waterfall!BD33&gt;0,MIN(1,Inputs!$F$183*(Waterfall!$F$32+MAX(0,Waterfall!BC43))/Waterfall!BD33),1)</f>
        <v/>
      </c>
      <c r="BE14" s="3">
        <f>IF(Waterfall!BE33&gt;0,MIN(1,Inputs!$F$183*(Waterfall!$F$32+MAX(0,Waterfall!BD43))/Waterfall!BE33),1)</f>
        <v/>
      </c>
      <c r="BF14" s="3">
        <f>IF(Waterfall!BF33&gt;0,MIN(1,Inputs!$F$183*(Waterfall!$F$32+MAX(0,Waterfall!BE43))/Waterfall!BF33),1)</f>
        <v/>
      </c>
      <c r="BG14" s="3">
        <f>IF(Waterfall!BG33&gt;0,MIN(1,Inputs!$F$183*(Waterfall!$F$32+MAX(0,Waterfall!BF43))/Waterfall!BG33),1)</f>
        <v/>
      </c>
      <c r="BH14" s="3">
        <f>IF(Waterfall!BH33&gt;0,MIN(1,Inputs!$F$183*(Waterfall!$F$32+MAX(0,Waterfall!BG43))/Waterfall!BH33),1)</f>
        <v/>
      </c>
      <c r="BI14" s="3">
        <f>IF(Waterfall!BI33&gt;0,MIN(1,Inputs!$F$183*(Waterfall!$F$32+MAX(0,Waterfall!BH43))/Waterfall!BI33),1)</f>
        <v/>
      </c>
      <c r="BJ14" s="3">
        <f>IF(Waterfall!BJ33&gt;0,MIN(1,Inputs!$F$183*(Waterfall!$F$32+MAX(0,Waterfall!BI43))/Waterfall!BJ33),1)</f>
        <v/>
      </c>
      <c r="BK14" s="3">
        <f>IF(Waterfall!BK33&gt;0,MIN(1,Inputs!$F$183*(Waterfall!$F$32+MAX(0,Waterfall!BJ43))/Waterfall!BK33),1)</f>
        <v/>
      </c>
      <c r="BL14" s="3">
        <f>IF(Waterfall!BL33&gt;0,MIN(1,Inputs!$F$183*(Waterfall!$F$32+MAX(0,Waterfall!BK43))/Waterfall!BL33),1)</f>
        <v/>
      </c>
      <c r="BM14" s="3">
        <f>IF(Waterfall!BM33&gt;0,MIN(1,Inputs!$F$183*(Waterfall!$F$32+MAX(0,Waterfall!BL43))/Waterfall!BM33),1)</f>
        <v/>
      </c>
      <c r="BN14" s="3">
        <f>IF(Waterfall!BN33&gt;0,MIN(1,Inputs!$F$183*(Waterfall!$F$32+MAX(0,Waterfall!BM43))/Waterfall!BN33),1)</f>
        <v/>
      </c>
    </row>
    <row r="15">
      <c r="D15" t="inlineStr">
        <is>
          <t>Shareholder loan interest deductible</t>
        </is>
      </c>
      <c r="E15" t="inlineStr">
        <is>
          <t>USD m</t>
        </is>
      </c>
      <c r="G15" s="13">
        <f>SUM(J15:BN15)</f>
        <v/>
      </c>
      <c r="J15" s="13">
        <f>J13*J14</f>
        <v/>
      </c>
      <c r="K15" s="13">
        <f>K13*K14</f>
        <v/>
      </c>
      <c r="L15" s="13">
        <f>L13*L14</f>
        <v/>
      </c>
      <c r="M15" s="13">
        <f>M13*M14</f>
        <v/>
      </c>
      <c r="N15" s="13">
        <f>N13*N14</f>
        <v/>
      </c>
      <c r="O15" s="13">
        <f>O13*O14</f>
        <v/>
      </c>
      <c r="P15" s="13">
        <f>P13*P14</f>
        <v/>
      </c>
      <c r="Q15" s="13">
        <f>Q13*Q14</f>
        <v/>
      </c>
      <c r="R15" s="13">
        <f>R13*R14</f>
        <v/>
      </c>
      <c r="S15" s="13">
        <f>S13*S14</f>
        <v/>
      </c>
      <c r="T15" s="13">
        <f>T13*T14</f>
        <v/>
      </c>
      <c r="U15" s="13">
        <f>U13*U14</f>
        <v/>
      </c>
      <c r="V15" s="13">
        <f>V13*V14</f>
        <v/>
      </c>
      <c r="W15" s="13">
        <f>W13*W14</f>
        <v/>
      </c>
      <c r="X15" s="13">
        <f>X13*X14</f>
        <v/>
      </c>
      <c r="Y15" s="13">
        <f>Y13*Y14</f>
        <v/>
      </c>
      <c r="Z15" s="13">
        <f>Z13*Z14</f>
        <v/>
      </c>
      <c r="AA15" s="13">
        <f>AA13*AA14</f>
        <v/>
      </c>
      <c r="AB15" s="13">
        <f>AB13*AB14</f>
        <v/>
      </c>
      <c r="AC15" s="13">
        <f>AC13*AC14</f>
        <v/>
      </c>
      <c r="AD15" s="13">
        <f>AD13*AD14</f>
        <v/>
      </c>
      <c r="AE15" s="13">
        <f>AE13*AE14</f>
        <v/>
      </c>
      <c r="AF15" s="13">
        <f>AF13*AF14</f>
        <v/>
      </c>
      <c r="AG15" s="13">
        <f>AG13*AG14</f>
        <v/>
      </c>
      <c r="AH15" s="13">
        <f>AH13*AH14</f>
        <v/>
      </c>
      <c r="AI15" s="13">
        <f>AI13*AI14</f>
        <v/>
      </c>
      <c r="AJ15" s="13">
        <f>AJ13*AJ14</f>
        <v/>
      </c>
      <c r="AK15" s="13">
        <f>AK13*AK14</f>
        <v/>
      </c>
      <c r="AL15" s="13">
        <f>AL13*AL14</f>
        <v/>
      </c>
      <c r="AM15" s="13">
        <f>AM13*AM14</f>
        <v/>
      </c>
      <c r="AN15" s="13">
        <f>AN13*AN14</f>
        <v/>
      </c>
      <c r="AO15" s="13">
        <f>AO13*AO14</f>
        <v/>
      </c>
      <c r="AP15" s="13">
        <f>AP13*AP14</f>
        <v/>
      </c>
      <c r="AQ15" s="13">
        <f>AQ13*AQ14</f>
        <v/>
      </c>
      <c r="AR15" s="13">
        <f>AR13*AR14</f>
        <v/>
      </c>
      <c r="AS15" s="13">
        <f>AS13*AS14</f>
        <v/>
      </c>
      <c r="AT15" s="13">
        <f>AT13*AT14</f>
        <v/>
      </c>
      <c r="AU15" s="13">
        <f>AU13*AU14</f>
        <v/>
      </c>
      <c r="AV15" s="13">
        <f>AV13*AV14</f>
        <v/>
      </c>
      <c r="AW15" s="13">
        <f>AW13*AW14</f>
        <v/>
      </c>
      <c r="AX15" s="13">
        <f>AX13*AX14</f>
        <v/>
      </c>
      <c r="AY15" s="13">
        <f>AY13*AY14</f>
        <v/>
      </c>
      <c r="AZ15" s="13">
        <f>AZ13*AZ14</f>
        <v/>
      </c>
      <c r="BA15" s="13">
        <f>BA13*BA14</f>
        <v/>
      </c>
      <c r="BB15" s="13">
        <f>BB13*BB14</f>
        <v/>
      </c>
      <c r="BC15" s="13">
        <f>BC13*BC14</f>
        <v/>
      </c>
      <c r="BD15" s="13">
        <f>BD13*BD14</f>
        <v/>
      </c>
      <c r="BE15" s="13">
        <f>BE13*BE14</f>
        <v/>
      </c>
      <c r="BF15" s="13">
        <f>BF13*BF14</f>
        <v/>
      </c>
      <c r="BG15" s="13">
        <f>BG13*BG14</f>
        <v/>
      </c>
      <c r="BH15" s="13">
        <f>BH13*BH14</f>
        <v/>
      </c>
      <c r="BI15" s="13">
        <f>BI13*BI14</f>
        <v/>
      </c>
      <c r="BJ15" s="13">
        <f>BJ13*BJ14</f>
        <v/>
      </c>
      <c r="BK15" s="13">
        <f>BK13*BK14</f>
        <v/>
      </c>
      <c r="BL15" s="13">
        <f>BL13*BL14</f>
        <v/>
      </c>
      <c r="BM15" s="13">
        <f>BM13*BM14</f>
        <v/>
      </c>
      <c r="BN15" s="13">
        <f>BN13*BN14</f>
        <v/>
      </c>
    </row>
    <row r="16">
      <c r="D16" t="inlineStr">
        <is>
          <t>Senior financing costs deductible (all grandfathered)</t>
        </is>
      </c>
      <c r="E16" t="inlineStr">
        <is>
          <t>USD m</t>
        </is>
      </c>
      <c r="G16" s="13">
        <f>SUM(J16:BN16)</f>
        <v/>
      </c>
      <c r="J16" s="13">
        <f>Debt!J112+Debt!J110+Debt!J104-Debt!J103</f>
        <v/>
      </c>
      <c r="K16" s="13">
        <f>Debt!K112+Debt!K110+Debt!K104-Debt!K103</f>
        <v/>
      </c>
      <c r="L16" s="13">
        <f>Debt!L112+Debt!L110+Debt!L104-Debt!L103</f>
        <v/>
      </c>
      <c r="M16" s="13">
        <f>Debt!M112+Debt!M110+Debt!M104-Debt!M103</f>
        <v/>
      </c>
      <c r="N16" s="13">
        <f>Debt!N112+Debt!N110+Debt!N104-Debt!N103</f>
        <v/>
      </c>
      <c r="O16" s="13">
        <f>Debt!O112+Debt!O110+Debt!O104-Debt!O103</f>
        <v/>
      </c>
      <c r="P16" s="13">
        <f>Debt!P112+Debt!P110+Debt!P104-Debt!P103</f>
        <v/>
      </c>
      <c r="Q16" s="13">
        <f>Debt!Q112+Debt!Q110+Debt!Q104-Debt!Q103</f>
        <v/>
      </c>
      <c r="R16" s="13">
        <f>Debt!R112+Debt!R110+Debt!R104-Debt!R103</f>
        <v/>
      </c>
      <c r="S16" s="13">
        <f>Debt!S112+Debt!S110+Debt!S104-Debt!S103</f>
        <v/>
      </c>
      <c r="T16" s="13">
        <f>Debt!T112+Debt!T110+Debt!T104-Debt!T103</f>
        <v/>
      </c>
      <c r="U16" s="13">
        <f>Debt!U112+Debt!U110+Debt!U104-Debt!U103</f>
        <v/>
      </c>
      <c r="V16" s="13">
        <f>Debt!V112+Debt!V110+Debt!V104-Debt!V103</f>
        <v/>
      </c>
      <c r="W16" s="13">
        <f>Debt!W112+Debt!W110+Debt!W104-Debt!W103</f>
        <v/>
      </c>
      <c r="X16" s="13">
        <f>Debt!X112+Debt!X110+Debt!X104-Debt!X103</f>
        <v/>
      </c>
      <c r="Y16" s="13">
        <f>Debt!Y112+Debt!Y110+Debt!Y104-Debt!Y103</f>
        <v/>
      </c>
      <c r="Z16" s="13">
        <f>Debt!Z112+Debt!Z110+Debt!Z104-Debt!Z103</f>
        <v/>
      </c>
      <c r="AA16" s="13">
        <f>Debt!AA112+Debt!AA110+Debt!AA104-Debt!AA103</f>
        <v/>
      </c>
      <c r="AB16" s="13">
        <f>Debt!AB112+Debt!AB110+Debt!AB104-Debt!AB103</f>
        <v/>
      </c>
      <c r="AC16" s="13">
        <f>Debt!AC112+Debt!AC110+Debt!AC104-Debt!AC103</f>
        <v/>
      </c>
      <c r="AD16" s="13">
        <f>Debt!AD112+Debt!AD110+Debt!AD104-Debt!AD103</f>
        <v/>
      </c>
      <c r="AE16" s="13">
        <f>Debt!AE112+Debt!AE110+Debt!AE104-Debt!AE103</f>
        <v/>
      </c>
      <c r="AF16" s="13">
        <f>Debt!AF112+Debt!AF110+Debt!AF104-Debt!AF103</f>
        <v/>
      </c>
      <c r="AG16" s="13">
        <f>Debt!AG112+Debt!AG110+Debt!AG104-Debt!AG103</f>
        <v/>
      </c>
      <c r="AH16" s="13">
        <f>Debt!AH112+Debt!AH110+Debt!AH104-Debt!AH103</f>
        <v/>
      </c>
      <c r="AI16" s="13">
        <f>Debt!AI112+Debt!AI110+Debt!AI104-Debt!AI103</f>
        <v/>
      </c>
      <c r="AJ16" s="13">
        <f>Debt!AJ112+Debt!AJ110+Debt!AJ104-Debt!AJ103</f>
        <v/>
      </c>
      <c r="AK16" s="13">
        <f>Debt!AK112+Debt!AK110+Debt!AK104-Debt!AK103</f>
        <v/>
      </c>
      <c r="AL16" s="13">
        <f>Debt!AL112+Debt!AL110+Debt!AL104-Debt!AL103</f>
        <v/>
      </c>
      <c r="AM16" s="13">
        <f>Debt!AM112+Debt!AM110+Debt!AM104-Debt!AM103</f>
        <v/>
      </c>
      <c r="AN16" s="13">
        <f>Debt!AN112+Debt!AN110+Debt!AN104-Debt!AN103</f>
        <v/>
      </c>
      <c r="AO16" s="13">
        <f>Debt!AO112+Debt!AO110+Debt!AO104-Debt!AO103</f>
        <v/>
      </c>
      <c r="AP16" s="13">
        <f>Debt!AP112+Debt!AP110+Debt!AP104-Debt!AP103</f>
        <v/>
      </c>
      <c r="AQ16" s="13">
        <f>Debt!AQ112+Debt!AQ110+Debt!AQ104-Debt!AQ103</f>
        <v/>
      </c>
      <c r="AR16" s="13">
        <f>Debt!AR112+Debt!AR110+Debt!AR104-Debt!AR103</f>
        <v/>
      </c>
      <c r="AS16" s="13">
        <f>Debt!AS112+Debt!AS110+Debt!AS104-Debt!AS103</f>
        <v/>
      </c>
      <c r="AT16" s="13">
        <f>Debt!AT112+Debt!AT110+Debt!AT104-Debt!AT103</f>
        <v/>
      </c>
      <c r="AU16" s="13">
        <f>Debt!AU112+Debt!AU110+Debt!AU104-Debt!AU103</f>
        <v/>
      </c>
      <c r="AV16" s="13">
        <f>Debt!AV112+Debt!AV110+Debt!AV104-Debt!AV103</f>
        <v/>
      </c>
      <c r="AW16" s="13">
        <f>Debt!AW112+Debt!AW110+Debt!AW104-Debt!AW103</f>
        <v/>
      </c>
      <c r="AX16" s="13">
        <f>Debt!AX112+Debt!AX110+Debt!AX104-Debt!AX103</f>
        <v/>
      </c>
      <c r="AY16" s="13">
        <f>Debt!AY112+Debt!AY110+Debt!AY104-Debt!AY103</f>
        <v/>
      </c>
      <c r="AZ16" s="13">
        <f>Debt!AZ112+Debt!AZ110+Debt!AZ104-Debt!AZ103</f>
        <v/>
      </c>
      <c r="BA16" s="13">
        <f>Debt!BA112+Debt!BA110+Debt!BA104-Debt!BA103</f>
        <v/>
      </c>
      <c r="BB16" s="13">
        <f>Debt!BB112+Debt!BB110+Debt!BB104-Debt!BB103</f>
        <v/>
      </c>
      <c r="BC16" s="13">
        <f>Debt!BC112+Debt!BC110+Debt!BC104-Debt!BC103</f>
        <v/>
      </c>
      <c r="BD16" s="13">
        <f>Debt!BD112+Debt!BD110+Debt!BD104-Debt!BD103</f>
        <v/>
      </c>
      <c r="BE16" s="13">
        <f>Debt!BE112+Debt!BE110+Debt!BE104-Debt!BE103</f>
        <v/>
      </c>
      <c r="BF16" s="13">
        <f>Debt!BF112+Debt!BF110+Debt!BF104-Debt!BF103</f>
        <v/>
      </c>
      <c r="BG16" s="13">
        <f>Debt!BG112+Debt!BG110+Debt!BG104-Debt!BG103</f>
        <v/>
      </c>
      <c r="BH16" s="13">
        <f>Debt!BH112+Debt!BH110+Debt!BH104-Debt!BH103</f>
        <v/>
      </c>
      <c r="BI16" s="13">
        <f>Debt!BI112+Debt!BI110+Debt!BI104-Debt!BI103</f>
        <v/>
      </c>
      <c r="BJ16" s="13">
        <f>Debt!BJ112+Debt!BJ110+Debt!BJ104-Debt!BJ103</f>
        <v/>
      </c>
      <c r="BK16" s="13">
        <f>Debt!BK112+Debt!BK110+Debt!BK104-Debt!BK103</f>
        <v/>
      </c>
      <c r="BL16" s="13">
        <f>Debt!BL112+Debt!BL110+Debt!BL104-Debt!BL103</f>
        <v/>
      </c>
      <c r="BM16" s="13">
        <f>Debt!BM112+Debt!BM110+Debt!BM104-Debt!BM103</f>
        <v/>
      </c>
      <c r="BN16" s="13">
        <f>Debt!BN112+Debt!BN110+Debt!BN104-Debt!BN103</f>
        <v/>
      </c>
    </row>
    <row r="17">
      <c r="D17" t="inlineStr">
        <is>
          <t>Non-holiday share of operating months</t>
        </is>
      </c>
      <c r="E17" t="inlineStr">
        <is>
          <t>fraction</t>
        </is>
      </c>
      <c r="J17" s="13">
        <f>IF(Time!J30&gt;0,(Time!J30-J7)/Time!J30,0)</f>
        <v/>
      </c>
      <c r="K17" s="13">
        <f>IF(Time!K30&gt;0,(Time!K30-K7)/Time!K30,0)</f>
        <v/>
      </c>
      <c r="L17" s="13">
        <f>IF(Time!L30&gt;0,(Time!L30-L7)/Time!L30,0)</f>
        <v/>
      </c>
      <c r="M17" s="13">
        <f>IF(Time!M30&gt;0,(Time!M30-M7)/Time!M30,0)</f>
        <v/>
      </c>
      <c r="N17" s="13">
        <f>IF(Time!N30&gt;0,(Time!N30-N7)/Time!N30,0)</f>
        <v/>
      </c>
      <c r="O17" s="13">
        <f>IF(Time!O30&gt;0,(Time!O30-O7)/Time!O30,0)</f>
        <v/>
      </c>
      <c r="P17" s="13">
        <f>IF(Time!P30&gt;0,(Time!P30-P7)/Time!P30,0)</f>
        <v/>
      </c>
      <c r="Q17" s="13">
        <f>IF(Time!Q30&gt;0,(Time!Q30-Q7)/Time!Q30,0)</f>
        <v/>
      </c>
      <c r="R17" s="13">
        <f>IF(Time!R30&gt;0,(Time!R30-R7)/Time!R30,0)</f>
        <v/>
      </c>
      <c r="S17" s="13">
        <f>IF(Time!S30&gt;0,(Time!S30-S7)/Time!S30,0)</f>
        <v/>
      </c>
      <c r="T17" s="13">
        <f>IF(Time!T30&gt;0,(Time!T30-T7)/Time!T30,0)</f>
        <v/>
      </c>
      <c r="U17" s="13">
        <f>IF(Time!U30&gt;0,(Time!U30-U7)/Time!U30,0)</f>
        <v/>
      </c>
      <c r="V17" s="13">
        <f>IF(Time!V30&gt;0,(Time!V30-V7)/Time!V30,0)</f>
        <v/>
      </c>
      <c r="W17" s="13">
        <f>IF(Time!W30&gt;0,(Time!W30-W7)/Time!W30,0)</f>
        <v/>
      </c>
      <c r="X17" s="13">
        <f>IF(Time!X30&gt;0,(Time!X30-X7)/Time!X30,0)</f>
        <v/>
      </c>
      <c r="Y17" s="13">
        <f>IF(Time!Y30&gt;0,(Time!Y30-Y7)/Time!Y30,0)</f>
        <v/>
      </c>
      <c r="Z17" s="13">
        <f>IF(Time!Z30&gt;0,(Time!Z30-Z7)/Time!Z30,0)</f>
        <v/>
      </c>
      <c r="AA17" s="13">
        <f>IF(Time!AA30&gt;0,(Time!AA30-AA7)/Time!AA30,0)</f>
        <v/>
      </c>
      <c r="AB17" s="13">
        <f>IF(Time!AB30&gt;0,(Time!AB30-AB7)/Time!AB30,0)</f>
        <v/>
      </c>
      <c r="AC17" s="13">
        <f>IF(Time!AC30&gt;0,(Time!AC30-AC7)/Time!AC30,0)</f>
        <v/>
      </c>
      <c r="AD17" s="13">
        <f>IF(Time!AD30&gt;0,(Time!AD30-AD7)/Time!AD30,0)</f>
        <v/>
      </c>
      <c r="AE17" s="13">
        <f>IF(Time!AE30&gt;0,(Time!AE30-AE7)/Time!AE30,0)</f>
        <v/>
      </c>
      <c r="AF17" s="13">
        <f>IF(Time!AF30&gt;0,(Time!AF30-AF7)/Time!AF30,0)</f>
        <v/>
      </c>
      <c r="AG17" s="13">
        <f>IF(Time!AG30&gt;0,(Time!AG30-AG7)/Time!AG30,0)</f>
        <v/>
      </c>
      <c r="AH17" s="13">
        <f>IF(Time!AH30&gt;0,(Time!AH30-AH7)/Time!AH30,0)</f>
        <v/>
      </c>
      <c r="AI17" s="13">
        <f>IF(Time!AI30&gt;0,(Time!AI30-AI7)/Time!AI30,0)</f>
        <v/>
      </c>
      <c r="AJ17" s="13">
        <f>IF(Time!AJ30&gt;0,(Time!AJ30-AJ7)/Time!AJ30,0)</f>
        <v/>
      </c>
      <c r="AK17" s="13">
        <f>IF(Time!AK30&gt;0,(Time!AK30-AK7)/Time!AK30,0)</f>
        <v/>
      </c>
      <c r="AL17" s="13">
        <f>IF(Time!AL30&gt;0,(Time!AL30-AL7)/Time!AL30,0)</f>
        <v/>
      </c>
      <c r="AM17" s="13">
        <f>IF(Time!AM30&gt;0,(Time!AM30-AM7)/Time!AM30,0)</f>
        <v/>
      </c>
      <c r="AN17" s="13">
        <f>IF(Time!AN30&gt;0,(Time!AN30-AN7)/Time!AN30,0)</f>
        <v/>
      </c>
      <c r="AO17" s="13">
        <f>IF(Time!AO30&gt;0,(Time!AO30-AO7)/Time!AO30,0)</f>
        <v/>
      </c>
      <c r="AP17" s="13">
        <f>IF(Time!AP30&gt;0,(Time!AP30-AP7)/Time!AP30,0)</f>
        <v/>
      </c>
      <c r="AQ17" s="13">
        <f>IF(Time!AQ30&gt;0,(Time!AQ30-AQ7)/Time!AQ30,0)</f>
        <v/>
      </c>
      <c r="AR17" s="13">
        <f>IF(Time!AR30&gt;0,(Time!AR30-AR7)/Time!AR30,0)</f>
        <v/>
      </c>
      <c r="AS17" s="13">
        <f>IF(Time!AS30&gt;0,(Time!AS30-AS7)/Time!AS30,0)</f>
        <v/>
      </c>
      <c r="AT17" s="13">
        <f>IF(Time!AT30&gt;0,(Time!AT30-AT7)/Time!AT30,0)</f>
        <v/>
      </c>
      <c r="AU17" s="13">
        <f>IF(Time!AU30&gt;0,(Time!AU30-AU7)/Time!AU30,0)</f>
        <v/>
      </c>
      <c r="AV17" s="13">
        <f>IF(Time!AV30&gt;0,(Time!AV30-AV7)/Time!AV30,0)</f>
        <v/>
      </c>
      <c r="AW17" s="13">
        <f>IF(Time!AW30&gt;0,(Time!AW30-AW7)/Time!AW30,0)</f>
        <v/>
      </c>
      <c r="AX17" s="13">
        <f>IF(Time!AX30&gt;0,(Time!AX30-AX7)/Time!AX30,0)</f>
        <v/>
      </c>
      <c r="AY17" s="13">
        <f>IF(Time!AY30&gt;0,(Time!AY30-AY7)/Time!AY30,0)</f>
        <v/>
      </c>
      <c r="AZ17" s="13">
        <f>IF(Time!AZ30&gt;0,(Time!AZ30-AZ7)/Time!AZ30,0)</f>
        <v/>
      </c>
      <c r="BA17" s="13">
        <f>IF(Time!BA30&gt;0,(Time!BA30-BA7)/Time!BA30,0)</f>
        <v/>
      </c>
      <c r="BB17" s="13">
        <f>IF(Time!BB30&gt;0,(Time!BB30-BB7)/Time!BB30,0)</f>
        <v/>
      </c>
      <c r="BC17" s="13">
        <f>IF(Time!BC30&gt;0,(Time!BC30-BC7)/Time!BC30,0)</f>
        <v/>
      </c>
      <c r="BD17" s="13">
        <f>IF(Time!BD30&gt;0,(Time!BD30-BD7)/Time!BD30,0)</f>
        <v/>
      </c>
      <c r="BE17" s="13">
        <f>IF(Time!BE30&gt;0,(Time!BE30-BE7)/Time!BE30,0)</f>
        <v/>
      </c>
      <c r="BF17" s="13">
        <f>IF(Time!BF30&gt;0,(Time!BF30-BF7)/Time!BF30,0)</f>
        <v/>
      </c>
      <c r="BG17" s="13">
        <f>IF(Time!BG30&gt;0,(Time!BG30-BG7)/Time!BG30,0)</f>
        <v/>
      </c>
      <c r="BH17" s="13">
        <f>IF(Time!BH30&gt;0,(Time!BH30-BH7)/Time!BH30,0)</f>
        <v/>
      </c>
      <c r="BI17" s="13">
        <f>IF(Time!BI30&gt;0,(Time!BI30-BI7)/Time!BI30,0)</f>
        <v/>
      </c>
      <c r="BJ17" s="13">
        <f>IF(Time!BJ30&gt;0,(Time!BJ30-BJ7)/Time!BJ30,0)</f>
        <v/>
      </c>
      <c r="BK17" s="13">
        <f>IF(Time!BK30&gt;0,(Time!BK30-BK7)/Time!BK30,0)</f>
        <v/>
      </c>
      <c r="BL17" s="13">
        <f>IF(Time!BL30&gt;0,(Time!BL30-BL7)/Time!BL30,0)</f>
        <v/>
      </c>
      <c r="BM17" s="13">
        <f>IF(Time!BM30&gt;0,(Time!BM30-BM7)/Time!BM30,0)</f>
        <v/>
      </c>
      <c r="BN17" s="13">
        <f>IF(Time!BN30&gt;0,(Time!BN30-BN7)/Time!BN30,0)</f>
        <v/>
      </c>
    </row>
    <row r="18">
      <c r="D18" t="inlineStr">
        <is>
          <t>Taxable income before losses and deferred depreciation</t>
        </is>
      </c>
      <c r="E18" t="inlineStr">
        <is>
          <t>USD m</t>
        </is>
      </c>
      <c r="G18" s="13">
        <f>SUM(J18:BN18)</f>
        <v/>
      </c>
      <c r="J18" s="13">
        <f>(Operations!J84-J16-J15)*J17-J12</f>
        <v/>
      </c>
      <c r="K18" s="13">
        <f>(Operations!K84-K16-K15)*K17-K12</f>
        <v/>
      </c>
      <c r="L18" s="13">
        <f>(Operations!L84-L16-L15)*L17-L12</f>
        <v/>
      </c>
      <c r="M18" s="13">
        <f>(Operations!M84-M16-M15)*M17-M12</f>
        <v/>
      </c>
      <c r="N18" s="13">
        <f>(Operations!N84-N16-N15)*N17-N12</f>
        <v/>
      </c>
      <c r="O18" s="13">
        <f>(Operations!O84-O16-O15)*O17-O12</f>
        <v/>
      </c>
      <c r="P18" s="13">
        <f>(Operations!P84-P16-P15)*P17-P12</f>
        <v/>
      </c>
      <c r="Q18" s="13">
        <f>(Operations!Q84-Q16-Q15)*Q17-Q12</f>
        <v/>
      </c>
      <c r="R18" s="13">
        <f>(Operations!R84-R16-R15)*R17-R12</f>
        <v/>
      </c>
      <c r="S18" s="13">
        <f>(Operations!S84-S16-S15)*S17-S12</f>
        <v/>
      </c>
      <c r="T18" s="13">
        <f>(Operations!T84-T16-T15)*T17-T12</f>
        <v/>
      </c>
      <c r="U18" s="13">
        <f>(Operations!U84-U16-U15)*U17-U12</f>
        <v/>
      </c>
      <c r="V18" s="13">
        <f>(Operations!V84-V16-V15)*V17-V12</f>
        <v/>
      </c>
      <c r="W18" s="13">
        <f>(Operations!W84-W16-W15)*W17-W12</f>
        <v/>
      </c>
      <c r="X18" s="13">
        <f>(Operations!X84-X16-X15)*X17-X12</f>
        <v/>
      </c>
      <c r="Y18" s="13">
        <f>(Operations!Y84-Y16-Y15)*Y17-Y12</f>
        <v/>
      </c>
      <c r="Z18" s="13">
        <f>(Operations!Z84-Z16-Z15)*Z17-Z12</f>
        <v/>
      </c>
      <c r="AA18" s="13">
        <f>(Operations!AA84-AA16-AA15)*AA17-AA12</f>
        <v/>
      </c>
      <c r="AB18" s="13">
        <f>(Operations!AB84-AB16-AB15)*AB17-AB12</f>
        <v/>
      </c>
      <c r="AC18" s="13">
        <f>(Operations!AC84-AC16-AC15)*AC17-AC12</f>
        <v/>
      </c>
      <c r="AD18" s="13">
        <f>(Operations!AD84-AD16-AD15)*AD17-AD12</f>
        <v/>
      </c>
      <c r="AE18" s="13">
        <f>(Operations!AE84-AE16-AE15)*AE17-AE12</f>
        <v/>
      </c>
      <c r="AF18" s="13">
        <f>(Operations!AF84-AF16-AF15)*AF17-AF12</f>
        <v/>
      </c>
      <c r="AG18" s="13">
        <f>(Operations!AG84-AG16-AG15)*AG17-AG12</f>
        <v/>
      </c>
      <c r="AH18" s="13">
        <f>(Operations!AH84-AH16-AH15)*AH17-AH12</f>
        <v/>
      </c>
      <c r="AI18" s="13">
        <f>(Operations!AI84-AI16-AI15)*AI17-AI12</f>
        <v/>
      </c>
      <c r="AJ18" s="13">
        <f>(Operations!AJ84-AJ16-AJ15)*AJ17-AJ12</f>
        <v/>
      </c>
      <c r="AK18" s="13">
        <f>(Operations!AK84-AK16-AK15)*AK17-AK12</f>
        <v/>
      </c>
      <c r="AL18" s="13">
        <f>(Operations!AL84-AL16-AL15)*AL17-AL12</f>
        <v/>
      </c>
      <c r="AM18" s="13">
        <f>(Operations!AM84-AM16-AM15)*AM17-AM12</f>
        <v/>
      </c>
      <c r="AN18" s="13">
        <f>(Operations!AN84-AN16-AN15)*AN17-AN12</f>
        <v/>
      </c>
      <c r="AO18" s="13">
        <f>(Operations!AO84-AO16-AO15)*AO17-AO12</f>
        <v/>
      </c>
      <c r="AP18" s="13">
        <f>(Operations!AP84-AP16-AP15)*AP17-AP12</f>
        <v/>
      </c>
      <c r="AQ18" s="13">
        <f>(Operations!AQ84-AQ16-AQ15)*AQ17-AQ12</f>
        <v/>
      </c>
      <c r="AR18" s="13">
        <f>(Operations!AR84-AR16-AR15)*AR17-AR12</f>
        <v/>
      </c>
      <c r="AS18" s="13">
        <f>(Operations!AS84-AS16-AS15)*AS17-AS12</f>
        <v/>
      </c>
      <c r="AT18" s="13">
        <f>(Operations!AT84-AT16-AT15)*AT17-AT12</f>
        <v/>
      </c>
      <c r="AU18" s="13">
        <f>(Operations!AU84-AU16-AU15)*AU17-AU12</f>
        <v/>
      </c>
      <c r="AV18" s="13">
        <f>(Operations!AV84-AV16-AV15)*AV17-AV12</f>
        <v/>
      </c>
      <c r="AW18" s="13">
        <f>(Operations!AW84-AW16-AW15)*AW17-AW12</f>
        <v/>
      </c>
      <c r="AX18" s="13">
        <f>(Operations!AX84-AX16-AX15)*AX17-AX12</f>
        <v/>
      </c>
      <c r="AY18" s="13">
        <f>(Operations!AY84-AY16-AY15)*AY17-AY12</f>
        <v/>
      </c>
      <c r="AZ18" s="13">
        <f>(Operations!AZ84-AZ16-AZ15)*AZ17-AZ12</f>
        <v/>
      </c>
      <c r="BA18" s="13">
        <f>(Operations!BA84-BA16-BA15)*BA17-BA12</f>
        <v/>
      </c>
      <c r="BB18" s="13">
        <f>(Operations!BB84-BB16-BB15)*BB17-BB12</f>
        <v/>
      </c>
      <c r="BC18" s="13">
        <f>(Operations!BC84-BC16-BC15)*BC17-BC12</f>
        <v/>
      </c>
      <c r="BD18" s="13">
        <f>(Operations!BD84-BD16-BD15)*BD17-BD12</f>
        <v/>
      </c>
      <c r="BE18" s="13">
        <f>(Operations!BE84-BE16-BE15)*BE17-BE12</f>
        <v/>
      </c>
      <c r="BF18" s="13">
        <f>(Operations!BF84-BF16-BF15)*BF17-BF12</f>
        <v/>
      </c>
      <c r="BG18" s="13">
        <f>(Operations!BG84-BG16-BG15)*BG17-BG12</f>
        <v/>
      </c>
      <c r="BH18" s="13">
        <f>(Operations!BH84-BH16-BH15)*BH17-BH12</f>
        <v/>
      </c>
      <c r="BI18" s="13">
        <f>(Operations!BI84-BI16-BI15)*BI17-BI12</f>
        <v/>
      </c>
      <c r="BJ18" s="13">
        <f>(Operations!BJ84-BJ16-BJ15)*BJ17-BJ12</f>
        <v/>
      </c>
      <c r="BK18" s="13">
        <f>(Operations!BK84-BK16-BK15)*BK17-BK12</f>
        <v/>
      </c>
      <c r="BL18" s="13">
        <f>(Operations!BL84-BL16-BL15)*BL17-BL12</f>
        <v/>
      </c>
      <c r="BM18" s="13">
        <f>(Operations!BM84-BM16-BM15)*BM17-BM12</f>
        <v/>
      </c>
      <c r="BN18" s="13">
        <f>(Operations!BN84-BN16-BN15)*BN17-BN12</f>
        <v/>
      </c>
    </row>
    <row r="19">
      <c r="D19" t="inlineStr">
        <is>
          <t>Tax losses used</t>
        </is>
      </c>
      <c r="E19" t="inlineStr">
        <is>
          <t>USD m</t>
        </is>
      </c>
      <c r="G19" s="13">
        <f>SUM(J19:BN19)</f>
        <v/>
      </c>
      <c r="J19" s="13">
        <f>MIN(I22,MAX(0,J18))</f>
        <v/>
      </c>
      <c r="K19" s="13">
        <f>MIN(J22,MAX(0,K18))</f>
        <v/>
      </c>
      <c r="L19" s="13">
        <f>MIN(K22,MAX(0,L18))</f>
        <v/>
      </c>
      <c r="M19" s="13">
        <f>MIN(L22,MAX(0,M18))</f>
        <v/>
      </c>
      <c r="N19" s="13">
        <f>MIN(M22,MAX(0,N18))</f>
        <v/>
      </c>
      <c r="O19" s="13">
        <f>MIN(N22,MAX(0,O18))</f>
        <v/>
      </c>
      <c r="P19" s="13">
        <f>MIN(O22,MAX(0,P18))</f>
        <v/>
      </c>
      <c r="Q19" s="13">
        <f>MIN(P22,MAX(0,Q18))</f>
        <v/>
      </c>
      <c r="R19" s="13">
        <f>MIN(Q22,MAX(0,R18))</f>
        <v/>
      </c>
      <c r="S19" s="13">
        <f>MIN(R22,MAX(0,S18))</f>
        <v/>
      </c>
      <c r="T19" s="13">
        <f>MIN(S22,MAX(0,T18))</f>
        <v/>
      </c>
      <c r="U19" s="13">
        <f>MIN(T22,MAX(0,U18))</f>
        <v/>
      </c>
      <c r="V19" s="13">
        <f>MIN(U22,MAX(0,V18))</f>
        <v/>
      </c>
      <c r="W19" s="13">
        <f>MIN(V22,MAX(0,W18))</f>
        <v/>
      </c>
      <c r="X19" s="13">
        <f>MIN(W22,MAX(0,X18))</f>
        <v/>
      </c>
      <c r="Y19" s="13">
        <f>MIN(X22,MAX(0,Y18))</f>
        <v/>
      </c>
      <c r="Z19" s="13">
        <f>MIN(Y22,MAX(0,Z18))</f>
        <v/>
      </c>
      <c r="AA19" s="13">
        <f>MIN(Z22,MAX(0,AA18))</f>
        <v/>
      </c>
      <c r="AB19" s="13">
        <f>MIN(AA22,MAX(0,AB18))</f>
        <v/>
      </c>
      <c r="AC19" s="13">
        <f>MIN(AB22,MAX(0,AC18))</f>
        <v/>
      </c>
      <c r="AD19" s="13">
        <f>MIN(AC22,MAX(0,AD18))</f>
        <v/>
      </c>
      <c r="AE19" s="13">
        <f>MIN(AD22,MAX(0,AE18))</f>
        <v/>
      </c>
      <c r="AF19" s="13">
        <f>MIN(AE22,MAX(0,AF18))</f>
        <v/>
      </c>
      <c r="AG19" s="13">
        <f>MIN(AF22,MAX(0,AG18))</f>
        <v/>
      </c>
      <c r="AH19" s="13">
        <f>MIN(AG22,MAX(0,AH18))</f>
        <v/>
      </c>
      <c r="AI19" s="13">
        <f>MIN(AH22,MAX(0,AI18))</f>
        <v/>
      </c>
      <c r="AJ19" s="13">
        <f>MIN(AI22,MAX(0,AJ18))</f>
        <v/>
      </c>
      <c r="AK19" s="13">
        <f>MIN(AJ22,MAX(0,AK18))</f>
        <v/>
      </c>
      <c r="AL19" s="13">
        <f>MIN(AK22,MAX(0,AL18))</f>
        <v/>
      </c>
      <c r="AM19" s="13">
        <f>MIN(AL22,MAX(0,AM18))</f>
        <v/>
      </c>
      <c r="AN19" s="13">
        <f>MIN(AM22,MAX(0,AN18))</f>
        <v/>
      </c>
      <c r="AO19" s="13">
        <f>MIN(AN22,MAX(0,AO18))</f>
        <v/>
      </c>
      <c r="AP19" s="13">
        <f>MIN(AO22,MAX(0,AP18))</f>
        <v/>
      </c>
      <c r="AQ19" s="13">
        <f>MIN(AP22,MAX(0,AQ18))</f>
        <v/>
      </c>
      <c r="AR19" s="13">
        <f>MIN(AQ22,MAX(0,AR18))</f>
        <v/>
      </c>
      <c r="AS19" s="13">
        <f>MIN(AR22,MAX(0,AS18))</f>
        <v/>
      </c>
      <c r="AT19" s="13">
        <f>MIN(AS22,MAX(0,AT18))</f>
        <v/>
      </c>
      <c r="AU19" s="13">
        <f>MIN(AT22,MAX(0,AU18))</f>
        <v/>
      </c>
      <c r="AV19" s="13">
        <f>MIN(AU22,MAX(0,AV18))</f>
        <v/>
      </c>
      <c r="AW19" s="13">
        <f>MIN(AV22,MAX(0,AW18))</f>
        <v/>
      </c>
      <c r="AX19" s="13">
        <f>MIN(AW22,MAX(0,AX18))</f>
        <v/>
      </c>
      <c r="AY19" s="13">
        <f>MIN(AX22,MAX(0,AY18))</f>
        <v/>
      </c>
      <c r="AZ19" s="13">
        <f>MIN(AY22,MAX(0,AZ18))</f>
        <v/>
      </c>
      <c r="BA19" s="13">
        <f>MIN(AZ22,MAX(0,BA18))</f>
        <v/>
      </c>
      <c r="BB19" s="13">
        <f>MIN(BA22,MAX(0,BB18))</f>
        <v/>
      </c>
      <c r="BC19" s="13">
        <f>MIN(BB22,MAX(0,BC18))</f>
        <v/>
      </c>
      <c r="BD19" s="13">
        <f>MIN(BC22,MAX(0,BD18))</f>
        <v/>
      </c>
      <c r="BE19" s="13">
        <f>MIN(BD22,MAX(0,BE18))</f>
        <v/>
      </c>
      <c r="BF19" s="13">
        <f>MIN(BE22,MAX(0,BF18))</f>
        <v/>
      </c>
      <c r="BG19" s="13">
        <f>MIN(BF22,MAX(0,BG18))</f>
        <v/>
      </c>
      <c r="BH19" s="13">
        <f>MIN(BG22,MAX(0,BH18))</f>
        <v/>
      </c>
      <c r="BI19" s="13">
        <f>MIN(BH22,MAX(0,BI18))</f>
        <v/>
      </c>
      <c r="BJ19" s="13">
        <f>MIN(BI22,MAX(0,BJ18))</f>
        <v/>
      </c>
      <c r="BK19" s="13">
        <f>MIN(BJ22,MAX(0,BK18))</f>
        <v/>
      </c>
      <c r="BL19" s="13">
        <f>MIN(BK22,MAX(0,BL18))</f>
        <v/>
      </c>
      <c r="BM19" s="13">
        <f>MIN(BL22,MAX(0,BM18))</f>
        <v/>
      </c>
      <c r="BN19" s="13">
        <f>MIN(BM22,MAX(0,BN18))</f>
        <v/>
      </c>
    </row>
    <row r="20">
      <c r="D20" t="inlineStr">
        <is>
          <t>Deferred depreciation used</t>
        </is>
      </c>
      <c r="E20" t="inlineStr">
        <is>
          <t>USD m</t>
        </is>
      </c>
      <c r="G20" s="13">
        <f>SUM(J20:BN20)</f>
        <v/>
      </c>
      <c r="J20" s="13">
        <f>MIN(I21,MAX(0,J18-J19))</f>
        <v/>
      </c>
      <c r="K20" s="13">
        <f>MIN(J21,MAX(0,K18-K19))</f>
        <v/>
      </c>
      <c r="L20" s="13">
        <f>MIN(K21,MAX(0,L18-L19))</f>
        <v/>
      </c>
      <c r="M20" s="13">
        <f>MIN(L21,MAX(0,M18-M19))</f>
        <v/>
      </c>
      <c r="N20" s="13">
        <f>MIN(M21,MAX(0,N18-N19))</f>
        <v/>
      </c>
      <c r="O20" s="13">
        <f>MIN(N21,MAX(0,O18-O19))</f>
        <v/>
      </c>
      <c r="P20" s="13">
        <f>MIN(O21,MAX(0,P18-P19))</f>
        <v/>
      </c>
      <c r="Q20" s="13">
        <f>MIN(P21,MAX(0,Q18-Q19))</f>
        <v/>
      </c>
      <c r="R20" s="13">
        <f>MIN(Q21,MAX(0,R18-R19))</f>
        <v/>
      </c>
      <c r="S20" s="13">
        <f>MIN(R21,MAX(0,S18-S19))</f>
        <v/>
      </c>
      <c r="T20" s="13">
        <f>MIN(S21,MAX(0,T18-T19))</f>
        <v/>
      </c>
      <c r="U20" s="13">
        <f>MIN(T21,MAX(0,U18-U19))</f>
        <v/>
      </c>
      <c r="V20" s="13">
        <f>MIN(U21,MAX(0,V18-V19))</f>
        <v/>
      </c>
      <c r="W20" s="13">
        <f>MIN(V21,MAX(0,W18-W19))</f>
        <v/>
      </c>
      <c r="X20" s="13">
        <f>MIN(W21,MAX(0,X18-X19))</f>
        <v/>
      </c>
      <c r="Y20" s="13">
        <f>MIN(X21,MAX(0,Y18-Y19))</f>
        <v/>
      </c>
      <c r="Z20" s="13">
        <f>MIN(Y21,MAX(0,Z18-Z19))</f>
        <v/>
      </c>
      <c r="AA20" s="13">
        <f>MIN(Z21,MAX(0,AA18-AA19))</f>
        <v/>
      </c>
      <c r="AB20" s="13">
        <f>MIN(AA21,MAX(0,AB18-AB19))</f>
        <v/>
      </c>
      <c r="AC20" s="13">
        <f>MIN(AB21,MAX(0,AC18-AC19))</f>
        <v/>
      </c>
      <c r="AD20" s="13">
        <f>MIN(AC21,MAX(0,AD18-AD19))</f>
        <v/>
      </c>
      <c r="AE20" s="13">
        <f>MIN(AD21,MAX(0,AE18-AE19))</f>
        <v/>
      </c>
      <c r="AF20" s="13">
        <f>MIN(AE21,MAX(0,AF18-AF19))</f>
        <v/>
      </c>
      <c r="AG20" s="13">
        <f>MIN(AF21,MAX(0,AG18-AG19))</f>
        <v/>
      </c>
      <c r="AH20" s="13">
        <f>MIN(AG21,MAX(0,AH18-AH19))</f>
        <v/>
      </c>
      <c r="AI20" s="13">
        <f>MIN(AH21,MAX(0,AI18-AI19))</f>
        <v/>
      </c>
      <c r="AJ20" s="13">
        <f>MIN(AI21,MAX(0,AJ18-AJ19))</f>
        <v/>
      </c>
      <c r="AK20" s="13">
        <f>MIN(AJ21,MAX(0,AK18-AK19))</f>
        <v/>
      </c>
      <c r="AL20" s="13">
        <f>MIN(AK21,MAX(0,AL18-AL19))</f>
        <v/>
      </c>
      <c r="AM20" s="13">
        <f>MIN(AL21,MAX(0,AM18-AM19))</f>
        <v/>
      </c>
      <c r="AN20" s="13">
        <f>MIN(AM21,MAX(0,AN18-AN19))</f>
        <v/>
      </c>
      <c r="AO20" s="13">
        <f>MIN(AN21,MAX(0,AO18-AO19))</f>
        <v/>
      </c>
      <c r="AP20" s="13">
        <f>MIN(AO21,MAX(0,AP18-AP19))</f>
        <v/>
      </c>
      <c r="AQ20" s="13">
        <f>MIN(AP21,MAX(0,AQ18-AQ19))</f>
        <v/>
      </c>
      <c r="AR20" s="13">
        <f>MIN(AQ21,MAX(0,AR18-AR19))</f>
        <v/>
      </c>
      <c r="AS20" s="13">
        <f>MIN(AR21,MAX(0,AS18-AS19))</f>
        <v/>
      </c>
      <c r="AT20" s="13">
        <f>MIN(AS21,MAX(0,AT18-AT19))</f>
        <v/>
      </c>
      <c r="AU20" s="13">
        <f>MIN(AT21,MAX(0,AU18-AU19))</f>
        <v/>
      </c>
      <c r="AV20" s="13">
        <f>MIN(AU21,MAX(0,AV18-AV19))</f>
        <v/>
      </c>
      <c r="AW20" s="13">
        <f>MIN(AV21,MAX(0,AW18-AW19))</f>
        <v/>
      </c>
      <c r="AX20" s="13">
        <f>MIN(AW21,MAX(0,AX18-AX19))</f>
        <v/>
      </c>
      <c r="AY20" s="13">
        <f>MIN(AX21,MAX(0,AY18-AY19))</f>
        <v/>
      </c>
      <c r="AZ20" s="13">
        <f>MIN(AY21,MAX(0,AZ18-AZ19))</f>
        <v/>
      </c>
      <c r="BA20" s="13">
        <f>MIN(AZ21,MAX(0,BA18-BA19))</f>
        <v/>
      </c>
      <c r="BB20" s="13">
        <f>MIN(BA21,MAX(0,BB18-BB19))</f>
        <v/>
      </c>
      <c r="BC20" s="13">
        <f>MIN(BB21,MAX(0,BC18-BC19))</f>
        <v/>
      </c>
      <c r="BD20" s="13">
        <f>MIN(BC21,MAX(0,BD18-BD19))</f>
        <v/>
      </c>
      <c r="BE20" s="13">
        <f>MIN(BD21,MAX(0,BE18-BE19))</f>
        <v/>
      </c>
      <c r="BF20" s="13">
        <f>MIN(BE21,MAX(0,BF18-BF19))</f>
        <v/>
      </c>
      <c r="BG20" s="13">
        <f>MIN(BF21,MAX(0,BG18-BG19))</f>
        <v/>
      </c>
      <c r="BH20" s="13">
        <f>MIN(BG21,MAX(0,BH18-BH19))</f>
        <v/>
      </c>
      <c r="BI20" s="13">
        <f>MIN(BH21,MAX(0,BI18-BI19))</f>
        <v/>
      </c>
      <c r="BJ20" s="13">
        <f>MIN(BI21,MAX(0,BJ18-BJ19))</f>
        <v/>
      </c>
      <c r="BK20" s="13">
        <f>MIN(BJ21,MAX(0,BK18-BK19))</f>
        <v/>
      </c>
      <c r="BL20" s="13">
        <f>MIN(BK21,MAX(0,BL18-BL19))</f>
        <v/>
      </c>
      <c r="BM20" s="13">
        <f>MIN(BL21,MAX(0,BM18-BM19))</f>
        <v/>
      </c>
      <c r="BN20" s="13">
        <f>MIN(BM21,MAX(0,BN18-BN19))</f>
        <v/>
      </c>
    </row>
    <row r="21">
      <c r="D21" t="inlineStr">
        <is>
          <t>Deferred depreciation pool, closing</t>
        </is>
      </c>
      <c r="E21" t="inlineStr">
        <is>
          <t>USD m</t>
        </is>
      </c>
      <c r="J21" s="13">
        <f>I21+J11-J20</f>
        <v/>
      </c>
      <c r="K21" s="13">
        <f>J21+K11-K20</f>
        <v/>
      </c>
      <c r="L21" s="13">
        <f>K21+L11-L20</f>
        <v/>
      </c>
      <c r="M21" s="13">
        <f>L21+M11-M20</f>
        <v/>
      </c>
      <c r="N21" s="13">
        <f>M21+N11-N20</f>
        <v/>
      </c>
      <c r="O21" s="13">
        <f>N21+O11-O20</f>
        <v/>
      </c>
      <c r="P21" s="13">
        <f>O21+P11-P20</f>
        <v/>
      </c>
      <c r="Q21" s="13">
        <f>P21+Q11-Q20</f>
        <v/>
      </c>
      <c r="R21" s="13">
        <f>Q21+R11-R20</f>
        <v/>
      </c>
      <c r="S21" s="13">
        <f>R21+S11-S20</f>
        <v/>
      </c>
      <c r="T21" s="13">
        <f>S21+T11-T20</f>
        <v/>
      </c>
      <c r="U21" s="13">
        <f>T21+U11-U20</f>
        <v/>
      </c>
      <c r="V21" s="13">
        <f>U21+V11-V20</f>
        <v/>
      </c>
      <c r="W21" s="13">
        <f>V21+W11-W20</f>
        <v/>
      </c>
      <c r="X21" s="13">
        <f>W21+X11-X20</f>
        <v/>
      </c>
      <c r="Y21" s="13">
        <f>X21+Y11-Y20</f>
        <v/>
      </c>
      <c r="Z21" s="13">
        <f>Y21+Z11-Z20</f>
        <v/>
      </c>
      <c r="AA21" s="13">
        <f>Z21+AA11-AA20</f>
        <v/>
      </c>
      <c r="AB21" s="13">
        <f>AA21+AB11-AB20</f>
        <v/>
      </c>
      <c r="AC21" s="13">
        <f>AB21+AC11-AC20</f>
        <v/>
      </c>
      <c r="AD21" s="13">
        <f>AC21+AD11-AD20</f>
        <v/>
      </c>
      <c r="AE21" s="13">
        <f>AD21+AE11-AE20</f>
        <v/>
      </c>
      <c r="AF21" s="13">
        <f>AE21+AF11-AF20</f>
        <v/>
      </c>
      <c r="AG21" s="13">
        <f>AF21+AG11-AG20</f>
        <v/>
      </c>
      <c r="AH21" s="13">
        <f>AG21+AH11-AH20</f>
        <v/>
      </c>
      <c r="AI21" s="13">
        <f>AH21+AI11-AI20</f>
        <v/>
      </c>
      <c r="AJ21" s="13">
        <f>AI21+AJ11-AJ20</f>
        <v/>
      </c>
      <c r="AK21" s="13">
        <f>AJ21+AK11-AK20</f>
        <v/>
      </c>
      <c r="AL21" s="13">
        <f>AK21+AL11-AL20</f>
        <v/>
      </c>
      <c r="AM21" s="13">
        <f>AL21+AM11-AM20</f>
        <v/>
      </c>
      <c r="AN21" s="13">
        <f>AM21+AN11-AN20</f>
        <v/>
      </c>
      <c r="AO21" s="13">
        <f>AN21+AO11-AO20</f>
        <v/>
      </c>
      <c r="AP21" s="13">
        <f>AO21+AP11-AP20</f>
        <v/>
      </c>
      <c r="AQ21" s="13">
        <f>AP21+AQ11-AQ20</f>
        <v/>
      </c>
      <c r="AR21" s="13">
        <f>AQ21+AR11-AR20</f>
        <v/>
      </c>
      <c r="AS21" s="13">
        <f>AR21+AS11-AS20</f>
        <v/>
      </c>
      <c r="AT21" s="13">
        <f>AS21+AT11-AT20</f>
        <v/>
      </c>
      <c r="AU21" s="13">
        <f>AT21+AU11-AU20</f>
        <v/>
      </c>
      <c r="AV21" s="13">
        <f>AU21+AV11-AV20</f>
        <v/>
      </c>
      <c r="AW21" s="13">
        <f>AV21+AW11-AW20</f>
        <v/>
      </c>
      <c r="AX21" s="13">
        <f>AW21+AX11-AX20</f>
        <v/>
      </c>
      <c r="AY21" s="13">
        <f>AX21+AY11-AY20</f>
        <v/>
      </c>
      <c r="AZ21" s="13">
        <f>AY21+AZ11-AZ20</f>
        <v/>
      </c>
      <c r="BA21" s="13">
        <f>AZ21+BA11-BA20</f>
        <v/>
      </c>
      <c r="BB21" s="13">
        <f>BA21+BB11-BB20</f>
        <v/>
      </c>
      <c r="BC21" s="13">
        <f>BB21+BC11-BC20</f>
        <v/>
      </c>
      <c r="BD21" s="13">
        <f>BC21+BD11-BD20</f>
        <v/>
      </c>
      <c r="BE21" s="13">
        <f>BD21+BE11-BE20</f>
        <v/>
      </c>
      <c r="BF21" s="13">
        <f>BE21+BF11-BF20</f>
        <v/>
      </c>
      <c r="BG21" s="13">
        <f>BF21+BG11-BG20</f>
        <v/>
      </c>
      <c r="BH21" s="13">
        <f>BG21+BH11-BH20</f>
        <v/>
      </c>
      <c r="BI21" s="13">
        <f>BH21+BI11-BI20</f>
        <v/>
      </c>
      <c r="BJ21" s="13">
        <f>BI21+BJ11-BJ20</f>
        <v/>
      </c>
      <c r="BK21" s="13">
        <f>BJ21+BK11-BK20</f>
        <v/>
      </c>
      <c r="BL21" s="13">
        <f>BK21+BL11-BL20</f>
        <v/>
      </c>
      <c r="BM21" s="13">
        <f>BL21+BM11-BM20</f>
        <v/>
      </c>
      <c r="BN21" s="13">
        <f>BM21+BN11-BN20</f>
        <v/>
      </c>
    </row>
    <row r="22">
      <c r="D22" t="inlineStr">
        <is>
          <t>Tax losses carried forward, closing</t>
        </is>
      </c>
      <c r="E22" t="inlineStr">
        <is>
          <t>USD m</t>
        </is>
      </c>
      <c r="J22" s="13">
        <f>I22-J19+MAX(0,-J18)</f>
        <v/>
      </c>
      <c r="K22" s="13">
        <f>J22-K19+MAX(0,-K18)</f>
        <v/>
      </c>
      <c r="L22" s="13">
        <f>K22-L19+MAX(0,-L18)</f>
        <v/>
      </c>
      <c r="M22" s="13">
        <f>L22-M19+MAX(0,-M18)</f>
        <v/>
      </c>
      <c r="N22" s="13">
        <f>M22-N19+MAX(0,-N18)</f>
        <v/>
      </c>
      <c r="O22" s="13">
        <f>N22-O19+MAX(0,-O18)</f>
        <v/>
      </c>
      <c r="P22" s="13">
        <f>O22-P19+MAX(0,-P18)</f>
        <v/>
      </c>
      <c r="Q22" s="13">
        <f>P22-Q19+MAX(0,-Q18)</f>
        <v/>
      </c>
      <c r="R22" s="13">
        <f>Q22-R19+MAX(0,-R18)</f>
        <v/>
      </c>
      <c r="S22" s="13">
        <f>R22-S19+MAX(0,-S18)</f>
        <v/>
      </c>
      <c r="T22" s="13">
        <f>S22-T19+MAX(0,-T18)</f>
        <v/>
      </c>
      <c r="U22" s="13">
        <f>T22-U19+MAX(0,-U18)</f>
        <v/>
      </c>
      <c r="V22" s="13">
        <f>U22-V19+MAX(0,-V18)</f>
        <v/>
      </c>
      <c r="W22" s="13">
        <f>V22-W19+MAX(0,-W18)</f>
        <v/>
      </c>
      <c r="X22" s="13">
        <f>W22-X19+MAX(0,-X18)</f>
        <v/>
      </c>
      <c r="Y22" s="13">
        <f>X22-Y19+MAX(0,-Y18)</f>
        <v/>
      </c>
      <c r="Z22" s="13">
        <f>Y22-Z19+MAX(0,-Z18)</f>
        <v/>
      </c>
      <c r="AA22" s="13">
        <f>Z22-AA19+MAX(0,-AA18)</f>
        <v/>
      </c>
      <c r="AB22" s="13">
        <f>AA22-AB19+MAX(0,-AB18)</f>
        <v/>
      </c>
      <c r="AC22" s="13">
        <f>AB22-AC19+MAX(0,-AC18)</f>
        <v/>
      </c>
      <c r="AD22" s="13">
        <f>AC22-AD19+MAX(0,-AD18)</f>
        <v/>
      </c>
      <c r="AE22" s="13">
        <f>AD22-AE19+MAX(0,-AE18)</f>
        <v/>
      </c>
      <c r="AF22" s="13">
        <f>AE22-AF19+MAX(0,-AF18)</f>
        <v/>
      </c>
      <c r="AG22" s="13">
        <f>AF22-AG19+MAX(0,-AG18)</f>
        <v/>
      </c>
      <c r="AH22" s="13">
        <f>AG22-AH19+MAX(0,-AH18)</f>
        <v/>
      </c>
      <c r="AI22" s="13">
        <f>AH22-AI19+MAX(0,-AI18)</f>
        <v/>
      </c>
      <c r="AJ22" s="13">
        <f>AI22-AJ19+MAX(0,-AJ18)</f>
        <v/>
      </c>
      <c r="AK22" s="13">
        <f>AJ22-AK19+MAX(0,-AK18)</f>
        <v/>
      </c>
      <c r="AL22" s="13">
        <f>AK22-AL19+MAX(0,-AL18)</f>
        <v/>
      </c>
      <c r="AM22" s="13">
        <f>AL22-AM19+MAX(0,-AM18)</f>
        <v/>
      </c>
      <c r="AN22" s="13">
        <f>AM22-AN19+MAX(0,-AN18)</f>
        <v/>
      </c>
      <c r="AO22" s="13">
        <f>AN22-AO19+MAX(0,-AO18)</f>
        <v/>
      </c>
      <c r="AP22" s="13">
        <f>AO22-AP19+MAX(0,-AP18)</f>
        <v/>
      </c>
      <c r="AQ22" s="13">
        <f>AP22-AQ19+MAX(0,-AQ18)</f>
        <v/>
      </c>
      <c r="AR22" s="13">
        <f>AQ22-AR19+MAX(0,-AR18)</f>
        <v/>
      </c>
      <c r="AS22" s="13">
        <f>AR22-AS19+MAX(0,-AS18)</f>
        <v/>
      </c>
      <c r="AT22" s="13">
        <f>AS22-AT19+MAX(0,-AT18)</f>
        <v/>
      </c>
      <c r="AU22" s="13">
        <f>AT22-AU19+MAX(0,-AU18)</f>
        <v/>
      </c>
      <c r="AV22" s="13">
        <f>AU22-AV19+MAX(0,-AV18)</f>
        <v/>
      </c>
      <c r="AW22" s="13">
        <f>AV22-AW19+MAX(0,-AW18)</f>
        <v/>
      </c>
      <c r="AX22" s="13">
        <f>AW22-AX19+MAX(0,-AX18)</f>
        <v/>
      </c>
      <c r="AY22" s="13">
        <f>AX22-AY19+MAX(0,-AY18)</f>
        <v/>
      </c>
      <c r="AZ22" s="13">
        <f>AY22-AZ19+MAX(0,-AZ18)</f>
        <v/>
      </c>
      <c r="BA22" s="13">
        <f>AZ22-BA19+MAX(0,-BA18)</f>
        <v/>
      </c>
      <c r="BB22" s="13">
        <f>BA22-BB19+MAX(0,-BB18)</f>
        <v/>
      </c>
      <c r="BC22" s="13">
        <f>BB22-BC19+MAX(0,-BC18)</f>
        <v/>
      </c>
      <c r="BD22" s="13">
        <f>BC22-BD19+MAX(0,-BD18)</f>
        <v/>
      </c>
      <c r="BE22" s="13">
        <f>BD22-BE19+MAX(0,-BE18)</f>
        <v/>
      </c>
      <c r="BF22" s="13">
        <f>BE22-BF19+MAX(0,-BF18)</f>
        <v/>
      </c>
      <c r="BG22" s="13">
        <f>BF22-BG19+MAX(0,-BG18)</f>
        <v/>
      </c>
      <c r="BH22" s="13">
        <f>BG22-BH19+MAX(0,-BH18)</f>
        <v/>
      </c>
      <c r="BI22" s="13">
        <f>BH22-BI19+MAX(0,-BI18)</f>
        <v/>
      </c>
      <c r="BJ22" s="13">
        <f>BI22-BJ19+MAX(0,-BJ18)</f>
        <v/>
      </c>
      <c r="BK22" s="13">
        <f>BJ22-BK19+MAX(0,-BK18)</f>
        <v/>
      </c>
      <c r="BL22" s="13">
        <f>BK22-BL19+MAX(0,-BL18)</f>
        <v/>
      </c>
      <c r="BM22" s="13">
        <f>BL22-BM19+MAX(0,-BM18)</f>
        <v/>
      </c>
      <c r="BN22" s="13">
        <f>BM22-BN19+MAX(0,-BN18)</f>
        <v/>
      </c>
    </row>
    <row r="23">
      <c r="D23" t="inlineStr">
        <is>
          <t>Taxable income</t>
        </is>
      </c>
      <c r="E23" t="inlineStr">
        <is>
          <t>USD m</t>
        </is>
      </c>
      <c r="G23" s="13">
        <f>SUM(J23:BN23)</f>
        <v/>
      </c>
      <c r="J23" s="13">
        <f>MAX(0,J18-J19-J20)</f>
        <v/>
      </c>
      <c r="K23" s="13">
        <f>MAX(0,K18-K19-K20)</f>
        <v/>
      </c>
      <c r="L23" s="13">
        <f>MAX(0,L18-L19-L20)</f>
        <v/>
      </c>
      <c r="M23" s="13">
        <f>MAX(0,M18-M19-M20)</f>
        <v/>
      </c>
      <c r="N23" s="13">
        <f>MAX(0,N18-N19-N20)</f>
        <v/>
      </c>
      <c r="O23" s="13">
        <f>MAX(0,O18-O19-O20)</f>
        <v/>
      </c>
      <c r="P23" s="13">
        <f>MAX(0,P18-P19-P20)</f>
        <v/>
      </c>
      <c r="Q23" s="13">
        <f>MAX(0,Q18-Q19-Q20)</f>
        <v/>
      </c>
      <c r="R23" s="13">
        <f>MAX(0,R18-R19-R20)</f>
        <v/>
      </c>
      <c r="S23" s="13">
        <f>MAX(0,S18-S19-S20)</f>
        <v/>
      </c>
      <c r="T23" s="13">
        <f>MAX(0,T18-T19-T20)</f>
        <v/>
      </c>
      <c r="U23" s="13">
        <f>MAX(0,U18-U19-U20)</f>
        <v/>
      </c>
      <c r="V23" s="13">
        <f>MAX(0,V18-V19-V20)</f>
        <v/>
      </c>
      <c r="W23" s="13">
        <f>MAX(0,W18-W19-W20)</f>
        <v/>
      </c>
      <c r="X23" s="13">
        <f>MAX(0,X18-X19-X20)</f>
        <v/>
      </c>
      <c r="Y23" s="13">
        <f>MAX(0,Y18-Y19-Y20)</f>
        <v/>
      </c>
      <c r="Z23" s="13">
        <f>MAX(0,Z18-Z19-Z20)</f>
        <v/>
      </c>
      <c r="AA23" s="13">
        <f>MAX(0,AA18-AA19-AA20)</f>
        <v/>
      </c>
      <c r="AB23" s="13">
        <f>MAX(0,AB18-AB19-AB20)</f>
        <v/>
      </c>
      <c r="AC23" s="13">
        <f>MAX(0,AC18-AC19-AC20)</f>
        <v/>
      </c>
      <c r="AD23" s="13">
        <f>MAX(0,AD18-AD19-AD20)</f>
        <v/>
      </c>
      <c r="AE23" s="13">
        <f>MAX(0,AE18-AE19-AE20)</f>
        <v/>
      </c>
      <c r="AF23" s="13">
        <f>MAX(0,AF18-AF19-AF20)</f>
        <v/>
      </c>
      <c r="AG23" s="13">
        <f>MAX(0,AG18-AG19-AG20)</f>
        <v/>
      </c>
      <c r="AH23" s="13">
        <f>MAX(0,AH18-AH19-AH20)</f>
        <v/>
      </c>
      <c r="AI23" s="13">
        <f>MAX(0,AI18-AI19-AI20)</f>
        <v/>
      </c>
      <c r="AJ23" s="13">
        <f>MAX(0,AJ18-AJ19-AJ20)</f>
        <v/>
      </c>
      <c r="AK23" s="13">
        <f>MAX(0,AK18-AK19-AK20)</f>
        <v/>
      </c>
      <c r="AL23" s="13">
        <f>MAX(0,AL18-AL19-AL20)</f>
        <v/>
      </c>
      <c r="AM23" s="13">
        <f>MAX(0,AM18-AM19-AM20)</f>
        <v/>
      </c>
      <c r="AN23" s="13">
        <f>MAX(0,AN18-AN19-AN20)</f>
        <v/>
      </c>
      <c r="AO23" s="13">
        <f>MAX(0,AO18-AO19-AO20)</f>
        <v/>
      </c>
      <c r="AP23" s="13">
        <f>MAX(0,AP18-AP19-AP20)</f>
        <v/>
      </c>
      <c r="AQ23" s="13">
        <f>MAX(0,AQ18-AQ19-AQ20)</f>
        <v/>
      </c>
      <c r="AR23" s="13">
        <f>MAX(0,AR18-AR19-AR20)</f>
        <v/>
      </c>
      <c r="AS23" s="13">
        <f>MAX(0,AS18-AS19-AS20)</f>
        <v/>
      </c>
      <c r="AT23" s="13">
        <f>MAX(0,AT18-AT19-AT20)</f>
        <v/>
      </c>
      <c r="AU23" s="13">
        <f>MAX(0,AU18-AU19-AU20)</f>
        <v/>
      </c>
      <c r="AV23" s="13">
        <f>MAX(0,AV18-AV19-AV20)</f>
        <v/>
      </c>
      <c r="AW23" s="13">
        <f>MAX(0,AW18-AW19-AW20)</f>
        <v/>
      </c>
      <c r="AX23" s="13">
        <f>MAX(0,AX18-AX19-AX20)</f>
        <v/>
      </c>
      <c r="AY23" s="13">
        <f>MAX(0,AY18-AY19-AY20)</f>
        <v/>
      </c>
      <c r="AZ23" s="13">
        <f>MAX(0,AZ18-AZ19-AZ20)</f>
        <v/>
      </c>
      <c r="BA23" s="13">
        <f>MAX(0,BA18-BA19-BA20)</f>
        <v/>
      </c>
      <c r="BB23" s="13">
        <f>MAX(0,BB18-BB19-BB20)</f>
        <v/>
      </c>
      <c r="BC23" s="13">
        <f>MAX(0,BC18-BC19-BC20)</f>
        <v/>
      </c>
      <c r="BD23" s="13">
        <f>MAX(0,BD18-BD19-BD20)</f>
        <v/>
      </c>
      <c r="BE23" s="13">
        <f>MAX(0,BE18-BE19-BE20)</f>
        <v/>
      </c>
      <c r="BF23" s="13">
        <f>MAX(0,BF18-BF19-BF20)</f>
        <v/>
      </c>
      <c r="BG23" s="13">
        <f>MAX(0,BG18-BG19-BG20)</f>
        <v/>
      </c>
      <c r="BH23" s="13">
        <f>MAX(0,BH18-BH19-BH20)</f>
        <v/>
      </c>
      <c r="BI23" s="13">
        <f>MAX(0,BI18-BI19-BI20)</f>
        <v/>
      </c>
      <c r="BJ23" s="13">
        <f>MAX(0,BJ18-BJ19-BJ20)</f>
        <v/>
      </c>
      <c r="BK23" s="13">
        <f>MAX(0,BK18-BK19-BK20)</f>
        <v/>
      </c>
      <c r="BL23" s="13">
        <f>MAX(0,BL18-BL19-BL20)</f>
        <v/>
      </c>
      <c r="BM23" s="13">
        <f>MAX(0,BM18-BM19-BM20)</f>
        <v/>
      </c>
      <c r="BN23" s="13">
        <f>MAX(0,BN18-BN19-BN20)</f>
        <v/>
      </c>
    </row>
    <row r="24">
      <c r="D24" t="inlineStr">
        <is>
          <t>Applicable CIT rate (month-weighted)</t>
        </is>
      </c>
      <c r="E24" t="inlineStr">
        <is>
          <t>%</t>
        </is>
      </c>
      <c r="J24" s="3">
        <f>IF(J8+J9&gt;0,(J8*Inputs!$F$175+J9*Inputs!$F$174)/(J8+J9)/100,0)</f>
        <v/>
      </c>
      <c r="K24" s="3">
        <f>IF(K8+K9&gt;0,(K8*Inputs!$F$175+K9*Inputs!$F$174)/(K8+K9)/100,0)</f>
        <v/>
      </c>
      <c r="L24" s="3">
        <f>IF(L8+L9&gt;0,(L8*Inputs!$F$175+L9*Inputs!$F$174)/(L8+L9)/100,0)</f>
        <v/>
      </c>
      <c r="M24" s="3">
        <f>IF(M8+M9&gt;0,(M8*Inputs!$F$175+M9*Inputs!$F$174)/(M8+M9)/100,0)</f>
        <v/>
      </c>
      <c r="N24" s="3">
        <f>IF(N8+N9&gt;0,(N8*Inputs!$F$175+N9*Inputs!$F$174)/(N8+N9)/100,0)</f>
        <v/>
      </c>
      <c r="O24" s="3">
        <f>IF(O8+O9&gt;0,(O8*Inputs!$F$175+O9*Inputs!$F$174)/(O8+O9)/100,0)</f>
        <v/>
      </c>
      <c r="P24" s="3">
        <f>IF(P8+P9&gt;0,(P8*Inputs!$F$175+P9*Inputs!$F$174)/(P8+P9)/100,0)</f>
        <v/>
      </c>
      <c r="Q24" s="3">
        <f>IF(Q8+Q9&gt;0,(Q8*Inputs!$F$175+Q9*Inputs!$F$174)/(Q8+Q9)/100,0)</f>
        <v/>
      </c>
      <c r="R24" s="3">
        <f>IF(R8+R9&gt;0,(R8*Inputs!$F$175+R9*Inputs!$F$174)/(R8+R9)/100,0)</f>
        <v/>
      </c>
      <c r="S24" s="3">
        <f>IF(S8+S9&gt;0,(S8*Inputs!$F$175+S9*Inputs!$F$174)/(S8+S9)/100,0)</f>
        <v/>
      </c>
      <c r="T24" s="3">
        <f>IF(T8+T9&gt;0,(T8*Inputs!$F$175+T9*Inputs!$F$174)/(T8+T9)/100,0)</f>
        <v/>
      </c>
      <c r="U24" s="3">
        <f>IF(U8+U9&gt;0,(U8*Inputs!$F$175+U9*Inputs!$F$174)/(U8+U9)/100,0)</f>
        <v/>
      </c>
      <c r="V24" s="3">
        <f>IF(V8+V9&gt;0,(V8*Inputs!$F$175+V9*Inputs!$F$174)/(V8+V9)/100,0)</f>
        <v/>
      </c>
      <c r="W24" s="3">
        <f>IF(W8+W9&gt;0,(W8*Inputs!$F$175+W9*Inputs!$F$174)/(W8+W9)/100,0)</f>
        <v/>
      </c>
      <c r="X24" s="3">
        <f>IF(X8+X9&gt;0,(X8*Inputs!$F$175+X9*Inputs!$F$174)/(X8+X9)/100,0)</f>
        <v/>
      </c>
      <c r="Y24" s="3">
        <f>IF(Y8+Y9&gt;0,(Y8*Inputs!$F$175+Y9*Inputs!$F$174)/(Y8+Y9)/100,0)</f>
        <v/>
      </c>
      <c r="Z24" s="3">
        <f>IF(Z8+Z9&gt;0,(Z8*Inputs!$F$175+Z9*Inputs!$F$174)/(Z8+Z9)/100,0)</f>
        <v/>
      </c>
      <c r="AA24" s="3">
        <f>IF(AA8+AA9&gt;0,(AA8*Inputs!$F$175+AA9*Inputs!$F$174)/(AA8+AA9)/100,0)</f>
        <v/>
      </c>
      <c r="AB24" s="3">
        <f>IF(AB8+AB9&gt;0,(AB8*Inputs!$F$175+AB9*Inputs!$F$174)/(AB8+AB9)/100,0)</f>
        <v/>
      </c>
      <c r="AC24" s="3">
        <f>IF(AC8+AC9&gt;0,(AC8*Inputs!$F$175+AC9*Inputs!$F$174)/(AC8+AC9)/100,0)</f>
        <v/>
      </c>
      <c r="AD24" s="3">
        <f>IF(AD8+AD9&gt;0,(AD8*Inputs!$F$175+AD9*Inputs!$F$174)/(AD8+AD9)/100,0)</f>
        <v/>
      </c>
      <c r="AE24" s="3">
        <f>IF(AE8+AE9&gt;0,(AE8*Inputs!$F$175+AE9*Inputs!$F$174)/(AE8+AE9)/100,0)</f>
        <v/>
      </c>
      <c r="AF24" s="3">
        <f>IF(AF8+AF9&gt;0,(AF8*Inputs!$F$175+AF9*Inputs!$F$174)/(AF8+AF9)/100,0)</f>
        <v/>
      </c>
      <c r="AG24" s="3">
        <f>IF(AG8+AG9&gt;0,(AG8*Inputs!$F$175+AG9*Inputs!$F$174)/(AG8+AG9)/100,0)</f>
        <v/>
      </c>
      <c r="AH24" s="3">
        <f>IF(AH8+AH9&gt;0,(AH8*Inputs!$F$175+AH9*Inputs!$F$174)/(AH8+AH9)/100,0)</f>
        <v/>
      </c>
      <c r="AI24" s="3">
        <f>IF(AI8+AI9&gt;0,(AI8*Inputs!$F$175+AI9*Inputs!$F$174)/(AI8+AI9)/100,0)</f>
        <v/>
      </c>
      <c r="AJ24" s="3">
        <f>IF(AJ8+AJ9&gt;0,(AJ8*Inputs!$F$175+AJ9*Inputs!$F$174)/(AJ8+AJ9)/100,0)</f>
        <v/>
      </c>
      <c r="AK24" s="3">
        <f>IF(AK8+AK9&gt;0,(AK8*Inputs!$F$175+AK9*Inputs!$F$174)/(AK8+AK9)/100,0)</f>
        <v/>
      </c>
      <c r="AL24" s="3">
        <f>IF(AL8+AL9&gt;0,(AL8*Inputs!$F$175+AL9*Inputs!$F$174)/(AL8+AL9)/100,0)</f>
        <v/>
      </c>
      <c r="AM24" s="3">
        <f>IF(AM8+AM9&gt;0,(AM8*Inputs!$F$175+AM9*Inputs!$F$174)/(AM8+AM9)/100,0)</f>
        <v/>
      </c>
      <c r="AN24" s="3">
        <f>IF(AN8+AN9&gt;0,(AN8*Inputs!$F$175+AN9*Inputs!$F$174)/(AN8+AN9)/100,0)</f>
        <v/>
      </c>
      <c r="AO24" s="3">
        <f>IF(AO8+AO9&gt;0,(AO8*Inputs!$F$175+AO9*Inputs!$F$174)/(AO8+AO9)/100,0)</f>
        <v/>
      </c>
      <c r="AP24" s="3">
        <f>IF(AP8+AP9&gt;0,(AP8*Inputs!$F$175+AP9*Inputs!$F$174)/(AP8+AP9)/100,0)</f>
        <v/>
      </c>
      <c r="AQ24" s="3">
        <f>IF(AQ8+AQ9&gt;0,(AQ8*Inputs!$F$175+AQ9*Inputs!$F$174)/(AQ8+AQ9)/100,0)</f>
        <v/>
      </c>
      <c r="AR24" s="3">
        <f>IF(AR8+AR9&gt;0,(AR8*Inputs!$F$175+AR9*Inputs!$F$174)/(AR8+AR9)/100,0)</f>
        <v/>
      </c>
      <c r="AS24" s="3">
        <f>IF(AS8+AS9&gt;0,(AS8*Inputs!$F$175+AS9*Inputs!$F$174)/(AS8+AS9)/100,0)</f>
        <v/>
      </c>
      <c r="AT24" s="3">
        <f>IF(AT8+AT9&gt;0,(AT8*Inputs!$F$175+AT9*Inputs!$F$174)/(AT8+AT9)/100,0)</f>
        <v/>
      </c>
      <c r="AU24" s="3">
        <f>IF(AU8+AU9&gt;0,(AU8*Inputs!$F$175+AU9*Inputs!$F$174)/(AU8+AU9)/100,0)</f>
        <v/>
      </c>
      <c r="AV24" s="3">
        <f>IF(AV8+AV9&gt;0,(AV8*Inputs!$F$175+AV9*Inputs!$F$174)/(AV8+AV9)/100,0)</f>
        <v/>
      </c>
      <c r="AW24" s="3">
        <f>IF(AW8+AW9&gt;0,(AW8*Inputs!$F$175+AW9*Inputs!$F$174)/(AW8+AW9)/100,0)</f>
        <v/>
      </c>
      <c r="AX24" s="3">
        <f>IF(AX8+AX9&gt;0,(AX8*Inputs!$F$175+AX9*Inputs!$F$174)/(AX8+AX9)/100,0)</f>
        <v/>
      </c>
      <c r="AY24" s="3">
        <f>IF(AY8+AY9&gt;0,(AY8*Inputs!$F$175+AY9*Inputs!$F$174)/(AY8+AY9)/100,0)</f>
        <v/>
      </c>
      <c r="AZ24" s="3">
        <f>IF(AZ8+AZ9&gt;0,(AZ8*Inputs!$F$175+AZ9*Inputs!$F$174)/(AZ8+AZ9)/100,0)</f>
        <v/>
      </c>
      <c r="BA24" s="3">
        <f>IF(BA8+BA9&gt;0,(BA8*Inputs!$F$175+BA9*Inputs!$F$174)/(BA8+BA9)/100,0)</f>
        <v/>
      </c>
      <c r="BB24" s="3">
        <f>IF(BB8+BB9&gt;0,(BB8*Inputs!$F$175+BB9*Inputs!$F$174)/(BB8+BB9)/100,0)</f>
        <v/>
      </c>
      <c r="BC24" s="3">
        <f>IF(BC8+BC9&gt;0,(BC8*Inputs!$F$175+BC9*Inputs!$F$174)/(BC8+BC9)/100,0)</f>
        <v/>
      </c>
      <c r="BD24" s="3">
        <f>IF(BD8+BD9&gt;0,(BD8*Inputs!$F$175+BD9*Inputs!$F$174)/(BD8+BD9)/100,0)</f>
        <v/>
      </c>
      <c r="BE24" s="3">
        <f>IF(BE8+BE9&gt;0,(BE8*Inputs!$F$175+BE9*Inputs!$F$174)/(BE8+BE9)/100,0)</f>
        <v/>
      </c>
      <c r="BF24" s="3">
        <f>IF(BF8+BF9&gt;0,(BF8*Inputs!$F$175+BF9*Inputs!$F$174)/(BF8+BF9)/100,0)</f>
        <v/>
      </c>
      <c r="BG24" s="3">
        <f>IF(BG8+BG9&gt;0,(BG8*Inputs!$F$175+BG9*Inputs!$F$174)/(BG8+BG9)/100,0)</f>
        <v/>
      </c>
      <c r="BH24" s="3">
        <f>IF(BH8+BH9&gt;0,(BH8*Inputs!$F$175+BH9*Inputs!$F$174)/(BH8+BH9)/100,0)</f>
        <v/>
      </c>
      <c r="BI24" s="3">
        <f>IF(BI8+BI9&gt;0,(BI8*Inputs!$F$175+BI9*Inputs!$F$174)/(BI8+BI9)/100,0)</f>
        <v/>
      </c>
      <c r="BJ24" s="3">
        <f>IF(BJ8+BJ9&gt;0,(BJ8*Inputs!$F$175+BJ9*Inputs!$F$174)/(BJ8+BJ9)/100,0)</f>
        <v/>
      </c>
      <c r="BK24" s="3">
        <f>IF(BK8+BK9&gt;0,(BK8*Inputs!$F$175+BK9*Inputs!$F$174)/(BK8+BK9)/100,0)</f>
        <v/>
      </c>
      <c r="BL24" s="3">
        <f>IF(BL8+BL9&gt;0,(BL8*Inputs!$F$175+BL9*Inputs!$F$174)/(BL8+BL9)/100,0)</f>
        <v/>
      </c>
      <c r="BM24" s="3">
        <f>IF(BM8+BM9&gt;0,(BM8*Inputs!$F$175+BM9*Inputs!$F$174)/(BM8+BM9)/100,0)</f>
        <v/>
      </c>
      <c r="BN24" s="3">
        <f>IF(BN8+BN9&gt;0,(BN8*Inputs!$F$175+BN9*Inputs!$F$174)/(BN8+BN9)/100,0)</f>
        <v/>
      </c>
    </row>
    <row r="25">
      <c r="D25" t="inlineStr">
        <is>
          <t>Corporate income tax</t>
        </is>
      </c>
      <c r="E25" t="inlineStr">
        <is>
          <t>USD m</t>
        </is>
      </c>
      <c r="G25" s="13">
        <f>SUM(J25:BN25)</f>
        <v/>
      </c>
      <c r="J25" s="13">
        <f>J23*J24</f>
        <v/>
      </c>
      <c r="K25" s="13">
        <f>K23*K24</f>
        <v/>
      </c>
      <c r="L25" s="13">
        <f>L23*L24</f>
        <v/>
      </c>
      <c r="M25" s="13">
        <f>M23*M24</f>
        <v/>
      </c>
      <c r="N25" s="13">
        <f>N23*N24</f>
        <v/>
      </c>
      <c r="O25" s="13">
        <f>O23*O24</f>
        <v/>
      </c>
      <c r="P25" s="13">
        <f>P23*P24</f>
        <v/>
      </c>
      <c r="Q25" s="13">
        <f>Q23*Q24</f>
        <v/>
      </c>
      <c r="R25" s="13">
        <f>R23*R24</f>
        <v/>
      </c>
      <c r="S25" s="13">
        <f>S23*S24</f>
        <v/>
      </c>
      <c r="T25" s="13">
        <f>T23*T24</f>
        <v/>
      </c>
      <c r="U25" s="13">
        <f>U23*U24</f>
        <v/>
      </c>
      <c r="V25" s="13">
        <f>V23*V24</f>
        <v/>
      </c>
      <c r="W25" s="13">
        <f>W23*W24</f>
        <v/>
      </c>
      <c r="X25" s="13">
        <f>X23*X24</f>
        <v/>
      </c>
      <c r="Y25" s="13">
        <f>Y23*Y24</f>
        <v/>
      </c>
      <c r="Z25" s="13">
        <f>Z23*Z24</f>
        <v/>
      </c>
      <c r="AA25" s="13">
        <f>AA23*AA24</f>
        <v/>
      </c>
      <c r="AB25" s="13">
        <f>AB23*AB24</f>
        <v/>
      </c>
      <c r="AC25" s="13">
        <f>AC23*AC24</f>
        <v/>
      </c>
      <c r="AD25" s="13">
        <f>AD23*AD24</f>
        <v/>
      </c>
      <c r="AE25" s="13">
        <f>AE23*AE24</f>
        <v/>
      </c>
      <c r="AF25" s="13">
        <f>AF23*AF24</f>
        <v/>
      </c>
      <c r="AG25" s="13">
        <f>AG23*AG24</f>
        <v/>
      </c>
      <c r="AH25" s="13">
        <f>AH23*AH24</f>
        <v/>
      </c>
      <c r="AI25" s="13">
        <f>AI23*AI24</f>
        <v/>
      </c>
      <c r="AJ25" s="13">
        <f>AJ23*AJ24</f>
        <v/>
      </c>
      <c r="AK25" s="13">
        <f>AK23*AK24</f>
        <v/>
      </c>
      <c r="AL25" s="13">
        <f>AL23*AL24</f>
        <v/>
      </c>
      <c r="AM25" s="13">
        <f>AM23*AM24</f>
        <v/>
      </c>
      <c r="AN25" s="13">
        <f>AN23*AN24</f>
        <v/>
      </c>
      <c r="AO25" s="13">
        <f>AO23*AO24</f>
        <v/>
      </c>
      <c r="AP25" s="13">
        <f>AP23*AP24</f>
        <v/>
      </c>
      <c r="AQ25" s="13">
        <f>AQ23*AQ24</f>
        <v/>
      </c>
      <c r="AR25" s="13">
        <f>AR23*AR24</f>
        <v/>
      </c>
      <c r="AS25" s="13">
        <f>AS23*AS24</f>
        <v/>
      </c>
      <c r="AT25" s="13">
        <f>AT23*AT24</f>
        <v/>
      </c>
      <c r="AU25" s="13">
        <f>AU23*AU24</f>
        <v/>
      </c>
      <c r="AV25" s="13">
        <f>AV23*AV24</f>
        <v/>
      </c>
      <c r="AW25" s="13">
        <f>AW23*AW24</f>
        <v/>
      </c>
      <c r="AX25" s="13">
        <f>AX23*AX24</f>
        <v/>
      </c>
      <c r="AY25" s="13">
        <f>AY23*AY24</f>
        <v/>
      </c>
      <c r="AZ25" s="13">
        <f>AZ23*AZ24</f>
        <v/>
      </c>
      <c r="BA25" s="13">
        <f>BA23*BA24</f>
        <v/>
      </c>
      <c r="BB25" s="13">
        <f>BB23*BB24</f>
        <v/>
      </c>
      <c r="BC25" s="13">
        <f>BC23*BC24</f>
        <v/>
      </c>
      <c r="BD25" s="13">
        <f>BD23*BD24</f>
        <v/>
      </c>
      <c r="BE25" s="13">
        <f>BE23*BE24</f>
        <v/>
      </c>
      <c r="BF25" s="13">
        <f>BF23*BF24</f>
        <v/>
      </c>
      <c r="BG25" s="13">
        <f>BG23*BG24</f>
        <v/>
      </c>
      <c r="BH25" s="13">
        <f>BH23*BH24</f>
        <v/>
      </c>
      <c r="BI25" s="13">
        <f>BI23*BI24</f>
        <v/>
      </c>
      <c r="BJ25" s="13">
        <f>BJ23*BJ24</f>
        <v/>
      </c>
      <c r="BK25" s="13">
        <f>BK23*BK24</f>
        <v/>
      </c>
      <c r="BL25" s="13">
        <f>BL23*BL24</f>
        <v/>
      </c>
      <c r="BM25" s="13">
        <f>BM23*BM24</f>
        <v/>
      </c>
      <c r="BN25" s="13">
        <f>BN23*BN24</f>
        <v/>
      </c>
    </row>
    <row r="26">
      <c r="D26" t="inlineStr">
        <is>
          <t>Minimum turnover tax</t>
        </is>
      </c>
      <c r="E26" t="inlineStr">
        <is>
          <t>USD m</t>
        </is>
      </c>
      <c r="G26" s="13">
        <f>SUM(J26:BN26)</f>
        <v/>
      </c>
      <c r="J26" s="13">
        <f>IF(Time!J30&gt;0,Inputs!$F$176/100*Operations!J55*(J8+J9)/Time!J30,0)</f>
        <v/>
      </c>
      <c r="K26" s="13">
        <f>IF(Time!K30&gt;0,Inputs!$F$176/100*Operations!K55*(K8+K9)/Time!K30,0)</f>
        <v/>
      </c>
      <c r="L26" s="13">
        <f>IF(Time!L30&gt;0,Inputs!$F$176/100*Operations!L55*(L8+L9)/Time!L30,0)</f>
        <v/>
      </c>
      <c r="M26" s="13">
        <f>IF(Time!M30&gt;0,Inputs!$F$176/100*Operations!M55*(M8+M9)/Time!M30,0)</f>
        <v/>
      </c>
      <c r="N26" s="13">
        <f>IF(Time!N30&gt;0,Inputs!$F$176/100*Operations!N55*(N8+N9)/Time!N30,0)</f>
        <v/>
      </c>
      <c r="O26" s="13">
        <f>IF(Time!O30&gt;0,Inputs!$F$176/100*Operations!O55*(O8+O9)/Time!O30,0)</f>
        <v/>
      </c>
      <c r="P26" s="13">
        <f>IF(Time!P30&gt;0,Inputs!$F$176/100*Operations!P55*(P8+P9)/Time!P30,0)</f>
        <v/>
      </c>
      <c r="Q26" s="13">
        <f>IF(Time!Q30&gt;0,Inputs!$F$176/100*Operations!Q55*(Q8+Q9)/Time!Q30,0)</f>
        <v/>
      </c>
      <c r="R26" s="13">
        <f>IF(Time!R30&gt;0,Inputs!$F$176/100*Operations!R55*(R8+R9)/Time!R30,0)</f>
        <v/>
      </c>
      <c r="S26" s="13">
        <f>IF(Time!S30&gt;0,Inputs!$F$176/100*Operations!S55*(S8+S9)/Time!S30,0)</f>
        <v/>
      </c>
      <c r="T26" s="13">
        <f>IF(Time!T30&gt;0,Inputs!$F$176/100*Operations!T55*(T8+T9)/Time!T30,0)</f>
        <v/>
      </c>
      <c r="U26" s="13">
        <f>IF(Time!U30&gt;0,Inputs!$F$176/100*Operations!U55*(U8+U9)/Time!U30,0)</f>
        <v/>
      </c>
      <c r="V26" s="13">
        <f>IF(Time!V30&gt;0,Inputs!$F$176/100*Operations!V55*(V8+V9)/Time!V30,0)</f>
        <v/>
      </c>
      <c r="W26" s="13">
        <f>IF(Time!W30&gt;0,Inputs!$F$176/100*Operations!W55*(W8+W9)/Time!W30,0)</f>
        <v/>
      </c>
      <c r="X26" s="13">
        <f>IF(Time!X30&gt;0,Inputs!$F$176/100*Operations!X55*(X8+X9)/Time!X30,0)</f>
        <v/>
      </c>
      <c r="Y26" s="13">
        <f>IF(Time!Y30&gt;0,Inputs!$F$176/100*Operations!Y55*(Y8+Y9)/Time!Y30,0)</f>
        <v/>
      </c>
      <c r="Z26" s="13">
        <f>IF(Time!Z30&gt;0,Inputs!$F$176/100*Operations!Z55*(Z8+Z9)/Time!Z30,0)</f>
        <v/>
      </c>
      <c r="AA26" s="13">
        <f>IF(Time!AA30&gt;0,Inputs!$F$176/100*Operations!AA55*(AA8+AA9)/Time!AA30,0)</f>
        <v/>
      </c>
      <c r="AB26" s="13">
        <f>IF(Time!AB30&gt;0,Inputs!$F$176/100*Operations!AB55*(AB8+AB9)/Time!AB30,0)</f>
        <v/>
      </c>
      <c r="AC26" s="13">
        <f>IF(Time!AC30&gt;0,Inputs!$F$176/100*Operations!AC55*(AC8+AC9)/Time!AC30,0)</f>
        <v/>
      </c>
      <c r="AD26" s="13">
        <f>IF(Time!AD30&gt;0,Inputs!$F$176/100*Operations!AD55*(AD8+AD9)/Time!AD30,0)</f>
        <v/>
      </c>
      <c r="AE26" s="13">
        <f>IF(Time!AE30&gt;0,Inputs!$F$176/100*Operations!AE55*(AE8+AE9)/Time!AE30,0)</f>
        <v/>
      </c>
      <c r="AF26" s="13">
        <f>IF(Time!AF30&gt;0,Inputs!$F$176/100*Operations!AF55*(AF8+AF9)/Time!AF30,0)</f>
        <v/>
      </c>
      <c r="AG26" s="13">
        <f>IF(Time!AG30&gt;0,Inputs!$F$176/100*Operations!AG55*(AG8+AG9)/Time!AG30,0)</f>
        <v/>
      </c>
      <c r="AH26" s="13">
        <f>IF(Time!AH30&gt;0,Inputs!$F$176/100*Operations!AH55*(AH8+AH9)/Time!AH30,0)</f>
        <v/>
      </c>
      <c r="AI26" s="13">
        <f>IF(Time!AI30&gt;0,Inputs!$F$176/100*Operations!AI55*(AI8+AI9)/Time!AI30,0)</f>
        <v/>
      </c>
      <c r="AJ26" s="13">
        <f>IF(Time!AJ30&gt;0,Inputs!$F$176/100*Operations!AJ55*(AJ8+AJ9)/Time!AJ30,0)</f>
        <v/>
      </c>
      <c r="AK26" s="13">
        <f>IF(Time!AK30&gt;0,Inputs!$F$176/100*Operations!AK55*(AK8+AK9)/Time!AK30,0)</f>
        <v/>
      </c>
      <c r="AL26" s="13">
        <f>IF(Time!AL30&gt;0,Inputs!$F$176/100*Operations!AL55*(AL8+AL9)/Time!AL30,0)</f>
        <v/>
      </c>
      <c r="AM26" s="13">
        <f>IF(Time!AM30&gt;0,Inputs!$F$176/100*Operations!AM55*(AM8+AM9)/Time!AM30,0)</f>
        <v/>
      </c>
      <c r="AN26" s="13">
        <f>IF(Time!AN30&gt;0,Inputs!$F$176/100*Operations!AN55*(AN8+AN9)/Time!AN30,0)</f>
        <v/>
      </c>
      <c r="AO26" s="13">
        <f>IF(Time!AO30&gt;0,Inputs!$F$176/100*Operations!AO55*(AO8+AO9)/Time!AO30,0)</f>
        <v/>
      </c>
      <c r="AP26" s="13">
        <f>IF(Time!AP30&gt;0,Inputs!$F$176/100*Operations!AP55*(AP8+AP9)/Time!AP30,0)</f>
        <v/>
      </c>
      <c r="AQ26" s="13">
        <f>IF(Time!AQ30&gt;0,Inputs!$F$176/100*Operations!AQ55*(AQ8+AQ9)/Time!AQ30,0)</f>
        <v/>
      </c>
      <c r="AR26" s="13">
        <f>IF(Time!AR30&gt;0,Inputs!$F$176/100*Operations!AR55*(AR8+AR9)/Time!AR30,0)</f>
        <v/>
      </c>
      <c r="AS26" s="13">
        <f>IF(Time!AS30&gt;0,Inputs!$F$176/100*Operations!AS55*(AS8+AS9)/Time!AS30,0)</f>
        <v/>
      </c>
      <c r="AT26" s="13">
        <f>IF(Time!AT30&gt;0,Inputs!$F$176/100*Operations!AT55*(AT8+AT9)/Time!AT30,0)</f>
        <v/>
      </c>
      <c r="AU26" s="13">
        <f>IF(Time!AU30&gt;0,Inputs!$F$176/100*Operations!AU55*(AU8+AU9)/Time!AU30,0)</f>
        <v/>
      </c>
      <c r="AV26" s="13">
        <f>IF(Time!AV30&gt;0,Inputs!$F$176/100*Operations!AV55*(AV8+AV9)/Time!AV30,0)</f>
        <v/>
      </c>
      <c r="AW26" s="13">
        <f>IF(Time!AW30&gt;0,Inputs!$F$176/100*Operations!AW55*(AW8+AW9)/Time!AW30,0)</f>
        <v/>
      </c>
      <c r="AX26" s="13">
        <f>IF(Time!AX30&gt;0,Inputs!$F$176/100*Operations!AX55*(AX8+AX9)/Time!AX30,0)</f>
        <v/>
      </c>
      <c r="AY26" s="13">
        <f>IF(Time!AY30&gt;0,Inputs!$F$176/100*Operations!AY55*(AY8+AY9)/Time!AY30,0)</f>
        <v/>
      </c>
      <c r="AZ26" s="13">
        <f>IF(Time!AZ30&gt;0,Inputs!$F$176/100*Operations!AZ55*(AZ8+AZ9)/Time!AZ30,0)</f>
        <v/>
      </c>
      <c r="BA26" s="13">
        <f>IF(Time!BA30&gt;0,Inputs!$F$176/100*Operations!BA55*(BA8+BA9)/Time!BA30,0)</f>
        <v/>
      </c>
      <c r="BB26" s="13">
        <f>IF(Time!BB30&gt;0,Inputs!$F$176/100*Operations!BB55*(BB8+BB9)/Time!BB30,0)</f>
        <v/>
      </c>
      <c r="BC26" s="13">
        <f>IF(Time!BC30&gt;0,Inputs!$F$176/100*Operations!BC55*(BC8+BC9)/Time!BC30,0)</f>
        <v/>
      </c>
      <c r="BD26" s="13">
        <f>IF(Time!BD30&gt;0,Inputs!$F$176/100*Operations!BD55*(BD8+BD9)/Time!BD30,0)</f>
        <v/>
      </c>
      <c r="BE26" s="13">
        <f>IF(Time!BE30&gt;0,Inputs!$F$176/100*Operations!BE55*(BE8+BE9)/Time!BE30,0)</f>
        <v/>
      </c>
      <c r="BF26" s="13">
        <f>IF(Time!BF30&gt;0,Inputs!$F$176/100*Operations!BF55*(BF8+BF9)/Time!BF30,0)</f>
        <v/>
      </c>
      <c r="BG26" s="13">
        <f>IF(Time!BG30&gt;0,Inputs!$F$176/100*Operations!BG55*(BG8+BG9)/Time!BG30,0)</f>
        <v/>
      </c>
      <c r="BH26" s="13">
        <f>IF(Time!BH30&gt;0,Inputs!$F$176/100*Operations!BH55*(BH8+BH9)/Time!BH30,0)</f>
        <v/>
      </c>
      <c r="BI26" s="13">
        <f>IF(Time!BI30&gt;0,Inputs!$F$176/100*Operations!BI55*(BI8+BI9)/Time!BI30,0)</f>
        <v/>
      </c>
      <c r="BJ26" s="13">
        <f>IF(Time!BJ30&gt;0,Inputs!$F$176/100*Operations!BJ55*(BJ8+BJ9)/Time!BJ30,0)</f>
        <v/>
      </c>
      <c r="BK26" s="13">
        <f>IF(Time!BK30&gt;0,Inputs!$F$176/100*Operations!BK55*(BK8+BK9)/Time!BK30,0)</f>
        <v/>
      </c>
      <c r="BL26" s="13">
        <f>IF(Time!BL30&gt;0,Inputs!$F$176/100*Operations!BL55*(BL8+BL9)/Time!BL30,0)</f>
        <v/>
      </c>
      <c r="BM26" s="13">
        <f>IF(Time!BM30&gt;0,Inputs!$F$176/100*Operations!BM55*(BM8+BM9)/Time!BM30,0)</f>
        <v/>
      </c>
      <c r="BN26" s="13">
        <f>IF(Time!BN30&gt;0,Inputs!$F$176/100*Operations!BN55*(BN8+BN9)/Time!BN30,0)</f>
        <v/>
      </c>
    </row>
    <row r="27">
      <c r="D27" t="inlineStr">
        <is>
          <t>Tax paid = max(CIT, MTT)</t>
        </is>
      </c>
      <c r="E27" t="inlineStr">
        <is>
          <t>USD m</t>
        </is>
      </c>
      <c r="G27" s="13">
        <f>SUM(J27:BN27)</f>
        <v/>
      </c>
      <c r="J27" s="13">
        <f>MAX(J25,J26)</f>
        <v/>
      </c>
      <c r="K27" s="13">
        <f>MAX(K25,K26)</f>
        <v/>
      </c>
      <c r="L27" s="13">
        <f>MAX(L25,L26)</f>
        <v/>
      </c>
      <c r="M27" s="13">
        <f>MAX(M25,M26)</f>
        <v/>
      </c>
      <c r="N27" s="13">
        <f>MAX(N25,N26)</f>
        <v/>
      </c>
      <c r="O27" s="13">
        <f>MAX(O25,O26)</f>
        <v/>
      </c>
      <c r="P27" s="13">
        <f>MAX(P25,P26)</f>
        <v/>
      </c>
      <c r="Q27" s="13">
        <f>MAX(Q25,Q26)</f>
        <v/>
      </c>
      <c r="R27" s="13">
        <f>MAX(R25,R26)</f>
        <v/>
      </c>
      <c r="S27" s="13">
        <f>MAX(S25,S26)</f>
        <v/>
      </c>
      <c r="T27" s="13">
        <f>MAX(T25,T26)</f>
        <v/>
      </c>
      <c r="U27" s="13">
        <f>MAX(U25,U26)</f>
        <v/>
      </c>
      <c r="V27" s="13">
        <f>MAX(V25,V26)</f>
        <v/>
      </c>
      <c r="W27" s="13">
        <f>MAX(W25,W26)</f>
        <v/>
      </c>
      <c r="X27" s="13">
        <f>MAX(X25,X26)</f>
        <v/>
      </c>
      <c r="Y27" s="13">
        <f>MAX(Y25,Y26)</f>
        <v/>
      </c>
      <c r="Z27" s="13">
        <f>MAX(Z25,Z26)</f>
        <v/>
      </c>
      <c r="AA27" s="13">
        <f>MAX(AA25,AA26)</f>
        <v/>
      </c>
      <c r="AB27" s="13">
        <f>MAX(AB25,AB26)</f>
        <v/>
      </c>
      <c r="AC27" s="13">
        <f>MAX(AC25,AC26)</f>
        <v/>
      </c>
      <c r="AD27" s="13">
        <f>MAX(AD25,AD26)</f>
        <v/>
      </c>
      <c r="AE27" s="13">
        <f>MAX(AE25,AE26)</f>
        <v/>
      </c>
      <c r="AF27" s="13">
        <f>MAX(AF25,AF26)</f>
        <v/>
      </c>
      <c r="AG27" s="13">
        <f>MAX(AG25,AG26)</f>
        <v/>
      </c>
      <c r="AH27" s="13">
        <f>MAX(AH25,AH26)</f>
        <v/>
      </c>
      <c r="AI27" s="13">
        <f>MAX(AI25,AI26)</f>
        <v/>
      </c>
      <c r="AJ27" s="13">
        <f>MAX(AJ25,AJ26)</f>
        <v/>
      </c>
      <c r="AK27" s="13">
        <f>MAX(AK25,AK26)</f>
        <v/>
      </c>
      <c r="AL27" s="13">
        <f>MAX(AL25,AL26)</f>
        <v/>
      </c>
      <c r="AM27" s="13">
        <f>MAX(AM25,AM26)</f>
        <v/>
      </c>
      <c r="AN27" s="13">
        <f>MAX(AN25,AN26)</f>
        <v/>
      </c>
      <c r="AO27" s="13">
        <f>MAX(AO25,AO26)</f>
        <v/>
      </c>
      <c r="AP27" s="13">
        <f>MAX(AP25,AP26)</f>
        <v/>
      </c>
      <c r="AQ27" s="13">
        <f>MAX(AQ25,AQ26)</f>
        <v/>
      </c>
      <c r="AR27" s="13">
        <f>MAX(AR25,AR26)</f>
        <v/>
      </c>
      <c r="AS27" s="13">
        <f>MAX(AS25,AS26)</f>
        <v/>
      </c>
      <c r="AT27" s="13">
        <f>MAX(AT25,AT26)</f>
        <v/>
      </c>
      <c r="AU27" s="13">
        <f>MAX(AU25,AU26)</f>
        <v/>
      </c>
      <c r="AV27" s="13">
        <f>MAX(AV25,AV26)</f>
        <v/>
      </c>
      <c r="AW27" s="13">
        <f>MAX(AW25,AW26)</f>
        <v/>
      </c>
      <c r="AX27" s="13">
        <f>MAX(AX25,AX26)</f>
        <v/>
      </c>
      <c r="AY27" s="13">
        <f>MAX(AY25,AY26)</f>
        <v/>
      </c>
      <c r="AZ27" s="13">
        <f>MAX(AZ25,AZ26)</f>
        <v/>
      </c>
      <c r="BA27" s="13">
        <f>MAX(BA25,BA26)</f>
        <v/>
      </c>
      <c r="BB27" s="13">
        <f>MAX(BB25,BB26)</f>
        <v/>
      </c>
      <c r="BC27" s="13">
        <f>MAX(BC25,BC26)</f>
        <v/>
      </c>
      <c r="BD27" s="13">
        <f>MAX(BD25,BD26)</f>
        <v/>
      </c>
      <c r="BE27" s="13">
        <f>MAX(BE25,BE26)</f>
        <v/>
      </c>
      <c r="BF27" s="13">
        <f>MAX(BF25,BF26)</f>
        <v/>
      </c>
      <c r="BG27" s="13">
        <f>MAX(BG25,BG26)</f>
        <v/>
      </c>
      <c r="BH27" s="13">
        <f>MAX(BH25,BH26)</f>
        <v/>
      </c>
      <c r="BI27" s="13">
        <f>MAX(BI25,BI26)</f>
        <v/>
      </c>
      <c r="BJ27" s="13">
        <f>MAX(BJ25,BJ26)</f>
        <v/>
      </c>
      <c r="BK27" s="13">
        <f>MAX(BK25,BK26)</f>
        <v/>
      </c>
      <c r="BL27" s="13">
        <f>MAX(BL25,BL26)</f>
        <v/>
      </c>
      <c r="BM27" s="13">
        <f>MAX(BM25,BM26)</f>
        <v/>
      </c>
      <c r="BN27" s="13">
        <f>MAX(BN25,BN26)</f>
        <v/>
      </c>
    </row>
    <row r="28">
      <c r="D28" t="inlineStr">
        <is>
          <t>Thin-cap disallowance</t>
        </is>
      </c>
      <c r="E28" t="inlineStr">
        <is>
          <t>USD m</t>
        </is>
      </c>
      <c r="G28" s="13">
        <f>SUM(J28:BN28)</f>
        <v/>
      </c>
      <c r="J28" s="13">
        <f>J13-J15</f>
        <v/>
      </c>
      <c r="K28" s="13">
        <f>K13-K15</f>
        <v/>
      </c>
      <c r="L28" s="13">
        <f>L13-L15</f>
        <v/>
      </c>
      <c r="M28" s="13">
        <f>M13-M15</f>
        <v/>
      </c>
      <c r="N28" s="13">
        <f>N13-N15</f>
        <v/>
      </c>
      <c r="O28" s="13">
        <f>O13-O15</f>
        <v/>
      </c>
      <c r="P28" s="13">
        <f>P13-P15</f>
        <v/>
      </c>
      <c r="Q28" s="13">
        <f>Q13-Q15</f>
        <v/>
      </c>
      <c r="R28" s="13">
        <f>R13-R15</f>
        <v/>
      </c>
      <c r="S28" s="13">
        <f>S13-S15</f>
        <v/>
      </c>
      <c r="T28" s="13">
        <f>T13-T15</f>
        <v/>
      </c>
      <c r="U28" s="13">
        <f>U13-U15</f>
        <v/>
      </c>
      <c r="V28" s="13">
        <f>V13-V15</f>
        <v/>
      </c>
      <c r="W28" s="13">
        <f>W13-W15</f>
        <v/>
      </c>
      <c r="X28" s="13">
        <f>X13-X15</f>
        <v/>
      </c>
      <c r="Y28" s="13">
        <f>Y13-Y15</f>
        <v/>
      </c>
      <c r="Z28" s="13">
        <f>Z13-Z15</f>
        <v/>
      </c>
      <c r="AA28" s="13">
        <f>AA13-AA15</f>
        <v/>
      </c>
      <c r="AB28" s="13">
        <f>AB13-AB15</f>
        <v/>
      </c>
      <c r="AC28" s="13">
        <f>AC13-AC15</f>
        <v/>
      </c>
      <c r="AD28" s="13">
        <f>AD13-AD15</f>
        <v/>
      </c>
      <c r="AE28" s="13">
        <f>AE13-AE15</f>
        <v/>
      </c>
      <c r="AF28" s="13">
        <f>AF13-AF15</f>
        <v/>
      </c>
      <c r="AG28" s="13">
        <f>AG13-AG15</f>
        <v/>
      </c>
      <c r="AH28" s="13">
        <f>AH13-AH15</f>
        <v/>
      </c>
      <c r="AI28" s="13">
        <f>AI13-AI15</f>
        <v/>
      </c>
      <c r="AJ28" s="13">
        <f>AJ13-AJ15</f>
        <v/>
      </c>
      <c r="AK28" s="13">
        <f>AK13-AK15</f>
        <v/>
      </c>
      <c r="AL28" s="13">
        <f>AL13-AL15</f>
        <v/>
      </c>
      <c r="AM28" s="13">
        <f>AM13-AM15</f>
        <v/>
      </c>
      <c r="AN28" s="13">
        <f>AN13-AN15</f>
        <v/>
      </c>
      <c r="AO28" s="13">
        <f>AO13-AO15</f>
        <v/>
      </c>
      <c r="AP28" s="13">
        <f>AP13-AP15</f>
        <v/>
      </c>
      <c r="AQ28" s="13">
        <f>AQ13-AQ15</f>
        <v/>
      </c>
      <c r="AR28" s="13">
        <f>AR13-AR15</f>
        <v/>
      </c>
      <c r="AS28" s="13">
        <f>AS13-AS15</f>
        <v/>
      </c>
      <c r="AT28" s="13">
        <f>AT13-AT15</f>
        <v/>
      </c>
      <c r="AU28" s="13">
        <f>AU13-AU15</f>
        <v/>
      </c>
      <c r="AV28" s="13">
        <f>AV13-AV15</f>
        <v/>
      </c>
      <c r="AW28" s="13">
        <f>AW13-AW15</f>
        <v/>
      </c>
      <c r="AX28" s="13">
        <f>AX13-AX15</f>
        <v/>
      </c>
      <c r="AY28" s="13">
        <f>AY13-AY15</f>
        <v/>
      </c>
      <c r="AZ28" s="13">
        <f>AZ13-AZ15</f>
        <v/>
      </c>
      <c r="BA28" s="13">
        <f>BA13-BA15</f>
        <v/>
      </c>
      <c r="BB28" s="13">
        <f>BB13-BB15</f>
        <v/>
      </c>
      <c r="BC28" s="13">
        <f>BC13-BC15</f>
        <v/>
      </c>
      <c r="BD28" s="13">
        <f>BD13-BD15</f>
        <v/>
      </c>
      <c r="BE28" s="13">
        <f>BE13-BE15</f>
        <v/>
      </c>
      <c r="BF28" s="13">
        <f>BF13-BF15</f>
        <v/>
      </c>
      <c r="BG28" s="13">
        <f>BG13-BG15</f>
        <v/>
      </c>
      <c r="BH28" s="13">
        <f>BH13-BH15</f>
        <v/>
      </c>
      <c r="BI28" s="13">
        <f>BI13-BI15</f>
        <v/>
      </c>
      <c r="BJ28" s="13">
        <f>BJ13-BJ15</f>
        <v/>
      </c>
      <c r="BK28" s="13">
        <f>BK13-BK15</f>
        <v/>
      </c>
      <c r="BL28" s="13">
        <f>BL13-BL15</f>
        <v/>
      </c>
      <c r="BM28" s="13">
        <f>BM13-BM15</f>
        <v/>
      </c>
      <c r="BN28" s="13">
        <f>BN13-BN15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76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Funding: closed-form gross-up, drawdowns by tranche, IDC, fees, equity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4" t="inlineStr">
        <is>
          <t>2018-08</t>
        </is>
      </c>
      <c r="K5" s="4" t="inlineStr">
        <is>
          <t>2018-09</t>
        </is>
      </c>
      <c r="L5" s="4" t="inlineStr">
        <is>
          <t>2018-10</t>
        </is>
      </c>
      <c r="M5" s="4" t="inlineStr">
        <is>
          <t>2018-11</t>
        </is>
      </c>
      <c r="N5" s="4" t="inlineStr">
        <is>
          <t>2018-12</t>
        </is>
      </c>
      <c r="O5" s="4" t="inlineStr">
        <is>
          <t>2019-01</t>
        </is>
      </c>
      <c r="P5" s="4" t="inlineStr">
        <is>
          <t>2019-02</t>
        </is>
      </c>
      <c r="Q5" s="4" t="inlineStr">
        <is>
          <t>2019-03</t>
        </is>
      </c>
      <c r="R5" s="4" t="inlineStr">
        <is>
          <t>2019-04</t>
        </is>
      </c>
      <c r="S5" s="4" t="inlineStr">
        <is>
          <t>2019-05</t>
        </is>
      </c>
      <c r="T5" s="4" t="inlineStr">
        <is>
          <t>2019-06</t>
        </is>
      </c>
      <c r="U5" s="4" t="inlineStr">
        <is>
          <t>2019-07</t>
        </is>
      </c>
      <c r="V5" s="4" t="inlineStr">
        <is>
          <t>2019-08</t>
        </is>
      </c>
      <c r="W5" s="4" t="inlineStr">
        <is>
          <t>2019-09</t>
        </is>
      </c>
      <c r="X5" s="4" t="inlineStr">
        <is>
          <t>2019-10</t>
        </is>
      </c>
      <c r="Y5" s="4" t="inlineStr">
        <is>
          <t>2019-11</t>
        </is>
      </c>
      <c r="Z5" s="4" t="inlineStr">
        <is>
          <t>2019-12</t>
        </is>
      </c>
      <c r="AA5" s="4" t="inlineStr">
        <is>
          <t>2020-01</t>
        </is>
      </c>
      <c r="AB5" s="4" t="inlineStr">
        <is>
          <t>2020-02</t>
        </is>
      </c>
      <c r="AC5" s="4" t="inlineStr">
        <is>
          <t>2020-03</t>
        </is>
      </c>
      <c r="AD5" s="4" t="inlineStr">
        <is>
          <t>2020-04</t>
        </is>
      </c>
      <c r="AE5" s="4" t="inlineStr">
        <is>
          <t>2020-05</t>
        </is>
      </c>
      <c r="AF5" s="4" t="inlineStr">
        <is>
          <t>2020-06</t>
        </is>
      </c>
      <c r="AG5" s="4" t="inlineStr">
        <is>
          <t>2020-07</t>
        </is>
      </c>
      <c r="AH5" s="4" t="inlineStr">
        <is>
          <t>2020-08</t>
        </is>
      </c>
      <c r="AI5" s="4" t="inlineStr">
        <is>
          <t>2020-09</t>
        </is>
      </c>
      <c r="AJ5" s="4" t="inlineStr">
        <is>
          <t>2020-10</t>
        </is>
      </c>
      <c r="AK5" s="4" t="inlineStr">
        <is>
          <t>2020-11</t>
        </is>
      </c>
      <c r="AL5" s="4" t="inlineStr">
        <is>
          <t>2020-12</t>
        </is>
      </c>
      <c r="AM5" s="4" t="inlineStr">
        <is>
          <t>2021-01</t>
        </is>
      </c>
      <c r="AN5" s="4" t="inlineStr">
        <is>
          <t>2021-02</t>
        </is>
      </c>
      <c r="AO5" s="4" t="inlineStr">
        <is>
          <t>2021-03</t>
        </is>
      </c>
      <c r="AP5" s="4" t="inlineStr">
        <is>
          <t>2021-04</t>
        </is>
      </c>
      <c r="AQ5" s="4" t="inlineStr">
        <is>
          <t>2021-05</t>
        </is>
      </c>
      <c r="AR5" s="4" t="inlineStr">
        <is>
          <t>2021-06</t>
        </is>
      </c>
      <c r="AS5" s="4" t="inlineStr">
        <is>
          <t>2021-07</t>
        </is>
      </c>
      <c r="AT5" s="4" t="inlineStr">
        <is>
          <t>2021-08</t>
        </is>
      </c>
      <c r="AU5" s="4" t="inlineStr">
        <is>
          <t>2021-09</t>
        </is>
      </c>
      <c r="AV5" s="4" t="inlineStr">
        <is>
          <t>2021-10</t>
        </is>
      </c>
      <c r="AW5" s="4" t="inlineStr">
        <is>
          <t>2021-11</t>
        </is>
      </c>
      <c r="AX5" s="4" t="inlineStr">
        <is>
          <t>2021-12</t>
        </is>
      </c>
      <c r="AY5" s="4" t="inlineStr">
        <is>
          <t>2022-01</t>
        </is>
      </c>
      <c r="AZ5" s="4" t="inlineStr">
        <is>
          <t>2022-02</t>
        </is>
      </c>
      <c r="BA5" s="4" t="inlineStr">
        <is>
          <t>2022-03</t>
        </is>
      </c>
      <c r="BB5" s="4" t="inlineStr">
        <is>
          <t>2022-04</t>
        </is>
      </c>
      <c r="BC5" s="4" t="inlineStr">
        <is>
          <t>2022-05</t>
        </is>
      </c>
      <c r="BD5" s="4" t="inlineStr">
        <is>
          <t>2022-06</t>
        </is>
      </c>
      <c r="BE5" s="4" t="inlineStr">
        <is>
          <t>2022-07</t>
        </is>
      </c>
      <c r="BF5" s="4" t="inlineStr">
        <is>
          <t>2022-08</t>
        </is>
      </c>
      <c r="BG5" s="4" t="inlineStr">
        <is>
          <t>2022-09</t>
        </is>
      </c>
      <c r="BH5" s="4" t="inlineStr">
        <is>
          <t>2022-10</t>
        </is>
      </c>
      <c r="BI5" s="4" t="inlineStr">
        <is>
          <t>2022-11</t>
        </is>
      </c>
      <c r="BJ5" s="4" t="inlineStr">
        <is>
          <t>2022-12</t>
        </is>
      </c>
    </row>
    <row r="7">
      <c r="B7" s="2" t="inlineStr">
        <is>
          <t>Constants</t>
        </is>
      </c>
    </row>
    <row r="8">
      <c r="D8" t="inlineStr">
        <is>
          <t>Contract debt share of funding g = D/(D+E)</t>
        </is>
      </c>
      <c r="E8" t="inlineStr">
        <is>
          <t>fraction</t>
        </is>
      </c>
      <c r="F8" s="11">
        <f>Inputs!$F$113/(Inputs!$F$113+Inputs!$F$114)</f>
        <v/>
      </c>
    </row>
    <row r="9">
      <c r="D9" t="inlineStr">
        <is>
          <t>Gearing used in the closed-form gross-up</t>
        </is>
      </c>
      <c r="E9" t="inlineStr">
        <is>
          <t>fraction</t>
        </is>
      </c>
      <c r="F9" s="11">
        <f>IF(Inputs!$F$51&lt;&gt;1,Funding!$F$8,Inputs!$F$105)</f>
        <v/>
      </c>
    </row>
    <row r="10">
      <c r="D10" t="inlineStr">
        <is>
          <t>ECA premium gross-up denominator 1 - prem x share x g</t>
        </is>
      </c>
      <c r="E10" t="inlineStr">
        <is>
          <t>factor</t>
        </is>
      </c>
      <c r="F10" s="11">
        <f>1-Inputs!$F$94/100*Inputs!$F$75*Funding!$F$9</f>
        <v/>
      </c>
    </row>
    <row r="11">
      <c r="D11" t="inlineStr">
        <is>
          <t>First installment share of remaining profile</t>
        </is>
      </c>
      <c r="E11" t="inlineStr">
        <is>
          <t>fraction</t>
        </is>
      </c>
      <c r="F11" s="11">
        <f>INDEX(Debt!$J$17:$BN$17,1,Time!$F$13)/INDEX(Debt!$J$18:$BN$18,1,Time!$F$13)</f>
        <v/>
      </c>
    </row>
    <row r="12">
      <c r="D12" t="inlineStr">
        <is>
          <t>DSRA coefficient per USD of E balance</t>
        </is>
      </c>
      <c r="E12" t="inlineStr">
        <is>
          <t>factor</t>
        </is>
      </c>
      <c r="F12" s="11">
        <f>$F$11+(INDEX(Operations!$J$9:$BN$9,1,Time!$F$13)+Inputs!$F$79)/100*INDEX(Time!$J$25:$BN$25,1,Time!$F$13)/Inputs!$F$247*1</f>
        <v/>
      </c>
    </row>
    <row r="13">
      <c r="D13" t="inlineStr">
        <is>
          <t>DSRA coefficient per USD of A balance</t>
        </is>
      </c>
      <c r="E13" t="inlineStr">
        <is>
          <t>factor</t>
        </is>
      </c>
      <c r="F13" s="11">
        <f>$F$11+(INDEX(Operations!$J$9:$BN$9,1,Time!$F$13)+Inputs!$F$80)/100*INDEX(Time!$J$25:$BN$25,1,Time!$F$13)/Inputs!$F$247*1</f>
        <v/>
      </c>
    </row>
    <row r="14">
      <c r="D14" t="inlineStr">
        <is>
          <t>DSRA coefficient per USD of B balance</t>
        </is>
      </c>
      <c r="E14" t="inlineStr">
        <is>
          <t>factor</t>
        </is>
      </c>
      <c r="F14" s="11">
        <f>$F$11+(INDEX(Operations!$J$9:$BN$9,1,Time!$F$13)+Inputs!$F$81)/100*INDEX(Time!$J$25:$BN$25,1,Time!$F$13)/Inputs!$F$247*1</f>
        <v/>
      </c>
    </row>
    <row r="15">
      <c r="D15" t="inlineStr">
        <is>
          <t>DSRA coefficient per USD of C balance</t>
        </is>
      </c>
      <c r="E15" t="inlineStr">
        <is>
          <t>factor</t>
        </is>
      </c>
      <c r="F15" s="11">
        <f>$F$11+(INDEX(Operations!$J$9:$BN$9,1,Time!$F$13)+INDEX(Debt!$J$8:$BN$8,1,Time!$F$13))/100*INDEX(Time!$J$25:$BN$25,1,Time!$F$13)/Inputs!$F$247*(1/(1-Inputs!$F$93/100))+(Inputs!$F$95/100*Inputs!$F$96/100)*INDEX(Time!$J$25:$BN$25,1,Time!$F$13)/Inputs!$F$248</f>
        <v/>
      </c>
    </row>
    <row r="16">
      <c r="D16" t="inlineStr">
        <is>
          <t>DSRA coefficient per USD of standby balance</t>
        </is>
      </c>
      <c r="E16" t="inlineStr">
        <is>
          <t>factor</t>
        </is>
      </c>
      <c r="F16" s="11">
        <f>$F$11+INDEX(Debt!$J$14:$BN$14,1,Time!$F$13)</f>
        <v/>
      </c>
    </row>
    <row r="17">
      <c r="D17" t="inlineStr">
        <is>
          <t>DSRA constant (swap net payment)</t>
        </is>
      </c>
      <c r="E17" t="inlineStr">
        <is>
          <t>USD m</t>
        </is>
      </c>
      <c r="F17" s="11">
        <f>INDEX(Inputs!$J$301:$BN$301,1,Time!$F$13)*(Inputs!$F$97/100*INDEX(Time!$J$24:$BN$24,1,Time!$F$13)-INDEX(Operations!$J$9:$BN$9,1,Time!$F$13)/100*INDEX(Time!$J$25:$BN$25,1,Time!$F$13)/Inputs!$F$247)</f>
        <v/>
      </c>
    </row>
    <row r="18">
      <c r="B18" s="2" t="inlineStr">
        <is>
          <t>Closed-form gross-up: debt balance = alpha + beta x T (FC-type cases)</t>
        </is>
      </c>
    </row>
    <row r="19">
      <c r="D19" t="inlineStr">
        <is>
          <t>Blended loan rate per month (rho)</t>
        </is>
      </c>
      <c r="E19" t="inlineStr">
        <is>
          <t>factor</t>
        </is>
      </c>
      <c r="J19" s="16">
        <f>Inputs!$F$75*(Construction!J17+Inputs!$F$79)/100*Construction!J11/Inputs!$F$247*1+Inputs!$F$76*(Construction!J17+Inputs!$F$80)/100*Construction!J11/Inputs!$F$247*1+Inputs!$F$77*(Construction!J17+Inputs!$F$81)/100*Construction!J11/Inputs!$F$247*1+Inputs!$F$78*(Construction!J17+Inputs!$F$82)/100*Construction!J11/Inputs!$F$247*(1/(1-Inputs!$F$93/100))+Inputs!$F$78*(Inputs!$F$95/100*Inputs!$F$96/100)*Construction!J11/Inputs!$F$248</f>
        <v/>
      </c>
      <c r="K19" s="16">
        <f>Inputs!$F$75*(Construction!K17+Inputs!$F$79)/100*Construction!K11/Inputs!$F$247*1+Inputs!$F$76*(Construction!K17+Inputs!$F$80)/100*Construction!K11/Inputs!$F$247*1+Inputs!$F$77*(Construction!K17+Inputs!$F$81)/100*Construction!K11/Inputs!$F$247*1+Inputs!$F$78*(Construction!K17+Inputs!$F$82)/100*Construction!K11/Inputs!$F$247*(1/(1-Inputs!$F$93/100))+Inputs!$F$78*(Inputs!$F$95/100*Inputs!$F$96/100)*Construction!K11/Inputs!$F$248</f>
        <v/>
      </c>
      <c r="L19" s="16">
        <f>Inputs!$F$75*(Construction!L17+Inputs!$F$79)/100*Construction!L11/Inputs!$F$247*1+Inputs!$F$76*(Construction!L17+Inputs!$F$80)/100*Construction!L11/Inputs!$F$247*1+Inputs!$F$77*(Construction!L17+Inputs!$F$81)/100*Construction!L11/Inputs!$F$247*1+Inputs!$F$78*(Construction!L17+Inputs!$F$82)/100*Construction!L11/Inputs!$F$247*(1/(1-Inputs!$F$93/100))+Inputs!$F$78*(Inputs!$F$95/100*Inputs!$F$96/100)*Construction!L11/Inputs!$F$248</f>
        <v/>
      </c>
      <c r="M19" s="16">
        <f>Inputs!$F$75*(Construction!M17+Inputs!$F$79)/100*Construction!M11/Inputs!$F$247*1+Inputs!$F$76*(Construction!M17+Inputs!$F$80)/100*Construction!M11/Inputs!$F$247*1+Inputs!$F$77*(Construction!M17+Inputs!$F$81)/100*Construction!M11/Inputs!$F$247*1+Inputs!$F$78*(Construction!M17+Inputs!$F$82)/100*Construction!M11/Inputs!$F$247*(1/(1-Inputs!$F$93/100))+Inputs!$F$78*(Inputs!$F$95/100*Inputs!$F$96/100)*Construction!M11/Inputs!$F$248</f>
        <v/>
      </c>
      <c r="N19" s="16">
        <f>Inputs!$F$75*(Construction!N17+Inputs!$F$79)/100*Construction!N11/Inputs!$F$247*1+Inputs!$F$76*(Construction!N17+Inputs!$F$80)/100*Construction!N11/Inputs!$F$247*1+Inputs!$F$77*(Construction!N17+Inputs!$F$81)/100*Construction!N11/Inputs!$F$247*1+Inputs!$F$78*(Construction!N17+Inputs!$F$82)/100*Construction!N11/Inputs!$F$247*(1/(1-Inputs!$F$93/100))+Inputs!$F$78*(Inputs!$F$95/100*Inputs!$F$96/100)*Construction!N11/Inputs!$F$248</f>
        <v/>
      </c>
      <c r="O19" s="16">
        <f>Inputs!$F$75*(Construction!O17+Inputs!$F$79)/100*Construction!O11/Inputs!$F$247*1+Inputs!$F$76*(Construction!O17+Inputs!$F$80)/100*Construction!O11/Inputs!$F$247*1+Inputs!$F$77*(Construction!O17+Inputs!$F$81)/100*Construction!O11/Inputs!$F$247*1+Inputs!$F$78*(Construction!O17+Inputs!$F$82)/100*Construction!O11/Inputs!$F$247*(1/(1-Inputs!$F$93/100))+Inputs!$F$78*(Inputs!$F$95/100*Inputs!$F$96/100)*Construction!O11/Inputs!$F$248</f>
        <v/>
      </c>
      <c r="P19" s="16">
        <f>Inputs!$F$75*(Construction!P17+Inputs!$F$79)/100*Construction!P11/Inputs!$F$247*1+Inputs!$F$76*(Construction!P17+Inputs!$F$80)/100*Construction!P11/Inputs!$F$247*1+Inputs!$F$77*(Construction!P17+Inputs!$F$81)/100*Construction!P11/Inputs!$F$247*1+Inputs!$F$78*(Construction!P17+Inputs!$F$82)/100*Construction!P11/Inputs!$F$247*(1/(1-Inputs!$F$93/100))+Inputs!$F$78*(Inputs!$F$95/100*Inputs!$F$96/100)*Construction!P11/Inputs!$F$248</f>
        <v/>
      </c>
      <c r="Q19" s="16">
        <f>Inputs!$F$75*(Construction!Q17+Inputs!$F$79)/100*Construction!Q11/Inputs!$F$247*1+Inputs!$F$76*(Construction!Q17+Inputs!$F$80)/100*Construction!Q11/Inputs!$F$247*1+Inputs!$F$77*(Construction!Q17+Inputs!$F$81)/100*Construction!Q11/Inputs!$F$247*1+Inputs!$F$78*(Construction!Q17+Inputs!$F$82)/100*Construction!Q11/Inputs!$F$247*(1/(1-Inputs!$F$93/100))+Inputs!$F$78*(Inputs!$F$95/100*Inputs!$F$96/100)*Construction!Q11/Inputs!$F$248</f>
        <v/>
      </c>
      <c r="R19" s="16">
        <f>Inputs!$F$75*(Construction!R17+Inputs!$F$79)/100*Construction!R11/Inputs!$F$247*1+Inputs!$F$76*(Construction!R17+Inputs!$F$80)/100*Construction!R11/Inputs!$F$247*1+Inputs!$F$77*(Construction!R17+Inputs!$F$81)/100*Construction!R11/Inputs!$F$247*1+Inputs!$F$78*(Construction!R17+Inputs!$F$82)/100*Construction!R11/Inputs!$F$247*(1/(1-Inputs!$F$93/100))+Inputs!$F$78*(Inputs!$F$95/100*Inputs!$F$96/100)*Construction!R11/Inputs!$F$248</f>
        <v/>
      </c>
      <c r="S19" s="16">
        <f>Inputs!$F$75*(Construction!S17+Inputs!$F$79)/100*Construction!S11/Inputs!$F$247*1+Inputs!$F$76*(Construction!S17+Inputs!$F$80)/100*Construction!S11/Inputs!$F$247*1+Inputs!$F$77*(Construction!S17+Inputs!$F$81)/100*Construction!S11/Inputs!$F$247*1+Inputs!$F$78*(Construction!S17+Inputs!$F$82)/100*Construction!S11/Inputs!$F$247*(1/(1-Inputs!$F$93/100))+Inputs!$F$78*(Inputs!$F$95/100*Inputs!$F$96/100)*Construction!S11/Inputs!$F$248</f>
        <v/>
      </c>
      <c r="T19" s="16">
        <f>Inputs!$F$75*(Construction!T17+Inputs!$F$79)/100*Construction!T11/Inputs!$F$247*1+Inputs!$F$76*(Construction!T17+Inputs!$F$80)/100*Construction!T11/Inputs!$F$247*1+Inputs!$F$77*(Construction!T17+Inputs!$F$81)/100*Construction!T11/Inputs!$F$247*1+Inputs!$F$78*(Construction!T17+Inputs!$F$82)/100*Construction!T11/Inputs!$F$247*(1/(1-Inputs!$F$93/100))+Inputs!$F$78*(Inputs!$F$95/100*Inputs!$F$96/100)*Construction!T11/Inputs!$F$248</f>
        <v/>
      </c>
      <c r="U19" s="16">
        <f>Inputs!$F$75*(Construction!U17+Inputs!$F$79)/100*Construction!U11/Inputs!$F$247*1+Inputs!$F$76*(Construction!U17+Inputs!$F$80)/100*Construction!U11/Inputs!$F$247*1+Inputs!$F$77*(Construction!U17+Inputs!$F$81)/100*Construction!U11/Inputs!$F$247*1+Inputs!$F$78*(Construction!U17+Inputs!$F$82)/100*Construction!U11/Inputs!$F$247*(1/(1-Inputs!$F$93/100))+Inputs!$F$78*(Inputs!$F$95/100*Inputs!$F$96/100)*Construction!U11/Inputs!$F$248</f>
        <v/>
      </c>
      <c r="V19" s="16">
        <f>Inputs!$F$75*(Construction!V17+Inputs!$F$79)/100*Construction!V11/Inputs!$F$247*1+Inputs!$F$76*(Construction!V17+Inputs!$F$80)/100*Construction!V11/Inputs!$F$247*1+Inputs!$F$77*(Construction!V17+Inputs!$F$81)/100*Construction!V11/Inputs!$F$247*1+Inputs!$F$78*(Construction!V17+Inputs!$F$82)/100*Construction!V11/Inputs!$F$247*(1/(1-Inputs!$F$93/100))+Inputs!$F$78*(Inputs!$F$95/100*Inputs!$F$96/100)*Construction!V11/Inputs!$F$248</f>
        <v/>
      </c>
      <c r="W19" s="16">
        <f>Inputs!$F$75*(Construction!W17+Inputs!$F$79)/100*Construction!W11/Inputs!$F$247*1+Inputs!$F$76*(Construction!W17+Inputs!$F$80)/100*Construction!W11/Inputs!$F$247*1+Inputs!$F$77*(Construction!W17+Inputs!$F$81)/100*Construction!W11/Inputs!$F$247*1+Inputs!$F$78*(Construction!W17+Inputs!$F$82)/100*Construction!W11/Inputs!$F$247*(1/(1-Inputs!$F$93/100))+Inputs!$F$78*(Inputs!$F$95/100*Inputs!$F$96/100)*Construction!W11/Inputs!$F$248</f>
        <v/>
      </c>
      <c r="X19" s="16">
        <f>Inputs!$F$75*(Construction!X17+Inputs!$F$79)/100*Construction!X11/Inputs!$F$247*1+Inputs!$F$76*(Construction!X17+Inputs!$F$80)/100*Construction!X11/Inputs!$F$247*1+Inputs!$F$77*(Construction!X17+Inputs!$F$81)/100*Construction!X11/Inputs!$F$247*1+Inputs!$F$78*(Construction!X17+Inputs!$F$82)/100*Construction!X11/Inputs!$F$247*(1/(1-Inputs!$F$93/100))+Inputs!$F$78*(Inputs!$F$95/100*Inputs!$F$96/100)*Construction!X11/Inputs!$F$248</f>
        <v/>
      </c>
      <c r="Y19" s="16">
        <f>Inputs!$F$75*(Construction!Y17+Inputs!$F$79)/100*Construction!Y11/Inputs!$F$247*1+Inputs!$F$76*(Construction!Y17+Inputs!$F$80)/100*Construction!Y11/Inputs!$F$247*1+Inputs!$F$77*(Construction!Y17+Inputs!$F$81)/100*Construction!Y11/Inputs!$F$247*1+Inputs!$F$78*(Construction!Y17+Inputs!$F$82)/100*Construction!Y11/Inputs!$F$247*(1/(1-Inputs!$F$93/100))+Inputs!$F$78*(Inputs!$F$95/100*Inputs!$F$96/100)*Construction!Y11/Inputs!$F$248</f>
        <v/>
      </c>
      <c r="Z19" s="16">
        <f>Inputs!$F$75*(Construction!Z17+Inputs!$F$79)/100*Construction!Z11/Inputs!$F$247*1+Inputs!$F$76*(Construction!Z17+Inputs!$F$80)/100*Construction!Z11/Inputs!$F$247*1+Inputs!$F$77*(Construction!Z17+Inputs!$F$81)/100*Construction!Z11/Inputs!$F$247*1+Inputs!$F$78*(Construction!Z17+Inputs!$F$82)/100*Construction!Z11/Inputs!$F$247*(1/(1-Inputs!$F$93/100))+Inputs!$F$78*(Inputs!$F$95/100*Inputs!$F$96/100)*Construction!Z11/Inputs!$F$248</f>
        <v/>
      </c>
      <c r="AA19" s="16">
        <f>Inputs!$F$75*(Construction!AA17+Inputs!$F$79)/100*Construction!AA11/Inputs!$F$247*1+Inputs!$F$76*(Construction!AA17+Inputs!$F$80)/100*Construction!AA11/Inputs!$F$247*1+Inputs!$F$77*(Construction!AA17+Inputs!$F$81)/100*Construction!AA11/Inputs!$F$247*1+Inputs!$F$78*(Construction!AA17+Inputs!$F$82)/100*Construction!AA11/Inputs!$F$247*(1/(1-Inputs!$F$93/100))+Inputs!$F$78*(Inputs!$F$95/100*Inputs!$F$96/100)*Construction!AA11/Inputs!$F$248</f>
        <v/>
      </c>
      <c r="AB19" s="16">
        <f>Inputs!$F$75*(Construction!AB17+Inputs!$F$79)/100*Construction!AB11/Inputs!$F$247*1+Inputs!$F$76*(Construction!AB17+Inputs!$F$80)/100*Construction!AB11/Inputs!$F$247*1+Inputs!$F$77*(Construction!AB17+Inputs!$F$81)/100*Construction!AB11/Inputs!$F$247*1+Inputs!$F$78*(Construction!AB17+Inputs!$F$82)/100*Construction!AB11/Inputs!$F$247*(1/(1-Inputs!$F$93/100))+Inputs!$F$78*(Inputs!$F$95/100*Inputs!$F$96/100)*Construction!AB11/Inputs!$F$248</f>
        <v/>
      </c>
      <c r="AC19" s="16">
        <f>Inputs!$F$75*(Construction!AC17+Inputs!$F$79)/100*Construction!AC11/Inputs!$F$247*1+Inputs!$F$76*(Construction!AC17+Inputs!$F$80)/100*Construction!AC11/Inputs!$F$247*1+Inputs!$F$77*(Construction!AC17+Inputs!$F$81)/100*Construction!AC11/Inputs!$F$247*1+Inputs!$F$78*(Construction!AC17+Inputs!$F$82)/100*Construction!AC11/Inputs!$F$247*(1/(1-Inputs!$F$93/100))+Inputs!$F$78*(Inputs!$F$95/100*Inputs!$F$96/100)*Construction!AC11/Inputs!$F$248</f>
        <v/>
      </c>
      <c r="AD19" s="16">
        <f>Inputs!$F$75*(Construction!AD17+Inputs!$F$79)/100*Construction!AD11/Inputs!$F$247*1+Inputs!$F$76*(Construction!AD17+Inputs!$F$80)/100*Construction!AD11/Inputs!$F$247*1+Inputs!$F$77*(Construction!AD17+Inputs!$F$81)/100*Construction!AD11/Inputs!$F$247*1+Inputs!$F$78*(Construction!AD17+Inputs!$F$82)/100*Construction!AD11/Inputs!$F$247*(1/(1-Inputs!$F$93/100))+Inputs!$F$78*(Inputs!$F$95/100*Inputs!$F$96/100)*Construction!AD11/Inputs!$F$248</f>
        <v/>
      </c>
      <c r="AE19" s="16">
        <f>Inputs!$F$75*(Construction!AE17+Inputs!$F$79)/100*Construction!AE11/Inputs!$F$247*1+Inputs!$F$76*(Construction!AE17+Inputs!$F$80)/100*Construction!AE11/Inputs!$F$247*1+Inputs!$F$77*(Construction!AE17+Inputs!$F$81)/100*Construction!AE11/Inputs!$F$247*1+Inputs!$F$78*(Construction!AE17+Inputs!$F$82)/100*Construction!AE11/Inputs!$F$247*(1/(1-Inputs!$F$93/100))+Inputs!$F$78*(Inputs!$F$95/100*Inputs!$F$96/100)*Construction!AE11/Inputs!$F$248</f>
        <v/>
      </c>
      <c r="AF19" s="16">
        <f>Inputs!$F$75*(Construction!AF17+Inputs!$F$79)/100*Construction!AF11/Inputs!$F$247*1+Inputs!$F$76*(Construction!AF17+Inputs!$F$80)/100*Construction!AF11/Inputs!$F$247*1+Inputs!$F$77*(Construction!AF17+Inputs!$F$81)/100*Construction!AF11/Inputs!$F$247*1+Inputs!$F$78*(Construction!AF17+Inputs!$F$82)/100*Construction!AF11/Inputs!$F$247*(1/(1-Inputs!$F$93/100))+Inputs!$F$78*(Inputs!$F$95/100*Inputs!$F$96/100)*Construction!AF11/Inputs!$F$248</f>
        <v/>
      </c>
      <c r="AG19" s="16">
        <f>Inputs!$F$75*(Construction!AG17+Inputs!$F$79)/100*Construction!AG11/Inputs!$F$247*1+Inputs!$F$76*(Construction!AG17+Inputs!$F$80)/100*Construction!AG11/Inputs!$F$247*1+Inputs!$F$77*(Construction!AG17+Inputs!$F$81)/100*Construction!AG11/Inputs!$F$247*1+Inputs!$F$78*(Construction!AG17+Inputs!$F$82)/100*Construction!AG11/Inputs!$F$247*(1/(1-Inputs!$F$93/100))+Inputs!$F$78*(Inputs!$F$95/100*Inputs!$F$96/100)*Construction!AG11/Inputs!$F$248</f>
        <v/>
      </c>
      <c r="AH19" s="16">
        <f>Inputs!$F$75*(Construction!AH17+Inputs!$F$79)/100*Construction!AH11/Inputs!$F$247*1+Inputs!$F$76*(Construction!AH17+Inputs!$F$80)/100*Construction!AH11/Inputs!$F$247*1+Inputs!$F$77*(Construction!AH17+Inputs!$F$81)/100*Construction!AH11/Inputs!$F$247*1+Inputs!$F$78*(Construction!AH17+Inputs!$F$82)/100*Construction!AH11/Inputs!$F$247*(1/(1-Inputs!$F$93/100))+Inputs!$F$78*(Inputs!$F$95/100*Inputs!$F$96/100)*Construction!AH11/Inputs!$F$248</f>
        <v/>
      </c>
      <c r="AI19" s="16">
        <f>Inputs!$F$75*(Construction!AI17+Inputs!$F$79)/100*Construction!AI11/Inputs!$F$247*1+Inputs!$F$76*(Construction!AI17+Inputs!$F$80)/100*Construction!AI11/Inputs!$F$247*1+Inputs!$F$77*(Construction!AI17+Inputs!$F$81)/100*Construction!AI11/Inputs!$F$247*1+Inputs!$F$78*(Construction!AI17+Inputs!$F$82)/100*Construction!AI11/Inputs!$F$247*(1/(1-Inputs!$F$93/100))+Inputs!$F$78*(Inputs!$F$95/100*Inputs!$F$96/100)*Construction!AI11/Inputs!$F$248</f>
        <v/>
      </c>
      <c r="AJ19" s="16">
        <f>Inputs!$F$75*(Construction!AJ17+Inputs!$F$79)/100*Construction!AJ11/Inputs!$F$247*1+Inputs!$F$76*(Construction!AJ17+Inputs!$F$80)/100*Construction!AJ11/Inputs!$F$247*1+Inputs!$F$77*(Construction!AJ17+Inputs!$F$81)/100*Construction!AJ11/Inputs!$F$247*1+Inputs!$F$78*(Construction!AJ17+Inputs!$F$82)/100*Construction!AJ11/Inputs!$F$247*(1/(1-Inputs!$F$93/100))+Inputs!$F$78*(Inputs!$F$95/100*Inputs!$F$96/100)*Construction!AJ11/Inputs!$F$248</f>
        <v/>
      </c>
      <c r="AK19" s="16">
        <f>Inputs!$F$75*(Construction!AK17+Inputs!$F$79)/100*Construction!AK11/Inputs!$F$247*1+Inputs!$F$76*(Construction!AK17+Inputs!$F$80)/100*Construction!AK11/Inputs!$F$247*1+Inputs!$F$77*(Construction!AK17+Inputs!$F$81)/100*Construction!AK11/Inputs!$F$247*1+Inputs!$F$78*(Construction!AK17+Inputs!$F$82)/100*Construction!AK11/Inputs!$F$247*(1/(1-Inputs!$F$93/100))+Inputs!$F$78*(Inputs!$F$95/100*Inputs!$F$96/100)*Construction!AK11/Inputs!$F$248</f>
        <v/>
      </c>
      <c r="AL19" s="16">
        <f>Inputs!$F$75*(Construction!AL17+Inputs!$F$79)/100*Construction!AL11/Inputs!$F$247*1+Inputs!$F$76*(Construction!AL17+Inputs!$F$80)/100*Construction!AL11/Inputs!$F$247*1+Inputs!$F$77*(Construction!AL17+Inputs!$F$81)/100*Construction!AL11/Inputs!$F$247*1+Inputs!$F$78*(Construction!AL17+Inputs!$F$82)/100*Construction!AL11/Inputs!$F$247*(1/(1-Inputs!$F$93/100))+Inputs!$F$78*(Inputs!$F$95/100*Inputs!$F$96/100)*Construction!AL11/Inputs!$F$248</f>
        <v/>
      </c>
      <c r="AM19" s="16">
        <f>Inputs!$F$75*(Construction!AM17+Inputs!$F$79)/100*Construction!AM11/Inputs!$F$247*1+Inputs!$F$76*(Construction!AM17+Inputs!$F$80)/100*Construction!AM11/Inputs!$F$247*1+Inputs!$F$77*(Construction!AM17+Inputs!$F$81)/100*Construction!AM11/Inputs!$F$247*1+Inputs!$F$78*(Construction!AM17+Inputs!$F$82)/100*Construction!AM11/Inputs!$F$247*(1/(1-Inputs!$F$93/100))+Inputs!$F$78*(Inputs!$F$95/100*Inputs!$F$96/100)*Construction!AM11/Inputs!$F$248</f>
        <v/>
      </c>
      <c r="AN19" s="16">
        <f>Inputs!$F$75*(Construction!AN17+Inputs!$F$79)/100*Construction!AN11/Inputs!$F$247*1+Inputs!$F$76*(Construction!AN17+Inputs!$F$80)/100*Construction!AN11/Inputs!$F$247*1+Inputs!$F$77*(Construction!AN17+Inputs!$F$81)/100*Construction!AN11/Inputs!$F$247*1+Inputs!$F$78*(Construction!AN17+Inputs!$F$82)/100*Construction!AN11/Inputs!$F$247*(1/(1-Inputs!$F$93/100))+Inputs!$F$78*(Inputs!$F$95/100*Inputs!$F$96/100)*Construction!AN11/Inputs!$F$248</f>
        <v/>
      </c>
      <c r="AO19" s="16">
        <f>Inputs!$F$75*(Construction!AO17+Inputs!$F$79)/100*Construction!AO11/Inputs!$F$247*1+Inputs!$F$76*(Construction!AO17+Inputs!$F$80)/100*Construction!AO11/Inputs!$F$247*1+Inputs!$F$77*(Construction!AO17+Inputs!$F$81)/100*Construction!AO11/Inputs!$F$247*1+Inputs!$F$78*(Construction!AO17+Inputs!$F$82)/100*Construction!AO11/Inputs!$F$247*(1/(1-Inputs!$F$93/100))+Inputs!$F$78*(Inputs!$F$95/100*Inputs!$F$96/100)*Construction!AO11/Inputs!$F$248</f>
        <v/>
      </c>
      <c r="AP19" s="16">
        <f>Inputs!$F$75*(Construction!AP17+Inputs!$F$79)/100*Construction!AP11/Inputs!$F$247*1+Inputs!$F$76*(Construction!AP17+Inputs!$F$80)/100*Construction!AP11/Inputs!$F$247*1+Inputs!$F$77*(Construction!AP17+Inputs!$F$81)/100*Construction!AP11/Inputs!$F$247*1+Inputs!$F$78*(Construction!AP17+Inputs!$F$82)/100*Construction!AP11/Inputs!$F$247*(1/(1-Inputs!$F$93/100))+Inputs!$F$78*(Inputs!$F$95/100*Inputs!$F$96/100)*Construction!AP11/Inputs!$F$248</f>
        <v/>
      </c>
      <c r="AQ19" s="16">
        <f>Inputs!$F$75*(Construction!AQ17+Inputs!$F$79)/100*Construction!AQ11/Inputs!$F$247*1+Inputs!$F$76*(Construction!AQ17+Inputs!$F$80)/100*Construction!AQ11/Inputs!$F$247*1+Inputs!$F$77*(Construction!AQ17+Inputs!$F$81)/100*Construction!AQ11/Inputs!$F$247*1+Inputs!$F$78*(Construction!AQ17+Inputs!$F$82)/100*Construction!AQ11/Inputs!$F$247*(1/(1-Inputs!$F$93/100))+Inputs!$F$78*(Inputs!$F$95/100*Inputs!$F$96/100)*Construction!AQ11/Inputs!$F$248</f>
        <v/>
      </c>
      <c r="AR19" s="16">
        <f>Inputs!$F$75*(Construction!AR17+Inputs!$F$79)/100*Construction!AR11/Inputs!$F$247*1+Inputs!$F$76*(Construction!AR17+Inputs!$F$80)/100*Construction!AR11/Inputs!$F$247*1+Inputs!$F$77*(Construction!AR17+Inputs!$F$81)/100*Construction!AR11/Inputs!$F$247*1+Inputs!$F$78*(Construction!AR17+Inputs!$F$82)/100*Construction!AR11/Inputs!$F$247*(1/(1-Inputs!$F$93/100))+Inputs!$F$78*(Inputs!$F$95/100*Inputs!$F$96/100)*Construction!AR11/Inputs!$F$248</f>
        <v/>
      </c>
      <c r="AS19" s="16">
        <f>Inputs!$F$75*(Construction!AS17+Inputs!$F$79)/100*Construction!AS11/Inputs!$F$247*1+Inputs!$F$76*(Construction!AS17+Inputs!$F$80)/100*Construction!AS11/Inputs!$F$247*1+Inputs!$F$77*(Construction!AS17+Inputs!$F$81)/100*Construction!AS11/Inputs!$F$247*1+Inputs!$F$78*(Construction!AS17+Inputs!$F$82)/100*Construction!AS11/Inputs!$F$247*(1/(1-Inputs!$F$93/100))+Inputs!$F$78*(Inputs!$F$95/100*Inputs!$F$96/100)*Construction!AS11/Inputs!$F$248</f>
        <v/>
      </c>
      <c r="AT19" s="16">
        <f>Inputs!$F$75*(Construction!AT17+Inputs!$F$79)/100*Construction!AT11/Inputs!$F$247*1+Inputs!$F$76*(Construction!AT17+Inputs!$F$80)/100*Construction!AT11/Inputs!$F$247*1+Inputs!$F$77*(Construction!AT17+Inputs!$F$81)/100*Construction!AT11/Inputs!$F$247*1+Inputs!$F$78*(Construction!AT17+Inputs!$F$82)/100*Construction!AT11/Inputs!$F$247*(1/(1-Inputs!$F$93/100))+Inputs!$F$78*(Inputs!$F$95/100*Inputs!$F$96/100)*Construction!AT11/Inputs!$F$248</f>
        <v/>
      </c>
      <c r="AU19" s="16">
        <f>Inputs!$F$75*(Construction!AU17+Inputs!$F$79)/100*Construction!AU11/Inputs!$F$247*1+Inputs!$F$76*(Construction!AU17+Inputs!$F$80)/100*Construction!AU11/Inputs!$F$247*1+Inputs!$F$77*(Construction!AU17+Inputs!$F$81)/100*Construction!AU11/Inputs!$F$247*1+Inputs!$F$78*(Construction!AU17+Inputs!$F$82)/100*Construction!AU11/Inputs!$F$247*(1/(1-Inputs!$F$93/100))+Inputs!$F$78*(Inputs!$F$95/100*Inputs!$F$96/100)*Construction!AU11/Inputs!$F$248</f>
        <v/>
      </c>
      <c r="AV19" s="16">
        <f>Inputs!$F$75*(Construction!AV17+Inputs!$F$79)/100*Construction!AV11/Inputs!$F$247*1+Inputs!$F$76*(Construction!AV17+Inputs!$F$80)/100*Construction!AV11/Inputs!$F$247*1+Inputs!$F$77*(Construction!AV17+Inputs!$F$81)/100*Construction!AV11/Inputs!$F$247*1+Inputs!$F$78*(Construction!AV17+Inputs!$F$82)/100*Construction!AV11/Inputs!$F$247*(1/(1-Inputs!$F$93/100))+Inputs!$F$78*(Inputs!$F$95/100*Inputs!$F$96/100)*Construction!AV11/Inputs!$F$248</f>
        <v/>
      </c>
      <c r="AW19" s="16">
        <f>Inputs!$F$75*(Construction!AW17+Inputs!$F$79)/100*Construction!AW11/Inputs!$F$247*1+Inputs!$F$76*(Construction!AW17+Inputs!$F$80)/100*Construction!AW11/Inputs!$F$247*1+Inputs!$F$77*(Construction!AW17+Inputs!$F$81)/100*Construction!AW11/Inputs!$F$247*1+Inputs!$F$78*(Construction!AW17+Inputs!$F$82)/100*Construction!AW11/Inputs!$F$247*(1/(1-Inputs!$F$93/100))+Inputs!$F$78*(Inputs!$F$95/100*Inputs!$F$96/100)*Construction!AW11/Inputs!$F$248</f>
        <v/>
      </c>
      <c r="AX19" s="16">
        <f>Inputs!$F$75*(Construction!AX17+Inputs!$F$79)/100*Construction!AX11/Inputs!$F$247*1+Inputs!$F$76*(Construction!AX17+Inputs!$F$80)/100*Construction!AX11/Inputs!$F$247*1+Inputs!$F$77*(Construction!AX17+Inputs!$F$81)/100*Construction!AX11/Inputs!$F$247*1+Inputs!$F$78*(Construction!AX17+Inputs!$F$82)/100*Construction!AX11/Inputs!$F$247*(1/(1-Inputs!$F$93/100))+Inputs!$F$78*(Inputs!$F$95/100*Inputs!$F$96/100)*Construction!AX11/Inputs!$F$248</f>
        <v/>
      </c>
      <c r="AY19" s="16">
        <f>Inputs!$F$75*(Construction!AY17+Inputs!$F$79)/100*Construction!AY11/Inputs!$F$247*1+Inputs!$F$76*(Construction!AY17+Inputs!$F$80)/100*Construction!AY11/Inputs!$F$247*1+Inputs!$F$77*(Construction!AY17+Inputs!$F$81)/100*Construction!AY11/Inputs!$F$247*1+Inputs!$F$78*(Construction!AY17+Inputs!$F$82)/100*Construction!AY11/Inputs!$F$247*(1/(1-Inputs!$F$93/100))+Inputs!$F$78*(Inputs!$F$95/100*Inputs!$F$96/100)*Construction!AY11/Inputs!$F$248</f>
        <v/>
      </c>
      <c r="AZ19" s="16">
        <f>Inputs!$F$75*(Construction!AZ17+Inputs!$F$79)/100*Construction!AZ11/Inputs!$F$247*1+Inputs!$F$76*(Construction!AZ17+Inputs!$F$80)/100*Construction!AZ11/Inputs!$F$247*1+Inputs!$F$77*(Construction!AZ17+Inputs!$F$81)/100*Construction!AZ11/Inputs!$F$247*1+Inputs!$F$78*(Construction!AZ17+Inputs!$F$82)/100*Construction!AZ11/Inputs!$F$247*(1/(1-Inputs!$F$93/100))+Inputs!$F$78*(Inputs!$F$95/100*Inputs!$F$96/100)*Construction!AZ11/Inputs!$F$248</f>
        <v/>
      </c>
      <c r="BA19" s="16">
        <f>Inputs!$F$75*(Construction!BA17+Inputs!$F$79)/100*Construction!BA11/Inputs!$F$247*1+Inputs!$F$76*(Construction!BA17+Inputs!$F$80)/100*Construction!BA11/Inputs!$F$247*1+Inputs!$F$77*(Construction!BA17+Inputs!$F$81)/100*Construction!BA11/Inputs!$F$247*1+Inputs!$F$78*(Construction!BA17+Inputs!$F$82)/100*Construction!BA11/Inputs!$F$247*(1/(1-Inputs!$F$93/100))+Inputs!$F$78*(Inputs!$F$95/100*Inputs!$F$96/100)*Construction!BA11/Inputs!$F$248</f>
        <v/>
      </c>
      <c r="BB19" s="16">
        <f>Inputs!$F$75*(Construction!BB17+Inputs!$F$79)/100*Construction!BB11/Inputs!$F$247*1+Inputs!$F$76*(Construction!BB17+Inputs!$F$80)/100*Construction!BB11/Inputs!$F$247*1+Inputs!$F$77*(Construction!BB17+Inputs!$F$81)/100*Construction!BB11/Inputs!$F$247*1+Inputs!$F$78*(Construction!BB17+Inputs!$F$82)/100*Construction!BB11/Inputs!$F$247*(1/(1-Inputs!$F$93/100))+Inputs!$F$78*(Inputs!$F$95/100*Inputs!$F$96/100)*Construction!BB11/Inputs!$F$248</f>
        <v/>
      </c>
      <c r="BC19" s="16">
        <f>Inputs!$F$75*(Construction!BC17+Inputs!$F$79)/100*Construction!BC11/Inputs!$F$247*1+Inputs!$F$76*(Construction!BC17+Inputs!$F$80)/100*Construction!BC11/Inputs!$F$247*1+Inputs!$F$77*(Construction!BC17+Inputs!$F$81)/100*Construction!BC11/Inputs!$F$247*1+Inputs!$F$78*(Construction!BC17+Inputs!$F$82)/100*Construction!BC11/Inputs!$F$247*(1/(1-Inputs!$F$93/100))+Inputs!$F$78*(Inputs!$F$95/100*Inputs!$F$96/100)*Construction!BC11/Inputs!$F$248</f>
        <v/>
      </c>
      <c r="BD19" s="16">
        <f>Inputs!$F$75*(Construction!BD17+Inputs!$F$79)/100*Construction!BD11/Inputs!$F$247*1+Inputs!$F$76*(Construction!BD17+Inputs!$F$80)/100*Construction!BD11/Inputs!$F$247*1+Inputs!$F$77*(Construction!BD17+Inputs!$F$81)/100*Construction!BD11/Inputs!$F$247*1+Inputs!$F$78*(Construction!BD17+Inputs!$F$82)/100*Construction!BD11/Inputs!$F$247*(1/(1-Inputs!$F$93/100))+Inputs!$F$78*(Inputs!$F$95/100*Inputs!$F$96/100)*Construction!BD11/Inputs!$F$248</f>
        <v/>
      </c>
      <c r="BE19" s="16">
        <f>Inputs!$F$75*(Construction!BE17+Inputs!$F$79)/100*Construction!BE11/Inputs!$F$247*1+Inputs!$F$76*(Construction!BE17+Inputs!$F$80)/100*Construction!BE11/Inputs!$F$247*1+Inputs!$F$77*(Construction!BE17+Inputs!$F$81)/100*Construction!BE11/Inputs!$F$247*1+Inputs!$F$78*(Construction!BE17+Inputs!$F$82)/100*Construction!BE11/Inputs!$F$247*(1/(1-Inputs!$F$93/100))+Inputs!$F$78*(Inputs!$F$95/100*Inputs!$F$96/100)*Construction!BE11/Inputs!$F$248</f>
        <v/>
      </c>
      <c r="BF19" s="16">
        <f>Inputs!$F$75*(Construction!BF17+Inputs!$F$79)/100*Construction!BF11/Inputs!$F$247*1+Inputs!$F$76*(Construction!BF17+Inputs!$F$80)/100*Construction!BF11/Inputs!$F$247*1+Inputs!$F$77*(Construction!BF17+Inputs!$F$81)/100*Construction!BF11/Inputs!$F$247*1+Inputs!$F$78*(Construction!BF17+Inputs!$F$82)/100*Construction!BF11/Inputs!$F$247*(1/(1-Inputs!$F$93/100))+Inputs!$F$78*(Inputs!$F$95/100*Inputs!$F$96/100)*Construction!BF11/Inputs!$F$248</f>
        <v/>
      </c>
      <c r="BG19" s="16">
        <f>Inputs!$F$75*(Construction!BG17+Inputs!$F$79)/100*Construction!BG11/Inputs!$F$247*1+Inputs!$F$76*(Construction!BG17+Inputs!$F$80)/100*Construction!BG11/Inputs!$F$247*1+Inputs!$F$77*(Construction!BG17+Inputs!$F$81)/100*Construction!BG11/Inputs!$F$247*1+Inputs!$F$78*(Construction!BG17+Inputs!$F$82)/100*Construction!BG11/Inputs!$F$247*(1/(1-Inputs!$F$93/100))+Inputs!$F$78*(Inputs!$F$95/100*Inputs!$F$96/100)*Construction!BG11/Inputs!$F$248</f>
        <v/>
      </c>
      <c r="BH19" s="16">
        <f>Inputs!$F$75*(Construction!BH17+Inputs!$F$79)/100*Construction!BH11/Inputs!$F$247*1+Inputs!$F$76*(Construction!BH17+Inputs!$F$80)/100*Construction!BH11/Inputs!$F$247*1+Inputs!$F$77*(Construction!BH17+Inputs!$F$81)/100*Construction!BH11/Inputs!$F$247*1+Inputs!$F$78*(Construction!BH17+Inputs!$F$82)/100*Construction!BH11/Inputs!$F$247*(1/(1-Inputs!$F$93/100))+Inputs!$F$78*(Inputs!$F$95/100*Inputs!$F$96/100)*Construction!BH11/Inputs!$F$248</f>
        <v/>
      </c>
      <c r="BI19" s="16">
        <f>Inputs!$F$75*(Construction!BI17+Inputs!$F$79)/100*Construction!BI11/Inputs!$F$247*1+Inputs!$F$76*(Construction!BI17+Inputs!$F$80)/100*Construction!BI11/Inputs!$F$247*1+Inputs!$F$77*(Construction!BI17+Inputs!$F$81)/100*Construction!BI11/Inputs!$F$247*1+Inputs!$F$78*(Construction!BI17+Inputs!$F$82)/100*Construction!BI11/Inputs!$F$247*(1/(1-Inputs!$F$93/100))+Inputs!$F$78*(Inputs!$F$95/100*Inputs!$F$96/100)*Construction!BI11/Inputs!$F$248</f>
        <v/>
      </c>
      <c r="BJ19" s="16">
        <f>Inputs!$F$75*(Construction!BJ17+Inputs!$F$79)/100*Construction!BJ11/Inputs!$F$247*1+Inputs!$F$76*(Construction!BJ17+Inputs!$F$80)/100*Construction!BJ11/Inputs!$F$247*1+Inputs!$F$77*(Construction!BJ17+Inputs!$F$81)/100*Construction!BJ11/Inputs!$F$247*1+Inputs!$F$78*(Construction!BJ17+Inputs!$F$82)/100*Construction!BJ11/Inputs!$F$247*(1/(1-Inputs!$F$93/100))+Inputs!$F$78*(Inputs!$F$95/100*Inputs!$F$96/100)*Construction!BJ11/Inputs!$F$248</f>
        <v/>
      </c>
    </row>
    <row r="20">
      <c r="D20" t="inlineStr">
        <is>
          <t>Blended commitment fee per month (kappa)</t>
        </is>
      </c>
      <c r="E20" t="inlineStr">
        <is>
          <t>factor</t>
        </is>
      </c>
      <c r="J20" s="16">
        <f>Inputs!$F$75*Inputs!$F$85/100*Construction!J11/Inputs!$F$247+Inputs!$F$76*Inputs!$F$86/100*Construction!J11/Inputs!$F$247+Inputs!$F$77*Inputs!$F$87/100*Construction!J11/Inputs!$F$247+Inputs!$F$78*(Inputs!$F$88/100*Inputs!$F$82)/100*Construction!J11/Inputs!$F$247</f>
        <v/>
      </c>
      <c r="K20" s="16">
        <f>Inputs!$F$75*Inputs!$F$85/100*Construction!K11/Inputs!$F$247+Inputs!$F$76*Inputs!$F$86/100*Construction!K11/Inputs!$F$247+Inputs!$F$77*Inputs!$F$87/100*Construction!K11/Inputs!$F$247+Inputs!$F$78*(Inputs!$F$88/100*Inputs!$F$82)/100*Construction!K11/Inputs!$F$247</f>
        <v/>
      </c>
      <c r="L20" s="16">
        <f>Inputs!$F$75*Inputs!$F$85/100*Construction!L11/Inputs!$F$247+Inputs!$F$76*Inputs!$F$86/100*Construction!L11/Inputs!$F$247+Inputs!$F$77*Inputs!$F$87/100*Construction!L11/Inputs!$F$247+Inputs!$F$78*(Inputs!$F$88/100*Inputs!$F$82)/100*Construction!L11/Inputs!$F$247</f>
        <v/>
      </c>
      <c r="M20" s="16">
        <f>Inputs!$F$75*Inputs!$F$85/100*Construction!M11/Inputs!$F$247+Inputs!$F$76*Inputs!$F$86/100*Construction!M11/Inputs!$F$247+Inputs!$F$77*Inputs!$F$87/100*Construction!M11/Inputs!$F$247+Inputs!$F$78*(Inputs!$F$88/100*Inputs!$F$82)/100*Construction!M11/Inputs!$F$247</f>
        <v/>
      </c>
      <c r="N20" s="16">
        <f>Inputs!$F$75*Inputs!$F$85/100*Construction!N11/Inputs!$F$247+Inputs!$F$76*Inputs!$F$86/100*Construction!N11/Inputs!$F$247+Inputs!$F$77*Inputs!$F$87/100*Construction!N11/Inputs!$F$247+Inputs!$F$78*(Inputs!$F$88/100*Inputs!$F$82)/100*Construction!N11/Inputs!$F$247</f>
        <v/>
      </c>
      <c r="O20" s="16">
        <f>Inputs!$F$75*Inputs!$F$85/100*Construction!O11/Inputs!$F$247+Inputs!$F$76*Inputs!$F$86/100*Construction!O11/Inputs!$F$247+Inputs!$F$77*Inputs!$F$87/100*Construction!O11/Inputs!$F$247+Inputs!$F$78*(Inputs!$F$88/100*Inputs!$F$82)/100*Construction!O11/Inputs!$F$247</f>
        <v/>
      </c>
      <c r="P20" s="16">
        <f>Inputs!$F$75*Inputs!$F$85/100*Construction!P11/Inputs!$F$247+Inputs!$F$76*Inputs!$F$86/100*Construction!P11/Inputs!$F$247+Inputs!$F$77*Inputs!$F$87/100*Construction!P11/Inputs!$F$247+Inputs!$F$78*(Inputs!$F$88/100*Inputs!$F$82)/100*Construction!P11/Inputs!$F$247</f>
        <v/>
      </c>
      <c r="Q20" s="16">
        <f>Inputs!$F$75*Inputs!$F$85/100*Construction!Q11/Inputs!$F$247+Inputs!$F$76*Inputs!$F$86/100*Construction!Q11/Inputs!$F$247+Inputs!$F$77*Inputs!$F$87/100*Construction!Q11/Inputs!$F$247+Inputs!$F$78*(Inputs!$F$88/100*Inputs!$F$82)/100*Construction!Q11/Inputs!$F$247</f>
        <v/>
      </c>
      <c r="R20" s="16">
        <f>Inputs!$F$75*Inputs!$F$85/100*Construction!R11/Inputs!$F$247+Inputs!$F$76*Inputs!$F$86/100*Construction!R11/Inputs!$F$247+Inputs!$F$77*Inputs!$F$87/100*Construction!R11/Inputs!$F$247+Inputs!$F$78*(Inputs!$F$88/100*Inputs!$F$82)/100*Construction!R11/Inputs!$F$247</f>
        <v/>
      </c>
      <c r="S20" s="16">
        <f>Inputs!$F$75*Inputs!$F$85/100*Construction!S11/Inputs!$F$247+Inputs!$F$76*Inputs!$F$86/100*Construction!S11/Inputs!$F$247+Inputs!$F$77*Inputs!$F$87/100*Construction!S11/Inputs!$F$247+Inputs!$F$78*(Inputs!$F$88/100*Inputs!$F$82)/100*Construction!S11/Inputs!$F$247</f>
        <v/>
      </c>
      <c r="T20" s="16">
        <f>Inputs!$F$75*Inputs!$F$85/100*Construction!T11/Inputs!$F$247+Inputs!$F$76*Inputs!$F$86/100*Construction!T11/Inputs!$F$247+Inputs!$F$77*Inputs!$F$87/100*Construction!T11/Inputs!$F$247+Inputs!$F$78*(Inputs!$F$88/100*Inputs!$F$82)/100*Construction!T11/Inputs!$F$247</f>
        <v/>
      </c>
      <c r="U20" s="16">
        <f>Inputs!$F$75*Inputs!$F$85/100*Construction!U11/Inputs!$F$247+Inputs!$F$76*Inputs!$F$86/100*Construction!U11/Inputs!$F$247+Inputs!$F$77*Inputs!$F$87/100*Construction!U11/Inputs!$F$247+Inputs!$F$78*(Inputs!$F$88/100*Inputs!$F$82)/100*Construction!U11/Inputs!$F$247</f>
        <v/>
      </c>
      <c r="V20" s="16">
        <f>Inputs!$F$75*Inputs!$F$85/100*Construction!V11/Inputs!$F$247+Inputs!$F$76*Inputs!$F$86/100*Construction!V11/Inputs!$F$247+Inputs!$F$77*Inputs!$F$87/100*Construction!V11/Inputs!$F$247+Inputs!$F$78*(Inputs!$F$88/100*Inputs!$F$82)/100*Construction!V11/Inputs!$F$247</f>
        <v/>
      </c>
      <c r="W20" s="16">
        <f>Inputs!$F$75*Inputs!$F$85/100*Construction!W11/Inputs!$F$247+Inputs!$F$76*Inputs!$F$86/100*Construction!W11/Inputs!$F$247+Inputs!$F$77*Inputs!$F$87/100*Construction!W11/Inputs!$F$247+Inputs!$F$78*(Inputs!$F$88/100*Inputs!$F$82)/100*Construction!W11/Inputs!$F$247</f>
        <v/>
      </c>
      <c r="X20" s="16">
        <f>Inputs!$F$75*Inputs!$F$85/100*Construction!X11/Inputs!$F$247+Inputs!$F$76*Inputs!$F$86/100*Construction!X11/Inputs!$F$247+Inputs!$F$77*Inputs!$F$87/100*Construction!X11/Inputs!$F$247+Inputs!$F$78*(Inputs!$F$88/100*Inputs!$F$82)/100*Construction!X11/Inputs!$F$247</f>
        <v/>
      </c>
      <c r="Y20" s="16">
        <f>Inputs!$F$75*Inputs!$F$85/100*Construction!Y11/Inputs!$F$247+Inputs!$F$76*Inputs!$F$86/100*Construction!Y11/Inputs!$F$247+Inputs!$F$77*Inputs!$F$87/100*Construction!Y11/Inputs!$F$247+Inputs!$F$78*(Inputs!$F$88/100*Inputs!$F$82)/100*Construction!Y11/Inputs!$F$247</f>
        <v/>
      </c>
      <c r="Z20" s="16">
        <f>Inputs!$F$75*Inputs!$F$85/100*Construction!Z11/Inputs!$F$247+Inputs!$F$76*Inputs!$F$86/100*Construction!Z11/Inputs!$F$247+Inputs!$F$77*Inputs!$F$87/100*Construction!Z11/Inputs!$F$247+Inputs!$F$78*(Inputs!$F$88/100*Inputs!$F$82)/100*Construction!Z11/Inputs!$F$247</f>
        <v/>
      </c>
      <c r="AA20" s="16">
        <f>Inputs!$F$75*Inputs!$F$85/100*Construction!AA11/Inputs!$F$247+Inputs!$F$76*Inputs!$F$86/100*Construction!AA11/Inputs!$F$247+Inputs!$F$77*Inputs!$F$87/100*Construction!AA11/Inputs!$F$247+Inputs!$F$78*(Inputs!$F$88/100*Inputs!$F$82)/100*Construction!AA11/Inputs!$F$247</f>
        <v/>
      </c>
      <c r="AB20" s="16">
        <f>Inputs!$F$75*Inputs!$F$85/100*Construction!AB11/Inputs!$F$247+Inputs!$F$76*Inputs!$F$86/100*Construction!AB11/Inputs!$F$247+Inputs!$F$77*Inputs!$F$87/100*Construction!AB11/Inputs!$F$247+Inputs!$F$78*(Inputs!$F$88/100*Inputs!$F$82)/100*Construction!AB11/Inputs!$F$247</f>
        <v/>
      </c>
      <c r="AC20" s="16">
        <f>Inputs!$F$75*Inputs!$F$85/100*Construction!AC11/Inputs!$F$247+Inputs!$F$76*Inputs!$F$86/100*Construction!AC11/Inputs!$F$247+Inputs!$F$77*Inputs!$F$87/100*Construction!AC11/Inputs!$F$247+Inputs!$F$78*(Inputs!$F$88/100*Inputs!$F$82)/100*Construction!AC11/Inputs!$F$247</f>
        <v/>
      </c>
      <c r="AD20" s="16">
        <f>Inputs!$F$75*Inputs!$F$85/100*Construction!AD11/Inputs!$F$247+Inputs!$F$76*Inputs!$F$86/100*Construction!AD11/Inputs!$F$247+Inputs!$F$77*Inputs!$F$87/100*Construction!AD11/Inputs!$F$247+Inputs!$F$78*(Inputs!$F$88/100*Inputs!$F$82)/100*Construction!AD11/Inputs!$F$247</f>
        <v/>
      </c>
      <c r="AE20" s="16">
        <f>Inputs!$F$75*Inputs!$F$85/100*Construction!AE11/Inputs!$F$247+Inputs!$F$76*Inputs!$F$86/100*Construction!AE11/Inputs!$F$247+Inputs!$F$77*Inputs!$F$87/100*Construction!AE11/Inputs!$F$247+Inputs!$F$78*(Inputs!$F$88/100*Inputs!$F$82)/100*Construction!AE11/Inputs!$F$247</f>
        <v/>
      </c>
      <c r="AF20" s="16">
        <f>Inputs!$F$75*Inputs!$F$85/100*Construction!AF11/Inputs!$F$247+Inputs!$F$76*Inputs!$F$86/100*Construction!AF11/Inputs!$F$247+Inputs!$F$77*Inputs!$F$87/100*Construction!AF11/Inputs!$F$247+Inputs!$F$78*(Inputs!$F$88/100*Inputs!$F$82)/100*Construction!AF11/Inputs!$F$247</f>
        <v/>
      </c>
      <c r="AG20" s="16">
        <f>Inputs!$F$75*Inputs!$F$85/100*Construction!AG11/Inputs!$F$247+Inputs!$F$76*Inputs!$F$86/100*Construction!AG11/Inputs!$F$247+Inputs!$F$77*Inputs!$F$87/100*Construction!AG11/Inputs!$F$247+Inputs!$F$78*(Inputs!$F$88/100*Inputs!$F$82)/100*Construction!AG11/Inputs!$F$247</f>
        <v/>
      </c>
      <c r="AH20" s="16">
        <f>Inputs!$F$75*Inputs!$F$85/100*Construction!AH11/Inputs!$F$247+Inputs!$F$76*Inputs!$F$86/100*Construction!AH11/Inputs!$F$247+Inputs!$F$77*Inputs!$F$87/100*Construction!AH11/Inputs!$F$247+Inputs!$F$78*(Inputs!$F$88/100*Inputs!$F$82)/100*Construction!AH11/Inputs!$F$247</f>
        <v/>
      </c>
      <c r="AI20" s="16">
        <f>Inputs!$F$75*Inputs!$F$85/100*Construction!AI11/Inputs!$F$247+Inputs!$F$76*Inputs!$F$86/100*Construction!AI11/Inputs!$F$247+Inputs!$F$77*Inputs!$F$87/100*Construction!AI11/Inputs!$F$247+Inputs!$F$78*(Inputs!$F$88/100*Inputs!$F$82)/100*Construction!AI11/Inputs!$F$247</f>
        <v/>
      </c>
      <c r="AJ20" s="16">
        <f>Inputs!$F$75*Inputs!$F$85/100*Construction!AJ11/Inputs!$F$247+Inputs!$F$76*Inputs!$F$86/100*Construction!AJ11/Inputs!$F$247+Inputs!$F$77*Inputs!$F$87/100*Construction!AJ11/Inputs!$F$247+Inputs!$F$78*(Inputs!$F$88/100*Inputs!$F$82)/100*Construction!AJ11/Inputs!$F$247</f>
        <v/>
      </c>
      <c r="AK20" s="16">
        <f>Inputs!$F$75*Inputs!$F$85/100*Construction!AK11/Inputs!$F$247+Inputs!$F$76*Inputs!$F$86/100*Construction!AK11/Inputs!$F$247+Inputs!$F$77*Inputs!$F$87/100*Construction!AK11/Inputs!$F$247+Inputs!$F$78*(Inputs!$F$88/100*Inputs!$F$82)/100*Construction!AK11/Inputs!$F$247</f>
        <v/>
      </c>
      <c r="AL20" s="16">
        <f>Inputs!$F$75*Inputs!$F$85/100*Construction!AL11/Inputs!$F$247+Inputs!$F$76*Inputs!$F$86/100*Construction!AL11/Inputs!$F$247+Inputs!$F$77*Inputs!$F$87/100*Construction!AL11/Inputs!$F$247+Inputs!$F$78*(Inputs!$F$88/100*Inputs!$F$82)/100*Construction!AL11/Inputs!$F$247</f>
        <v/>
      </c>
      <c r="AM20" s="16">
        <f>Inputs!$F$75*Inputs!$F$85/100*Construction!AM11/Inputs!$F$247+Inputs!$F$76*Inputs!$F$86/100*Construction!AM11/Inputs!$F$247+Inputs!$F$77*Inputs!$F$87/100*Construction!AM11/Inputs!$F$247+Inputs!$F$78*(Inputs!$F$88/100*Inputs!$F$82)/100*Construction!AM11/Inputs!$F$247</f>
        <v/>
      </c>
      <c r="AN20" s="16">
        <f>Inputs!$F$75*Inputs!$F$85/100*Construction!AN11/Inputs!$F$247+Inputs!$F$76*Inputs!$F$86/100*Construction!AN11/Inputs!$F$247+Inputs!$F$77*Inputs!$F$87/100*Construction!AN11/Inputs!$F$247+Inputs!$F$78*(Inputs!$F$88/100*Inputs!$F$82)/100*Construction!AN11/Inputs!$F$247</f>
        <v/>
      </c>
      <c r="AO20" s="16">
        <f>Inputs!$F$75*Inputs!$F$85/100*Construction!AO11/Inputs!$F$247+Inputs!$F$76*Inputs!$F$86/100*Construction!AO11/Inputs!$F$247+Inputs!$F$77*Inputs!$F$87/100*Construction!AO11/Inputs!$F$247+Inputs!$F$78*(Inputs!$F$88/100*Inputs!$F$82)/100*Construction!AO11/Inputs!$F$247</f>
        <v/>
      </c>
      <c r="AP20" s="16">
        <f>Inputs!$F$75*Inputs!$F$85/100*Construction!AP11/Inputs!$F$247+Inputs!$F$76*Inputs!$F$86/100*Construction!AP11/Inputs!$F$247+Inputs!$F$77*Inputs!$F$87/100*Construction!AP11/Inputs!$F$247+Inputs!$F$78*(Inputs!$F$88/100*Inputs!$F$82)/100*Construction!AP11/Inputs!$F$247</f>
        <v/>
      </c>
      <c r="AQ20" s="16">
        <f>Inputs!$F$75*Inputs!$F$85/100*Construction!AQ11/Inputs!$F$247+Inputs!$F$76*Inputs!$F$86/100*Construction!AQ11/Inputs!$F$247+Inputs!$F$77*Inputs!$F$87/100*Construction!AQ11/Inputs!$F$247+Inputs!$F$78*(Inputs!$F$88/100*Inputs!$F$82)/100*Construction!AQ11/Inputs!$F$247</f>
        <v/>
      </c>
      <c r="AR20" s="16">
        <f>Inputs!$F$75*Inputs!$F$85/100*Construction!AR11/Inputs!$F$247+Inputs!$F$76*Inputs!$F$86/100*Construction!AR11/Inputs!$F$247+Inputs!$F$77*Inputs!$F$87/100*Construction!AR11/Inputs!$F$247+Inputs!$F$78*(Inputs!$F$88/100*Inputs!$F$82)/100*Construction!AR11/Inputs!$F$247</f>
        <v/>
      </c>
      <c r="AS20" s="16">
        <f>Inputs!$F$75*Inputs!$F$85/100*Construction!AS11/Inputs!$F$247+Inputs!$F$76*Inputs!$F$86/100*Construction!AS11/Inputs!$F$247+Inputs!$F$77*Inputs!$F$87/100*Construction!AS11/Inputs!$F$247+Inputs!$F$78*(Inputs!$F$88/100*Inputs!$F$82)/100*Construction!AS11/Inputs!$F$247</f>
        <v/>
      </c>
      <c r="AT20" s="16">
        <f>Inputs!$F$75*Inputs!$F$85/100*Construction!AT11/Inputs!$F$247+Inputs!$F$76*Inputs!$F$86/100*Construction!AT11/Inputs!$F$247+Inputs!$F$77*Inputs!$F$87/100*Construction!AT11/Inputs!$F$247+Inputs!$F$78*(Inputs!$F$88/100*Inputs!$F$82)/100*Construction!AT11/Inputs!$F$247</f>
        <v/>
      </c>
      <c r="AU20" s="16">
        <f>Inputs!$F$75*Inputs!$F$85/100*Construction!AU11/Inputs!$F$247+Inputs!$F$76*Inputs!$F$86/100*Construction!AU11/Inputs!$F$247+Inputs!$F$77*Inputs!$F$87/100*Construction!AU11/Inputs!$F$247+Inputs!$F$78*(Inputs!$F$88/100*Inputs!$F$82)/100*Construction!AU11/Inputs!$F$247</f>
        <v/>
      </c>
      <c r="AV20" s="16">
        <f>Inputs!$F$75*Inputs!$F$85/100*Construction!AV11/Inputs!$F$247+Inputs!$F$76*Inputs!$F$86/100*Construction!AV11/Inputs!$F$247+Inputs!$F$77*Inputs!$F$87/100*Construction!AV11/Inputs!$F$247+Inputs!$F$78*(Inputs!$F$88/100*Inputs!$F$82)/100*Construction!AV11/Inputs!$F$247</f>
        <v/>
      </c>
      <c r="AW20" s="16">
        <f>Inputs!$F$75*Inputs!$F$85/100*Construction!AW11/Inputs!$F$247+Inputs!$F$76*Inputs!$F$86/100*Construction!AW11/Inputs!$F$247+Inputs!$F$77*Inputs!$F$87/100*Construction!AW11/Inputs!$F$247+Inputs!$F$78*(Inputs!$F$88/100*Inputs!$F$82)/100*Construction!AW11/Inputs!$F$247</f>
        <v/>
      </c>
      <c r="AX20" s="16">
        <f>Inputs!$F$75*Inputs!$F$85/100*Construction!AX11/Inputs!$F$247+Inputs!$F$76*Inputs!$F$86/100*Construction!AX11/Inputs!$F$247+Inputs!$F$77*Inputs!$F$87/100*Construction!AX11/Inputs!$F$247+Inputs!$F$78*(Inputs!$F$88/100*Inputs!$F$82)/100*Construction!AX11/Inputs!$F$247</f>
        <v/>
      </c>
      <c r="AY20" s="16">
        <f>Inputs!$F$75*Inputs!$F$85/100*Construction!AY11/Inputs!$F$247+Inputs!$F$76*Inputs!$F$86/100*Construction!AY11/Inputs!$F$247+Inputs!$F$77*Inputs!$F$87/100*Construction!AY11/Inputs!$F$247+Inputs!$F$78*(Inputs!$F$88/100*Inputs!$F$82)/100*Construction!AY11/Inputs!$F$247</f>
        <v/>
      </c>
      <c r="AZ20" s="16">
        <f>Inputs!$F$75*Inputs!$F$85/100*Construction!AZ11/Inputs!$F$247+Inputs!$F$76*Inputs!$F$86/100*Construction!AZ11/Inputs!$F$247+Inputs!$F$77*Inputs!$F$87/100*Construction!AZ11/Inputs!$F$247+Inputs!$F$78*(Inputs!$F$88/100*Inputs!$F$82)/100*Construction!AZ11/Inputs!$F$247</f>
        <v/>
      </c>
      <c r="BA20" s="16">
        <f>Inputs!$F$75*Inputs!$F$85/100*Construction!BA11/Inputs!$F$247+Inputs!$F$76*Inputs!$F$86/100*Construction!BA11/Inputs!$F$247+Inputs!$F$77*Inputs!$F$87/100*Construction!BA11/Inputs!$F$247+Inputs!$F$78*(Inputs!$F$88/100*Inputs!$F$82)/100*Construction!BA11/Inputs!$F$247</f>
        <v/>
      </c>
      <c r="BB20" s="16">
        <f>Inputs!$F$75*Inputs!$F$85/100*Construction!BB11/Inputs!$F$247+Inputs!$F$76*Inputs!$F$86/100*Construction!BB11/Inputs!$F$247+Inputs!$F$77*Inputs!$F$87/100*Construction!BB11/Inputs!$F$247+Inputs!$F$78*(Inputs!$F$88/100*Inputs!$F$82)/100*Construction!BB11/Inputs!$F$247</f>
        <v/>
      </c>
      <c r="BC20" s="16">
        <f>Inputs!$F$75*Inputs!$F$85/100*Construction!BC11/Inputs!$F$247+Inputs!$F$76*Inputs!$F$86/100*Construction!BC11/Inputs!$F$247+Inputs!$F$77*Inputs!$F$87/100*Construction!BC11/Inputs!$F$247+Inputs!$F$78*(Inputs!$F$88/100*Inputs!$F$82)/100*Construction!BC11/Inputs!$F$247</f>
        <v/>
      </c>
      <c r="BD20" s="16">
        <f>Inputs!$F$75*Inputs!$F$85/100*Construction!BD11/Inputs!$F$247+Inputs!$F$76*Inputs!$F$86/100*Construction!BD11/Inputs!$F$247+Inputs!$F$77*Inputs!$F$87/100*Construction!BD11/Inputs!$F$247+Inputs!$F$78*(Inputs!$F$88/100*Inputs!$F$82)/100*Construction!BD11/Inputs!$F$247</f>
        <v/>
      </c>
      <c r="BE20" s="16">
        <f>Inputs!$F$75*Inputs!$F$85/100*Construction!BE11/Inputs!$F$247+Inputs!$F$76*Inputs!$F$86/100*Construction!BE11/Inputs!$F$247+Inputs!$F$77*Inputs!$F$87/100*Construction!BE11/Inputs!$F$247+Inputs!$F$78*(Inputs!$F$88/100*Inputs!$F$82)/100*Construction!BE11/Inputs!$F$247</f>
        <v/>
      </c>
      <c r="BF20" s="16">
        <f>Inputs!$F$75*Inputs!$F$85/100*Construction!BF11/Inputs!$F$247+Inputs!$F$76*Inputs!$F$86/100*Construction!BF11/Inputs!$F$247+Inputs!$F$77*Inputs!$F$87/100*Construction!BF11/Inputs!$F$247+Inputs!$F$78*(Inputs!$F$88/100*Inputs!$F$82)/100*Construction!BF11/Inputs!$F$247</f>
        <v/>
      </c>
      <c r="BG20" s="16">
        <f>Inputs!$F$75*Inputs!$F$85/100*Construction!BG11/Inputs!$F$247+Inputs!$F$76*Inputs!$F$86/100*Construction!BG11/Inputs!$F$247+Inputs!$F$77*Inputs!$F$87/100*Construction!BG11/Inputs!$F$247+Inputs!$F$78*(Inputs!$F$88/100*Inputs!$F$82)/100*Construction!BG11/Inputs!$F$247</f>
        <v/>
      </c>
      <c r="BH20" s="16">
        <f>Inputs!$F$75*Inputs!$F$85/100*Construction!BH11/Inputs!$F$247+Inputs!$F$76*Inputs!$F$86/100*Construction!BH11/Inputs!$F$247+Inputs!$F$77*Inputs!$F$87/100*Construction!BH11/Inputs!$F$247+Inputs!$F$78*(Inputs!$F$88/100*Inputs!$F$82)/100*Construction!BH11/Inputs!$F$247</f>
        <v/>
      </c>
      <c r="BI20" s="16">
        <f>Inputs!$F$75*Inputs!$F$85/100*Construction!BI11/Inputs!$F$247+Inputs!$F$76*Inputs!$F$86/100*Construction!BI11/Inputs!$F$247+Inputs!$F$77*Inputs!$F$87/100*Construction!BI11/Inputs!$F$247+Inputs!$F$78*(Inputs!$F$88/100*Inputs!$F$82)/100*Construction!BI11/Inputs!$F$247</f>
        <v/>
      </c>
      <c r="BJ20" s="16">
        <f>Inputs!$F$75*Inputs!$F$85/100*Construction!BJ11/Inputs!$F$247+Inputs!$F$76*Inputs!$F$86/100*Construction!BJ11/Inputs!$F$247+Inputs!$F$77*Inputs!$F$87/100*Construction!BJ11/Inputs!$F$247+Inputs!$F$78*(Inputs!$F$88/100*Inputs!$F$82)/100*Construction!BJ11/Inputs!$F$247</f>
        <v/>
      </c>
    </row>
    <row r="21">
      <c r="D21" t="inlineStr">
        <is>
          <t>Costs independent of facility size</t>
        </is>
      </c>
      <c r="E21" t="inlineStr">
        <is>
          <t>USD m</t>
        </is>
      </c>
      <c r="J21" s="13">
        <f>Construction!J14*(Construction!J32+Construction!J38+Inputs!$F$107/12+Inputs!J309*(Inputs!$F$97/100/12-Construction!J17/100*Construction!J11/Inputs!$F$247)+Inputs!$F$99*Inputs!$F$100/100*Construction!J11/Inputs!$F$247+Construction!J15*$F$17)</f>
        <v/>
      </c>
      <c r="K21" s="13">
        <f>Construction!K14*(Construction!K32+Construction!K38+Inputs!$F$107/12+Inputs!K309*(Inputs!$F$97/100/12-Construction!K17/100*Construction!K11/Inputs!$F$247)+Inputs!$F$99*Inputs!$F$100/100*Construction!K11/Inputs!$F$247+Construction!K15*$F$17)</f>
        <v/>
      </c>
      <c r="L21" s="13">
        <f>Construction!L14*(Construction!L32+Construction!L38+Inputs!$F$107/12+Inputs!L309*(Inputs!$F$97/100/12-Construction!L17/100*Construction!L11/Inputs!$F$247)+Inputs!$F$99*Inputs!$F$100/100*Construction!L11/Inputs!$F$247+Construction!L15*$F$17)</f>
        <v/>
      </c>
      <c r="M21" s="13">
        <f>Construction!M14*(Construction!M32+Construction!M38+Inputs!$F$107/12+Inputs!M309*(Inputs!$F$97/100/12-Construction!M17/100*Construction!M11/Inputs!$F$247)+Inputs!$F$99*Inputs!$F$100/100*Construction!M11/Inputs!$F$247+Construction!M15*$F$17)</f>
        <v/>
      </c>
      <c r="N21" s="13">
        <f>Construction!N14*(Construction!N32+Construction!N38+Inputs!$F$107/12+Inputs!N309*(Inputs!$F$97/100/12-Construction!N17/100*Construction!N11/Inputs!$F$247)+Inputs!$F$99*Inputs!$F$100/100*Construction!N11/Inputs!$F$247+Construction!N15*$F$17)</f>
        <v/>
      </c>
      <c r="O21" s="13">
        <f>Construction!O14*(Construction!O32+Construction!O38+Inputs!$F$107/12+Inputs!O309*(Inputs!$F$97/100/12-Construction!O17/100*Construction!O11/Inputs!$F$247)+Inputs!$F$99*Inputs!$F$100/100*Construction!O11/Inputs!$F$247+Construction!O15*$F$17)</f>
        <v/>
      </c>
      <c r="P21" s="13">
        <f>Construction!P14*(Construction!P32+Construction!P38+Inputs!$F$107/12+Inputs!P309*(Inputs!$F$97/100/12-Construction!P17/100*Construction!P11/Inputs!$F$247)+Inputs!$F$99*Inputs!$F$100/100*Construction!P11/Inputs!$F$247+Construction!P15*$F$17)</f>
        <v/>
      </c>
      <c r="Q21" s="13">
        <f>Construction!Q14*(Construction!Q32+Construction!Q38+Inputs!$F$107/12+Inputs!Q309*(Inputs!$F$97/100/12-Construction!Q17/100*Construction!Q11/Inputs!$F$247)+Inputs!$F$99*Inputs!$F$100/100*Construction!Q11/Inputs!$F$247+Construction!Q15*$F$17)</f>
        <v/>
      </c>
      <c r="R21" s="13">
        <f>Construction!R14*(Construction!R32+Construction!R38+Inputs!$F$107/12+Inputs!R309*(Inputs!$F$97/100/12-Construction!R17/100*Construction!R11/Inputs!$F$247)+Inputs!$F$99*Inputs!$F$100/100*Construction!R11/Inputs!$F$247+Construction!R15*$F$17)</f>
        <v/>
      </c>
      <c r="S21" s="13">
        <f>Construction!S14*(Construction!S32+Construction!S38+Inputs!$F$107/12+Inputs!S309*(Inputs!$F$97/100/12-Construction!S17/100*Construction!S11/Inputs!$F$247)+Inputs!$F$99*Inputs!$F$100/100*Construction!S11/Inputs!$F$247+Construction!S15*$F$17)</f>
        <v/>
      </c>
      <c r="T21" s="13">
        <f>Construction!T14*(Construction!T32+Construction!T38+Inputs!$F$107/12+Inputs!T309*(Inputs!$F$97/100/12-Construction!T17/100*Construction!T11/Inputs!$F$247)+Inputs!$F$99*Inputs!$F$100/100*Construction!T11/Inputs!$F$247+Construction!T15*$F$17)</f>
        <v/>
      </c>
      <c r="U21" s="13">
        <f>Construction!U14*(Construction!U32+Construction!U38+Inputs!$F$107/12+Inputs!U309*(Inputs!$F$97/100/12-Construction!U17/100*Construction!U11/Inputs!$F$247)+Inputs!$F$99*Inputs!$F$100/100*Construction!U11/Inputs!$F$247+Construction!U15*$F$17)</f>
        <v/>
      </c>
      <c r="V21" s="13">
        <f>Construction!V14*(Construction!V32+Construction!V38+Inputs!$F$107/12+Inputs!V309*(Inputs!$F$97/100/12-Construction!V17/100*Construction!V11/Inputs!$F$247)+Inputs!$F$99*Inputs!$F$100/100*Construction!V11/Inputs!$F$247+Construction!V15*$F$17)</f>
        <v/>
      </c>
      <c r="W21" s="13">
        <f>Construction!W14*(Construction!W32+Construction!W38+Inputs!$F$107/12+Inputs!W309*(Inputs!$F$97/100/12-Construction!W17/100*Construction!W11/Inputs!$F$247)+Inputs!$F$99*Inputs!$F$100/100*Construction!W11/Inputs!$F$247+Construction!W15*$F$17)</f>
        <v/>
      </c>
      <c r="X21" s="13">
        <f>Construction!X14*(Construction!X32+Construction!X38+Inputs!$F$107/12+Inputs!X309*(Inputs!$F$97/100/12-Construction!X17/100*Construction!X11/Inputs!$F$247)+Inputs!$F$99*Inputs!$F$100/100*Construction!X11/Inputs!$F$247+Construction!X15*$F$17)</f>
        <v/>
      </c>
      <c r="Y21" s="13">
        <f>Construction!Y14*(Construction!Y32+Construction!Y38+Inputs!$F$107/12+Inputs!Y309*(Inputs!$F$97/100/12-Construction!Y17/100*Construction!Y11/Inputs!$F$247)+Inputs!$F$99*Inputs!$F$100/100*Construction!Y11/Inputs!$F$247+Construction!Y15*$F$17)</f>
        <v/>
      </c>
      <c r="Z21" s="13">
        <f>Construction!Z14*(Construction!Z32+Construction!Z38+Inputs!$F$107/12+Inputs!Z309*(Inputs!$F$97/100/12-Construction!Z17/100*Construction!Z11/Inputs!$F$247)+Inputs!$F$99*Inputs!$F$100/100*Construction!Z11/Inputs!$F$247+Construction!Z15*$F$17)</f>
        <v/>
      </c>
      <c r="AA21" s="13">
        <f>Construction!AA14*(Construction!AA32+Construction!AA38+Inputs!$F$107/12+Inputs!AA309*(Inputs!$F$97/100/12-Construction!AA17/100*Construction!AA11/Inputs!$F$247)+Inputs!$F$99*Inputs!$F$100/100*Construction!AA11/Inputs!$F$247+Construction!AA15*$F$17)</f>
        <v/>
      </c>
      <c r="AB21" s="13">
        <f>Construction!AB14*(Construction!AB32+Construction!AB38+Inputs!$F$107/12+Inputs!AB309*(Inputs!$F$97/100/12-Construction!AB17/100*Construction!AB11/Inputs!$F$247)+Inputs!$F$99*Inputs!$F$100/100*Construction!AB11/Inputs!$F$247+Construction!AB15*$F$17)</f>
        <v/>
      </c>
      <c r="AC21" s="13">
        <f>Construction!AC14*(Construction!AC32+Construction!AC38+Inputs!$F$107/12+Inputs!AC309*(Inputs!$F$97/100/12-Construction!AC17/100*Construction!AC11/Inputs!$F$247)+Inputs!$F$99*Inputs!$F$100/100*Construction!AC11/Inputs!$F$247+Construction!AC15*$F$17)</f>
        <v/>
      </c>
      <c r="AD21" s="13">
        <f>Construction!AD14*(Construction!AD32+Construction!AD38+Inputs!$F$107/12+Inputs!AD309*(Inputs!$F$97/100/12-Construction!AD17/100*Construction!AD11/Inputs!$F$247)+Inputs!$F$99*Inputs!$F$100/100*Construction!AD11/Inputs!$F$247+Construction!AD15*$F$17)</f>
        <v/>
      </c>
      <c r="AE21" s="13">
        <f>Construction!AE14*(Construction!AE32+Construction!AE38+Inputs!$F$107/12+Inputs!AE309*(Inputs!$F$97/100/12-Construction!AE17/100*Construction!AE11/Inputs!$F$247)+Inputs!$F$99*Inputs!$F$100/100*Construction!AE11/Inputs!$F$247+Construction!AE15*$F$17)</f>
        <v/>
      </c>
      <c r="AF21" s="13">
        <f>Construction!AF14*(Construction!AF32+Construction!AF38+Inputs!$F$107/12+Inputs!AF309*(Inputs!$F$97/100/12-Construction!AF17/100*Construction!AF11/Inputs!$F$247)+Inputs!$F$99*Inputs!$F$100/100*Construction!AF11/Inputs!$F$247+Construction!AF15*$F$17)</f>
        <v/>
      </c>
      <c r="AG21" s="13">
        <f>Construction!AG14*(Construction!AG32+Construction!AG38+Inputs!$F$107/12+Inputs!AG309*(Inputs!$F$97/100/12-Construction!AG17/100*Construction!AG11/Inputs!$F$247)+Inputs!$F$99*Inputs!$F$100/100*Construction!AG11/Inputs!$F$247+Construction!AG15*$F$17)</f>
        <v/>
      </c>
      <c r="AH21" s="13">
        <f>Construction!AH14*(Construction!AH32+Construction!AH38+Inputs!$F$107/12+Inputs!AH309*(Inputs!$F$97/100/12-Construction!AH17/100*Construction!AH11/Inputs!$F$247)+Inputs!$F$99*Inputs!$F$100/100*Construction!AH11/Inputs!$F$247+Construction!AH15*$F$17)</f>
        <v/>
      </c>
      <c r="AI21" s="13">
        <f>Construction!AI14*(Construction!AI32+Construction!AI38+Inputs!$F$107/12+Inputs!AI309*(Inputs!$F$97/100/12-Construction!AI17/100*Construction!AI11/Inputs!$F$247)+Inputs!$F$99*Inputs!$F$100/100*Construction!AI11/Inputs!$F$247+Construction!AI15*$F$17)</f>
        <v/>
      </c>
      <c r="AJ21" s="13">
        <f>Construction!AJ14*(Construction!AJ32+Construction!AJ38+Inputs!$F$107/12+Inputs!AJ309*(Inputs!$F$97/100/12-Construction!AJ17/100*Construction!AJ11/Inputs!$F$247)+Inputs!$F$99*Inputs!$F$100/100*Construction!AJ11/Inputs!$F$247+Construction!AJ15*$F$17)</f>
        <v/>
      </c>
      <c r="AK21" s="13">
        <f>Construction!AK14*(Construction!AK32+Construction!AK38+Inputs!$F$107/12+Inputs!AK309*(Inputs!$F$97/100/12-Construction!AK17/100*Construction!AK11/Inputs!$F$247)+Inputs!$F$99*Inputs!$F$100/100*Construction!AK11/Inputs!$F$247+Construction!AK15*$F$17)</f>
        <v/>
      </c>
      <c r="AL21" s="13">
        <f>Construction!AL14*(Construction!AL32+Construction!AL38+Inputs!$F$107/12+Inputs!AL309*(Inputs!$F$97/100/12-Construction!AL17/100*Construction!AL11/Inputs!$F$247)+Inputs!$F$99*Inputs!$F$100/100*Construction!AL11/Inputs!$F$247+Construction!AL15*$F$17)</f>
        <v/>
      </c>
      <c r="AM21" s="13">
        <f>Construction!AM14*(Construction!AM32+Construction!AM38+Inputs!$F$107/12+Inputs!AM309*(Inputs!$F$97/100/12-Construction!AM17/100*Construction!AM11/Inputs!$F$247)+Inputs!$F$99*Inputs!$F$100/100*Construction!AM11/Inputs!$F$247+Construction!AM15*$F$17)</f>
        <v/>
      </c>
      <c r="AN21" s="13">
        <f>Construction!AN14*(Construction!AN32+Construction!AN38+Inputs!$F$107/12+Inputs!AN309*(Inputs!$F$97/100/12-Construction!AN17/100*Construction!AN11/Inputs!$F$247)+Inputs!$F$99*Inputs!$F$100/100*Construction!AN11/Inputs!$F$247+Construction!AN15*$F$17)</f>
        <v/>
      </c>
      <c r="AO21" s="13">
        <f>Construction!AO14*(Construction!AO32+Construction!AO38+Inputs!$F$107/12+Inputs!AO309*(Inputs!$F$97/100/12-Construction!AO17/100*Construction!AO11/Inputs!$F$247)+Inputs!$F$99*Inputs!$F$100/100*Construction!AO11/Inputs!$F$247+Construction!AO15*$F$17)</f>
        <v/>
      </c>
      <c r="AP21" s="13">
        <f>Construction!AP14*(Construction!AP32+Construction!AP38+Inputs!$F$107/12+Inputs!AP309*(Inputs!$F$97/100/12-Construction!AP17/100*Construction!AP11/Inputs!$F$247)+Inputs!$F$99*Inputs!$F$100/100*Construction!AP11/Inputs!$F$247+Construction!AP15*$F$17)</f>
        <v/>
      </c>
      <c r="AQ21" s="13">
        <f>Construction!AQ14*(Construction!AQ32+Construction!AQ38+Inputs!$F$107/12+Inputs!AQ309*(Inputs!$F$97/100/12-Construction!AQ17/100*Construction!AQ11/Inputs!$F$247)+Inputs!$F$99*Inputs!$F$100/100*Construction!AQ11/Inputs!$F$247+Construction!AQ15*$F$17)</f>
        <v/>
      </c>
      <c r="AR21" s="13">
        <f>Construction!AR14*(Construction!AR32+Construction!AR38+Inputs!$F$107/12+Inputs!AR309*(Inputs!$F$97/100/12-Construction!AR17/100*Construction!AR11/Inputs!$F$247)+Inputs!$F$99*Inputs!$F$100/100*Construction!AR11/Inputs!$F$247+Construction!AR15*$F$17)</f>
        <v/>
      </c>
      <c r="AS21" s="13">
        <f>Construction!AS14*(Construction!AS32+Construction!AS38+Inputs!$F$107/12+Inputs!AS309*(Inputs!$F$97/100/12-Construction!AS17/100*Construction!AS11/Inputs!$F$247)+Inputs!$F$99*Inputs!$F$100/100*Construction!AS11/Inputs!$F$247+Construction!AS15*$F$17)</f>
        <v/>
      </c>
      <c r="AT21" s="13">
        <f>Construction!AT14*(Construction!AT32+Construction!AT38+Inputs!$F$107/12+Inputs!AT309*(Inputs!$F$97/100/12-Construction!AT17/100*Construction!AT11/Inputs!$F$247)+Inputs!$F$99*Inputs!$F$100/100*Construction!AT11/Inputs!$F$247+Construction!AT15*$F$17)</f>
        <v/>
      </c>
      <c r="AU21" s="13">
        <f>Construction!AU14*(Construction!AU32+Construction!AU38+Inputs!$F$107/12+Inputs!AU309*(Inputs!$F$97/100/12-Construction!AU17/100*Construction!AU11/Inputs!$F$247)+Inputs!$F$99*Inputs!$F$100/100*Construction!AU11/Inputs!$F$247+Construction!AU15*$F$17)</f>
        <v/>
      </c>
      <c r="AV21" s="13">
        <f>Construction!AV14*(Construction!AV32+Construction!AV38+Inputs!$F$107/12+Inputs!AV309*(Inputs!$F$97/100/12-Construction!AV17/100*Construction!AV11/Inputs!$F$247)+Inputs!$F$99*Inputs!$F$100/100*Construction!AV11/Inputs!$F$247+Construction!AV15*$F$17)</f>
        <v/>
      </c>
      <c r="AW21" s="13">
        <f>Construction!AW14*(Construction!AW32+Construction!AW38+Inputs!$F$107/12+Inputs!AW309*(Inputs!$F$97/100/12-Construction!AW17/100*Construction!AW11/Inputs!$F$247)+Inputs!$F$99*Inputs!$F$100/100*Construction!AW11/Inputs!$F$247+Construction!AW15*$F$17)</f>
        <v/>
      </c>
      <c r="AX21" s="13">
        <f>Construction!AX14*(Construction!AX32+Construction!AX38+Inputs!$F$107/12+Inputs!AX309*(Inputs!$F$97/100/12-Construction!AX17/100*Construction!AX11/Inputs!$F$247)+Inputs!$F$99*Inputs!$F$100/100*Construction!AX11/Inputs!$F$247+Construction!AX15*$F$17)</f>
        <v/>
      </c>
      <c r="AY21" s="13">
        <f>Construction!AY14*(Construction!AY32+Construction!AY38+Inputs!$F$107/12+Inputs!AY309*(Inputs!$F$97/100/12-Construction!AY17/100*Construction!AY11/Inputs!$F$247)+Inputs!$F$99*Inputs!$F$100/100*Construction!AY11/Inputs!$F$247+Construction!AY15*$F$17)</f>
        <v/>
      </c>
      <c r="AZ21" s="13">
        <f>Construction!AZ14*(Construction!AZ32+Construction!AZ38+Inputs!$F$107/12+Inputs!AZ309*(Inputs!$F$97/100/12-Construction!AZ17/100*Construction!AZ11/Inputs!$F$247)+Inputs!$F$99*Inputs!$F$100/100*Construction!AZ11/Inputs!$F$247+Construction!AZ15*$F$17)</f>
        <v/>
      </c>
      <c r="BA21" s="13">
        <f>Construction!BA14*(Construction!BA32+Construction!BA38+Inputs!$F$107/12+Inputs!BA309*(Inputs!$F$97/100/12-Construction!BA17/100*Construction!BA11/Inputs!$F$247)+Inputs!$F$99*Inputs!$F$100/100*Construction!BA11/Inputs!$F$247+Construction!BA15*$F$17)</f>
        <v/>
      </c>
      <c r="BB21" s="13">
        <f>Construction!BB14*(Construction!BB32+Construction!BB38+Inputs!$F$107/12+Inputs!BB309*(Inputs!$F$97/100/12-Construction!BB17/100*Construction!BB11/Inputs!$F$247)+Inputs!$F$99*Inputs!$F$100/100*Construction!BB11/Inputs!$F$247+Construction!BB15*$F$17)</f>
        <v/>
      </c>
      <c r="BC21" s="13">
        <f>Construction!BC14*(Construction!BC32+Construction!BC38+Inputs!$F$107/12+Inputs!BC309*(Inputs!$F$97/100/12-Construction!BC17/100*Construction!BC11/Inputs!$F$247)+Inputs!$F$99*Inputs!$F$100/100*Construction!BC11/Inputs!$F$247+Construction!BC15*$F$17)</f>
        <v/>
      </c>
      <c r="BD21" s="13">
        <f>Construction!BD14*(Construction!BD32+Construction!BD38+Inputs!$F$107/12+Inputs!BD309*(Inputs!$F$97/100/12-Construction!BD17/100*Construction!BD11/Inputs!$F$247)+Inputs!$F$99*Inputs!$F$100/100*Construction!BD11/Inputs!$F$247+Construction!BD15*$F$17)</f>
        <v/>
      </c>
      <c r="BE21" s="13">
        <f>Construction!BE14*(Construction!BE32+Construction!BE38+Inputs!$F$107/12+Inputs!BE309*(Inputs!$F$97/100/12-Construction!BE17/100*Construction!BE11/Inputs!$F$247)+Inputs!$F$99*Inputs!$F$100/100*Construction!BE11/Inputs!$F$247+Construction!BE15*$F$17)</f>
        <v/>
      </c>
      <c r="BF21" s="13">
        <f>Construction!BF14*(Construction!BF32+Construction!BF38+Inputs!$F$107/12+Inputs!BF309*(Inputs!$F$97/100/12-Construction!BF17/100*Construction!BF11/Inputs!$F$247)+Inputs!$F$99*Inputs!$F$100/100*Construction!BF11/Inputs!$F$247+Construction!BF15*$F$17)</f>
        <v/>
      </c>
      <c r="BG21" s="13">
        <f>Construction!BG14*(Construction!BG32+Construction!BG38+Inputs!$F$107/12+Inputs!BG309*(Inputs!$F$97/100/12-Construction!BG17/100*Construction!BG11/Inputs!$F$247)+Inputs!$F$99*Inputs!$F$100/100*Construction!BG11/Inputs!$F$247+Construction!BG15*$F$17)</f>
        <v/>
      </c>
      <c r="BH21" s="13">
        <f>Construction!BH14*(Construction!BH32+Construction!BH38+Inputs!$F$107/12+Inputs!BH309*(Inputs!$F$97/100/12-Construction!BH17/100*Construction!BH11/Inputs!$F$247)+Inputs!$F$99*Inputs!$F$100/100*Construction!BH11/Inputs!$F$247+Construction!BH15*$F$17)</f>
        <v/>
      </c>
      <c r="BI21" s="13">
        <f>Construction!BI14*(Construction!BI32+Construction!BI38+Inputs!$F$107/12+Inputs!BI309*(Inputs!$F$97/100/12-Construction!BI17/100*Construction!BI11/Inputs!$F$247)+Inputs!$F$99*Inputs!$F$100/100*Construction!BI11/Inputs!$F$247+Construction!BI15*$F$17)</f>
        <v/>
      </c>
      <c r="BJ21" s="13">
        <f>Construction!BJ14*(Construction!BJ32+Construction!BJ38+Inputs!$F$107/12+Inputs!BJ309*(Inputs!$F$97/100/12-Construction!BJ17/100*Construction!BJ11/Inputs!$F$247)+Inputs!$F$99*Inputs!$F$100/100*Construction!BJ11/Inputs!$F$247+Construction!BJ15*$F$17)</f>
        <v/>
      </c>
    </row>
    <row r="22">
      <c r="D22" t="inlineStr">
        <is>
          <t>Balance, constant part (alpha)</t>
        </is>
      </c>
      <c r="E22" t="inlineStr">
        <is>
          <t>USD m</t>
        </is>
      </c>
      <c r="J22" s="13">
        <f>I22+Construction!J14*$F$9/$F$10*(J21+(J19-J20)*I22)</f>
        <v/>
      </c>
      <c r="K22" s="13">
        <f>J22+Construction!K14*$F$9/$F$10*(K21+(K19-K20)*J22)</f>
        <v/>
      </c>
      <c r="L22" s="13">
        <f>K22+Construction!L14*$F$9/$F$10*(L21+(L19-L20)*K22)</f>
        <v/>
      </c>
      <c r="M22" s="13">
        <f>L22+Construction!M14*$F$9/$F$10*(M21+(M19-M20)*L22)</f>
        <v/>
      </c>
      <c r="N22" s="13">
        <f>M22+Construction!N14*$F$9/$F$10*(N21+(N19-N20)*M22)</f>
        <v/>
      </c>
      <c r="O22" s="13">
        <f>N22+Construction!O14*$F$9/$F$10*(O21+(O19-O20)*N22)</f>
        <v/>
      </c>
      <c r="P22" s="13">
        <f>O22+Construction!P14*$F$9/$F$10*(P21+(P19-P20)*O22)</f>
        <v/>
      </c>
      <c r="Q22" s="13">
        <f>P22+Construction!Q14*$F$9/$F$10*(Q21+(Q19-Q20)*P22)</f>
        <v/>
      </c>
      <c r="R22" s="13">
        <f>Q22+Construction!R14*$F$9/$F$10*(R21+(R19-R20)*Q22)</f>
        <v/>
      </c>
      <c r="S22" s="13">
        <f>R22+Construction!S14*$F$9/$F$10*(S21+(S19-S20)*R22)</f>
        <v/>
      </c>
      <c r="T22" s="13">
        <f>S22+Construction!T14*$F$9/$F$10*(T21+(T19-T20)*S22)</f>
        <v/>
      </c>
      <c r="U22" s="13">
        <f>T22+Construction!U14*$F$9/$F$10*(U21+(U19-U20)*T22)</f>
        <v/>
      </c>
      <c r="V22" s="13">
        <f>U22+Construction!V14*$F$9/$F$10*(V21+(V19-V20)*U22)</f>
        <v/>
      </c>
      <c r="W22" s="13">
        <f>V22+Construction!W14*$F$9/$F$10*(W21+(W19-W20)*V22)</f>
        <v/>
      </c>
      <c r="X22" s="13">
        <f>W22+Construction!X14*$F$9/$F$10*(X21+(X19-X20)*W22)</f>
        <v/>
      </c>
      <c r="Y22" s="13">
        <f>X22+Construction!Y14*$F$9/$F$10*(Y21+(Y19-Y20)*X22)</f>
        <v/>
      </c>
      <c r="Z22" s="13">
        <f>Y22+Construction!Z14*$F$9/$F$10*(Z21+(Z19-Z20)*Y22)</f>
        <v/>
      </c>
      <c r="AA22" s="13">
        <f>Z22+Construction!AA14*$F$9/$F$10*(AA21+(AA19-AA20)*Z22)</f>
        <v/>
      </c>
      <c r="AB22" s="13">
        <f>AA22+Construction!AB14*$F$9/$F$10*(AB21+(AB19-AB20)*AA22)</f>
        <v/>
      </c>
      <c r="AC22" s="13">
        <f>AB22+Construction!AC14*$F$9/$F$10*(AC21+(AC19-AC20)*AB22)</f>
        <v/>
      </c>
      <c r="AD22" s="13">
        <f>AC22+Construction!AD14*$F$9/$F$10*(AD21+(AD19-AD20)*AC22)</f>
        <v/>
      </c>
      <c r="AE22" s="13">
        <f>AD22+Construction!AE14*$F$9/$F$10*(AE21+(AE19-AE20)*AD22)</f>
        <v/>
      </c>
      <c r="AF22" s="13">
        <f>AE22+Construction!AF14*$F$9/$F$10*(AF21+(AF19-AF20)*AE22)</f>
        <v/>
      </c>
      <c r="AG22" s="13">
        <f>AF22+Construction!AG14*$F$9/$F$10*(AG21+(AG19-AG20)*AF22)</f>
        <v/>
      </c>
      <c r="AH22" s="13">
        <f>AG22+Construction!AH14*$F$9/$F$10*(AH21+(AH19-AH20)*AG22)</f>
        <v/>
      </c>
      <c r="AI22" s="13">
        <f>AH22+Construction!AI14*$F$9/$F$10*(AI21+(AI19-AI20)*AH22)</f>
        <v/>
      </c>
      <c r="AJ22" s="13">
        <f>AI22+Construction!AJ14*$F$9/$F$10*(AJ21+(AJ19-AJ20)*AI22)</f>
        <v/>
      </c>
      <c r="AK22" s="13">
        <f>AJ22+Construction!AK14*$F$9/$F$10*(AK21+(AK19-AK20)*AJ22)</f>
        <v/>
      </c>
      <c r="AL22" s="13">
        <f>AK22+Construction!AL14*$F$9/$F$10*(AL21+(AL19-AL20)*AK22)</f>
        <v/>
      </c>
      <c r="AM22" s="13">
        <f>AL22+Construction!AM14*$F$9/$F$10*(AM21+(AM19-AM20)*AL22)</f>
        <v/>
      </c>
      <c r="AN22" s="13">
        <f>AM22+Construction!AN14*$F$9/$F$10*(AN21+(AN19-AN20)*AM22)</f>
        <v/>
      </c>
      <c r="AO22" s="13">
        <f>AN22+Construction!AO14*$F$9/$F$10*(AO21+(AO19-AO20)*AN22)</f>
        <v/>
      </c>
      <c r="AP22" s="13">
        <f>AO22+Construction!AP14*$F$9/$F$10*(AP21+(AP19-AP20)*AO22)</f>
        <v/>
      </c>
      <c r="AQ22" s="13">
        <f>AP22+Construction!AQ14*$F$9/$F$10*(AQ21+(AQ19-AQ20)*AP22)</f>
        <v/>
      </c>
      <c r="AR22" s="13">
        <f>AQ22+Construction!AR14*$F$9/$F$10*(AR21+(AR19-AR20)*AQ22)</f>
        <v/>
      </c>
      <c r="AS22" s="13">
        <f>AR22+Construction!AS14*$F$9/$F$10*(AS21+(AS19-AS20)*AR22)</f>
        <v/>
      </c>
      <c r="AT22" s="13">
        <f>AS22+Construction!AT14*$F$9/$F$10*(AT21+(AT19-AT20)*AS22)</f>
        <v/>
      </c>
      <c r="AU22" s="13">
        <f>AT22+Construction!AU14*$F$9/$F$10*(AU21+(AU19-AU20)*AT22)</f>
        <v/>
      </c>
      <c r="AV22" s="13">
        <f>AU22+Construction!AV14*$F$9/$F$10*(AV21+(AV19-AV20)*AU22)</f>
        <v/>
      </c>
      <c r="AW22" s="13">
        <f>AV22+Construction!AW14*$F$9/$F$10*(AW21+(AW19-AW20)*AV22)</f>
        <v/>
      </c>
      <c r="AX22" s="13">
        <f>AW22+Construction!AX14*$F$9/$F$10*(AX21+(AX19-AX20)*AW22)</f>
        <v/>
      </c>
      <c r="AY22" s="13">
        <f>AX22+Construction!AY14*$F$9/$F$10*(AY21+(AY19-AY20)*AX22)</f>
        <v/>
      </c>
      <c r="AZ22" s="13">
        <f>AY22+Construction!AZ14*$F$9/$F$10*(AZ21+(AZ19-AZ20)*AY22)</f>
        <v/>
      </c>
      <c r="BA22" s="13">
        <f>AZ22+Construction!BA14*$F$9/$F$10*(BA21+(BA19-BA20)*AZ22)</f>
        <v/>
      </c>
      <c r="BB22" s="13">
        <f>BA22+Construction!BB14*$F$9/$F$10*(BB21+(BB19-BB20)*BA22)</f>
        <v/>
      </c>
      <c r="BC22" s="13">
        <f>BB22+Construction!BC14*$F$9/$F$10*(BC21+(BC19-BC20)*BB22)</f>
        <v/>
      </c>
      <c r="BD22" s="13">
        <f>BC22+Construction!BD14*$F$9/$F$10*(BD21+(BD19-BD20)*BC22)</f>
        <v/>
      </c>
      <c r="BE22" s="13">
        <f>BD22+Construction!BE14*$F$9/$F$10*(BE21+(BE19-BE20)*BD22)</f>
        <v/>
      </c>
      <c r="BF22" s="13">
        <f>BE22+Construction!BF14*$F$9/$F$10*(BF21+(BF19-BF20)*BE22)</f>
        <v/>
      </c>
      <c r="BG22" s="13">
        <f>BF22+Construction!BG14*$F$9/$F$10*(BG21+(BG19-BG20)*BF22)</f>
        <v/>
      </c>
      <c r="BH22" s="13">
        <f>BG22+Construction!BH14*$F$9/$F$10*(BH21+(BH19-BH20)*BG22)</f>
        <v/>
      </c>
      <c r="BI22" s="13">
        <f>BH22+Construction!BI14*$F$9/$F$10*(BI21+(BI19-BI20)*BH22)</f>
        <v/>
      </c>
      <c r="BJ22" s="13">
        <f>BI22+Construction!BJ14*$F$9/$F$10*(BJ21+(BJ19-BJ20)*BI22)</f>
        <v/>
      </c>
    </row>
    <row r="23">
      <c r="D23" t="inlineStr">
        <is>
          <t>Balance per USD of total funding (beta)</t>
        </is>
      </c>
      <c r="E23" t="inlineStr">
        <is>
          <t>factor</t>
        </is>
      </c>
      <c r="J23" s="16">
        <f>I23+Construction!J14*$F$9/$F$10*(J19*I23+J20*($F$9-I23)+IF(Construction!J8=1,$F$9*(Inputs!$F$75*Inputs!$F$89/100+Inputs!$F$76*Inputs!$F$90/100+Inputs!$F$77*Inputs!$F$91/100+Inputs!$F$78*Inputs!$F$92/100),0)+Construction!J15*$F$9*(Inputs!$F$75*$F$12+Inputs!$F$76*$F$13+Inputs!$F$77*$F$14+Inputs!$F$78*$F$15))</f>
        <v/>
      </c>
      <c r="K23" s="16">
        <f>J23+Construction!K14*$F$9/$F$10*(K19*J23+K20*($F$9-J23)+IF(Construction!K8=1,$F$9*(Inputs!$F$75*Inputs!$F$89/100+Inputs!$F$76*Inputs!$F$90/100+Inputs!$F$77*Inputs!$F$91/100+Inputs!$F$78*Inputs!$F$92/100),0)+Construction!K15*$F$9*(Inputs!$F$75*$F$12+Inputs!$F$76*$F$13+Inputs!$F$77*$F$14+Inputs!$F$78*$F$15))</f>
        <v/>
      </c>
      <c r="L23" s="16">
        <f>K23+Construction!L14*$F$9/$F$10*(L19*K23+L20*($F$9-K23)+IF(Construction!L8=1,$F$9*(Inputs!$F$75*Inputs!$F$89/100+Inputs!$F$76*Inputs!$F$90/100+Inputs!$F$77*Inputs!$F$91/100+Inputs!$F$78*Inputs!$F$92/100),0)+Construction!L15*$F$9*(Inputs!$F$75*$F$12+Inputs!$F$76*$F$13+Inputs!$F$77*$F$14+Inputs!$F$78*$F$15))</f>
        <v/>
      </c>
      <c r="M23" s="16">
        <f>L23+Construction!M14*$F$9/$F$10*(M19*L23+M20*($F$9-L23)+IF(Construction!M8=1,$F$9*(Inputs!$F$75*Inputs!$F$89/100+Inputs!$F$76*Inputs!$F$90/100+Inputs!$F$77*Inputs!$F$91/100+Inputs!$F$78*Inputs!$F$92/100),0)+Construction!M15*$F$9*(Inputs!$F$75*$F$12+Inputs!$F$76*$F$13+Inputs!$F$77*$F$14+Inputs!$F$78*$F$15))</f>
        <v/>
      </c>
      <c r="N23" s="16">
        <f>M23+Construction!N14*$F$9/$F$10*(N19*M23+N20*($F$9-M23)+IF(Construction!N8=1,$F$9*(Inputs!$F$75*Inputs!$F$89/100+Inputs!$F$76*Inputs!$F$90/100+Inputs!$F$77*Inputs!$F$91/100+Inputs!$F$78*Inputs!$F$92/100),0)+Construction!N15*$F$9*(Inputs!$F$75*$F$12+Inputs!$F$76*$F$13+Inputs!$F$77*$F$14+Inputs!$F$78*$F$15))</f>
        <v/>
      </c>
      <c r="O23" s="16">
        <f>N23+Construction!O14*$F$9/$F$10*(O19*N23+O20*($F$9-N23)+IF(Construction!O8=1,$F$9*(Inputs!$F$75*Inputs!$F$89/100+Inputs!$F$76*Inputs!$F$90/100+Inputs!$F$77*Inputs!$F$91/100+Inputs!$F$78*Inputs!$F$92/100),0)+Construction!O15*$F$9*(Inputs!$F$75*$F$12+Inputs!$F$76*$F$13+Inputs!$F$77*$F$14+Inputs!$F$78*$F$15))</f>
        <v/>
      </c>
      <c r="P23" s="16">
        <f>O23+Construction!P14*$F$9/$F$10*(P19*O23+P20*($F$9-O23)+IF(Construction!P8=1,$F$9*(Inputs!$F$75*Inputs!$F$89/100+Inputs!$F$76*Inputs!$F$90/100+Inputs!$F$77*Inputs!$F$91/100+Inputs!$F$78*Inputs!$F$92/100),0)+Construction!P15*$F$9*(Inputs!$F$75*$F$12+Inputs!$F$76*$F$13+Inputs!$F$77*$F$14+Inputs!$F$78*$F$15))</f>
        <v/>
      </c>
      <c r="Q23" s="16">
        <f>P23+Construction!Q14*$F$9/$F$10*(Q19*P23+Q20*($F$9-P23)+IF(Construction!Q8=1,$F$9*(Inputs!$F$75*Inputs!$F$89/100+Inputs!$F$76*Inputs!$F$90/100+Inputs!$F$77*Inputs!$F$91/100+Inputs!$F$78*Inputs!$F$92/100),0)+Construction!Q15*$F$9*(Inputs!$F$75*$F$12+Inputs!$F$76*$F$13+Inputs!$F$77*$F$14+Inputs!$F$78*$F$15))</f>
        <v/>
      </c>
      <c r="R23" s="16">
        <f>Q23+Construction!R14*$F$9/$F$10*(R19*Q23+R20*($F$9-Q23)+IF(Construction!R8=1,$F$9*(Inputs!$F$75*Inputs!$F$89/100+Inputs!$F$76*Inputs!$F$90/100+Inputs!$F$77*Inputs!$F$91/100+Inputs!$F$78*Inputs!$F$92/100),0)+Construction!R15*$F$9*(Inputs!$F$75*$F$12+Inputs!$F$76*$F$13+Inputs!$F$77*$F$14+Inputs!$F$78*$F$15))</f>
        <v/>
      </c>
      <c r="S23" s="16">
        <f>R23+Construction!S14*$F$9/$F$10*(S19*R23+S20*($F$9-R23)+IF(Construction!S8=1,$F$9*(Inputs!$F$75*Inputs!$F$89/100+Inputs!$F$76*Inputs!$F$90/100+Inputs!$F$77*Inputs!$F$91/100+Inputs!$F$78*Inputs!$F$92/100),0)+Construction!S15*$F$9*(Inputs!$F$75*$F$12+Inputs!$F$76*$F$13+Inputs!$F$77*$F$14+Inputs!$F$78*$F$15))</f>
        <v/>
      </c>
      <c r="T23" s="16">
        <f>S23+Construction!T14*$F$9/$F$10*(T19*S23+T20*($F$9-S23)+IF(Construction!T8=1,$F$9*(Inputs!$F$75*Inputs!$F$89/100+Inputs!$F$76*Inputs!$F$90/100+Inputs!$F$77*Inputs!$F$91/100+Inputs!$F$78*Inputs!$F$92/100),0)+Construction!T15*$F$9*(Inputs!$F$75*$F$12+Inputs!$F$76*$F$13+Inputs!$F$77*$F$14+Inputs!$F$78*$F$15))</f>
        <v/>
      </c>
      <c r="U23" s="16">
        <f>T23+Construction!U14*$F$9/$F$10*(U19*T23+U20*($F$9-T23)+IF(Construction!U8=1,$F$9*(Inputs!$F$75*Inputs!$F$89/100+Inputs!$F$76*Inputs!$F$90/100+Inputs!$F$77*Inputs!$F$91/100+Inputs!$F$78*Inputs!$F$92/100),0)+Construction!U15*$F$9*(Inputs!$F$75*$F$12+Inputs!$F$76*$F$13+Inputs!$F$77*$F$14+Inputs!$F$78*$F$15))</f>
        <v/>
      </c>
      <c r="V23" s="16">
        <f>U23+Construction!V14*$F$9/$F$10*(V19*U23+V20*($F$9-U23)+IF(Construction!V8=1,$F$9*(Inputs!$F$75*Inputs!$F$89/100+Inputs!$F$76*Inputs!$F$90/100+Inputs!$F$77*Inputs!$F$91/100+Inputs!$F$78*Inputs!$F$92/100),0)+Construction!V15*$F$9*(Inputs!$F$75*$F$12+Inputs!$F$76*$F$13+Inputs!$F$77*$F$14+Inputs!$F$78*$F$15))</f>
        <v/>
      </c>
      <c r="W23" s="16">
        <f>V23+Construction!W14*$F$9/$F$10*(W19*V23+W20*($F$9-V23)+IF(Construction!W8=1,$F$9*(Inputs!$F$75*Inputs!$F$89/100+Inputs!$F$76*Inputs!$F$90/100+Inputs!$F$77*Inputs!$F$91/100+Inputs!$F$78*Inputs!$F$92/100),0)+Construction!W15*$F$9*(Inputs!$F$75*$F$12+Inputs!$F$76*$F$13+Inputs!$F$77*$F$14+Inputs!$F$78*$F$15))</f>
        <v/>
      </c>
      <c r="X23" s="16">
        <f>W23+Construction!X14*$F$9/$F$10*(X19*W23+X20*($F$9-W23)+IF(Construction!X8=1,$F$9*(Inputs!$F$75*Inputs!$F$89/100+Inputs!$F$76*Inputs!$F$90/100+Inputs!$F$77*Inputs!$F$91/100+Inputs!$F$78*Inputs!$F$92/100),0)+Construction!X15*$F$9*(Inputs!$F$75*$F$12+Inputs!$F$76*$F$13+Inputs!$F$77*$F$14+Inputs!$F$78*$F$15))</f>
        <v/>
      </c>
      <c r="Y23" s="16">
        <f>X23+Construction!Y14*$F$9/$F$10*(Y19*X23+Y20*($F$9-X23)+IF(Construction!Y8=1,$F$9*(Inputs!$F$75*Inputs!$F$89/100+Inputs!$F$76*Inputs!$F$90/100+Inputs!$F$77*Inputs!$F$91/100+Inputs!$F$78*Inputs!$F$92/100),0)+Construction!Y15*$F$9*(Inputs!$F$75*$F$12+Inputs!$F$76*$F$13+Inputs!$F$77*$F$14+Inputs!$F$78*$F$15))</f>
        <v/>
      </c>
      <c r="Z23" s="16">
        <f>Y23+Construction!Z14*$F$9/$F$10*(Z19*Y23+Z20*($F$9-Y23)+IF(Construction!Z8=1,$F$9*(Inputs!$F$75*Inputs!$F$89/100+Inputs!$F$76*Inputs!$F$90/100+Inputs!$F$77*Inputs!$F$91/100+Inputs!$F$78*Inputs!$F$92/100),0)+Construction!Z15*$F$9*(Inputs!$F$75*$F$12+Inputs!$F$76*$F$13+Inputs!$F$77*$F$14+Inputs!$F$78*$F$15))</f>
        <v/>
      </c>
      <c r="AA23" s="16">
        <f>Z23+Construction!AA14*$F$9/$F$10*(AA19*Z23+AA20*($F$9-Z23)+IF(Construction!AA8=1,$F$9*(Inputs!$F$75*Inputs!$F$89/100+Inputs!$F$76*Inputs!$F$90/100+Inputs!$F$77*Inputs!$F$91/100+Inputs!$F$78*Inputs!$F$92/100),0)+Construction!AA15*$F$9*(Inputs!$F$75*$F$12+Inputs!$F$76*$F$13+Inputs!$F$77*$F$14+Inputs!$F$78*$F$15))</f>
        <v/>
      </c>
      <c r="AB23" s="16">
        <f>AA23+Construction!AB14*$F$9/$F$10*(AB19*AA23+AB20*($F$9-AA23)+IF(Construction!AB8=1,$F$9*(Inputs!$F$75*Inputs!$F$89/100+Inputs!$F$76*Inputs!$F$90/100+Inputs!$F$77*Inputs!$F$91/100+Inputs!$F$78*Inputs!$F$92/100),0)+Construction!AB15*$F$9*(Inputs!$F$75*$F$12+Inputs!$F$76*$F$13+Inputs!$F$77*$F$14+Inputs!$F$78*$F$15))</f>
        <v/>
      </c>
      <c r="AC23" s="16">
        <f>AB23+Construction!AC14*$F$9/$F$10*(AC19*AB23+AC20*($F$9-AB23)+IF(Construction!AC8=1,$F$9*(Inputs!$F$75*Inputs!$F$89/100+Inputs!$F$76*Inputs!$F$90/100+Inputs!$F$77*Inputs!$F$91/100+Inputs!$F$78*Inputs!$F$92/100),0)+Construction!AC15*$F$9*(Inputs!$F$75*$F$12+Inputs!$F$76*$F$13+Inputs!$F$77*$F$14+Inputs!$F$78*$F$15))</f>
        <v/>
      </c>
      <c r="AD23" s="16">
        <f>AC23+Construction!AD14*$F$9/$F$10*(AD19*AC23+AD20*($F$9-AC23)+IF(Construction!AD8=1,$F$9*(Inputs!$F$75*Inputs!$F$89/100+Inputs!$F$76*Inputs!$F$90/100+Inputs!$F$77*Inputs!$F$91/100+Inputs!$F$78*Inputs!$F$92/100),0)+Construction!AD15*$F$9*(Inputs!$F$75*$F$12+Inputs!$F$76*$F$13+Inputs!$F$77*$F$14+Inputs!$F$78*$F$15))</f>
        <v/>
      </c>
      <c r="AE23" s="16">
        <f>AD23+Construction!AE14*$F$9/$F$10*(AE19*AD23+AE20*($F$9-AD23)+IF(Construction!AE8=1,$F$9*(Inputs!$F$75*Inputs!$F$89/100+Inputs!$F$76*Inputs!$F$90/100+Inputs!$F$77*Inputs!$F$91/100+Inputs!$F$78*Inputs!$F$92/100),0)+Construction!AE15*$F$9*(Inputs!$F$75*$F$12+Inputs!$F$76*$F$13+Inputs!$F$77*$F$14+Inputs!$F$78*$F$15))</f>
        <v/>
      </c>
      <c r="AF23" s="16">
        <f>AE23+Construction!AF14*$F$9/$F$10*(AF19*AE23+AF20*($F$9-AE23)+IF(Construction!AF8=1,$F$9*(Inputs!$F$75*Inputs!$F$89/100+Inputs!$F$76*Inputs!$F$90/100+Inputs!$F$77*Inputs!$F$91/100+Inputs!$F$78*Inputs!$F$92/100),0)+Construction!AF15*$F$9*(Inputs!$F$75*$F$12+Inputs!$F$76*$F$13+Inputs!$F$77*$F$14+Inputs!$F$78*$F$15))</f>
        <v/>
      </c>
      <c r="AG23" s="16">
        <f>AF23+Construction!AG14*$F$9/$F$10*(AG19*AF23+AG20*($F$9-AF23)+IF(Construction!AG8=1,$F$9*(Inputs!$F$75*Inputs!$F$89/100+Inputs!$F$76*Inputs!$F$90/100+Inputs!$F$77*Inputs!$F$91/100+Inputs!$F$78*Inputs!$F$92/100),0)+Construction!AG15*$F$9*(Inputs!$F$75*$F$12+Inputs!$F$76*$F$13+Inputs!$F$77*$F$14+Inputs!$F$78*$F$15))</f>
        <v/>
      </c>
      <c r="AH23" s="16">
        <f>AG23+Construction!AH14*$F$9/$F$10*(AH19*AG23+AH20*($F$9-AG23)+IF(Construction!AH8=1,$F$9*(Inputs!$F$75*Inputs!$F$89/100+Inputs!$F$76*Inputs!$F$90/100+Inputs!$F$77*Inputs!$F$91/100+Inputs!$F$78*Inputs!$F$92/100),0)+Construction!AH15*$F$9*(Inputs!$F$75*$F$12+Inputs!$F$76*$F$13+Inputs!$F$77*$F$14+Inputs!$F$78*$F$15))</f>
        <v/>
      </c>
      <c r="AI23" s="16">
        <f>AH23+Construction!AI14*$F$9/$F$10*(AI19*AH23+AI20*($F$9-AH23)+IF(Construction!AI8=1,$F$9*(Inputs!$F$75*Inputs!$F$89/100+Inputs!$F$76*Inputs!$F$90/100+Inputs!$F$77*Inputs!$F$91/100+Inputs!$F$78*Inputs!$F$92/100),0)+Construction!AI15*$F$9*(Inputs!$F$75*$F$12+Inputs!$F$76*$F$13+Inputs!$F$77*$F$14+Inputs!$F$78*$F$15))</f>
        <v/>
      </c>
      <c r="AJ23" s="16">
        <f>AI23+Construction!AJ14*$F$9/$F$10*(AJ19*AI23+AJ20*($F$9-AI23)+IF(Construction!AJ8=1,$F$9*(Inputs!$F$75*Inputs!$F$89/100+Inputs!$F$76*Inputs!$F$90/100+Inputs!$F$77*Inputs!$F$91/100+Inputs!$F$78*Inputs!$F$92/100),0)+Construction!AJ15*$F$9*(Inputs!$F$75*$F$12+Inputs!$F$76*$F$13+Inputs!$F$77*$F$14+Inputs!$F$78*$F$15))</f>
        <v/>
      </c>
      <c r="AK23" s="16">
        <f>AJ23+Construction!AK14*$F$9/$F$10*(AK19*AJ23+AK20*($F$9-AJ23)+IF(Construction!AK8=1,$F$9*(Inputs!$F$75*Inputs!$F$89/100+Inputs!$F$76*Inputs!$F$90/100+Inputs!$F$77*Inputs!$F$91/100+Inputs!$F$78*Inputs!$F$92/100),0)+Construction!AK15*$F$9*(Inputs!$F$75*$F$12+Inputs!$F$76*$F$13+Inputs!$F$77*$F$14+Inputs!$F$78*$F$15))</f>
        <v/>
      </c>
      <c r="AL23" s="16">
        <f>AK23+Construction!AL14*$F$9/$F$10*(AL19*AK23+AL20*($F$9-AK23)+IF(Construction!AL8=1,$F$9*(Inputs!$F$75*Inputs!$F$89/100+Inputs!$F$76*Inputs!$F$90/100+Inputs!$F$77*Inputs!$F$91/100+Inputs!$F$78*Inputs!$F$92/100),0)+Construction!AL15*$F$9*(Inputs!$F$75*$F$12+Inputs!$F$76*$F$13+Inputs!$F$77*$F$14+Inputs!$F$78*$F$15))</f>
        <v/>
      </c>
      <c r="AM23" s="16">
        <f>AL23+Construction!AM14*$F$9/$F$10*(AM19*AL23+AM20*($F$9-AL23)+IF(Construction!AM8=1,$F$9*(Inputs!$F$75*Inputs!$F$89/100+Inputs!$F$76*Inputs!$F$90/100+Inputs!$F$77*Inputs!$F$91/100+Inputs!$F$78*Inputs!$F$92/100),0)+Construction!AM15*$F$9*(Inputs!$F$75*$F$12+Inputs!$F$76*$F$13+Inputs!$F$77*$F$14+Inputs!$F$78*$F$15))</f>
        <v/>
      </c>
      <c r="AN23" s="16">
        <f>AM23+Construction!AN14*$F$9/$F$10*(AN19*AM23+AN20*($F$9-AM23)+IF(Construction!AN8=1,$F$9*(Inputs!$F$75*Inputs!$F$89/100+Inputs!$F$76*Inputs!$F$90/100+Inputs!$F$77*Inputs!$F$91/100+Inputs!$F$78*Inputs!$F$92/100),0)+Construction!AN15*$F$9*(Inputs!$F$75*$F$12+Inputs!$F$76*$F$13+Inputs!$F$77*$F$14+Inputs!$F$78*$F$15))</f>
        <v/>
      </c>
      <c r="AO23" s="16">
        <f>AN23+Construction!AO14*$F$9/$F$10*(AO19*AN23+AO20*($F$9-AN23)+IF(Construction!AO8=1,$F$9*(Inputs!$F$75*Inputs!$F$89/100+Inputs!$F$76*Inputs!$F$90/100+Inputs!$F$77*Inputs!$F$91/100+Inputs!$F$78*Inputs!$F$92/100),0)+Construction!AO15*$F$9*(Inputs!$F$75*$F$12+Inputs!$F$76*$F$13+Inputs!$F$77*$F$14+Inputs!$F$78*$F$15))</f>
        <v/>
      </c>
      <c r="AP23" s="16">
        <f>AO23+Construction!AP14*$F$9/$F$10*(AP19*AO23+AP20*($F$9-AO23)+IF(Construction!AP8=1,$F$9*(Inputs!$F$75*Inputs!$F$89/100+Inputs!$F$76*Inputs!$F$90/100+Inputs!$F$77*Inputs!$F$91/100+Inputs!$F$78*Inputs!$F$92/100),0)+Construction!AP15*$F$9*(Inputs!$F$75*$F$12+Inputs!$F$76*$F$13+Inputs!$F$77*$F$14+Inputs!$F$78*$F$15))</f>
        <v/>
      </c>
      <c r="AQ23" s="16">
        <f>AP23+Construction!AQ14*$F$9/$F$10*(AQ19*AP23+AQ20*($F$9-AP23)+IF(Construction!AQ8=1,$F$9*(Inputs!$F$75*Inputs!$F$89/100+Inputs!$F$76*Inputs!$F$90/100+Inputs!$F$77*Inputs!$F$91/100+Inputs!$F$78*Inputs!$F$92/100),0)+Construction!AQ15*$F$9*(Inputs!$F$75*$F$12+Inputs!$F$76*$F$13+Inputs!$F$77*$F$14+Inputs!$F$78*$F$15))</f>
        <v/>
      </c>
      <c r="AR23" s="16">
        <f>AQ23+Construction!AR14*$F$9/$F$10*(AR19*AQ23+AR20*($F$9-AQ23)+IF(Construction!AR8=1,$F$9*(Inputs!$F$75*Inputs!$F$89/100+Inputs!$F$76*Inputs!$F$90/100+Inputs!$F$77*Inputs!$F$91/100+Inputs!$F$78*Inputs!$F$92/100),0)+Construction!AR15*$F$9*(Inputs!$F$75*$F$12+Inputs!$F$76*$F$13+Inputs!$F$77*$F$14+Inputs!$F$78*$F$15))</f>
        <v/>
      </c>
      <c r="AS23" s="16">
        <f>AR23+Construction!AS14*$F$9/$F$10*(AS19*AR23+AS20*($F$9-AR23)+IF(Construction!AS8=1,$F$9*(Inputs!$F$75*Inputs!$F$89/100+Inputs!$F$76*Inputs!$F$90/100+Inputs!$F$77*Inputs!$F$91/100+Inputs!$F$78*Inputs!$F$92/100),0)+Construction!AS15*$F$9*(Inputs!$F$75*$F$12+Inputs!$F$76*$F$13+Inputs!$F$77*$F$14+Inputs!$F$78*$F$15))</f>
        <v/>
      </c>
      <c r="AT23" s="16">
        <f>AS23+Construction!AT14*$F$9/$F$10*(AT19*AS23+AT20*($F$9-AS23)+IF(Construction!AT8=1,$F$9*(Inputs!$F$75*Inputs!$F$89/100+Inputs!$F$76*Inputs!$F$90/100+Inputs!$F$77*Inputs!$F$91/100+Inputs!$F$78*Inputs!$F$92/100),0)+Construction!AT15*$F$9*(Inputs!$F$75*$F$12+Inputs!$F$76*$F$13+Inputs!$F$77*$F$14+Inputs!$F$78*$F$15))</f>
        <v/>
      </c>
      <c r="AU23" s="16">
        <f>AT23+Construction!AU14*$F$9/$F$10*(AU19*AT23+AU20*($F$9-AT23)+IF(Construction!AU8=1,$F$9*(Inputs!$F$75*Inputs!$F$89/100+Inputs!$F$76*Inputs!$F$90/100+Inputs!$F$77*Inputs!$F$91/100+Inputs!$F$78*Inputs!$F$92/100),0)+Construction!AU15*$F$9*(Inputs!$F$75*$F$12+Inputs!$F$76*$F$13+Inputs!$F$77*$F$14+Inputs!$F$78*$F$15))</f>
        <v/>
      </c>
      <c r="AV23" s="16">
        <f>AU23+Construction!AV14*$F$9/$F$10*(AV19*AU23+AV20*($F$9-AU23)+IF(Construction!AV8=1,$F$9*(Inputs!$F$75*Inputs!$F$89/100+Inputs!$F$76*Inputs!$F$90/100+Inputs!$F$77*Inputs!$F$91/100+Inputs!$F$78*Inputs!$F$92/100),0)+Construction!AV15*$F$9*(Inputs!$F$75*$F$12+Inputs!$F$76*$F$13+Inputs!$F$77*$F$14+Inputs!$F$78*$F$15))</f>
        <v/>
      </c>
      <c r="AW23" s="16">
        <f>AV23+Construction!AW14*$F$9/$F$10*(AW19*AV23+AW20*($F$9-AV23)+IF(Construction!AW8=1,$F$9*(Inputs!$F$75*Inputs!$F$89/100+Inputs!$F$76*Inputs!$F$90/100+Inputs!$F$77*Inputs!$F$91/100+Inputs!$F$78*Inputs!$F$92/100),0)+Construction!AW15*$F$9*(Inputs!$F$75*$F$12+Inputs!$F$76*$F$13+Inputs!$F$77*$F$14+Inputs!$F$78*$F$15))</f>
        <v/>
      </c>
      <c r="AX23" s="16">
        <f>AW23+Construction!AX14*$F$9/$F$10*(AX19*AW23+AX20*($F$9-AW23)+IF(Construction!AX8=1,$F$9*(Inputs!$F$75*Inputs!$F$89/100+Inputs!$F$76*Inputs!$F$90/100+Inputs!$F$77*Inputs!$F$91/100+Inputs!$F$78*Inputs!$F$92/100),0)+Construction!AX15*$F$9*(Inputs!$F$75*$F$12+Inputs!$F$76*$F$13+Inputs!$F$77*$F$14+Inputs!$F$78*$F$15))</f>
        <v/>
      </c>
      <c r="AY23" s="16">
        <f>AX23+Construction!AY14*$F$9/$F$10*(AY19*AX23+AY20*($F$9-AX23)+IF(Construction!AY8=1,$F$9*(Inputs!$F$75*Inputs!$F$89/100+Inputs!$F$76*Inputs!$F$90/100+Inputs!$F$77*Inputs!$F$91/100+Inputs!$F$78*Inputs!$F$92/100),0)+Construction!AY15*$F$9*(Inputs!$F$75*$F$12+Inputs!$F$76*$F$13+Inputs!$F$77*$F$14+Inputs!$F$78*$F$15))</f>
        <v/>
      </c>
      <c r="AZ23" s="16">
        <f>AY23+Construction!AZ14*$F$9/$F$10*(AZ19*AY23+AZ20*($F$9-AY23)+IF(Construction!AZ8=1,$F$9*(Inputs!$F$75*Inputs!$F$89/100+Inputs!$F$76*Inputs!$F$90/100+Inputs!$F$77*Inputs!$F$91/100+Inputs!$F$78*Inputs!$F$92/100),0)+Construction!AZ15*$F$9*(Inputs!$F$75*$F$12+Inputs!$F$76*$F$13+Inputs!$F$77*$F$14+Inputs!$F$78*$F$15))</f>
        <v/>
      </c>
      <c r="BA23" s="16">
        <f>AZ23+Construction!BA14*$F$9/$F$10*(BA19*AZ23+BA20*($F$9-AZ23)+IF(Construction!BA8=1,$F$9*(Inputs!$F$75*Inputs!$F$89/100+Inputs!$F$76*Inputs!$F$90/100+Inputs!$F$77*Inputs!$F$91/100+Inputs!$F$78*Inputs!$F$92/100),0)+Construction!BA15*$F$9*(Inputs!$F$75*$F$12+Inputs!$F$76*$F$13+Inputs!$F$77*$F$14+Inputs!$F$78*$F$15))</f>
        <v/>
      </c>
      <c r="BB23" s="16">
        <f>BA23+Construction!BB14*$F$9/$F$10*(BB19*BA23+BB20*($F$9-BA23)+IF(Construction!BB8=1,$F$9*(Inputs!$F$75*Inputs!$F$89/100+Inputs!$F$76*Inputs!$F$90/100+Inputs!$F$77*Inputs!$F$91/100+Inputs!$F$78*Inputs!$F$92/100),0)+Construction!BB15*$F$9*(Inputs!$F$75*$F$12+Inputs!$F$76*$F$13+Inputs!$F$77*$F$14+Inputs!$F$78*$F$15))</f>
        <v/>
      </c>
      <c r="BC23" s="16">
        <f>BB23+Construction!BC14*$F$9/$F$10*(BC19*BB23+BC20*($F$9-BB23)+IF(Construction!BC8=1,$F$9*(Inputs!$F$75*Inputs!$F$89/100+Inputs!$F$76*Inputs!$F$90/100+Inputs!$F$77*Inputs!$F$91/100+Inputs!$F$78*Inputs!$F$92/100),0)+Construction!BC15*$F$9*(Inputs!$F$75*$F$12+Inputs!$F$76*$F$13+Inputs!$F$77*$F$14+Inputs!$F$78*$F$15))</f>
        <v/>
      </c>
      <c r="BD23" s="16">
        <f>BC23+Construction!BD14*$F$9/$F$10*(BD19*BC23+BD20*($F$9-BC23)+IF(Construction!BD8=1,$F$9*(Inputs!$F$75*Inputs!$F$89/100+Inputs!$F$76*Inputs!$F$90/100+Inputs!$F$77*Inputs!$F$91/100+Inputs!$F$78*Inputs!$F$92/100),0)+Construction!BD15*$F$9*(Inputs!$F$75*$F$12+Inputs!$F$76*$F$13+Inputs!$F$77*$F$14+Inputs!$F$78*$F$15))</f>
        <v/>
      </c>
      <c r="BE23" s="16">
        <f>BD23+Construction!BE14*$F$9/$F$10*(BE19*BD23+BE20*($F$9-BD23)+IF(Construction!BE8=1,$F$9*(Inputs!$F$75*Inputs!$F$89/100+Inputs!$F$76*Inputs!$F$90/100+Inputs!$F$77*Inputs!$F$91/100+Inputs!$F$78*Inputs!$F$92/100),0)+Construction!BE15*$F$9*(Inputs!$F$75*$F$12+Inputs!$F$76*$F$13+Inputs!$F$77*$F$14+Inputs!$F$78*$F$15))</f>
        <v/>
      </c>
      <c r="BF23" s="16">
        <f>BE23+Construction!BF14*$F$9/$F$10*(BF19*BE23+BF20*($F$9-BE23)+IF(Construction!BF8=1,$F$9*(Inputs!$F$75*Inputs!$F$89/100+Inputs!$F$76*Inputs!$F$90/100+Inputs!$F$77*Inputs!$F$91/100+Inputs!$F$78*Inputs!$F$92/100),0)+Construction!BF15*$F$9*(Inputs!$F$75*$F$12+Inputs!$F$76*$F$13+Inputs!$F$77*$F$14+Inputs!$F$78*$F$15))</f>
        <v/>
      </c>
      <c r="BG23" s="16">
        <f>BF23+Construction!BG14*$F$9/$F$10*(BG19*BF23+BG20*($F$9-BF23)+IF(Construction!BG8=1,$F$9*(Inputs!$F$75*Inputs!$F$89/100+Inputs!$F$76*Inputs!$F$90/100+Inputs!$F$77*Inputs!$F$91/100+Inputs!$F$78*Inputs!$F$92/100),0)+Construction!BG15*$F$9*(Inputs!$F$75*$F$12+Inputs!$F$76*$F$13+Inputs!$F$77*$F$14+Inputs!$F$78*$F$15))</f>
        <v/>
      </c>
      <c r="BH23" s="16">
        <f>BG23+Construction!BH14*$F$9/$F$10*(BH19*BG23+BH20*($F$9-BG23)+IF(Construction!BH8=1,$F$9*(Inputs!$F$75*Inputs!$F$89/100+Inputs!$F$76*Inputs!$F$90/100+Inputs!$F$77*Inputs!$F$91/100+Inputs!$F$78*Inputs!$F$92/100),0)+Construction!BH15*$F$9*(Inputs!$F$75*$F$12+Inputs!$F$76*$F$13+Inputs!$F$77*$F$14+Inputs!$F$78*$F$15))</f>
        <v/>
      </c>
      <c r="BI23" s="16">
        <f>BH23+Construction!BI14*$F$9/$F$10*(BI19*BH23+BI20*($F$9-BH23)+IF(Construction!BI8=1,$F$9*(Inputs!$F$75*Inputs!$F$89/100+Inputs!$F$76*Inputs!$F$90/100+Inputs!$F$77*Inputs!$F$91/100+Inputs!$F$78*Inputs!$F$92/100),0)+Construction!BI15*$F$9*(Inputs!$F$75*$F$12+Inputs!$F$76*$F$13+Inputs!$F$77*$F$14+Inputs!$F$78*$F$15))</f>
        <v/>
      </c>
      <c r="BJ23" s="16">
        <f>BI23+Construction!BJ14*$F$9/$F$10*(BJ19*BI23+BJ20*($F$9-BI23)+IF(Construction!BJ8=1,$F$9*(Inputs!$F$75*Inputs!$F$89/100+Inputs!$F$76*Inputs!$F$90/100+Inputs!$F$77*Inputs!$F$91/100+Inputs!$F$78*Inputs!$F$92/100),0)+Construction!BJ15*$F$9*(Inputs!$F$75*$F$12+Inputs!$F$76*$F$13+Inputs!$F$77*$F$14+Inputs!$F$78*$F$15))</f>
        <v/>
      </c>
    </row>
    <row r="24">
      <c r="D24" t="inlineStr">
        <is>
          <t>Total funding requirement at this gearing, closed form T = alpha/(g - beta)</t>
        </is>
      </c>
      <c r="E24" t="inlineStr">
        <is>
          <t>USD m</t>
        </is>
      </c>
      <c r="F24" s="17">
        <f>INDEX(Funding!$J$22:$BJ$22,1,Time!$F$14)/(Funding!$F$9-INDEX(Funding!$J$23:$BJ$23,1,Time!$F$14))</f>
        <v/>
      </c>
    </row>
    <row r="25">
      <c r="D25" t="inlineStr">
        <is>
          <t>Senior debt (committed tranches)</t>
        </is>
      </c>
      <c r="E25" t="inlineStr">
        <is>
          <t>USD m</t>
        </is>
      </c>
      <c r="F25" s="17">
        <f>IF(Inputs!$F$51&lt;&gt;1,Funding!$F$8*Funding!$F$24,Inputs!$F$113)</f>
        <v/>
      </c>
    </row>
    <row r="26">
      <c r="D26" t="inlineStr">
        <is>
          <t>Debt share of monthly funding</t>
        </is>
      </c>
      <c r="E26" t="inlineStr">
        <is>
          <t>fraction</t>
        </is>
      </c>
      <c r="F26" s="11">
        <f>$F$8</f>
        <v/>
      </c>
    </row>
    <row r="27">
      <c r="B27" s="2" t="inlineStr">
        <is>
          <t>Monthly funding schedule (USD m)</t>
        </is>
      </c>
    </row>
    <row r="28">
      <c r="D28" t="inlineStr">
        <is>
          <t>ECA-covered tranche: opening balance</t>
        </is>
      </c>
      <c r="E28" t="inlineStr">
        <is>
          <t>USD m</t>
        </is>
      </c>
      <c r="J28" s="13">
        <f>I61</f>
        <v/>
      </c>
      <c r="K28" s="13">
        <f>J61</f>
        <v/>
      </c>
      <c r="L28" s="13">
        <f>K61</f>
        <v/>
      </c>
      <c r="M28" s="13">
        <f>L61</f>
        <v/>
      </c>
      <c r="N28" s="13">
        <f>M61</f>
        <v/>
      </c>
      <c r="O28" s="13">
        <f>N61</f>
        <v/>
      </c>
      <c r="P28" s="13">
        <f>O61</f>
        <v/>
      </c>
      <c r="Q28" s="13">
        <f>P61</f>
        <v/>
      </c>
      <c r="R28" s="13">
        <f>Q61</f>
        <v/>
      </c>
      <c r="S28" s="13">
        <f>R61</f>
        <v/>
      </c>
      <c r="T28" s="13">
        <f>S61</f>
        <v/>
      </c>
      <c r="U28" s="13">
        <f>T61</f>
        <v/>
      </c>
      <c r="V28" s="13">
        <f>U61</f>
        <v/>
      </c>
      <c r="W28" s="13">
        <f>V61</f>
        <v/>
      </c>
      <c r="X28" s="13">
        <f>W61</f>
        <v/>
      </c>
      <c r="Y28" s="13">
        <f>X61</f>
        <v/>
      </c>
      <c r="Z28" s="13">
        <f>Y61</f>
        <v/>
      </c>
      <c r="AA28" s="13">
        <f>Z61</f>
        <v/>
      </c>
      <c r="AB28" s="13">
        <f>AA61</f>
        <v/>
      </c>
      <c r="AC28" s="13">
        <f>AB61</f>
        <v/>
      </c>
      <c r="AD28" s="13">
        <f>AC61</f>
        <v/>
      </c>
      <c r="AE28" s="13">
        <f>AD61</f>
        <v/>
      </c>
      <c r="AF28" s="13">
        <f>AE61</f>
        <v/>
      </c>
      <c r="AG28" s="13">
        <f>AF61</f>
        <v/>
      </c>
      <c r="AH28" s="13">
        <f>AG61</f>
        <v/>
      </c>
      <c r="AI28" s="13">
        <f>AH61</f>
        <v/>
      </c>
      <c r="AJ28" s="13">
        <f>AI61</f>
        <v/>
      </c>
      <c r="AK28" s="13">
        <f>AJ61</f>
        <v/>
      </c>
      <c r="AL28" s="13">
        <f>AK61</f>
        <v/>
      </c>
      <c r="AM28" s="13">
        <f>AL61</f>
        <v/>
      </c>
      <c r="AN28" s="13">
        <f>AM61</f>
        <v/>
      </c>
      <c r="AO28" s="13">
        <f>AN61</f>
        <v/>
      </c>
      <c r="AP28" s="13">
        <f>AO61</f>
        <v/>
      </c>
      <c r="AQ28" s="13">
        <f>AP61</f>
        <v/>
      </c>
      <c r="AR28" s="13">
        <f>AQ61</f>
        <v/>
      </c>
      <c r="AS28" s="13">
        <f>AR61</f>
        <v/>
      </c>
      <c r="AT28" s="13">
        <f>AS61</f>
        <v/>
      </c>
      <c r="AU28" s="13">
        <f>AT61</f>
        <v/>
      </c>
      <c r="AV28" s="13">
        <f>AU61</f>
        <v/>
      </c>
      <c r="AW28" s="13">
        <f>AV61</f>
        <v/>
      </c>
      <c r="AX28" s="13">
        <f>AW61</f>
        <v/>
      </c>
      <c r="AY28" s="13">
        <f>AX61</f>
        <v/>
      </c>
      <c r="AZ28" s="13">
        <f>AY61</f>
        <v/>
      </c>
      <c r="BA28" s="13">
        <f>AZ61</f>
        <v/>
      </c>
      <c r="BB28" s="13">
        <f>BA61</f>
        <v/>
      </c>
      <c r="BC28" s="13">
        <f>BB61</f>
        <v/>
      </c>
      <c r="BD28" s="13">
        <f>BC61</f>
        <v/>
      </c>
      <c r="BE28" s="13">
        <f>BD61</f>
        <v/>
      </c>
      <c r="BF28" s="13">
        <f>BE61</f>
        <v/>
      </c>
      <c r="BG28" s="13">
        <f>BF61</f>
        <v/>
      </c>
      <c r="BH28" s="13">
        <f>BG61</f>
        <v/>
      </c>
      <c r="BI28" s="13">
        <f>BH61</f>
        <v/>
      </c>
      <c r="BJ28" s="13">
        <f>BI61</f>
        <v/>
      </c>
    </row>
    <row r="29">
      <c r="D29" t="inlineStr">
        <is>
          <t>ABDB A-loan: opening balance</t>
        </is>
      </c>
      <c r="E29" t="inlineStr">
        <is>
          <t>USD m</t>
        </is>
      </c>
      <c r="J29" s="13">
        <f>I62</f>
        <v/>
      </c>
      <c r="K29" s="13">
        <f>J62</f>
        <v/>
      </c>
      <c r="L29" s="13">
        <f>K62</f>
        <v/>
      </c>
      <c r="M29" s="13">
        <f>L62</f>
        <v/>
      </c>
      <c r="N29" s="13">
        <f>M62</f>
        <v/>
      </c>
      <c r="O29" s="13">
        <f>N62</f>
        <v/>
      </c>
      <c r="P29" s="13">
        <f>O62</f>
        <v/>
      </c>
      <c r="Q29" s="13">
        <f>P62</f>
        <v/>
      </c>
      <c r="R29" s="13">
        <f>Q62</f>
        <v/>
      </c>
      <c r="S29" s="13">
        <f>R62</f>
        <v/>
      </c>
      <c r="T29" s="13">
        <f>S62</f>
        <v/>
      </c>
      <c r="U29" s="13">
        <f>T62</f>
        <v/>
      </c>
      <c r="V29" s="13">
        <f>U62</f>
        <v/>
      </c>
      <c r="W29" s="13">
        <f>V62</f>
        <v/>
      </c>
      <c r="X29" s="13">
        <f>W62</f>
        <v/>
      </c>
      <c r="Y29" s="13">
        <f>X62</f>
        <v/>
      </c>
      <c r="Z29" s="13">
        <f>Y62</f>
        <v/>
      </c>
      <c r="AA29" s="13">
        <f>Z62</f>
        <v/>
      </c>
      <c r="AB29" s="13">
        <f>AA62</f>
        <v/>
      </c>
      <c r="AC29" s="13">
        <f>AB62</f>
        <v/>
      </c>
      <c r="AD29" s="13">
        <f>AC62</f>
        <v/>
      </c>
      <c r="AE29" s="13">
        <f>AD62</f>
        <v/>
      </c>
      <c r="AF29" s="13">
        <f>AE62</f>
        <v/>
      </c>
      <c r="AG29" s="13">
        <f>AF62</f>
        <v/>
      </c>
      <c r="AH29" s="13">
        <f>AG62</f>
        <v/>
      </c>
      <c r="AI29" s="13">
        <f>AH62</f>
        <v/>
      </c>
      <c r="AJ29" s="13">
        <f>AI62</f>
        <v/>
      </c>
      <c r="AK29" s="13">
        <f>AJ62</f>
        <v/>
      </c>
      <c r="AL29" s="13">
        <f>AK62</f>
        <v/>
      </c>
      <c r="AM29" s="13">
        <f>AL62</f>
        <v/>
      </c>
      <c r="AN29" s="13">
        <f>AM62</f>
        <v/>
      </c>
      <c r="AO29" s="13">
        <f>AN62</f>
        <v/>
      </c>
      <c r="AP29" s="13">
        <f>AO62</f>
        <v/>
      </c>
      <c r="AQ29" s="13">
        <f>AP62</f>
        <v/>
      </c>
      <c r="AR29" s="13">
        <f>AQ62</f>
        <v/>
      </c>
      <c r="AS29" s="13">
        <f>AR62</f>
        <v/>
      </c>
      <c r="AT29" s="13">
        <f>AS62</f>
        <v/>
      </c>
      <c r="AU29" s="13">
        <f>AT62</f>
        <v/>
      </c>
      <c r="AV29" s="13">
        <f>AU62</f>
        <v/>
      </c>
      <c r="AW29" s="13">
        <f>AV62</f>
        <v/>
      </c>
      <c r="AX29" s="13">
        <f>AW62</f>
        <v/>
      </c>
      <c r="AY29" s="13">
        <f>AX62</f>
        <v/>
      </c>
      <c r="AZ29" s="13">
        <f>AY62</f>
        <v/>
      </c>
      <c r="BA29" s="13">
        <f>AZ62</f>
        <v/>
      </c>
      <c r="BB29" s="13">
        <f>BA62</f>
        <v/>
      </c>
      <c r="BC29" s="13">
        <f>BB62</f>
        <v/>
      </c>
      <c r="BD29" s="13">
        <f>BC62</f>
        <v/>
      </c>
      <c r="BE29" s="13">
        <f>BD62</f>
        <v/>
      </c>
      <c r="BF29" s="13">
        <f>BE62</f>
        <v/>
      </c>
      <c r="BG29" s="13">
        <f>BF62</f>
        <v/>
      </c>
      <c r="BH29" s="13">
        <f>BG62</f>
        <v/>
      </c>
      <c r="BI29" s="13">
        <f>BH62</f>
        <v/>
      </c>
      <c r="BJ29" s="13">
        <f>BI62</f>
        <v/>
      </c>
    </row>
    <row r="30">
      <c r="D30" t="inlineStr">
        <is>
          <t>ABDB B-loan: opening balance</t>
        </is>
      </c>
      <c r="E30" t="inlineStr">
        <is>
          <t>USD m</t>
        </is>
      </c>
      <c r="J30" s="13">
        <f>I63</f>
        <v/>
      </c>
      <c r="K30" s="13">
        <f>J63</f>
        <v/>
      </c>
      <c r="L30" s="13">
        <f>K63</f>
        <v/>
      </c>
      <c r="M30" s="13">
        <f>L63</f>
        <v/>
      </c>
      <c r="N30" s="13">
        <f>M63</f>
        <v/>
      </c>
      <c r="O30" s="13">
        <f>N63</f>
        <v/>
      </c>
      <c r="P30" s="13">
        <f>O63</f>
        <v/>
      </c>
      <c r="Q30" s="13">
        <f>P63</f>
        <v/>
      </c>
      <c r="R30" s="13">
        <f>Q63</f>
        <v/>
      </c>
      <c r="S30" s="13">
        <f>R63</f>
        <v/>
      </c>
      <c r="T30" s="13">
        <f>S63</f>
        <v/>
      </c>
      <c r="U30" s="13">
        <f>T63</f>
        <v/>
      </c>
      <c r="V30" s="13">
        <f>U63</f>
        <v/>
      </c>
      <c r="W30" s="13">
        <f>V63</f>
        <v/>
      </c>
      <c r="X30" s="13">
        <f>W63</f>
        <v/>
      </c>
      <c r="Y30" s="13">
        <f>X63</f>
        <v/>
      </c>
      <c r="Z30" s="13">
        <f>Y63</f>
        <v/>
      </c>
      <c r="AA30" s="13">
        <f>Z63</f>
        <v/>
      </c>
      <c r="AB30" s="13">
        <f>AA63</f>
        <v/>
      </c>
      <c r="AC30" s="13">
        <f>AB63</f>
        <v/>
      </c>
      <c r="AD30" s="13">
        <f>AC63</f>
        <v/>
      </c>
      <c r="AE30" s="13">
        <f>AD63</f>
        <v/>
      </c>
      <c r="AF30" s="13">
        <f>AE63</f>
        <v/>
      </c>
      <c r="AG30" s="13">
        <f>AF63</f>
        <v/>
      </c>
      <c r="AH30" s="13">
        <f>AG63</f>
        <v/>
      </c>
      <c r="AI30" s="13">
        <f>AH63</f>
        <v/>
      </c>
      <c r="AJ30" s="13">
        <f>AI63</f>
        <v/>
      </c>
      <c r="AK30" s="13">
        <f>AJ63</f>
        <v/>
      </c>
      <c r="AL30" s="13">
        <f>AK63</f>
        <v/>
      </c>
      <c r="AM30" s="13">
        <f>AL63</f>
        <v/>
      </c>
      <c r="AN30" s="13">
        <f>AM63</f>
        <v/>
      </c>
      <c r="AO30" s="13">
        <f>AN63</f>
        <v/>
      </c>
      <c r="AP30" s="13">
        <f>AO63</f>
        <v/>
      </c>
      <c r="AQ30" s="13">
        <f>AP63</f>
        <v/>
      </c>
      <c r="AR30" s="13">
        <f>AQ63</f>
        <v/>
      </c>
      <c r="AS30" s="13">
        <f>AR63</f>
        <v/>
      </c>
      <c r="AT30" s="13">
        <f>AS63</f>
        <v/>
      </c>
      <c r="AU30" s="13">
        <f>AT63</f>
        <v/>
      </c>
      <c r="AV30" s="13">
        <f>AU63</f>
        <v/>
      </c>
      <c r="AW30" s="13">
        <f>AV63</f>
        <v/>
      </c>
      <c r="AX30" s="13">
        <f>AW63</f>
        <v/>
      </c>
      <c r="AY30" s="13">
        <f>AX63</f>
        <v/>
      </c>
      <c r="AZ30" s="13">
        <f>AY63</f>
        <v/>
      </c>
      <c r="BA30" s="13">
        <f>AZ63</f>
        <v/>
      </c>
      <c r="BB30" s="13">
        <f>BA63</f>
        <v/>
      </c>
      <c r="BC30" s="13">
        <f>BB63</f>
        <v/>
      </c>
      <c r="BD30" s="13">
        <f>BC63</f>
        <v/>
      </c>
      <c r="BE30" s="13">
        <f>BD63</f>
        <v/>
      </c>
      <c r="BF30" s="13">
        <f>BE63</f>
        <v/>
      </c>
      <c r="BG30" s="13">
        <f>BF63</f>
        <v/>
      </c>
      <c r="BH30" s="13">
        <f>BG63</f>
        <v/>
      </c>
      <c r="BI30" s="13">
        <f>BH63</f>
        <v/>
      </c>
      <c r="BJ30" s="13">
        <f>BI63</f>
        <v/>
      </c>
    </row>
    <row r="31">
      <c r="D31" t="inlineStr">
        <is>
          <t>Commercial tranche: opening balance</t>
        </is>
      </c>
      <c r="E31" t="inlineStr">
        <is>
          <t>USD m</t>
        </is>
      </c>
      <c r="J31" s="13">
        <f>I64</f>
        <v/>
      </c>
      <c r="K31" s="13">
        <f>J64</f>
        <v/>
      </c>
      <c r="L31" s="13">
        <f>K64</f>
        <v/>
      </c>
      <c r="M31" s="13">
        <f>L64</f>
        <v/>
      </c>
      <c r="N31" s="13">
        <f>M64</f>
        <v/>
      </c>
      <c r="O31" s="13">
        <f>N64</f>
        <v/>
      </c>
      <c r="P31" s="13">
        <f>O64</f>
        <v/>
      </c>
      <c r="Q31" s="13">
        <f>P64</f>
        <v/>
      </c>
      <c r="R31" s="13">
        <f>Q64</f>
        <v/>
      </c>
      <c r="S31" s="13">
        <f>R64</f>
        <v/>
      </c>
      <c r="T31" s="13">
        <f>S64</f>
        <v/>
      </c>
      <c r="U31" s="13">
        <f>T64</f>
        <v/>
      </c>
      <c r="V31" s="13">
        <f>U64</f>
        <v/>
      </c>
      <c r="W31" s="13">
        <f>V64</f>
        <v/>
      </c>
      <c r="X31" s="13">
        <f>W64</f>
        <v/>
      </c>
      <c r="Y31" s="13">
        <f>X64</f>
        <v/>
      </c>
      <c r="Z31" s="13">
        <f>Y64</f>
        <v/>
      </c>
      <c r="AA31" s="13">
        <f>Z64</f>
        <v/>
      </c>
      <c r="AB31" s="13">
        <f>AA64</f>
        <v/>
      </c>
      <c r="AC31" s="13">
        <f>AB64</f>
        <v/>
      </c>
      <c r="AD31" s="13">
        <f>AC64</f>
        <v/>
      </c>
      <c r="AE31" s="13">
        <f>AD64</f>
        <v/>
      </c>
      <c r="AF31" s="13">
        <f>AE64</f>
        <v/>
      </c>
      <c r="AG31" s="13">
        <f>AF64</f>
        <v/>
      </c>
      <c r="AH31" s="13">
        <f>AG64</f>
        <v/>
      </c>
      <c r="AI31" s="13">
        <f>AH64</f>
        <v/>
      </c>
      <c r="AJ31" s="13">
        <f>AI64</f>
        <v/>
      </c>
      <c r="AK31" s="13">
        <f>AJ64</f>
        <v/>
      </c>
      <c r="AL31" s="13">
        <f>AK64</f>
        <v/>
      </c>
      <c r="AM31" s="13">
        <f>AL64</f>
        <v/>
      </c>
      <c r="AN31" s="13">
        <f>AM64</f>
        <v/>
      </c>
      <c r="AO31" s="13">
        <f>AN64</f>
        <v/>
      </c>
      <c r="AP31" s="13">
        <f>AO64</f>
        <v/>
      </c>
      <c r="AQ31" s="13">
        <f>AP64</f>
        <v/>
      </c>
      <c r="AR31" s="13">
        <f>AQ64</f>
        <v/>
      </c>
      <c r="AS31" s="13">
        <f>AR64</f>
        <v/>
      </c>
      <c r="AT31" s="13">
        <f>AS64</f>
        <v/>
      </c>
      <c r="AU31" s="13">
        <f>AT64</f>
        <v/>
      </c>
      <c r="AV31" s="13">
        <f>AU64</f>
        <v/>
      </c>
      <c r="AW31" s="13">
        <f>AV64</f>
        <v/>
      </c>
      <c r="AX31" s="13">
        <f>AW64</f>
        <v/>
      </c>
      <c r="AY31" s="13">
        <f>AX64</f>
        <v/>
      </c>
      <c r="AZ31" s="13">
        <f>AY64</f>
        <v/>
      </c>
      <c r="BA31" s="13">
        <f>AZ64</f>
        <v/>
      </c>
      <c r="BB31" s="13">
        <f>BA64</f>
        <v/>
      </c>
      <c r="BC31" s="13">
        <f>BB64</f>
        <v/>
      </c>
      <c r="BD31" s="13">
        <f>BC64</f>
        <v/>
      </c>
      <c r="BE31" s="13">
        <f>BD64</f>
        <v/>
      </c>
      <c r="BF31" s="13">
        <f>BE64</f>
        <v/>
      </c>
      <c r="BG31" s="13">
        <f>BF64</f>
        <v/>
      </c>
      <c r="BH31" s="13">
        <f>BG64</f>
        <v/>
      </c>
      <c r="BI31" s="13">
        <f>BH64</f>
        <v/>
      </c>
      <c r="BJ31" s="13">
        <f>BI64</f>
        <v/>
      </c>
    </row>
    <row r="32">
      <c r="D32" t="inlineStr">
        <is>
          <t>Standby facility: opening balance</t>
        </is>
      </c>
      <c r="E32" t="inlineStr">
        <is>
          <t>USD m</t>
        </is>
      </c>
      <c r="J32" s="13">
        <f>I65</f>
        <v/>
      </c>
      <c r="K32" s="13">
        <f>J65</f>
        <v/>
      </c>
      <c r="L32" s="13">
        <f>K65</f>
        <v/>
      </c>
      <c r="M32" s="13">
        <f>L65</f>
        <v/>
      </c>
      <c r="N32" s="13">
        <f>M65</f>
        <v/>
      </c>
      <c r="O32" s="13">
        <f>N65</f>
        <v/>
      </c>
      <c r="P32" s="13">
        <f>O65</f>
        <v/>
      </c>
      <c r="Q32" s="13">
        <f>P65</f>
        <v/>
      </c>
      <c r="R32" s="13">
        <f>Q65</f>
        <v/>
      </c>
      <c r="S32" s="13">
        <f>R65</f>
        <v/>
      </c>
      <c r="T32" s="13">
        <f>S65</f>
        <v/>
      </c>
      <c r="U32" s="13">
        <f>T65</f>
        <v/>
      </c>
      <c r="V32" s="13">
        <f>U65</f>
        <v/>
      </c>
      <c r="W32" s="13">
        <f>V65</f>
        <v/>
      </c>
      <c r="X32" s="13">
        <f>W65</f>
        <v/>
      </c>
      <c r="Y32" s="13">
        <f>X65</f>
        <v/>
      </c>
      <c r="Z32" s="13">
        <f>Y65</f>
        <v/>
      </c>
      <c r="AA32" s="13">
        <f>Z65</f>
        <v/>
      </c>
      <c r="AB32" s="13">
        <f>AA65</f>
        <v/>
      </c>
      <c r="AC32" s="13">
        <f>AB65</f>
        <v/>
      </c>
      <c r="AD32" s="13">
        <f>AC65</f>
        <v/>
      </c>
      <c r="AE32" s="13">
        <f>AD65</f>
        <v/>
      </c>
      <c r="AF32" s="13">
        <f>AE65</f>
        <v/>
      </c>
      <c r="AG32" s="13">
        <f>AF65</f>
        <v/>
      </c>
      <c r="AH32" s="13">
        <f>AG65</f>
        <v/>
      </c>
      <c r="AI32" s="13">
        <f>AH65</f>
        <v/>
      </c>
      <c r="AJ32" s="13">
        <f>AI65</f>
        <v/>
      </c>
      <c r="AK32" s="13">
        <f>AJ65</f>
        <v/>
      </c>
      <c r="AL32" s="13">
        <f>AK65</f>
        <v/>
      </c>
      <c r="AM32" s="13">
        <f>AL65</f>
        <v/>
      </c>
      <c r="AN32" s="13">
        <f>AM65</f>
        <v/>
      </c>
      <c r="AO32" s="13">
        <f>AN65</f>
        <v/>
      </c>
      <c r="AP32" s="13">
        <f>AO65</f>
        <v/>
      </c>
      <c r="AQ32" s="13">
        <f>AP65</f>
        <v/>
      </c>
      <c r="AR32" s="13">
        <f>AQ65</f>
        <v/>
      </c>
      <c r="AS32" s="13">
        <f>AR65</f>
        <v/>
      </c>
      <c r="AT32" s="13">
        <f>AS65</f>
        <v/>
      </c>
      <c r="AU32" s="13">
        <f>AT65</f>
        <v/>
      </c>
      <c r="AV32" s="13">
        <f>AU65</f>
        <v/>
      </c>
      <c r="AW32" s="13">
        <f>AV65</f>
        <v/>
      </c>
      <c r="AX32" s="13">
        <f>AW65</f>
        <v/>
      </c>
      <c r="AY32" s="13">
        <f>AX65</f>
        <v/>
      </c>
      <c r="AZ32" s="13">
        <f>AY65</f>
        <v/>
      </c>
      <c r="BA32" s="13">
        <f>AZ65</f>
        <v/>
      </c>
      <c r="BB32" s="13">
        <f>BA65</f>
        <v/>
      </c>
      <c r="BC32" s="13">
        <f>BB65</f>
        <v/>
      </c>
      <c r="BD32" s="13">
        <f>BC65</f>
        <v/>
      </c>
      <c r="BE32" s="13">
        <f>BD65</f>
        <v/>
      </c>
      <c r="BF32" s="13">
        <f>BE65</f>
        <v/>
      </c>
      <c r="BG32" s="13">
        <f>BF65</f>
        <v/>
      </c>
      <c r="BH32" s="13">
        <f>BG65</f>
        <v/>
      </c>
      <c r="BI32" s="13">
        <f>BH65</f>
        <v/>
      </c>
      <c r="BJ32" s="13">
        <f>BI65</f>
        <v/>
      </c>
    </row>
    <row r="33">
      <c r="D33" t="inlineStr">
        <is>
          <t>ECA-covered tranche: interest</t>
        </is>
      </c>
      <c r="E33" t="inlineStr">
        <is>
          <t>USD m</t>
        </is>
      </c>
      <c r="G33" s="13">
        <f>SUM(J33:BJ33)</f>
        <v/>
      </c>
      <c r="J33" s="13">
        <f>Construction!J14*J28*(Construction!J17+Inputs!$F$79)/100*Construction!J11/Inputs!$F$247*1</f>
        <v/>
      </c>
      <c r="K33" s="13">
        <f>Construction!K14*K28*(Construction!K17+Inputs!$F$79)/100*Construction!K11/Inputs!$F$247*1</f>
        <v/>
      </c>
      <c r="L33" s="13">
        <f>Construction!L14*L28*(Construction!L17+Inputs!$F$79)/100*Construction!L11/Inputs!$F$247*1</f>
        <v/>
      </c>
      <c r="M33" s="13">
        <f>Construction!M14*M28*(Construction!M17+Inputs!$F$79)/100*Construction!M11/Inputs!$F$247*1</f>
        <v/>
      </c>
      <c r="N33" s="13">
        <f>Construction!N14*N28*(Construction!N17+Inputs!$F$79)/100*Construction!N11/Inputs!$F$247*1</f>
        <v/>
      </c>
      <c r="O33" s="13">
        <f>Construction!O14*O28*(Construction!O17+Inputs!$F$79)/100*Construction!O11/Inputs!$F$247*1</f>
        <v/>
      </c>
      <c r="P33" s="13">
        <f>Construction!P14*P28*(Construction!P17+Inputs!$F$79)/100*Construction!P11/Inputs!$F$247*1</f>
        <v/>
      </c>
      <c r="Q33" s="13">
        <f>Construction!Q14*Q28*(Construction!Q17+Inputs!$F$79)/100*Construction!Q11/Inputs!$F$247*1</f>
        <v/>
      </c>
      <c r="R33" s="13">
        <f>Construction!R14*R28*(Construction!R17+Inputs!$F$79)/100*Construction!R11/Inputs!$F$247*1</f>
        <v/>
      </c>
      <c r="S33" s="13">
        <f>Construction!S14*S28*(Construction!S17+Inputs!$F$79)/100*Construction!S11/Inputs!$F$247*1</f>
        <v/>
      </c>
      <c r="T33" s="13">
        <f>Construction!T14*T28*(Construction!T17+Inputs!$F$79)/100*Construction!T11/Inputs!$F$247*1</f>
        <v/>
      </c>
      <c r="U33" s="13">
        <f>Construction!U14*U28*(Construction!U17+Inputs!$F$79)/100*Construction!U11/Inputs!$F$247*1</f>
        <v/>
      </c>
      <c r="V33" s="13">
        <f>Construction!V14*V28*(Construction!V17+Inputs!$F$79)/100*Construction!V11/Inputs!$F$247*1</f>
        <v/>
      </c>
      <c r="W33" s="13">
        <f>Construction!W14*W28*(Construction!W17+Inputs!$F$79)/100*Construction!W11/Inputs!$F$247*1</f>
        <v/>
      </c>
      <c r="X33" s="13">
        <f>Construction!X14*X28*(Construction!X17+Inputs!$F$79)/100*Construction!X11/Inputs!$F$247*1</f>
        <v/>
      </c>
      <c r="Y33" s="13">
        <f>Construction!Y14*Y28*(Construction!Y17+Inputs!$F$79)/100*Construction!Y11/Inputs!$F$247*1</f>
        <v/>
      </c>
      <c r="Z33" s="13">
        <f>Construction!Z14*Z28*(Construction!Z17+Inputs!$F$79)/100*Construction!Z11/Inputs!$F$247*1</f>
        <v/>
      </c>
      <c r="AA33" s="13">
        <f>Construction!AA14*AA28*(Construction!AA17+Inputs!$F$79)/100*Construction!AA11/Inputs!$F$247*1</f>
        <v/>
      </c>
      <c r="AB33" s="13">
        <f>Construction!AB14*AB28*(Construction!AB17+Inputs!$F$79)/100*Construction!AB11/Inputs!$F$247*1</f>
        <v/>
      </c>
      <c r="AC33" s="13">
        <f>Construction!AC14*AC28*(Construction!AC17+Inputs!$F$79)/100*Construction!AC11/Inputs!$F$247*1</f>
        <v/>
      </c>
      <c r="AD33" s="13">
        <f>Construction!AD14*AD28*(Construction!AD17+Inputs!$F$79)/100*Construction!AD11/Inputs!$F$247*1</f>
        <v/>
      </c>
      <c r="AE33" s="13">
        <f>Construction!AE14*AE28*(Construction!AE17+Inputs!$F$79)/100*Construction!AE11/Inputs!$F$247*1</f>
        <v/>
      </c>
      <c r="AF33" s="13">
        <f>Construction!AF14*AF28*(Construction!AF17+Inputs!$F$79)/100*Construction!AF11/Inputs!$F$247*1</f>
        <v/>
      </c>
      <c r="AG33" s="13">
        <f>Construction!AG14*AG28*(Construction!AG17+Inputs!$F$79)/100*Construction!AG11/Inputs!$F$247*1</f>
        <v/>
      </c>
      <c r="AH33" s="13">
        <f>Construction!AH14*AH28*(Construction!AH17+Inputs!$F$79)/100*Construction!AH11/Inputs!$F$247*1</f>
        <v/>
      </c>
      <c r="AI33" s="13">
        <f>Construction!AI14*AI28*(Construction!AI17+Inputs!$F$79)/100*Construction!AI11/Inputs!$F$247*1</f>
        <v/>
      </c>
      <c r="AJ33" s="13">
        <f>Construction!AJ14*AJ28*(Construction!AJ17+Inputs!$F$79)/100*Construction!AJ11/Inputs!$F$247*1</f>
        <v/>
      </c>
      <c r="AK33" s="13">
        <f>Construction!AK14*AK28*(Construction!AK17+Inputs!$F$79)/100*Construction!AK11/Inputs!$F$247*1</f>
        <v/>
      </c>
      <c r="AL33" s="13">
        <f>Construction!AL14*AL28*(Construction!AL17+Inputs!$F$79)/100*Construction!AL11/Inputs!$F$247*1</f>
        <v/>
      </c>
      <c r="AM33" s="13">
        <f>Construction!AM14*AM28*(Construction!AM17+Inputs!$F$79)/100*Construction!AM11/Inputs!$F$247*1</f>
        <v/>
      </c>
      <c r="AN33" s="13">
        <f>Construction!AN14*AN28*(Construction!AN17+Inputs!$F$79)/100*Construction!AN11/Inputs!$F$247*1</f>
        <v/>
      </c>
      <c r="AO33" s="13">
        <f>Construction!AO14*AO28*(Construction!AO17+Inputs!$F$79)/100*Construction!AO11/Inputs!$F$247*1</f>
        <v/>
      </c>
      <c r="AP33" s="13">
        <f>Construction!AP14*AP28*(Construction!AP17+Inputs!$F$79)/100*Construction!AP11/Inputs!$F$247*1</f>
        <v/>
      </c>
      <c r="AQ33" s="13">
        <f>Construction!AQ14*AQ28*(Construction!AQ17+Inputs!$F$79)/100*Construction!AQ11/Inputs!$F$247*1</f>
        <v/>
      </c>
      <c r="AR33" s="13">
        <f>Construction!AR14*AR28*(Construction!AR17+Inputs!$F$79)/100*Construction!AR11/Inputs!$F$247*1</f>
        <v/>
      </c>
      <c r="AS33" s="13">
        <f>Construction!AS14*AS28*(Construction!AS17+Inputs!$F$79)/100*Construction!AS11/Inputs!$F$247*1</f>
        <v/>
      </c>
      <c r="AT33" s="13">
        <f>Construction!AT14*AT28*(Construction!AT17+Inputs!$F$79)/100*Construction!AT11/Inputs!$F$247*1</f>
        <v/>
      </c>
      <c r="AU33" s="13">
        <f>Construction!AU14*AU28*(Construction!AU17+Inputs!$F$79)/100*Construction!AU11/Inputs!$F$247*1</f>
        <v/>
      </c>
      <c r="AV33" s="13">
        <f>Construction!AV14*AV28*(Construction!AV17+Inputs!$F$79)/100*Construction!AV11/Inputs!$F$247*1</f>
        <v/>
      </c>
      <c r="AW33" s="13">
        <f>Construction!AW14*AW28*(Construction!AW17+Inputs!$F$79)/100*Construction!AW11/Inputs!$F$247*1</f>
        <v/>
      </c>
      <c r="AX33" s="13">
        <f>Construction!AX14*AX28*(Construction!AX17+Inputs!$F$79)/100*Construction!AX11/Inputs!$F$247*1</f>
        <v/>
      </c>
      <c r="AY33" s="13">
        <f>Construction!AY14*AY28*(Construction!AY17+Inputs!$F$79)/100*Construction!AY11/Inputs!$F$247*1</f>
        <v/>
      </c>
      <c r="AZ33" s="13">
        <f>Construction!AZ14*AZ28*(Construction!AZ17+Inputs!$F$79)/100*Construction!AZ11/Inputs!$F$247*1</f>
        <v/>
      </c>
      <c r="BA33" s="13">
        <f>Construction!BA14*BA28*(Construction!BA17+Inputs!$F$79)/100*Construction!BA11/Inputs!$F$247*1</f>
        <v/>
      </c>
      <c r="BB33" s="13">
        <f>Construction!BB14*BB28*(Construction!BB17+Inputs!$F$79)/100*Construction!BB11/Inputs!$F$247*1</f>
        <v/>
      </c>
      <c r="BC33" s="13">
        <f>Construction!BC14*BC28*(Construction!BC17+Inputs!$F$79)/100*Construction!BC11/Inputs!$F$247*1</f>
        <v/>
      </c>
      <c r="BD33" s="13">
        <f>Construction!BD14*BD28*(Construction!BD17+Inputs!$F$79)/100*Construction!BD11/Inputs!$F$247*1</f>
        <v/>
      </c>
      <c r="BE33" s="13">
        <f>Construction!BE14*BE28*(Construction!BE17+Inputs!$F$79)/100*Construction!BE11/Inputs!$F$247*1</f>
        <v/>
      </c>
      <c r="BF33" s="13">
        <f>Construction!BF14*BF28*(Construction!BF17+Inputs!$F$79)/100*Construction!BF11/Inputs!$F$247*1</f>
        <v/>
      </c>
      <c r="BG33" s="13">
        <f>Construction!BG14*BG28*(Construction!BG17+Inputs!$F$79)/100*Construction!BG11/Inputs!$F$247*1</f>
        <v/>
      </c>
      <c r="BH33" s="13">
        <f>Construction!BH14*BH28*(Construction!BH17+Inputs!$F$79)/100*Construction!BH11/Inputs!$F$247*1</f>
        <v/>
      </c>
      <c r="BI33" s="13">
        <f>Construction!BI14*BI28*(Construction!BI17+Inputs!$F$79)/100*Construction!BI11/Inputs!$F$247*1</f>
        <v/>
      </c>
      <c r="BJ33" s="13">
        <f>Construction!BJ14*BJ28*(Construction!BJ17+Inputs!$F$79)/100*Construction!BJ11/Inputs!$F$247*1</f>
        <v/>
      </c>
    </row>
    <row r="34">
      <c r="D34" t="inlineStr">
        <is>
          <t>ABDB A-loan: interest</t>
        </is>
      </c>
      <c r="E34" t="inlineStr">
        <is>
          <t>USD m</t>
        </is>
      </c>
      <c r="G34" s="13">
        <f>SUM(J34:BJ34)</f>
        <v/>
      </c>
      <c r="J34" s="13">
        <f>Construction!J14*J29*(Construction!J17+Inputs!$F$80)/100*Construction!J11/Inputs!$F$247*1</f>
        <v/>
      </c>
      <c r="K34" s="13">
        <f>Construction!K14*K29*(Construction!K17+Inputs!$F$80)/100*Construction!K11/Inputs!$F$247*1</f>
        <v/>
      </c>
      <c r="L34" s="13">
        <f>Construction!L14*L29*(Construction!L17+Inputs!$F$80)/100*Construction!L11/Inputs!$F$247*1</f>
        <v/>
      </c>
      <c r="M34" s="13">
        <f>Construction!M14*M29*(Construction!M17+Inputs!$F$80)/100*Construction!M11/Inputs!$F$247*1</f>
        <v/>
      </c>
      <c r="N34" s="13">
        <f>Construction!N14*N29*(Construction!N17+Inputs!$F$80)/100*Construction!N11/Inputs!$F$247*1</f>
        <v/>
      </c>
      <c r="O34" s="13">
        <f>Construction!O14*O29*(Construction!O17+Inputs!$F$80)/100*Construction!O11/Inputs!$F$247*1</f>
        <v/>
      </c>
      <c r="P34" s="13">
        <f>Construction!P14*P29*(Construction!P17+Inputs!$F$80)/100*Construction!P11/Inputs!$F$247*1</f>
        <v/>
      </c>
      <c r="Q34" s="13">
        <f>Construction!Q14*Q29*(Construction!Q17+Inputs!$F$80)/100*Construction!Q11/Inputs!$F$247*1</f>
        <v/>
      </c>
      <c r="R34" s="13">
        <f>Construction!R14*R29*(Construction!R17+Inputs!$F$80)/100*Construction!R11/Inputs!$F$247*1</f>
        <v/>
      </c>
      <c r="S34" s="13">
        <f>Construction!S14*S29*(Construction!S17+Inputs!$F$80)/100*Construction!S11/Inputs!$F$247*1</f>
        <v/>
      </c>
      <c r="T34" s="13">
        <f>Construction!T14*T29*(Construction!T17+Inputs!$F$80)/100*Construction!T11/Inputs!$F$247*1</f>
        <v/>
      </c>
      <c r="U34" s="13">
        <f>Construction!U14*U29*(Construction!U17+Inputs!$F$80)/100*Construction!U11/Inputs!$F$247*1</f>
        <v/>
      </c>
      <c r="V34" s="13">
        <f>Construction!V14*V29*(Construction!V17+Inputs!$F$80)/100*Construction!V11/Inputs!$F$247*1</f>
        <v/>
      </c>
      <c r="W34" s="13">
        <f>Construction!W14*W29*(Construction!W17+Inputs!$F$80)/100*Construction!W11/Inputs!$F$247*1</f>
        <v/>
      </c>
      <c r="X34" s="13">
        <f>Construction!X14*X29*(Construction!X17+Inputs!$F$80)/100*Construction!X11/Inputs!$F$247*1</f>
        <v/>
      </c>
      <c r="Y34" s="13">
        <f>Construction!Y14*Y29*(Construction!Y17+Inputs!$F$80)/100*Construction!Y11/Inputs!$F$247*1</f>
        <v/>
      </c>
      <c r="Z34" s="13">
        <f>Construction!Z14*Z29*(Construction!Z17+Inputs!$F$80)/100*Construction!Z11/Inputs!$F$247*1</f>
        <v/>
      </c>
      <c r="AA34" s="13">
        <f>Construction!AA14*AA29*(Construction!AA17+Inputs!$F$80)/100*Construction!AA11/Inputs!$F$247*1</f>
        <v/>
      </c>
      <c r="AB34" s="13">
        <f>Construction!AB14*AB29*(Construction!AB17+Inputs!$F$80)/100*Construction!AB11/Inputs!$F$247*1</f>
        <v/>
      </c>
      <c r="AC34" s="13">
        <f>Construction!AC14*AC29*(Construction!AC17+Inputs!$F$80)/100*Construction!AC11/Inputs!$F$247*1</f>
        <v/>
      </c>
      <c r="AD34" s="13">
        <f>Construction!AD14*AD29*(Construction!AD17+Inputs!$F$80)/100*Construction!AD11/Inputs!$F$247*1</f>
        <v/>
      </c>
      <c r="AE34" s="13">
        <f>Construction!AE14*AE29*(Construction!AE17+Inputs!$F$80)/100*Construction!AE11/Inputs!$F$247*1</f>
        <v/>
      </c>
      <c r="AF34" s="13">
        <f>Construction!AF14*AF29*(Construction!AF17+Inputs!$F$80)/100*Construction!AF11/Inputs!$F$247*1</f>
        <v/>
      </c>
      <c r="AG34" s="13">
        <f>Construction!AG14*AG29*(Construction!AG17+Inputs!$F$80)/100*Construction!AG11/Inputs!$F$247*1</f>
        <v/>
      </c>
      <c r="AH34" s="13">
        <f>Construction!AH14*AH29*(Construction!AH17+Inputs!$F$80)/100*Construction!AH11/Inputs!$F$247*1</f>
        <v/>
      </c>
      <c r="AI34" s="13">
        <f>Construction!AI14*AI29*(Construction!AI17+Inputs!$F$80)/100*Construction!AI11/Inputs!$F$247*1</f>
        <v/>
      </c>
      <c r="AJ34" s="13">
        <f>Construction!AJ14*AJ29*(Construction!AJ17+Inputs!$F$80)/100*Construction!AJ11/Inputs!$F$247*1</f>
        <v/>
      </c>
      <c r="AK34" s="13">
        <f>Construction!AK14*AK29*(Construction!AK17+Inputs!$F$80)/100*Construction!AK11/Inputs!$F$247*1</f>
        <v/>
      </c>
      <c r="AL34" s="13">
        <f>Construction!AL14*AL29*(Construction!AL17+Inputs!$F$80)/100*Construction!AL11/Inputs!$F$247*1</f>
        <v/>
      </c>
      <c r="AM34" s="13">
        <f>Construction!AM14*AM29*(Construction!AM17+Inputs!$F$80)/100*Construction!AM11/Inputs!$F$247*1</f>
        <v/>
      </c>
      <c r="AN34" s="13">
        <f>Construction!AN14*AN29*(Construction!AN17+Inputs!$F$80)/100*Construction!AN11/Inputs!$F$247*1</f>
        <v/>
      </c>
      <c r="AO34" s="13">
        <f>Construction!AO14*AO29*(Construction!AO17+Inputs!$F$80)/100*Construction!AO11/Inputs!$F$247*1</f>
        <v/>
      </c>
      <c r="AP34" s="13">
        <f>Construction!AP14*AP29*(Construction!AP17+Inputs!$F$80)/100*Construction!AP11/Inputs!$F$247*1</f>
        <v/>
      </c>
      <c r="AQ34" s="13">
        <f>Construction!AQ14*AQ29*(Construction!AQ17+Inputs!$F$80)/100*Construction!AQ11/Inputs!$F$247*1</f>
        <v/>
      </c>
      <c r="AR34" s="13">
        <f>Construction!AR14*AR29*(Construction!AR17+Inputs!$F$80)/100*Construction!AR11/Inputs!$F$247*1</f>
        <v/>
      </c>
      <c r="AS34" s="13">
        <f>Construction!AS14*AS29*(Construction!AS17+Inputs!$F$80)/100*Construction!AS11/Inputs!$F$247*1</f>
        <v/>
      </c>
      <c r="AT34" s="13">
        <f>Construction!AT14*AT29*(Construction!AT17+Inputs!$F$80)/100*Construction!AT11/Inputs!$F$247*1</f>
        <v/>
      </c>
      <c r="AU34" s="13">
        <f>Construction!AU14*AU29*(Construction!AU17+Inputs!$F$80)/100*Construction!AU11/Inputs!$F$247*1</f>
        <v/>
      </c>
      <c r="AV34" s="13">
        <f>Construction!AV14*AV29*(Construction!AV17+Inputs!$F$80)/100*Construction!AV11/Inputs!$F$247*1</f>
        <v/>
      </c>
      <c r="AW34" s="13">
        <f>Construction!AW14*AW29*(Construction!AW17+Inputs!$F$80)/100*Construction!AW11/Inputs!$F$247*1</f>
        <v/>
      </c>
      <c r="AX34" s="13">
        <f>Construction!AX14*AX29*(Construction!AX17+Inputs!$F$80)/100*Construction!AX11/Inputs!$F$247*1</f>
        <v/>
      </c>
      <c r="AY34" s="13">
        <f>Construction!AY14*AY29*(Construction!AY17+Inputs!$F$80)/100*Construction!AY11/Inputs!$F$247*1</f>
        <v/>
      </c>
      <c r="AZ34" s="13">
        <f>Construction!AZ14*AZ29*(Construction!AZ17+Inputs!$F$80)/100*Construction!AZ11/Inputs!$F$247*1</f>
        <v/>
      </c>
      <c r="BA34" s="13">
        <f>Construction!BA14*BA29*(Construction!BA17+Inputs!$F$80)/100*Construction!BA11/Inputs!$F$247*1</f>
        <v/>
      </c>
      <c r="BB34" s="13">
        <f>Construction!BB14*BB29*(Construction!BB17+Inputs!$F$80)/100*Construction!BB11/Inputs!$F$247*1</f>
        <v/>
      </c>
      <c r="BC34" s="13">
        <f>Construction!BC14*BC29*(Construction!BC17+Inputs!$F$80)/100*Construction!BC11/Inputs!$F$247*1</f>
        <v/>
      </c>
      <c r="BD34" s="13">
        <f>Construction!BD14*BD29*(Construction!BD17+Inputs!$F$80)/100*Construction!BD11/Inputs!$F$247*1</f>
        <v/>
      </c>
      <c r="BE34" s="13">
        <f>Construction!BE14*BE29*(Construction!BE17+Inputs!$F$80)/100*Construction!BE11/Inputs!$F$247*1</f>
        <v/>
      </c>
      <c r="BF34" s="13">
        <f>Construction!BF14*BF29*(Construction!BF17+Inputs!$F$80)/100*Construction!BF11/Inputs!$F$247*1</f>
        <v/>
      </c>
      <c r="BG34" s="13">
        <f>Construction!BG14*BG29*(Construction!BG17+Inputs!$F$80)/100*Construction!BG11/Inputs!$F$247*1</f>
        <v/>
      </c>
      <c r="BH34" s="13">
        <f>Construction!BH14*BH29*(Construction!BH17+Inputs!$F$80)/100*Construction!BH11/Inputs!$F$247*1</f>
        <v/>
      </c>
      <c r="BI34" s="13">
        <f>Construction!BI14*BI29*(Construction!BI17+Inputs!$F$80)/100*Construction!BI11/Inputs!$F$247*1</f>
        <v/>
      </c>
      <c r="BJ34" s="13">
        <f>Construction!BJ14*BJ29*(Construction!BJ17+Inputs!$F$80)/100*Construction!BJ11/Inputs!$F$247*1</f>
        <v/>
      </c>
    </row>
    <row r="35">
      <c r="D35" t="inlineStr">
        <is>
          <t>ABDB B-loan: interest</t>
        </is>
      </c>
      <c r="E35" t="inlineStr">
        <is>
          <t>USD m</t>
        </is>
      </c>
      <c r="G35" s="13">
        <f>SUM(J35:BJ35)</f>
        <v/>
      </c>
      <c r="J35" s="13">
        <f>Construction!J14*J30*(Construction!J17+Inputs!$F$81)/100*Construction!J11/Inputs!$F$247*1</f>
        <v/>
      </c>
      <c r="K35" s="13">
        <f>Construction!K14*K30*(Construction!K17+Inputs!$F$81)/100*Construction!K11/Inputs!$F$247*1</f>
        <v/>
      </c>
      <c r="L35" s="13">
        <f>Construction!L14*L30*(Construction!L17+Inputs!$F$81)/100*Construction!L11/Inputs!$F$247*1</f>
        <v/>
      </c>
      <c r="M35" s="13">
        <f>Construction!M14*M30*(Construction!M17+Inputs!$F$81)/100*Construction!M11/Inputs!$F$247*1</f>
        <v/>
      </c>
      <c r="N35" s="13">
        <f>Construction!N14*N30*(Construction!N17+Inputs!$F$81)/100*Construction!N11/Inputs!$F$247*1</f>
        <v/>
      </c>
      <c r="O35" s="13">
        <f>Construction!O14*O30*(Construction!O17+Inputs!$F$81)/100*Construction!O11/Inputs!$F$247*1</f>
        <v/>
      </c>
      <c r="P35" s="13">
        <f>Construction!P14*P30*(Construction!P17+Inputs!$F$81)/100*Construction!P11/Inputs!$F$247*1</f>
        <v/>
      </c>
      <c r="Q35" s="13">
        <f>Construction!Q14*Q30*(Construction!Q17+Inputs!$F$81)/100*Construction!Q11/Inputs!$F$247*1</f>
        <v/>
      </c>
      <c r="R35" s="13">
        <f>Construction!R14*R30*(Construction!R17+Inputs!$F$81)/100*Construction!R11/Inputs!$F$247*1</f>
        <v/>
      </c>
      <c r="S35" s="13">
        <f>Construction!S14*S30*(Construction!S17+Inputs!$F$81)/100*Construction!S11/Inputs!$F$247*1</f>
        <v/>
      </c>
      <c r="T35" s="13">
        <f>Construction!T14*T30*(Construction!T17+Inputs!$F$81)/100*Construction!T11/Inputs!$F$247*1</f>
        <v/>
      </c>
      <c r="U35" s="13">
        <f>Construction!U14*U30*(Construction!U17+Inputs!$F$81)/100*Construction!U11/Inputs!$F$247*1</f>
        <v/>
      </c>
      <c r="V35" s="13">
        <f>Construction!V14*V30*(Construction!V17+Inputs!$F$81)/100*Construction!V11/Inputs!$F$247*1</f>
        <v/>
      </c>
      <c r="W35" s="13">
        <f>Construction!W14*W30*(Construction!W17+Inputs!$F$81)/100*Construction!W11/Inputs!$F$247*1</f>
        <v/>
      </c>
      <c r="X35" s="13">
        <f>Construction!X14*X30*(Construction!X17+Inputs!$F$81)/100*Construction!X11/Inputs!$F$247*1</f>
        <v/>
      </c>
      <c r="Y35" s="13">
        <f>Construction!Y14*Y30*(Construction!Y17+Inputs!$F$81)/100*Construction!Y11/Inputs!$F$247*1</f>
        <v/>
      </c>
      <c r="Z35" s="13">
        <f>Construction!Z14*Z30*(Construction!Z17+Inputs!$F$81)/100*Construction!Z11/Inputs!$F$247*1</f>
        <v/>
      </c>
      <c r="AA35" s="13">
        <f>Construction!AA14*AA30*(Construction!AA17+Inputs!$F$81)/100*Construction!AA11/Inputs!$F$247*1</f>
        <v/>
      </c>
      <c r="AB35" s="13">
        <f>Construction!AB14*AB30*(Construction!AB17+Inputs!$F$81)/100*Construction!AB11/Inputs!$F$247*1</f>
        <v/>
      </c>
      <c r="AC35" s="13">
        <f>Construction!AC14*AC30*(Construction!AC17+Inputs!$F$81)/100*Construction!AC11/Inputs!$F$247*1</f>
        <v/>
      </c>
      <c r="AD35" s="13">
        <f>Construction!AD14*AD30*(Construction!AD17+Inputs!$F$81)/100*Construction!AD11/Inputs!$F$247*1</f>
        <v/>
      </c>
      <c r="AE35" s="13">
        <f>Construction!AE14*AE30*(Construction!AE17+Inputs!$F$81)/100*Construction!AE11/Inputs!$F$247*1</f>
        <v/>
      </c>
      <c r="AF35" s="13">
        <f>Construction!AF14*AF30*(Construction!AF17+Inputs!$F$81)/100*Construction!AF11/Inputs!$F$247*1</f>
        <v/>
      </c>
      <c r="AG35" s="13">
        <f>Construction!AG14*AG30*(Construction!AG17+Inputs!$F$81)/100*Construction!AG11/Inputs!$F$247*1</f>
        <v/>
      </c>
      <c r="AH35" s="13">
        <f>Construction!AH14*AH30*(Construction!AH17+Inputs!$F$81)/100*Construction!AH11/Inputs!$F$247*1</f>
        <v/>
      </c>
      <c r="AI35" s="13">
        <f>Construction!AI14*AI30*(Construction!AI17+Inputs!$F$81)/100*Construction!AI11/Inputs!$F$247*1</f>
        <v/>
      </c>
      <c r="AJ35" s="13">
        <f>Construction!AJ14*AJ30*(Construction!AJ17+Inputs!$F$81)/100*Construction!AJ11/Inputs!$F$247*1</f>
        <v/>
      </c>
      <c r="AK35" s="13">
        <f>Construction!AK14*AK30*(Construction!AK17+Inputs!$F$81)/100*Construction!AK11/Inputs!$F$247*1</f>
        <v/>
      </c>
      <c r="AL35" s="13">
        <f>Construction!AL14*AL30*(Construction!AL17+Inputs!$F$81)/100*Construction!AL11/Inputs!$F$247*1</f>
        <v/>
      </c>
      <c r="AM35" s="13">
        <f>Construction!AM14*AM30*(Construction!AM17+Inputs!$F$81)/100*Construction!AM11/Inputs!$F$247*1</f>
        <v/>
      </c>
      <c r="AN35" s="13">
        <f>Construction!AN14*AN30*(Construction!AN17+Inputs!$F$81)/100*Construction!AN11/Inputs!$F$247*1</f>
        <v/>
      </c>
      <c r="AO35" s="13">
        <f>Construction!AO14*AO30*(Construction!AO17+Inputs!$F$81)/100*Construction!AO11/Inputs!$F$247*1</f>
        <v/>
      </c>
      <c r="AP35" s="13">
        <f>Construction!AP14*AP30*(Construction!AP17+Inputs!$F$81)/100*Construction!AP11/Inputs!$F$247*1</f>
        <v/>
      </c>
      <c r="AQ35" s="13">
        <f>Construction!AQ14*AQ30*(Construction!AQ17+Inputs!$F$81)/100*Construction!AQ11/Inputs!$F$247*1</f>
        <v/>
      </c>
      <c r="AR35" s="13">
        <f>Construction!AR14*AR30*(Construction!AR17+Inputs!$F$81)/100*Construction!AR11/Inputs!$F$247*1</f>
        <v/>
      </c>
      <c r="AS35" s="13">
        <f>Construction!AS14*AS30*(Construction!AS17+Inputs!$F$81)/100*Construction!AS11/Inputs!$F$247*1</f>
        <v/>
      </c>
      <c r="AT35" s="13">
        <f>Construction!AT14*AT30*(Construction!AT17+Inputs!$F$81)/100*Construction!AT11/Inputs!$F$247*1</f>
        <v/>
      </c>
      <c r="AU35" s="13">
        <f>Construction!AU14*AU30*(Construction!AU17+Inputs!$F$81)/100*Construction!AU11/Inputs!$F$247*1</f>
        <v/>
      </c>
      <c r="AV35" s="13">
        <f>Construction!AV14*AV30*(Construction!AV17+Inputs!$F$81)/100*Construction!AV11/Inputs!$F$247*1</f>
        <v/>
      </c>
      <c r="AW35" s="13">
        <f>Construction!AW14*AW30*(Construction!AW17+Inputs!$F$81)/100*Construction!AW11/Inputs!$F$247*1</f>
        <v/>
      </c>
      <c r="AX35" s="13">
        <f>Construction!AX14*AX30*(Construction!AX17+Inputs!$F$81)/100*Construction!AX11/Inputs!$F$247*1</f>
        <v/>
      </c>
      <c r="AY35" s="13">
        <f>Construction!AY14*AY30*(Construction!AY17+Inputs!$F$81)/100*Construction!AY11/Inputs!$F$247*1</f>
        <v/>
      </c>
      <c r="AZ35" s="13">
        <f>Construction!AZ14*AZ30*(Construction!AZ17+Inputs!$F$81)/100*Construction!AZ11/Inputs!$F$247*1</f>
        <v/>
      </c>
      <c r="BA35" s="13">
        <f>Construction!BA14*BA30*(Construction!BA17+Inputs!$F$81)/100*Construction!BA11/Inputs!$F$247*1</f>
        <v/>
      </c>
      <c r="BB35" s="13">
        <f>Construction!BB14*BB30*(Construction!BB17+Inputs!$F$81)/100*Construction!BB11/Inputs!$F$247*1</f>
        <v/>
      </c>
      <c r="BC35" s="13">
        <f>Construction!BC14*BC30*(Construction!BC17+Inputs!$F$81)/100*Construction!BC11/Inputs!$F$247*1</f>
        <v/>
      </c>
      <c r="BD35" s="13">
        <f>Construction!BD14*BD30*(Construction!BD17+Inputs!$F$81)/100*Construction!BD11/Inputs!$F$247*1</f>
        <v/>
      </c>
      <c r="BE35" s="13">
        <f>Construction!BE14*BE30*(Construction!BE17+Inputs!$F$81)/100*Construction!BE11/Inputs!$F$247*1</f>
        <v/>
      </c>
      <c r="BF35" s="13">
        <f>Construction!BF14*BF30*(Construction!BF17+Inputs!$F$81)/100*Construction!BF11/Inputs!$F$247*1</f>
        <v/>
      </c>
      <c r="BG35" s="13">
        <f>Construction!BG14*BG30*(Construction!BG17+Inputs!$F$81)/100*Construction!BG11/Inputs!$F$247*1</f>
        <v/>
      </c>
      <c r="BH35" s="13">
        <f>Construction!BH14*BH30*(Construction!BH17+Inputs!$F$81)/100*Construction!BH11/Inputs!$F$247*1</f>
        <v/>
      </c>
      <c r="BI35" s="13">
        <f>Construction!BI14*BI30*(Construction!BI17+Inputs!$F$81)/100*Construction!BI11/Inputs!$F$247*1</f>
        <v/>
      </c>
      <c r="BJ35" s="13">
        <f>Construction!BJ14*BJ30*(Construction!BJ17+Inputs!$F$81)/100*Construction!BJ11/Inputs!$F$247*1</f>
        <v/>
      </c>
    </row>
    <row r="36">
      <c r="D36" t="inlineStr">
        <is>
          <t>Commercial tranche: interest</t>
        </is>
      </c>
      <c r="E36" t="inlineStr">
        <is>
          <t>USD m</t>
        </is>
      </c>
      <c r="G36" s="13">
        <f>SUM(J36:BJ36)</f>
        <v/>
      </c>
      <c r="J36" s="13">
        <f>Construction!J14*J31*(Construction!J17+Inputs!$F$82)/100*Construction!J11/Inputs!$F$247*(1/(1-Inputs!$F$93/100))</f>
        <v/>
      </c>
      <c r="K36" s="13">
        <f>Construction!K14*K31*(Construction!K17+Inputs!$F$82)/100*Construction!K11/Inputs!$F$247*(1/(1-Inputs!$F$93/100))</f>
        <v/>
      </c>
      <c r="L36" s="13">
        <f>Construction!L14*L31*(Construction!L17+Inputs!$F$82)/100*Construction!L11/Inputs!$F$247*(1/(1-Inputs!$F$93/100))</f>
        <v/>
      </c>
      <c r="M36" s="13">
        <f>Construction!M14*M31*(Construction!M17+Inputs!$F$82)/100*Construction!M11/Inputs!$F$247*(1/(1-Inputs!$F$93/100))</f>
        <v/>
      </c>
      <c r="N36" s="13">
        <f>Construction!N14*N31*(Construction!N17+Inputs!$F$82)/100*Construction!N11/Inputs!$F$247*(1/(1-Inputs!$F$93/100))</f>
        <v/>
      </c>
      <c r="O36" s="13">
        <f>Construction!O14*O31*(Construction!O17+Inputs!$F$82)/100*Construction!O11/Inputs!$F$247*(1/(1-Inputs!$F$93/100))</f>
        <v/>
      </c>
      <c r="P36" s="13">
        <f>Construction!P14*P31*(Construction!P17+Inputs!$F$82)/100*Construction!P11/Inputs!$F$247*(1/(1-Inputs!$F$93/100))</f>
        <v/>
      </c>
      <c r="Q36" s="13">
        <f>Construction!Q14*Q31*(Construction!Q17+Inputs!$F$82)/100*Construction!Q11/Inputs!$F$247*(1/(1-Inputs!$F$93/100))</f>
        <v/>
      </c>
      <c r="R36" s="13">
        <f>Construction!R14*R31*(Construction!R17+Inputs!$F$82)/100*Construction!R11/Inputs!$F$247*(1/(1-Inputs!$F$93/100))</f>
        <v/>
      </c>
      <c r="S36" s="13">
        <f>Construction!S14*S31*(Construction!S17+Inputs!$F$82)/100*Construction!S11/Inputs!$F$247*(1/(1-Inputs!$F$93/100))</f>
        <v/>
      </c>
      <c r="T36" s="13">
        <f>Construction!T14*T31*(Construction!T17+Inputs!$F$82)/100*Construction!T11/Inputs!$F$247*(1/(1-Inputs!$F$93/100))</f>
        <v/>
      </c>
      <c r="U36" s="13">
        <f>Construction!U14*U31*(Construction!U17+Inputs!$F$82)/100*Construction!U11/Inputs!$F$247*(1/(1-Inputs!$F$93/100))</f>
        <v/>
      </c>
      <c r="V36" s="13">
        <f>Construction!V14*V31*(Construction!V17+Inputs!$F$82)/100*Construction!V11/Inputs!$F$247*(1/(1-Inputs!$F$93/100))</f>
        <v/>
      </c>
      <c r="W36" s="13">
        <f>Construction!W14*W31*(Construction!W17+Inputs!$F$82)/100*Construction!W11/Inputs!$F$247*(1/(1-Inputs!$F$93/100))</f>
        <v/>
      </c>
      <c r="X36" s="13">
        <f>Construction!X14*X31*(Construction!X17+Inputs!$F$82)/100*Construction!X11/Inputs!$F$247*(1/(1-Inputs!$F$93/100))</f>
        <v/>
      </c>
      <c r="Y36" s="13">
        <f>Construction!Y14*Y31*(Construction!Y17+Inputs!$F$82)/100*Construction!Y11/Inputs!$F$247*(1/(1-Inputs!$F$93/100))</f>
        <v/>
      </c>
      <c r="Z36" s="13">
        <f>Construction!Z14*Z31*(Construction!Z17+Inputs!$F$82)/100*Construction!Z11/Inputs!$F$247*(1/(1-Inputs!$F$93/100))</f>
        <v/>
      </c>
      <c r="AA36" s="13">
        <f>Construction!AA14*AA31*(Construction!AA17+Inputs!$F$82)/100*Construction!AA11/Inputs!$F$247*(1/(1-Inputs!$F$93/100))</f>
        <v/>
      </c>
      <c r="AB36" s="13">
        <f>Construction!AB14*AB31*(Construction!AB17+Inputs!$F$82)/100*Construction!AB11/Inputs!$F$247*(1/(1-Inputs!$F$93/100))</f>
        <v/>
      </c>
      <c r="AC36" s="13">
        <f>Construction!AC14*AC31*(Construction!AC17+Inputs!$F$82)/100*Construction!AC11/Inputs!$F$247*(1/(1-Inputs!$F$93/100))</f>
        <v/>
      </c>
      <c r="AD36" s="13">
        <f>Construction!AD14*AD31*(Construction!AD17+Inputs!$F$82)/100*Construction!AD11/Inputs!$F$247*(1/(1-Inputs!$F$93/100))</f>
        <v/>
      </c>
      <c r="AE36" s="13">
        <f>Construction!AE14*AE31*(Construction!AE17+Inputs!$F$82)/100*Construction!AE11/Inputs!$F$247*(1/(1-Inputs!$F$93/100))</f>
        <v/>
      </c>
      <c r="AF36" s="13">
        <f>Construction!AF14*AF31*(Construction!AF17+Inputs!$F$82)/100*Construction!AF11/Inputs!$F$247*(1/(1-Inputs!$F$93/100))</f>
        <v/>
      </c>
      <c r="AG36" s="13">
        <f>Construction!AG14*AG31*(Construction!AG17+Inputs!$F$82)/100*Construction!AG11/Inputs!$F$247*(1/(1-Inputs!$F$93/100))</f>
        <v/>
      </c>
      <c r="AH36" s="13">
        <f>Construction!AH14*AH31*(Construction!AH17+Inputs!$F$82)/100*Construction!AH11/Inputs!$F$247*(1/(1-Inputs!$F$93/100))</f>
        <v/>
      </c>
      <c r="AI36" s="13">
        <f>Construction!AI14*AI31*(Construction!AI17+Inputs!$F$82)/100*Construction!AI11/Inputs!$F$247*(1/(1-Inputs!$F$93/100))</f>
        <v/>
      </c>
      <c r="AJ36" s="13">
        <f>Construction!AJ14*AJ31*(Construction!AJ17+Inputs!$F$82)/100*Construction!AJ11/Inputs!$F$247*(1/(1-Inputs!$F$93/100))</f>
        <v/>
      </c>
      <c r="AK36" s="13">
        <f>Construction!AK14*AK31*(Construction!AK17+Inputs!$F$82)/100*Construction!AK11/Inputs!$F$247*(1/(1-Inputs!$F$93/100))</f>
        <v/>
      </c>
      <c r="AL36" s="13">
        <f>Construction!AL14*AL31*(Construction!AL17+Inputs!$F$82)/100*Construction!AL11/Inputs!$F$247*(1/(1-Inputs!$F$93/100))</f>
        <v/>
      </c>
      <c r="AM36" s="13">
        <f>Construction!AM14*AM31*(Construction!AM17+Inputs!$F$82)/100*Construction!AM11/Inputs!$F$247*(1/(1-Inputs!$F$93/100))</f>
        <v/>
      </c>
      <c r="AN36" s="13">
        <f>Construction!AN14*AN31*(Construction!AN17+Inputs!$F$82)/100*Construction!AN11/Inputs!$F$247*(1/(1-Inputs!$F$93/100))</f>
        <v/>
      </c>
      <c r="AO36" s="13">
        <f>Construction!AO14*AO31*(Construction!AO17+Inputs!$F$82)/100*Construction!AO11/Inputs!$F$247*(1/(1-Inputs!$F$93/100))</f>
        <v/>
      </c>
      <c r="AP36" s="13">
        <f>Construction!AP14*AP31*(Construction!AP17+Inputs!$F$82)/100*Construction!AP11/Inputs!$F$247*(1/(1-Inputs!$F$93/100))</f>
        <v/>
      </c>
      <c r="AQ36" s="13">
        <f>Construction!AQ14*AQ31*(Construction!AQ17+Inputs!$F$82)/100*Construction!AQ11/Inputs!$F$247*(1/(1-Inputs!$F$93/100))</f>
        <v/>
      </c>
      <c r="AR36" s="13">
        <f>Construction!AR14*AR31*(Construction!AR17+Inputs!$F$82)/100*Construction!AR11/Inputs!$F$247*(1/(1-Inputs!$F$93/100))</f>
        <v/>
      </c>
      <c r="AS36" s="13">
        <f>Construction!AS14*AS31*(Construction!AS17+Inputs!$F$82)/100*Construction!AS11/Inputs!$F$247*(1/(1-Inputs!$F$93/100))</f>
        <v/>
      </c>
      <c r="AT36" s="13">
        <f>Construction!AT14*AT31*(Construction!AT17+Inputs!$F$82)/100*Construction!AT11/Inputs!$F$247*(1/(1-Inputs!$F$93/100))</f>
        <v/>
      </c>
      <c r="AU36" s="13">
        <f>Construction!AU14*AU31*(Construction!AU17+Inputs!$F$82)/100*Construction!AU11/Inputs!$F$247*(1/(1-Inputs!$F$93/100))</f>
        <v/>
      </c>
      <c r="AV36" s="13">
        <f>Construction!AV14*AV31*(Construction!AV17+Inputs!$F$82)/100*Construction!AV11/Inputs!$F$247*(1/(1-Inputs!$F$93/100))</f>
        <v/>
      </c>
      <c r="AW36" s="13">
        <f>Construction!AW14*AW31*(Construction!AW17+Inputs!$F$82)/100*Construction!AW11/Inputs!$F$247*(1/(1-Inputs!$F$93/100))</f>
        <v/>
      </c>
      <c r="AX36" s="13">
        <f>Construction!AX14*AX31*(Construction!AX17+Inputs!$F$82)/100*Construction!AX11/Inputs!$F$247*(1/(1-Inputs!$F$93/100))</f>
        <v/>
      </c>
      <c r="AY36" s="13">
        <f>Construction!AY14*AY31*(Construction!AY17+Inputs!$F$82)/100*Construction!AY11/Inputs!$F$247*(1/(1-Inputs!$F$93/100))</f>
        <v/>
      </c>
      <c r="AZ36" s="13">
        <f>Construction!AZ14*AZ31*(Construction!AZ17+Inputs!$F$82)/100*Construction!AZ11/Inputs!$F$247*(1/(1-Inputs!$F$93/100))</f>
        <v/>
      </c>
      <c r="BA36" s="13">
        <f>Construction!BA14*BA31*(Construction!BA17+Inputs!$F$82)/100*Construction!BA11/Inputs!$F$247*(1/(1-Inputs!$F$93/100))</f>
        <v/>
      </c>
      <c r="BB36" s="13">
        <f>Construction!BB14*BB31*(Construction!BB17+Inputs!$F$82)/100*Construction!BB11/Inputs!$F$247*(1/(1-Inputs!$F$93/100))</f>
        <v/>
      </c>
      <c r="BC36" s="13">
        <f>Construction!BC14*BC31*(Construction!BC17+Inputs!$F$82)/100*Construction!BC11/Inputs!$F$247*(1/(1-Inputs!$F$93/100))</f>
        <v/>
      </c>
      <c r="BD36" s="13">
        <f>Construction!BD14*BD31*(Construction!BD17+Inputs!$F$82)/100*Construction!BD11/Inputs!$F$247*(1/(1-Inputs!$F$93/100))</f>
        <v/>
      </c>
      <c r="BE36" s="13">
        <f>Construction!BE14*BE31*(Construction!BE17+Inputs!$F$82)/100*Construction!BE11/Inputs!$F$247*(1/(1-Inputs!$F$93/100))</f>
        <v/>
      </c>
      <c r="BF36" s="13">
        <f>Construction!BF14*BF31*(Construction!BF17+Inputs!$F$82)/100*Construction!BF11/Inputs!$F$247*(1/(1-Inputs!$F$93/100))</f>
        <v/>
      </c>
      <c r="BG36" s="13">
        <f>Construction!BG14*BG31*(Construction!BG17+Inputs!$F$82)/100*Construction!BG11/Inputs!$F$247*(1/(1-Inputs!$F$93/100))</f>
        <v/>
      </c>
      <c r="BH36" s="13">
        <f>Construction!BH14*BH31*(Construction!BH17+Inputs!$F$82)/100*Construction!BH11/Inputs!$F$247*(1/(1-Inputs!$F$93/100))</f>
        <v/>
      </c>
      <c r="BI36" s="13">
        <f>Construction!BI14*BI31*(Construction!BI17+Inputs!$F$82)/100*Construction!BI11/Inputs!$F$247*(1/(1-Inputs!$F$93/100))</f>
        <v/>
      </c>
      <c r="BJ36" s="13">
        <f>Construction!BJ14*BJ31*(Construction!BJ17+Inputs!$F$82)/100*Construction!BJ11/Inputs!$F$247*(1/(1-Inputs!$F$93/100))</f>
        <v/>
      </c>
    </row>
    <row r="37">
      <c r="D37" t="inlineStr">
        <is>
          <t>Standby facility: interest</t>
        </is>
      </c>
      <c r="E37" t="inlineStr">
        <is>
          <t>USD m</t>
        </is>
      </c>
      <c r="G37" s="13">
        <f>SUM(J37:BJ37)</f>
        <v/>
      </c>
      <c r="J37" s="13">
        <f>Construction!J14*J32*(Inputs!$F$102*(Construction!J17+Inputs!$F$82+Inputs!$F$101)/(1-Inputs!$F$93/100)+(1-Inputs!$F$102)*(Construction!J17+Inputs!$F$80+Inputs!$F$101))/100*Construction!J11/Inputs!$F$247</f>
        <v/>
      </c>
      <c r="K37" s="13">
        <f>Construction!K14*K32*(Inputs!$F$102*(Construction!K17+Inputs!$F$82+Inputs!$F$101)/(1-Inputs!$F$93/100)+(1-Inputs!$F$102)*(Construction!K17+Inputs!$F$80+Inputs!$F$101))/100*Construction!K11/Inputs!$F$247</f>
        <v/>
      </c>
      <c r="L37" s="13">
        <f>Construction!L14*L32*(Inputs!$F$102*(Construction!L17+Inputs!$F$82+Inputs!$F$101)/(1-Inputs!$F$93/100)+(1-Inputs!$F$102)*(Construction!L17+Inputs!$F$80+Inputs!$F$101))/100*Construction!L11/Inputs!$F$247</f>
        <v/>
      </c>
      <c r="M37" s="13">
        <f>Construction!M14*M32*(Inputs!$F$102*(Construction!M17+Inputs!$F$82+Inputs!$F$101)/(1-Inputs!$F$93/100)+(1-Inputs!$F$102)*(Construction!M17+Inputs!$F$80+Inputs!$F$101))/100*Construction!M11/Inputs!$F$247</f>
        <v/>
      </c>
      <c r="N37" s="13">
        <f>Construction!N14*N32*(Inputs!$F$102*(Construction!N17+Inputs!$F$82+Inputs!$F$101)/(1-Inputs!$F$93/100)+(1-Inputs!$F$102)*(Construction!N17+Inputs!$F$80+Inputs!$F$101))/100*Construction!N11/Inputs!$F$247</f>
        <v/>
      </c>
      <c r="O37" s="13">
        <f>Construction!O14*O32*(Inputs!$F$102*(Construction!O17+Inputs!$F$82+Inputs!$F$101)/(1-Inputs!$F$93/100)+(1-Inputs!$F$102)*(Construction!O17+Inputs!$F$80+Inputs!$F$101))/100*Construction!O11/Inputs!$F$247</f>
        <v/>
      </c>
      <c r="P37" s="13">
        <f>Construction!P14*P32*(Inputs!$F$102*(Construction!P17+Inputs!$F$82+Inputs!$F$101)/(1-Inputs!$F$93/100)+(1-Inputs!$F$102)*(Construction!P17+Inputs!$F$80+Inputs!$F$101))/100*Construction!P11/Inputs!$F$247</f>
        <v/>
      </c>
      <c r="Q37" s="13">
        <f>Construction!Q14*Q32*(Inputs!$F$102*(Construction!Q17+Inputs!$F$82+Inputs!$F$101)/(1-Inputs!$F$93/100)+(1-Inputs!$F$102)*(Construction!Q17+Inputs!$F$80+Inputs!$F$101))/100*Construction!Q11/Inputs!$F$247</f>
        <v/>
      </c>
      <c r="R37" s="13">
        <f>Construction!R14*R32*(Inputs!$F$102*(Construction!R17+Inputs!$F$82+Inputs!$F$101)/(1-Inputs!$F$93/100)+(1-Inputs!$F$102)*(Construction!R17+Inputs!$F$80+Inputs!$F$101))/100*Construction!R11/Inputs!$F$247</f>
        <v/>
      </c>
      <c r="S37" s="13">
        <f>Construction!S14*S32*(Inputs!$F$102*(Construction!S17+Inputs!$F$82+Inputs!$F$101)/(1-Inputs!$F$93/100)+(1-Inputs!$F$102)*(Construction!S17+Inputs!$F$80+Inputs!$F$101))/100*Construction!S11/Inputs!$F$247</f>
        <v/>
      </c>
      <c r="T37" s="13">
        <f>Construction!T14*T32*(Inputs!$F$102*(Construction!T17+Inputs!$F$82+Inputs!$F$101)/(1-Inputs!$F$93/100)+(1-Inputs!$F$102)*(Construction!T17+Inputs!$F$80+Inputs!$F$101))/100*Construction!T11/Inputs!$F$247</f>
        <v/>
      </c>
      <c r="U37" s="13">
        <f>Construction!U14*U32*(Inputs!$F$102*(Construction!U17+Inputs!$F$82+Inputs!$F$101)/(1-Inputs!$F$93/100)+(1-Inputs!$F$102)*(Construction!U17+Inputs!$F$80+Inputs!$F$101))/100*Construction!U11/Inputs!$F$247</f>
        <v/>
      </c>
      <c r="V37" s="13">
        <f>Construction!V14*V32*(Inputs!$F$102*(Construction!V17+Inputs!$F$82+Inputs!$F$101)/(1-Inputs!$F$93/100)+(1-Inputs!$F$102)*(Construction!V17+Inputs!$F$80+Inputs!$F$101))/100*Construction!V11/Inputs!$F$247</f>
        <v/>
      </c>
      <c r="W37" s="13">
        <f>Construction!W14*W32*(Inputs!$F$102*(Construction!W17+Inputs!$F$82+Inputs!$F$101)/(1-Inputs!$F$93/100)+(1-Inputs!$F$102)*(Construction!W17+Inputs!$F$80+Inputs!$F$101))/100*Construction!W11/Inputs!$F$247</f>
        <v/>
      </c>
      <c r="X37" s="13">
        <f>Construction!X14*X32*(Inputs!$F$102*(Construction!X17+Inputs!$F$82+Inputs!$F$101)/(1-Inputs!$F$93/100)+(1-Inputs!$F$102)*(Construction!X17+Inputs!$F$80+Inputs!$F$101))/100*Construction!X11/Inputs!$F$247</f>
        <v/>
      </c>
      <c r="Y37" s="13">
        <f>Construction!Y14*Y32*(Inputs!$F$102*(Construction!Y17+Inputs!$F$82+Inputs!$F$101)/(1-Inputs!$F$93/100)+(1-Inputs!$F$102)*(Construction!Y17+Inputs!$F$80+Inputs!$F$101))/100*Construction!Y11/Inputs!$F$247</f>
        <v/>
      </c>
      <c r="Z37" s="13">
        <f>Construction!Z14*Z32*(Inputs!$F$102*(Construction!Z17+Inputs!$F$82+Inputs!$F$101)/(1-Inputs!$F$93/100)+(1-Inputs!$F$102)*(Construction!Z17+Inputs!$F$80+Inputs!$F$101))/100*Construction!Z11/Inputs!$F$247</f>
        <v/>
      </c>
      <c r="AA37" s="13">
        <f>Construction!AA14*AA32*(Inputs!$F$102*(Construction!AA17+Inputs!$F$82+Inputs!$F$101)/(1-Inputs!$F$93/100)+(1-Inputs!$F$102)*(Construction!AA17+Inputs!$F$80+Inputs!$F$101))/100*Construction!AA11/Inputs!$F$247</f>
        <v/>
      </c>
      <c r="AB37" s="13">
        <f>Construction!AB14*AB32*(Inputs!$F$102*(Construction!AB17+Inputs!$F$82+Inputs!$F$101)/(1-Inputs!$F$93/100)+(1-Inputs!$F$102)*(Construction!AB17+Inputs!$F$80+Inputs!$F$101))/100*Construction!AB11/Inputs!$F$247</f>
        <v/>
      </c>
      <c r="AC37" s="13">
        <f>Construction!AC14*AC32*(Inputs!$F$102*(Construction!AC17+Inputs!$F$82+Inputs!$F$101)/(1-Inputs!$F$93/100)+(1-Inputs!$F$102)*(Construction!AC17+Inputs!$F$80+Inputs!$F$101))/100*Construction!AC11/Inputs!$F$247</f>
        <v/>
      </c>
      <c r="AD37" s="13">
        <f>Construction!AD14*AD32*(Inputs!$F$102*(Construction!AD17+Inputs!$F$82+Inputs!$F$101)/(1-Inputs!$F$93/100)+(1-Inputs!$F$102)*(Construction!AD17+Inputs!$F$80+Inputs!$F$101))/100*Construction!AD11/Inputs!$F$247</f>
        <v/>
      </c>
      <c r="AE37" s="13">
        <f>Construction!AE14*AE32*(Inputs!$F$102*(Construction!AE17+Inputs!$F$82+Inputs!$F$101)/(1-Inputs!$F$93/100)+(1-Inputs!$F$102)*(Construction!AE17+Inputs!$F$80+Inputs!$F$101))/100*Construction!AE11/Inputs!$F$247</f>
        <v/>
      </c>
      <c r="AF37" s="13">
        <f>Construction!AF14*AF32*(Inputs!$F$102*(Construction!AF17+Inputs!$F$82+Inputs!$F$101)/(1-Inputs!$F$93/100)+(1-Inputs!$F$102)*(Construction!AF17+Inputs!$F$80+Inputs!$F$101))/100*Construction!AF11/Inputs!$F$247</f>
        <v/>
      </c>
      <c r="AG37" s="13">
        <f>Construction!AG14*AG32*(Inputs!$F$102*(Construction!AG17+Inputs!$F$82+Inputs!$F$101)/(1-Inputs!$F$93/100)+(1-Inputs!$F$102)*(Construction!AG17+Inputs!$F$80+Inputs!$F$101))/100*Construction!AG11/Inputs!$F$247</f>
        <v/>
      </c>
      <c r="AH37" s="13">
        <f>Construction!AH14*AH32*(Inputs!$F$102*(Construction!AH17+Inputs!$F$82+Inputs!$F$101)/(1-Inputs!$F$93/100)+(1-Inputs!$F$102)*(Construction!AH17+Inputs!$F$80+Inputs!$F$101))/100*Construction!AH11/Inputs!$F$247</f>
        <v/>
      </c>
      <c r="AI37" s="13">
        <f>Construction!AI14*AI32*(Inputs!$F$102*(Construction!AI17+Inputs!$F$82+Inputs!$F$101)/(1-Inputs!$F$93/100)+(1-Inputs!$F$102)*(Construction!AI17+Inputs!$F$80+Inputs!$F$101))/100*Construction!AI11/Inputs!$F$247</f>
        <v/>
      </c>
      <c r="AJ37" s="13">
        <f>Construction!AJ14*AJ32*(Inputs!$F$102*(Construction!AJ17+Inputs!$F$82+Inputs!$F$101)/(1-Inputs!$F$93/100)+(1-Inputs!$F$102)*(Construction!AJ17+Inputs!$F$80+Inputs!$F$101))/100*Construction!AJ11/Inputs!$F$247</f>
        <v/>
      </c>
      <c r="AK37" s="13">
        <f>Construction!AK14*AK32*(Inputs!$F$102*(Construction!AK17+Inputs!$F$82+Inputs!$F$101)/(1-Inputs!$F$93/100)+(1-Inputs!$F$102)*(Construction!AK17+Inputs!$F$80+Inputs!$F$101))/100*Construction!AK11/Inputs!$F$247</f>
        <v/>
      </c>
      <c r="AL37" s="13">
        <f>Construction!AL14*AL32*(Inputs!$F$102*(Construction!AL17+Inputs!$F$82+Inputs!$F$101)/(1-Inputs!$F$93/100)+(1-Inputs!$F$102)*(Construction!AL17+Inputs!$F$80+Inputs!$F$101))/100*Construction!AL11/Inputs!$F$247</f>
        <v/>
      </c>
      <c r="AM37" s="13">
        <f>Construction!AM14*AM32*(Inputs!$F$102*(Construction!AM17+Inputs!$F$82+Inputs!$F$101)/(1-Inputs!$F$93/100)+(1-Inputs!$F$102)*(Construction!AM17+Inputs!$F$80+Inputs!$F$101))/100*Construction!AM11/Inputs!$F$247</f>
        <v/>
      </c>
      <c r="AN37" s="13">
        <f>Construction!AN14*AN32*(Inputs!$F$102*(Construction!AN17+Inputs!$F$82+Inputs!$F$101)/(1-Inputs!$F$93/100)+(1-Inputs!$F$102)*(Construction!AN17+Inputs!$F$80+Inputs!$F$101))/100*Construction!AN11/Inputs!$F$247</f>
        <v/>
      </c>
      <c r="AO37" s="13">
        <f>Construction!AO14*AO32*(Inputs!$F$102*(Construction!AO17+Inputs!$F$82+Inputs!$F$101)/(1-Inputs!$F$93/100)+(1-Inputs!$F$102)*(Construction!AO17+Inputs!$F$80+Inputs!$F$101))/100*Construction!AO11/Inputs!$F$247</f>
        <v/>
      </c>
      <c r="AP37" s="13">
        <f>Construction!AP14*AP32*(Inputs!$F$102*(Construction!AP17+Inputs!$F$82+Inputs!$F$101)/(1-Inputs!$F$93/100)+(1-Inputs!$F$102)*(Construction!AP17+Inputs!$F$80+Inputs!$F$101))/100*Construction!AP11/Inputs!$F$247</f>
        <v/>
      </c>
      <c r="AQ37" s="13">
        <f>Construction!AQ14*AQ32*(Inputs!$F$102*(Construction!AQ17+Inputs!$F$82+Inputs!$F$101)/(1-Inputs!$F$93/100)+(1-Inputs!$F$102)*(Construction!AQ17+Inputs!$F$80+Inputs!$F$101))/100*Construction!AQ11/Inputs!$F$247</f>
        <v/>
      </c>
      <c r="AR37" s="13">
        <f>Construction!AR14*AR32*(Inputs!$F$102*(Construction!AR17+Inputs!$F$82+Inputs!$F$101)/(1-Inputs!$F$93/100)+(1-Inputs!$F$102)*(Construction!AR17+Inputs!$F$80+Inputs!$F$101))/100*Construction!AR11/Inputs!$F$247</f>
        <v/>
      </c>
      <c r="AS37" s="13">
        <f>Construction!AS14*AS32*(Inputs!$F$102*(Construction!AS17+Inputs!$F$82+Inputs!$F$101)/(1-Inputs!$F$93/100)+(1-Inputs!$F$102)*(Construction!AS17+Inputs!$F$80+Inputs!$F$101))/100*Construction!AS11/Inputs!$F$247</f>
        <v/>
      </c>
      <c r="AT37" s="13">
        <f>Construction!AT14*AT32*(Inputs!$F$102*(Construction!AT17+Inputs!$F$82+Inputs!$F$101)/(1-Inputs!$F$93/100)+(1-Inputs!$F$102)*(Construction!AT17+Inputs!$F$80+Inputs!$F$101))/100*Construction!AT11/Inputs!$F$247</f>
        <v/>
      </c>
      <c r="AU37" s="13">
        <f>Construction!AU14*AU32*(Inputs!$F$102*(Construction!AU17+Inputs!$F$82+Inputs!$F$101)/(1-Inputs!$F$93/100)+(1-Inputs!$F$102)*(Construction!AU17+Inputs!$F$80+Inputs!$F$101))/100*Construction!AU11/Inputs!$F$247</f>
        <v/>
      </c>
      <c r="AV37" s="13">
        <f>Construction!AV14*AV32*(Inputs!$F$102*(Construction!AV17+Inputs!$F$82+Inputs!$F$101)/(1-Inputs!$F$93/100)+(1-Inputs!$F$102)*(Construction!AV17+Inputs!$F$80+Inputs!$F$101))/100*Construction!AV11/Inputs!$F$247</f>
        <v/>
      </c>
      <c r="AW37" s="13">
        <f>Construction!AW14*AW32*(Inputs!$F$102*(Construction!AW17+Inputs!$F$82+Inputs!$F$101)/(1-Inputs!$F$93/100)+(1-Inputs!$F$102)*(Construction!AW17+Inputs!$F$80+Inputs!$F$101))/100*Construction!AW11/Inputs!$F$247</f>
        <v/>
      </c>
      <c r="AX37" s="13">
        <f>Construction!AX14*AX32*(Inputs!$F$102*(Construction!AX17+Inputs!$F$82+Inputs!$F$101)/(1-Inputs!$F$93/100)+(1-Inputs!$F$102)*(Construction!AX17+Inputs!$F$80+Inputs!$F$101))/100*Construction!AX11/Inputs!$F$247</f>
        <v/>
      </c>
      <c r="AY37" s="13">
        <f>Construction!AY14*AY32*(Inputs!$F$102*(Construction!AY17+Inputs!$F$82+Inputs!$F$101)/(1-Inputs!$F$93/100)+(1-Inputs!$F$102)*(Construction!AY17+Inputs!$F$80+Inputs!$F$101))/100*Construction!AY11/Inputs!$F$247</f>
        <v/>
      </c>
      <c r="AZ37" s="13">
        <f>Construction!AZ14*AZ32*(Inputs!$F$102*(Construction!AZ17+Inputs!$F$82+Inputs!$F$101)/(1-Inputs!$F$93/100)+(1-Inputs!$F$102)*(Construction!AZ17+Inputs!$F$80+Inputs!$F$101))/100*Construction!AZ11/Inputs!$F$247</f>
        <v/>
      </c>
      <c r="BA37" s="13">
        <f>Construction!BA14*BA32*(Inputs!$F$102*(Construction!BA17+Inputs!$F$82+Inputs!$F$101)/(1-Inputs!$F$93/100)+(1-Inputs!$F$102)*(Construction!BA17+Inputs!$F$80+Inputs!$F$101))/100*Construction!BA11/Inputs!$F$247</f>
        <v/>
      </c>
      <c r="BB37" s="13">
        <f>Construction!BB14*BB32*(Inputs!$F$102*(Construction!BB17+Inputs!$F$82+Inputs!$F$101)/(1-Inputs!$F$93/100)+(1-Inputs!$F$102)*(Construction!BB17+Inputs!$F$80+Inputs!$F$101))/100*Construction!BB11/Inputs!$F$247</f>
        <v/>
      </c>
      <c r="BC37" s="13">
        <f>Construction!BC14*BC32*(Inputs!$F$102*(Construction!BC17+Inputs!$F$82+Inputs!$F$101)/(1-Inputs!$F$93/100)+(1-Inputs!$F$102)*(Construction!BC17+Inputs!$F$80+Inputs!$F$101))/100*Construction!BC11/Inputs!$F$247</f>
        <v/>
      </c>
      <c r="BD37" s="13">
        <f>Construction!BD14*BD32*(Inputs!$F$102*(Construction!BD17+Inputs!$F$82+Inputs!$F$101)/(1-Inputs!$F$93/100)+(1-Inputs!$F$102)*(Construction!BD17+Inputs!$F$80+Inputs!$F$101))/100*Construction!BD11/Inputs!$F$247</f>
        <v/>
      </c>
      <c r="BE37" s="13">
        <f>Construction!BE14*BE32*(Inputs!$F$102*(Construction!BE17+Inputs!$F$82+Inputs!$F$101)/(1-Inputs!$F$93/100)+(1-Inputs!$F$102)*(Construction!BE17+Inputs!$F$80+Inputs!$F$101))/100*Construction!BE11/Inputs!$F$247</f>
        <v/>
      </c>
      <c r="BF37" s="13">
        <f>Construction!BF14*BF32*(Inputs!$F$102*(Construction!BF17+Inputs!$F$82+Inputs!$F$101)/(1-Inputs!$F$93/100)+(1-Inputs!$F$102)*(Construction!BF17+Inputs!$F$80+Inputs!$F$101))/100*Construction!BF11/Inputs!$F$247</f>
        <v/>
      </c>
      <c r="BG37" s="13">
        <f>Construction!BG14*BG32*(Inputs!$F$102*(Construction!BG17+Inputs!$F$82+Inputs!$F$101)/(1-Inputs!$F$93/100)+(1-Inputs!$F$102)*(Construction!BG17+Inputs!$F$80+Inputs!$F$101))/100*Construction!BG11/Inputs!$F$247</f>
        <v/>
      </c>
      <c r="BH37" s="13">
        <f>Construction!BH14*BH32*(Inputs!$F$102*(Construction!BH17+Inputs!$F$82+Inputs!$F$101)/(1-Inputs!$F$93/100)+(1-Inputs!$F$102)*(Construction!BH17+Inputs!$F$80+Inputs!$F$101))/100*Construction!BH11/Inputs!$F$247</f>
        <v/>
      </c>
      <c r="BI37" s="13">
        <f>Construction!BI14*BI32*(Inputs!$F$102*(Construction!BI17+Inputs!$F$82+Inputs!$F$101)/(1-Inputs!$F$93/100)+(1-Inputs!$F$102)*(Construction!BI17+Inputs!$F$80+Inputs!$F$101))/100*Construction!BI11/Inputs!$F$247</f>
        <v/>
      </c>
      <c r="BJ37" s="13">
        <f>Construction!BJ14*BJ32*(Inputs!$F$102*(Construction!BJ17+Inputs!$F$82+Inputs!$F$101)/(1-Inputs!$F$93/100)+(1-Inputs!$F$102)*(Construction!BJ17+Inputs!$F$80+Inputs!$F$101))/100*Construction!BJ11/Inputs!$F$247</f>
        <v/>
      </c>
    </row>
    <row r="38">
      <c r="D38" t="inlineStr">
        <is>
          <t>PRI premium on commercial tranche</t>
        </is>
      </c>
      <c r="E38" t="inlineStr">
        <is>
          <t>USD m</t>
        </is>
      </c>
      <c r="G38" s="13">
        <f>SUM(J38:BJ38)</f>
        <v/>
      </c>
      <c r="J38" s="13">
        <f>Construction!J14*(Inputs!$F$95/100*Inputs!$F$96/100)*J31*Construction!J11/Inputs!$F$248</f>
        <v/>
      </c>
      <c r="K38" s="13">
        <f>Construction!K14*(Inputs!$F$95/100*Inputs!$F$96/100)*K31*Construction!K11/Inputs!$F$248</f>
        <v/>
      </c>
      <c r="L38" s="13">
        <f>Construction!L14*(Inputs!$F$95/100*Inputs!$F$96/100)*L31*Construction!L11/Inputs!$F$248</f>
        <v/>
      </c>
      <c r="M38" s="13">
        <f>Construction!M14*(Inputs!$F$95/100*Inputs!$F$96/100)*M31*Construction!M11/Inputs!$F$248</f>
        <v/>
      </c>
      <c r="N38" s="13">
        <f>Construction!N14*(Inputs!$F$95/100*Inputs!$F$96/100)*N31*Construction!N11/Inputs!$F$248</f>
        <v/>
      </c>
      <c r="O38" s="13">
        <f>Construction!O14*(Inputs!$F$95/100*Inputs!$F$96/100)*O31*Construction!O11/Inputs!$F$248</f>
        <v/>
      </c>
      <c r="P38" s="13">
        <f>Construction!P14*(Inputs!$F$95/100*Inputs!$F$96/100)*P31*Construction!P11/Inputs!$F$248</f>
        <v/>
      </c>
      <c r="Q38" s="13">
        <f>Construction!Q14*(Inputs!$F$95/100*Inputs!$F$96/100)*Q31*Construction!Q11/Inputs!$F$248</f>
        <v/>
      </c>
      <c r="R38" s="13">
        <f>Construction!R14*(Inputs!$F$95/100*Inputs!$F$96/100)*R31*Construction!R11/Inputs!$F$248</f>
        <v/>
      </c>
      <c r="S38" s="13">
        <f>Construction!S14*(Inputs!$F$95/100*Inputs!$F$96/100)*S31*Construction!S11/Inputs!$F$248</f>
        <v/>
      </c>
      <c r="T38" s="13">
        <f>Construction!T14*(Inputs!$F$95/100*Inputs!$F$96/100)*T31*Construction!T11/Inputs!$F$248</f>
        <v/>
      </c>
      <c r="U38" s="13">
        <f>Construction!U14*(Inputs!$F$95/100*Inputs!$F$96/100)*U31*Construction!U11/Inputs!$F$248</f>
        <v/>
      </c>
      <c r="V38" s="13">
        <f>Construction!V14*(Inputs!$F$95/100*Inputs!$F$96/100)*V31*Construction!V11/Inputs!$F$248</f>
        <v/>
      </c>
      <c r="W38" s="13">
        <f>Construction!W14*(Inputs!$F$95/100*Inputs!$F$96/100)*W31*Construction!W11/Inputs!$F$248</f>
        <v/>
      </c>
      <c r="X38" s="13">
        <f>Construction!X14*(Inputs!$F$95/100*Inputs!$F$96/100)*X31*Construction!X11/Inputs!$F$248</f>
        <v/>
      </c>
      <c r="Y38" s="13">
        <f>Construction!Y14*(Inputs!$F$95/100*Inputs!$F$96/100)*Y31*Construction!Y11/Inputs!$F$248</f>
        <v/>
      </c>
      <c r="Z38" s="13">
        <f>Construction!Z14*(Inputs!$F$95/100*Inputs!$F$96/100)*Z31*Construction!Z11/Inputs!$F$248</f>
        <v/>
      </c>
      <c r="AA38" s="13">
        <f>Construction!AA14*(Inputs!$F$95/100*Inputs!$F$96/100)*AA31*Construction!AA11/Inputs!$F$248</f>
        <v/>
      </c>
      <c r="AB38" s="13">
        <f>Construction!AB14*(Inputs!$F$95/100*Inputs!$F$96/100)*AB31*Construction!AB11/Inputs!$F$248</f>
        <v/>
      </c>
      <c r="AC38" s="13">
        <f>Construction!AC14*(Inputs!$F$95/100*Inputs!$F$96/100)*AC31*Construction!AC11/Inputs!$F$248</f>
        <v/>
      </c>
      <c r="AD38" s="13">
        <f>Construction!AD14*(Inputs!$F$95/100*Inputs!$F$96/100)*AD31*Construction!AD11/Inputs!$F$248</f>
        <v/>
      </c>
      <c r="AE38" s="13">
        <f>Construction!AE14*(Inputs!$F$95/100*Inputs!$F$96/100)*AE31*Construction!AE11/Inputs!$F$248</f>
        <v/>
      </c>
      <c r="AF38" s="13">
        <f>Construction!AF14*(Inputs!$F$95/100*Inputs!$F$96/100)*AF31*Construction!AF11/Inputs!$F$248</f>
        <v/>
      </c>
      <c r="AG38" s="13">
        <f>Construction!AG14*(Inputs!$F$95/100*Inputs!$F$96/100)*AG31*Construction!AG11/Inputs!$F$248</f>
        <v/>
      </c>
      <c r="AH38" s="13">
        <f>Construction!AH14*(Inputs!$F$95/100*Inputs!$F$96/100)*AH31*Construction!AH11/Inputs!$F$248</f>
        <v/>
      </c>
      <c r="AI38" s="13">
        <f>Construction!AI14*(Inputs!$F$95/100*Inputs!$F$96/100)*AI31*Construction!AI11/Inputs!$F$248</f>
        <v/>
      </c>
      <c r="AJ38" s="13">
        <f>Construction!AJ14*(Inputs!$F$95/100*Inputs!$F$96/100)*AJ31*Construction!AJ11/Inputs!$F$248</f>
        <v/>
      </c>
      <c r="AK38" s="13">
        <f>Construction!AK14*(Inputs!$F$95/100*Inputs!$F$96/100)*AK31*Construction!AK11/Inputs!$F$248</f>
        <v/>
      </c>
      <c r="AL38" s="13">
        <f>Construction!AL14*(Inputs!$F$95/100*Inputs!$F$96/100)*AL31*Construction!AL11/Inputs!$F$248</f>
        <v/>
      </c>
      <c r="AM38" s="13">
        <f>Construction!AM14*(Inputs!$F$95/100*Inputs!$F$96/100)*AM31*Construction!AM11/Inputs!$F$248</f>
        <v/>
      </c>
      <c r="AN38" s="13">
        <f>Construction!AN14*(Inputs!$F$95/100*Inputs!$F$96/100)*AN31*Construction!AN11/Inputs!$F$248</f>
        <v/>
      </c>
      <c r="AO38" s="13">
        <f>Construction!AO14*(Inputs!$F$95/100*Inputs!$F$96/100)*AO31*Construction!AO11/Inputs!$F$248</f>
        <v/>
      </c>
      <c r="AP38" s="13">
        <f>Construction!AP14*(Inputs!$F$95/100*Inputs!$F$96/100)*AP31*Construction!AP11/Inputs!$F$248</f>
        <v/>
      </c>
      <c r="AQ38" s="13">
        <f>Construction!AQ14*(Inputs!$F$95/100*Inputs!$F$96/100)*AQ31*Construction!AQ11/Inputs!$F$248</f>
        <v/>
      </c>
      <c r="AR38" s="13">
        <f>Construction!AR14*(Inputs!$F$95/100*Inputs!$F$96/100)*AR31*Construction!AR11/Inputs!$F$248</f>
        <v/>
      </c>
      <c r="AS38" s="13">
        <f>Construction!AS14*(Inputs!$F$95/100*Inputs!$F$96/100)*AS31*Construction!AS11/Inputs!$F$248</f>
        <v/>
      </c>
      <c r="AT38" s="13">
        <f>Construction!AT14*(Inputs!$F$95/100*Inputs!$F$96/100)*AT31*Construction!AT11/Inputs!$F$248</f>
        <v/>
      </c>
      <c r="AU38" s="13">
        <f>Construction!AU14*(Inputs!$F$95/100*Inputs!$F$96/100)*AU31*Construction!AU11/Inputs!$F$248</f>
        <v/>
      </c>
      <c r="AV38" s="13">
        <f>Construction!AV14*(Inputs!$F$95/100*Inputs!$F$96/100)*AV31*Construction!AV11/Inputs!$F$248</f>
        <v/>
      </c>
      <c r="AW38" s="13">
        <f>Construction!AW14*(Inputs!$F$95/100*Inputs!$F$96/100)*AW31*Construction!AW11/Inputs!$F$248</f>
        <v/>
      </c>
      <c r="AX38" s="13">
        <f>Construction!AX14*(Inputs!$F$95/100*Inputs!$F$96/100)*AX31*Construction!AX11/Inputs!$F$248</f>
        <v/>
      </c>
      <c r="AY38" s="13">
        <f>Construction!AY14*(Inputs!$F$95/100*Inputs!$F$96/100)*AY31*Construction!AY11/Inputs!$F$248</f>
        <v/>
      </c>
      <c r="AZ38" s="13">
        <f>Construction!AZ14*(Inputs!$F$95/100*Inputs!$F$96/100)*AZ31*Construction!AZ11/Inputs!$F$248</f>
        <v/>
      </c>
      <c r="BA38" s="13">
        <f>Construction!BA14*(Inputs!$F$95/100*Inputs!$F$96/100)*BA31*Construction!BA11/Inputs!$F$248</f>
        <v/>
      </c>
      <c r="BB38" s="13">
        <f>Construction!BB14*(Inputs!$F$95/100*Inputs!$F$96/100)*BB31*Construction!BB11/Inputs!$F$248</f>
        <v/>
      </c>
      <c r="BC38" s="13">
        <f>Construction!BC14*(Inputs!$F$95/100*Inputs!$F$96/100)*BC31*Construction!BC11/Inputs!$F$248</f>
        <v/>
      </c>
      <c r="BD38" s="13">
        <f>Construction!BD14*(Inputs!$F$95/100*Inputs!$F$96/100)*BD31*Construction!BD11/Inputs!$F$248</f>
        <v/>
      </c>
      <c r="BE38" s="13">
        <f>Construction!BE14*(Inputs!$F$95/100*Inputs!$F$96/100)*BE31*Construction!BE11/Inputs!$F$248</f>
        <v/>
      </c>
      <c r="BF38" s="13">
        <f>Construction!BF14*(Inputs!$F$95/100*Inputs!$F$96/100)*BF31*Construction!BF11/Inputs!$F$248</f>
        <v/>
      </c>
      <c r="BG38" s="13">
        <f>Construction!BG14*(Inputs!$F$95/100*Inputs!$F$96/100)*BG31*Construction!BG11/Inputs!$F$248</f>
        <v/>
      </c>
      <c r="BH38" s="13">
        <f>Construction!BH14*(Inputs!$F$95/100*Inputs!$F$96/100)*BH31*Construction!BH11/Inputs!$F$248</f>
        <v/>
      </c>
      <c r="BI38" s="13">
        <f>Construction!BI14*(Inputs!$F$95/100*Inputs!$F$96/100)*BI31*Construction!BI11/Inputs!$F$248</f>
        <v/>
      </c>
      <c r="BJ38" s="13">
        <f>Construction!BJ14*(Inputs!$F$95/100*Inputs!$F$96/100)*BJ31*Construction!BJ11/Inputs!$F$248</f>
        <v/>
      </c>
    </row>
    <row r="39">
      <c r="D39" t="inlineStr">
        <is>
          <t>Swap net payment</t>
        </is>
      </c>
      <c r="E39" t="inlineStr">
        <is>
          <t>USD m</t>
        </is>
      </c>
      <c r="G39" s="13">
        <f>SUM(J39:BJ39)</f>
        <v/>
      </c>
      <c r="J39" s="13">
        <f>Construction!J14*Inputs!J309*(Inputs!$F$97/100/12-Construction!J17/100*Construction!J11/Inputs!$F$247)</f>
        <v/>
      </c>
      <c r="K39" s="13">
        <f>Construction!K14*Inputs!K309*(Inputs!$F$97/100/12-Construction!K17/100*Construction!K11/Inputs!$F$247)</f>
        <v/>
      </c>
      <c r="L39" s="13">
        <f>Construction!L14*Inputs!L309*(Inputs!$F$97/100/12-Construction!L17/100*Construction!L11/Inputs!$F$247)</f>
        <v/>
      </c>
      <c r="M39" s="13">
        <f>Construction!M14*Inputs!M309*(Inputs!$F$97/100/12-Construction!M17/100*Construction!M11/Inputs!$F$247)</f>
        <v/>
      </c>
      <c r="N39" s="13">
        <f>Construction!N14*Inputs!N309*(Inputs!$F$97/100/12-Construction!N17/100*Construction!N11/Inputs!$F$247)</f>
        <v/>
      </c>
      <c r="O39" s="13">
        <f>Construction!O14*Inputs!O309*(Inputs!$F$97/100/12-Construction!O17/100*Construction!O11/Inputs!$F$247)</f>
        <v/>
      </c>
      <c r="P39" s="13">
        <f>Construction!P14*Inputs!P309*(Inputs!$F$97/100/12-Construction!P17/100*Construction!P11/Inputs!$F$247)</f>
        <v/>
      </c>
      <c r="Q39" s="13">
        <f>Construction!Q14*Inputs!Q309*(Inputs!$F$97/100/12-Construction!Q17/100*Construction!Q11/Inputs!$F$247)</f>
        <v/>
      </c>
      <c r="R39" s="13">
        <f>Construction!R14*Inputs!R309*(Inputs!$F$97/100/12-Construction!R17/100*Construction!R11/Inputs!$F$247)</f>
        <v/>
      </c>
      <c r="S39" s="13">
        <f>Construction!S14*Inputs!S309*(Inputs!$F$97/100/12-Construction!S17/100*Construction!S11/Inputs!$F$247)</f>
        <v/>
      </c>
      <c r="T39" s="13">
        <f>Construction!T14*Inputs!T309*(Inputs!$F$97/100/12-Construction!T17/100*Construction!T11/Inputs!$F$247)</f>
        <v/>
      </c>
      <c r="U39" s="13">
        <f>Construction!U14*Inputs!U309*(Inputs!$F$97/100/12-Construction!U17/100*Construction!U11/Inputs!$F$247)</f>
        <v/>
      </c>
      <c r="V39" s="13">
        <f>Construction!V14*Inputs!V309*(Inputs!$F$97/100/12-Construction!V17/100*Construction!V11/Inputs!$F$247)</f>
        <v/>
      </c>
      <c r="W39" s="13">
        <f>Construction!W14*Inputs!W309*(Inputs!$F$97/100/12-Construction!W17/100*Construction!W11/Inputs!$F$247)</f>
        <v/>
      </c>
      <c r="X39" s="13">
        <f>Construction!X14*Inputs!X309*(Inputs!$F$97/100/12-Construction!X17/100*Construction!X11/Inputs!$F$247)</f>
        <v/>
      </c>
      <c r="Y39" s="13">
        <f>Construction!Y14*Inputs!Y309*(Inputs!$F$97/100/12-Construction!Y17/100*Construction!Y11/Inputs!$F$247)</f>
        <v/>
      </c>
      <c r="Z39" s="13">
        <f>Construction!Z14*Inputs!Z309*(Inputs!$F$97/100/12-Construction!Z17/100*Construction!Z11/Inputs!$F$247)</f>
        <v/>
      </c>
      <c r="AA39" s="13">
        <f>Construction!AA14*Inputs!AA309*(Inputs!$F$97/100/12-Construction!AA17/100*Construction!AA11/Inputs!$F$247)</f>
        <v/>
      </c>
      <c r="AB39" s="13">
        <f>Construction!AB14*Inputs!AB309*(Inputs!$F$97/100/12-Construction!AB17/100*Construction!AB11/Inputs!$F$247)</f>
        <v/>
      </c>
      <c r="AC39" s="13">
        <f>Construction!AC14*Inputs!AC309*(Inputs!$F$97/100/12-Construction!AC17/100*Construction!AC11/Inputs!$F$247)</f>
        <v/>
      </c>
      <c r="AD39" s="13">
        <f>Construction!AD14*Inputs!AD309*(Inputs!$F$97/100/12-Construction!AD17/100*Construction!AD11/Inputs!$F$247)</f>
        <v/>
      </c>
      <c r="AE39" s="13">
        <f>Construction!AE14*Inputs!AE309*(Inputs!$F$97/100/12-Construction!AE17/100*Construction!AE11/Inputs!$F$247)</f>
        <v/>
      </c>
      <c r="AF39" s="13">
        <f>Construction!AF14*Inputs!AF309*(Inputs!$F$97/100/12-Construction!AF17/100*Construction!AF11/Inputs!$F$247)</f>
        <v/>
      </c>
      <c r="AG39" s="13">
        <f>Construction!AG14*Inputs!AG309*(Inputs!$F$97/100/12-Construction!AG17/100*Construction!AG11/Inputs!$F$247)</f>
        <v/>
      </c>
      <c r="AH39" s="13">
        <f>Construction!AH14*Inputs!AH309*(Inputs!$F$97/100/12-Construction!AH17/100*Construction!AH11/Inputs!$F$247)</f>
        <v/>
      </c>
      <c r="AI39" s="13">
        <f>Construction!AI14*Inputs!AI309*(Inputs!$F$97/100/12-Construction!AI17/100*Construction!AI11/Inputs!$F$247)</f>
        <v/>
      </c>
      <c r="AJ39" s="13">
        <f>Construction!AJ14*Inputs!AJ309*(Inputs!$F$97/100/12-Construction!AJ17/100*Construction!AJ11/Inputs!$F$247)</f>
        <v/>
      </c>
      <c r="AK39" s="13">
        <f>Construction!AK14*Inputs!AK309*(Inputs!$F$97/100/12-Construction!AK17/100*Construction!AK11/Inputs!$F$247)</f>
        <v/>
      </c>
      <c r="AL39" s="13">
        <f>Construction!AL14*Inputs!AL309*(Inputs!$F$97/100/12-Construction!AL17/100*Construction!AL11/Inputs!$F$247)</f>
        <v/>
      </c>
      <c r="AM39" s="13">
        <f>Construction!AM14*Inputs!AM309*(Inputs!$F$97/100/12-Construction!AM17/100*Construction!AM11/Inputs!$F$247)</f>
        <v/>
      </c>
      <c r="AN39" s="13">
        <f>Construction!AN14*Inputs!AN309*(Inputs!$F$97/100/12-Construction!AN17/100*Construction!AN11/Inputs!$F$247)</f>
        <v/>
      </c>
      <c r="AO39" s="13">
        <f>Construction!AO14*Inputs!AO309*(Inputs!$F$97/100/12-Construction!AO17/100*Construction!AO11/Inputs!$F$247)</f>
        <v/>
      </c>
      <c r="AP39" s="13">
        <f>Construction!AP14*Inputs!AP309*(Inputs!$F$97/100/12-Construction!AP17/100*Construction!AP11/Inputs!$F$247)</f>
        <v/>
      </c>
      <c r="AQ39" s="13">
        <f>Construction!AQ14*Inputs!AQ309*(Inputs!$F$97/100/12-Construction!AQ17/100*Construction!AQ11/Inputs!$F$247)</f>
        <v/>
      </c>
      <c r="AR39" s="13">
        <f>Construction!AR14*Inputs!AR309*(Inputs!$F$97/100/12-Construction!AR17/100*Construction!AR11/Inputs!$F$247)</f>
        <v/>
      </c>
      <c r="AS39" s="13">
        <f>Construction!AS14*Inputs!AS309*(Inputs!$F$97/100/12-Construction!AS17/100*Construction!AS11/Inputs!$F$247)</f>
        <v/>
      </c>
      <c r="AT39" s="13">
        <f>Construction!AT14*Inputs!AT309*(Inputs!$F$97/100/12-Construction!AT17/100*Construction!AT11/Inputs!$F$247)</f>
        <v/>
      </c>
      <c r="AU39" s="13">
        <f>Construction!AU14*Inputs!AU309*(Inputs!$F$97/100/12-Construction!AU17/100*Construction!AU11/Inputs!$F$247)</f>
        <v/>
      </c>
      <c r="AV39" s="13">
        <f>Construction!AV14*Inputs!AV309*(Inputs!$F$97/100/12-Construction!AV17/100*Construction!AV11/Inputs!$F$247)</f>
        <v/>
      </c>
      <c r="AW39" s="13">
        <f>Construction!AW14*Inputs!AW309*(Inputs!$F$97/100/12-Construction!AW17/100*Construction!AW11/Inputs!$F$247)</f>
        <v/>
      </c>
      <c r="AX39" s="13">
        <f>Construction!AX14*Inputs!AX309*(Inputs!$F$97/100/12-Construction!AX17/100*Construction!AX11/Inputs!$F$247)</f>
        <v/>
      </c>
      <c r="AY39" s="13">
        <f>Construction!AY14*Inputs!AY309*(Inputs!$F$97/100/12-Construction!AY17/100*Construction!AY11/Inputs!$F$247)</f>
        <v/>
      </c>
      <c r="AZ39" s="13">
        <f>Construction!AZ14*Inputs!AZ309*(Inputs!$F$97/100/12-Construction!AZ17/100*Construction!AZ11/Inputs!$F$247)</f>
        <v/>
      </c>
      <c r="BA39" s="13">
        <f>Construction!BA14*Inputs!BA309*(Inputs!$F$97/100/12-Construction!BA17/100*Construction!BA11/Inputs!$F$247)</f>
        <v/>
      </c>
      <c r="BB39" s="13">
        <f>Construction!BB14*Inputs!BB309*(Inputs!$F$97/100/12-Construction!BB17/100*Construction!BB11/Inputs!$F$247)</f>
        <v/>
      </c>
      <c r="BC39" s="13">
        <f>Construction!BC14*Inputs!BC309*(Inputs!$F$97/100/12-Construction!BC17/100*Construction!BC11/Inputs!$F$247)</f>
        <v/>
      </c>
      <c r="BD39" s="13">
        <f>Construction!BD14*Inputs!BD309*(Inputs!$F$97/100/12-Construction!BD17/100*Construction!BD11/Inputs!$F$247)</f>
        <v/>
      </c>
      <c r="BE39" s="13">
        <f>Construction!BE14*Inputs!BE309*(Inputs!$F$97/100/12-Construction!BE17/100*Construction!BE11/Inputs!$F$247)</f>
        <v/>
      </c>
      <c r="BF39" s="13">
        <f>Construction!BF14*Inputs!BF309*(Inputs!$F$97/100/12-Construction!BF17/100*Construction!BF11/Inputs!$F$247)</f>
        <v/>
      </c>
      <c r="BG39" s="13">
        <f>Construction!BG14*Inputs!BG309*(Inputs!$F$97/100/12-Construction!BG17/100*Construction!BG11/Inputs!$F$247)</f>
        <v/>
      </c>
      <c r="BH39" s="13">
        <f>Construction!BH14*Inputs!BH309*(Inputs!$F$97/100/12-Construction!BH17/100*Construction!BH11/Inputs!$F$247)</f>
        <v/>
      </c>
      <c r="BI39" s="13">
        <f>Construction!BI14*Inputs!BI309*(Inputs!$F$97/100/12-Construction!BI17/100*Construction!BI11/Inputs!$F$247)</f>
        <v/>
      </c>
      <c r="BJ39" s="13">
        <f>Construction!BJ14*Inputs!BJ309*(Inputs!$F$97/100/12-Construction!BJ17/100*Construction!BJ11/Inputs!$F$247)</f>
        <v/>
      </c>
    </row>
    <row r="40">
      <c r="D40" t="inlineStr">
        <is>
          <t>Commitment fees, senior tranches</t>
        </is>
      </c>
      <c r="E40" t="inlineStr">
        <is>
          <t>USD m</t>
        </is>
      </c>
      <c r="G40" s="13">
        <f>SUM(J40:BJ40)</f>
        <v/>
      </c>
      <c r="J40" s="13">
        <f>Construction!J14*((Inputs!$F$75*$F$25-J28)*Inputs!$F$85/100+(Inputs!$F$76*$F$25-J29)*Inputs!$F$86/100+(Inputs!$F$77*$F$25-J30)*Inputs!$F$87/100+(Inputs!$F$78*$F$25-J31)*(Inputs!$F$88/100*Inputs!$F$82)/100)*Construction!J11/Inputs!$F$247</f>
        <v/>
      </c>
      <c r="K40" s="13">
        <f>Construction!K14*((Inputs!$F$75*$F$25-K28)*Inputs!$F$85/100+(Inputs!$F$76*$F$25-K29)*Inputs!$F$86/100+(Inputs!$F$77*$F$25-K30)*Inputs!$F$87/100+(Inputs!$F$78*$F$25-K31)*(Inputs!$F$88/100*Inputs!$F$82)/100)*Construction!K11/Inputs!$F$247</f>
        <v/>
      </c>
      <c r="L40" s="13">
        <f>Construction!L14*((Inputs!$F$75*$F$25-L28)*Inputs!$F$85/100+(Inputs!$F$76*$F$25-L29)*Inputs!$F$86/100+(Inputs!$F$77*$F$25-L30)*Inputs!$F$87/100+(Inputs!$F$78*$F$25-L31)*(Inputs!$F$88/100*Inputs!$F$82)/100)*Construction!L11/Inputs!$F$247</f>
        <v/>
      </c>
      <c r="M40" s="13">
        <f>Construction!M14*((Inputs!$F$75*$F$25-M28)*Inputs!$F$85/100+(Inputs!$F$76*$F$25-M29)*Inputs!$F$86/100+(Inputs!$F$77*$F$25-M30)*Inputs!$F$87/100+(Inputs!$F$78*$F$25-M31)*(Inputs!$F$88/100*Inputs!$F$82)/100)*Construction!M11/Inputs!$F$247</f>
        <v/>
      </c>
      <c r="N40" s="13">
        <f>Construction!N14*((Inputs!$F$75*$F$25-N28)*Inputs!$F$85/100+(Inputs!$F$76*$F$25-N29)*Inputs!$F$86/100+(Inputs!$F$77*$F$25-N30)*Inputs!$F$87/100+(Inputs!$F$78*$F$25-N31)*(Inputs!$F$88/100*Inputs!$F$82)/100)*Construction!N11/Inputs!$F$247</f>
        <v/>
      </c>
      <c r="O40" s="13">
        <f>Construction!O14*((Inputs!$F$75*$F$25-O28)*Inputs!$F$85/100+(Inputs!$F$76*$F$25-O29)*Inputs!$F$86/100+(Inputs!$F$77*$F$25-O30)*Inputs!$F$87/100+(Inputs!$F$78*$F$25-O31)*(Inputs!$F$88/100*Inputs!$F$82)/100)*Construction!O11/Inputs!$F$247</f>
        <v/>
      </c>
      <c r="P40" s="13">
        <f>Construction!P14*((Inputs!$F$75*$F$25-P28)*Inputs!$F$85/100+(Inputs!$F$76*$F$25-P29)*Inputs!$F$86/100+(Inputs!$F$77*$F$25-P30)*Inputs!$F$87/100+(Inputs!$F$78*$F$25-P31)*(Inputs!$F$88/100*Inputs!$F$82)/100)*Construction!P11/Inputs!$F$247</f>
        <v/>
      </c>
      <c r="Q40" s="13">
        <f>Construction!Q14*((Inputs!$F$75*$F$25-Q28)*Inputs!$F$85/100+(Inputs!$F$76*$F$25-Q29)*Inputs!$F$86/100+(Inputs!$F$77*$F$25-Q30)*Inputs!$F$87/100+(Inputs!$F$78*$F$25-Q31)*(Inputs!$F$88/100*Inputs!$F$82)/100)*Construction!Q11/Inputs!$F$247</f>
        <v/>
      </c>
      <c r="R40" s="13">
        <f>Construction!R14*((Inputs!$F$75*$F$25-R28)*Inputs!$F$85/100+(Inputs!$F$76*$F$25-R29)*Inputs!$F$86/100+(Inputs!$F$77*$F$25-R30)*Inputs!$F$87/100+(Inputs!$F$78*$F$25-R31)*(Inputs!$F$88/100*Inputs!$F$82)/100)*Construction!R11/Inputs!$F$247</f>
        <v/>
      </c>
      <c r="S40" s="13">
        <f>Construction!S14*((Inputs!$F$75*$F$25-S28)*Inputs!$F$85/100+(Inputs!$F$76*$F$25-S29)*Inputs!$F$86/100+(Inputs!$F$77*$F$25-S30)*Inputs!$F$87/100+(Inputs!$F$78*$F$25-S31)*(Inputs!$F$88/100*Inputs!$F$82)/100)*Construction!S11/Inputs!$F$247</f>
        <v/>
      </c>
      <c r="T40" s="13">
        <f>Construction!T14*((Inputs!$F$75*$F$25-T28)*Inputs!$F$85/100+(Inputs!$F$76*$F$25-T29)*Inputs!$F$86/100+(Inputs!$F$77*$F$25-T30)*Inputs!$F$87/100+(Inputs!$F$78*$F$25-T31)*(Inputs!$F$88/100*Inputs!$F$82)/100)*Construction!T11/Inputs!$F$247</f>
        <v/>
      </c>
      <c r="U40" s="13">
        <f>Construction!U14*((Inputs!$F$75*$F$25-U28)*Inputs!$F$85/100+(Inputs!$F$76*$F$25-U29)*Inputs!$F$86/100+(Inputs!$F$77*$F$25-U30)*Inputs!$F$87/100+(Inputs!$F$78*$F$25-U31)*(Inputs!$F$88/100*Inputs!$F$82)/100)*Construction!U11/Inputs!$F$247</f>
        <v/>
      </c>
      <c r="V40" s="13">
        <f>Construction!V14*((Inputs!$F$75*$F$25-V28)*Inputs!$F$85/100+(Inputs!$F$76*$F$25-V29)*Inputs!$F$86/100+(Inputs!$F$77*$F$25-V30)*Inputs!$F$87/100+(Inputs!$F$78*$F$25-V31)*(Inputs!$F$88/100*Inputs!$F$82)/100)*Construction!V11/Inputs!$F$247</f>
        <v/>
      </c>
      <c r="W40" s="13">
        <f>Construction!W14*((Inputs!$F$75*$F$25-W28)*Inputs!$F$85/100+(Inputs!$F$76*$F$25-W29)*Inputs!$F$86/100+(Inputs!$F$77*$F$25-W30)*Inputs!$F$87/100+(Inputs!$F$78*$F$25-W31)*(Inputs!$F$88/100*Inputs!$F$82)/100)*Construction!W11/Inputs!$F$247</f>
        <v/>
      </c>
      <c r="X40" s="13">
        <f>Construction!X14*((Inputs!$F$75*$F$25-X28)*Inputs!$F$85/100+(Inputs!$F$76*$F$25-X29)*Inputs!$F$86/100+(Inputs!$F$77*$F$25-X30)*Inputs!$F$87/100+(Inputs!$F$78*$F$25-X31)*(Inputs!$F$88/100*Inputs!$F$82)/100)*Construction!X11/Inputs!$F$247</f>
        <v/>
      </c>
      <c r="Y40" s="13">
        <f>Construction!Y14*((Inputs!$F$75*$F$25-Y28)*Inputs!$F$85/100+(Inputs!$F$76*$F$25-Y29)*Inputs!$F$86/100+(Inputs!$F$77*$F$25-Y30)*Inputs!$F$87/100+(Inputs!$F$78*$F$25-Y31)*(Inputs!$F$88/100*Inputs!$F$82)/100)*Construction!Y11/Inputs!$F$247</f>
        <v/>
      </c>
      <c r="Z40" s="13">
        <f>Construction!Z14*((Inputs!$F$75*$F$25-Z28)*Inputs!$F$85/100+(Inputs!$F$76*$F$25-Z29)*Inputs!$F$86/100+(Inputs!$F$77*$F$25-Z30)*Inputs!$F$87/100+(Inputs!$F$78*$F$25-Z31)*(Inputs!$F$88/100*Inputs!$F$82)/100)*Construction!Z11/Inputs!$F$247</f>
        <v/>
      </c>
      <c r="AA40" s="13">
        <f>Construction!AA14*((Inputs!$F$75*$F$25-AA28)*Inputs!$F$85/100+(Inputs!$F$76*$F$25-AA29)*Inputs!$F$86/100+(Inputs!$F$77*$F$25-AA30)*Inputs!$F$87/100+(Inputs!$F$78*$F$25-AA31)*(Inputs!$F$88/100*Inputs!$F$82)/100)*Construction!AA11/Inputs!$F$247</f>
        <v/>
      </c>
      <c r="AB40" s="13">
        <f>Construction!AB14*((Inputs!$F$75*$F$25-AB28)*Inputs!$F$85/100+(Inputs!$F$76*$F$25-AB29)*Inputs!$F$86/100+(Inputs!$F$77*$F$25-AB30)*Inputs!$F$87/100+(Inputs!$F$78*$F$25-AB31)*(Inputs!$F$88/100*Inputs!$F$82)/100)*Construction!AB11/Inputs!$F$247</f>
        <v/>
      </c>
      <c r="AC40" s="13">
        <f>Construction!AC14*((Inputs!$F$75*$F$25-AC28)*Inputs!$F$85/100+(Inputs!$F$76*$F$25-AC29)*Inputs!$F$86/100+(Inputs!$F$77*$F$25-AC30)*Inputs!$F$87/100+(Inputs!$F$78*$F$25-AC31)*(Inputs!$F$88/100*Inputs!$F$82)/100)*Construction!AC11/Inputs!$F$247</f>
        <v/>
      </c>
      <c r="AD40" s="13">
        <f>Construction!AD14*((Inputs!$F$75*$F$25-AD28)*Inputs!$F$85/100+(Inputs!$F$76*$F$25-AD29)*Inputs!$F$86/100+(Inputs!$F$77*$F$25-AD30)*Inputs!$F$87/100+(Inputs!$F$78*$F$25-AD31)*(Inputs!$F$88/100*Inputs!$F$82)/100)*Construction!AD11/Inputs!$F$247</f>
        <v/>
      </c>
      <c r="AE40" s="13">
        <f>Construction!AE14*((Inputs!$F$75*$F$25-AE28)*Inputs!$F$85/100+(Inputs!$F$76*$F$25-AE29)*Inputs!$F$86/100+(Inputs!$F$77*$F$25-AE30)*Inputs!$F$87/100+(Inputs!$F$78*$F$25-AE31)*(Inputs!$F$88/100*Inputs!$F$82)/100)*Construction!AE11/Inputs!$F$247</f>
        <v/>
      </c>
      <c r="AF40" s="13">
        <f>Construction!AF14*((Inputs!$F$75*$F$25-AF28)*Inputs!$F$85/100+(Inputs!$F$76*$F$25-AF29)*Inputs!$F$86/100+(Inputs!$F$77*$F$25-AF30)*Inputs!$F$87/100+(Inputs!$F$78*$F$25-AF31)*(Inputs!$F$88/100*Inputs!$F$82)/100)*Construction!AF11/Inputs!$F$247</f>
        <v/>
      </c>
      <c r="AG40" s="13">
        <f>Construction!AG14*((Inputs!$F$75*$F$25-AG28)*Inputs!$F$85/100+(Inputs!$F$76*$F$25-AG29)*Inputs!$F$86/100+(Inputs!$F$77*$F$25-AG30)*Inputs!$F$87/100+(Inputs!$F$78*$F$25-AG31)*(Inputs!$F$88/100*Inputs!$F$82)/100)*Construction!AG11/Inputs!$F$247</f>
        <v/>
      </c>
      <c r="AH40" s="13">
        <f>Construction!AH14*((Inputs!$F$75*$F$25-AH28)*Inputs!$F$85/100+(Inputs!$F$76*$F$25-AH29)*Inputs!$F$86/100+(Inputs!$F$77*$F$25-AH30)*Inputs!$F$87/100+(Inputs!$F$78*$F$25-AH31)*(Inputs!$F$88/100*Inputs!$F$82)/100)*Construction!AH11/Inputs!$F$247</f>
        <v/>
      </c>
      <c r="AI40" s="13">
        <f>Construction!AI14*((Inputs!$F$75*$F$25-AI28)*Inputs!$F$85/100+(Inputs!$F$76*$F$25-AI29)*Inputs!$F$86/100+(Inputs!$F$77*$F$25-AI30)*Inputs!$F$87/100+(Inputs!$F$78*$F$25-AI31)*(Inputs!$F$88/100*Inputs!$F$82)/100)*Construction!AI11/Inputs!$F$247</f>
        <v/>
      </c>
      <c r="AJ40" s="13">
        <f>Construction!AJ14*((Inputs!$F$75*$F$25-AJ28)*Inputs!$F$85/100+(Inputs!$F$76*$F$25-AJ29)*Inputs!$F$86/100+(Inputs!$F$77*$F$25-AJ30)*Inputs!$F$87/100+(Inputs!$F$78*$F$25-AJ31)*(Inputs!$F$88/100*Inputs!$F$82)/100)*Construction!AJ11/Inputs!$F$247</f>
        <v/>
      </c>
      <c r="AK40" s="13">
        <f>Construction!AK14*((Inputs!$F$75*$F$25-AK28)*Inputs!$F$85/100+(Inputs!$F$76*$F$25-AK29)*Inputs!$F$86/100+(Inputs!$F$77*$F$25-AK30)*Inputs!$F$87/100+(Inputs!$F$78*$F$25-AK31)*(Inputs!$F$88/100*Inputs!$F$82)/100)*Construction!AK11/Inputs!$F$247</f>
        <v/>
      </c>
      <c r="AL40" s="13">
        <f>Construction!AL14*((Inputs!$F$75*$F$25-AL28)*Inputs!$F$85/100+(Inputs!$F$76*$F$25-AL29)*Inputs!$F$86/100+(Inputs!$F$77*$F$25-AL30)*Inputs!$F$87/100+(Inputs!$F$78*$F$25-AL31)*(Inputs!$F$88/100*Inputs!$F$82)/100)*Construction!AL11/Inputs!$F$247</f>
        <v/>
      </c>
      <c r="AM40" s="13">
        <f>Construction!AM14*((Inputs!$F$75*$F$25-AM28)*Inputs!$F$85/100+(Inputs!$F$76*$F$25-AM29)*Inputs!$F$86/100+(Inputs!$F$77*$F$25-AM30)*Inputs!$F$87/100+(Inputs!$F$78*$F$25-AM31)*(Inputs!$F$88/100*Inputs!$F$82)/100)*Construction!AM11/Inputs!$F$247</f>
        <v/>
      </c>
      <c r="AN40" s="13">
        <f>Construction!AN14*((Inputs!$F$75*$F$25-AN28)*Inputs!$F$85/100+(Inputs!$F$76*$F$25-AN29)*Inputs!$F$86/100+(Inputs!$F$77*$F$25-AN30)*Inputs!$F$87/100+(Inputs!$F$78*$F$25-AN31)*(Inputs!$F$88/100*Inputs!$F$82)/100)*Construction!AN11/Inputs!$F$247</f>
        <v/>
      </c>
      <c r="AO40" s="13">
        <f>Construction!AO14*((Inputs!$F$75*$F$25-AO28)*Inputs!$F$85/100+(Inputs!$F$76*$F$25-AO29)*Inputs!$F$86/100+(Inputs!$F$77*$F$25-AO30)*Inputs!$F$87/100+(Inputs!$F$78*$F$25-AO31)*(Inputs!$F$88/100*Inputs!$F$82)/100)*Construction!AO11/Inputs!$F$247</f>
        <v/>
      </c>
      <c r="AP40" s="13">
        <f>Construction!AP14*((Inputs!$F$75*$F$25-AP28)*Inputs!$F$85/100+(Inputs!$F$76*$F$25-AP29)*Inputs!$F$86/100+(Inputs!$F$77*$F$25-AP30)*Inputs!$F$87/100+(Inputs!$F$78*$F$25-AP31)*(Inputs!$F$88/100*Inputs!$F$82)/100)*Construction!AP11/Inputs!$F$247</f>
        <v/>
      </c>
      <c r="AQ40" s="13">
        <f>Construction!AQ14*((Inputs!$F$75*$F$25-AQ28)*Inputs!$F$85/100+(Inputs!$F$76*$F$25-AQ29)*Inputs!$F$86/100+(Inputs!$F$77*$F$25-AQ30)*Inputs!$F$87/100+(Inputs!$F$78*$F$25-AQ31)*(Inputs!$F$88/100*Inputs!$F$82)/100)*Construction!AQ11/Inputs!$F$247</f>
        <v/>
      </c>
      <c r="AR40" s="13">
        <f>Construction!AR14*((Inputs!$F$75*$F$25-AR28)*Inputs!$F$85/100+(Inputs!$F$76*$F$25-AR29)*Inputs!$F$86/100+(Inputs!$F$77*$F$25-AR30)*Inputs!$F$87/100+(Inputs!$F$78*$F$25-AR31)*(Inputs!$F$88/100*Inputs!$F$82)/100)*Construction!AR11/Inputs!$F$247</f>
        <v/>
      </c>
      <c r="AS40" s="13">
        <f>Construction!AS14*((Inputs!$F$75*$F$25-AS28)*Inputs!$F$85/100+(Inputs!$F$76*$F$25-AS29)*Inputs!$F$86/100+(Inputs!$F$77*$F$25-AS30)*Inputs!$F$87/100+(Inputs!$F$78*$F$25-AS31)*(Inputs!$F$88/100*Inputs!$F$82)/100)*Construction!AS11/Inputs!$F$247</f>
        <v/>
      </c>
      <c r="AT40" s="13">
        <f>Construction!AT14*((Inputs!$F$75*$F$25-AT28)*Inputs!$F$85/100+(Inputs!$F$76*$F$25-AT29)*Inputs!$F$86/100+(Inputs!$F$77*$F$25-AT30)*Inputs!$F$87/100+(Inputs!$F$78*$F$25-AT31)*(Inputs!$F$88/100*Inputs!$F$82)/100)*Construction!AT11/Inputs!$F$247</f>
        <v/>
      </c>
      <c r="AU40" s="13">
        <f>Construction!AU14*((Inputs!$F$75*$F$25-AU28)*Inputs!$F$85/100+(Inputs!$F$76*$F$25-AU29)*Inputs!$F$86/100+(Inputs!$F$77*$F$25-AU30)*Inputs!$F$87/100+(Inputs!$F$78*$F$25-AU31)*(Inputs!$F$88/100*Inputs!$F$82)/100)*Construction!AU11/Inputs!$F$247</f>
        <v/>
      </c>
      <c r="AV40" s="13">
        <f>Construction!AV14*((Inputs!$F$75*$F$25-AV28)*Inputs!$F$85/100+(Inputs!$F$76*$F$25-AV29)*Inputs!$F$86/100+(Inputs!$F$77*$F$25-AV30)*Inputs!$F$87/100+(Inputs!$F$78*$F$25-AV31)*(Inputs!$F$88/100*Inputs!$F$82)/100)*Construction!AV11/Inputs!$F$247</f>
        <v/>
      </c>
      <c r="AW40" s="13">
        <f>Construction!AW14*((Inputs!$F$75*$F$25-AW28)*Inputs!$F$85/100+(Inputs!$F$76*$F$25-AW29)*Inputs!$F$86/100+(Inputs!$F$77*$F$25-AW30)*Inputs!$F$87/100+(Inputs!$F$78*$F$25-AW31)*(Inputs!$F$88/100*Inputs!$F$82)/100)*Construction!AW11/Inputs!$F$247</f>
        <v/>
      </c>
      <c r="AX40" s="13">
        <f>Construction!AX14*((Inputs!$F$75*$F$25-AX28)*Inputs!$F$85/100+(Inputs!$F$76*$F$25-AX29)*Inputs!$F$86/100+(Inputs!$F$77*$F$25-AX30)*Inputs!$F$87/100+(Inputs!$F$78*$F$25-AX31)*(Inputs!$F$88/100*Inputs!$F$82)/100)*Construction!AX11/Inputs!$F$247</f>
        <v/>
      </c>
      <c r="AY40" s="13">
        <f>Construction!AY14*((Inputs!$F$75*$F$25-AY28)*Inputs!$F$85/100+(Inputs!$F$76*$F$25-AY29)*Inputs!$F$86/100+(Inputs!$F$77*$F$25-AY30)*Inputs!$F$87/100+(Inputs!$F$78*$F$25-AY31)*(Inputs!$F$88/100*Inputs!$F$82)/100)*Construction!AY11/Inputs!$F$247</f>
        <v/>
      </c>
      <c r="AZ40" s="13">
        <f>Construction!AZ14*((Inputs!$F$75*$F$25-AZ28)*Inputs!$F$85/100+(Inputs!$F$76*$F$25-AZ29)*Inputs!$F$86/100+(Inputs!$F$77*$F$25-AZ30)*Inputs!$F$87/100+(Inputs!$F$78*$F$25-AZ31)*(Inputs!$F$88/100*Inputs!$F$82)/100)*Construction!AZ11/Inputs!$F$247</f>
        <v/>
      </c>
      <c r="BA40" s="13">
        <f>Construction!BA14*((Inputs!$F$75*$F$25-BA28)*Inputs!$F$85/100+(Inputs!$F$76*$F$25-BA29)*Inputs!$F$86/100+(Inputs!$F$77*$F$25-BA30)*Inputs!$F$87/100+(Inputs!$F$78*$F$25-BA31)*(Inputs!$F$88/100*Inputs!$F$82)/100)*Construction!BA11/Inputs!$F$247</f>
        <v/>
      </c>
      <c r="BB40" s="13">
        <f>Construction!BB14*((Inputs!$F$75*$F$25-BB28)*Inputs!$F$85/100+(Inputs!$F$76*$F$25-BB29)*Inputs!$F$86/100+(Inputs!$F$77*$F$25-BB30)*Inputs!$F$87/100+(Inputs!$F$78*$F$25-BB31)*(Inputs!$F$88/100*Inputs!$F$82)/100)*Construction!BB11/Inputs!$F$247</f>
        <v/>
      </c>
      <c r="BC40" s="13">
        <f>Construction!BC14*((Inputs!$F$75*$F$25-BC28)*Inputs!$F$85/100+(Inputs!$F$76*$F$25-BC29)*Inputs!$F$86/100+(Inputs!$F$77*$F$25-BC30)*Inputs!$F$87/100+(Inputs!$F$78*$F$25-BC31)*(Inputs!$F$88/100*Inputs!$F$82)/100)*Construction!BC11/Inputs!$F$247</f>
        <v/>
      </c>
      <c r="BD40" s="13">
        <f>Construction!BD14*((Inputs!$F$75*$F$25-BD28)*Inputs!$F$85/100+(Inputs!$F$76*$F$25-BD29)*Inputs!$F$86/100+(Inputs!$F$77*$F$25-BD30)*Inputs!$F$87/100+(Inputs!$F$78*$F$25-BD31)*(Inputs!$F$88/100*Inputs!$F$82)/100)*Construction!BD11/Inputs!$F$247</f>
        <v/>
      </c>
      <c r="BE40" s="13">
        <f>Construction!BE14*((Inputs!$F$75*$F$25-BE28)*Inputs!$F$85/100+(Inputs!$F$76*$F$25-BE29)*Inputs!$F$86/100+(Inputs!$F$77*$F$25-BE30)*Inputs!$F$87/100+(Inputs!$F$78*$F$25-BE31)*(Inputs!$F$88/100*Inputs!$F$82)/100)*Construction!BE11/Inputs!$F$247</f>
        <v/>
      </c>
      <c r="BF40" s="13">
        <f>Construction!BF14*((Inputs!$F$75*$F$25-BF28)*Inputs!$F$85/100+(Inputs!$F$76*$F$25-BF29)*Inputs!$F$86/100+(Inputs!$F$77*$F$25-BF30)*Inputs!$F$87/100+(Inputs!$F$78*$F$25-BF31)*(Inputs!$F$88/100*Inputs!$F$82)/100)*Construction!BF11/Inputs!$F$247</f>
        <v/>
      </c>
      <c r="BG40" s="13">
        <f>Construction!BG14*((Inputs!$F$75*$F$25-BG28)*Inputs!$F$85/100+(Inputs!$F$76*$F$25-BG29)*Inputs!$F$86/100+(Inputs!$F$77*$F$25-BG30)*Inputs!$F$87/100+(Inputs!$F$78*$F$25-BG31)*(Inputs!$F$88/100*Inputs!$F$82)/100)*Construction!BG11/Inputs!$F$247</f>
        <v/>
      </c>
      <c r="BH40" s="13">
        <f>Construction!BH14*((Inputs!$F$75*$F$25-BH28)*Inputs!$F$85/100+(Inputs!$F$76*$F$25-BH29)*Inputs!$F$86/100+(Inputs!$F$77*$F$25-BH30)*Inputs!$F$87/100+(Inputs!$F$78*$F$25-BH31)*(Inputs!$F$88/100*Inputs!$F$82)/100)*Construction!BH11/Inputs!$F$247</f>
        <v/>
      </c>
      <c r="BI40" s="13">
        <f>Construction!BI14*((Inputs!$F$75*$F$25-BI28)*Inputs!$F$85/100+(Inputs!$F$76*$F$25-BI29)*Inputs!$F$86/100+(Inputs!$F$77*$F$25-BI30)*Inputs!$F$87/100+(Inputs!$F$78*$F$25-BI31)*(Inputs!$F$88/100*Inputs!$F$82)/100)*Construction!BI11/Inputs!$F$247</f>
        <v/>
      </c>
      <c r="BJ40" s="13">
        <f>Construction!BJ14*((Inputs!$F$75*$F$25-BJ28)*Inputs!$F$85/100+(Inputs!$F$76*$F$25-BJ29)*Inputs!$F$86/100+(Inputs!$F$77*$F$25-BJ30)*Inputs!$F$87/100+(Inputs!$F$78*$F$25-BJ31)*(Inputs!$F$88/100*Inputs!$F$82)/100)*Construction!BJ11/Inputs!$F$247</f>
        <v/>
      </c>
    </row>
    <row r="41">
      <c r="D41" t="inlineStr">
        <is>
          <t>Commitment fee, standby facility</t>
        </is>
      </c>
      <c r="E41" t="inlineStr">
        <is>
          <t>USD m</t>
        </is>
      </c>
      <c r="G41" s="13">
        <f>SUM(J41:BJ41)</f>
        <v/>
      </c>
      <c r="J41" s="13">
        <f>Construction!J14*(Inputs!$F$99-J32)*Inputs!$F$100/100*Construction!J11/Inputs!$F$247</f>
        <v/>
      </c>
      <c r="K41" s="13">
        <f>Construction!K14*(Inputs!$F$99-K32)*Inputs!$F$100/100*Construction!K11/Inputs!$F$247</f>
        <v/>
      </c>
      <c r="L41" s="13">
        <f>Construction!L14*(Inputs!$F$99-L32)*Inputs!$F$100/100*Construction!L11/Inputs!$F$247</f>
        <v/>
      </c>
      <c r="M41" s="13">
        <f>Construction!M14*(Inputs!$F$99-M32)*Inputs!$F$100/100*Construction!M11/Inputs!$F$247</f>
        <v/>
      </c>
      <c r="N41" s="13">
        <f>Construction!N14*(Inputs!$F$99-N32)*Inputs!$F$100/100*Construction!N11/Inputs!$F$247</f>
        <v/>
      </c>
      <c r="O41" s="13">
        <f>Construction!O14*(Inputs!$F$99-O32)*Inputs!$F$100/100*Construction!O11/Inputs!$F$247</f>
        <v/>
      </c>
      <c r="P41" s="13">
        <f>Construction!P14*(Inputs!$F$99-P32)*Inputs!$F$100/100*Construction!P11/Inputs!$F$247</f>
        <v/>
      </c>
      <c r="Q41" s="13">
        <f>Construction!Q14*(Inputs!$F$99-Q32)*Inputs!$F$100/100*Construction!Q11/Inputs!$F$247</f>
        <v/>
      </c>
      <c r="R41" s="13">
        <f>Construction!R14*(Inputs!$F$99-R32)*Inputs!$F$100/100*Construction!R11/Inputs!$F$247</f>
        <v/>
      </c>
      <c r="S41" s="13">
        <f>Construction!S14*(Inputs!$F$99-S32)*Inputs!$F$100/100*Construction!S11/Inputs!$F$247</f>
        <v/>
      </c>
      <c r="T41" s="13">
        <f>Construction!T14*(Inputs!$F$99-T32)*Inputs!$F$100/100*Construction!T11/Inputs!$F$247</f>
        <v/>
      </c>
      <c r="U41" s="13">
        <f>Construction!U14*(Inputs!$F$99-U32)*Inputs!$F$100/100*Construction!U11/Inputs!$F$247</f>
        <v/>
      </c>
      <c r="V41" s="13">
        <f>Construction!V14*(Inputs!$F$99-V32)*Inputs!$F$100/100*Construction!V11/Inputs!$F$247</f>
        <v/>
      </c>
      <c r="W41" s="13">
        <f>Construction!W14*(Inputs!$F$99-W32)*Inputs!$F$100/100*Construction!W11/Inputs!$F$247</f>
        <v/>
      </c>
      <c r="X41" s="13">
        <f>Construction!X14*(Inputs!$F$99-X32)*Inputs!$F$100/100*Construction!X11/Inputs!$F$247</f>
        <v/>
      </c>
      <c r="Y41" s="13">
        <f>Construction!Y14*(Inputs!$F$99-Y32)*Inputs!$F$100/100*Construction!Y11/Inputs!$F$247</f>
        <v/>
      </c>
      <c r="Z41" s="13">
        <f>Construction!Z14*(Inputs!$F$99-Z32)*Inputs!$F$100/100*Construction!Z11/Inputs!$F$247</f>
        <v/>
      </c>
      <c r="AA41" s="13">
        <f>Construction!AA14*(Inputs!$F$99-AA32)*Inputs!$F$100/100*Construction!AA11/Inputs!$F$247</f>
        <v/>
      </c>
      <c r="AB41" s="13">
        <f>Construction!AB14*(Inputs!$F$99-AB32)*Inputs!$F$100/100*Construction!AB11/Inputs!$F$247</f>
        <v/>
      </c>
      <c r="AC41" s="13">
        <f>Construction!AC14*(Inputs!$F$99-AC32)*Inputs!$F$100/100*Construction!AC11/Inputs!$F$247</f>
        <v/>
      </c>
      <c r="AD41" s="13">
        <f>Construction!AD14*(Inputs!$F$99-AD32)*Inputs!$F$100/100*Construction!AD11/Inputs!$F$247</f>
        <v/>
      </c>
      <c r="AE41" s="13">
        <f>Construction!AE14*(Inputs!$F$99-AE32)*Inputs!$F$100/100*Construction!AE11/Inputs!$F$247</f>
        <v/>
      </c>
      <c r="AF41" s="13">
        <f>Construction!AF14*(Inputs!$F$99-AF32)*Inputs!$F$100/100*Construction!AF11/Inputs!$F$247</f>
        <v/>
      </c>
      <c r="AG41" s="13">
        <f>Construction!AG14*(Inputs!$F$99-AG32)*Inputs!$F$100/100*Construction!AG11/Inputs!$F$247</f>
        <v/>
      </c>
      <c r="AH41" s="13">
        <f>Construction!AH14*(Inputs!$F$99-AH32)*Inputs!$F$100/100*Construction!AH11/Inputs!$F$247</f>
        <v/>
      </c>
      <c r="AI41" s="13">
        <f>Construction!AI14*(Inputs!$F$99-AI32)*Inputs!$F$100/100*Construction!AI11/Inputs!$F$247</f>
        <v/>
      </c>
      <c r="AJ41" s="13">
        <f>Construction!AJ14*(Inputs!$F$99-AJ32)*Inputs!$F$100/100*Construction!AJ11/Inputs!$F$247</f>
        <v/>
      </c>
      <c r="AK41" s="13">
        <f>Construction!AK14*(Inputs!$F$99-AK32)*Inputs!$F$100/100*Construction!AK11/Inputs!$F$247</f>
        <v/>
      </c>
      <c r="AL41" s="13">
        <f>Construction!AL14*(Inputs!$F$99-AL32)*Inputs!$F$100/100*Construction!AL11/Inputs!$F$247</f>
        <v/>
      </c>
      <c r="AM41" s="13">
        <f>Construction!AM14*(Inputs!$F$99-AM32)*Inputs!$F$100/100*Construction!AM11/Inputs!$F$247</f>
        <v/>
      </c>
      <c r="AN41" s="13">
        <f>Construction!AN14*(Inputs!$F$99-AN32)*Inputs!$F$100/100*Construction!AN11/Inputs!$F$247</f>
        <v/>
      </c>
      <c r="AO41" s="13">
        <f>Construction!AO14*(Inputs!$F$99-AO32)*Inputs!$F$100/100*Construction!AO11/Inputs!$F$247</f>
        <v/>
      </c>
      <c r="AP41" s="13">
        <f>Construction!AP14*(Inputs!$F$99-AP32)*Inputs!$F$100/100*Construction!AP11/Inputs!$F$247</f>
        <v/>
      </c>
      <c r="AQ41" s="13">
        <f>Construction!AQ14*(Inputs!$F$99-AQ32)*Inputs!$F$100/100*Construction!AQ11/Inputs!$F$247</f>
        <v/>
      </c>
      <c r="AR41" s="13">
        <f>Construction!AR14*(Inputs!$F$99-AR32)*Inputs!$F$100/100*Construction!AR11/Inputs!$F$247</f>
        <v/>
      </c>
      <c r="AS41" s="13">
        <f>Construction!AS14*(Inputs!$F$99-AS32)*Inputs!$F$100/100*Construction!AS11/Inputs!$F$247</f>
        <v/>
      </c>
      <c r="AT41" s="13">
        <f>Construction!AT14*(Inputs!$F$99-AT32)*Inputs!$F$100/100*Construction!AT11/Inputs!$F$247</f>
        <v/>
      </c>
      <c r="AU41" s="13">
        <f>Construction!AU14*(Inputs!$F$99-AU32)*Inputs!$F$100/100*Construction!AU11/Inputs!$F$247</f>
        <v/>
      </c>
      <c r="AV41" s="13">
        <f>Construction!AV14*(Inputs!$F$99-AV32)*Inputs!$F$100/100*Construction!AV11/Inputs!$F$247</f>
        <v/>
      </c>
      <c r="AW41" s="13">
        <f>Construction!AW14*(Inputs!$F$99-AW32)*Inputs!$F$100/100*Construction!AW11/Inputs!$F$247</f>
        <v/>
      </c>
      <c r="AX41" s="13">
        <f>Construction!AX14*(Inputs!$F$99-AX32)*Inputs!$F$100/100*Construction!AX11/Inputs!$F$247</f>
        <v/>
      </c>
      <c r="AY41" s="13">
        <f>Construction!AY14*(Inputs!$F$99-AY32)*Inputs!$F$100/100*Construction!AY11/Inputs!$F$247</f>
        <v/>
      </c>
      <c r="AZ41" s="13">
        <f>Construction!AZ14*(Inputs!$F$99-AZ32)*Inputs!$F$100/100*Construction!AZ11/Inputs!$F$247</f>
        <v/>
      </c>
      <c r="BA41" s="13">
        <f>Construction!BA14*(Inputs!$F$99-BA32)*Inputs!$F$100/100*Construction!BA11/Inputs!$F$247</f>
        <v/>
      </c>
      <c r="BB41" s="13">
        <f>Construction!BB14*(Inputs!$F$99-BB32)*Inputs!$F$100/100*Construction!BB11/Inputs!$F$247</f>
        <v/>
      </c>
      <c r="BC41" s="13">
        <f>Construction!BC14*(Inputs!$F$99-BC32)*Inputs!$F$100/100*Construction!BC11/Inputs!$F$247</f>
        <v/>
      </c>
      <c r="BD41" s="13">
        <f>Construction!BD14*(Inputs!$F$99-BD32)*Inputs!$F$100/100*Construction!BD11/Inputs!$F$247</f>
        <v/>
      </c>
      <c r="BE41" s="13">
        <f>Construction!BE14*(Inputs!$F$99-BE32)*Inputs!$F$100/100*Construction!BE11/Inputs!$F$247</f>
        <v/>
      </c>
      <c r="BF41" s="13">
        <f>Construction!BF14*(Inputs!$F$99-BF32)*Inputs!$F$100/100*Construction!BF11/Inputs!$F$247</f>
        <v/>
      </c>
      <c r="BG41" s="13">
        <f>Construction!BG14*(Inputs!$F$99-BG32)*Inputs!$F$100/100*Construction!BG11/Inputs!$F$247</f>
        <v/>
      </c>
      <c r="BH41" s="13">
        <f>Construction!BH14*(Inputs!$F$99-BH32)*Inputs!$F$100/100*Construction!BH11/Inputs!$F$247</f>
        <v/>
      </c>
      <c r="BI41" s="13">
        <f>Construction!BI14*(Inputs!$F$99-BI32)*Inputs!$F$100/100*Construction!BI11/Inputs!$F$247</f>
        <v/>
      </c>
      <c r="BJ41" s="13">
        <f>Construction!BJ14*(Inputs!$F$99-BJ32)*Inputs!$F$100/100*Construction!BJ11/Inputs!$F$247</f>
        <v/>
      </c>
    </row>
    <row r="42">
      <c r="D42" t="inlineStr">
        <is>
          <t>Upfront and arrangement fees</t>
        </is>
      </c>
      <c r="E42" t="inlineStr">
        <is>
          <t>USD m</t>
        </is>
      </c>
      <c r="G42" s="13">
        <f>SUM(J42:BJ42)</f>
        <v/>
      </c>
      <c r="J42" s="13">
        <f>IF(Construction!J8=1,Inputs!$F$75*$F$25*Inputs!$F$89/100+Inputs!$F$76*$F$25*Inputs!$F$90/100+Inputs!$F$77*$F$25*Inputs!$F$91/100+Inputs!$F$78*$F$25*Inputs!$F$92/100,0)</f>
        <v/>
      </c>
      <c r="K42" s="13">
        <f>IF(Construction!K8=1,Inputs!$F$75*$F$25*Inputs!$F$89/100+Inputs!$F$76*$F$25*Inputs!$F$90/100+Inputs!$F$77*$F$25*Inputs!$F$91/100+Inputs!$F$78*$F$25*Inputs!$F$92/100,0)</f>
        <v/>
      </c>
      <c r="L42" s="13">
        <f>IF(Construction!L8=1,Inputs!$F$75*$F$25*Inputs!$F$89/100+Inputs!$F$76*$F$25*Inputs!$F$90/100+Inputs!$F$77*$F$25*Inputs!$F$91/100+Inputs!$F$78*$F$25*Inputs!$F$92/100,0)</f>
        <v/>
      </c>
      <c r="M42" s="13">
        <f>IF(Construction!M8=1,Inputs!$F$75*$F$25*Inputs!$F$89/100+Inputs!$F$76*$F$25*Inputs!$F$90/100+Inputs!$F$77*$F$25*Inputs!$F$91/100+Inputs!$F$78*$F$25*Inputs!$F$92/100,0)</f>
        <v/>
      </c>
      <c r="N42" s="13">
        <f>IF(Construction!N8=1,Inputs!$F$75*$F$25*Inputs!$F$89/100+Inputs!$F$76*$F$25*Inputs!$F$90/100+Inputs!$F$77*$F$25*Inputs!$F$91/100+Inputs!$F$78*$F$25*Inputs!$F$92/100,0)</f>
        <v/>
      </c>
      <c r="O42" s="13">
        <f>IF(Construction!O8=1,Inputs!$F$75*$F$25*Inputs!$F$89/100+Inputs!$F$76*$F$25*Inputs!$F$90/100+Inputs!$F$77*$F$25*Inputs!$F$91/100+Inputs!$F$78*$F$25*Inputs!$F$92/100,0)</f>
        <v/>
      </c>
      <c r="P42" s="13">
        <f>IF(Construction!P8=1,Inputs!$F$75*$F$25*Inputs!$F$89/100+Inputs!$F$76*$F$25*Inputs!$F$90/100+Inputs!$F$77*$F$25*Inputs!$F$91/100+Inputs!$F$78*$F$25*Inputs!$F$92/100,0)</f>
        <v/>
      </c>
      <c r="Q42" s="13">
        <f>IF(Construction!Q8=1,Inputs!$F$75*$F$25*Inputs!$F$89/100+Inputs!$F$76*$F$25*Inputs!$F$90/100+Inputs!$F$77*$F$25*Inputs!$F$91/100+Inputs!$F$78*$F$25*Inputs!$F$92/100,0)</f>
        <v/>
      </c>
      <c r="R42" s="13">
        <f>IF(Construction!R8=1,Inputs!$F$75*$F$25*Inputs!$F$89/100+Inputs!$F$76*$F$25*Inputs!$F$90/100+Inputs!$F$77*$F$25*Inputs!$F$91/100+Inputs!$F$78*$F$25*Inputs!$F$92/100,0)</f>
        <v/>
      </c>
      <c r="S42" s="13">
        <f>IF(Construction!S8=1,Inputs!$F$75*$F$25*Inputs!$F$89/100+Inputs!$F$76*$F$25*Inputs!$F$90/100+Inputs!$F$77*$F$25*Inputs!$F$91/100+Inputs!$F$78*$F$25*Inputs!$F$92/100,0)</f>
        <v/>
      </c>
      <c r="T42" s="13">
        <f>IF(Construction!T8=1,Inputs!$F$75*$F$25*Inputs!$F$89/100+Inputs!$F$76*$F$25*Inputs!$F$90/100+Inputs!$F$77*$F$25*Inputs!$F$91/100+Inputs!$F$78*$F$25*Inputs!$F$92/100,0)</f>
        <v/>
      </c>
      <c r="U42" s="13">
        <f>IF(Construction!U8=1,Inputs!$F$75*$F$25*Inputs!$F$89/100+Inputs!$F$76*$F$25*Inputs!$F$90/100+Inputs!$F$77*$F$25*Inputs!$F$91/100+Inputs!$F$78*$F$25*Inputs!$F$92/100,0)</f>
        <v/>
      </c>
      <c r="V42" s="13">
        <f>IF(Construction!V8=1,Inputs!$F$75*$F$25*Inputs!$F$89/100+Inputs!$F$76*$F$25*Inputs!$F$90/100+Inputs!$F$77*$F$25*Inputs!$F$91/100+Inputs!$F$78*$F$25*Inputs!$F$92/100,0)</f>
        <v/>
      </c>
      <c r="W42" s="13">
        <f>IF(Construction!W8=1,Inputs!$F$75*$F$25*Inputs!$F$89/100+Inputs!$F$76*$F$25*Inputs!$F$90/100+Inputs!$F$77*$F$25*Inputs!$F$91/100+Inputs!$F$78*$F$25*Inputs!$F$92/100,0)</f>
        <v/>
      </c>
      <c r="X42" s="13">
        <f>IF(Construction!X8=1,Inputs!$F$75*$F$25*Inputs!$F$89/100+Inputs!$F$76*$F$25*Inputs!$F$90/100+Inputs!$F$77*$F$25*Inputs!$F$91/100+Inputs!$F$78*$F$25*Inputs!$F$92/100,0)</f>
        <v/>
      </c>
      <c r="Y42" s="13">
        <f>IF(Construction!Y8=1,Inputs!$F$75*$F$25*Inputs!$F$89/100+Inputs!$F$76*$F$25*Inputs!$F$90/100+Inputs!$F$77*$F$25*Inputs!$F$91/100+Inputs!$F$78*$F$25*Inputs!$F$92/100,0)</f>
        <v/>
      </c>
      <c r="Z42" s="13">
        <f>IF(Construction!Z8=1,Inputs!$F$75*$F$25*Inputs!$F$89/100+Inputs!$F$76*$F$25*Inputs!$F$90/100+Inputs!$F$77*$F$25*Inputs!$F$91/100+Inputs!$F$78*$F$25*Inputs!$F$92/100,0)</f>
        <v/>
      </c>
      <c r="AA42" s="13">
        <f>IF(Construction!AA8=1,Inputs!$F$75*$F$25*Inputs!$F$89/100+Inputs!$F$76*$F$25*Inputs!$F$90/100+Inputs!$F$77*$F$25*Inputs!$F$91/100+Inputs!$F$78*$F$25*Inputs!$F$92/100,0)</f>
        <v/>
      </c>
      <c r="AB42" s="13">
        <f>IF(Construction!AB8=1,Inputs!$F$75*$F$25*Inputs!$F$89/100+Inputs!$F$76*$F$25*Inputs!$F$90/100+Inputs!$F$77*$F$25*Inputs!$F$91/100+Inputs!$F$78*$F$25*Inputs!$F$92/100,0)</f>
        <v/>
      </c>
      <c r="AC42" s="13">
        <f>IF(Construction!AC8=1,Inputs!$F$75*$F$25*Inputs!$F$89/100+Inputs!$F$76*$F$25*Inputs!$F$90/100+Inputs!$F$77*$F$25*Inputs!$F$91/100+Inputs!$F$78*$F$25*Inputs!$F$92/100,0)</f>
        <v/>
      </c>
      <c r="AD42" s="13">
        <f>IF(Construction!AD8=1,Inputs!$F$75*$F$25*Inputs!$F$89/100+Inputs!$F$76*$F$25*Inputs!$F$90/100+Inputs!$F$77*$F$25*Inputs!$F$91/100+Inputs!$F$78*$F$25*Inputs!$F$92/100,0)</f>
        <v/>
      </c>
      <c r="AE42" s="13">
        <f>IF(Construction!AE8=1,Inputs!$F$75*$F$25*Inputs!$F$89/100+Inputs!$F$76*$F$25*Inputs!$F$90/100+Inputs!$F$77*$F$25*Inputs!$F$91/100+Inputs!$F$78*$F$25*Inputs!$F$92/100,0)</f>
        <v/>
      </c>
      <c r="AF42" s="13">
        <f>IF(Construction!AF8=1,Inputs!$F$75*$F$25*Inputs!$F$89/100+Inputs!$F$76*$F$25*Inputs!$F$90/100+Inputs!$F$77*$F$25*Inputs!$F$91/100+Inputs!$F$78*$F$25*Inputs!$F$92/100,0)</f>
        <v/>
      </c>
      <c r="AG42" s="13">
        <f>IF(Construction!AG8=1,Inputs!$F$75*$F$25*Inputs!$F$89/100+Inputs!$F$76*$F$25*Inputs!$F$90/100+Inputs!$F$77*$F$25*Inputs!$F$91/100+Inputs!$F$78*$F$25*Inputs!$F$92/100,0)</f>
        <v/>
      </c>
      <c r="AH42" s="13">
        <f>IF(Construction!AH8=1,Inputs!$F$75*$F$25*Inputs!$F$89/100+Inputs!$F$76*$F$25*Inputs!$F$90/100+Inputs!$F$77*$F$25*Inputs!$F$91/100+Inputs!$F$78*$F$25*Inputs!$F$92/100,0)</f>
        <v/>
      </c>
      <c r="AI42" s="13">
        <f>IF(Construction!AI8=1,Inputs!$F$75*$F$25*Inputs!$F$89/100+Inputs!$F$76*$F$25*Inputs!$F$90/100+Inputs!$F$77*$F$25*Inputs!$F$91/100+Inputs!$F$78*$F$25*Inputs!$F$92/100,0)</f>
        <v/>
      </c>
      <c r="AJ42" s="13">
        <f>IF(Construction!AJ8=1,Inputs!$F$75*$F$25*Inputs!$F$89/100+Inputs!$F$76*$F$25*Inputs!$F$90/100+Inputs!$F$77*$F$25*Inputs!$F$91/100+Inputs!$F$78*$F$25*Inputs!$F$92/100,0)</f>
        <v/>
      </c>
      <c r="AK42" s="13">
        <f>IF(Construction!AK8=1,Inputs!$F$75*$F$25*Inputs!$F$89/100+Inputs!$F$76*$F$25*Inputs!$F$90/100+Inputs!$F$77*$F$25*Inputs!$F$91/100+Inputs!$F$78*$F$25*Inputs!$F$92/100,0)</f>
        <v/>
      </c>
      <c r="AL42" s="13">
        <f>IF(Construction!AL8=1,Inputs!$F$75*$F$25*Inputs!$F$89/100+Inputs!$F$76*$F$25*Inputs!$F$90/100+Inputs!$F$77*$F$25*Inputs!$F$91/100+Inputs!$F$78*$F$25*Inputs!$F$92/100,0)</f>
        <v/>
      </c>
      <c r="AM42" s="13">
        <f>IF(Construction!AM8=1,Inputs!$F$75*$F$25*Inputs!$F$89/100+Inputs!$F$76*$F$25*Inputs!$F$90/100+Inputs!$F$77*$F$25*Inputs!$F$91/100+Inputs!$F$78*$F$25*Inputs!$F$92/100,0)</f>
        <v/>
      </c>
      <c r="AN42" s="13">
        <f>IF(Construction!AN8=1,Inputs!$F$75*$F$25*Inputs!$F$89/100+Inputs!$F$76*$F$25*Inputs!$F$90/100+Inputs!$F$77*$F$25*Inputs!$F$91/100+Inputs!$F$78*$F$25*Inputs!$F$92/100,0)</f>
        <v/>
      </c>
      <c r="AO42" s="13">
        <f>IF(Construction!AO8=1,Inputs!$F$75*$F$25*Inputs!$F$89/100+Inputs!$F$76*$F$25*Inputs!$F$90/100+Inputs!$F$77*$F$25*Inputs!$F$91/100+Inputs!$F$78*$F$25*Inputs!$F$92/100,0)</f>
        <v/>
      </c>
      <c r="AP42" s="13">
        <f>IF(Construction!AP8=1,Inputs!$F$75*$F$25*Inputs!$F$89/100+Inputs!$F$76*$F$25*Inputs!$F$90/100+Inputs!$F$77*$F$25*Inputs!$F$91/100+Inputs!$F$78*$F$25*Inputs!$F$92/100,0)</f>
        <v/>
      </c>
      <c r="AQ42" s="13">
        <f>IF(Construction!AQ8=1,Inputs!$F$75*$F$25*Inputs!$F$89/100+Inputs!$F$76*$F$25*Inputs!$F$90/100+Inputs!$F$77*$F$25*Inputs!$F$91/100+Inputs!$F$78*$F$25*Inputs!$F$92/100,0)</f>
        <v/>
      </c>
      <c r="AR42" s="13">
        <f>IF(Construction!AR8=1,Inputs!$F$75*$F$25*Inputs!$F$89/100+Inputs!$F$76*$F$25*Inputs!$F$90/100+Inputs!$F$77*$F$25*Inputs!$F$91/100+Inputs!$F$78*$F$25*Inputs!$F$92/100,0)</f>
        <v/>
      </c>
      <c r="AS42" s="13">
        <f>IF(Construction!AS8=1,Inputs!$F$75*$F$25*Inputs!$F$89/100+Inputs!$F$76*$F$25*Inputs!$F$90/100+Inputs!$F$77*$F$25*Inputs!$F$91/100+Inputs!$F$78*$F$25*Inputs!$F$92/100,0)</f>
        <v/>
      </c>
      <c r="AT42" s="13">
        <f>IF(Construction!AT8=1,Inputs!$F$75*$F$25*Inputs!$F$89/100+Inputs!$F$76*$F$25*Inputs!$F$90/100+Inputs!$F$77*$F$25*Inputs!$F$91/100+Inputs!$F$78*$F$25*Inputs!$F$92/100,0)</f>
        <v/>
      </c>
      <c r="AU42" s="13">
        <f>IF(Construction!AU8=1,Inputs!$F$75*$F$25*Inputs!$F$89/100+Inputs!$F$76*$F$25*Inputs!$F$90/100+Inputs!$F$77*$F$25*Inputs!$F$91/100+Inputs!$F$78*$F$25*Inputs!$F$92/100,0)</f>
        <v/>
      </c>
      <c r="AV42" s="13">
        <f>IF(Construction!AV8=1,Inputs!$F$75*$F$25*Inputs!$F$89/100+Inputs!$F$76*$F$25*Inputs!$F$90/100+Inputs!$F$77*$F$25*Inputs!$F$91/100+Inputs!$F$78*$F$25*Inputs!$F$92/100,0)</f>
        <v/>
      </c>
      <c r="AW42" s="13">
        <f>IF(Construction!AW8=1,Inputs!$F$75*$F$25*Inputs!$F$89/100+Inputs!$F$76*$F$25*Inputs!$F$90/100+Inputs!$F$77*$F$25*Inputs!$F$91/100+Inputs!$F$78*$F$25*Inputs!$F$92/100,0)</f>
        <v/>
      </c>
      <c r="AX42" s="13">
        <f>IF(Construction!AX8=1,Inputs!$F$75*$F$25*Inputs!$F$89/100+Inputs!$F$76*$F$25*Inputs!$F$90/100+Inputs!$F$77*$F$25*Inputs!$F$91/100+Inputs!$F$78*$F$25*Inputs!$F$92/100,0)</f>
        <v/>
      </c>
      <c r="AY42" s="13">
        <f>IF(Construction!AY8=1,Inputs!$F$75*$F$25*Inputs!$F$89/100+Inputs!$F$76*$F$25*Inputs!$F$90/100+Inputs!$F$77*$F$25*Inputs!$F$91/100+Inputs!$F$78*$F$25*Inputs!$F$92/100,0)</f>
        <v/>
      </c>
      <c r="AZ42" s="13">
        <f>IF(Construction!AZ8=1,Inputs!$F$75*$F$25*Inputs!$F$89/100+Inputs!$F$76*$F$25*Inputs!$F$90/100+Inputs!$F$77*$F$25*Inputs!$F$91/100+Inputs!$F$78*$F$25*Inputs!$F$92/100,0)</f>
        <v/>
      </c>
      <c r="BA42" s="13">
        <f>IF(Construction!BA8=1,Inputs!$F$75*$F$25*Inputs!$F$89/100+Inputs!$F$76*$F$25*Inputs!$F$90/100+Inputs!$F$77*$F$25*Inputs!$F$91/100+Inputs!$F$78*$F$25*Inputs!$F$92/100,0)</f>
        <v/>
      </c>
      <c r="BB42" s="13">
        <f>IF(Construction!BB8=1,Inputs!$F$75*$F$25*Inputs!$F$89/100+Inputs!$F$76*$F$25*Inputs!$F$90/100+Inputs!$F$77*$F$25*Inputs!$F$91/100+Inputs!$F$78*$F$25*Inputs!$F$92/100,0)</f>
        <v/>
      </c>
      <c r="BC42" s="13">
        <f>IF(Construction!BC8=1,Inputs!$F$75*$F$25*Inputs!$F$89/100+Inputs!$F$76*$F$25*Inputs!$F$90/100+Inputs!$F$77*$F$25*Inputs!$F$91/100+Inputs!$F$78*$F$25*Inputs!$F$92/100,0)</f>
        <v/>
      </c>
      <c r="BD42" s="13">
        <f>IF(Construction!BD8=1,Inputs!$F$75*$F$25*Inputs!$F$89/100+Inputs!$F$76*$F$25*Inputs!$F$90/100+Inputs!$F$77*$F$25*Inputs!$F$91/100+Inputs!$F$78*$F$25*Inputs!$F$92/100,0)</f>
        <v/>
      </c>
      <c r="BE42" s="13">
        <f>IF(Construction!BE8=1,Inputs!$F$75*$F$25*Inputs!$F$89/100+Inputs!$F$76*$F$25*Inputs!$F$90/100+Inputs!$F$77*$F$25*Inputs!$F$91/100+Inputs!$F$78*$F$25*Inputs!$F$92/100,0)</f>
        <v/>
      </c>
      <c r="BF42" s="13">
        <f>IF(Construction!BF8=1,Inputs!$F$75*$F$25*Inputs!$F$89/100+Inputs!$F$76*$F$25*Inputs!$F$90/100+Inputs!$F$77*$F$25*Inputs!$F$91/100+Inputs!$F$78*$F$25*Inputs!$F$92/100,0)</f>
        <v/>
      </c>
      <c r="BG42" s="13">
        <f>IF(Construction!BG8=1,Inputs!$F$75*$F$25*Inputs!$F$89/100+Inputs!$F$76*$F$25*Inputs!$F$90/100+Inputs!$F$77*$F$25*Inputs!$F$91/100+Inputs!$F$78*$F$25*Inputs!$F$92/100,0)</f>
        <v/>
      </c>
      <c r="BH42" s="13">
        <f>IF(Construction!BH8=1,Inputs!$F$75*$F$25*Inputs!$F$89/100+Inputs!$F$76*$F$25*Inputs!$F$90/100+Inputs!$F$77*$F$25*Inputs!$F$91/100+Inputs!$F$78*$F$25*Inputs!$F$92/100,0)</f>
        <v/>
      </c>
      <c r="BI42" s="13">
        <f>IF(Construction!BI8=1,Inputs!$F$75*$F$25*Inputs!$F$89/100+Inputs!$F$76*$F$25*Inputs!$F$90/100+Inputs!$F$77*$F$25*Inputs!$F$91/100+Inputs!$F$78*$F$25*Inputs!$F$92/100,0)</f>
        <v/>
      </c>
      <c r="BJ42" s="13">
        <f>IF(Construction!BJ8=1,Inputs!$F$75*$F$25*Inputs!$F$89/100+Inputs!$F$76*$F$25*Inputs!$F$90/100+Inputs!$F$77*$F$25*Inputs!$F$91/100+Inputs!$F$78*$F$25*Inputs!$F$92/100,0)</f>
        <v/>
      </c>
    </row>
    <row r="43">
      <c r="D43" t="inlineStr">
        <is>
          <t>Agency fees during construction</t>
        </is>
      </c>
      <c r="E43" t="inlineStr">
        <is>
          <t>USD m</t>
        </is>
      </c>
      <c r="G43" s="13">
        <f>SUM(J43:BJ43)</f>
        <v/>
      </c>
      <c r="J43" s="13">
        <f>Construction!J14*Inputs!$F$107/12</f>
        <v/>
      </c>
      <c r="K43" s="13">
        <f>Construction!K14*Inputs!$F$107/12</f>
        <v/>
      </c>
      <c r="L43" s="13">
        <f>Construction!L14*Inputs!$F$107/12</f>
        <v/>
      </c>
      <c r="M43" s="13">
        <f>Construction!M14*Inputs!$F$107/12</f>
        <v/>
      </c>
      <c r="N43" s="13">
        <f>Construction!N14*Inputs!$F$107/12</f>
        <v/>
      </c>
      <c r="O43" s="13">
        <f>Construction!O14*Inputs!$F$107/12</f>
        <v/>
      </c>
      <c r="P43" s="13">
        <f>Construction!P14*Inputs!$F$107/12</f>
        <v/>
      </c>
      <c r="Q43" s="13">
        <f>Construction!Q14*Inputs!$F$107/12</f>
        <v/>
      </c>
      <c r="R43" s="13">
        <f>Construction!R14*Inputs!$F$107/12</f>
        <v/>
      </c>
      <c r="S43" s="13">
        <f>Construction!S14*Inputs!$F$107/12</f>
        <v/>
      </c>
      <c r="T43" s="13">
        <f>Construction!T14*Inputs!$F$107/12</f>
        <v/>
      </c>
      <c r="U43" s="13">
        <f>Construction!U14*Inputs!$F$107/12</f>
        <v/>
      </c>
      <c r="V43" s="13">
        <f>Construction!V14*Inputs!$F$107/12</f>
        <v/>
      </c>
      <c r="W43" s="13">
        <f>Construction!W14*Inputs!$F$107/12</f>
        <v/>
      </c>
      <c r="X43" s="13">
        <f>Construction!X14*Inputs!$F$107/12</f>
        <v/>
      </c>
      <c r="Y43" s="13">
        <f>Construction!Y14*Inputs!$F$107/12</f>
        <v/>
      </c>
      <c r="Z43" s="13">
        <f>Construction!Z14*Inputs!$F$107/12</f>
        <v/>
      </c>
      <c r="AA43" s="13">
        <f>Construction!AA14*Inputs!$F$107/12</f>
        <v/>
      </c>
      <c r="AB43" s="13">
        <f>Construction!AB14*Inputs!$F$107/12</f>
        <v/>
      </c>
      <c r="AC43" s="13">
        <f>Construction!AC14*Inputs!$F$107/12</f>
        <v/>
      </c>
      <c r="AD43" s="13">
        <f>Construction!AD14*Inputs!$F$107/12</f>
        <v/>
      </c>
      <c r="AE43" s="13">
        <f>Construction!AE14*Inputs!$F$107/12</f>
        <v/>
      </c>
      <c r="AF43" s="13">
        <f>Construction!AF14*Inputs!$F$107/12</f>
        <v/>
      </c>
      <c r="AG43" s="13">
        <f>Construction!AG14*Inputs!$F$107/12</f>
        <v/>
      </c>
      <c r="AH43" s="13">
        <f>Construction!AH14*Inputs!$F$107/12</f>
        <v/>
      </c>
      <c r="AI43" s="13">
        <f>Construction!AI14*Inputs!$F$107/12</f>
        <v/>
      </c>
      <c r="AJ43" s="13">
        <f>Construction!AJ14*Inputs!$F$107/12</f>
        <v/>
      </c>
      <c r="AK43" s="13">
        <f>Construction!AK14*Inputs!$F$107/12</f>
        <v/>
      </c>
      <c r="AL43" s="13">
        <f>Construction!AL14*Inputs!$F$107/12</f>
        <v/>
      </c>
      <c r="AM43" s="13">
        <f>Construction!AM14*Inputs!$F$107/12</f>
        <v/>
      </c>
      <c r="AN43" s="13">
        <f>Construction!AN14*Inputs!$F$107/12</f>
        <v/>
      </c>
      <c r="AO43" s="13">
        <f>Construction!AO14*Inputs!$F$107/12</f>
        <v/>
      </c>
      <c r="AP43" s="13">
        <f>Construction!AP14*Inputs!$F$107/12</f>
        <v/>
      </c>
      <c r="AQ43" s="13">
        <f>Construction!AQ14*Inputs!$F$107/12</f>
        <v/>
      </c>
      <c r="AR43" s="13">
        <f>Construction!AR14*Inputs!$F$107/12</f>
        <v/>
      </c>
      <c r="AS43" s="13">
        <f>Construction!AS14*Inputs!$F$107/12</f>
        <v/>
      </c>
      <c r="AT43" s="13">
        <f>Construction!AT14*Inputs!$F$107/12</f>
        <v/>
      </c>
      <c r="AU43" s="13">
        <f>Construction!AU14*Inputs!$F$107/12</f>
        <v/>
      </c>
      <c r="AV43" s="13">
        <f>Construction!AV14*Inputs!$F$107/12</f>
        <v/>
      </c>
      <c r="AW43" s="13">
        <f>Construction!AW14*Inputs!$F$107/12</f>
        <v/>
      </c>
      <c r="AX43" s="13">
        <f>Construction!AX14*Inputs!$F$107/12</f>
        <v/>
      </c>
      <c r="AY43" s="13">
        <f>Construction!AY14*Inputs!$F$107/12</f>
        <v/>
      </c>
      <c r="AZ43" s="13">
        <f>Construction!AZ14*Inputs!$F$107/12</f>
        <v/>
      </c>
      <c r="BA43" s="13">
        <f>Construction!BA14*Inputs!$F$107/12</f>
        <v/>
      </c>
      <c r="BB43" s="13">
        <f>Construction!BB14*Inputs!$F$107/12</f>
        <v/>
      </c>
      <c r="BC43" s="13">
        <f>Construction!BC14*Inputs!$F$107/12</f>
        <v/>
      </c>
      <c r="BD43" s="13">
        <f>Construction!BD14*Inputs!$F$107/12</f>
        <v/>
      </c>
      <c r="BE43" s="13">
        <f>Construction!BE14*Inputs!$F$107/12</f>
        <v/>
      </c>
      <c r="BF43" s="13">
        <f>Construction!BF14*Inputs!$F$107/12</f>
        <v/>
      </c>
      <c r="BG43" s="13">
        <f>Construction!BG14*Inputs!$F$107/12</f>
        <v/>
      </c>
      <c r="BH43" s="13">
        <f>Construction!BH14*Inputs!$F$107/12</f>
        <v/>
      </c>
      <c r="BI43" s="13">
        <f>Construction!BI14*Inputs!$F$107/12</f>
        <v/>
      </c>
      <c r="BJ43" s="13">
        <f>Construction!BJ14*Inputs!$F$107/12</f>
        <v/>
      </c>
    </row>
    <row r="44">
      <c r="D44" t="inlineStr">
        <is>
          <t>DSRA initial funding (COD month)</t>
        </is>
      </c>
      <c r="E44" t="inlineStr">
        <is>
          <t>USD m</t>
        </is>
      </c>
      <c r="G44" s="13">
        <f>SUM(J44:BJ44)</f>
        <v/>
      </c>
      <c r="J44" s="13">
        <f>Construction!J15*IF(Inputs!$F$34=1,$F$12*Inputs!$F$75*$F$25+$F$13*Inputs!$F$76*$F$25+$F$14*Inputs!$F$77*$F$25+$F$15*Inputs!$F$78*$F$25+$F$17,$F$12*J28+$F$13*J29+$F$14*J30+$F$15*J31+$F$16*J32+$F$17)</f>
        <v/>
      </c>
      <c r="K44" s="13">
        <f>Construction!K15*IF(Inputs!$F$34=1,$F$12*Inputs!$F$75*$F$25+$F$13*Inputs!$F$76*$F$25+$F$14*Inputs!$F$77*$F$25+$F$15*Inputs!$F$78*$F$25+$F$17,$F$12*K28+$F$13*K29+$F$14*K30+$F$15*K31+$F$16*K32+$F$17)</f>
        <v/>
      </c>
      <c r="L44" s="13">
        <f>Construction!L15*IF(Inputs!$F$34=1,$F$12*Inputs!$F$75*$F$25+$F$13*Inputs!$F$76*$F$25+$F$14*Inputs!$F$77*$F$25+$F$15*Inputs!$F$78*$F$25+$F$17,$F$12*L28+$F$13*L29+$F$14*L30+$F$15*L31+$F$16*L32+$F$17)</f>
        <v/>
      </c>
      <c r="M44" s="13">
        <f>Construction!M15*IF(Inputs!$F$34=1,$F$12*Inputs!$F$75*$F$25+$F$13*Inputs!$F$76*$F$25+$F$14*Inputs!$F$77*$F$25+$F$15*Inputs!$F$78*$F$25+$F$17,$F$12*M28+$F$13*M29+$F$14*M30+$F$15*M31+$F$16*M32+$F$17)</f>
        <v/>
      </c>
      <c r="N44" s="13">
        <f>Construction!N15*IF(Inputs!$F$34=1,$F$12*Inputs!$F$75*$F$25+$F$13*Inputs!$F$76*$F$25+$F$14*Inputs!$F$77*$F$25+$F$15*Inputs!$F$78*$F$25+$F$17,$F$12*N28+$F$13*N29+$F$14*N30+$F$15*N31+$F$16*N32+$F$17)</f>
        <v/>
      </c>
      <c r="O44" s="13">
        <f>Construction!O15*IF(Inputs!$F$34=1,$F$12*Inputs!$F$75*$F$25+$F$13*Inputs!$F$76*$F$25+$F$14*Inputs!$F$77*$F$25+$F$15*Inputs!$F$78*$F$25+$F$17,$F$12*O28+$F$13*O29+$F$14*O30+$F$15*O31+$F$16*O32+$F$17)</f>
        <v/>
      </c>
      <c r="P44" s="13">
        <f>Construction!P15*IF(Inputs!$F$34=1,$F$12*Inputs!$F$75*$F$25+$F$13*Inputs!$F$76*$F$25+$F$14*Inputs!$F$77*$F$25+$F$15*Inputs!$F$78*$F$25+$F$17,$F$12*P28+$F$13*P29+$F$14*P30+$F$15*P31+$F$16*P32+$F$17)</f>
        <v/>
      </c>
      <c r="Q44" s="13">
        <f>Construction!Q15*IF(Inputs!$F$34=1,$F$12*Inputs!$F$75*$F$25+$F$13*Inputs!$F$76*$F$25+$F$14*Inputs!$F$77*$F$25+$F$15*Inputs!$F$78*$F$25+$F$17,$F$12*Q28+$F$13*Q29+$F$14*Q30+$F$15*Q31+$F$16*Q32+$F$17)</f>
        <v/>
      </c>
      <c r="R44" s="13">
        <f>Construction!R15*IF(Inputs!$F$34=1,$F$12*Inputs!$F$75*$F$25+$F$13*Inputs!$F$76*$F$25+$F$14*Inputs!$F$77*$F$25+$F$15*Inputs!$F$78*$F$25+$F$17,$F$12*R28+$F$13*R29+$F$14*R30+$F$15*R31+$F$16*R32+$F$17)</f>
        <v/>
      </c>
      <c r="S44" s="13">
        <f>Construction!S15*IF(Inputs!$F$34=1,$F$12*Inputs!$F$75*$F$25+$F$13*Inputs!$F$76*$F$25+$F$14*Inputs!$F$77*$F$25+$F$15*Inputs!$F$78*$F$25+$F$17,$F$12*S28+$F$13*S29+$F$14*S30+$F$15*S31+$F$16*S32+$F$17)</f>
        <v/>
      </c>
      <c r="T44" s="13">
        <f>Construction!T15*IF(Inputs!$F$34=1,$F$12*Inputs!$F$75*$F$25+$F$13*Inputs!$F$76*$F$25+$F$14*Inputs!$F$77*$F$25+$F$15*Inputs!$F$78*$F$25+$F$17,$F$12*T28+$F$13*T29+$F$14*T30+$F$15*T31+$F$16*T32+$F$17)</f>
        <v/>
      </c>
      <c r="U44" s="13">
        <f>Construction!U15*IF(Inputs!$F$34=1,$F$12*Inputs!$F$75*$F$25+$F$13*Inputs!$F$76*$F$25+$F$14*Inputs!$F$77*$F$25+$F$15*Inputs!$F$78*$F$25+$F$17,$F$12*U28+$F$13*U29+$F$14*U30+$F$15*U31+$F$16*U32+$F$17)</f>
        <v/>
      </c>
      <c r="V44" s="13">
        <f>Construction!V15*IF(Inputs!$F$34=1,$F$12*Inputs!$F$75*$F$25+$F$13*Inputs!$F$76*$F$25+$F$14*Inputs!$F$77*$F$25+$F$15*Inputs!$F$78*$F$25+$F$17,$F$12*V28+$F$13*V29+$F$14*V30+$F$15*V31+$F$16*V32+$F$17)</f>
        <v/>
      </c>
      <c r="W44" s="13">
        <f>Construction!W15*IF(Inputs!$F$34=1,$F$12*Inputs!$F$75*$F$25+$F$13*Inputs!$F$76*$F$25+$F$14*Inputs!$F$77*$F$25+$F$15*Inputs!$F$78*$F$25+$F$17,$F$12*W28+$F$13*W29+$F$14*W30+$F$15*W31+$F$16*W32+$F$17)</f>
        <v/>
      </c>
      <c r="X44" s="13">
        <f>Construction!X15*IF(Inputs!$F$34=1,$F$12*Inputs!$F$75*$F$25+$F$13*Inputs!$F$76*$F$25+$F$14*Inputs!$F$77*$F$25+$F$15*Inputs!$F$78*$F$25+$F$17,$F$12*X28+$F$13*X29+$F$14*X30+$F$15*X31+$F$16*X32+$F$17)</f>
        <v/>
      </c>
      <c r="Y44" s="13">
        <f>Construction!Y15*IF(Inputs!$F$34=1,$F$12*Inputs!$F$75*$F$25+$F$13*Inputs!$F$76*$F$25+$F$14*Inputs!$F$77*$F$25+$F$15*Inputs!$F$78*$F$25+$F$17,$F$12*Y28+$F$13*Y29+$F$14*Y30+$F$15*Y31+$F$16*Y32+$F$17)</f>
        <v/>
      </c>
      <c r="Z44" s="13">
        <f>Construction!Z15*IF(Inputs!$F$34=1,$F$12*Inputs!$F$75*$F$25+$F$13*Inputs!$F$76*$F$25+$F$14*Inputs!$F$77*$F$25+$F$15*Inputs!$F$78*$F$25+$F$17,$F$12*Z28+$F$13*Z29+$F$14*Z30+$F$15*Z31+$F$16*Z32+$F$17)</f>
        <v/>
      </c>
      <c r="AA44" s="13">
        <f>Construction!AA15*IF(Inputs!$F$34=1,$F$12*Inputs!$F$75*$F$25+$F$13*Inputs!$F$76*$F$25+$F$14*Inputs!$F$77*$F$25+$F$15*Inputs!$F$78*$F$25+$F$17,$F$12*AA28+$F$13*AA29+$F$14*AA30+$F$15*AA31+$F$16*AA32+$F$17)</f>
        <v/>
      </c>
      <c r="AB44" s="13">
        <f>Construction!AB15*IF(Inputs!$F$34=1,$F$12*Inputs!$F$75*$F$25+$F$13*Inputs!$F$76*$F$25+$F$14*Inputs!$F$77*$F$25+$F$15*Inputs!$F$78*$F$25+$F$17,$F$12*AB28+$F$13*AB29+$F$14*AB30+$F$15*AB31+$F$16*AB32+$F$17)</f>
        <v/>
      </c>
      <c r="AC44" s="13">
        <f>Construction!AC15*IF(Inputs!$F$34=1,$F$12*Inputs!$F$75*$F$25+$F$13*Inputs!$F$76*$F$25+$F$14*Inputs!$F$77*$F$25+$F$15*Inputs!$F$78*$F$25+$F$17,$F$12*AC28+$F$13*AC29+$F$14*AC30+$F$15*AC31+$F$16*AC32+$F$17)</f>
        <v/>
      </c>
      <c r="AD44" s="13">
        <f>Construction!AD15*IF(Inputs!$F$34=1,$F$12*Inputs!$F$75*$F$25+$F$13*Inputs!$F$76*$F$25+$F$14*Inputs!$F$77*$F$25+$F$15*Inputs!$F$78*$F$25+$F$17,$F$12*AD28+$F$13*AD29+$F$14*AD30+$F$15*AD31+$F$16*AD32+$F$17)</f>
        <v/>
      </c>
      <c r="AE44" s="13">
        <f>Construction!AE15*IF(Inputs!$F$34=1,$F$12*Inputs!$F$75*$F$25+$F$13*Inputs!$F$76*$F$25+$F$14*Inputs!$F$77*$F$25+$F$15*Inputs!$F$78*$F$25+$F$17,$F$12*AE28+$F$13*AE29+$F$14*AE30+$F$15*AE31+$F$16*AE32+$F$17)</f>
        <v/>
      </c>
      <c r="AF44" s="13">
        <f>Construction!AF15*IF(Inputs!$F$34=1,$F$12*Inputs!$F$75*$F$25+$F$13*Inputs!$F$76*$F$25+$F$14*Inputs!$F$77*$F$25+$F$15*Inputs!$F$78*$F$25+$F$17,$F$12*AF28+$F$13*AF29+$F$14*AF30+$F$15*AF31+$F$16*AF32+$F$17)</f>
        <v/>
      </c>
      <c r="AG44" s="13">
        <f>Construction!AG15*IF(Inputs!$F$34=1,$F$12*Inputs!$F$75*$F$25+$F$13*Inputs!$F$76*$F$25+$F$14*Inputs!$F$77*$F$25+$F$15*Inputs!$F$78*$F$25+$F$17,$F$12*AG28+$F$13*AG29+$F$14*AG30+$F$15*AG31+$F$16*AG32+$F$17)</f>
        <v/>
      </c>
      <c r="AH44" s="13">
        <f>Construction!AH15*IF(Inputs!$F$34=1,$F$12*Inputs!$F$75*$F$25+$F$13*Inputs!$F$76*$F$25+$F$14*Inputs!$F$77*$F$25+$F$15*Inputs!$F$78*$F$25+$F$17,$F$12*AH28+$F$13*AH29+$F$14*AH30+$F$15*AH31+$F$16*AH32+$F$17)</f>
        <v/>
      </c>
      <c r="AI44" s="13">
        <f>Construction!AI15*IF(Inputs!$F$34=1,$F$12*Inputs!$F$75*$F$25+$F$13*Inputs!$F$76*$F$25+$F$14*Inputs!$F$77*$F$25+$F$15*Inputs!$F$78*$F$25+$F$17,$F$12*AI28+$F$13*AI29+$F$14*AI30+$F$15*AI31+$F$16*AI32+$F$17)</f>
        <v/>
      </c>
      <c r="AJ44" s="13">
        <f>Construction!AJ15*IF(Inputs!$F$34=1,$F$12*Inputs!$F$75*$F$25+$F$13*Inputs!$F$76*$F$25+$F$14*Inputs!$F$77*$F$25+$F$15*Inputs!$F$78*$F$25+$F$17,$F$12*AJ28+$F$13*AJ29+$F$14*AJ30+$F$15*AJ31+$F$16*AJ32+$F$17)</f>
        <v/>
      </c>
      <c r="AK44" s="13">
        <f>Construction!AK15*IF(Inputs!$F$34=1,$F$12*Inputs!$F$75*$F$25+$F$13*Inputs!$F$76*$F$25+$F$14*Inputs!$F$77*$F$25+$F$15*Inputs!$F$78*$F$25+$F$17,$F$12*AK28+$F$13*AK29+$F$14*AK30+$F$15*AK31+$F$16*AK32+$F$17)</f>
        <v/>
      </c>
      <c r="AL44" s="13">
        <f>Construction!AL15*IF(Inputs!$F$34=1,$F$12*Inputs!$F$75*$F$25+$F$13*Inputs!$F$76*$F$25+$F$14*Inputs!$F$77*$F$25+$F$15*Inputs!$F$78*$F$25+$F$17,$F$12*AL28+$F$13*AL29+$F$14*AL30+$F$15*AL31+$F$16*AL32+$F$17)</f>
        <v/>
      </c>
      <c r="AM44" s="13">
        <f>Construction!AM15*IF(Inputs!$F$34=1,$F$12*Inputs!$F$75*$F$25+$F$13*Inputs!$F$76*$F$25+$F$14*Inputs!$F$77*$F$25+$F$15*Inputs!$F$78*$F$25+$F$17,$F$12*AM28+$F$13*AM29+$F$14*AM30+$F$15*AM31+$F$16*AM32+$F$17)</f>
        <v/>
      </c>
      <c r="AN44" s="13">
        <f>Construction!AN15*IF(Inputs!$F$34=1,$F$12*Inputs!$F$75*$F$25+$F$13*Inputs!$F$76*$F$25+$F$14*Inputs!$F$77*$F$25+$F$15*Inputs!$F$78*$F$25+$F$17,$F$12*AN28+$F$13*AN29+$F$14*AN30+$F$15*AN31+$F$16*AN32+$F$17)</f>
        <v/>
      </c>
      <c r="AO44" s="13">
        <f>Construction!AO15*IF(Inputs!$F$34=1,$F$12*Inputs!$F$75*$F$25+$F$13*Inputs!$F$76*$F$25+$F$14*Inputs!$F$77*$F$25+$F$15*Inputs!$F$78*$F$25+$F$17,$F$12*AO28+$F$13*AO29+$F$14*AO30+$F$15*AO31+$F$16*AO32+$F$17)</f>
        <v/>
      </c>
      <c r="AP44" s="13">
        <f>Construction!AP15*IF(Inputs!$F$34=1,$F$12*Inputs!$F$75*$F$25+$F$13*Inputs!$F$76*$F$25+$F$14*Inputs!$F$77*$F$25+$F$15*Inputs!$F$78*$F$25+$F$17,$F$12*AP28+$F$13*AP29+$F$14*AP30+$F$15*AP31+$F$16*AP32+$F$17)</f>
        <v/>
      </c>
      <c r="AQ44" s="13">
        <f>Construction!AQ15*IF(Inputs!$F$34=1,$F$12*Inputs!$F$75*$F$25+$F$13*Inputs!$F$76*$F$25+$F$14*Inputs!$F$77*$F$25+$F$15*Inputs!$F$78*$F$25+$F$17,$F$12*AQ28+$F$13*AQ29+$F$14*AQ30+$F$15*AQ31+$F$16*AQ32+$F$17)</f>
        <v/>
      </c>
      <c r="AR44" s="13">
        <f>Construction!AR15*IF(Inputs!$F$34=1,$F$12*Inputs!$F$75*$F$25+$F$13*Inputs!$F$76*$F$25+$F$14*Inputs!$F$77*$F$25+$F$15*Inputs!$F$78*$F$25+$F$17,$F$12*AR28+$F$13*AR29+$F$14*AR30+$F$15*AR31+$F$16*AR32+$F$17)</f>
        <v/>
      </c>
      <c r="AS44" s="13">
        <f>Construction!AS15*IF(Inputs!$F$34=1,$F$12*Inputs!$F$75*$F$25+$F$13*Inputs!$F$76*$F$25+$F$14*Inputs!$F$77*$F$25+$F$15*Inputs!$F$78*$F$25+$F$17,$F$12*AS28+$F$13*AS29+$F$14*AS30+$F$15*AS31+$F$16*AS32+$F$17)</f>
        <v/>
      </c>
      <c r="AT44" s="13">
        <f>Construction!AT15*IF(Inputs!$F$34=1,$F$12*Inputs!$F$75*$F$25+$F$13*Inputs!$F$76*$F$25+$F$14*Inputs!$F$77*$F$25+$F$15*Inputs!$F$78*$F$25+$F$17,$F$12*AT28+$F$13*AT29+$F$14*AT30+$F$15*AT31+$F$16*AT32+$F$17)</f>
        <v/>
      </c>
      <c r="AU44" s="13">
        <f>Construction!AU15*IF(Inputs!$F$34=1,$F$12*Inputs!$F$75*$F$25+$F$13*Inputs!$F$76*$F$25+$F$14*Inputs!$F$77*$F$25+$F$15*Inputs!$F$78*$F$25+$F$17,$F$12*AU28+$F$13*AU29+$F$14*AU30+$F$15*AU31+$F$16*AU32+$F$17)</f>
        <v/>
      </c>
      <c r="AV44" s="13">
        <f>Construction!AV15*IF(Inputs!$F$34=1,$F$12*Inputs!$F$75*$F$25+$F$13*Inputs!$F$76*$F$25+$F$14*Inputs!$F$77*$F$25+$F$15*Inputs!$F$78*$F$25+$F$17,$F$12*AV28+$F$13*AV29+$F$14*AV30+$F$15*AV31+$F$16*AV32+$F$17)</f>
        <v/>
      </c>
      <c r="AW44" s="13">
        <f>Construction!AW15*IF(Inputs!$F$34=1,$F$12*Inputs!$F$75*$F$25+$F$13*Inputs!$F$76*$F$25+$F$14*Inputs!$F$77*$F$25+$F$15*Inputs!$F$78*$F$25+$F$17,$F$12*AW28+$F$13*AW29+$F$14*AW30+$F$15*AW31+$F$16*AW32+$F$17)</f>
        <v/>
      </c>
      <c r="AX44" s="13">
        <f>Construction!AX15*IF(Inputs!$F$34=1,$F$12*Inputs!$F$75*$F$25+$F$13*Inputs!$F$76*$F$25+$F$14*Inputs!$F$77*$F$25+$F$15*Inputs!$F$78*$F$25+$F$17,$F$12*AX28+$F$13*AX29+$F$14*AX30+$F$15*AX31+$F$16*AX32+$F$17)</f>
        <v/>
      </c>
      <c r="AY44" s="13">
        <f>Construction!AY15*IF(Inputs!$F$34=1,$F$12*Inputs!$F$75*$F$25+$F$13*Inputs!$F$76*$F$25+$F$14*Inputs!$F$77*$F$25+$F$15*Inputs!$F$78*$F$25+$F$17,$F$12*AY28+$F$13*AY29+$F$14*AY30+$F$15*AY31+$F$16*AY32+$F$17)</f>
        <v/>
      </c>
      <c r="AZ44" s="13">
        <f>Construction!AZ15*IF(Inputs!$F$34=1,$F$12*Inputs!$F$75*$F$25+$F$13*Inputs!$F$76*$F$25+$F$14*Inputs!$F$77*$F$25+$F$15*Inputs!$F$78*$F$25+$F$17,$F$12*AZ28+$F$13*AZ29+$F$14*AZ30+$F$15*AZ31+$F$16*AZ32+$F$17)</f>
        <v/>
      </c>
      <c r="BA44" s="13">
        <f>Construction!BA15*IF(Inputs!$F$34=1,$F$12*Inputs!$F$75*$F$25+$F$13*Inputs!$F$76*$F$25+$F$14*Inputs!$F$77*$F$25+$F$15*Inputs!$F$78*$F$25+$F$17,$F$12*BA28+$F$13*BA29+$F$14*BA30+$F$15*BA31+$F$16*BA32+$F$17)</f>
        <v/>
      </c>
      <c r="BB44" s="13">
        <f>Construction!BB15*IF(Inputs!$F$34=1,$F$12*Inputs!$F$75*$F$25+$F$13*Inputs!$F$76*$F$25+$F$14*Inputs!$F$77*$F$25+$F$15*Inputs!$F$78*$F$25+$F$17,$F$12*BB28+$F$13*BB29+$F$14*BB30+$F$15*BB31+$F$16*BB32+$F$17)</f>
        <v/>
      </c>
      <c r="BC44" s="13">
        <f>Construction!BC15*IF(Inputs!$F$34=1,$F$12*Inputs!$F$75*$F$25+$F$13*Inputs!$F$76*$F$25+$F$14*Inputs!$F$77*$F$25+$F$15*Inputs!$F$78*$F$25+$F$17,$F$12*BC28+$F$13*BC29+$F$14*BC30+$F$15*BC31+$F$16*BC32+$F$17)</f>
        <v/>
      </c>
      <c r="BD44" s="13">
        <f>Construction!BD15*IF(Inputs!$F$34=1,$F$12*Inputs!$F$75*$F$25+$F$13*Inputs!$F$76*$F$25+$F$14*Inputs!$F$77*$F$25+$F$15*Inputs!$F$78*$F$25+$F$17,$F$12*BD28+$F$13*BD29+$F$14*BD30+$F$15*BD31+$F$16*BD32+$F$17)</f>
        <v/>
      </c>
      <c r="BE44" s="13">
        <f>Construction!BE15*IF(Inputs!$F$34=1,$F$12*Inputs!$F$75*$F$25+$F$13*Inputs!$F$76*$F$25+$F$14*Inputs!$F$77*$F$25+$F$15*Inputs!$F$78*$F$25+$F$17,$F$12*BE28+$F$13*BE29+$F$14*BE30+$F$15*BE31+$F$16*BE32+$F$17)</f>
        <v/>
      </c>
      <c r="BF44" s="13">
        <f>Construction!BF15*IF(Inputs!$F$34=1,$F$12*Inputs!$F$75*$F$25+$F$13*Inputs!$F$76*$F$25+$F$14*Inputs!$F$77*$F$25+$F$15*Inputs!$F$78*$F$25+$F$17,$F$12*BF28+$F$13*BF29+$F$14*BF30+$F$15*BF31+$F$16*BF32+$F$17)</f>
        <v/>
      </c>
      <c r="BG44" s="13">
        <f>Construction!BG15*IF(Inputs!$F$34=1,$F$12*Inputs!$F$75*$F$25+$F$13*Inputs!$F$76*$F$25+$F$14*Inputs!$F$77*$F$25+$F$15*Inputs!$F$78*$F$25+$F$17,$F$12*BG28+$F$13*BG29+$F$14*BG30+$F$15*BG31+$F$16*BG32+$F$17)</f>
        <v/>
      </c>
      <c r="BH44" s="13">
        <f>Construction!BH15*IF(Inputs!$F$34=1,$F$12*Inputs!$F$75*$F$25+$F$13*Inputs!$F$76*$F$25+$F$14*Inputs!$F$77*$F$25+$F$15*Inputs!$F$78*$F$25+$F$17,$F$12*BH28+$F$13*BH29+$F$14*BH30+$F$15*BH31+$F$16*BH32+$F$17)</f>
        <v/>
      </c>
      <c r="BI44" s="13">
        <f>Construction!BI15*IF(Inputs!$F$34=1,$F$12*Inputs!$F$75*$F$25+$F$13*Inputs!$F$76*$F$25+$F$14*Inputs!$F$77*$F$25+$F$15*Inputs!$F$78*$F$25+$F$17,$F$12*BI28+$F$13*BI29+$F$14*BI30+$F$15*BI31+$F$16*BI32+$F$17)</f>
        <v/>
      </c>
      <c r="BJ44" s="13">
        <f>Construction!BJ15*IF(Inputs!$F$34=1,$F$12*Inputs!$F$75*$F$25+$F$13*Inputs!$F$76*$F$25+$F$14*Inputs!$F$77*$F$25+$F$15*Inputs!$F$78*$F$25+$F$17,$F$12*BJ28+$F$13*BJ29+$F$14*BJ30+$F$15*BJ31+$F$16*BJ32+$F$17)</f>
        <v/>
      </c>
    </row>
    <row r="45">
      <c r="D45" t="inlineStr">
        <is>
          <t>Uses before ECA premium</t>
        </is>
      </c>
      <c r="E45" t="inlineStr">
        <is>
          <t>USD m</t>
        </is>
      </c>
      <c r="J45" s="13">
        <f>Construction!J14*(Construction!J32+Construction!J38)+J33+J34+J35+J36+J37+J38+J39+J40+J41+J42+J43+J44</f>
        <v/>
      </c>
      <c r="K45" s="13">
        <f>Construction!K14*(Construction!K32+Construction!K38)+K33+K34+K35+K36+K37+K38+K39+K40+K41+K42+K43+K44</f>
        <v/>
      </c>
      <c r="L45" s="13">
        <f>Construction!L14*(Construction!L32+Construction!L38)+L33+L34+L35+L36+L37+L38+L39+L40+L41+L42+L43+L44</f>
        <v/>
      </c>
      <c r="M45" s="13">
        <f>Construction!M14*(Construction!M32+Construction!M38)+M33+M34+M35+M36+M37+M38+M39+M40+M41+M42+M43+M44</f>
        <v/>
      </c>
      <c r="N45" s="13">
        <f>Construction!N14*(Construction!N32+Construction!N38)+N33+N34+N35+N36+N37+N38+N39+N40+N41+N42+N43+N44</f>
        <v/>
      </c>
      <c r="O45" s="13">
        <f>Construction!O14*(Construction!O32+Construction!O38)+O33+O34+O35+O36+O37+O38+O39+O40+O41+O42+O43+O44</f>
        <v/>
      </c>
      <c r="P45" s="13">
        <f>Construction!P14*(Construction!P32+Construction!P38)+P33+P34+P35+P36+P37+P38+P39+P40+P41+P42+P43+P44</f>
        <v/>
      </c>
      <c r="Q45" s="13">
        <f>Construction!Q14*(Construction!Q32+Construction!Q38)+Q33+Q34+Q35+Q36+Q37+Q38+Q39+Q40+Q41+Q42+Q43+Q44</f>
        <v/>
      </c>
      <c r="R45" s="13">
        <f>Construction!R14*(Construction!R32+Construction!R38)+R33+R34+R35+R36+R37+R38+R39+R40+R41+R42+R43+R44</f>
        <v/>
      </c>
      <c r="S45" s="13">
        <f>Construction!S14*(Construction!S32+Construction!S38)+S33+S34+S35+S36+S37+S38+S39+S40+S41+S42+S43+S44</f>
        <v/>
      </c>
      <c r="T45" s="13">
        <f>Construction!T14*(Construction!T32+Construction!T38)+T33+T34+T35+T36+T37+T38+T39+T40+T41+T42+T43+T44</f>
        <v/>
      </c>
      <c r="U45" s="13">
        <f>Construction!U14*(Construction!U32+Construction!U38)+U33+U34+U35+U36+U37+U38+U39+U40+U41+U42+U43+U44</f>
        <v/>
      </c>
      <c r="V45" s="13">
        <f>Construction!V14*(Construction!V32+Construction!V38)+V33+V34+V35+V36+V37+V38+V39+V40+V41+V42+V43+V44</f>
        <v/>
      </c>
      <c r="W45" s="13">
        <f>Construction!W14*(Construction!W32+Construction!W38)+W33+W34+W35+W36+W37+W38+W39+W40+W41+W42+W43+W44</f>
        <v/>
      </c>
      <c r="X45" s="13">
        <f>Construction!X14*(Construction!X32+Construction!X38)+X33+X34+X35+X36+X37+X38+X39+X40+X41+X42+X43+X44</f>
        <v/>
      </c>
      <c r="Y45" s="13">
        <f>Construction!Y14*(Construction!Y32+Construction!Y38)+Y33+Y34+Y35+Y36+Y37+Y38+Y39+Y40+Y41+Y42+Y43+Y44</f>
        <v/>
      </c>
      <c r="Z45" s="13">
        <f>Construction!Z14*(Construction!Z32+Construction!Z38)+Z33+Z34+Z35+Z36+Z37+Z38+Z39+Z40+Z41+Z42+Z43+Z44</f>
        <v/>
      </c>
      <c r="AA45" s="13">
        <f>Construction!AA14*(Construction!AA32+Construction!AA38)+AA33+AA34+AA35+AA36+AA37+AA38+AA39+AA40+AA41+AA42+AA43+AA44</f>
        <v/>
      </c>
      <c r="AB45" s="13">
        <f>Construction!AB14*(Construction!AB32+Construction!AB38)+AB33+AB34+AB35+AB36+AB37+AB38+AB39+AB40+AB41+AB42+AB43+AB44</f>
        <v/>
      </c>
      <c r="AC45" s="13">
        <f>Construction!AC14*(Construction!AC32+Construction!AC38)+AC33+AC34+AC35+AC36+AC37+AC38+AC39+AC40+AC41+AC42+AC43+AC44</f>
        <v/>
      </c>
      <c r="AD45" s="13">
        <f>Construction!AD14*(Construction!AD32+Construction!AD38)+AD33+AD34+AD35+AD36+AD37+AD38+AD39+AD40+AD41+AD42+AD43+AD44</f>
        <v/>
      </c>
      <c r="AE45" s="13">
        <f>Construction!AE14*(Construction!AE32+Construction!AE38)+AE33+AE34+AE35+AE36+AE37+AE38+AE39+AE40+AE41+AE42+AE43+AE44</f>
        <v/>
      </c>
      <c r="AF45" s="13">
        <f>Construction!AF14*(Construction!AF32+Construction!AF38)+AF33+AF34+AF35+AF36+AF37+AF38+AF39+AF40+AF41+AF42+AF43+AF44</f>
        <v/>
      </c>
      <c r="AG45" s="13">
        <f>Construction!AG14*(Construction!AG32+Construction!AG38)+AG33+AG34+AG35+AG36+AG37+AG38+AG39+AG40+AG41+AG42+AG43+AG44</f>
        <v/>
      </c>
      <c r="AH45" s="13">
        <f>Construction!AH14*(Construction!AH32+Construction!AH38)+AH33+AH34+AH35+AH36+AH37+AH38+AH39+AH40+AH41+AH42+AH43+AH44</f>
        <v/>
      </c>
      <c r="AI45" s="13">
        <f>Construction!AI14*(Construction!AI32+Construction!AI38)+AI33+AI34+AI35+AI36+AI37+AI38+AI39+AI40+AI41+AI42+AI43+AI44</f>
        <v/>
      </c>
      <c r="AJ45" s="13">
        <f>Construction!AJ14*(Construction!AJ32+Construction!AJ38)+AJ33+AJ34+AJ35+AJ36+AJ37+AJ38+AJ39+AJ40+AJ41+AJ42+AJ43+AJ44</f>
        <v/>
      </c>
      <c r="AK45" s="13">
        <f>Construction!AK14*(Construction!AK32+Construction!AK38)+AK33+AK34+AK35+AK36+AK37+AK38+AK39+AK40+AK41+AK42+AK43+AK44</f>
        <v/>
      </c>
      <c r="AL45" s="13">
        <f>Construction!AL14*(Construction!AL32+Construction!AL38)+AL33+AL34+AL35+AL36+AL37+AL38+AL39+AL40+AL41+AL42+AL43+AL44</f>
        <v/>
      </c>
      <c r="AM45" s="13">
        <f>Construction!AM14*(Construction!AM32+Construction!AM38)+AM33+AM34+AM35+AM36+AM37+AM38+AM39+AM40+AM41+AM42+AM43+AM44</f>
        <v/>
      </c>
      <c r="AN45" s="13">
        <f>Construction!AN14*(Construction!AN32+Construction!AN38)+AN33+AN34+AN35+AN36+AN37+AN38+AN39+AN40+AN41+AN42+AN43+AN44</f>
        <v/>
      </c>
      <c r="AO45" s="13">
        <f>Construction!AO14*(Construction!AO32+Construction!AO38)+AO33+AO34+AO35+AO36+AO37+AO38+AO39+AO40+AO41+AO42+AO43+AO44</f>
        <v/>
      </c>
      <c r="AP45" s="13">
        <f>Construction!AP14*(Construction!AP32+Construction!AP38)+AP33+AP34+AP35+AP36+AP37+AP38+AP39+AP40+AP41+AP42+AP43+AP44</f>
        <v/>
      </c>
      <c r="AQ45" s="13">
        <f>Construction!AQ14*(Construction!AQ32+Construction!AQ38)+AQ33+AQ34+AQ35+AQ36+AQ37+AQ38+AQ39+AQ40+AQ41+AQ42+AQ43+AQ44</f>
        <v/>
      </c>
      <c r="AR45" s="13">
        <f>Construction!AR14*(Construction!AR32+Construction!AR38)+AR33+AR34+AR35+AR36+AR37+AR38+AR39+AR40+AR41+AR42+AR43+AR44</f>
        <v/>
      </c>
      <c r="AS45" s="13">
        <f>Construction!AS14*(Construction!AS32+Construction!AS38)+AS33+AS34+AS35+AS36+AS37+AS38+AS39+AS40+AS41+AS42+AS43+AS44</f>
        <v/>
      </c>
      <c r="AT45" s="13">
        <f>Construction!AT14*(Construction!AT32+Construction!AT38)+AT33+AT34+AT35+AT36+AT37+AT38+AT39+AT40+AT41+AT42+AT43+AT44</f>
        <v/>
      </c>
      <c r="AU45" s="13">
        <f>Construction!AU14*(Construction!AU32+Construction!AU38)+AU33+AU34+AU35+AU36+AU37+AU38+AU39+AU40+AU41+AU42+AU43+AU44</f>
        <v/>
      </c>
      <c r="AV45" s="13">
        <f>Construction!AV14*(Construction!AV32+Construction!AV38)+AV33+AV34+AV35+AV36+AV37+AV38+AV39+AV40+AV41+AV42+AV43+AV44</f>
        <v/>
      </c>
      <c r="AW45" s="13">
        <f>Construction!AW14*(Construction!AW32+Construction!AW38)+AW33+AW34+AW35+AW36+AW37+AW38+AW39+AW40+AW41+AW42+AW43+AW44</f>
        <v/>
      </c>
      <c r="AX45" s="13">
        <f>Construction!AX14*(Construction!AX32+Construction!AX38)+AX33+AX34+AX35+AX36+AX37+AX38+AX39+AX40+AX41+AX42+AX43+AX44</f>
        <v/>
      </c>
      <c r="AY45" s="13">
        <f>Construction!AY14*(Construction!AY32+Construction!AY38)+AY33+AY34+AY35+AY36+AY37+AY38+AY39+AY40+AY41+AY42+AY43+AY44</f>
        <v/>
      </c>
      <c r="AZ45" s="13">
        <f>Construction!AZ14*(Construction!AZ32+Construction!AZ38)+AZ33+AZ34+AZ35+AZ36+AZ37+AZ38+AZ39+AZ40+AZ41+AZ42+AZ43+AZ44</f>
        <v/>
      </c>
      <c r="BA45" s="13">
        <f>Construction!BA14*(Construction!BA32+Construction!BA38)+BA33+BA34+BA35+BA36+BA37+BA38+BA39+BA40+BA41+BA42+BA43+BA44</f>
        <v/>
      </c>
      <c r="BB45" s="13">
        <f>Construction!BB14*(Construction!BB32+Construction!BB38)+BB33+BB34+BB35+BB36+BB37+BB38+BB39+BB40+BB41+BB42+BB43+BB44</f>
        <v/>
      </c>
      <c r="BC45" s="13">
        <f>Construction!BC14*(Construction!BC32+Construction!BC38)+BC33+BC34+BC35+BC36+BC37+BC38+BC39+BC40+BC41+BC42+BC43+BC44</f>
        <v/>
      </c>
      <c r="BD45" s="13">
        <f>Construction!BD14*(Construction!BD32+Construction!BD38)+BD33+BD34+BD35+BD36+BD37+BD38+BD39+BD40+BD41+BD42+BD43+BD44</f>
        <v/>
      </c>
      <c r="BE45" s="13">
        <f>Construction!BE14*(Construction!BE32+Construction!BE38)+BE33+BE34+BE35+BE36+BE37+BE38+BE39+BE40+BE41+BE42+BE43+BE44</f>
        <v/>
      </c>
      <c r="BF45" s="13">
        <f>Construction!BF14*(Construction!BF32+Construction!BF38)+BF33+BF34+BF35+BF36+BF37+BF38+BF39+BF40+BF41+BF42+BF43+BF44</f>
        <v/>
      </c>
      <c r="BG45" s="13">
        <f>Construction!BG14*(Construction!BG32+Construction!BG38)+BG33+BG34+BG35+BG36+BG37+BG38+BG39+BG40+BG41+BG42+BG43+BG44</f>
        <v/>
      </c>
      <c r="BH45" s="13">
        <f>Construction!BH14*(Construction!BH32+Construction!BH38)+BH33+BH34+BH35+BH36+BH37+BH38+BH39+BH40+BH41+BH42+BH43+BH44</f>
        <v/>
      </c>
      <c r="BI45" s="13">
        <f>Construction!BI14*(Construction!BI32+Construction!BI38)+BI33+BI34+BI35+BI36+BI37+BI38+BI39+BI40+BI41+BI42+BI43+BI44</f>
        <v/>
      </c>
      <c r="BJ45" s="13">
        <f>Construction!BJ14*(Construction!BJ32+Construction!BJ38)+BJ33+BJ34+BJ35+BJ36+BJ37+BJ38+BJ39+BJ40+BJ41+BJ42+BJ43+BJ44</f>
        <v/>
      </c>
    </row>
    <row r="46">
      <c r="D46" t="inlineStr">
        <is>
          <t>Headroom on committed senior tranches</t>
        </is>
      </c>
      <c r="E46" t="inlineStr">
        <is>
          <t>USD m</t>
        </is>
      </c>
      <c r="J46" s="13">
        <f>$F$25-J28-J29-J30-J31</f>
        <v/>
      </c>
      <c r="K46" s="13">
        <f>$F$25-K28-K29-K30-K31</f>
        <v/>
      </c>
      <c r="L46" s="13">
        <f>$F$25-L28-L29-L30-L31</f>
        <v/>
      </c>
      <c r="M46" s="13">
        <f>$F$25-M28-M29-M30-M31</f>
        <v/>
      </c>
      <c r="N46" s="13">
        <f>$F$25-N28-N29-N30-N31</f>
        <v/>
      </c>
      <c r="O46" s="13">
        <f>$F$25-O28-O29-O30-O31</f>
        <v/>
      </c>
      <c r="P46" s="13">
        <f>$F$25-P28-P29-P30-P31</f>
        <v/>
      </c>
      <c r="Q46" s="13">
        <f>$F$25-Q28-Q29-Q30-Q31</f>
        <v/>
      </c>
      <c r="R46" s="13">
        <f>$F$25-R28-R29-R30-R31</f>
        <v/>
      </c>
      <c r="S46" s="13">
        <f>$F$25-S28-S29-S30-S31</f>
        <v/>
      </c>
      <c r="T46" s="13">
        <f>$F$25-T28-T29-T30-T31</f>
        <v/>
      </c>
      <c r="U46" s="13">
        <f>$F$25-U28-U29-U30-U31</f>
        <v/>
      </c>
      <c r="V46" s="13">
        <f>$F$25-V28-V29-V30-V31</f>
        <v/>
      </c>
      <c r="W46" s="13">
        <f>$F$25-W28-W29-W30-W31</f>
        <v/>
      </c>
      <c r="X46" s="13">
        <f>$F$25-X28-X29-X30-X31</f>
        <v/>
      </c>
      <c r="Y46" s="13">
        <f>$F$25-Y28-Y29-Y30-Y31</f>
        <v/>
      </c>
      <c r="Z46" s="13">
        <f>$F$25-Z28-Z29-Z30-Z31</f>
        <v/>
      </c>
      <c r="AA46" s="13">
        <f>$F$25-AA28-AA29-AA30-AA31</f>
        <v/>
      </c>
      <c r="AB46" s="13">
        <f>$F$25-AB28-AB29-AB30-AB31</f>
        <v/>
      </c>
      <c r="AC46" s="13">
        <f>$F$25-AC28-AC29-AC30-AC31</f>
        <v/>
      </c>
      <c r="AD46" s="13">
        <f>$F$25-AD28-AD29-AD30-AD31</f>
        <v/>
      </c>
      <c r="AE46" s="13">
        <f>$F$25-AE28-AE29-AE30-AE31</f>
        <v/>
      </c>
      <c r="AF46" s="13">
        <f>$F$25-AF28-AF29-AF30-AF31</f>
        <v/>
      </c>
      <c r="AG46" s="13">
        <f>$F$25-AG28-AG29-AG30-AG31</f>
        <v/>
      </c>
      <c r="AH46" s="13">
        <f>$F$25-AH28-AH29-AH30-AH31</f>
        <v/>
      </c>
      <c r="AI46" s="13">
        <f>$F$25-AI28-AI29-AI30-AI31</f>
        <v/>
      </c>
      <c r="AJ46" s="13">
        <f>$F$25-AJ28-AJ29-AJ30-AJ31</f>
        <v/>
      </c>
      <c r="AK46" s="13">
        <f>$F$25-AK28-AK29-AK30-AK31</f>
        <v/>
      </c>
      <c r="AL46" s="13">
        <f>$F$25-AL28-AL29-AL30-AL31</f>
        <v/>
      </c>
      <c r="AM46" s="13">
        <f>$F$25-AM28-AM29-AM30-AM31</f>
        <v/>
      </c>
      <c r="AN46" s="13">
        <f>$F$25-AN28-AN29-AN30-AN31</f>
        <v/>
      </c>
      <c r="AO46" s="13">
        <f>$F$25-AO28-AO29-AO30-AO31</f>
        <v/>
      </c>
      <c r="AP46" s="13">
        <f>$F$25-AP28-AP29-AP30-AP31</f>
        <v/>
      </c>
      <c r="AQ46" s="13">
        <f>$F$25-AQ28-AQ29-AQ30-AQ31</f>
        <v/>
      </c>
      <c r="AR46" s="13">
        <f>$F$25-AR28-AR29-AR30-AR31</f>
        <v/>
      </c>
      <c r="AS46" s="13">
        <f>$F$25-AS28-AS29-AS30-AS31</f>
        <v/>
      </c>
      <c r="AT46" s="13">
        <f>$F$25-AT28-AT29-AT30-AT31</f>
        <v/>
      </c>
      <c r="AU46" s="13">
        <f>$F$25-AU28-AU29-AU30-AU31</f>
        <v/>
      </c>
      <c r="AV46" s="13">
        <f>$F$25-AV28-AV29-AV30-AV31</f>
        <v/>
      </c>
      <c r="AW46" s="13">
        <f>$F$25-AW28-AW29-AW30-AW31</f>
        <v/>
      </c>
      <c r="AX46" s="13">
        <f>$F$25-AX28-AX29-AX30-AX31</f>
        <v/>
      </c>
      <c r="AY46" s="13">
        <f>$F$25-AY28-AY29-AY30-AY31</f>
        <v/>
      </c>
      <c r="AZ46" s="13">
        <f>$F$25-AZ28-AZ29-AZ30-AZ31</f>
        <v/>
      </c>
      <c r="BA46" s="13">
        <f>$F$25-BA28-BA29-BA30-BA31</f>
        <v/>
      </c>
      <c r="BB46" s="13">
        <f>$F$25-BB28-BB29-BB30-BB31</f>
        <v/>
      </c>
      <c r="BC46" s="13">
        <f>$F$25-BC28-BC29-BC30-BC31</f>
        <v/>
      </c>
      <c r="BD46" s="13">
        <f>$F$25-BD28-BD29-BD30-BD31</f>
        <v/>
      </c>
      <c r="BE46" s="13">
        <f>$F$25-BE28-BE29-BE30-BE31</f>
        <v/>
      </c>
      <c r="BF46" s="13">
        <f>$F$25-BF28-BF29-BF30-BF31</f>
        <v/>
      </c>
      <c r="BG46" s="13">
        <f>$F$25-BG28-BG29-BG30-BG31</f>
        <v/>
      </c>
      <c r="BH46" s="13">
        <f>$F$25-BH28-BH29-BH30-BH31</f>
        <v/>
      </c>
      <c r="BI46" s="13">
        <f>$F$25-BI28-BI29-BI30-BI31</f>
        <v/>
      </c>
      <c r="BJ46" s="13">
        <f>$F$25-BJ28-BJ29-BJ30-BJ31</f>
        <v/>
      </c>
    </row>
    <row r="47">
      <c r="D47" t="inlineStr">
        <is>
          <t>Senior tranche drawdown (pro rata)</t>
        </is>
      </c>
      <c r="E47" t="inlineStr">
        <is>
          <t>USD m</t>
        </is>
      </c>
      <c r="G47" s="13">
        <f>SUM(J47:BJ47)</f>
        <v/>
      </c>
      <c r="J47" s="13">
        <f>MIN($F$26*J45/(1-Inputs!$F$94/100*Inputs!$F$75*$F$26),J46)</f>
        <v/>
      </c>
      <c r="K47" s="13">
        <f>MIN($F$26*K45/(1-Inputs!$F$94/100*Inputs!$F$75*$F$26),K46)</f>
        <v/>
      </c>
      <c r="L47" s="13">
        <f>MIN($F$26*L45/(1-Inputs!$F$94/100*Inputs!$F$75*$F$26),L46)</f>
        <v/>
      </c>
      <c r="M47" s="13">
        <f>MIN($F$26*M45/(1-Inputs!$F$94/100*Inputs!$F$75*$F$26),M46)</f>
        <v/>
      </c>
      <c r="N47" s="13">
        <f>MIN($F$26*N45/(1-Inputs!$F$94/100*Inputs!$F$75*$F$26),N46)</f>
        <v/>
      </c>
      <c r="O47" s="13">
        <f>MIN($F$26*O45/(1-Inputs!$F$94/100*Inputs!$F$75*$F$26),O46)</f>
        <v/>
      </c>
      <c r="P47" s="13">
        <f>MIN($F$26*P45/(1-Inputs!$F$94/100*Inputs!$F$75*$F$26),P46)</f>
        <v/>
      </c>
      <c r="Q47" s="13">
        <f>MIN($F$26*Q45/(1-Inputs!$F$94/100*Inputs!$F$75*$F$26),Q46)</f>
        <v/>
      </c>
      <c r="R47" s="13">
        <f>MIN($F$26*R45/(1-Inputs!$F$94/100*Inputs!$F$75*$F$26),R46)</f>
        <v/>
      </c>
      <c r="S47" s="13">
        <f>MIN($F$26*S45/(1-Inputs!$F$94/100*Inputs!$F$75*$F$26),S46)</f>
        <v/>
      </c>
      <c r="T47" s="13">
        <f>MIN($F$26*T45/(1-Inputs!$F$94/100*Inputs!$F$75*$F$26),T46)</f>
        <v/>
      </c>
      <c r="U47" s="13">
        <f>MIN($F$26*U45/(1-Inputs!$F$94/100*Inputs!$F$75*$F$26),U46)</f>
        <v/>
      </c>
      <c r="V47" s="13">
        <f>MIN($F$26*V45/(1-Inputs!$F$94/100*Inputs!$F$75*$F$26),V46)</f>
        <v/>
      </c>
      <c r="W47" s="13">
        <f>MIN($F$26*W45/(1-Inputs!$F$94/100*Inputs!$F$75*$F$26),W46)</f>
        <v/>
      </c>
      <c r="X47" s="13">
        <f>MIN($F$26*X45/(1-Inputs!$F$94/100*Inputs!$F$75*$F$26),X46)</f>
        <v/>
      </c>
      <c r="Y47" s="13">
        <f>MIN($F$26*Y45/(1-Inputs!$F$94/100*Inputs!$F$75*$F$26),Y46)</f>
        <v/>
      </c>
      <c r="Z47" s="13">
        <f>MIN($F$26*Z45/(1-Inputs!$F$94/100*Inputs!$F$75*$F$26),Z46)</f>
        <v/>
      </c>
      <c r="AA47" s="13">
        <f>MIN($F$26*AA45/(1-Inputs!$F$94/100*Inputs!$F$75*$F$26),AA46)</f>
        <v/>
      </c>
      <c r="AB47" s="13">
        <f>MIN($F$26*AB45/(1-Inputs!$F$94/100*Inputs!$F$75*$F$26),AB46)</f>
        <v/>
      </c>
      <c r="AC47" s="13">
        <f>MIN($F$26*AC45/(1-Inputs!$F$94/100*Inputs!$F$75*$F$26),AC46)</f>
        <v/>
      </c>
      <c r="AD47" s="13">
        <f>MIN($F$26*AD45/(1-Inputs!$F$94/100*Inputs!$F$75*$F$26),AD46)</f>
        <v/>
      </c>
      <c r="AE47" s="13">
        <f>MIN($F$26*AE45/(1-Inputs!$F$94/100*Inputs!$F$75*$F$26),AE46)</f>
        <v/>
      </c>
      <c r="AF47" s="13">
        <f>MIN($F$26*AF45/(1-Inputs!$F$94/100*Inputs!$F$75*$F$26),AF46)</f>
        <v/>
      </c>
      <c r="AG47" s="13">
        <f>MIN($F$26*AG45/(1-Inputs!$F$94/100*Inputs!$F$75*$F$26),AG46)</f>
        <v/>
      </c>
      <c r="AH47" s="13">
        <f>MIN($F$26*AH45/(1-Inputs!$F$94/100*Inputs!$F$75*$F$26),AH46)</f>
        <v/>
      </c>
      <c r="AI47" s="13">
        <f>MIN($F$26*AI45/(1-Inputs!$F$94/100*Inputs!$F$75*$F$26),AI46)</f>
        <v/>
      </c>
      <c r="AJ47" s="13">
        <f>MIN($F$26*AJ45/(1-Inputs!$F$94/100*Inputs!$F$75*$F$26),AJ46)</f>
        <v/>
      </c>
      <c r="AK47" s="13">
        <f>MIN($F$26*AK45/(1-Inputs!$F$94/100*Inputs!$F$75*$F$26),AK46)</f>
        <v/>
      </c>
      <c r="AL47" s="13">
        <f>MIN($F$26*AL45/(1-Inputs!$F$94/100*Inputs!$F$75*$F$26),AL46)</f>
        <v/>
      </c>
      <c r="AM47" s="13">
        <f>MIN($F$26*AM45/(1-Inputs!$F$94/100*Inputs!$F$75*$F$26),AM46)</f>
        <v/>
      </c>
      <c r="AN47" s="13">
        <f>MIN($F$26*AN45/(1-Inputs!$F$94/100*Inputs!$F$75*$F$26),AN46)</f>
        <v/>
      </c>
      <c r="AO47" s="13">
        <f>MIN($F$26*AO45/(1-Inputs!$F$94/100*Inputs!$F$75*$F$26),AO46)</f>
        <v/>
      </c>
      <c r="AP47" s="13">
        <f>MIN($F$26*AP45/(1-Inputs!$F$94/100*Inputs!$F$75*$F$26),AP46)</f>
        <v/>
      </c>
      <c r="AQ47" s="13">
        <f>MIN($F$26*AQ45/(1-Inputs!$F$94/100*Inputs!$F$75*$F$26),AQ46)</f>
        <v/>
      </c>
      <c r="AR47" s="13">
        <f>MIN($F$26*AR45/(1-Inputs!$F$94/100*Inputs!$F$75*$F$26),AR46)</f>
        <v/>
      </c>
      <c r="AS47" s="13">
        <f>MIN($F$26*AS45/(1-Inputs!$F$94/100*Inputs!$F$75*$F$26),AS46)</f>
        <v/>
      </c>
      <c r="AT47" s="13">
        <f>MIN($F$26*AT45/(1-Inputs!$F$94/100*Inputs!$F$75*$F$26),AT46)</f>
        <v/>
      </c>
      <c r="AU47" s="13">
        <f>MIN($F$26*AU45/(1-Inputs!$F$94/100*Inputs!$F$75*$F$26),AU46)</f>
        <v/>
      </c>
      <c r="AV47" s="13">
        <f>MIN($F$26*AV45/(1-Inputs!$F$94/100*Inputs!$F$75*$F$26),AV46)</f>
        <v/>
      </c>
      <c r="AW47" s="13">
        <f>MIN($F$26*AW45/(1-Inputs!$F$94/100*Inputs!$F$75*$F$26),AW46)</f>
        <v/>
      </c>
      <c r="AX47" s="13">
        <f>MIN($F$26*AX45/(1-Inputs!$F$94/100*Inputs!$F$75*$F$26),AX46)</f>
        <v/>
      </c>
      <c r="AY47" s="13">
        <f>MIN($F$26*AY45/(1-Inputs!$F$94/100*Inputs!$F$75*$F$26),AY46)</f>
        <v/>
      </c>
      <c r="AZ47" s="13">
        <f>MIN($F$26*AZ45/(1-Inputs!$F$94/100*Inputs!$F$75*$F$26),AZ46)</f>
        <v/>
      </c>
      <c r="BA47" s="13">
        <f>MIN($F$26*BA45/(1-Inputs!$F$94/100*Inputs!$F$75*$F$26),BA46)</f>
        <v/>
      </c>
      <c r="BB47" s="13">
        <f>MIN($F$26*BB45/(1-Inputs!$F$94/100*Inputs!$F$75*$F$26),BB46)</f>
        <v/>
      </c>
      <c r="BC47" s="13">
        <f>MIN($F$26*BC45/(1-Inputs!$F$94/100*Inputs!$F$75*$F$26),BC46)</f>
        <v/>
      </c>
      <c r="BD47" s="13">
        <f>MIN($F$26*BD45/(1-Inputs!$F$94/100*Inputs!$F$75*$F$26),BD46)</f>
        <v/>
      </c>
      <c r="BE47" s="13">
        <f>MIN($F$26*BE45/(1-Inputs!$F$94/100*Inputs!$F$75*$F$26),BE46)</f>
        <v/>
      </c>
      <c r="BF47" s="13">
        <f>MIN($F$26*BF45/(1-Inputs!$F$94/100*Inputs!$F$75*$F$26),BF46)</f>
        <v/>
      </c>
      <c r="BG47" s="13">
        <f>MIN($F$26*BG45/(1-Inputs!$F$94/100*Inputs!$F$75*$F$26),BG46)</f>
        <v/>
      </c>
      <c r="BH47" s="13">
        <f>MIN($F$26*BH45/(1-Inputs!$F$94/100*Inputs!$F$75*$F$26),BH46)</f>
        <v/>
      </c>
      <c r="BI47" s="13">
        <f>MIN($F$26*BI45/(1-Inputs!$F$94/100*Inputs!$F$75*$F$26),BI46)</f>
        <v/>
      </c>
      <c r="BJ47" s="13">
        <f>MIN($F$26*BJ45/(1-Inputs!$F$94/100*Inputs!$F$75*$F$26),BJ46)</f>
        <v/>
      </c>
    </row>
    <row r="48">
      <c r="D48" t="inlineStr">
        <is>
          <t>ECA premium (financed)</t>
        </is>
      </c>
      <c r="E48" t="inlineStr">
        <is>
          <t>USD m</t>
        </is>
      </c>
      <c r="G48" s="13">
        <f>SUM(J48:BJ48)</f>
        <v/>
      </c>
      <c r="J48" s="13">
        <f>Inputs!$F$94/100*Inputs!$F$75*J47</f>
        <v/>
      </c>
      <c r="K48" s="13">
        <f>Inputs!$F$94/100*Inputs!$F$75*K47</f>
        <v/>
      </c>
      <c r="L48" s="13">
        <f>Inputs!$F$94/100*Inputs!$F$75*L47</f>
        <v/>
      </c>
      <c r="M48" s="13">
        <f>Inputs!$F$94/100*Inputs!$F$75*M47</f>
        <v/>
      </c>
      <c r="N48" s="13">
        <f>Inputs!$F$94/100*Inputs!$F$75*N47</f>
        <v/>
      </c>
      <c r="O48" s="13">
        <f>Inputs!$F$94/100*Inputs!$F$75*O47</f>
        <v/>
      </c>
      <c r="P48" s="13">
        <f>Inputs!$F$94/100*Inputs!$F$75*P47</f>
        <v/>
      </c>
      <c r="Q48" s="13">
        <f>Inputs!$F$94/100*Inputs!$F$75*Q47</f>
        <v/>
      </c>
      <c r="R48" s="13">
        <f>Inputs!$F$94/100*Inputs!$F$75*R47</f>
        <v/>
      </c>
      <c r="S48" s="13">
        <f>Inputs!$F$94/100*Inputs!$F$75*S47</f>
        <v/>
      </c>
      <c r="T48" s="13">
        <f>Inputs!$F$94/100*Inputs!$F$75*T47</f>
        <v/>
      </c>
      <c r="U48" s="13">
        <f>Inputs!$F$94/100*Inputs!$F$75*U47</f>
        <v/>
      </c>
      <c r="V48" s="13">
        <f>Inputs!$F$94/100*Inputs!$F$75*V47</f>
        <v/>
      </c>
      <c r="W48" s="13">
        <f>Inputs!$F$94/100*Inputs!$F$75*W47</f>
        <v/>
      </c>
      <c r="X48" s="13">
        <f>Inputs!$F$94/100*Inputs!$F$75*X47</f>
        <v/>
      </c>
      <c r="Y48" s="13">
        <f>Inputs!$F$94/100*Inputs!$F$75*Y47</f>
        <v/>
      </c>
      <c r="Z48" s="13">
        <f>Inputs!$F$94/100*Inputs!$F$75*Z47</f>
        <v/>
      </c>
      <c r="AA48" s="13">
        <f>Inputs!$F$94/100*Inputs!$F$75*AA47</f>
        <v/>
      </c>
      <c r="AB48" s="13">
        <f>Inputs!$F$94/100*Inputs!$F$75*AB47</f>
        <v/>
      </c>
      <c r="AC48" s="13">
        <f>Inputs!$F$94/100*Inputs!$F$75*AC47</f>
        <v/>
      </c>
      <c r="AD48" s="13">
        <f>Inputs!$F$94/100*Inputs!$F$75*AD47</f>
        <v/>
      </c>
      <c r="AE48" s="13">
        <f>Inputs!$F$94/100*Inputs!$F$75*AE47</f>
        <v/>
      </c>
      <c r="AF48" s="13">
        <f>Inputs!$F$94/100*Inputs!$F$75*AF47</f>
        <v/>
      </c>
      <c r="AG48" s="13">
        <f>Inputs!$F$94/100*Inputs!$F$75*AG47</f>
        <v/>
      </c>
      <c r="AH48" s="13">
        <f>Inputs!$F$94/100*Inputs!$F$75*AH47</f>
        <v/>
      </c>
      <c r="AI48" s="13">
        <f>Inputs!$F$94/100*Inputs!$F$75*AI47</f>
        <v/>
      </c>
      <c r="AJ48" s="13">
        <f>Inputs!$F$94/100*Inputs!$F$75*AJ47</f>
        <v/>
      </c>
      <c r="AK48" s="13">
        <f>Inputs!$F$94/100*Inputs!$F$75*AK47</f>
        <v/>
      </c>
      <c r="AL48" s="13">
        <f>Inputs!$F$94/100*Inputs!$F$75*AL47</f>
        <v/>
      </c>
      <c r="AM48" s="13">
        <f>Inputs!$F$94/100*Inputs!$F$75*AM47</f>
        <v/>
      </c>
      <c r="AN48" s="13">
        <f>Inputs!$F$94/100*Inputs!$F$75*AN47</f>
        <v/>
      </c>
      <c r="AO48" s="13">
        <f>Inputs!$F$94/100*Inputs!$F$75*AO47</f>
        <v/>
      </c>
      <c r="AP48" s="13">
        <f>Inputs!$F$94/100*Inputs!$F$75*AP47</f>
        <v/>
      </c>
      <c r="AQ48" s="13">
        <f>Inputs!$F$94/100*Inputs!$F$75*AQ47</f>
        <v/>
      </c>
      <c r="AR48" s="13">
        <f>Inputs!$F$94/100*Inputs!$F$75*AR47</f>
        <v/>
      </c>
      <c r="AS48" s="13">
        <f>Inputs!$F$94/100*Inputs!$F$75*AS47</f>
        <v/>
      </c>
      <c r="AT48" s="13">
        <f>Inputs!$F$94/100*Inputs!$F$75*AT47</f>
        <v/>
      </c>
      <c r="AU48" s="13">
        <f>Inputs!$F$94/100*Inputs!$F$75*AU47</f>
        <v/>
      </c>
      <c r="AV48" s="13">
        <f>Inputs!$F$94/100*Inputs!$F$75*AV47</f>
        <v/>
      </c>
      <c r="AW48" s="13">
        <f>Inputs!$F$94/100*Inputs!$F$75*AW47</f>
        <v/>
      </c>
      <c r="AX48" s="13">
        <f>Inputs!$F$94/100*Inputs!$F$75*AX47</f>
        <v/>
      </c>
      <c r="AY48" s="13">
        <f>Inputs!$F$94/100*Inputs!$F$75*AY47</f>
        <v/>
      </c>
      <c r="AZ48" s="13">
        <f>Inputs!$F$94/100*Inputs!$F$75*AZ47</f>
        <v/>
      </c>
      <c r="BA48" s="13">
        <f>Inputs!$F$94/100*Inputs!$F$75*BA47</f>
        <v/>
      </c>
      <c r="BB48" s="13">
        <f>Inputs!$F$94/100*Inputs!$F$75*BB47</f>
        <v/>
      </c>
      <c r="BC48" s="13">
        <f>Inputs!$F$94/100*Inputs!$F$75*BC47</f>
        <v/>
      </c>
      <c r="BD48" s="13">
        <f>Inputs!$F$94/100*Inputs!$F$75*BD47</f>
        <v/>
      </c>
      <c r="BE48" s="13">
        <f>Inputs!$F$94/100*Inputs!$F$75*BE47</f>
        <v/>
      </c>
      <c r="BF48" s="13">
        <f>Inputs!$F$94/100*Inputs!$F$75*BF47</f>
        <v/>
      </c>
      <c r="BG48" s="13">
        <f>Inputs!$F$94/100*Inputs!$F$75*BG47</f>
        <v/>
      </c>
      <c r="BH48" s="13">
        <f>Inputs!$F$94/100*Inputs!$F$75*BH47</f>
        <v/>
      </c>
      <c r="BI48" s="13">
        <f>Inputs!$F$94/100*Inputs!$F$75*BI47</f>
        <v/>
      </c>
      <c r="BJ48" s="13">
        <f>Inputs!$F$94/100*Inputs!$F$75*BJ47</f>
        <v/>
      </c>
    </row>
    <row r="49">
      <c r="D49" t="inlineStr">
        <is>
          <t>Total uses of funds</t>
        </is>
      </c>
      <c r="E49" t="inlineStr">
        <is>
          <t>USD m</t>
        </is>
      </c>
      <c r="G49" s="13">
        <f>SUM(J49:BJ49)</f>
        <v/>
      </c>
      <c r="J49" s="13">
        <f>J45+J48</f>
        <v/>
      </c>
      <c r="K49" s="13">
        <f>K45+K48</f>
        <v/>
      </c>
      <c r="L49" s="13">
        <f>L45+L48</f>
        <v/>
      </c>
      <c r="M49" s="13">
        <f>M45+M48</f>
        <v/>
      </c>
      <c r="N49" s="13">
        <f>N45+N48</f>
        <v/>
      </c>
      <c r="O49" s="13">
        <f>O45+O48</f>
        <v/>
      </c>
      <c r="P49" s="13">
        <f>P45+P48</f>
        <v/>
      </c>
      <c r="Q49" s="13">
        <f>Q45+Q48</f>
        <v/>
      </c>
      <c r="R49" s="13">
        <f>R45+R48</f>
        <v/>
      </c>
      <c r="S49" s="13">
        <f>S45+S48</f>
        <v/>
      </c>
      <c r="T49" s="13">
        <f>T45+T48</f>
        <v/>
      </c>
      <c r="U49" s="13">
        <f>U45+U48</f>
        <v/>
      </c>
      <c r="V49" s="13">
        <f>V45+V48</f>
        <v/>
      </c>
      <c r="W49" s="13">
        <f>W45+W48</f>
        <v/>
      </c>
      <c r="X49" s="13">
        <f>X45+X48</f>
        <v/>
      </c>
      <c r="Y49" s="13">
        <f>Y45+Y48</f>
        <v/>
      </c>
      <c r="Z49" s="13">
        <f>Z45+Z48</f>
        <v/>
      </c>
      <c r="AA49" s="13">
        <f>AA45+AA48</f>
        <v/>
      </c>
      <c r="AB49" s="13">
        <f>AB45+AB48</f>
        <v/>
      </c>
      <c r="AC49" s="13">
        <f>AC45+AC48</f>
        <v/>
      </c>
      <c r="AD49" s="13">
        <f>AD45+AD48</f>
        <v/>
      </c>
      <c r="AE49" s="13">
        <f>AE45+AE48</f>
        <v/>
      </c>
      <c r="AF49" s="13">
        <f>AF45+AF48</f>
        <v/>
      </c>
      <c r="AG49" s="13">
        <f>AG45+AG48</f>
        <v/>
      </c>
      <c r="AH49" s="13">
        <f>AH45+AH48</f>
        <v/>
      </c>
      <c r="AI49" s="13">
        <f>AI45+AI48</f>
        <v/>
      </c>
      <c r="AJ49" s="13">
        <f>AJ45+AJ48</f>
        <v/>
      </c>
      <c r="AK49" s="13">
        <f>AK45+AK48</f>
        <v/>
      </c>
      <c r="AL49" s="13">
        <f>AL45+AL48</f>
        <v/>
      </c>
      <c r="AM49" s="13">
        <f>AM45+AM48</f>
        <v/>
      </c>
      <c r="AN49" s="13">
        <f>AN45+AN48</f>
        <v/>
      </c>
      <c r="AO49" s="13">
        <f>AO45+AO48</f>
        <v/>
      </c>
      <c r="AP49" s="13">
        <f>AP45+AP48</f>
        <v/>
      </c>
      <c r="AQ49" s="13">
        <f>AQ45+AQ48</f>
        <v/>
      </c>
      <c r="AR49" s="13">
        <f>AR45+AR48</f>
        <v/>
      </c>
      <c r="AS49" s="13">
        <f>AS45+AS48</f>
        <v/>
      </c>
      <c r="AT49" s="13">
        <f>AT45+AT48</f>
        <v/>
      </c>
      <c r="AU49" s="13">
        <f>AU45+AU48</f>
        <v/>
      </c>
      <c r="AV49" s="13">
        <f>AV45+AV48</f>
        <v/>
      </c>
      <c r="AW49" s="13">
        <f>AW45+AW48</f>
        <v/>
      </c>
      <c r="AX49" s="13">
        <f>AX45+AX48</f>
        <v/>
      </c>
      <c r="AY49" s="13">
        <f>AY45+AY48</f>
        <v/>
      </c>
      <c r="AZ49" s="13">
        <f>AZ45+AZ48</f>
        <v/>
      </c>
      <c r="BA49" s="13">
        <f>BA45+BA48</f>
        <v/>
      </c>
      <c r="BB49" s="13">
        <f>BB45+BB48</f>
        <v/>
      </c>
      <c r="BC49" s="13">
        <f>BC45+BC48</f>
        <v/>
      </c>
      <c r="BD49" s="13">
        <f>BD45+BD48</f>
        <v/>
      </c>
      <c r="BE49" s="13">
        <f>BE45+BE48</f>
        <v/>
      </c>
      <c r="BF49" s="13">
        <f>BF45+BF48</f>
        <v/>
      </c>
      <c r="BG49" s="13">
        <f>BG45+BG48</f>
        <v/>
      </c>
      <c r="BH49" s="13">
        <f>BH45+BH48</f>
        <v/>
      </c>
      <c r="BI49" s="13">
        <f>BI45+BI48</f>
        <v/>
      </c>
      <c r="BJ49" s="13">
        <f>BJ45+BJ48</f>
        <v/>
      </c>
    </row>
    <row r="50">
      <c r="D50" t="inlineStr">
        <is>
          <t>Funded pro rata from committed debt and equity</t>
        </is>
      </c>
      <c r="E50" t="inlineStr">
        <is>
          <t>USD m</t>
        </is>
      </c>
      <c r="G50" s="13">
        <f>SUM(J50:BJ50)</f>
        <v/>
      </c>
      <c r="J50" s="13">
        <f>J47/$F$26</f>
        <v/>
      </c>
      <c r="K50" s="13">
        <f>K47/$F$26</f>
        <v/>
      </c>
      <c r="L50" s="13">
        <f>L47/$F$26</f>
        <v/>
      </c>
      <c r="M50" s="13">
        <f>M47/$F$26</f>
        <v/>
      </c>
      <c r="N50" s="13">
        <f>N47/$F$26</f>
        <v/>
      </c>
      <c r="O50" s="13">
        <f>O47/$F$26</f>
        <v/>
      </c>
      <c r="P50" s="13">
        <f>P47/$F$26</f>
        <v/>
      </c>
      <c r="Q50" s="13">
        <f>Q47/$F$26</f>
        <v/>
      </c>
      <c r="R50" s="13">
        <f>R47/$F$26</f>
        <v/>
      </c>
      <c r="S50" s="13">
        <f>S47/$F$26</f>
        <v/>
      </c>
      <c r="T50" s="13">
        <f>T47/$F$26</f>
        <v/>
      </c>
      <c r="U50" s="13">
        <f>U47/$F$26</f>
        <v/>
      </c>
      <c r="V50" s="13">
        <f>V47/$F$26</f>
        <v/>
      </c>
      <c r="W50" s="13">
        <f>W47/$F$26</f>
        <v/>
      </c>
      <c r="X50" s="13">
        <f>X47/$F$26</f>
        <v/>
      </c>
      <c r="Y50" s="13">
        <f>Y47/$F$26</f>
        <v/>
      </c>
      <c r="Z50" s="13">
        <f>Z47/$F$26</f>
        <v/>
      </c>
      <c r="AA50" s="13">
        <f>AA47/$F$26</f>
        <v/>
      </c>
      <c r="AB50" s="13">
        <f>AB47/$F$26</f>
        <v/>
      </c>
      <c r="AC50" s="13">
        <f>AC47/$F$26</f>
        <v/>
      </c>
      <c r="AD50" s="13">
        <f>AD47/$F$26</f>
        <v/>
      </c>
      <c r="AE50" s="13">
        <f>AE47/$F$26</f>
        <v/>
      </c>
      <c r="AF50" s="13">
        <f>AF47/$F$26</f>
        <v/>
      </c>
      <c r="AG50" s="13">
        <f>AG47/$F$26</f>
        <v/>
      </c>
      <c r="AH50" s="13">
        <f>AH47/$F$26</f>
        <v/>
      </c>
      <c r="AI50" s="13">
        <f>AI47/$F$26</f>
        <v/>
      </c>
      <c r="AJ50" s="13">
        <f>AJ47/$F$26</f>
        <v/>
      </c>
      <c r="AK50" s="13">
        <f>AK47/$F$26</f>
        <v/>
      </c>
      <c r="AL50" s="13">
        <f>AL47/$F$26</f>
        <v/>
      </c>
      <c r="AM50" s="13">
        <f>AM47/$F$26</f>
        <v/>
      </c>
      <c r="AN50" s="13">
        <f>AN47/$F$26</f>
        <v/>
      </c>
      <c r="AO50" s="13">
        <f>AO47/$F$26</f>
        <v/>
      </c>
      <c r="AP50" s="13">
        <f>AP47/$F$26</f>
        <v/>
      </c>
      <c r="AQ50" s="13">
        <f>AQ47/$F$26</f>
        <v/>
      </c>
      <c r="AR50" s="13">
        <f>AR47/$F$26</f>
        <v/>
      </c>
      <c r="AS50" s="13">
        <f>AS47/$F$26</f>
        <v/>
      </c>
      <c r="AT50" s="13">
        <f>AT47/$F$26</f>
        <v/>
      </c>
      <c r="AU50" s="13">
        <f>AU47/$F$26</f>
        <v/>
      </c>
      <c r="AV50" s="13">
        <f>AV47/$F$26</f>
        <v/>
      </c>
      <c r="AW50" s="13">
        <f>AW47/$F$26</f>
        <v/>
      </c>
      <c r="AX50" s="13">
        <f>AX47/$F$26</f>
        <v/>
      </c>
      <c r="AY50" s="13">
        <f>AY47/$F$26</f>
        <v/>
      </c>
      <c r="AZ50" s="13">
        <f>AZ47/$F$26</f>
        <v/>
      </c>
      <c r="BA50" s="13">
        <f>BA47/$F$26</f>
        <v/>
      </c>
      <c r="BB50" s="13">
        <f>BB47/$F$26</f>
        <v/>
      </c>
      <c r="BC50" s="13">
        <f>BC47/$F$26</f>
        <v/>
      </c>
      <c r="BD50" s="13">
        <f>BD47/$F$26</f>
        <v/>
      </c>
      <c r="BE50" s="13">
        <f>BE47/$F$26</f>
        <v/>
      </c>
      <c r="BF50" s="13">
        <f>BF47/$F$26</f>
        <v/>
      </c>
      <c r="BG50" s="13">
        <f>BG47/$F$26</f>
        <v/>
      </c>
      <c r="BH50" s="13">
        <f>BH47/$F$26</f>
        <v/>
      </c>
      <c r="BI50" s="13">
        <f>BI47/$F$26</f>
        <v/>
      </c>
      <c r="BJ50" s="13">
        <f>BJ47/$F$26</f>
        <v/>
      </c>
    </row>
    <row r="51">
      <c r="D51" t="inlineStr">
        <is>
          <t>Remaining uses after committed facilities</t>
        </is>
      </c>
      <c r="E51" t="inlineStr">
        <is>
          <t>USD m</t>
        </is>
      </c>
      <c r="J51" s="13">
        <f>J49-J50</f>
        <v/>
      </c>
      <c r="K51" s="13">
        <f>K49-K50</f>
        <v/>
      </c>
      <c r="L51" s="13">
        <f>L49-L50</f>
        <v/>
      </c>
      <c r="M51" s="13">
        <f>M49-M50</f>
        <v/>
      </c>
      <c r="N51" s="13">
        <f>N49-N50</f>
        <v/>
      </c>
      <c r="O51" s="13">
        <f>O49-O50</f>
        <v/>
      </c>
      <c r="P51" s="13">
        <f>P49-P50</f>
        <v/>
      </c>
      <c r="Q51" s="13">
        <f>Q49-Q50</f>
        <v/>
      </c>
      <c r="R51" s="13">
        <f>R49-R50</f>
        <v/>
      </c>
      <c r="S51" s="13">
        <f>S49-S50</f>
        <v/>
      </c>
      <c r="T51" s="13">
        <f>T49-T50</f>
        <v/>
      </c>
      <c r="U51" s="13">
        <f>U49-U50</f>
        <v/>
      </c>
      <c r="V51" s="13">
        <f>V49-V50</f>
        <v/>
      </c>
      <c r="W51" s="13">
        <f>W49-W50</f>
        <v/>
      </c>
      <c r="X51" s="13">
        <f>X49-X50</f>
        <v/>
      </c>
      <c r="Y51" s="13">
        <f>Y49-Y50</f>
        <v/>
      </c>
      <c r="Z51" s="13">
        <f>Z49-Z50</f>
        <v/>
      </c>
      <c r="AA51" s="13">
        <f>AA49-AA50</f>
        <v/>
      </c>
      <c r="AB51" s="13">
        <f>AB49-AB50</f>
        <v/>
      </c>
      <c r="AC51" s="13">
        <f>AC49-AC50</f>
        <v/>
      </c>
      <c r="AD51" s="13">
        <f>AD49-AD50</f>
        <v/>
      </c>
      <c r="AE51" s="13">
        <f>AE49-AE50</f>
        <v/>
      </c>
      <c r="AF51" s="13">
        <f>AF49-AF50</f>
        <v/>
      </c>
      <c r="AG51" s="13">
        <f>AG49-AG50</f>
        <v/>
      </c>
      <c r="AH51" s="13">
        <f>AH49-AH50</f>
        <v/>
      </c>
      <c r="AI51" s="13">
        <f>AI49-AI50</f>
        <v/>
      </c>
      <c r="AJ51" s="13">
        <f>AJ49-AJ50</f>
        <v/>
      </c>
      <c r="AK51" s="13">
        <f>AK49-AK50</f>
        <v/>
      </c>
      <c r="AL51" s="13">
        <f>AL49-AL50</f>
        <v/>
      </c>
      <c r="AM51" s="13">
        <f>AM49-AM50</f>
        <v/>
      </c>
      <c r="AN51" s="13">
        <f>AN49-AN50</f>
        <v/>
      </c>
      <c r="AO51" s="13">
        <f>AO49-AO50</f>
        <v/>
      </c>
      <c r="AP51" s="13">
        <f>AP49-AP50</f>
        <v/>
      </c>
      <c r="AQ51" s="13">
        <f>AQ49-AQ50</f>
        <v/>
      </c>
      <c r="AR51" s="13">
        <f>AR49-AR50</f>
        <v/>
      </c>
      <c r="AS51" s="13">
        <f>AS49-AS50</f>
        <v/>
      </c>
      <c r="AT51" s="13">
        <f>AT49-AT50</f>
        <v/>
      </c>
      <c r="AU51" s="13">
        <f>AU49-AU50</f>
        <v/>
      </c>
      <c r="AV51" s="13">
        <f>AV49-AV50</f>
        <v/>
      </c>
      <c r="AW51" s="13">
        <f>AW49-AW50</f>
        <v/>
      </c>
      <c r="AX51" s="13">
        <f>AX49-AX50</f>
        <v/>
      </c>
      <c r="AY51" s="13">
        <f>AY49-AY50</f>
        <v/>
      </c>
      <c r="AZ51" s="13">
        <f>AZ49-AZ50</f>
        <v/>
      </c>
      <c r="BA51" s="13">
        <f>BA49-BA50</f>
        <v/>
      </c>
      <c r="BB51" s="13">
        <f>BB49-BB50</f>
        <v/>
      </c>
      <c r="BC51" s="13">
        <f>BC49-BC50</f>
        <v/>
      </c>
      <c r="BD51" s="13">
        <f>BD49-BD50</f>
        <v/>
      </c>
      <c r="BE51" s="13">
        <f>BE49-BE50</f>
        <v/>
      </c>
      <c r="BF51" s="13">
        <f>BF49-BF50</f>
        <v/>
      </c>
      <c r="BG51" s="13">
        <f>BG49-BG50</f>
        <v/>
      </c>
      <c r="BH51" s="13">
        <f>BH49-BH50</f>
        <v/>
      </c>
      <c r="BI51" s="13">
        <f>BI49-BI50</f>
        <v/>
      </c>
      <c r="BJ51" s="13">
        <f>BJ49-BJ50</f>
        <v/>
      </c>
    </row>
    <row r="52">
      <c r="D52" t="inlineStr">
        <is>
          <t>Delay LDs and DSU proceeds received</t>
        </is>
      </c>
      <c r="E52" t="inlineStr">
        <is>
          <t>USD m</t>
        </is>
      </c>
      <c r="G52" s="13">
        <f>SUM(J52:BJ52)</f>
        <v/>
      </c>
      <c r="J52" s="13">
        <f>IF(AND(Inputs!$F$34&lt;&gt;1,Construction!J8=Inputs!$F$245),Inputs!$F$265+Inputs!$F$266,0)</f>
        <v/>
      </c>
      <c r="K52" s="13">
        <f>IF(AND(Inputs!$F$34&lt;&gt;1,Construction!K8=Inputs!$F$245),Inputs!$F$265+Inputs!$F$266,0)</f>
        <v/>
      </c>
      <c r="L52" s="13">
        <f>IF(AND(Inputs!$F$34&lt;&gt;1,Construction!L8=Inputs!$F$245),Inputs!$F$265+Inputs!$F$266,0)</f>
        <v/>
      </c>
      <c r="M52" s="13">
        <f>IF(AND(Inputs!$F$34&lt;&gt;1,Construction!M8=Inputs!$F$245),Inputs!$F$265+Inputs!$F$266,0)</f>
        <v/>
      </c>
      <c r="N52" s="13">
        <f>IF(AND(Inputs!$F$34&lt;&gt;1,Construction!N8=Inputs!$F$245),Inputs!$F$265+Inputs!$F$266,0)</f>
        <v/>
      </c>
      <c r="O52" s="13">
        <f>IF(AND(Inputs!$F$34&lt;&gt;1,Construction!O8=Inputs!$F$245),Inputs!$F$265+Inputs!$F$266,0)</f>
        <v/>
      </c>
      <c r="P52" s="13">
        <f>IF(AND(Inputs!$F$34&lt;&gt;1,Construction!P8=Inputs!$F$245),Inputs!$F$265+Inputs!$F$266,0)</f>
        <v/>
      </c>
      <c r="Q52" s="13">
        <f>IF(AND(Inputs!$F$34&lt;&gt;1,Construction!Q8=Inputs!$F$245),Inputs!$F$265+Inputs!$F$266,0)</f>
        <v/>
      </c>
      <c r="R52" s="13">
        <f>IF(AND(Inputs!$F$34&lt;&gt;1,Construction!R8=Inputs!$F$245),Inputs!$F$265+Inputs!$F$266,0)</f>
        <v/>
      </c>
      <c r="S52" s="13">
        <f>IF(AND(Inputs!$F$34&lt;&gt;1,Construction!S8=Inputs!$F$245),Inputs!$F$265+Inputs!$F$266,0)</f>
        <v/>
      </c>
      <c r="T52" s="13">
        <f>IF(AND(Inputs!$F$34&lt;&gt;1,Construction!T8=Inputs!$F$245),Inputs!$F$265+Inputs!$F$266,0)</f>
        <v/>
      </c>
      <c r="U52" s="13">
        <f>IF(AND(Inputs!$F$34&lt;&gt;1,Construction!U8=Inputs!$F$245),Inputs!$F$265+Inputs!$F$266,0)</f>
        <v/>
      </c>
      <c r="V52" s="13">
        <f>IF(AND(Inputs!$F$34&lt;&gt;1,Construction!V8=Inputs!$F$245),Inputs!$F$265+Inputs!$F$266,0)</f>
        <v/>
      </c>
      <c r="W52" s="13">
        <f>IF(AND(Inputs!$F$34&lt;&gt;1,Construction!W8=Inputs!$F$245),Inputs!$F$265+Inputs!$F$266,0)</f>
        <v/>
      </c>
      <c r="X52" s="13">
        <f>IF(AND(Inputs!$F$34&lt;&gt;1,Construction!X8=Inputs!$F$245),Inputs!$F$265+Inputs!$F$266,0)</f>
        <v/>
      </c>
      <c r="Y52" s="13">
        <f>IF(AND(Inputs!$F$34&lt;&gt;1,Construction!Y8=Inputs!$F$245),Inputs!$F$265+Inputs!$F$266,0)</f>
        <v/>
      </c>
      <c r="Z52" s="13">
        <f>IF(AND(Inputs!$F$34&lt;&gt;1,Construction!Z8=Inputs!$F$245),Inputs!$F$265+Inputs!$F$266,0)</f>
        <v/>
      </c>
      <c r="AA52" s="13">
        <f>IF(AND(Inputs!$F$34&lt;&gt;1,Construction!AA8=Inputs!$F$245),Inputs!$F$265+Inputs!$F$266,0)</f>
        <v/>
      </c>
      <c r="AB52" s="13">
        <f>IF(AND(Inputs!$F$34&lt;&gt;1,Construction!AB8=Inputs!$F$245),Inputs!$F$265+Inputs!$F$266,0)</f>
        <v/>
      </c>
      <c r="AC52" s="13">
        <f>IF(AND(Inputs!$F$34&lt;&gt;1,Construction!AC8=Inputs!$F$245),Inputs!$F$265+Inputs!$F$266,0)</f>
        <v/>
      </c>
      <c r="AD52" s="13">
        <f>IF(AND(Inputs!$F$34&lt;&gt;1,Construction!AD8=Inputs!$F$245),Inputs!$F$265+Inputs!$F$266,0)</f>
        <v/>
      </c>
      <c r="AE52" s="13">
        <f>IF(AND(Inputs!$F$34&lt;&gt;1,Construction!AE8=Inputs!$F$245),Inputs!$F$265+Inputs!$F$266,0)</f>
        <v/>
      </c>
      <c r="AF52" s="13">
        <f>IF(AND(Inputs!$F$34&lt;&gt;1,Construction!AF8=Inputs!$F$245),Inputs!$F$265+Inputs!$F$266,0)</f>
        <v/>
      </c>
      <c r="AG52" s="13">
        <f>IF(AND(Inputs!$F$34&lt;&gt;1,Construction!AG8=Inputs!$F$245),Inputs!$F$265+Inputs!$F$266,0)</f>
        <v/>
      </c>
      <c r="AH52" s="13">
        <f>IF(AND(Inputs!$F$34&lt;&gt;1,Construction!AH8=Inputs!$F$245),Inputs!$F$265+Inputs!$F$266,0)</f>
        <v/>
      </c>
      <c r="AI52" s="13">
        <f>IF(AND(Inputs!$F$34&lt;&gt;1,Construction!AI8=Inputs!$F$245),Inputs!$F$265+Inputs!$F$266,0)</f>
        <v/>
      </c>
      <c r="AJ52" s="13">
        <f>IF(AND(Inputs!$F$34&lt;&gt;1,Construction!AJ8=Inputs!$F$245),Inputs!$F$265+Inputs!$F$266,0)</f>
        <v/>
      </c>
      <c r="AK52" s="13">
        <f>IF(AND(Inputs!$F$34&lt;&gt;1,Construction!AK8=Inputs!$F$245),Inputs!$F$265+Inputs!$F$266,0)</f>
        <v/>
      </c>
      <c r="AL52" s="13">
        <f>IF(AND(Inputs!$F$34&lt;&gt;1,Construction!AL8=Inputs!$F$245),Inputs!$F$265+Inputs!$F$266,0)</f>
        <v/>
      </c>
      <c r="AM52" s="13">
        <f>IF(AND(Inputs!$F$34&lt;&gt;1,Construction!AM8=Inputs!$F$245),Inputs!$F$265+Inputs!$F$266,0)</f>
        <v/>
      </c>
      <c r="AN52" s="13">
        <f>IF(AND(Inputs!$F$34&lt;&gt;1,Construction!AN8=Inputs!$F$245),Inputs!$F$265+Inputs!$F$266,0)</f>
        <v/>
      </c>
      <c r="AO52" s="13">
        <f>IF(AND(Inputs!$F$34&lt;&gt;1,Construction!AO8=Inputs!$F$245),Inputs!$F$265+Inputs!$F$266,0)</f>
        <v/>
      </c>
      <c r="AP52" s="13">
        <f>IF(AND(Inputs!$F$34&lt;&gt;1,Construction!AP8=Inputs!$F$245),Inputs!$F$265+Inputs!$F$266,0)</f>
        <v/>
      </c>
      <c r="AQ52" s="13">
        <f>IF(AND(Inputs!$F$34&lt;&gt;1,Construction!AQ8=Inputs!$F$245),Inputs!$F$265+Inputs!$F$266,0)</f>
        <v/>
      </c>
      <c r="AR52" s="13">
        <f>IF(AND(Inputs!$F$34&lt;&gt;1,Construction!AR8=Inputs!$F$245),Inputs!$F$265+Inputs!$F$266,0)</f>
        <v/>
      </c>
      <c r="AS52" s="13">
        <f>IF(AND(Inputs!$F$34&lt;&gt;1,Construction!AS8=Inputs!$F$245),Inputs!$F$265+Inputs!$F$266,0)</f>
        <v/>
      </c>
      <c r="AT52" s="13">
        <f>IF(AND(Inputs!$F$34&lt;&gt;1,Construction!AT8=Inputs!$F$245),Inputs!$F$265+Inputs!$F$266,0)</f>
        <v/>
      </c>
      <c r="AU52" s="13">
        <f>IF(AND(Inputs!$F$34&lt;&gt;1,Construction!AU8=Inputs!$F$245),Inputs!$F$265+Inputs!$F$266,0)</f>
        <v/>
      </c>
      <c r="AV52" s="13">
        <f>IF(AND(Inputs!$F$34&lt;&gt;1,Construction!AV8=Inputs!$F$245),Inputs!$F$265+Inputs!$F$266,0)</f>
        <v/>
      </c>
      <c r="AW52" s="13">
        <f>IF(AND(Inputs!$F$34&lt;&gt;1,Construction!AW8=Inputs!$F$245),Inputs!$F$265+Inputs!$F$266,0)</f>
        <v/>
      </c>
      <c r="AX52" s="13">
        <f>IF(AND(Inputs!$F$34&lt;&gt;1,Construction!AX8=Inputs!$F$245),Inputs!$F$265+Inputs!$F$266,0)</f>
        <v/>
      </c>
      <c r="AY52" s="13">
        <f>IF(AND(Inputs!$F$34&lt;&gt;1,Construction!AY8=Inputs!$F$245),Inputs!$F$265+Inputs!$F$266,0)</f>
        <v/>
      </c>
      <c r="AZ52" s="13">
        <f>IF(AND(Inputs!$F$34&lt;&gt;1,Construction!AZ8=Inputs!$F$245),Inputs!$F$265+Inputs!$F$266,0)</f>
        <v/>
      </c>
      <c r="BA52" s="13">
        <f>IF(AND(Inputs!$F$34&lt;&gt;1,Construction!BA8=Inputs!$F$245),Inputs!$F$265+Inputs!$F$266,0)</f>
        <v/>
      </c>
      <c r="BB52" s="13">
        <f>IF(AND(Inputs!$F$34&lt;&gt;1,Construction!BB8=Inputs!$F$245),Inputs!$F$265+Inputs!$F$266,0)</f>
        <v/>
      </c>
      <c r="BC52" s="13">
        <f>IF(AND(Inputs!$F$34&lt;&gt;1,Construction!BC8=Inputs!$F$245),Inputs!$F$265+Inputs!$F$266,0)</f>
        <v/>
      </c>
      <c r="BD52" s="13">
        <f>IF(AND(Inputs!$F$34&lt;&gt;1,Construction!BD8=Inputs!$F$245),Inputs!$F$265+Inputs!$F$266,0)</f>
        <v/>
      </c>
      <c r="BE52" s="13">
        <f>IF(AND(Inputs!$F$34&lt;&gt;1,Construction!BE8=Inputs!$F$245),Inputs!$F$265+Inputs!$F$266,0)</f>
        <v/>
      </c>
      <c r="BF52" s="13">
        <f>IF(AND(Inputs!$F$34&lt;&gt;1,Construction!BF8=Inputs!$F$245),Inputs!$F$265+Inputs!$F$266,0)</f>
        <v/>
      </c>
      <c r="BG52" s="13">
        <f>IF(AND(Inputs!$F$34&lt;&gt;1,Construction!BG8=Inputs!$F$245),Inputs!$F$265+Inputs!$F$266,0)</f>
        <v/>
      </c>
      <c r="BH52" s="13">
        <f>IF(AND(Inputs!$F$34&lt;&gt;1,Construction!BH8=Inputs!$F$245),Inputs!$F$265+Inputs!$F$266,0)</f>
        <v/>
      </c>
      <c r="BI52" s="13">
        <f>IF(AND(Inputs!$F$34&lt;&gt;1,Construction!BI8=Inputs!$F$245),Inputs!$F$265+Inputs!$F$266,0)</f>
        <v/>
      </c>
      <c r="BJ52" s="13">
        <f>IF(AND(Inputs!$F$34&lt;&gt;1,Construction!BJ8=Inputs!$F$245),Inputs!$F$265+Inputs!$F$266,0)</f>
        <v/>
      </c>
    </row>
    <row r="53">
      <c r="D53" t="inlineStr">
        <is>
          <t>LD and DSU proceeds applied</t>
        </is>
      </c>
      <c r="E53" t="inlineStr">
        <is>
          <t>USD m</t>
        </is>
      </c>
      <c r="G53" s="13">
        <f>SUM(J53:BJ53)</f>
        <v/>
      </c>
      <c r="J53" s="13">
        <f>MIN(J51,I54+J52)</f>
        <v/>
      </c>
      <c r="K53" s="13">
        <f>MIN(K51,J54+K52)</f>
        <v/>
      </c>
      <c r="L53" s="13">
        <f>MIN(L51,K54+L52)</f>
        <v/>
      </c>
      <c r="M53" s="13">
        <f>MIN(M51,L54+M52)</f>
        <v/>
      </c>
      <c r="N53" s="13">
        <f>MIN(N51,M54+N52)</f>
        <v/>
      </c>
      <c r="O53" s="13">
        <f>MIN(O51,N54+O52)</f>
        <v/>
      </c>
      <c r="P53" s="13">
        <f>MIN(P51,O54+P52)</f>
        <v/>
      </c>
      <c r="Q53" s="13">
        <f>MIN(Q51,P54+Q52)</f>
        <v/>
      </c>
      <c r="R53" s="13">
        <f>MIN(R51,Q54+R52)</f>
        <v/>
      </c>
      <c r="S53" s="13">
        <f>MIN(S51,R54+S52)</f>
        <v/>
      </c>
      <c r="T53" s="13">
        <f>MIN(T51,S54+T52)</f>
        <v/>
      </c>
      <c r="U53" s="13">
        <f>MIN(U51,T54+U52)</f>
        <v/>
      </c>
      <c r="V53" s="13">
        <f>MIN(V51,U54+V52)</f>
        <v/>
      </c>
      <c r="W53" s="13">
        <f>MIN(W51,V54+W52)</f>
        <v/>
      </c>
      <c r="X53" s="13">
        <f>MIN(X51,W54+X52)</f>
        <v/>
      </c>
      <c r="Y53" s="13">
        <f>MIN(Y51,X54+Y52)</f>
        <v/>
      </c>
      <c r="Z53" s="13">
        <f>MIN(Z51,Y54+Z52)</f>
        <v/>
      </c>
      <c r="AA53" s="13">
        <f>MIN(AA51,Z54+AA52)</f>
        <v/>
      </c>
      <c r="AB53" s="13">
        <f>MIN(AB51,AA54+AB52)</f>
        <v/>
      </c>
      <c r="AC53" s="13">
        <f>MIN(AC51,AB54+AC52)</f>
        <v/>
      </c>
      <c r="AD53" s="13">
        <f>MIN(AD51,AC54+AD52)</f>
        <v/>
      </c>
      <c r="AE53" s="13">
        <f>MIN(AE51,AD54+AE52)</f>
        <v/>
      </c>
      <c r="AF53" s="13">
        <f>MIN(AF51,AE54+AF52)</f>
        <v/>
      </c>
      <c r="AG53" s="13">
        <f>MIN(AG51,AF54+AG52)</f>
        <v/>
      </c>
      <c r="AH53" s="13">
        <f>MIN(AH51,AG54+AH52)</f>
        <v/>
      </c>
      <c r="AI53" s="13">
        <f>MIN(AI51,AH54+AI52)</f>
        <v/>
      </c>
      <c r="AJ53" s="13">
        <f>MIN(AJ51,AI54+AJ52)</f>
        <v/>
      </c>
      <c r="AK53" s="13">
        <f>MIN(AK51,AJ54+AK52)</f>
        <v/>
      </c>
      <c r="AL53" s="13">
        <f>MIN(AL51,AK54+AL52)</f>
        <v/>
      </c>
      <c r="AM53" s="13">
        <f>MIN(AM51,AL54+AM52)</f>
        <v/>
      </c>
      <c r="AN53" s="13">
        <f>MIN(AN51,AM54+AN52)</f>
        <v/>
      </c>
      <c r="AO53" s="13">
        <f>MIN(AO51,AN54+AO52)</f>
        <v/>
      </c>
      <c r="AP53" s="13">
        <f>MIN(AP51,AO54+AP52)</f>
        <v/>
      </c>
      <c r="AQ53" s="13">
        <f>MIN(AQ51,AP54+AQ52)</f>
        <v/>
      </c>
      <c r="AR53" s="13">
        <f>MIN(AR51,AQ54+AR52)</f>
        <v/>
      </c>
      <c r="AS53" s="13">
        <f>MIN(AS51,AR54+AS52)</f>
        <v/>
      </c>
      <c r="AT53" s="13">
        <f>MIN(AT51,AS54+AT52)</f>
        <v/>
      </c>
      <c r="AU53" s="13">
        <f>MIN(AU51,AT54+AU52)</f>
        <v/>
      </c>
      <c r="AV53" s="13">
        <f>MIN(AV51,AU54+AV52)</f>
        <v/>
      </c>
      <c r="AW53" s="13">
        <f>MIN(AW51,AV54+AW52)</f>
        <v/>
      </c>
      <c r="AX53" s="13">
        <f>MIN(AX51,AW54+AX52)</f>
        <v/>
      </c>
      <c r="AY53" s="13">
        <f>MIN(AY51,AX54+AY52)</f>
        <v/>
      </c>
      <c r="AZ53" s="13">
        <f>MIN(AZ51,AY54+AZ52)</f>
        <v/>
      </c>
      <c r="BA53" s="13">
        <f>MIN(BA51,AZ54+BA52)</f>
        <v/>
      </c>
      <c r="BB53" s="13">
        <f>MIN(BB51,BA54+BB52)</f>
        <v/>
      </c>
      <c r="BC53" s="13">
        <f>MIN(BC51,BB54+BC52)</f>
        <v/>
      </c>
      <c r="BD53" s="13">
        <f>MIN(BD51,BC54+BD52)</f>
        <v/>
      </c>
      <c r="BE53" s="13">
        <f>MIN(BE51,BD54+BE52)</f>
        <v/>
      </c>
      <c r="BF53" s="13">
        <f>MIN(BF51,BE54+BF52)</f>
        <v/>
      </c>
      <c r="BG53" s="13">
        <f>MIN(BG51,BF54+BG52)</f>
        <v/>
      </c>
      <c r="BH53" s="13">
        <f>MIN(BH51,BG54+BH52)</f>
        <v/>
      </c>
      <c r="BI53" s="13">
        <f>MIN(BI51,BH54+BI52)</f>
        <v/>
      </c>
      <c r="BJ53" s="13">
        <f>MIN(BJ51,BI54+BJ52)</f>
        <v/>
      </c>
    </row>
    <row r="54">
      <c r="D54" t="inlineStr">
        <is>
          <t>LD and DSU proceeds held (Proceeds Account)</t>
        </is>
      </c>
      <c r="E54" t="inlineStr">
        <is>
          <t>USD m</t>
        </is>
      </c>
      <c r="J54" s="13">
        <f>I54+J52-J53</f>
        <v/>
      </c>
      <c r="K54" s="13">
        <f>J54+K52-K53</f>
        <v/>
      </c>
      <c r="L54" s="13">
        <f>K54+L52-L53</f>
        <v/>
      </c>
      <c r="M54" s="13">
        <f>L54+M52-M53</f>
        <v/>
      </c>
      <c r="N54" s="13">
        <f>M54+N52-N53</f>
        <v/>
      </c>
      <c r="O54" s="13">
        <f>N54+O52-O53</f>
        <v/>
      </c>
      <c r="P54" s="13">
        <f>O54+P52-P53</f>
        <v/>
      </c>
      <c r="Q54" s="13">
        <f>P54+Q52-Q53</f>
        <v/>
      </c>
      <c r="R54" s="13">
        <f>Q54+R52-R53</f>
        <v/>
      </c>
      <c r="S54" s="13">
        <f>R54+S52-S53</f>
        <v/>
      </c>
      <c r="T54" s="13">
        <f>S54+T52-T53</f>
        <v/>
      </c>
      <c r="U54" s="13">
        <f>T54+U52-U53</f>
        <v/>
      </c>
      <c r="V54" s="13">
        <f>U54+V52-V53</f>
        <v/>
      </c>
      <c r="W54" s="13">
        <f>V54+W52-W53</f>
        <v/>
      </c>
      <c r="X54" s="13">
        <f>W54+X52-X53</f>
        <v/>
      </c>
      <c r="Y54" s="13">
        <f>X54+Y52-Y53</f>
        <v/>
      </c>
      <c r="Z54" s="13">
        <f>Y54+Z52-Z53</f>
        <v/>
      </c>
      <c r="AA54" s="13">
        <f>Z54+AA52-AA53</f>
        <v/>
      </c>
      <c r="AB54" s="13">
        <f>AA54+AB52-AB53</f>
        <v/>
      </c>
      <c r="AC54" s="13">
        <f>AB54+AC52-AC53</f>
        <v/>
      </c>
      <c r="AD54" s="13">
        <f>AC54+AD52-AD53</f>
        <v/>
      </c>
      <c r="AE54" s="13">
        <f>AD54+AE52-AE53</f>
        <v/>
      </c>
      <c r="AF54" s="13">
        <f>AE54+AF52-AF53</f>
        <v/>
      </c>
      <c r="AG54" s="13">
        <f>AF54+AG52-AG53</f>
        <v/>
      </c>
      <c r="AH54" s="13">
        <f>AG54+AH52-AH53</f>
        <v/>
      </c>
      <c r="AI54" s="13">
        <f>AH54+AI52-AI53</f>
        <v/>
      </c>
      <c r="AJ54" s="13">
        <f>AI54+AJ52-AJ53</f>
        <v/>
      </c>
      <c r="AK54" s="13">
        <f>AJ54+AK52-AK53</f>
        <v/>
      </c>
      <c r="AL54" s="13">
        <f>AK54+AL52-AL53</f>
        <v/>
      </c>
      <c r="AM54" s="13">
        <f>AL54+AM52-AM53</f>
        <v/>
      </c>
      <c r="AN54" s="13">
        <f>AM54+AN52-AN53</f>
        <v/>
      </c>
      <c r="AO54" s="13">
        <f>AN54+AO52-AO53</f>
        <v/>
      </c>
      <c r="AP54" s="13">
        <f>AO54+AP52-AP53</f>
        <v/>
      </c>
      <c r="AQ54" s="13">
        <f>AP54+AQ52-AQ53</f>
        <v/>
      </c>
      <c r="AR54" s="13">
        <f>AQ54+AR52-AR53</f>
        <v/>
      </c>
      <c r="AS54" s="13">
        <f>AR54+AS52-AS53</f>
        <v/>
      </c>
      <c r="AT54" s="13">
        <f>AS54+AT52-AT53</f>
        <v/>
      </c>
      <c r="AU54" s="13">
        <f>AT54+AU52-AU53</f>
        <v/>
      </c>
      <c r="AV54" s="13">
        <f>AU54+AV52-AV53</f>
        <v/>
      </c>
      <c r="AW54" s="13">
        <f>AV54+AW52-AW53</f>
        <v/>
      </c>
      <c r="AX54" s="13">
        <f>AW54+AX52-AX53</f>
        <v/>
      </c>
      <c r="AY54" s="13">
        <f>AX54+AY52-AY53</f>
        <v/>
      </c>
      <c r="AZ54" s="13">
        <f>AY54+AZ52-AZ53</f>
        <v/>
      </c>
      <c r="BA54" s="13">
        <f>AZ54+BA52-BA53</f>
        <v/>
      </c>
      <c r="BB54" s="13">
        <f>BA54+BB52-BB53</f>
        <v/>
      </c>
      <c r="BC54" s="13">
        <f>BB54+BC52-BC53</f>
        <v/>
      </c>
      <c r="BD54" s="13">
        <f>BC54+BD52-BD53</f>
        <v/>
      </c>
      <c r="BE54" s="13">
        <f>BD54+BE52-BE53</f>
        <v/>
      </c>
      <c r="BF54" s="13">
        <f>BE54+BF52-BF53</f>
        <v/>
      </c>
      <c r="BG54" s="13">
        <f>BF54+BG52-BG53</f>
        <v/>
      </c>
      <c r="BH54" s="13">
        <f>BG54+BH52-BH53</f>
        <v/>
      </c>
      <c r="BI54" s="13">
        <f>BH54+BI52-BI53</f>
        <v/>
      </c>
      <c r="BJ54" s="13">
        <f>BI54+BJ52-BJ53</f>
        <v/>
      </c>
    </row>
    <row r="55">
      <c r="D55" t="inlineStr">
        <is>
          <t>Standby facility drawdown (75%)</t>
        </is>
      </c>
      <c r="E55" t="inlineStr">
        <is>
          <t>USD m</t>
        </is>
      </c>
      <c r="G55" s="13">
        <f>SUM(J55:BJ55)</f>
        <v/>
      </c>
      <c r="J55" s="13">
        <f>Inputs!$F$249*(J51-J53)</f>
        <v/>
      </c>
      <c r="K55" s="13">
        <f>Inputs!$F$249*(K51-K53)</f>
        <v/>
      </c>
      <c r="L55" s="13">
        <f>Inputs!$F$249*(L51-L53)</f>
        <v/>
      </c>
      <c r="M55" s="13">
        <f>Inputs!$F$249*(M51-M53)</f>
        <v/>
      </c>
      <c r="N55" s="13">
        <f>Inputs!$F$249*(N51-N53)</f>
        <v/>
      </c>
      <c r="O55" s="13">
        <f>Inputs!$F$249*(O51-O53)</f>
        <v/>
      </c>
      <c r="P55" s="13">
        <f>Inputs!$F$249*(P51-P53)</f>
        <v/>
      </c>
      <c r="Q55" s="13">
        <f>Inputs!$F$249*(Q51-Q53)</f>
        <v/>
      </c>
      <c r="R55" s="13">
        <f>Inputs!$F$249*(R51-R53)</f>
        <v/>
      </c>
      <c r="S55" s="13">
        <f>Inputs!$F$249*(S51-S53)</f>
        <v/>
      </c>
      <c r="T55" s="13">
        <f>Inputs!$F$249*(T51-T53)</f>
        <v/>
      </c>
      <c r="U55" s="13">
        <f>Inputs!$F$249*(U51-U53)</f>
        <v/>
      </c>
      <c r="V55" s="13">
        <f>Inputs!$F$249*(V51-V53)</f>
        <v/>
      </c>
      <c r="W55" s="13">
        <f>Inputs!$F$249*(W51-W53)</f>
        <v/>
      </c>
      <c r="X55" s="13">
        <f>Inputs!$F$249*(X51-X53)</f>
        <v/>
      </c>
      <c r="Y55" s="13">
        <f>Inputs!$F$249*(Y51-Y53)</f>
        <v/>
      </c>
      <c r="Z55" s="13">
        <f>Inputs!$F$249*(Z51-Z53)</f>
        <v/>
      </c>
      <c r="AA55" s="13">
        <f>Inputs!$F$249*(AA51-AA53)</f>
        <v/>
      </c>
      <c r="AB55" s="13">
        <f>Inputs!$F$249*(AB51-AB53)</f>
        <v/>
      </c>
      <c r="AC55" s="13">
        <f>Inputs!$F$249*(AC51-AC53)</f>
        <v/>
      </c>
      <c r="AD55" s="13">
        <f>Inputs!$F$249*(AD51-AD53)</f>
        <v/>
      </c>
      <c r="AE55" s="13">
        <f>Inputs!$F$249*(AE51-AE53)</f>
        <v/>
      </c>
      <c r="AF55" s="13">
        <f>Inputs!$F$249*(AF51-AF53)</f>
        <v/>
      </c>
      <c r="AG55" s="13">
        <f>Inputs!$F$249*(AG51-AG53)</f>
        <v/>
      </c>
      <c r="AH55" s="13">
        <f>Inputs!$F$249*(AH51-AH53)</f>
        <v/>
      </c>
      <c r="AI55" s="13">
        <f>Inputs!$F$249*(AI51-AI53)</f>
        <v/>
      </c>
      <c r="AJ55" s="13">
        <f>Inputs!$F$249*(AJ51-AJ53)</f>
        <v/>
      </c>
      <c r="AK55" s="13">
        <f>Inputs!$F$249*(AK51-AK53)</f>
        <v/>
      </c>
      <c r="AL55" s="13">
        <f>Inputs!$F$249*(AL51-AL53)</f>
        <v/>
      </c>
      <c r="AM55" s="13">
        <f>Inputs!$F$249*(AM51-AM53)</f>
        <v/>
      </c>
      <c r="AN55" s="13">
        <f>Inputs!$F$249*(AN51-AN53)</f>
        <v/>
      </c>
      <c r="AO55" s="13">
        <f>Inputs!$F$249*(AO51-AO53)</f>
        <v/>
      </c>
      <c r="AP55" s="13">
        <f>Inputs!$F$249*(AP51-AP53)</f>
        <v/>
      </c>
      <c r="AQ55" s="13">
        <f>Inputs!$F$249*(AQ51-AQ53)</f>
        <v/>
      </c>
      <c r="AR55" s="13">
        <f>Inputs!$F$249*(AR51-AR53)</f>
        <v/>
      </c>
      <c r="AS55" s="13">
        <f>Inputs!$F$249*(AS51-AS53)</f>
        <v/>
      </c>
      <c r="AT55" s="13">
        <f>Inputs!$F$249*(AT51-AT53)</f>
        <v/>
      </c>
      <c r="AU55" s="13">
        <f>Inputs!$F$249*(AU51-AU53)</f>
        <v/>
      </c>
      <c r="AV55" s="13">
        <f>Inputs!$F$249*(AV51-AV53)</f>
        <v/>
      </c>
      <c r="AW55" s="13">
        <f>Inputs!$F$249*(AW51-AW53)</f>
        <v/>
      </c>
      <c r="AX55" s="13">
        <f>Inputs!$F$249*(AX51-AX53)</f>
        <v/>
      </c>
      <c r="AY55" s="13">
        <f>Inputs!$F$249*(AY51-AY53)</f>
        <v/>
      </c>
      <c r="AZ55" s="13">
        <f>Inputs!$F$249*(AZ51-AZ53)</f>
        <v/>
      </c>
      <c r="BA55" s="13">
        <f>Inputs!$F$249*(BA51-BA53)</f>
        <v/>
      </c>
      <c r="BB55" s="13">
        <f>Inputs!$F$249*(BB51-BB53)</f>
        <v/>
      </c>
      <c r="BC55" s="13">
        <f>Inputs!$F$249*(BC51-BC53)</f>
        <v/>
      </c>
      <c r="BD55" s="13">
        <f>Inputs!$F$249*(BD51-BD53)</f>
        <v/>
      </c>
      <c r="BE55" s="13">
        <f>Inputs!$F$249*(BE51-BE53)</f>
        <v/>
      </c>
      <c r="BF55" s="13">
        <f>Inputs!$F$249*(BF51-BF53)</f>
        <v/>
      </c>
      <c r="BG55" s="13">
        <f>Inputs!$F$249*(BG51-BG53)</f>
        <v/>
      </c>
      <c r="BH55" s="13">
        <f>Inputs!$F$249*(BH51-BH53)</f>
        <v/>
      </c>
      <c r="BI55" s="13">
        <f>Inputs!$F$249*(BI51-BI53)</f>
        <v/>
      </c>
      <c r="BJ55" s="13">
        <f>Inputs!$F$249*(BJ51-BJ53)</f>
        <v/>
      </c>
    </row>
    <row r="56">
      <c r="D56" t="inlineStr">
        <is>
          <t>Contingent equity (25%)</t>
        </is>
      </c>
      <c r="E56" t="inlineStr">
        <is>
          <t>USD m</t>
        </is>
      </c>
      <c r="G56" s="13">
        <f>SUM(J56:BJ56)</f>
        <v/>
      </c>
      <c r="J56" s="13">
        <f>(1-Inputs!$F$249)*(J51-J53)</f>
        <v/>
      </c>
      <c r="K56" s="13">
        <f>(1-Inputs!$F$249)*(K51-K53)</f>
        <v/>
      </c>
      <c r="L56" s="13">
        <f>(1-Inputs!$F$249)*(L51-L53)</f>
        <v/>
      </c>
      <c r="M56" s="13">
        <f>(1-Inputs!$F$249)*(M51-M53)</f>
        <v/>
      </c>
      <c r="N56" s="13">
        <f>(1-Inputs!$F$249)*(N51-N53)</f>
        <v/>
      </c>
      <c r="O56" s="13">
        <f>(1-Inputs!$F$249)*(O51-O53)</f>
        <v/>
      </c>
      <c r="P56" s="13">
        <f>(1-Inputs!$F$249)*(P51-P53)</f>
        <v/>
      </c>
      <c r="Q56" s="13">
        <f>(1-Inputs!$F$249)*(Q51-Q53)</f>
        <v/>
      </c>
      <c r="R56" s="13">
        <f>(1-Inputs!$F$249)*(R51-R53)</f>
        <v/>
      </c>
      <c r="S56" s="13">
        <f>(1-Inputs!$F$249)*(S51-S53)</f>
        <v/>
      </c>
      <c r="T56" s="13">
        <f>(1-Inputs!$F$249)*(T51-T53)</f>
        <v/>
      </c>
      <c r="U56" s="13">
        <f>(1-Inputs!$F$249)*(U51-U53)</f>
        <v/>
      </c>
      <c r="V56" s="13">
        <f>(1-Inputs!$F$249)*(V51-V53)</f>
        <v/>
      </c>
      <c r="W56" s="13">
        <f>(1-Inputs!$F$249)*(W51-W53)</f>
        <v/>
      </c>
      <c r="X56" s="13">
        <f>(1-Inputs!$F$249)*(X51-X53)</f>
        <v/>
      </c>
      <c r="Y56" s="13">
        <f>(1-Inputs!$F$249)*(Y51-Y53)</f>
        <v/>
      </c>
      <c r="Z56" s="13">
        <f>(1-Inputs!$F$249)*(Z51-Z53)</f>
        <v/>
      </c>
      <c r="AA56" s="13">
        <f>(1-Inputs!$F$249)*(AA51-AA53)</f>
        <v/>
      </c>
      <c r="AB56" s="13">
        <f>(1-Inputs!$F$249)*(AB51-AB53)</f>
        <v/>
      </c>
      <c r="AC56" s="13">
        <f>(1-Inputs!$F$249)*(AC51-AC53)</f>
        <v/>
      </c>
      <c r="AD56" s="13">
        <f>(1-Inputs!$F$249)*(AD51-AD53)</f>
        <v/>
      </c>
      <c r="AE56" s="13">
        <f>(1-Inputs!$F$249)*(AE51-AE53)</f>
        <v/>
      </c>
      <c r="AF56" s="13">
        <f>(1-Inputs!$F$249)*(AF51-AF53)</f>
        <v/>
      </c>
      <c r="AG56" s="13">
        <f>(1-Inputs!$F$249)*(AG51-AG53)</f>
        <v/>
      </c>
      <c r="AH56" s="13">
        <f>(1-Inputs!$F$249)*(AH51-AH53)</f>
        <v/>
      </c>
      <c r="AI56" s="13">
        <f>(1-Inputs!$F$249)*(AI51-AI53)</f>
        <v/>
      </c>
      <c r="AJ56" s="13">
        <f>(1-Inputs!$F$249)*(AJ51-AJ53)</f>
        <v/>
      </c>
      <c r="AK56" s="13">
        <f>(1-Inputs!$F$249)*(AK51-AK53)</f>
        <v/>
      </c>
      <c r="AL56" s="13">
        <f>(1-Inputs!$F$249)*(AL51-AL53)</f>
        <v/>
      </c>
      <c r="AM56" s="13">
        <f>(1-Inputs!$F$249)*(AM51-AM53)</f>
        <v/>
      </c>
      <c r="AN56" s="13">
        <f>(1-Inputs!$F$249)*(AN51-AN53)</f>
        <v/>
      </c>
      <c r="AO56" s="13">
        <f>(1-Inputs!$F$249)*(AO51-AO53)</f>
        <v/>
      </c>
      <c r="AP56" s="13">
        <f>(1-Inputs!$F$249)*(AP51-AP53)</f>
        <v/>
      </c>
      <c r="AQ56" s="13">
        <f>(1-Inputs!$F$249)*(AQ51-AQ53)</f>
        <v/>
      </c>
      <c r="AR56" s="13">
        <f>(1-Inputs!$F$249)*(AR51-AR53)</f>
        <v/>
      </c>
      <c r="AS56" s="13">
        <f>(1-Inputs!$F$249)*(AS51-AS53)</f>
        <v/>
      </c>
      <c r="AT56" s="13">
        <f>(1-Inputs!$F$249)*(AT51-AT53)</f>
        <v/>
      </c>
      <c r="AU56" s="13">
        <f>(1-Inputs!$F$249)*(AU51-AU53)</f>
        <v/>
      </c>
      <c r="AV56" s="13">
        <f>(1-Inputs!$F$249)*(AV51-AV53)</f>
        <v/>
      </c>
      <c r="AW56" s="13">
        <f>(1-Inputs!$F$249)*(AW51-AW53)</f>
        <v/>
      </c>
      <c r="AX56" s="13">
        <f>(1-Inputs!$F$249)*(AX51-AX53)</f>
        <v/>
      </c>
      <c r="AY56" s="13">
        <f>(1-Inputs!$F$249)*(AY51-AY53)</f>
        <v/>
      </c>
      <c r="AZ56" s="13">
        <f>(1-Inputs!$F$249)*(AZ51-AZ53)</f>
        <v/>
      </c>
      <c r="BA56" s="13">
        <f>(1-Inputs!$F$249)*(BA51-BA53)</f>
        <v/>
      </c>
      <c r="BB56" s="13">
        <f>(1-Inputs!$F$249)*(BB51-BB53)</f>
        <v/>
      </c>
      <c r="BC56" s="13">
        <f>(1-Inputs!$F$249)*(BC51-BC53)</f>
        <v/>
      </c>
      <c r="BD56" s="13">
        <f>(1-Inputs!$F$249)*(BD51-BD53)</f>
        <v/>
      </c>
      <c r="BE56" s="13">
        <f>(1-Inputs!$F$249)*(BE51-BE53)</f>
        <v/>
      </c>
      <c r="BF56" s="13">
        <f>(1-Inputs!$F$249)*(BF51-BF53)</f>
        <v/>
      </c>
      <c r="BG56" s="13">
        <f>(1-Inputs!$F$249)*(BG51-BG53)</f>
        <v/>
      </c>
      <c r="BH56" s="13">
        <f>(1-Inputs!$F$249)*(BH51-BH53)</f>
        <v/>
      </c>
      <c r="BI56" s="13">
        <f>(1-Inputs!$F$249)*(BI51-BI53)</f>
        <v/>
      </c>
      <c r="BJ56" s="13">
        <f>(1-Inputs!$F$249)*(BJ51-BJ53)</f>
        <v/>
      </c>
    </row>
    <row r="57">
      <c r="D57" t="inlineStr">
        <is>
          <t>ECA-covered tranche: drawdown</t>
        </is>
      </c>
      <c r="E57" t="inlineStr">
        <is>
          <t>USD m</t>
        </is>
      </c>
      <c r="G57" s="13">
        <f>SUM(J57:BJ57)</f>
        <v/>
      </c>
      <c r="J57" s="13">
        <f>Inputs!$F$75*J47</f>
        <v/>
      </c>
      <c r="K57" s="13">
        <f>Inputs!$F$75*K47</f>
        <v/>
      </c>
      <c r="L57" s="13">
        <f>Inputs!$F$75*L47</f>
        <v/>
      </c>
      <c r="M57" s="13">
        <f>Inputs!$F$75*M47</f>
        <v/>
      </c>
      <c r="N57" s="13">
        <f>Inputs!$F$75*N47</f>
        <v/>
      </c>
      <c r="O57" s="13">
        <f>Inputs!$F$75*O47</f>
        <v/>
      </c>
      <c r="P57" s="13">
        <f>Inputs!$F$75*P47</f>
        <v/>
      </c>
      <c r="Q57" s="13">
        <f>Inputs!$F$75*Q47</f>
        <v/>
      </c>
      <c r="R57" s="13">
        <f>Inputs!$F$75*R47</f>
        <v/>
      </c>
      <c r="S57" s="13">
        <f>Inputs!$F$75*S47</f>
        <v/>
      </c>
      <c r="T57" s="13">
        <f>Inputs!$F$75*T47</f>
        <v/>
      </c>
      <c r="U57" s="13">
        <f>Inputs!$F$75*U47</f>
        <v/>
      </c>
      <c r="V57" s="13">
        <f>Inputs!$F$75*V47</f>
        <v/>
      </c>
      <c r="W57" s="13">
        <f>Inputs!$F$75*W47</f>
        <v/>
      </c>
      <c r="X57" s="13">
        <f>Inputs!$F$75*X47</f>
        <v/>
      </c>
      <c r="Y57" s="13">
        <f>Inputs!$F$75*Y47</f>
        <v/>
      </c>
      <c r="Z57" s="13">
        <f>Inputs!$F$75*Z47</f>
        <v/>
      </c>
      <c r="AA57" s="13">
        <f>Inputs!$F$75*AA47</f>
        <v/>
      </c>
      <c r="AB57" s="13">
        <f>Inputs!$F$75*AB47</f>
        <v/>
      </c>
      <c r="AC57" s="13">
        <f>Inputs!$F$75*AC47</f>
        <v/>
      </c>
      <c r="AD57" s="13">
        <f>Inputs!$F$75*AD47</f>
        <v/>
      </c>
      <c r="AE57" s="13">
        <f>Inputs!$F$75*AE47</f>
        <v/>
      </c>
      <c r="AF57" s="13">
        <f>Inputs!$F$75*AF47</f>
        <v/>
      </c>
      <c r="AG57" s="13">
        <f>Inputs!$F$75*AG47</f>
        <v/>
      </c>
      <c r="AH57" s="13">
        <f>Inputs!$F$75*AH47</f>
        <v/>
      </c>
      <c r="AI57" s="13">
        <f>Inputs!$F$75*AI47</f>
        <v/>
      </c>
      <c r="AJ57" s="13">
        <f>Inputs!$F$75*AJ47</f>
        <v/>
      </c>
      <c r="AK57" s="13">
        <f>Inputs!$F$75*AK47</f>
        <v/>
      </c>
      <c r="AL57" s="13">
        <f>Inputs!$F$75*AL47</f>
        <v/>
      </c>
      <c r="AM57" s="13">
        <f>Inputs!$F$75*AM47</f>
        <v/>
      </c>
      <c r="AN57" s="13">
        <f>Inputs!$F$75*AN47</f>
        <v/>
      </c>
      <c r="AO57" s="13">
        <f>Inputs!$F$75*AO47</f>
        <v/>
      </c>
      <c r="AP57" s="13">
        <f>Inputs!$F$75*AP47</f>
        <v/>
      </c>
      <c r="AQ57" s="13">
        <f>Inputs!$F$75*AQ47</f>
        <v/>
      </c>
      <c r="AR57" s="13">
        <f>Inputs!$F$75*AR47</f>
        <v/>
      </c>
      <c r="AS57" s="13">
        <f>Inputs!$F$75*AS47</f>
        <v/>
      </c>
      <c r="AT57" s="13">
        <f>Inputs!$F$75*AT47</f>
        <v/>
      </c>
      <c r="AU57" s="13">
        <f>Inputs!$F$75*AU47</f>
        <v/>
      </c>
      <c r="AV57" s="13">
        <f>Inputs!$F$75*AV47</f>
        <v/>
      </c>
      <c r="AW57" s="13">
        <f>Inputs!$F$75*AW47</f>
        <v/>
      </c>
      <c r="AX57" s="13">
        <f>Inputs!$F$75*AX47</f>
        <v/>
      </c>
      <c r="AY57" s="13">
        <f>Inputs!$F$75*AY47</f>
        <v/>
      </c>
      <c r="AZ57" s="13">
        <f>Inputs!$F$75*AZ47</f>
        <v/>
      </c>
      <c r="BA57" s="13">
        <f>Inputs!$F$75*BA47</f>
        <v/>
      </c>
      <c r="BB57" s="13">
        <f>Inputs!$F$75*BB47</f>
        <v/>
      </c>
      <c r="BC57" s="13">
        <f>Inputs!$F$75*BC47</f>
        <v/>
      </c>
      <c r="BD57" s="13">
        <f>Inputs!$F$75*BD47</f>
        <v/>
      </c>
      <c r="BE57" s="13">
        <f>Inputs!$F$75*BE47</f>
        <v/>
      </c>
      <c r="BF57" s="13">
        <f>Inputs!$F$75*BF47</f>
        <v/>
      </c>
      <c r="BG57" s="13">
        <f>Inputs!$F$75*BG47</f>
        <v/>
      </c>
      <c r="BH57" s="13">
        <f>Inputs!$F$75*BH47</f>
        <v/>
      </c>
      <c r="BI57" s="13">
        <f>Inputs!$F$75*BI47</f>
        <v/>
      </c>
      <c r="BJ57" s="13">
        <f>Inputs!$F$75*BJ47</f>
        <v/>
      </c>
    </row>
    <row r="58">
      <c r="D58" t="inlineStr">
        <is>
          <t>ABDB A-loan: drawdown</t>
        </is>
      </c>
      <c r="E58" t="inlineStr">
        <is>
          <t>USD m</t>
        </is>
      </c>
      <c r="G58" s="13">
        <f>SUM(J58:BJ58)</f>
        <v/>
      </c>
      <c r="J58" s="13">
        <f>Inputs!$F$76*J47</f>
        <v/>
      </c>
      <c r="K58" s="13">
        <f>Inputs!$F$76*K47</f>
        <v/>
      </c>
      <c r="L58" s="13">
        <f>Inputs!$F$76*L47</f>
        <v/>
      </c>
      <c r="M58" s="13">
        <f>Inputs!$F$76*M47</f>
        <v/>
      </c>
      <c r="N58" s="13">
        <f>Inputs!$F$76*N47</f>
        <v/>
      </c>
      <c r="O58" s="13">
        <f>Inputs!$F$76*O47</f>
        <v/>
      </c>
      <c r="P58" s="13">
        <f>Inputs!$F$76*P47</f>
        <v/>
      </c>
      <c r="Q58" s="13">
        <f>Inputs!$F$76*Q47</f>
        <v/>
      </c>
      <c r="R58" s="13">
        <f>Inputs!$F$76*R47</f>
        <v/>
      </c>
      <c r="S58" s="13">
        <f>Inputs!$F$76*S47</f>
        <v/>
      </c>
      <c r="T58" s="13">
        <f>Inputs!$F$76*T47</f>
        <v/>
      </c>
      <c r="U58" s="13">
        <f>Inputs!$F$76*U47</f>
        <v/>
      </c>
      <c r="V58" s="13">
        <f>Inputs!$F$76*V47</f>
        <v/>
      </c>
      <c r="W58" s="13">
        <f>Inputs!$F$76*W47</f>
        <v/>
      </c>
      <c r="X58" s="13">
        <f>Inputs!$F$76*X47</f>
        <v/>
      </c>
      <c r="Y58" s="13">
        <f>Inputs!$F$76*Y47</f>
        <v/>
      </c>
      <c r="Z58" s="13">
        <f>Inputs!$F$76*Z47</f>
        <v/>
      </c>
      <c r="AA58" s="13">
        <f>Inputs!$F$76*AA47</f>
        <v/>
      </c>
      <c r="AB58" s="13">
        <f>Inputs!$F$76*AB47</f>
        <v/>
      </c>
      <c r="AC58" s="13">
        <f>Inputs!$F$76*AC47</f>
        <v/>
      </c>
      <c r="AD58" s="13">
        <f>Inputs!$F$76*AD47</f>
        <v/>
      </c>
      <c r="AE58" s="13">
        <f>Inputs!$F$76*AE47</f>
        <v/>
      </c>
      <c r="AF58" s="13">
        <f>Inputs!$F$76*AF47</f>
        <v/>
      </c>
      <c r="AG58" s="13">
        <f>Inputs!$F$76*AG47</f>
        <v/>
      </c>
      <c r="AH58" s="13">
        <f>Inputs!$F$76*AH47</f>
        <v/>
      </c>
      <c r="AI58" s="13">
        <f>Inputs!$F$76*AI47</f>
        <v/>
      </c>
      <c r="AJ58" s="13">
        <f>Inputs!$F$76*AJ47</f>
        <v/>
      </c>
      <c r="AK58" s="13">
        <f>Inputs!$F$76*AK47</f>
        <v/>
      </c>
      <c r="AL58" s="13">
        <f>Inputs!$F$76*AL47</f>
        <v/>
      </c>
      <c r="AM58" s="13">
        <f>Inputs!$F$76*AM47</f>
        <v/>
      </c>
      <c r="AN58" s="13">
        <f>Inputs!$F$76*AN47</f>
        <v/>
      </c>
      <c r="AO58" s="13">
        <f>Inputs!$F$76*AO47</f>
        <v/>
      </c>
      <c r="AP58" s="13">
        <f>Inputs!$F$76*AP47</f>
        <v/>
      </c>
      <c r="AQ58" s="13">
        <f>Inputs!$F$76*AQ47</f>
        <v/>
      </c>
      <c r="AR58" s="13">
        <f>Inputs!$F$76*AR47</f>
        <v/>
      </c>
      <c r="AS58" s="13">
        <f>Inputs!$F$76*AS47</f>
        <v/>
      </c>
      <c r="AT58" s="13">
        <f>Inputs!$F$76*AT47</f>
        <v/>
      </c>
      <c r="AU58" s="13">
        <f>Inputs!$F$76*AU47</f>
        <v/>
      </c>
      <c r="AV58" s="13">
        <f>Inputs!$F$76*AV47</f>
        <v/>
      </c>
      <c r="AW58" s="13">
        <f>Inputs!$F$76*AW47</f>
        <v/>
      </c>
      <c r="AX58" s="13">
        <f>Inputs!$F$76*AX47</f>
        <v/>
      </c>
      <c r="AY58" s="13">
        <f>Inputs!$F$76*AY47</f>
        <v/>
      </c>
      <c r="AZ58" s="13">
        <f>Inputs!$F$76*AZ47</f>
        <v/>
      </c>
      <c r="BA58" s="13">
        <f>Inputs!$F$76*BA47</f>
        <v/>
      </c>
      <c r="BB58" s="13">
        <f>Inputs!$F$76*BB47</f>
        <v/>
      </c>
      <c r="BC58" s="13">
        <f>Inputs!$F$76*BC47</f>
        <v/>
      </c>
      <c r="BD58" s="13">
        <f>Inputs!$F$76*BD47</f>
        <v/>
      </c>
      <c r="BE58" s="13">
        <f>Inputs!$F$76*BE47</f>
        <v/>
      </c>
      <c r="BF58" s="13">
        <f>Inputs!$F$76*BF47</f>
        <v/>
      </c>
      <c r="BG58" s="13">
        <f>Inputs!$F$76*BG47</f>
        <v/>
      </c>
      <c r="BH58" s="13">
        <f>Inputs!$F$76*BH47</f>
        <v/>
      </c>
      <c r="BI58" s="13">
        <f>Inputs!$F$76*BI47</f>
        <v/>
      </c>
      <c r="BJ58" s="13">
        <f>Inputs!$F$76*BJ47</f>
        <v/>
      </c>
    </row>
    <row r="59">
      <c r="D59" t="inlineStr">
        <is>
          <t>ABDB B-loan: drawdown</t>
        </is>
      </c>
      <c r="E59" t="inlineStr">
        <is>
          <t>USD m</t>
        </is>
      </c>
      <c r="G59" s="13">
        <f>SUM(J59:BJ59)</f>
        <v/>
      </c>
      <c r="J59" s="13">
        <f>Inputs!$F$77*J47</f>
        <v/>
      </c>
      <c r="K59" s="13">
        <f>Inputs!$F$77*K47</f>
        <v/>
      </c>
      <c r="L59" s="13">
        <f>Inputs!$F$77*L47</f>
        <v/>
      </c>
      <c r="M59" s="13">
        <f>Inputs!$F$77*M47</f>
        <v/>
      </c>
      <c r="N59" s="13">
        <f>Inputs!$F$77*N47</f>
        <v/>
      </c>
      <c r="O59" s="13">
        <f>Inputs!$F$77*O47</f>
        <v/>
      </c>
      <c r="P59" s="13">
        <f>Inputs!$F$77*P47</f>
        <v/>
      </c>
      <c r="Q59" s="13">
        <f>Inputs!$F$77*Q47</f>
        <v/>
      </c>
      <c r="R59" s="13">
        <f>Inputs!$F$77*R47</f>
        <v/>
      </c>
      <c r="S59" s="13">
        <f>Inputs!$F$77*S47</f>
        <v/>
      </c>
      <c r="T59" s="13">
        <f>Inputs!$F$77*T47</f>
        <v/>
      </c>
      <c r="U59" s="13">
        <f>Inputs!$F$77*U47</f>
        <v/>
      </c>
      <c r="V59" s="13">
        <f>Inputs!$F$77*V47</f>
        <v/>
      </c>
      <c r="W59" s="13">
        <f>Inputs!$F$77*W47</f>
        <v/>
      </c>
      <c r="X59" s="13">
        <f>Inputs!$F$77*X47</f>
        <v/>
      </c>
      <c r="Y59" s="13">
        <f>Inputs!$F$77*Y47</f>
        <v/>
      </c>
      <c r="Z59" s="13">
        <f>Inputs!$F$77*Z47</f>
        <v/>
      </c>
      <c r="AA59" s="13">
        <f>Inputs!$F$77*AA47</f>
        <v/>
      </c>
      <c r="AB59" s="13">
        <f>Inputs!$F$77*AB47</f>
        <v/>
      </c>
      <c r="AC59" s="13">
        <f>Inputs!$F$77*AC47</f>
        <v/>
      </c>
      <c r="AD59" s="13">
        <f>Inputs!$F$77*AD47</f>
        <v/>
      </c>
      <c r="AE59" s="13">
        <f>Inputs!$F$77*AE47</f>
        <v/>
      </c>
      <c r="AF59" s="13">
        <f>Inputs!$F$77*AF47</f>
        <v/>
      </c>
      <c r="AG59" s="13">
        <f>Inputs!$F$77*AG47</f>
        <v/>
      </c>
      <c r="AH59" s="13">
        <f>Inputs!$F$77*AH47</f>
        <v/>
      </c>
      <c r="AI59" s="13">
        <f>Inputs!$F$77*AI47</f>
        <v/>
      </c>
      <c r="AJ59" s="13">
        <f>Inputs!$F$77*AJ47</f>
        <v/>
      </c>
      <c r="AK59" s="13">
        <f>Inputs!$F$77*AK47</f>
        <v/>
      </c>
      <c r="AL59" s="13">
        <f>Inputs!$F$77*AL47</f>
        <v/>
      </c>
      <c r="AM59" s="13">
        <f>Inputs!$F$77*AM47</f>
        <v/>
      </c>
      <c r="AN59" s="13">
        <f>Inputs!$F$77*AN47</f>
        <v/>
      </c>
      <c r="AO59" s="13">
        <f>Inputs!$F$77*AO47</f>
        <v/>
      </c>
      <c r="AP59" s="13">
        <f>Inputs!$F$77*AP47</f>
        <v/>
      </c>
      <c r="AQ59" s="13">
        <f>Inputs!$F$77*AQ47</f>
        <v/>
      </c>
      <c r="AR59" s="13">
        <f>Inputs!$F$77*AR47</f>
        <v/>
      </c>
      <c r="AS59" s="13">
        <f>Inputs!$F$77*AS47</f>
        <v/>
      </c>
      <c r="AT59" s="13">
        <f>Inputs!$F$77*AT47</f>
        <v/>
      </c>
      <c r="AU59" s="13">
        <f>Inputs!$F$77*AU47</f>
        <v/>
      </c>
      <c r="AV59" s="13">
        <f>Inputs!$F$77*AV47</f>
        <v/>
      </c>
      <c r="AW59" s="13">
        <f>Inputs!$F$77*AW47</f>
        <v/>
      </c>
      <c r="AX59" s="13">
        <f>Inputs!$F$77*AX47</f>
        <v/>
      </c>
      <c r="AY59" s="13">
        <f>Inputs!$F$77*AY47</f>
        <v/>
      </c>
      <c r="AZ59" s="13">
        <f>Inputs!$F$77*AZ47</f>
        <v/>
      </c>
      <c r="BA59" s="13">
        <f>Inputs!$F$77*BA47</f>
        <v/>
      </c>
      <c r="BB59" s="13">
        <f>Inputs!$F$77*BB47</f>
        <v/>
      </c>
      <c r="BC59" s="13">
        <f>Inputs!$F$77*BC47</f>
        <v/>
      </c>
      <c r="BD59" s="13">
        <f>Inputs!$F$77*BD47</f>
        <v/>
      </c>
      <c r="BE59" s="13">
        <f>Inputs!$F$77*BE47</f>
        <v/>
      </c>
      <c r="BF59" s="13">
        <f>Inputs!$F$77*BF47</f>
        <v/>
      </c>
      <c r="BG59" s="13">
        <f>Inputs!$F$77*BG47</f>
        <v/>
      </c>
      <c r="BH59" s="13">
        <f>Inputs!$F$77*BH47</f>
        <v/>
      </c>
      <c r="BI59" s="13">
        <f>Inputs!$F$77*BI47</f>
        <v/>
      </c>
      <c r="BJ59" s="13">
        <f>Inputs!$F$77*BJ47</f>
        <v/>
      </c>
    </row>
    <row r="60">
      <c r="D60" t="inlineStr">
        <is>
          <t>Commercial tranche: drawdown</t>
        </is>
      </c>
      <c r="E60" t="inlineStr">
        <is>
          <t>USD m</t>
        </is>
      </c>
      <c r="G60" s="13">
        <f>SUM(J60:BJ60)</f>
        <v/>
      </c>
      <c r="J60" s="13">
        <f>Inputs!$F$78*J47</f>
        <v/>
      </c>
      <c r="K60" s="13">
        <f>Inputs!$F$78*K47</f>
        <v/>
      </c>
      <c r="L60" s="13">
        <f>Inputs!$F$78*L47</f>
        <v/>
      </c>
      <c r="M60" s="13">
        <f>Inputs!$F$78*M47</f>
        <v/>
      </c>
      <c r="N60" s="13">
        <f>Inputs!$F$78*N47</f>
        <v/>
      </c>
      <c r="O60" s="13">
        <f>Inputs!$F$78*O47</f>
        <v/>
      </c>
      <c r="P60" s="13">
        <f>Inputs!$F$78*P47</f>
        <v/>
      </c>
      <c r="Q60" s="13">
        <f>Inputs!$F$78*Q47</f>
        <v/>
      </c>
      <c r="R60" s="13">
        <f>Inputs!$F$78*R47</f>
        <v/>
      </c>
      <c r="S60" s="13">
        <f>Inputs!$F$78*S47</f>
        <v/>
      </c>
      <c r="T60" s="13">
        <f>Inputs!$F$78*T47</f>
        <v/>
      </c>
      <c r="U60" s="13">
        <f>Inputs!$F$78*U47</f>
        <v/>
      </c>
      <c r="V60" s="13">
        <f>Inputs!$F$78*V47</f>
        <v/>
      </c>
      <c r="W60" s="13">
        <f>Inputs!$F$78*W47</f>
        <v/>
      </c>
      <c r="X60" s="13">
        <f>Inputs!$F$78*X47</f>
        <v/>
      </c>
      <c r="Y60" s="13">
        <f>Inputs!$F$78*Y47</f>
        <v/>
      </c>
      <c r="Z60" s="13">
        <f>Inputs!$F$78*Z47</f>
        <v/>
      </c>
      <c r="AA60" s="13">
        <f>Inputs!$F$78*AA47</f>
        <v/>
      </c>
      <c r="AB60" s="13">
        <f>Inputs!$F$78*AB47</f>
        <v/>
      </c>
      <c r="AC60" s="13">
        <f>Inputs!$F$78*AC47</f>
        <v/>
      </c>
      <c r="AD60" s="13">
        <f>Inputs!$F$78*AD47</f>
        <v/>
      </c>
      <c r="AE60" s="13">
        <f>Inputs!$F$78*AE47</f>
        <v/>
      </c>
      <c r="AF60" s="13">
        <f>Inputs!$F$78*AF47</f>
        <v/>
      </c>
      <c r="AG60" s="13">
        <f>Inputs!$F$78*AG47</f>
        <v/>
      </c>
      <c r="AH60" s="13">
        <f>Inputs!$F$78*AH47</f>
        <v/>
      </c>
      <c r="AI60" s="13">
        <f>Inputs!$F$78*AI47</f>
        <v/>
      </c>
      <c r="AJ60" s="13">
        <f>Inputs!$F$78*AJ47</f>
        <v/>
      </c>
      <c r="AK60" s="13">
        <f>Inputs!$F$78*AK47</f>
        <v/>
      </c>
      <c r="AL60" s="13">
        <f>Inputs!$F$78*AL47</f>
        <v/>
      </c>
      <c r="AM60" s="13">
        <f>Inputs!$F$78*AM47</f>
        <v/>
      </c>
      <c r="AN60" s="13">
        <f>Inputs!$F$78*AN47</f>
        <v/>
      </c>
      <c r="AO60" s="13">
        <f>Inputs!$F$78*AO47</f>
        <v/>
      </c>
      <c r="AP60" s="13">
        <f>Inputs!$F$78*AP47</f>
        <v/>
      </c>
      <c r="AQ60" s="13">
        <f>Inputs!$F$78*AQ47</f>
        <v/>
      </c>
      <c r="AR60" s="13">
        <f>Inputs!$F$78*AR47</f>
        <v/>
      </c>
      <c r="AS60" s="13">
        <f>Inputs!$F$78*AS47</f>
        <v/>
      </c>
      <c r="AT60" s="13">
        <f>Inputs!$F$78*AT47</f>
        <v/>
      </c>
      <c r="AU60" s="13">
        <f>Inputs!$F$78*AU47</f>
        <v/>
      </c>
      <c r="AV60" s="13">
        <f>Inputs!$F$78*AV47</f>
        <v/>
      </c>
      <c r="AW60" s="13">
        <f>Inputs!$F$78*AW47</f>
        <v/>
      </c>
      <c r="AX60" s="13">
        <f>Inputs!$F$78*AX47</f>
        <v/>
      </c>
      <c r="AY60" s="13">
        <f>Inputs!$F$78*AY47</f>
        <v/>
      </c>
      <c r="AZ60" s="13">
        <f>Inputs!$F$78*AZ47</f>
        <v/>
      </c>
      <c r="BA60" s="13">
        <f>Inputs!$F$78*BA47</f>
        <v/>
      </c>
      <c r="BB60" s="13">
        <f>Inputs!$F$78*BB47</f>
        <v/>
      </c>
      <c r="BC60" s="13">
        <f>Inputs!$F$78*BC47</f>
        <v/>
      </c>
      <c r="BD60" s="13">
        <f>Inputs!$F$78*BD47</f>
        <v/>
      </c>
      <c r="BE60" s="13">
        <f>Inputs!$F$78*BE47</f>
        <v/>
      </c>
      <c r="BF60" s="13">
        <f>Inputs!$F$78*BF47</f>
        <v/>
      </c>
      <c r="BG60" s="13">
        <f>Inputs!$F$78*BG47</f>
        <v/>
      </c>
      <c r="BH60" s="13">
        <f>Inputs!$F$78*BH47</f>
        <v/>
      </c>
      <c r="BI60" s="13">
        <f>Inputs!$F$78*BI47</f>
        <v/>
      </c>
      <c r="BJ60" s="13">
        <f>Inputs!$F$78*BJ47</f>
        <v/>
      </c>
    </row>
    <row r="61">
      <c r="D61" t="inlineStr">
        <is>
          <t>ECA-covered tranche: closing balance</t>
        </is>
      </c>
      <c r="E61" t="inlineStr">
        <is>
          <t>USD m</t>
        </is>
      </c>
      <c r="J61" s="13">
        <f>J28+J57</f>
        <v/>
      </c>
      <c r="K61" s="13">
        <f>K28+K57</f>
        <v/>
      </c>
      <c r="L61" s="13">
        <f>L28+L57</f>
        <v/>
      </c>
      <c r="M61" s="13">
        <f>M28+M57</f>
        <v/>
      </c>
      <c r="N61" s="13">
        <f>N28+N57</f>
        <v/>
      </c>
      <c r="O61" s="13">
        <f>O28+O57</f>
        <v/>
      </c>
      <c r="P61" s="13">
        <f>P28+P57</f>
        <v/>
      </c>
      <c r="Q61" s="13">
        <f>Q28+Q57</f>
        <v/>
      </c>
      <c r="R61" s="13">
        <f>R28+R57</f>
        <v/>
      </c>
      <c r="S61" s="13">
        <f>S28+S57</f>
        <v/>
      </c>
      <c r="T61" s="13">
        <f>T28+T57</f>
        <v/>
      </c>
      <c r="U61" s="13">
        <f>U28+U57</f>
        <v/>
      </c>
      <c r="V61" s="13">
        <f>V28+V57</f>
        <v/>
      </c>
      <c r="W61" s="13">
        <f>W28+W57</f>
        <v/>
      </c>
      <c r="X61" s="13">
        <f>X28+X57</f>
        <v/>
      </c>
      <c r="Y61" s="13">
        <f>Y28+Y57</f>
        <v/>
      </c>
      <c r="Z61" s="13">
        <f>Z28+Z57</f>
        <v/>
      </c>
      <c r="AA61" s="13">
        <f>AA28+AA57</f>
        <v/>
      </c>
      <c r="AB61" s="13">
        <f>AB28+AB57</f>
        <v/>
      </c>
      <c r="AC61" s="13">
        <f>AC28+AC57</f>
        <v/>
      </c>
      <c r="AD61" s="13">
        <f>AD28+AD57</f>
        <v/>
      </c>
      <c r="AE61" s="13">
        <f>AE28+AE57</f>
        <v/>
      </c>
      <c r="AF61" s="13">
        <f>AF28+AF57</f>
        <v/>
      </c>
      <c r="AG61" s="13">
        <f>AG28+AG57</f>
        <v/>
      </c>
      <c r="AH61" s="13">
        <f>AH28+AH57</f>
        <v/>
      </c>
      <c r="AI61" s="13">
        <f>AI28+AI57</f>
        <v/>
      </c>
      <c r="AJ61" s="13">
        <f>AJ28+AJ57</f>
        <v/>
      </c>
      <c r="AK61" s="13">
        <f>AK28+AK57</f>
        <v/>
      </c>
      <c r="AL61" s="13">
        <f>AL28+AL57</f>
        <v/>
      </c>
      <c r="AM61" s="13">
        <f>AM28+AM57</f>
        <v/>
      </c>
      <c r="AN61" s="13">
        <f>AN28+AN57</f>
        <v/>
      </c>
      <c r="AO61" s="13">
        <f>AO28+AO57</f>
        <v/>
      </c>
      <c r="AP61" s="13">
        <f>AP28+AP57</f>
        <v/>
      </c>
      <c r="AQ61" s="13">
        <f>AQ28+AQ57</f>
        <v/>
      </c>
      <c r="AR61" s="13">
        <f>AR28+AR57</f>
        <v/>
      </c>
      <c r="AS61" s="13">
        <f>AS28+AS57</f>
        <v/>
      </c>
      <c r="AT61" s="13">
        <f>AT28+AT57</f>
        <v/>
      </c>
      <c r="AU61" s="13">
        <f>AU28+AU57</f>
        <v/>
      </c>
      <c r="AV61" s="13">
        <f>AV28+AV57</f>
        <v/>
      </c>
      <c r="AW61" s="13">
        <f>AW28+AW57</f>
        <v/>
      </c>
      <c r="AX61" s="13">
        <f>AX28+AX57</f>
        <v/>
      </c>
      <c r="AY61" s="13">
        <f>AY28+AY57</f>
        <v/>
      </c>
      <c r="AZ61" s="13">
        <f>AZ28+AZ57</f>
        <v/>
      </c>
      <c r="BA61" s="13">
        <f>BA28+BA57</f>
        <v/>
      </c>
      <c r="BB61" s="13">
        <f>BB28+BB57</f>
        <v/>
      </c>
      <c r="BC61" s="13">
        <f>BC28+BC57</f>
        <v/>
      </c>
      <c r="BD61" s="13">
        <f>BD28+BD57</f>
        <v/>
      </c>
      <c r="BE61" s="13">
        <f>BE28+BE57</f>
        <v/>
      </c>
      <c r="BF61" s="13">
        <f>BF28+BF57</f>
        <v/>
      </c>
      <c r="BG61" s="13">
        <f>BG28+BG57</f>
        <v/>
      </c>
      <c r="BH61" s="13">
        <f>BH28+BH57</f>
        <v/>
      </c>
      <c r="BI61" s="13">
        <f>BI28+BI57</f>
        <v/>
      </c>
      <c r="BJ61" s="13">
        <f>BJ28+BJ57</f>
        <v/>
      </c>
    </row>
    <row r="62">
      <c r="D62" t="inlineStr">
        <is>
          <t>ABDB A-loan: closing balance</t>
        </is>
      </c>
      <c r="E62" t="inlineStr">
        <is>
          <t>USD m</t>
        </is>
      </c>
      <c r="J62" s="13">
        <f>J29+J58</f>
        <v/>
      </c>
      <c r="K62" s="13">
        <f>K29+K58</f>
        <v/>
      </c>
      <c r="L62" s="13">
        <f>L29+L58</f>
        <v/>
      </c>
      <c r="M62" s="13">
        <f>M29+M58</f>
        <v/>
      </c>
      <c r="N62" s="13">
        <f>N29+N58</f>
        <v/>
      </c>
      <c r="O62" s="13">
        <f>O29+O58</f>
        <v/>
      </c>
      <c r="P62" s="13">
        <f>P29+P58</f>
        <v/>
      </c>
      <c r="Q62" s="13">
        <f>Q29+Q58</f>
        <v/>
      </c>
      <c r="R62" s="13">
        <f>R29+R58</f>
        <v/>
      </c>
      <c r="S62" s="13">
        <f>S29+S58</f>
        <v/>
      </c>
      <c r="T62" s="13">
        <f>T29+T58</f>
        <v/>
      </c>
      <c r="U62" s="13">
        <f>U29+U58</f>
        <v/>
      </c>
      <c r="V62" s="13">
        <f>V29+V58</f>
        <v/>
      </c>
      <c r="W62" s="13">
        <f>W29+W58</f>
        <v/>
      </c>
      <c r="X62" s="13">
        <f>X29+X58</f>
        <v/>
      </c>
      <c r="Y62" s="13">
        <f>Y29+Y58</f>
        <v/>
      </c>
      <c r="Z62" s="13">
        <f>Z29+Z58</f>
        <v/>
      </c>
      <c r="AA62" s="13">
        <f>AA29+AA58</f>
        <v/>
      </c>
      <c r="AB62" s="13">
        <f>AB29+AB58</f>
        <v/>
      </c>
      <c r="AC62" s="13">
        <f>AC29+AC58</f>
        <v/>
      </c>
      <c r="AD62" s="13">
        <f>AD29+AD58</f>
        <v/>
      </c>
      <c r="AE62" s="13">
        <f>AE29+AE58</f>
        <v/>
      </c>
      <c r="AF62" s="13">
        <f>AF29+AF58</f>
        <v/>
      </c>
      <c r="AG62" s="13">
        <f>AG29+AG58</f>
        <v/>
      </c>
      <c r="AH62" s="13">
        <f>AH29+AH58</f>
        <v/>
      </c>
      <c r="AI62" s="13">
        <f>AI29+AI58</f>
        <v/>
      </c>
      <c r="AJ62" s="13">
        <f>AJ29+AJ58</f>
        <v/>
      </c>
      <c r="AK62" s="13">
        <f>AK29+AK58</f>
        <v/>
      </c>
      <c r="AL62" s="13">
        <f>AL29+AL58</f>
        <v/>
      </c>
      <c r="AM62" s="13">
        <f>AM29+AM58</f>
        <v/>
      </c>
      <c r="AN62" s="13">
        <f>AN29+AN58</f>
        <v/>
      </c>
      <c r="AO62" s="13">
        <f>AO29+AO58</f>
        <v/>
      </c>
      <c r="AP62" s="13">
        <f>AP29+AP58</f>
        <v/>
      </c>
      <c r="AQ62" s="13">
        <f>AQ29+AQ58</f>
        <v/>
      </c>
      <c r="AR62" s="13">
        <f>AR29+AR58</f>
        <v/>
      </c>
      <c r="AS62" s="13">
        <f>AS29+AS58</f>
        <v/>
      </c>
      <c r="AT62" s="13">
        <f>AT29+AT58</f>
        <v/>
      </c>
      <c r="AU62" s="13">
        <f>AU29+AU58</f>
        <v/>
      </c>
      <c r="AV62" s="13">
        <f>AV29+AV58</f>
        <v/>
      </c>
      <c r="AW62" s="13">
        <f>AW29+AW58</f>
        <v/>
      </c>
      <c r="AX62" s="13">
        <f>AX29+AX58</f>
        <v/>
      </c>
      <c r="AY62" s="13">
        <f>AY29+AY58</f>
        <v/>
      </c>
      <c r="AZ62" s="13">
        <f>AZ29+AZ58</f>
        <v/>
      </c>
      <c r="BA62" s="13">
        <f>BA29+BA58</f>
        <v/>
      </c>
      <c r="BB62" s="13">
        <f>BB29+BB58</f>
        <v/>
      </c>
      <c r="BC62" s="13">
        <f>BC29+BC58</f>
        <v/>
      </c>
      <c r="BD62" s="13">
        <f>BD29+BD58</f>
        <v/>
      </c>
      <c r="BE62" s="13">
        <f>BE29+BE58</f>
        <v/>
      </c>
      <c r="BF62" s="13">
        <f>BF29+BF58</f>
        <v/>
      </c>
      <c r="BG62" s="13">
        <f>BG29+BG58</f>
        <v/>
      </c>
      <c r="BH62" s="13">
        <f>BH29+BH58</f>
        <v/>
      </c>
      <c r="BI62" s="13">
        <f>BI29+BI58</f>
        <v/>
      </c>
      <c r="BJ62" s="13">
        <f>BJ29+BJ58</f>
        <v/>
      </c>
    </row>
    <row r="63">
      <c r="D63" t="inlineStr">
        <is>
          <t>ABDB B-loan: closing balance</t>
        </is>
      </c>
      <c r="E63" t="inlineStr">
        <is>
          <t>USD m</t>
        </is>
      </c>
      <c r="J63" s="13">
        <f>J30+J59</f>
        <v/>
      </c>
      <c r="K63" s="13">
        <f>K30+K59</f>
        <v/>
      </c>
      <c r="L63" s="13">
        <f>L30+L59</f>
        <v/>
      </c>
      <c r="M63" s="13">
        <f>M30+M59</f>
        <v/>
      </c>
      <c r="N63" s="13">
        <f>N30+N59</f>
        <v/>
      </c>
      <c r="O63" s="13">
        <f>O30+O59</f>
        <v/>
      </c>
      <c r="P63" s="13">
        <f>P30+P59</f>
        <v/>
      </c>
      <c r="Q63" s="13">
        <f>Q30+Q59</f>
        <v/>
      </c>
      <c r="R63" s="13">
        <f>R30+R59</f>
        <v/>
      </c>
      <c r="S63" s="13">
        <f>S30+S59</f>
        <v/>
      </c>
      <c r="T63" s="13">
        <f>T30+T59</f>
        <v/>
      </c>
      <c r="U63" s="13">
        <f>U30+U59</f>
        <v/>
      </c>
      <c r="V63" s="13">
        <f>V30+V59</f>
        <v/>
      </c>
      <c r="W63" s="13">
        <f>W30+W59</f>
        <v/>
      </c>
      <c r="X63" s="13">
        <f>X30+X59</f>
        <v/>
      </c>
      <c r="Y63" s="13">
        <f>Y30+Y59</f>
        <v/>
      </c>
      <c r="Z63" s="13">
        <f>Z30+Z59</f>
        <v/>
      </c>
      <c r="AA63" s="13">
        <f>AA30+AA59</f>
        <v/>
      </c>
      <c r="AB63" s="13">
        <f>AB30+AB59</f>
        <v/>
      </c>
      <c r="AC63" s="13">
        <f>AC30+AC59</f>
        <v/>
      </c>
      <c r="AD63" s="13">
        <f>AD30+AD59</f>
        <v/>
      </c>
      <c r="AE63" s="13">
        <f>AE30+AE59</f>
        <v/>
      </c>
      <c r="AF63" s="13">
        <f>AF30+AF59</f>
        <v/>
      </c>
      <c r="AG63" s="13">
        <f>AG30+AG59</f>
        <v/>
      </c>
      <c r="AH63" s="13">
        <f>AH30+AH59</f>
        <v/>
      </c>
      <c r="AI63" s="13">
        <f>AI30+AI59</f>
        <v/>
      </c>
      <c r="AJ63" s="13">
        <f>AJ30+AJ59</f>
        <v/>
      </c>
      <c r="AK63" s="13">
        <f>AK30+AK59</f>
        <v/>
      </c>
      <c r="AL63" s="13">
        <f>AL30+AL59</f>
        <v/>
      </c>
      <c r="AM63" s="13">
        <f>AM30+AM59</f>
        <v/>
      </c>
      <c r="AN63" s="13">
        <f>AN30+AN59</f>
        <v/>
      </c>
      <c r="AO63" s="13">
        <f>AO30+AO59</f>
        <v/>
      </c>
      <c r="AP63" s="13">
        <f>AP30+AP59</f>
        <v/>
      </c>
      <c r="AQ63" s="13">
        <f>AQ30+AQ59</f>
        <v/>
      </c>
      <c r="AR63" s="13">
        <f>AR30+AR59</f>
        <v/>
      </c>
      <c r="AS63" s="13">
        <f>AS30+AS59</f>
        <v/>
      </c>
      <c r="AT63" s="13">
        <f>AT30+AT59</f>
        <v/>
      </c>
      <c r="AU63" s="13">
        <f>AU30+AU59</f>
        <v/>
      </c>
      <c r="AV63" s="13">
        <f>AV30+AV59</f>
        <v/>
      </c>
      <c r="AW63" s="13">
        <f>AW30+AW59</f>
        <v/>
      </c>
      <c r="AX63" s="13">
        <f>AX30+AX59</f>
        <v/>
      </c>
      <c r="AY63" s="13">
        <f>AY30+AY59</f>
        <v/>
      </c>
      <c r="AZ63" s="13">
        <f>AZ30+AZ59</f>
        <v/>
      </c>
      <c r="BA63" s="13">
        <f>BA30+BA59</f>
        <v/>
      </c>
      <c r="BB63" s="13">
        <f>BB30+BB59</f>
        <v/>
      </c>
      <c r="BC63" s="13">
        <f>BC30+BC59</f>
        <v/>
      </c>
      <c r="BD63" s="13">
        <f>BD30+BD59</f>
        <v/>
      </c>
      <c r="BE63" s="13">
        <f>BE30+BE59</f>
        <v/>
      </c>
      <c r="BF63" s="13">
        <f>BF30+BF59</f>
        <v/>
      </c>
      <c r="BG63" s="13">
        <f>BG30+BG59</f>
        <v/>
      </c>
      <c r="BH63" s="13">
        <f>BH30+BH59</f>
        <v/>
      </c>
      <c r="BI63" s="13">
        <f>BI30+BI59</f>
        <v/>
      </c>
      <c r="BJ63" s="13">
        <f>BJ30+BJ59</f>
        <v/>
      </c>
    </row>
    <row r="64">
      <c r="D64" t="inlineStr">
        <is>
          <t>Commercial tranche: closing balance</t>
        </is>
      </c>
      <c r="E64" t="inlineStr">
        <is>
          <t>USD m</t>
        </is>
      </c>
      <c r="J64" s="13">
        <f>J31+J60</f>
        <v/>
      </c>
      <c r="K64" s="13">
        <f>K31+K60</f>
        <v/>
      </c>
      <c r="L64" s="13">
        <f>L31+L60</f>
        <v/>
      </c>
      <c r="M64" s="13">
        <f>M31+M60</f>
        <v/>
      </c>
      <c r="N64" s="13">
        <f>N31+N60</f>
        <v/>
      </c>
      <c r="O64" s="13">
        <f>O31+O60</f>
        <v/>
      </c>
      <c r="P64" s="13">
        <f>P31+P60</f>
        <v/>
      </c>
      <c r="Q64" s="13">
        <f>Q31+Q60</f>
        <v/>
      </c>
      <c r="R64" s="13">
        <f>R31+R60</f>
        <v/>
      </c>
      <c r="S64" s="13">
        <f>S31+S60</f>
        <v/>
      </c>
      <c r="T64" s="13">
        <f>T31+T60</f>
        <v/>
      </c>
      <c r="U64" s="13">
        <f>U31+U60</f>
        <v/>
      </c>
      <c r="V64" s="13">
        <f>V31+V60</f>
        <v/>
      </c>
      <c r="W64" s="13">
        <f>W31+W60</f>
        <v/>
      </c>
      <c r="X64" s="13">
        <f>X31+X60</f>
        <v/>
      </c>
      <c r="Y64" s="13">
        <f>Y31+Y60</f>
        <v/>
      </c>
      <c r="Z64" s="13">
        <f>Z31+Z60</f>
        <v/>
      </c>
      <c r="AA64" s="13">
        <f>AA31+AA60</f>
        <v/>
      </c>
      <c r="AB64" s="13">
        <f>AB31+AB60</f>
        <v/>
      </c>
      <c r="AC64" s="13">
        <f>AC31+AC60</f>
        <v/>
      </c>
      <c r="AD64" s="13">
        <f>AD31+AD60</f>
        <v/>
      </c>
      <c r="AE64" s="13">
        <f>AE31+AE60</f>
        <v/>
      </c>
      <c r="AF64" s="13">
        <f>AF31+AF60</f>
        <v/>
      </c>
      <c r="AG64" s="13">
        <f>AG31+AG60</f>
        <v/>
      </c>
      <c r="AH64" s="13">
        <f>AH31+AH60</f>
        <v/>
      </c>
      <c r="AI64" s="13">
        <f>AI31+AI60</f>
        <v/>
      </c>
      <c r="AJ64" s="13">
        <f>AJ31+AJ60</f>
        <v/>
      </c>
      <c r="AK64" s="13">
        <f>AK31+AK60</f>
        <v/>
      </c>
      <c r="AL64" s="13">
        <f>AL31+AL60</f>
        <v/>
      </c>
      <c r="AM64" s="13">
        <f>AM31+AM60</f>
        <v/>
      </c>
      <c r="AN64" s="13">
        <f>AN31+AN60</f>
        <v/>
      </c>
      <c r="AO64" s="13">
        <f>AO31+AO60</f>
        <v/>
      </c>
      <c r="AP64" s="13">
        <f>AP31+AP60</f>
        <v/>
      </c>
      <c r="AQ64" s="13">
        <f>AQ31+AQ60</f>
        <v/>
      </c>
      <c r="AR64" s="13">
        <f>AR31+AR60</f>
        <v/>
      </c>
      <c r="AS64" s="13">
        <f>AS31+AS60</f>
        <v/>
      </c>
      <c r="AT64" s="13">
        <f>AT31+AT60</f>
        <v/>
      </c>
      <c r="AU64" s="13">
        <f>AU31+AU60</f>
        <v/>
      </c>
      <c r="AV64" s="13">
        <f>AV31+AV60</f>
        <v/>
      </c>
      <c r="AW64" s="13">
        <f>AW31+AW60</f>
        <v/>
      </c>
      <c r="AX64" s="13">
        <f>AX31+AX60</f>
        <v/>
      </c>
      <c r="AY64" s="13">
        <f>AY31+AY60</f>
        <v/>
      </c>
      <c r="AZ64" s="13">
        <f>AZ31+AZ60</f>
        <v/>
      </c>
      <c r="BA64" s="13">
        <f>BA31+BA60</f>
        <v/>
      </c>
      <c r="BB64" s="13">
        <f>BB31+BB60</f>
        <v/>
      </c>
      <c r="BC64" s="13">
        <f>BC31+BC60</f>
        <v/>
      </c>
      <c r="BD64" s="13">
        <f>BD31+BD60</f>
        <v/>
      </c>
      <c r="BE64" s="13">
        <f>BE31+BE60</f>
        <v/>
      </c>
      <c r="BF64" s="13">
        <f>BF31+BF60</f>
        <v/>
      </c>
      <c r="BG64" s="13">
        <f>BG31+BG60</f>
        <v/>
      </c>
      <c r="BH64" s="13">
        <f>BH31+BH60</f>
        <v/>
      </c>
      <c r="BI64" s="13">
        <f>BI31+BI60</f>
        <v/>
      </c>
      <c r="BJ64" s="13">
        <f>BJ31+BJ60</f>
        <v/>
      </c>
    </row>
    <row r="65">
      <c r="D65" t="inlineStr">
        <is>
          <t>Standby facility: closing balance</t>
        </is>
      </c>
      <c r="E65" t="inlineStr">
        <is>
          <t>USD m</t>
        </is>
      </c>
      <c r="J65" s="13">
        <f>J32+J55</f>
        <v/>
      </c>
      <c r="K65" s="13">
        <f>K32+K55</f>
        <v/>
      </c>
      <c r="L65" s="13">
        <f>L32+L55</f>
        <v/>
      </c>
      <c r="M65" s="13">
        <f>M32+M55</f>
        <v/>
      </c>
      <c r="N65" s="13">
        <f>N32+N55</f>
        <v/>
      </c>
      <c r="O65" s="13">
        <f>O32+O55</f>
        <v/>
      </c>
      <c r="P65" s="13">
        <f>P32+P55</f>
        <v/>
      </c>
      <c r="Q65" s="13">
        <f>Q32+Q55</f>
        <v/>
      </c>
      <c r="R65" s="13">
        <f>R32+R55</f>
        <v/>
      </c>
      <c r="S65" s="13">
        <f>S32+S55</f>
        <v/>
      </c>
      <c r="T65" s="13">
        <f>T32+T55</f>
        <v/>
      </c>
      <c r="U65" s="13">
        <f>U32+U55</f>
        <v/>
      </c>
      <c r="V65" s="13">
        <f>V32+V55</f>
        <v/>
      </c>
      <c r="W65" s="13">
        <f>W32+W55</f>
        <v/>
      </c>
      <c r="X65" s="13">
        <f>X32+X55</f>
        <v/>
      </c>
      <c r="Y65" s="13">
        <f>Y32+Y55</f>
        <v/>
      </c>
      <c r="Z65" s="13">
        <f>Z32+Z55</f>
        <v/>
      </c>
      <c r="AA65" s="13">
        <f>AA32+AA55</f>
        <v/>
      </c>
      <c r="AB65" s="13">
        <f>AB32+AB55</f>
        <v/>
      </c>
      <c r="AC65" s="13">
        <f>AC32+AC55</f>
        <v/>
      </c>
      <c r="AD65" s="13">
        <f>AD32+AD55</f>
        <v/>
      </c>
      <c r="AE65" s="13">
        <f>AE32+AE55</f>
        <v/>
      </c>
      <c r="AF65" s="13">
        <f>AF32+AF55</f>
        <v/>
      </c>
      <c r="AG65" s="13">
        <f>AG32+AG55</f>
        <v/>
      </c>
      <c r="AH65" s="13">
        <f>AH32+AH55</f>
        <v/>
      </c>
      <c r="AI65" s="13">
        <f>AI32+AI55</f>
        <v/>
      </c>
      <c r="AJ65" s="13">
        <f>AJ32+AJ55</f>
        <v/>
      </c>
      <c r="AK65" s="13">
        <f>AK32+AK55</f>
        <v/>
      </c>
      <c r="AL65" s="13">
        <f>AL32+AL55</f>
        <v/>
      </c>
      <c r="AM65" s="13">
        <f>AM32+AM55</f>
        <v/>
      </c>
      <c r="AN65" s="13">
        <f>AN32+AN55</f>
        <v/>
      </c>
      <c r="AO65" s="13">
        <f>AO32+AO55</f>
        <v/>
      </c>
      <c r="AP65" s="13">
        <f>AP32+AP55</f>
        <v/>
      </c>
      <c r="AQ65" s="13">
        <f>AQ32+AQ55</f>
        <v/>
      </c>
      <c r="AR65" s="13">
        <f>AR32+AR55</f>
        <v/>
      </c>
      <c r="AS65" s="13">
        <f>AS32+AS55</f>
        <v/>
      </c>
      <c r="AT65" s="13">
        <f>AT32+AT55</f>
        <v/>
      </c>
      <c r="AU65" s="13">
        <f>AU32+AU55</f>
        <v/>
      </c>
      <c r="AV65" s="13">
        <f>AV32+AV55</f>
        <v/>
      </c>
      <c r="AW65" s="13">
        <f>AW32+AW55</f>
        <v/>
      </c>
      <c r="AX65" s="13">
        <f>AX32+AX55</f>
        <v/>
      </c>
      <c r="AY65" s="13">
        <f>AY32+AY55</f>
        <v/>
      </c>
      <c r="AZ65" s="13">
        <f>AZ32+AZ55</f>
        <v/>
      </c>
      <c r="BA65" s="13">
        <f>BA32+BA55</f>
        <v/>
      </c>
      <c r="BB65" s="13">
        <f>BB32+BB55</f>
        <v/>
      </c>
      <c r="BC65" s="13">
        <f>BC32+BC55</f>
        <v/>
      </c>
      <c r="BD65" s="13">
        <f>BD32+BD55</f>
        <v/>
      </c>
      <c r="BE65" s="13">
        <f>BE32+BE55</f>
        <v/>
      </c>
      <c r="BF65" s="13">
        <f>BF32+BF55</f>
        <v/>
      </c>
      <c r="BG65" s="13">
        <f>BG32+BG55</f>
        <v/>
      </c>
      <c r="BH65" s="13">
        <f>BH32+BH55</f>
        <v/>
      </c>
      <c r="BI65" s="13">
        <f>BI32+BI55</f>
        <v/>
      </c>
      <c r="BJ65" s="13">
        <f>BJ32+BJ55</f>
        <v/>
      </c>
    </row>
    <row r="66">
      <c r="B66" s="2" t="inlineStr">
        <is>
          <t>Equity (USD m)</t>
        </is>
      </c>
    </row>
    <row r="67">
      <c r="D67" t="inlineStr">
        <is>
          <t>Equity contributions (incl. LNTP credit in month 1)</t>
        </is>
      </c>
      <c r="E67" t="inlineStr">
        <is>
          <t>USD m</t>
        </is>
      </c>
      <c r="G67" s="13">
        <f>SUM(J67:BJ67)</f>
        <v/>
      </c>
      <c r="J67" s="13">
        <f>J50-J47+J56</f>
        <v/>
      </c>
      <c r="K67" s="13">
        <f>K50-K47+K56</f>
        <v/>
      </c>
      <c r="L67" s="13">
        <f>L50-L47+L56</f>
        <v/>
      </c>
      <c r="M67" s="13">
        <f>M50-M47+M56</f>
        <v/>
      </c>
      <c r="N67" s="13">
        <f>N50-N47+N56</f>
        <v/>
      </c>
      <c r="O67" s="13">
        <f>O50-O47+O56</f>
        <v/>
      </c>
      <c r="P67" s="13">
        <f>P50-P47+P56</f>
        <v/>
      </c>
      <c r="Q67" s="13">
        <f>Q50-Q47+Q56</f>
        <v/>
      </c>
      <c r="R67" s="13">
        <f>R50-R47+R56</f>
        <v/>
      </c>
      <c r="S67" s="13">
        <f>S50-S47+S56</f>
        <v/>
      </c>
      <c r="T67" s="13">
        <f>T50-T47+T56</f>
        <v/>
      </c>
      <c r="U67" s="13">
        <f>U50-U47+U56</f>
        <v/>
      </c>
      <c r="V67" s="13">
        <f>V50-V47+V56</f>
        <v/>
      </c>
      <c r="W67" s="13">
        <f>W50-W47+W56</f>
        <v/>
      </c>
      <c r="X67" s="13">
        <f>X50-X47+X56</f>
        <v/>
      </c>
      <c r="Y67" s="13">
        <f>Y50-Y47+Y56</f>
        <v/>
      </c>
      <c r="Z67" s="13">
        <f>Z50-Z47+Z56</f>
        <v/>
      </c>
      <c r="AA67" s="13">
        <f>AA50-AA47+AA56</f>
        <v/>
      </c>
      <c r="AB67" s="13">
        <f>AB50-AB47+AB56</f>
        <v/>
      </c>
      <c r="AC67" s="13">
        <f>AC50-AC47+AC56</f>
        <v/>
      </c>
      <c r="AD67" s="13">
        <f>AD50-AD47+AD56</f>
        <v/>
      </c>
      <c r="AE67" s="13">
        <f>AE50-AE47+AE56</f>
        <v/>
      </c>
      <c r="AF67" s="13">
        <f>AF50-AF47+AF56</f>
        <v/>
      </c>
      <c r="AG67" s="13">
        <f>AG50-AG47+AG56</f>
        <v/>
      </c>
      <c r="AH67" s="13">
        <f>AH50-AH47+AH56</f>
        <v/>
      </c>
      <c r="AI67" s="13">
        <f>AI50-AI47+AI56</f>
        <v/>
      </c>
      <c r="AJ67" s="13">
        <f>AJ50-AJ47+AJ56</f>
        <v/>
      </c>
      <c r="AK67" s="13">
        <f>AK50-AK47+AK56</f>
        <v/>
      </c>
      <c r="AL67" s="13">
        <f>AL50-AL47+AL56</f>
        <v/>
      </c>
      <c r="AM67" s="13">
        <f>AM50-AM47+AM56</f>
        <v/>
      </c>
      <c r="AN67" s="13">
        <f>AN50-AN47+AN56</f>
        <v/>
      </c>
      <c r="AO67" s="13">
        <f>AO50-AO47+AO56</f>
        <v/>
      </c>
      <c r="AP67" s="13">
        <f>AP50-AP47+AP56</f>
        <v/>
      </c>
      <c r="AQ67" s="13">
        <f>AQ50-AQ47+AQ56</f>
        <v/>
      </c>
      <c r="AR67" s="13">
        <f>AR50-AR47+AR56</f>
        <v/>
      </c>
      <c r="AS67" s="13">
        <f>AS50-AS47+AS56</f>
        <v/>
      </c>
      <c r="AT67" s="13">
        <f>AT50-AT47+AT56</f>
        <v/>
      </c>
      <c r="AU67" s="13">
        <f>AU50-AU47+AU56</f>
        <v/>
      </c>
      <c r="AV67" s="13">
        <f>AV50-AV47+AV56</f>
        <v/>
      </c>
      <c r="AW67" s="13">
        <f>AW50-AW47+AW56</f>
        <v/>
      </c>
      <c r="AX67" s="13">
        <f>AX50-AX47+AX56</f>
        <v/>
      </c>
      <c r="AY67" s="13">
        <f>AY50-AY47+AY56</f>
        <v/>
      </c>
      <c r="AZ67" s="13">
        <f>AZ50-AZ47+AZ56</f>
        <v/>
      </c>
      <c r="BA67" s="13">
        <f>BA50-BA47+BA56</f>
        <v/>
      </c>
      <c r="BB67" s="13">
        <f>BB50-BB47+BB56</f>
        <v/>
      </c>
      <c r="BC67" s="13">
        <f>BC50-BC47+BC56</f>
        <v/>
      </c>
      <c r="BD67" s="13">
        <f>BD50-BD47+BD56</f>
        <v/>
      </c>
      <c r="BE67" s="13">
        <f>BE50-BE47+BE56</f>
        <v/>
      </c>
      <c r="BF67" s="13">
        <f>BF50-BF47+BF56</f>
        <v/>
      </c>
      <c r="BG67" s="13">
        <f>BG50-BG47+BG56</f>
        <v/>
      </c>
      <c r="BH67" s="13">
        <f>BH50-BH47+BH56</f>
        <v/>
      </c>
      <c r="BI67" s="13">
        <f>BI50-BI47+BI56</f>
        <v/>
      </c>
      <c r="BJ67" s="13">
        <f>BJ50-BJ47+BJ56</f>
        <v/>
      </c>
    </row>
    <row r="68">
      <c r="D68" t="inlineStr">
        <is>
          <t>Equity contributed in cash</t>
        </is>
      </c>
      <c r="E68" t="inlineStr">
        <is>
          <t>USD m</t>
        </is>
      </c>
      <c r="G68" s="13">
        <f>SUM(J68:BJ68)</f>
        <v/>
      </c>
      <c r="J68" s="13">
        <f>J67-IF(Construction!J8=1,Inputs!$F$68,0)</f>
        <v/>
      </c>
      <c r="K68" s="13">
        <f>K67-IF(Construction!K8=1,Inputs!$F$68,0)</f>
        <v/>
      </c>
      <c r="L68" s="13">
        <f>L67-IF(Construction!L8=1,Inputs!$F$68,0)</f>
        <v/>
      </c>
      <c r="M68" s="13">
        <f>M67-IF(Construction!M8=1,Inputs!$F$68,0)</f>
        <v/>
      </c>
      <c r="N68" s="13">
        <f>N67-IF(Construction!N8=1,Inputs!$F$68,0)</f>
        <v/>
      </c>
      <c r="O68" s="13">
        <f>O67-IF(Construction!O8=1,Inputs!$F$68,0)</f>
        <v/>
      </c>
      <c r="P68" s="13">
        <f>P67-IF(Construction!P8=1,Inputs!$F$68,0)</f>
        <v/>
      </c>
      <c r="Q68" s="13">
        <f>Q67-IF(Construction!Q8=1,Inputs!$F$68,0)</f>
        <v/>
      </c>
      <c r="R68" s="13">
        <f>R67-IF(Construction!R8=1,Inputs!$F$68,0)</f>
        <v/>
      </c>
      <c r="S68" s="13">
        <f>S67-IF(Construction!S8=1,Inputs!$F$68,0)</f>
        <v/>
      </c>
      <c r="T68" s="13">
        <f>T67-IF(Construction!T8=1,Inputs!$F$68,0)</f>
        <v/>
      </c>
      <c r="U68" s="13">
        <f>U67-IF(Construction!U8=1,Inputs!$F$68,0)</f>
        <v/>
      </c>
      <c r="V68" s="13">
        <f>V67-IF(Construction!V8=1,Inputs!$F$68,0)</f>
        <v/>
      </c>
      <c r="W68" s="13">
        <f>W67-IF(Construction!W8=1,Inputs!$F$68,0)</f>
        <v/>
      </c>
      <c r="X68" s="13">
        <f>X67-IF(Construction!X8=1,Inputs!$F$68,0)</f>
        <v/>
      </c>
      <c r="Y68" s="13">
        <f>Y67-IF(Construction!Y8=1,Inputs!$F$68,0)</f>
        <v/>
      </c>
      <c r="Z68" s="13">
        <f>Z67-IF(Construction!Z8=1,Inputs!$F$68,0)</f>
        <v/>
      </c>
      <c r="AA68" s="13">
        <f>AA67-IF(Construction!AA8=1,Inputs!$F$68,0)</f>
        <v/>
      </c>
      <c r="AB68" s="13">
        <f>AB67-IF(Construction!AB8=1,Inputs!$F$68,0)</f>
        <v/>
      </c>
      <c r="AC68" s="13">
        <f>AC67-IF(Construction!AC8=1,Inputs!$F$68,0)</f>
        <v/>
      </c>
      <c r="AD68" s="13">
        <f>AD67-IF(Construction!AD8=1,Inputs!$F$68,0)</f>
        <v/>
      </c>
      <c r="AE68" s="13">
        <f>AE67-IF(Construction!AE8=1,Inputs!$F$68,0)</f>
        <v/>
      </c>
      <c r="AF68" s="13">
        <f>AF67-IF(Construction!AF8=1,Inputs!$F$68,0)</f>
        <v/>
      </c>
      <c r="AG68" s="13">
        <f>AG67-IF(Construction!AG8=1,Inputs!$F$68,0)</f>
        <v/>
      </c>
      <c r="AH68" s="13">
        <f>AH67-IF(Construction!AH8=1,Inputs!$F$68,0)</f>
        <v/>
      </c>
      <c r="AI68" s="13">
        <f>AI67-IF(Construction!AI8=1,Inputs!$F$68,0)</f>
        <v/>
      </c>
      <c r="AJ68" s="13">
        <f>AJ67-IF(Construction!AJ8=1,Inputs!$F$68,0)</f>
        <v/>
      </c>
      <c r="AK68" s="13">
        <f>AK67-IF(Construction!AK8=1,Inputs!$F$68,0)</f>
        <v/>
      </c>
      <c r="AL68" s="13">
        <f>AL67-IF(Construction!AL8=1,Inputs!$F$68,0)</f>
        <v/>
      </c>
      <c r="AM68" s="13">
        <f>AM67-IF(Construction!AM8=1,Inputs!$F$68,0)</f>
        <v/>
      </c>
      <c r="AN68" s="13">
        <f>AN67-IF(Construction!AN8=1,Inputs!$F$68,0)</f>
        <v/>
      </c>
      <c r="AO68" s="13">
        <f>AO67-IF(Construction!AO8=1,Inputs!$F$68,0)</f>
        <v/>
      </c>
      <c r="AP68" s="13">
        <f>AP67-IF(Construction!AP8=1,Inputs!$F$68,0)</f>
        <v/>
      </c>
      <c r="AQ68" s="13">
        <f>AQ67-IF(Construction!AQ8=1,Inputs!$F$68,0)</f>
        <v/>
      </c>
      <c r="AR68" s="13">
        <f>AR67-IF(Construction!AR8=1,Inputs!$F$68,0)</f>
        <v/>
      </c>
      <c r="AS68" s="13">
        <f>AS67-IF(Construction!AS8=1,Inputs!$F$68,0)</f>
        <v/>
      </c>
      <c r="AT68" s="13">
        <f>AT67-IF(Construction!AT8=1,Inputs!$F$68,0)</f>
        <v/>
      </c>
      <c r="AU68" s="13">
        <f>AU67-IF(Construction!AU8=1,Inputs!$F$68,0)</f>
        <v/>
      </c>
      <c r="AV68" s="13">
        <f>AV67-IF(Construction!AV8=1,Inputs!$F$68,0)</f>
        <v/>
      </c>
      <c r="AW68" s="13">
        <f>AW67-IF(Construction!AW8=1,Inputs!$F$68,0)</f>
        <v/>
      </c>
      <c r="AX68" s="13">
        <f>AX67-IF(Construction!AX8=1,Inputs!$F$68,0)</f>
        <v/>
      </c>
      <c r="AY68" s="13">
        <f>AY67-IF(Construction!AY8=1,Inputs!$F$68,0)</f>
        <v/>
      </c>
      <c r="AZ68" s="13">
        <f>AZ67-IF(Construction!AZ8=1,Inputs!$F$68,0)</f>
        <v/>
      </c>
      <c r="BA68" s="13">
        <f>BA67-IF(Construction!BA8=1,Inputs!$F$68,0)</f>
        <v/>
      </c>
      <c r="BB68" s="13">
        <f>BB67-IF(Construction!BB8=1,Inputs!$F$68,0)</f>
        <v/>
      </c>
      <c r="BC68" s="13">
        <f>BC67-IF(Construction!BC8=1,Inputs!$F$68,0)</f>
        <v/>
      </c>
      <c r="BD68" s="13">
        <f>BD67-IF(Construction!BD8=1,Inputs!$F$68,0)</f>
        <v/>
      </c>
      <c r="BE68" s="13">
        <f>BE67-IF(Construction!BE8=1,Inputs!$F$68,0)</f>
        <v/>
      </c>
      <c r="BF68" s="13">
        <f>BF67-IF(Construction!BF8=1,Inputs!$F$68,0)</f>
        <v/>
      </c>
      <c r="BG68" s="13">
        <f>BG67-IF(Construction!BG8=1,Inputs!$F$68,0)</f>
        <v/>
      </c>
      <c r="BH68" s="13">
        <f>BH67-IF(Construction!BH8=1,Inputs!$F$68,0)</f>
        <v/>
      </c>
      <c r="BI68" s="13">
        <f>BI67-IF(Construction!BI8=1,Inputs!$F$68,0)</f>
        <v/>
      </c>
      <c r="BJ68" s="13">
        <f>BJ67-IF(Construction!BJ8=1,Inputs!$F$68,0)</f>
        <v/>
      </c>
    </row>
    <row r="69">
      <c r="D69" t="inlineStr">
        <is>
          <t>Share capital</t>
        </is>
      </c>
      <c r="E69" t="inlineStr">
        <is>
          <t>USD m</t>
        </is>
      </c>
      <c r="G69" s="13">
        <f>SUM(J69:BJ69)</f>
        <v/>
      </c>
      <c r="J69" s="13">
        <f>(1-Inputs!$F$53)*J67</f>
        <v/>
      </c>
      <c r="K69" s="13">
        <f>(1-Inputs!$F$53)*K67</f>
        <v/>
      </c>
      <c r="L69" s="13">
        <f>(1-Inputs!$F$53)*L67</f>
        <v/>
      </c>
      <c r="M69" s="13">
        <f>(1-Inputs!$F$53)*M67</f>
        <v/>
      </c>
      <c r="N69" s="13">
        <f>(1-Inputs!$F$53)*N67</f>
        <v/>
      </c>
      <c r="O69" s="13">
        <f>(1-Inputs!$F$53)*O67</f>
        <v/>
      </c>
      <c r="P69" s="13">
        <f>(1-Inputs!$F$53)*P67</f>
        <v/>
      </c>
      <c r="Q69" s="13">
        <f>(1-Inputs!$F$53)*Q67</f>
        <v/>
      </c>
      <c r="R69" s="13">
        <f>(1-Inputs!$F$53)*R67</f>
        <v/>
      </c>
      <c r="S69" s="13">
        <f>(1-Inputs!$F$53)*S67</f>
        <v/>
      </c>
      <c r="T69" s="13">
        <f>(1-Inputs!$F$53)*T67</f>
        <v/>
      </c>
      <c r="U69" s="13">
        <f>(1-Inputs!$F$53)*U67</f>
        <v/>
      </c>
      <c r="V69" s="13">
        <f>(1-Inputs!$F$53)*V67</f>
        <v/>
      </c>
      <c r="W69" s="13">
        <f>(1-Inputs!$F$53)*W67</f>
        <v/>
      </c>
      <c r="X69" s="13">
        <f>(1-Inputs!$F$53)*X67</f>
        <v/>
      </c>
      <c r="Y69" s="13">
        <f>(1-Inputs!$F$53)*Y67</f>
        <v/>
      </c>
      <c r="Z69" s="13">
        <f>(1-Inputs!$F$53)*Z67</f>
        <v/>
      </c>
      <c r="AA69" s="13">
        <f>(1-Inputs!$F$53)*AA67</f>
        <v/>
      </c>
      <c r="AB69" s="13">
        <f>(1-Inputs!$F$53)*AB67</f>
        <v/>
      </c>
      <c r="AC69" s="13">
        <f>(1-Inputs!$F$53)*AC67</f>
        <v/>
      </c>
      <c r="AD69" s="13">
        <f>(1-Inputs!$F$53)*AD67</f>
        <v/>
      </c>
      <c r="AE69" s="13">
        <f>(1-Inputs!$F$53)*AE67</f>
        <v/>
      </c>
      <c r="AF69" s="13">
        <f>(1-Inputs!$F$53)*AF67</f>
        <v/>
      </c>
      <c r="AG69" s="13">
        <f>(1-Inputs!$F$53)*AG67</f>
        <v/>
      </c>
      <c r="AH69" s="13">
        <f>(1-Inputs!$F$53)*AH67</f>
        <v/>
      </c>
      <c r="AI69" s="13">
        <f>(1-Inputs!$F$53)*AI67</f>
        <v/>
      </c>
      <c r="AJ69" s="13">
        <f>(1-Inputs!$F$53)*AJ67</f>
        <v/>
      </c>
      <c r="AK69" s="13">
        <f>(1-Inputs!$F$53)*AK67</f>
        <v/>
      </c>
      <c r="AL69" s="13">
        <f>(1-Inputs!$F$53)*AL67</f>
        <v/>
      </c>
      <c r="AM69" s="13">
        <f>(1-Inputs!$F$53)*AM67</f>
        <v/>
      </c>
      <c r="AN69" s="13">
        <f>(1-Inputs!$F$53)*AN67</f>
        <v/>
      </c>
      <c r="AO69" s="13">
        <f>(1-Inputs!$F$53)*AO67</f>
        <v/>
      </c>
      <c r="AP69" s="13">
        <f>(1-Inputs!$F$53)*AP67</f>
        <v/>
      </c>
      <c r="AQ69" s="13">
        <f>(1-Inputs!$F$53)*AQ67</f>
        <v/>
      </c>
      <c r="AR69" s="13">
        <f>(1-Inputs!$F$53)*AR67</f>
        <v/>
      </c>
      <c r="AS69" s="13">
        <f>(1-Inputs!$F$53)*AS67</f>
        <v/>
      </c>
      <c r="AT69" s="13">
        <f>(1-Inputs!$F$53)*AT67</f>
        <v/>
      </c>
      <c r="AU69" s="13">
        <f>(1-Inputs!$F$53)*AU67</f>
        <v/>
      </c>
      <c r="AV69" s="13">
        <f>(1-Inputs!$F$53)*AV67</f>
        <v/>
      </c>
      <c r="AW69" s="13">
        <f>(1-Inputs!$F$53)*AW67</f>
        <v/>
      </c>
      <c r="AX69" s="13">
        <f>(1-Inputs!$F$53)*AX67</f>
        <v/>
      </c>
      <c r="AY69" s="13">
        <f>(1-Inputs!$F$53)*AY67</f>
        <v/>
      </c>
      <c r="AZ69" s="13">
        <f>(1-Inputs!$F$53)*AZ67</f>
        <v/>
      </c>
      <c r="BA69" s="13">
        <f>(1-Inputs!$F$53)*BA67</f>
        <v/>
      </c>
      <c r="BB69" s="13">
        <f>(1-Inputs!$F$53)*BB67</f>
        <v/>
      </c>
      <c r="BC69" s="13">
        <f>(1-Inputs!$F$53)*BC67</f>
        <v/>
      </c>
      <c r="BD69" s="13">
        <f>(1-Inputs!$F$53)*BD67</f>
        <v/>
      </c>
      <c r="BE69" s="13">
        <f>(1-Inputs!$F$53)*BE67</f>
        <v/>
      </c>
      <c r="BF69" s="13">
        <f>(1-Inputs!$F$53)*BF67</f>
        <v/>
      </c>
      <c r="BG69" s="13">
        <f>(1-Inputs!$F$53)*BG67</f>
        <v/>
      </c>
      <c r="BH69" s="13">
        <f>(1-Inputs!$F$53)*BH67</f>
        <v/>
      </c>
      <c r="BI69" s="13">
        <f>(1-Inputs!$F$53)*BI67</f>
        <v/>
      </c>
      <c r="BJ69" s="13">
        <f>(1-Inputs!$F$53)*BJ67</f>
        <v/>
      </c>
    </row>
    <row r="70">
      <c r="D70" t="inlineStr">
        <is>
          <t>Shareholder loans advanced</t>
        </is>
      </c>
      <c r="E70" t="inlineStr">
        <is>
          <t>USD m</t>
        </is>
      </c>
      <c r="G70" s="13">
        <f>SUM(J70:BJ70)</f>
        <v/>
      </c>
      <c r="J70" s="13">
        <f>Inputs!$F$53*J67</f>
        <v/>
      </c>
      <c r="K70" s="13">
        <f>Inputs!$F$53*K67</f>
        <v/>
      </c>
      <c r="L70" s="13">
        <f>Inputs!$F$53*L67</f>
        <v/>
      </c>
      <c r="M70" s="13">
        <f>Inputs!$F$53*M67</f>
        <v/>
      </c>
      <c r="N70" s="13">
        <f>Inputs!$F$53*N67</f>
        <v/>
      </c>
      <c r="O70" s="13">
        <f>Inputs!$F$53*O67</f>
        <v/>
      </c>
      <c r="P70" s="13">
        <f>Inputs!$F$53*P67</f>
        <v/>
      </c>
      <c r="Q70" s="13">
        <f>Inputs!$F$53*Q67</f>
        <v/>
      </c>
      <c r="R70" s="13">
        <f>Inputs!$F$53*R67</f>
        <v/>
      </c>
      <c r="S70" s="13">
        <f>Inputs!$F$53*S67</f>
        <v/>
      </c>
      <c r="T70" s="13">
        <f>Inputs!$F$53*T67</f>
        <v/>
      </c>
      <c r="U70" s="13">
        <f>Inputs!$F$53*U67</f>
        <v/>
      </c>
      <c r="V70" s="13">
        <f>Inputs!$F$53*V67</f>
        <v/>
      </c>
      <c r="W70" s="13">
        <f>Inputs!$F$53*W67</f>
        <v/>
      </c>
      <c r="X70" s="13">
        <f>Inputs!$F$53*X67</f>
        <v/>
      </c>
      <c r="Y70" s="13">
        <f>Inputs!$F$53*Y67</f>
        <v/>
      </c>
      <c r="Z70" s="13">
        <f>Inputs!$F$53*Z67</f>
        <v/>
      </c>
      <c r="AA70" s="13">
        <f>Inputs!$F$53*AA67</f>
        <v/>
      </c>
      <c r="AB70" s="13">
        <f>Inputs!$F$53*AB67</f>
        <v/>
      </c>
      <c r="AC70" s="13">
        <f>Inputs!$F$53*AC67</f>
        <v/>
      </c>
      <c r="AD70" s="13">
        <f>Inputs!$F$53*AD67</f>
        <v/>
      </c>
      <c r="AE70" s="13">
        <f>Inputs!$F$53*AE67</f>
        <v/>
      </c>
      <c r="AF70" s="13">
        <f>Inputs!$F$53*AF67</f>
        <v/>
      </c>
      <c r="AG70" s="13">
        <f>Inputs!$F$53*AG67</f>
        <v/>
      </c>
      <c r="AH70" s="13">
        <f>Inputs!$F$53*AH67</f>
        <v/>
      </c>
      <c r="AI70" s="13">
        <f>Inputs!$F$53*AI67</f>
        <v/>
      </c>
      <c r="AJ70" s="13">
        <f>Inputs!$F$53*AJ67</f>
        <v/>
      </c>
      <c r="AK70" s="13">
        <f>Inputs!$F$53*AK67</f>
        <v/>
      </c>
      <c r="AL70" s="13">
        <f>Inputs!$F$53*AL67</f>
        <v/>
      </c>
      <c r="AM70" s="13">
        <f>Inputs!$F$53*AM67</f>
        <v/>
      </c>
      <c r="AN70" s="13">
        <f>Inputs!$F$53*AN67</f>
        <v/>
      </c>
      <c r="AO70" s="13">
        <f>Inputs!$F$53*AO67</f>
        <v/>
      </c>
      <c r="AP70" s="13">
        <f>Inputs!$F$53*AP67</f>
        <v/>
      </c>
      <c r="AQ70" s="13">
        <f>Inputs!$F$53*AQ67</f>
        <v/>
      </c>
      <c r="AR70" s="13">
        <f>Inputs!$F$53*AR67</f>
        <v/>
      </c>
      <c r="AS70" s="13">
        <f>Inputs!$F$53*AS67</f>
        <v/>
      </c>
      <c r="AT70" s="13">
        <f>Inputs!$F$53*AT67</f>
        <v/>
      </c>
      <c r="AU70" s="13">
        <f>Inputs!$F$53*AU67</f>
        <v/>
      </c>
      <c r="AV70" s="13">
        <f>Inputs!$F$53*AV67</f>
        <v/>
      </c>
      <c r="AW70" s="13">
        <f>Inputs!$F$53*AW67</f>
        <v/>
      </c>
      <c r="AX70" s="13">
        <f>Inputs!$F$53*AX67</f>
        <v/>
      </c>
      <c r="AY70" s="13">
        <f>Inputs!$F$53*AY67</f>
        <v/>
      </c>
      <c r="AZ70" s="13">
        <f>Inputs!$F$53*AZ67</f>
        <v/>
      </c>
      <c r="BA70" s="13">
        <f>Inputs!$F$53*BA67</f>
        <v/>
      </c>
      <c r="BB70" s="13">
        <f>Inputs!$F$53*BB67</f>
        <v/>
      </c>
      <c r="BC70" s="13">
        <f>Inputs!$F$53*BC67</f>
        <v/>
      </c>
      <c r="BD70" s="13">
        <f>Inputs!$F$53*BD67</f>
        <v/>
      </c>
      <c r="BE70" s="13">
        <f>Inputs!$F$53*BE67</f>
        <v/>
      </c>
      <c r="BF70" s="13">
        <f>Inputs!$F$53*BF67</f>
        <v/>
      </c>
      <c r="BG70" s="13">
        <f>Inputs!$F$53*BG67</f>
        <v/>
      </c>
      <c r="BH70" s="13">
        <f>Inputs!$F$53*BH67</f>
        <v/>
      </c>
      <c r="BI70" s="13">
        <f>Inputs!$F$53*BI67</f>
        <v/>
      </c>
      <c r="BJ70" s="13">
        <f>Inputs!$F$53*BJ67</f>
        <v/>
      </c>
    </row>
    <row r="71">
      <c r="D71" t="inlineStr">
        <is>
          <t>Shareholder loan interest capitalized (to COD)</t>
        </is>
      </c>
      <c r="E71" t="inlineStr">
        <is>
          <t>USD m</t>
        </is>
      </c>
      <c r="G71" s="13">
        <f>SUM(J71:BJ71)</f>
        <v/>
      </c>
      <c r="J71" s="13">
        <f>IF(Construction!J8&lt;=Time!$F$11,I72*Inputs!$F$104/100*Construction!J11/Inputs!$F$248,0)</f>
        <v/>
      </c>
      <c r="K71" s="13">
        <f>IF(Construction!K8&lt;=Time!$F$11,J72*Inputs!$F$104/100*Construction!K11/Inputs!$F$248,0)</f>
        <v/>
      </c>
      <c r="L71" s="13">
        <f>IF(Construction!L8&lt;=Time!$F$11,K72*Inputs!$F$104/100*Construction!L11/Inputs!$F$248,0)</f>
        <v/>
      </c>
      <c r="M71" s="13">
        <f>IF(Construction!M8&lt;=Time!$F$11,L72*Inputs!$F$104/100*Construction!M11/Inputs!$F$248,0)</f>
        <v/>
      </c>
      <c r="N71" s="13">
        <f>IF(Construction!N8&lt;=Time!$F$11,M72*Inputs!$F$104/100*Construction!N11/Inputs!$F$248,0)</f>
        <v/>
      </c>
      <c r="O71" s="13">
        <f>IF(Construction!O8&lt;=Time!$F$11,N72*Inputs!$F$104/100*Construction!O11/Inputs!$F$248,0)</f>
        <v/>
      </c>
      <c r="P71" s="13">
        <f>IF(Construction!P8&lt;=Time!$F$11,O72*Inputs!$F$104/100*Construction!P11/Inputs!$F$248,0)</f>
        <v/>
      </c>
      <c r="Q71" s="13">
        <f>IF(Construction!Q8&lt;=Time!$F$11,P72*Inputs!$F$104/100*Construction!Q11/Inputs!$F$248,0)</f>
        <v/>
      </c>
      <c r="R71" s="13">
        <f>IF(Construction!R8&lt;=Time!$F$11,Q72*Inputs!$F$104/100*Construction!R11/Inputs!$F$248,0)</f>
        <v/>
      </c>
      <c r="S71" s="13">
        <f>IF(Construction!S8&lt;=Time!$F$11,R72*Inputs!$F$104/100*Construction!S11/Inputs!$F$248,0)</f>
        <v/>
      </c>
      <c r="T71" s="13">
        <f>IF(Construction!T8&lt;=Time!$F$11,S72*Inputs!$F$104/100*Construction!T11/Inputs!$F$248,0)</f>
        <v/>
      </c>
      <c r="U71" s="13">
        <f>IF(Construction!U8&lt;=Time!$F$11,T72*Inputs!$F$104/100*Construction!U11/Inputs!$F$248,0)</f>
        <v/>
      </c>
      <c r="V71" s="13">
        <f>IF(Construction!V8&lt;=Time!$F$11,U72*Inputs!$F$104/100*Construction!V11/Inputs!$F$248,0)</f>
        <v/>
      </c>
      <c r="W71" s="13">
        <f>IF(Construction!W8&lt;=Time!$F$11,V72*Inputs!$F$104/100*Construction!W11/Inputs!$F$248,0)</f>
        <v/>
      </c>
      <c r="X71" s="13">
        <f>IF(Construction!X8&lt;=Time!$F$11,W72*Inputs!$F$104/100*Construction!X11/Inputs!$F$248,0)</f>
        <v/>
      </c>
      <c r="Y71" s="13">
        <f>IF(Construction!Y8&lt;=Time!$F$11,X72*Inputs!$F$104/100*Construction!Y11/Inputs!$F$248,0)</f>
        <v/>
      </c>
      <c r="Z71" s="13">
        <f>IF(Construction!Z8&lt;=Time!$F$11,Y72*Inputs!$F$104/100*Construction!Z11/Inputs!$F$248,0)</f>
        <v/>
      </c>
      <c r="AA71" s="13">
        <f>IF(Construction!AA8&lt;=Time!$F$11,Z72*Inputs!$F$104/100*Construction!AA11/Inputs!$F$248,0)</f>
        <v/>
      </c>
      <c r="AB71" s="13">
        <f>IF(Construction!AB8&lt;=Time!$F$11,AA72*Inputs!$F$104/100*Construction!AB11/Inputs!$F$248,0)</f>
        <v/>
      </c>
      <c r="AC71" s="13">
        <f>IF(Construction!AC8&lt;=Time!$F$11,AB72*Inputs!$F$104/100*Construction!AC11/Inputs!$F$248,0)</f>
        <v/>
      </c>
      <c r="AD71" s="13">
        <f>IF(Construction!AD8&lt;=Time!$F$11,AC72*Inputs!$F$104/100*Construction!AD11/Inputs!$F$248,0)</f>
        <v/>
      </c>
      <c r="AE71" s="13">
        <f>IF(Construction!AE8&lt;=Time!$F$11,AD72*Inputs!$F$104/100*Construction!AE11/Inputs!$F$248,0)</f>
        <v/>
      </c>
      <c r="AF71" s="13">
        <f>IF(Construction!AF8&lt;=Time!$F$11,AE72*Inputs!$F$104/100*Construction!AF11/Inputs!$F$248,0)</f>
        <v/>
      </c>
      <c r="AG71" s="13">
        <f>IF(Construction!AG8&lt;=Time!$F$11,AF72*Inputs!$F$104/100*Construction!AG11/Inputs!$F$248,0)</f>
        <v/>
      </c>
      <c r="AH71" s="13">
        <f>IF(Construction!AH8&lt;=Time!$F$11,AG72*Inputs!$F$104/100*Construction!AH11/Inputs!$F$248,0)</f>
        <v/>
      </c>
      <c r="AI71" s="13">
        <f>IF(Construction!AI8&lt;=Time!$F$11,AH72*Inputs!$F$104/100*Construction!AI11/Inputs!$F$248,0)</f>
        <v/>
      </c>
      <c r="AJ71" s="13">
        <f>IF(Construction!AJ8&lt;=Time!$F$11,AI72*Inputs!$F$104/100*Construction!AJ11/Inputs!$F$248,0)</f>
        <v/>
      </c>
      <c r="AK71" s="13">
        <f>IF(Construction!AK8&lt;=Time!$F$11,AJ72*Inputs!$F$104/100*Construction!AK11/Inputs!$F$248,0)</f>
        <v/>
      </c>
      <c r="AL71" s="13">
        <f>IF(Construction!AL8&lt;=Time!$F$11,AK72*Inputs!$F$104/100*Construction!AL11/Inputs!$F$248,0)</f>
        <v/>
      </c>
      <c r="AM71" s="13">
        <f>IF(Construction!AM8&lt;=Time!$F$11,AL72*Inputs!$F$104/100*Construction!AM11/Inputs!$F$248,0)</f>
        <v/>
      </c>
      <c r="AN71" s="13">
        <f>IF(Construction!AN8&lt;=Time!$F$11,AM72*Inputs!$F$104/100*Construction!AN11/Inputs!$F$248,0)</f>
        <v/>
      </c>
      <c r="AO71" s="13">
        <f>IF(Construction!AO8&lt;=Time!$F$11,AN72*Inputs!$F$104/100*Construction!AO11/Inputs!$F$248,0)</f>
        <v/>
      </c>
      <c r="AP71" s="13">
        <f>IF(Construction!AP8&lt;=Time!$F$11,AO72*Inputs!$F$104/100*Construction!AP11/Inputs!$F$248,0)</f>
        <v/>
      </c>
      <c r="AQ71" s="13">
        <f>IF(Construction!AQ8&lt;=Time!$F$11,AP72*Inputs!$F$104/100*Construction!AQ11/Inputs!$F$248,0)</f>
        <v/>
      </c>
      <c r="AR71" s="13">
        <f>IF(Construction!AR8&lt;=Time!$F$11,AQ72*Inputs!$F$104/100*Construction!AR11/Inputs!$F$248,0)</f>
        <v/>
      </c>
      <c r="AS71" s="13">
        <f>IF(Construction!AS8&lt;=Time!$F$11,AR72*Inputs!$F$104/100*Construction!AS11/Inputs!$F$248,0)</f>
        <v/>
      </c>
      <c r="AT71" s="13">
        <f>IF(Construction!AT8&lt;=Time!$F$11,AS72*Inputs!$F$104/100*Construction!AT11/Inputs!$F$248,0)</f>
        <v/>
      </c>
      <c r="AU71" s="13">
        <f>IF(Construction!AU8&lt;=Time!$F$11,AT72*Inputs!$F$104/100*Construction!AU11/Inputs!$F$248,0)</f>
        <v/>
      </c>
      <c r="AV71" s="13">
        <f>IF(Construction!AV8&lt;=Time!$F$11,AU72*Inputs!$F$104/100*Construction!AV11/Inputs!$F$248,0)</f>
        <v/>
      </c>
      <c r="AW71" s="13">
        <f>IF(Construction!AW8&lt;=Time!$F$11,AV72*Inputs!$F$104/100*Construction!AW11/Inputs!$F$248,0)</f>
        <v/>
      </c>
      <c r="AX71" s="13">
        <f>IF(Construction!AX8&lt;=Time!$F$11,AW72*Inputs!$F$104/100*Construction!AX11/Inputs!$F$248,0)</f>
        <v/>
      </c>
      <c r="AY71" s="13">
        <f>IF(Construction!AY8&lt;=Time!$F$11,AX72*Inputs!$F$104/100*Construction!AY11/Inputs!$F$248,0)</f>
        <v/>
      </c>
      <c r="AZ71" s="13">
        <f>IF(Construction!AZ8&lt;=Time!$F$11,AY72*Inputs!$F$104/100*Construction!AZ11/Inputs!$F$248,0)</f>
        <v/>
      </c>
      <c r="BA71" s="13">
        <f>IF(Construction!BA8&lt;=Time!$F$11,AZ72*Inputs!$F$104/100*Construction!BA11/Inputs!$F$248,0)</f>
        <v/>
      </c>
      <c r="BB71" s="13">
        <f>IF(Construction!BB8&lt;=Time!$F$11,BA72*Inputs!$F$104/100*Construction!BB11/Inputs!$F$248,0)</f>
        <v/>
      </c>
      <c r="BC71" s="13">
        <f>IF(Construction!BC8&lt;=Time!$F$11,BB72*Inputs!$F$104/100*Construction!BC11/Inputs!$F$248,0)</f>
        <v/>
      </c>
      <c r="BD71" s="13">
        <f>IF(Construction!BD8&lt;=Time!$F$11,BC72*Inputs!$F$104/100*Construction!BD11/Inputs!$F$248,0)</f>
        <v/>
      </c>
      <c r="BE71" s="13">
        <f>IF(Construction!BE8&lt;=Time!$F$11,BD72*Inputs!$F$104/100*Construction!BE11/Inputs!$F$248,0)</f>
        <v/>
      </c>
      <c r="BF71" s="13">
        <f>IF(Construction!BF8&lt;=Time!$F$11,BE72*Inputs!$F$104/100*Construction!BF11/Inputs!$F$248,0)</f>
        <v/>
      </c>
      <c r="BG71" s="13">
        <f>IF(Construction!BG8&lt;=Time!$F$11,BF72*Inputs!$F$104/100*Construction!BG11/Inputs!$F$248,0)</f>
        <v/>
      </c>
      <c r="BH71" s="13">
        <f>IF(Construction!BH8&lt;=Time!$F$11,BG72*Inputs!$F$104/100*Construction!BH11/Inputs!$F$248,0)</f>
        <v/>
      </c>
      <c r="BI71" s="13">
        <f>IF(Construction!BI8&lt;=Time!$F$11,BH72*Inputs!$F$104/100*Construction!BI11/Inputs!$F$248,0)</f>
        <v/>
      </c>
      <c r="BJ71" s="13">
        <f>IF(Construction!BJ8&lt;=Time!$F$11,BI72*Inputs!$F$104/100*Construction!BJ11/Inputs!$F$248,0)</f>
        <v/>
      </c>
    </row>
    <row r="72">
      <c r="D72" t="inlineStr">
        <is>
          <t>Shareholder loan balance</t>
        </is>
      </c>
      <c r="E72" t="inlineStr">
        <is>
          <t>USD m</t>
        </is>
      </c>
      <c r="J72" s="13">
        <f>I72+J71+J70</f>
        <v/>
      </c>
      <c r="K72" s="13">
        <f>J72+K71+K70</f>
        <v/>
      </c>
      <c r="L72" s="13">
        <f>K72+L71+L70</f>
        <v/>
      </c>
      <c r="M72" s="13">
        <f>L72+M71+M70</f>
        <v/>
      </c>
      <c r="N72" s="13">
        <f>M72+N71+N70</f>
        <v/>
      </c>
      <c r="O72" s="13">
        <f>N72+O71+O70</f>
        <v/>
      </c>
      <c r="P72" s="13">
        <f>O72+P71+P70</f>
        <v/>
      </c>
      <c r="Q72" s="13">
        <f>P72+Q71+Q70</f>
        <v/>
      </c>
      <c r="R72" s="13">
        <f>Q72+R71+R70</f>
        <v/>
      </c>
      <c r="S72" s="13">
        <f>R72+S71+S70</f>
        <v/>
      </c>
      <c r="T72" s="13">
        <f>S72+T71+T70</f>
        <v/>
      </c>
      <c r="U72" s="13">
        <f>T72+U71+U70</f>
        <v/>
      </c>
      <c r="V72" s="13">
        <f>U72+V71+V70</f>
        <v/>
      </c>
      <c r="W72" s="13">
        <f>V72+W71+W70</f>
        <v/>
      </c>
      <c r="X72" s="13">
        <f>W72+X71+X70</f>
        <v/>
      </c>
      <c r="Y72" s="13">
        <f>X72+Y71+Y70</f>
        <v/>
      </c>
      <c r="Z72" s="13">
        <f>Y72+Z71+Z70</f>
        <v/>
      </c>
      <c r="AA72" s="13">
        <f>Z72+AA71+AA70</f>
        <v/>
      </c>
      <c r="AB72" s="13">
        <f>AA72+AB71+AB70</f>
        <v/>
      </c>
      <c r="AC72" s="13">
        <f>AB72+AC71+AC70</f>
        <v/>
      </c>
      <c r="AD72" s="13">
        <f>AC72+AD71+AD70</f>
        <v/>
      </c>
      <c r="AE72" s="13">
        <f>AD72+AE71+AE70</f>
        <v/>
      </c>
      <c r="AF72" s="13">
        <f>AE72+AF71+AF70</f>
        <v/>
      </c>
      <c r="AG72" s="13">
        <f>AF72+AG71+AG70</f>
        <v/>
      </c>
      <c r="AH72" s="13">
        <f>AG72+AH71+AH70</f>
        <v/>
      </c>
      <c r="AI72" s="13">
        <f>AH72+AI71+AI70</f>
        <v/>
      </c>
      <c r="AJ72" s="13">
        <f>AI72+AJ71+AJ70</f>
        <v/>
      </c>
      <c r="AK72" s="13">
        <f>AJ72+AK71+AK70</f>
        <v/>
      </c>
      <c r="AL72" s="13">
        <f>AK72+AL71+AL70</f>
        <v/>
      </c>
      <c r="AM72" s="13">
        <f>AL72+AM71+AM70</f>
        <v/>
      </c>
      <c r="AN72" s="13">
        <f>AM72+AN71+AN70</f>
        <v/>
      </c>
      <c r="AO72" s="13">
        <f>AN72+AO71+AO70</f>
        <v/>
      </c>
      <c r="AP72" s="13">
        <f>AO72+AP71+AP70</f>
        <v/>
      </c>
      <c r="AQ72" s="13">
        <f>AP72+AQ71+AQ70</f>
        <v/>
      </c>
      <c r="AR72" s="13">
        <f>AQ72+AR71+AR70</f>
        <v/>
      </c>
      <c r="AS72" s="13">
        <f>AR72+AS71+AS70</f>
        <v/>
      </c>
      <c r="AT72" s="13">
        <f>AS72+AT71+AT70</f>
        <v/>
      </c>
      <c r="AU72" s="13">
        <f>AT72+AU71+AU70</f>
        <v/>
      </c>
      <c r="AV72" s="13">
        <f>AU72+AV71+AV70</f>
        <v/>
      </c>
      <c r="AW72" s="13">
        <f>AV72+AW71+AW70</f>
        <v/>
      </c>
      <c r="AX72" s="13">
        <f>AW72+AX71+AX70</f>
        <v/>
      </c>
      <c r="AY72" s="13">
        <f>AX72+AY71+AY70</f>
        <v/>
      </c>
      <c r="AZ72" s="13">
        <f>AY72+AZ71+AZ70</f>
        <v/>
      </c>
      <c r="BA72" s="13">
        <f>AZ72+BA71+BA70</f>
        <v/>
      </c>
      <c r="BB72" s="13">
        <f>BA72+BB71+BB70</f>
        <v/>
      </c>
      <c r="BC72" s="13">
        <f>BB72+BC71+BC70</f>
        <v/>
      </c>
      <c r="BD72" s="13">
        <f>BC72+BD71+BD70</f>
        <v/>
      </c>
      <c r="BE72" s="13">
        <f>BD72+BE71+BE70</f>
        <v/>
      </c>
      <c r="BF72" s="13">
        <f>BE72+BF71+BF70</f>
        <v/>
      </c>
      <c r="BG72" s="13">
        <f>BF72+BG71+BG70</f>
        <v/>
      </c>
      <c r="BH72" s="13">
        <f>BG72+BH71+BH70</f>
        <v/>
      </c>
      <c r="BI72" s="13">
        <f>BH72+BI71+BI70</f>
        <v/>
      </c>
      <c r="BJ72" s="13">
        <f>BI72+BJ71+BJ70</f>
        <v/>
      </c>
    </row>
    <row r="73">
      <c r="D73" t="inlineStr">
        <is>
          <t>Total debt drawdowns (incl. standby)</t>
        </is>
      </c>
      <c r="E73" t="inlineStr">
        <is>
          <t>USD m</t>
        </is>
      </c>
      <c r="G73" s="13">
        <f>SUM(J73:BJ73)</f>
        <v/>
      </c>
      <c r="J73" s="13">
        <f>J47+J55</f>
        <v/>
      </c>
      <c r="K73" s="13">
        <f>K47+K55</f>
        <v/>
      </c>
      <c r="L73" s="13">
        <f>L47+L55</f>
        <v/>
      </c>
      <c r="M73" s="13">
        <f>M47+M55</f>
        <v/>
      </c>
      <c r="N73" s="13">
        <f>N47+N55</f>
        <v/>
      </c>
      <c r="O73" s="13">
        <f>O47+O55</f>
        <v/>
      </c>
      <c r="P73" s="13">
        <f>P47+P55</f>
        <v/>
      </c>
      <c r="Q73" s="13">
        <f>Q47+Q55</f>
        <v/>
      </c>
      <c r="R73" s="13">
        <f>R47+R55</f>
        <v/>
      </c>
      <c r="S73" s="13">
        <f>S47+S55</f>
        <v/>
      </c>
      <c r="T73" s="13">
        <f>T47+T55</f>
        <v/>
      </c>
      <c r="U73" s="13">
        <f>U47+U55</f>
        <v/>
      </c>
      <c r="V73" s="13">
        <f>V47+V55</f>
        <v/>
      </c>
      <c r="W73" s="13">
        <f>W47+W55</f>
        <v/>
      </c>
      <c r="X73" s="13">
        <f>X47+X55</f>
        <v/>
      </c>
      <c r="Y73" s="13">
        <f>Y47+Y55</f>
        <v/>
      </c>
      <c r="Z73" s="13">
        <f>Z47+Z55</f>
        <v/>
      </c>
      <c r="AA73" s="13">
        <f>AA47+AA55</f>
        <v/>
      </c>
      <c r="AB73" s="13">
        <f>AB47+AB55</f>
        <v/>
      </c>
      <c r="AC73" s="13">
        <f>AC47+AC55</f>
        <v/>
      </c>
      <c r="AD73" s="13">
        <f>AD47+AD55</f>
        <v/>
      </c>
      <c r="AE73" s="13">
        <f>AE47+AE55</f>
        <v/>
      </c>
      <c r="AF73" s="13">
        <f>AF47+AF55</f>
        <v/>
      </c>
      <c r="AG73" s="13">
        <f>AG47+AG55</f>
        <v/>
      </c>
      <c r="AH73" s="13">
        <f>AH47+AH55</f>
        <v/>
      </c>
      <c r="AI73" s="13">
        <f>AI47+AI55</f>
        <v/>
      </c>
      <c r="AJ73" s="13">
        <f>AJ47+AJ55</f>
        <v/>
      </c>
      <c r="AK73" s="13">
        <f>AK47+AK55</f>
        <v/>
      </c>
      <c r="AL73" s="13">
        <f>AL47+AL55</f>
        <v/>
      </c>
      <c r="AM73" s="13">
        <f>AM47+AM55</f>
        <v/>
      </c>
      <c r="AN73" s="13">
        <f>AN47+AN55</f>
        <v/>
      </c>
      <c r="AO73" s="13">
        <f>AO47+AO55</f>
        <v/>
      </c>
      <c r="AP73" s="13">
        <f>AP47+AP55</f>
        <v/>
      </c>
      <c r="AQ73" s="13">
        <f>AQ47+AQ55</f>
        <v/>
      </c>
      <c r="AR73" s="13">
        <f>AR47+AR55</f>
        <v/>
      </c>
      <c r="AS73" s="13">
        <f>AS47+AS55</f>
        <v/>
      </c>
      <c r="AT73" s="13">
        <f>AT47+AT55</f>
        <v/>
      </c>
      <c r="AU73" s="13">
        <f>AU47+AU55</f>
        <v/>
      </c>
      <c r="AV73" s="13">
        <f>AV47+AV55</f>
        <v/>
      </c>
      <c r="AW73" s="13">
        <f>AW47+AW55</f>
        <v/>
      </c>
      <c r="AX73" s="13">
        <f>AX47+AX55</f>
        <v/>
      </c>
      <c r="AY73" s="13">
        <f>AY47+AY55</f>
        <v/>
      </c>
      <c r="AZ73" s="13">
        <f>AZ47+AZ55</f>
        <v/>
      </c>
      <c r="BA73" s="13">
        <f>BA47+BA55</f>
        <v/>
      </c>
      <c r="BB73" s="13">
        <f>BB47+BB55</f>
        <v/>
      </c>
      <c r="BC73" s="13">
        <f>BC47+BC55</f>
        <v/>
      </c>
      <c r="BD73" s="13">
        <f>BD47+BD55</f>
        <v/>
      </c>
      <c r="BE73" s="13">
        <f>BE47+BE55</f>
        <v/>
      </c>
      <c r="BF73" s="13">
        <f>BF47+BF55</f>
        <v/>
      </c>
      <c r="BG73" s="13">
        <f>BG47+BG55</f>
        <v/>
      </c>
      <c r="BH73" s="13">
        <f>BH47+BH55</f>
        <v/>
      </c>
      <c r="BI73" s="13">
        <f>BI47+BI55</f>
        <v/>
      </c>
      <c r="BJ73" s="13">
        <f>BJ47+BJ55</f>
        <v/>
      </c>
    </row>
    <row r="74">
      <c r="D74" t="inlineStr">
        <is>
          <t>Financing costs (IDC, fees, premium, VAT interest)</t>
        </is>
      </c>
      <c r="E74" t="inlineStr">
        <is>
          <t>USD m</t>
        </is>
      </c>
      <c r="G74" s="13">
        <f>SUM(J74:BJ74)</f>
        <v/>
      </c>
      <c r="J74" s="13">
        <f>J33+J34+J35+J36+J37+J38+J39+J40+J41+J42+J43+J48+Construction!J14*Construction!J38</f>
        <v/>
      </c>
      <c r="K74" s="13">
        <f>K33+K34+K35+K36+K37+K38+K39+K40+K41+K42+K43+K48+Construction!K14*Construction!K38</f>
        <v/>
      </c>
      <c r="L74" s="13">
        <f>L33+L34+L35+L36+L37+L38+L39+L40+L41+L42+L43+L48+Construction!L14*Construction!L38</f>
        <v/>
      </c>
      <c r="M74" s="13">
        <f>M33+M34+M35+M36+M37+M38+M39+M40+M41+M42+M43+M48+Construction!M14*Construction!M38</f>
        <v/>
      </c>
      <c r="N74" s="13">
        <f>N33+N34+N35+N36+N37+N38+N39+N40+N41+N42+N43+N48+Construction!N14*Construction!N38</f>
        <v/>
      </c>
      <c r="O74" s="13">
        <f>O33+O34+O35+O36+O37+O38+O39+O40+O41+O42+O43+O48+Construction!O14*Construction!O38</f>
        <v/>
      </c>
      <c r="P74" s="13">
        <f>P33+P34+P35+P36+P37+P38+P39+P40+P41+P42+P43+P48+Construction!P14*Construction!P38</f>
        <v/>
      </c>
      <c r="Q74" s="13">
        <f>Q33+Q34+Q35+Q36+Q37+Q38+Q39+Q40+Q41+Q42+Q43+Q48+Construction!Q14*Construction!Q38</f>
        <v/>
      </c>
      <c r="R74" s="13">
        <f>R33+R34+R35+R36+R37+R38+R39+R40+R41+R42+R43+R48+Construction!R14*Construction!R38</f>
        <v/>
      </c>
      <c r="S74" s="13">
        <f>S33+S34+S35+S36+S37+S38+S39+S40+S41+S42+S43+S48+Construction!S14*Construction!S38</f>
        <v/>
      </c>
      <c r="T74" s="13">
        <f>T33+T34+T35+T36+T37+T38+T39+T40+T41+T42+T43+T48+Construction!T14*Construction!T38</f>
        <v/>
      </c>
      <c r="U74" s="13">
        <f>U33+U34+U35+U36+U37+U38+U39+U40+U41+U42+U43+U48+Construction!U14*Construction!U38</f>
        <v/>
      </c>
      <c r="V74" s="13">
        <f>V33+V34+V35+V36+V37+V38+V39+V40+V41+V42+V43+V48+Construction!V14*Construction!V38</f>
        <v/>
      </c>
      <c r="W74" s="13">
        <f>W33+W34+W35+W36+W37+W38+W39+W40+W41+W42+W43+W48+Construction!W14*Construction!W38</f>
        <v/>
      </c>
      <c r="X74" s="13">
        <f>X33+X34+X35+X36+X37+X38+X39+X40+X41+X42+X43+X48+Construction!X14*Construction!X38</f>
        <v/>
      </c>
      <c r="Y74" s="13">
        <f>Y33+Y34+Y35+Y36+Y37+Y38+Y39+Y40+Y41+Y42+Y43+Y48+Construction!Y14*Construction!Y38</f>
        <v/>
      </c>
      <c r="Z74" s="13">
        <f>Z33+Z34+Z35+Z36+Z37+Z38+Z39+Z40+Z41+Z42+Z43+Z48+Construction!Z14*Construction!Z38</f>
        <v/>
      </c>
      <c r="AA74" s="13">
        <f>AA33+AA34+AA35+AA36+AA37+AA38+AA39+AA40+AA41+AA42+AA43+AA48+Construction!AA14*Construction!AA38</f>
        <v/>
      </c>
      <c r="AB74" s="13">
        <f>AB33+AB34+AB35+AB36+AB37+AB38+AB39+AB40+AB41+AB42+AB43+AB48+Construction!AB14*Construction!AB38</f>
        <v/>
      </c>
      <c r="AC74" s="13">
        <f>AC33+AC34+AC35+AC36+AC37+AC38+AC39+AC40+AC41+AC42+AC43+AC48+Construction!AC14*Construction!AC38</f>
        <v/>
      </c>
      <c r="AD74" s="13">
        <f>AD33+AD34+AD35+AD36+AD37+AD38+AD39+AD40+AD41+AD42+AD43+AD48+Construction!AD14*Construction!AD38</f>
        <v/>
      </c>
      <c r="AE74" s="13">
        <f>AE33+AE34+AE35+AE36+AE37+AE38+AE39+AE40+AE41+AE42+AE43+AE48+Construction!AE14*Construction!AE38</f>
        <v/>
      </c>
      <c r="AF74" s="13">
        <f>AF33+AF34+AF35+AF36+AF37+AF38+AF39+AF40+AF41+AF42+AF43+AF48+Construction!AF14*Construction!AF38</f>
        <v/>
      </c>
      <c r="AG74" s="13">
        <f>AG33+AG34+AG35+AG36+AG37+AG38+AG39+AG40+AG41+AG42+AG43+AG48+Construction!AG14*Construction!AG38</f>
        <v/>
      </c>
      <c r="AH74" s="13">
        <f>AH33+AH34+AH35+AH36+AH37+AH38+AH39+AH40+AH41+AH42+AH43+AH48+Construction!AH14*Construction!AH38</f>
        <v/>
      </c>
      <c r="AI74" s="13">
        <f>AI33+AI34+AI35+AI36+AI37+AI38+AI39+AI40+AI41+AI42+AI43+AI48+Construction!AI14*Construction!AI38</f>
        <v/>
      </c>
      <c r="AJ74" s="13">
        <f>AJ33+AJ34+AJ35+AJ36+AJ37+AJ38+AJ39+AJ40+AJ41+AJ42+AJ43+AJ48+Construction!AJ14*Construction!AJ38</f>
        <v/>
      </c>
      <c r="AK74" s="13">
        <f>AK33+AK34+AK35+AK36+AK37+AK38+AK39+AK40+AK41+AK42+AK43+AK48+Construction!AK14*Construction!AK38</f>
        <v/>
      </c>
      <c r="AL74" s="13">
        <f>AL33+AL34+AL35+AL36+AL37+AL38+AL39+AL40+AL41+AL42+AL43+AL48+Construction!AL14*Construction!AL38</f>
        <v/>
      </c>
      <c r="AM74" s="13">
        <f>AM33+AM34+AM35+AM36+AM37+AM38+AM39+AM40+AM41+AM42+AM43+AM48+Construction!AM14*Construction!AM38</f>
        <v/>
      </c>
      <c r="AN74" s="13">
        <f>AN33+AN34+AN35+AN36+AN37+AN38+AN39+AN40+AN41+AN42+AN43+AN48+Construction!AN14*Construction!AN38</f>
        <v/>
      </c>
      <c r="AO74" s="13">
        <f>AO33+AO34+AO35+AO36+AO37+AO38+AO39+AO40+AO41+AO42+AO43+AO48+Construction!AO14*Construction!AO38</f>
        <v/>
      </c>
      <c r="AP74" s="13">
        <f>AP33+AP34+AP35+AP36+AP37+AP38+AP39+AP40+AP41+AP42+AP43+AP48+Construction!AP14*Construction!AP38</f>
        <v/>
      </c>
      <c r="AQ74" s="13">
        <f>AQ33+AQ34+AQ35+AQ36+AQ37+AQ38+AQ39+AQ40+AQ41+AQ42+AQ43+AQ48+Construction!AQ14*Construction!AQ38</f>
        <v/>
      </c>
      <c r="AR74" s="13">
        <f>AR33+AR34+AR35+AR36+AR37+AR38+AR39+AR40+AR41+AR42+AR43+AR48+Construction!AR14*Construction!AR38</f>
        <v/>
      </c>
      <c r="AS74" s="13">
        <f>AS33+AS34+AS35+AS36+AS37+AS38+AS39+AS40+AS41+AS42+AS43+AS48+Construction!AS14*Construction!AS38</f>
        <v/>
      </c>
      <c r="AT74" s="13">
        <f>AT33+AT34+AT35+AT36+AT37+AT38+AT39+AT40+AT41+AT42+AT43+AT48+Construction!AT14*Construction!AT38</f>
        <v/>
      </c>
      <c r="AU74" s="13">
        <f>AU33+AU34+AU35+AU36+AU37+AU38+AU39+AU40+AU41+AU42+AU43+AU48+Construction!AU14*Construction!AU38</f>
        <v/>
      </c>
      <c r="AV74" s="13">
        <f>AV33+AV34+AV35+AV36+AV37+AV38+AV39+AV40+AV41+AV42+AV43+AV48+Construction!AV14*Construction!AV38</f>
        <v/>
      </c>
      <c r="AW74" s="13">
        <f>AW33+AW34+AW35+AW36+AW37+AW38+AW39+AW40+AW41+AW42+AW43+AW48+Construction!AW14*Construction!AW38</f>
        <v/>
      </c>
      <c r="AX74" s="13">
        <f>AX33+AX34+AX35+AX36+AX37+AX38+AX39+AX40+AX41+AX42+AX43+AX48+Construction!AX14*Construction!AX38</f>
        <v/>
      </c>
      <c r="AY74" s="13">
        <f>AY33+AY34+AY35+AY36+AY37+AY38+AY39+AY40+AY41+AY42+AY43+AY48+Construction!AY14*Construction!AY38</f>
        <v/>
      </c>
      <c r="AZ74" s="13">
        <f>AZ33+AZ34+AZ35+AZ36+AZ37+AZ38+AZ39+AZ40+AZ41+AZ42+AZ43+AZ48+Construction!AZ14*Construction!AZ38</f>
        <v/>
      </c>
      <c r="BA74" s="13">
        <f>BA33+BA34+BA35+BA36+BA37+BA38+BA39+BA40+BA41+BA42+BA43+BA48+Construction!BA14*Construction!BA38</f>
        <v/>
      </c>
      <c r="BB74" s="13">
        <f>BB33+BB34+BB35+BB36+BB37+BB38+BB39+BB40+BB41+BB42+BB43+BB48+Construction!BB14*Construction!BB38</f>
        <v/>
      </c>
      <c r="BC74" s="13">
        <f>BC33+BC34+BC35+BC36+BC37+BC38+BC39+BC40+BC41+BC42+BC43+BC48+Construction!BC14*Construction!BC38</f>
        <v/>
      </c>
      <c r="BD74" s="13">
        <f>BD33+BD34+BD35+BD36+BD37+BD38+BD39+BD40+BD41+BD42+BD43+BD48+Construction!BD14*Construction!BD38</f>
        <v/>
      </c>
      <c r="BE74" s="13">
        <f>BE33+BE34+BE35+BE36+BE37+BE38+BE39+BE40+BE41+BE42+BE43+BE48+Construction!BE14*Construction!BE38</f>
        <v/>
      </c>
      <c r="BF74" s="13">
        <f>BF33+BF34+BF35+BF36+BF37+BF38+BF39+BF40+BF41+BF42+BF43+BF48+Construction!BF14*Construction!BF38</f>
        <v/>
      </c>
      <c r="BG74" s="13">
        <f>BG33+BG34+BG35+BG36+BG37+BG38+BG39+BG40+BG41+BG42+BG43+BG48+Construction!BG14*Construction!BG38</f>
        <v/>
      </c>
      <c r="BH74" s="13">
        <f>BH33+BH34+BH35+BH36+BH37+BH38+BH39+BH40+BH41+BH42+BH43+BH48+Construction!BH14*Construction!BH38</f>
        <v/>
      </c>
      <c r="BI74" s="13">
        <f>BI33+BI34+BI35+BI36+BI37+BI38+BI39+BI40+BI41+BI42+BI43+BI48+Construction!BI14*Construction!BI38</f>
        <v/>
      </c>
      <c r="BJ74" s="13">
        <f>BJ33+BJ34+BJ35+BJ36+BJ37+BJ38+BJ39+BJ40+BJ41+BJ42+BJ43+BJ48+Construction!BJ14*Construction!BJ38</f>
        <v/>
      </c>
    </row>
    <row r="75">
      <c r="D75" t="inlineStr">
        <is>
          <t>Total funding requirement (sum of uses)</t>
        </is>
      </c>
      <c r="E75" t="inlineStr">
        <is>
          <t>USD m</t>
        </is>
      </c>
      <c r="F75" s="17">
        <f>SUM(Funding!$J$49:$BJ$49)</f>
        <v/>
      </c>
    </row>
    <row r="76">
      <c r="D76" t="inlineStr">
        <is>
          <t>Capitalized cost (book and tax)</t>
        </is>
      </c>
      <c r="E76" t="inlineStr">
        <is>
          <t>USD m</t>
        </is>
      </c>
      <c r="F76" s="17">
        <f>SUM(Funding!$J$49:$BJ$49)-SUM(Funding!$J$44:$BJ$44)-SUM(Construction!$J$28:$BJ$28)+SUM(Funding!$J$71:$BJ$71)-SUM(Funding!$J$52:$BJ$52)-Inputs!$F$48*Inputs!$F$267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142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Debt: tranches, scheduled repayment, waiver, refinancing, swap, sculpting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Rates</t>
        </is>
      </c>
    </row>
    <row r="8">
      <c r="D8" t="inlineStr">
        <is>
          <t>Commercial margin (step-ups)</t>
        </is>
      </c>
      <c r="E8" t="inlineStr">
        <is>
          <t>%</t>
        </is>
      </c>
      <c r="J8" s="13">
        <f>IF(Time!J22&lt;Inputs!$F$207,Inputs!$F$82,IF(Time!J22&lt;Inputs!$F$208,Inputs!$F$83,Inputs!$F$84))</f>
        <v/>
      </c>
      <c r="K8" s="13">
        <f>IF(Time!K22&lt;Inputs!$F$207,Inputs!$F$82,IF(Time!K22&lt;Inputs!$F$208,Inputs!$F$83,Inputs!$F$84))</f>
        <v/>
      </c>
      <c r="L8" s="13">
        <f>IF(Time!L22&lt;Inputs!$F$207,Inputs!$F$82,IF(Time!L22&lt;Inputs!$F$208,Inputs!$F$83,Inputs!$F$84))</f>
        <v/>
      </c>
      <c r="M8" s="13">
        <f>IF(Time!M22&lt;Inputs!$F$207,Inputs!$F$82,IF(Time!M22&lt;Inputs!$F$208,Inputs!$F$83,Inputs!$F$84))</f>
        <v/>
      </c>
      <c r="N8" s="13">
        <f>IF(Time!N22&lt;Inputs!$F$207,Inputs!$F$82,IF(Time!N22&lt;Inputs!$F$208,Inputs!$F$83,Inputs!$F$84))</f>
        <v/>
      </c>
      <c r="O8" s="13">
        <f>IF(Time!O22&lt;Inputs!$F$207,Inputs!$F$82,IF(Time!O22&lt;Inputs!$F$208,Inputs!$F$83,Inputs!$F$84))</f>
        <v/>
      </c>
      <c r="P8" s="13">
        <f>IF(Time!P22&lt;Inputs!$F$207,Inputs!$F$82,IF(Time!P22&lt;Inputs!$F$208,Inputs!$F$83,Inputs!$F$84))</f>
        <v/>
      </c>
      <c r="Q8" s="13">
        <f>IF(Time!Q22&lt;Inputs!$F$207,Inputs!$F$82,IF(Time!Q22&lt;Inputs!$F$208,Inputs!$F$83,Inputs!$F$84))</f>
        <v/>
      </c>
      <c r="R8" s="13">
        <f>IF(Time!R22&lt;Inputs!$F$207,Inputs!$F$82,IF(Time!R22&lt;Inputs!$F$208,Inputs!$F$83,Inputs!$F$84))</f>
        <v/>
      </c>
      <c r="S8" s="13">
        <f>IF(Time!S22&lt;Inputs!$F$207,Inputs!$F$82,IF(Time!S22&lt;Inputs!$F$208,Inputs!$F$83,Inputs!$F$84))</f>
        <v/>
      </c>
      <c r="T8" s="13">
        <f>IF(Time!T22&lt;Inputs!$F$207,Inputs!$F$82,IF(Time!T22&lt;Inputs!$F$208,Inputs!$F$83,Inputs!$F$84))</f>
        <v/>
      </c>
      <c r="U8" s="13">
        <f>IF(Time!U22&lt;Inputs!$F$207,Inputs!$F$82,IF(Time!U22&lt;Inputs!$F$208,Inputs!$F$83,Inputs!$F$84))</f>
        <v/>
      </c>
      <c r="V8" s="13">
        <f>IF(Time!V22&lt;Inputs!$F$207,Inputs!$F$82,IF(Time!V22&lt;Inputs!$F$208,Inputs!$F$83,Inputs!$F$84))</f>
        <v/>
      </c>
      <c r="W8" s="13">
        <f>IF(Time!W22&lt;Inputs!$F$207,Inputs!$F$82,IF(Time!W22&lt;Inputs!$F$208,Inputs!$F$83,Inputs!$F$84))</f>
        <v/>
      </c>
      <c r="X8" s="13">
        <f>IF(Time!X22&lt;Inputs!$F$207,Inputs!$F$82,IF(Time!X22&lt;Inputs!$F$208,Inputs!$F$83,Inputs!$F$84))</f>
        <v/>
      </c>
      <c r="Y8" s="13">
        <f>IF(Time!Y22&lt;Inputs!$F$207,Inputs!$F$82,IF(Time!Y22&lt;Inputs!$F$208,Inputs!$F$83,Inputs!$F$84))</f>
        <v/>
      </c>
      <c r="Z8" s="13">
        <f>IF(Time!Z22&lt;Inputs!$F$207,Inputs!$F$82,IF(Time!Z22&lt;Inputs!$F$208,Inputs!$F$83,Inputs!$F$84))</f>
        <v/>
      </c>
      <c r="AA8" s="13">
        <f>IF(Time!AA22&lt;Inputs!$F$207,Inputs!$F$82,IF(Time!AA22&lt;Inputs!$F$208,Inputs!$F$83,Inputs!$F$84))</f>
        <v/>
      </c>
      <c r="AB8" s="13">
        <f>IF(Time!AB22&lt;Inputs!$F$207,Inputs!$F$82,IF(Time!AB22&lt;Inputs!$F$208,Inputs!$F$83,Inputs!$F$84))</f>
        <v/>
      </c>
      <c r="AC8" s="13">
        <f>IF(Time!AC22&lt;Inputs!$F$207,Inputs!$F$82,IF(Time!AC22&lt;Inputs!$F$208,Inputs!$F$83,Inputs!$F$84))</f>
        <v/>
      </c>
      <c r="AD8" s="13">
        <f>IF(Time!AD22&lt;Inputs!$F$207,Inputs!$F$82,IF(Time!AD22&lt;Inputs!$F$208,Inputs!$F$83,Inputs!$F$84))</f>
        <v/>
      </c>
      <c r="AE8" s="13">
        <f>IF(Time!AE22&lt;Inputs!$F$207,Inputs!$F$82,IF(Time!AE22&lt;Inputs!$F$208,Inputs!$F$83,Inputs!$F$84))</f>
        <v/>
      </c>
      <c r="AF8" s="13">
        <f>IF(Time!AF22&lt;Inputs!$F$207,Inputs!$F$82,IF(Time!AF22&lt;Inputs!$F$208,Inputs!$F$83,Inputs!$F$84))</f>
        <v/>
      </c>
      <c r="AG8" s="13">
        <f>IF(Time!AG22&lt;Inputs!$F$207,Inputs!$F$82,IF(Time!AG22&lt;Inputs!$F$208,Inputs!$F$83,Inputs!$F$84))</f>
        <v/>
      </c>
      <c r="AH8" s="13">
        <f>IF(Time!AH22&lt;Inputs!$F$207,Inputs!$F$82,IF(Time!AH22&lt;Inputs!$F$208,Inputs!$F$83,Inputs!$F$84))</f>
        <v/>
      </c>
      <c r="AI8" s="13">
        <f>IF(Time!AI22&lt;Inputs!$F$207,Inputs!$F$82,IF(Time!AI22&lt;Inputs!$F$208,Inputs!$F$83,Inputs!$F$84))</f>
        <v/>
      </c>
      <c r="AJ8" s="13">
        <f>IF(Time!AJ22&lt;Inputs!$F$207,Inputs!$F$82,IF(Time!AJ22&lt;Inputs!$F$208,Inputs!$F$83,Inputs!$F$84))</f>
        <v/>
      </c>
      <c r="AK8" s="13">
        <f>IF(Time!AK22&lt;Inputs!$F$207,Inputs!$F$82,IF(Time!AK22&lt;Inputs!$F$208,Inputs!$F$83,Inputs!$F$84))</f>
        <v/>
      </c>
      <c r="AL8" s="13">
        <f>IF(Time!AL22&lt;Inputs!$F$207,Inputs!$F$82,IF(Time!AL22&lt;Inputs!$F$208,Inputs!$F$83,Inputs!$F$84))</f>
        <v/>
      </c>
      <c r="AM8" s="13">
        <f>IF(Time!AM22&lt;Inputs!$F$207,Inputs!$F$82,IF(Time!AM22&lt;Inputs!$F$208,Inputs!$F$83,Inputs!$F$84))</f>
        <v/>
      </c>
      <c r="AN8" s="13">
        <f>IF(Time!AN22&lt;Inputs!$F$207,Inputs!$F$82,IF(Time!AN22&lt;Inputs!$F$208,Inputs!$F$83,Inputs!$F$84))</f>
        <v/>
      </c>
      <c r="AO8" s="13">
        <f>IF(Time!AO22&lt;Inputs!$F$207,Inputs!$F$82,IF(Time!AO22&lt;Inputs!$F$208,Inputs!$F$83,Inputs!$F$84))</f>
        <v/>
      </c>
      <c r="AP8" s="13">
        <f>IF(Time!AP22&lt;Inputs!$F$207,Inputs!$F$82,IF(Time!AP22&lt;Inputs!$F$208,Inputs!$F$83,Inputs!$F$84))</f>
        <v/>
      </c>
      <c r="AQ8" s="13">
        <f>IF(Time!AQ22&lt;Inputs!$F$207,Inputs!$F$82,IF(Time!AQ22&lt;Inputs!$F$208,Inputs!$F$83,Inputs!$F$84))</f>
        <v/>
      </c>
      <c r="AR8" s="13">
        <f>IF(Time!AR22&lt;Inputs!$F$207,Inputs!$F$82,IF(Time!AR22&lt;Inputs!$F$208,Inputs!$F$83,Inputs!$F$84))</f>
        <v/>
      </c>
      <c r="AS8" s="13">
        <f>IF(Time!AS22&lt;Inputs!$F$207,Inputs!$F$82,IF(Time!AS22&lt;Inputs!$F$208,Inputs!$F$83,Inputs!$F$84))</f>
        <v/>
      </c>
      <c r="AT8" s="13">
        <f>IF(Time!AT22&lt;Inputs!$F$207,Inputs!$F$82,IF(Time!AT22&lt;Inputs!$F$208,Inputs!$F$83,Inputs!$F$84))</f>
        <v/>
      </c>
      <c r="AU8" s="13">
        <f>IF(Time!AU22&lt;Inputs!$F$207,Inputs!$F$82,IF(Time!AU22&lt;Inputs!$F$208,Inputs!$F$83,Inputs!$F$84))</f>
        <v/>
      </c>
      <c r="AV8" s="13">
        <f>IF(Time!AV22&lt;Inputs!$F$207,Inputs!$F$82,IF(Time!AV22&lt;Inputs!$F$208,Inputs!$F$83,Inputs!$F$84))</f>
        <v/>
      </c>
      <c r="AW8" s="13">
        <f>IF(Time!AW22&lt;Inputs!$F$207,Inputs!$F$82,IF(Time!AW22&lt;Inputs!$F$208,Inputs!$F$83,Inputs!$F$84))</f>
        <v/>
      </c>
      <c r="AX8" s="13">
        <f>IF(Time!AX22&lt;Inputs!$F$207,Inputs!$F$82,IF(Time!AX22&lt;Inputs!$F$208,Inputs!$F$83,Inputs!$F$84))</f>
        <v/>
      </c>
      <c r="AY8" s="13">
        <f>IF(Time!AY22&lt;Inputs!$F$207,Inputs!$F$82,IF(Time!AY22&lt;Inputs!$F$208,Inputs!$F$83,Inputs!$F$84))</f>
        <v/>
      </c>
      <c r="AZ8" s="13">
        <f>IF(Time!AZ22&lt;Inputs!$F$207,Inputs!$F$82,IF(Time!AZ22&lt;Inputs!$F$208,Inputs!$F$83,Inputs!$F$84))</f>
        <v/>
      </c>
      <c r="BA8" s="13">
        <f>IF(Time!BA22&lt;Inputs!$F$207,Inputs!$F$82,IF(Time!BA22&lt;Inputs!$F$208,Inputs!$F$83,Inputs!$F$84))</f>
        <v/>
      </c>
      <c r="BB8" s="13">
        <f>IF(Time!BB22&lt;Inputs!$F$207,Inputs!$F$82,IF(Time!BB22&lt;Inputs!$F$208,Inputs!$F$83,Inputs!$F$84))</f>
        <v/>
      </c>
      <c r="BC8" s="13">
        <f>IF(Time!BC22&lt;Inputs!$F$207,Inputs!$F$82,IF(Time!BC22&lt;Inputs!$F$208,Inputs!$F$83,Inputs!$F$84))</f>
        <v/>
      </c>
      <c r="BD8" s="13">
        <f>IF(Time!BD22&lt;Inputs!$F$207,Inputs!$F$82,IF(Time!BD22&lt;Inputs!$F$208,Inputs!$F$83,Inputs!$F$84))</f>
        <v/>
      </c>
      <c r="BE8" s="13">
        <f>IF(Time!BE22&lt;Inputs!$F$207,Inputs!$F$82,IF(Time!BE22&lt;Inputs!$F$208,Inputs!$F$83,Inputs!$F$84))</f>
        <v/>
      </c>
      <c r="BF8" s="13">
        <f>IF(Time!BF22&lt;Inputs!$F$207,Inputs!$F$82,IF(Time!BF22&lt;Inputs!$F$208,Inputs!$F$83,Inputs!$F$84))</f>
        <v/>
      </c>
      <c r="BG8" s="13">
        <f>IF(Time!BG22&lt;Inputs!$F$207,Inputs!$F$82,IF(Time!BG22&lt;Inputs!$F$208,Inputs!$F$83,Inputs!$F$84))</f>
        <v/>
      </c>
      <c r="BH8" s="13">
        <f>IF(Time!BH22&lt;Inputs!$F$207,Inputs!$F$82,IF(Time!BH22&lt;Inputs!$F$208,Inputs!$F$83,Inputs!$F$84))</f>
        <v/>
      </c>
      <c r="BI8" s="13">
        <f>IF(Time!BI22&lt;Inputs!$F$207,Inputs!$F$82,IF(Time!BI22&lt;Inputs!$F$208,Inputs!$F$83,Inputs!$F$84))</f>
        <v/>
      </c>
      <c r="BJ8" s="13">
        <f>IF(Time!BJ22&lt;Inputs!$F$207,Inputs!$F$82,IF(Time!BJ22&lt;Inputs!$F$208,Inputs!$F$83,Inputs!$F$84))</f>
        <v/>
      </c>
      <c r="BK8" s="13">
        <f>IF(Time!BK22&lt;Inputs!$F$207,Inputs!$F$82,IF(Time!BK22&lt;Inputs!$F$208,Inputs!$F$83,Inputs!$F$84))</f>
        <v/>
      </c>
      <c r="BL8" s="13">
        <f>IF(Time!BL22&lt;Inputs!$F$207,Inputs!$F$82,IF(Time!BL22&lt;Inputs!$F$208,Inputs!$F$83,Inputs!$F$84))</f>
        <v/>
      </c>
      <c r="BM8" s="13">
        <f>IF(Time!BM22&lt;Inputs!$F$207,Inputs!$F$82,IF(Time!BM22&lt;Inputs!$F$208,Inputs!$F$83,Inputs!$F$84))</f>
        <v/>
      </c>
      <c r="BN8" s="13">
        <f>IF(Time!BN22&lt;Inputs!$F$207,Inputs!$F$82,IF(Time!BN22&lt;Inputs!$F$208,Inputs!$F$83,Inputs!$F$84))</f>
        <v/>
      </c>
    </row>
    <row r="9">
      <c r="D9" t="inlineStr">
        <is>
          <t>Waiver margin uplift</t>
        </is>
      </c>
      <c r="E9" t="inlineStr">
        <is>
          <t>%</t>
        </is>
      </c>
      <c r="J9" s="13">
        <f>Time!J44*Inputs!$F$269</f>
        <v/>
      </c>
      <c r="K9" s="13">
        <f>Time!K44*Inputs!$F$269</f>
        <v/>
      </c>
      <c r="L9" s="13">
        <f>Time!L44*Inputs!$F$269</f>
        <v/>
      </c>
      <c r="M9" s="13">
        <f>Time!M44*Inputs!$F$269</f>
        <v/>
      </c>
      <c r="N9" s="13">
        <f>Time!N44*Inputs!$F$269</f>
        <v/>
      </c>
      <c r="O9" s="13">
        <f>Time!O44*Inputs!$F$269</f>
        <v/>
      </c>
      <c r="P9" s="13">
        <f>Time!P44*Inputs!$F$269</f>
        <v/>
      </c>
      <c r="Q9" s="13">
        <f>Time!Q44*Inputs!$F$269</f>
        <v/>
      </c>
      <c r="R9" s="13">
        <f>Time!R44*Inputs!$F$269</f>
        <v/>
      </c>
      <c r="S9" s="13">
        <f>Time!S44*Inputs!$F$269</f>
        <v/>
      </c>
      <c r="T9" s="13">
        <f>Time!T44*Inputs!$F$269</f>
        <v/>
      </c>
      <c r="U9" s="13">
        <f>Time!U44*Inputs!$F$269</f>
        <v/>
      </c>
      <c r="V9" s="13">
        <f>Time!V44*Inputs!$F$269</f>
        <v/>
      </c>
      <c r="W9" s="13">
        <f>Time!W44*Inputs!$F$269</f>
        <v/>
      </c>
      <c r="X9" s="13">
        <f>Time!X44*Inputs!$F$269</f>
        <v/>
      </c>
      <c r="Y9" s="13">
        <f>Time!Y44*Inputs!$F$269</f>
        <v/>
      </c>
      <c r="Z9" s="13">
        <f>Time!Z44*Inputs!$F$269</f>
        <v/>
      </c>
      <c r="AA9" s="13">
        <f>Time!AA44*Inputs!$F$269</f>
        <v/>
      </c>
      <c r="AB9" s="13">
        <f>Time!AB44*Inputs!$F$269</f>
        <v/>
      </c>
      <c r="AC9" s="13">
        <f>Time!AC44*Inputs!$F$269</f>
        <v/>
      </c>
      <c r="AD9" s="13">
        <f>Time!AD44*Inputs!$F$269</f>
        <v/>
      </c>
      <c r="AE9" s="13">
        <f>Time!AE44*Inputs!$F$269</f>
        <v/>
      </c>
      <c r="AF9" s="13">
        <f>Time!AF44*Inputs!$F$269</f>
        <v/>
      </c>
      <c r="AG9" s="13">
        <f>Time!AG44*Inputs!$F$269</f>
        <v/>
      </c>
      <c r="AH9" s="13">
        <f>Time!AH44*Inputs!$F$269</f>
        <v/>
      </c>
      <c r="AI9" s="13">
        <f>Time!AI44*Inputs!$F$269</f>
        <v/>
      </c>
      <c r="AJ9" s="13">
        <f>Time!AJ44*Inputs!$F$269</f>
        <v/>
      </c>
      <c r="AK9" s="13">
        <f>Time!AK44*Inputs!$F$269</f>
        <v/>
      </c>
      <c r="AL9" s="13">
        <f>Time!AL44*Inputs!$F$269</f>
        <v/>
      </c>
      <c r="AM9" s="13">
        <f>Time!AM44*Inputs!$F$269</f>
        <v/>
      </c>
      <c r="AN9" s="13">
        <f>Time!AN44*Inputs!$F$269</f>
        <v/>
      </c>
      <c r="AO9" s="13">
        <f>Time!AO44*Inputs!$F$269</f>
        <v/>
      </c>
      <c r="AP9" s="13">
        <f>Time!AP44*Inputs!$F$269</f>
        <v/>
      </c>
      <c r="AQ9" s="13">
        <f>Time!AQ44*Inputs!$F$269</f>
        <v/>
      </c>
      <c r="AR9" s="13">
        <f>Time!AR44*Inputs!$F$269</f>
        <v/>
      </c>
      <c r="AS9" s="13">
        <f>Time!AS44*Inputs!$F$269</f>
        <v/>
      </c>
      <c r="AT9" s="13">
        <f>Time!AT44*Inputs!$F$269</f>
        <v/>
      </c>
      <c r="AU9" s="13">
        <f>Time!AU44*Inputs!$F$269</f>
        <v/>
      </c>
      <c r="AV9" s="13">
        <f>Time!AV44*Inputs!$F$269</f>
        <v/>
      </c>
      <c r="AW9" s="13">
        <f>Time!AW44*Inputs!$F$269</f>
        <v/>
      </c>
      <c r="AX9" s="13">
        <f>Time!AX44*Inputs!$F$269</f>
        <v/>
      </c>
      <c r="AY9" s="13">
        <f>Time!AY44*Inputs!$F$269</f>
        <v/>
      </c>
      <c r="AZ9" s="13">
        <f>Time!AZ44*Inputs!$F$269</f>
        <v/>
      </c>
      <c r="BA9" s="13">
        <f>Time!BA44*Inputs!$F$269</f>
        <v/>
      </c>
      <c r="BB9" s="13">
        <f>Time!BB44*Inputs!$F$269</f>
        <v/>
      </c>
      <c r="BC9" s="13">
        <f>Time!BC44*Inputs!$F$269</f>
        <v/>
      </c>
      <c r="BD9" s="13">
        <f>Time!BD44*Inputs!$F$269</f>
        <v/>
      </c>
      <c r="BE9" s="13">
        <f>Time!BE44*Inputs!$F$269</f>
        <v/>
      </c>
      <c r="BF9" s="13">
        <f>Time!BF44*Inputs!$F$269</f>
        <v/>
      </c>
      <c r="BG9" s="13">
        <f>Time!BG44*Inputs!$F$269</f>
        <v/>
      </c>
      <c r="BH9" s="13">
        <f>Time!BH44*Inputs!$F$269</f>
        <v/>
      </c>
      <c r="BI9" s="13">
        <f>Time!BI44*Inputs!$F$269</f>
        <v/>
      </c>
      <c r="BJ9" s="13">
        <f>Time!BJ44*Inputs!$F$269</f>
        <v/>
      </c>
      <c r="BK9" s="13">
        <f>Time!BK44*Inputs!$F$269</f>
        <v/>
      </c>
      <c r="BL9" s="13">
        <f>Time!BL44*Inputs!$F$269</f>
        <v/>
      </c>
      <c r="BM9" s="13">
        <f>Time!BM44*Inputs!$F$269</f>
        <v/>
      </c>
      <c r="BN9" s="13">
        <f>Time!BN44*Inputs!$F$269</f>
        <v/>
      </c>
    </row>
    <row r="10">
      <c r="D10" t="inlineStr">
        <is>
          <t>ECA-covered tranche: rate per period</t>
        </is>
      </c>
      <c r="E10" t="inlineStr">
        <is>
          <t>factor</t>
        </is>
      </c>
      <c r="J10" s="16">
        <f>(Operations!J9+Inputs!$F$79+J9)/100*Time!J25/Inputs!$F$247</f>
        <v/>
      </c>
      <c r="K10" s="16">
        <f>(Operations!K9+Inputs!$F$79+K9)/100*Time!K25/Inputs!$F$247</f>
        <v/>
      </c>
      <c r="L10" s="16">
        <f>(Operations!L9+Inputs!$F$79+L9)/100*Time!L25/Inputs!$F$247</f>
        <v/>
      </c>
      <c r="M10" s="16">
        <f>(Operations!M9+Inputs!$F$79+M9)/100*Time!M25/Inputs!$F$247</f>
        <v/>
      </c>
      <c r="N10" s="16">
        <f>(Operations!N9+Inputs!$F$79+N9)/100*Time!N25/Inputs!$F$247</f>
        <v/>
      </c>
      <c r="O10" s="16">
        <f>(Operations!O9+Inputs!$F$79+O9)/100*Time!O25/Inputs!$F$247</f>
        <v/>
      </c>
      <c r="P10" s="16">
        <f>(Operations!P9+Inputs!$F$79+P9)/100*Time!P25/Inputs!$F$247</f>
        <v/>
      </c>
      <c r="Q10" s="16">
        <f>(Operations!Q9+Inputs!$F$79+Q9)/100*Time!Q25/Inputs!$F$247</f>
        <v/>
      </c>
      <c r="R10" s="16">
        <f>(Operations!R9+Inputs!$F$79+R9)/100*Time!R25/Inputs!$F$247</f>
        <v/>
      </c>
      <c r="S10" s="16">
        <f>(Operations!S9+Inputs!$F$79+S9)/100*Time!S25/Inputs!$F$247</f>
        <v/>
      </c>
      <c r="T10" s="16">
        <f>(Operations!T9+Inputs!$F$79+T9)/100*Time!T25/Inputs!$F$247</f>
        <v/>
      </c>
      <c r="U10" s="16">
        <f>(Operations!U9+Inputs!$F$79+U9)/100*Time!U25/Inputs!$F$247</f>
        <v/>
      </c>
      <c r="V10" s="16">
        <f>(Operations!V9+Inputs!$F$79+V9)/100*Time!V25/Inputs!$F$247</f>
        <v/>
      </c>
      <c r="W10" s="16">
        <f>(Operations!W9+Inputs!$F$79+W9)/100*Time!W25/Inputs!$F$247</f>
        <v/>
      </c>
      <c r="X10" s="16">
        <f>(Operations!X9+Inputs!$F$79+X9)/100*Time!X25/Inputs!$F$247</f>
        <v/>
      </c>
      <c r="Y10" s="16">
        <f>(Operations!Y9+Inputs!$F$79+Y9)/100*Time!Y25/Inputs!$F$247</f>
        <v/>
      </c>
      <c r="Z10" s="16">
        <f>(Operations!Z9+Inputs!$F$79+Z9)/100*Time!Z25/Inputs!$F$247</f>
        <v/>
      </c>
      <c r="AA10" s="16">
        <f>(Operations!AA9+Inputs!$F$79+AA9)/100*Time!AA25/Inputs!$F$247</f>
        <v/>
      </c>
      <c r="AB10" s="16">
        <f>(Operations!AB9+Inputs!$F$79+AB9)/100*Time!AB25/Inputs!$F$247</f>
        <v/>
      </c>
      <c r="AC10" s="16">
        <f>(Operations!AC9+Inputs!$F$79+AC9)/100*Time!AC25/Inputs!$F$247</f>
        <v/>
      </c>
      <c r="AD10" s="16">
        <f>(Operations!AD9+Inputs!$F$79+AD9)/100*Time!AD25/Inputs!$F$247</f>
        <v/>
      </c>
      <c r="AE10" s="16">
        <f>(Operations!AE9+Inputs!$F$79+AE9)/100*Time!AE25/Inputs!$F$247</f>
        <v/>
      </c>
      <c r="AF10" s="16">
        <f>(Operations!AF9+Inputs!$F$79+AF9)/100*Time!AF25/Inputs!$F$247</f>
        <v/>
      </c>
      <c r="AG10" s="16">
        <f>(Operations!AG9+Inputs!$F$79+AG9)/100*Time!AG25/Inputs!$F$247</f>
        <v/>
      </c>
      <c r="AH10" s="16">
        <f>(Operations!AH9+Inputs!$F$79+AH9)/100*Time!AH25/Inputs!$F$247</f>
        <v/>
      </c>
      <c r="AI10" s="16">
        <f>(Operations!AI9+Inputs!$F$79+AI9)/100*Time!AI25/Inputs!$F$247</f>
        <v/>
      </c>
      <c r="AJ10" s="16">
        <f>(Operations!AJ9+Inputs!$F$79+AJ9)/100*Time!AJ25/Inputs!$F$247</f>
        <v/>
      </c>
      <c r="AK10" s="16">
        <f>(Operations!AK9+Inputs!$F$79+AK9)/100*Time!AK25/Inputs!$F$247</f>
        <v/>
      </c>
      <c r="AL10" s="16">
        <f>(Operations!AL9+Inputs!$F$79+AL9)/100*Time!AL25/Inputs!$F$247</f>
        <v/>
      </c>
      <c r="AM10" s="16">
        <f>(Operations!AM9+Inputs!$F$79+AM9)/100*Time!AM25/Inputs!$F$247</f>
        <v/>
      </c>
      <c r="AN10" s="16">
        <f>(Operations!AN9+Inputs!$F$79+AN9)/100*Time!AN25/Inputs!$F$247</f>
        <v/>
      </c>
      <c r="AO10" s="16">
        <f>(Operations!AO9+Inputs!$F$79+AO9)/100*Time!AO25/Inputs!$F$247</f>
        <v/>
      </c>
      <c r="AP10" s="16">
        <f>(Operations!AP9+Inputs!$F$79+AP9)/100*Time!AP25/Inputs!$F$247</f>
        <v/>
      </c>
      <c r="AQ10" s="16">
        <f>(Operations!AQ9+Inputs!$F$79+AQ9)/100*Time!AQ25/Inputs!$F$247</f>
        <v/>
      </c>
      <c r="AR10" s="16">
        <f>(Operations!AR9+Inputs!$F$79+AR9)/100*Time!AR25/Inputs!$F$247</f>
        <v/>
      </c>
      <c r="AS10" s="16">
        <f>(Operations!AS9+Inputs!$F$79+AS9)/100*Time!AS25/Inputs!$F$247</f>
        <v/>
      </c>
      <c r="AT10" s="16">
        <f>(Operations!AT9+Inputs!$F$79+AT9)/100*Time!AT25/Inputs!$F$247</f>
        <v/>
      </c>
      <c r="AU10" s="16">
        <f>(Operations!AU9+Inputs!$F$79+AU9)/100*Time!AU25/Inputs!$F$247</f>
        <v/>
      </c>
      <c r="AV10" s="16">
        <f>(Operations!AV9+Inputs!$F$79+AV9)/100*Time!AV25/Inputs!$F$247</f>
        <v/>
      </c>
      <c r="AW10" s="16">
        <f>(Operations!AW9+Inputs!$F$79+AW9)/100*Time!AW25/Inputs!$F$247</f>
        <v/>
      </c>
      <c r="AX10" s="16">
        <f>(Operations!AX9+Inputs!$F$79+AX9)/100*Time!AX25/Inputs!$F$247</f>
        <v/>
      </c>
      <c r="AY10" s="16">
        <f>(Operations!AY9+Inputs!$F$79+AY9)/100*Time!AY25/Inputs!$F$247</f>
        <v/>
      </c>
      <c r="AZ10" s="16">
        <f>(Operations!AZ9+Inputs!$F$79+AZ9)/100*Time!AZ25/Inputs!$F$247</f>
        <v/>
      </c>
      <c r="BA10" s="16">
        <f>(Operations!BA9+Inputs!$F$79+BA9)/100*Time!BA25/Inputs!$F$247</f>
        <v/>
      </c>
      <c r="BB10" s="16">
        <f>(Operations!BB9+Inputs!$F$79+BB9)/100*Time!BB25/Inputs!$F$247</f>
        <v/>
      </c>
      <c r="BC10" s="16">
        <f>(Operations!BC9+Inputs!$F$79+BC9)/100*Time!BC25/Inputs!$F$247</f>
        <v/>
      </c>
      <c r="BD10" s="16">
        <f>(Operations!BD9+Inputs!$F$79+BD9)/100*Time!BD25/Inputs!$F$247</f>
        <v/>
      </c>
      <c r="BE10" s="16">
        <f>(Operations!BE9+Inputs!$F$79+BE9)/100*Time!BE25/Inputs!$F$247</f>
        <v/>
      </c>
      <c r="BF10" s="16">
        <f>(Operations!BF9+Inputs!$F$79+BF9)/100*Time!BF25/Inputs!$F$247</f>
        <v/>
      </c>
      <c r="BG10" s="16">
        <f>(Operations!BG9+Inputs!$F$79+BG9)/100*Time!BG25/Inputs!$F$247</f>
        <v/>
      </c>
      <c r="BH10" s="16">
        <f>(Operations!BH9+Inputs!$F$79+BH9)/100*Time!BH25/Inputs!$F$247</f>
        <v/>
      </c>
      <c r="BI10" s="16">
        <f>(Operations!BI9+Inputs!$F$79+BI9)/100*Time!BI25/Inputs!$F$247</f>
        <v/>
      </c>
      <c r="BJ10" s="16">
        <f>(Operations!BJ9+Inputs!$F$79+BJ9)/100*Time!BJ25/Inputs!$F$247</f>
        <v/>
      </c>
      <c r="BK10" s="16">
        <f>(Operations!BK9+Inputs!$F$79+BK9)/100*Time!BK25/Inputs!$F$247</f>
        <v/>
      </c>
      <c r="BL10" s="16">
        <f>(Operations!BL9+Inputs!$F$79+BL9)/100*Time!BL25/Inputs!$F$247</f>
        <v/>
      </c>
      <c r="BM10" s="16">
        <f>(Operations!BM9+Inputs!$F$79+BM9)/100*Time!BM25/Inputs!$F$247</f>
        <v/>
      </c>
      <c r="BN10" s="16">
        <f>(Operations!BN9+Inputs!$F$79+BN9)/100*Time!BN25/Inputs!$F$247</f>
        <v/>
      </c>
    </row>
    <row r="11">
      <c r="D11" t="inlineStr">
        <is>
          <t>ABDB A-loan: rate per period</t>
        </is>
      </c>
      <c r="E11" t="inlineStr">
        <is>
          <t>factor</t>
        </is>
      </c>
      <c r="J11" s="16">
        <f>(Operations!J9+Inputs!$F$80+J9)/100*Time!J25/Inputs!$F$247</f>
        <v/>
      </c>
      <c r="K11" s="16">
        <f>(Operations!K9+Inputs!$F$80+K9)/100*Time!K25/Inputs!$F$247</f>
        <v/>
      </c>
      <c r="L11" s="16">
        <f>(Operations!L9+Inputs!$F$80+L9)/100*Time!L25/Inputs!$F$247</f>
        <v/>
      </c>
      <c r="M11" s="16">
        <f>(Operations!M9+Inputs!$F$80+M9)/100*Time!M25/Inputs!$F$247</f>
        <v/>
      </c>
      <c r="N11" s="16">
        <f>(Operations!N9+Inputs!$F$80+N9)/100*Time!N25/Inputs!$F$247</f>
        <v/>
      </c>
      <c r="O11" s="16">
        <f>(Operations!O9+Inputs!$F$80+O9)/100*Time!O25/Inputs!$F$247</f>
        <v/>
      </c>
      <c r="P11" s="16">
        <f>(Operations!P9+Inputs!$F$80+P9)/100*Time!P25/Inputs!$F$247</f>
        <v/>
      </c>
      <c r="Q11" s="16">
        <f>(Operations!Q9+Inputs!$F$80+Q9)/100*Time!Q25/Inputs!$F$247</f>
        <v/>
      </c>
      <c r="R11" s="16">
        <f>(Operations!R9+Inputs!$F$80+R9)/100*Time!R25/Inputs!$F$247</f>
        <v/>
      </c>
      <c r="S11" s="16">
        <f>(Operations!S9+Inputs!$F$80+S9)/100*Time!S25/Inputs!$F$247</f>
        <v/>
      </c>
      <c r="T11" s="16">
        <f>(Operations!T9+Inputs!$F$80+T9)/100*Time!T25/Inputs!$F$247</f>
        <v/>
      </c>
      <c r="U11" s="16">
        <f>(Operations!U9+Inputs!$F$80+U9)/100*Time!U25/Inputs!$F$247</f>
        <v/>
      </c>
      <c r="V11" s="16">
        <f>(Operations!V9+Inputs!$F$80+V9)/100*Time!V25/Inputs!$F$247</f>
        <v/>
      </c>
      <c r="W11" s="16">
        <f>(Operations!W9+Inputs!$F$80+W9)/100*Time!W25/Inputs!$F$247</f>
        <v/>
      </c>
      <c r="X11" s="16">
        <f>(Operations!X9+Inputs!$F$80+X9)/100*Time!X25/Inputs!$F$247</f>
        <v/>
      </c>
      <c r="Y11" s="16">
        <f>(Operations!Y9+Inputs!$F$80+Y9)/100*Time!Y25/Inputs!$F$247</f>
        <v/>
      </c>
      <c r="Z11" s="16">
        <f>(Operations!Z9+Inputs!$F$80+Z9)/100*Time!Z25/Inputs!$F$247</f>
        <v/>
      </c>
      <c r="AA11" s="16">
        <f>(Operations!AA9+Inputs!$F$80+AA9)/100*Time!AA25/Inputs!$F$247</f>
        <v/>
      </c>
      <c r="AB11" s="16">
        <f>(Operations!AB9+Inputs!$F$80+AB9)/100*Time!AB25/Inputs!$F$247</f>
        <v/>
      </c>
      <c r="AC11" s="16">
        <f>(Operations!AC9+Inputs!$F$80+AC9)/100*Time!AC25/Inputs!$F$247</f>
        <v/>
      </c>
      <c r="AD11" s="16">
        <f>(Operations!AD9+Inputs!$F$80+AD9)/100*Time!AD25/Inputs!$F$247</f>
        <v/>
      </c>
      <c r="AE11" s="16">
        <f>(Operations!AE9+Inputs!$F$80+AE9)/100*Time!AE25/Inputs!$F$247</f>
        <v/>
      </c>
      <c r="AF11" s="16">
        <f>(Operations!AF9+Inputs!$F$80+AF9)/100*Time!AF25/Inputs!$F$247</f>
        <v/>
      </c>
      <c r="AG11" s="16">
        <f>(Operations!AG9+Inputs!$F$80+AG9)/100*Time!AG25/Inputs!$F$247</f>
        <v/>
      </c>
      <c r="AH11" s="16">
        <f>(Operations!AH9+Inputs!$F$80+AH9)/100*Time!AH25/Inputs!$F$247</f>
        <v/>
      </c>
      <c r="AI11" s="16">
        <f>(Operations!AI9+Inputs!$F$80+AI9)/100*Time!AI25/Inputs!$F$247</f>
        <v/>
      </c>
      <c r="AJ11" s="16">
        <f>(Operations!AJ9+Inputs!$F$80+AJ9)/100*Time!AJ25/Inputs!$F$247</f>
        <v/>
      </c>
      <c r="AK11" s="16">
        <f>(Operations!AK9+Inputs!$F$80+AK9)/100*Time!AK25/Inputs!$F$247</f>
        <v/>
      </c>
      <c r="AL11" s="16">
        <f>(Operations!AL9+Inputs!$F$80+AL9)/100*Time!AL25/Inputs!$F$247</f>
        <v/>
      </c>
      <c r="AM11" s="16">
        <f>(Operations!AM9+Inputs!$F$80+AM9)/100*Time!AM25/Inputs!$F$247</f>
        <v/>
      </c>
      <c r="AN11" s="16">
        <f>(Operations!AN9+Inputs!$F$80+AN9)/100*Time!AN25/Inputs!$F$247</f>
        <v/>
      </c>
      <c r="AO11" s="16">
        <f>(Operations!AO9+Inputs!$F$80+AO9)/100*Time!AO25/Inputs!$F$247</f>
        <v/>
      </c>
      <c r="AP11" s="16">
        <f>(Operations!AP9+Inputs!$F$80+AP9)/100*Time!AP25/Inputs!$F$247</f>
        <v/>
      </c>
      <c r="AQ11" s="16">
        <f>(Operations!AQ9+Inputs!$F$80+AQ9)/100*Time!AQ25/Inputs!$F$247</f>
        <v/>
      </c>
      <c r="AR11" s="16">
        <f>(Operations!AR9+Inputs!$F$80+AR9)/100*Time!AR25/Inputs!$F$247</f>
        <v/>
      </c>
      <c r="AS11" s="16">
        <f>(Operations!AS9+Inputs!$F$80+AS9)/100*Time!AS25/Inputs!$F$247</f>
        <v/>
      </c>
      <c r="AT11" s="16">
        <f>(Operations!AT9+Inputs!$F$80+AT9)/100*Time!AT25/Inputs!$F$247</f>
        <v/>
      </c>
      <c r="AU11" s="16">
        <f>(Operations!AU9+Inputs!$F$80+AU9)/100*Time!AU25/Inputs!$F$247</f>
        <v/>
      </c>
      <c r="AV11" s="16">
        <f>(Operations!AV9+Inputs!$F$80+AV9)/100*Time!AV25/Inputs!$F$247</f>
        <v/>
      </c>
      <c r="AW11" s="16">
        <f>(Operations!AW9+Inputs!$F$80+AW9)/100*Time!AW25/Inputs!$F$247</f>
        <v/>
      </c>
      <c r="AX11" s="16">
        <f>(Operations!AX9+Inputs!$F$80+AX9)/100*Time!AX25/Inputs!$F$247</f>
        <v/>
      </c>
      <c r="AY11" s="16">
        <f>(Operations!AY9+Inputs!$F$80+AY9)/100*Time!AY25/Inputs!$F$247</f>
        <v/>
      </c>
      <c r="AZ11" s="16">
        <f>(Operations!AZ9+Inputs!$F$80+AZ9)/100*Time!AZ25/Inputs!$F$247</f>
        <v/>
      </c>
      <c r="BA11" s="16">
        <f>(Operations!BA9+Inputs!$F$80+BA9)/100*Time!BA25/Inputs!$F$247</f>
        <v/>
      </c>
      <c r="BB11" s="16">
        <f>(Operations!BB9+Inputs!$F$80+BB9)/100*Time!BB25/Inputs!$F$247</f>
        <v/>
      </c>
      <c r="BC11" s="16">
        <f>(Operations!BC9+Inputs!$F$80+BC9)/100*Time!BC25/Inputs!$F$247</f>
        <v/>
      </c>
      <c r="BD11" s="16">
        <f>(Operations!BD9+Inputs!$F$80+BD9)/100*Time!BD25/Inputs!$F$247</f>
        <v/>
      </c>
      <c r="BE11" s="16">
        <f>(Operations!BE9+Inputs!$F$80+BE9)/100*Time!BE25/Inputs!$F$247</f>
        <v/>
      </c>
      <c r="BF11" s="16">
        <f>(Operations!BF9+Inputs!$F$80+BF9)/100*Time!BF25/Inputs!$F$247</f>
        <v/>
      </c>
      <c r="BG11" s="16">
        <f>(Operations!BG9+Inputs!$F$80+BG9)/100*Time!BG25/Inputs!$F$247</f>
        <v/>
      </c>
      <c r="BH11" s="16">
        <f>(Operations!BH9+Inputs!$F$80+BH9)/100*Time!BH25/Inputs!$F$247</f>
        <v/>
      </c>
      <c r="BI11" s="16">
        <f>(Operations!BI9+Inputs!$F$80+BI9)/100*Time!BI25/Inputs!$F$247</f>
        <v/>
      </c>
      <c r="BJ11" s="16">
        <f>(Operations!BJ9+Inputs!$F$80+BJ9)/100*Time!BJ25/Inputs!$F$247</f>
        <v/>
      </c>
      <c r="BK11" s="16">
        <f>(Operations!BK9+Inputs!$F$80+BK9)/100*Time!BK25/Inputs!$F$247</f>
        <v/>
      </c>
      <c r="BL11" s="16">
        <f>(Operations!BL9+Inputs!$F$80+BL9)/100*Time!BL25/Inputs!$F$247</f>
        <v/>
      </c>
      <c r="BM11" s="16">
        <f>(Operations!BM9+Inputs!$F$80+BM9)/100*Time!BM25/Inputs!$F$247</f>
        <v/>
      </c>
      <c r="BN11" s="16">
        <f>(Operations!BN9+Inputs!$F$80+BN9)/100*Time!BN25/Inputs!$F$247</f>
        <v/>
      </c>
    </row>
    <row r="12">
      <c r="D12" t="inlineStr">
        <is>
          <t>ABDB B-loan: rate per period</t>
        </is>
      </c>
      <c r="E12" t="inlineStr">
        <is>
          <t>factor</t>
        </is>
      </c>
      <c r="J12" s="16">
        <f>(Operations!J9+Inputs!$F$81+J9)/100*Time!J25/Inputs!$F$247</f>
        <v/>
      </c>
      <c r="K12" s="16">
        <f>(Operations!K9+Inputs!$F$81+K9)/100*Time!K25/Inputs!$F$247</f>
        <v/>
      </c>
      <c r="L12" s="16">
        <f>(Operations!L9+Inputs!$F$81+L9)/100*Time!L25/Inputs!$F$247</f>
        <v/>
      </c>
      <c r="M12" s="16">
        <f>(Operations!M9+Inputs!$F$81+M9)/100*Time!M25/Inputs!$F$247</f>
        <v/>
      </c>
      <c r="N12" s="16">
        <f>(Operations!N9+Inputs!$F$81+N9)/100*Time!N25/Inputs!$F$247</f>
        <v/>
      </c>
      <c r="O12" s="16">
        <f>(Operations!O9+Inputs!$F$81+O9)/100*Time!O25/Inputs!$F$247</f>
        <v/>
      </c>
      <c r="P12" s="16">
        <f>(Operations!P9+Inputs!$F$81+P9)/100*Time!P25/Inputs!$F$247</f>
        <v/>
      </c>
      <c r="Q12" s="16">
        <f>(Operations!Q9+Inputs!$F$81+Q9)/100*Time!Q25/Inputs!$F$247</f>
        <v/>
      </c>
      <c r="R12" s="16">
        <f>(Operations!R9+Inputs!$F$81+R9)/100*Time!R25/Inputs!$F$247</f>
        <v/>
      </c>
      <c r="S12" s="16">
        <f>(Operations!S9+Inputs!$F$81+S9)/100*Time!S25/Inputs!$F$247</f>
        <v/>
      </c>
      <c r="T12" s="16">
        <f>(Operations!T9+Inputs!$F$81+T9)/100*Time!T25/Inputs!$F$247</f>
        <v/>
      </c>
      <c r="U12" s="16">
        <f>(Operations!U9+Inputs!$F$81+U9)/100*Time!U25/Inputs!$F$247</f>
        <v/>
      </c>
      <c r="V12" s="16">
        <f>(Operations!V9+Inputs!$F$81+V9)/100*Time!V25/Inputs!$F$247</f>
        <v/>
      </c>
      <c r="W12" s="16">
        <f>(Operations!W9+Inputs!$F$81+W9)/100*Time!W25/Inputs!$F$247</f>
        <v/>
      </c>
      <c r="X12" s="16">
        <f>(Operations!X9+Inputs!$F$81+X9)/100*Time!X25/Inputs!$F$247</f>
        <v/>
      </c>
      <c r="Y12" s="16">
        <f>(Operations!Y9+Inputs!$F$81+Y9)/100*Time!Y25/Inputs!$F$247</f>
        <v/>
      </c>
      <c r="Z12" s="16">
        <f>(Operations!Z9+Inputs!$F$81+Z9)/100*Time!Z25/Inputs!$F$247</f>
        <v/>
      </c>
      <c r="AA12" s="16">
        <f>(Operations!AA9+Inputs!$F$81+AA9)/100*Time!AA25/Inputs!$F$247</f>
        <v/>
      </c>
      <c r="AB12" s="16">
        <f>(Operations!AB9+Inputs!$F$81+AB9)/100*Time!AB25/Inputs!$F$247</f>
        <v/>
      </c>
      <c r="AC12" s="16">
        <f>(Operations!AC9+Inputs!$F$81+AC9)/100*Time!AC25/Inputs!$F$247</f>
        <v/>
      </c>
      <c r="AD12" s="16">
        <f>(Operations!AD9+Inputs!$F$81+AD9)/100*Time!AD25/Inputs!$F$247</f>
        <v/>
      </c>
      <c r="AE12" s="16">
        <f>(Operations!AE9+Inputs!$F$81+AE9)/100*Time!AE25/Inputs!$F$247</f>
        <v/>
      </c>
      <c r="AF12" s="16">
        <f>(Operations!AF9+Inputs!$F$81+AF9)/100*Time!AF25/Inputs!$F$247</f>
        <v/>
      </c>
      <c r="AG12" s="16">
        <f>(Operations!AG9+Inputs!$F$81+AG9)/100*Time!AG25/Inputs!$F$247</f>
        <v/>
      </c>
      <c r="AH12" s="16">
        <f>(Operations!AH9+Inputs!$F$81+AH9)/100*Time!AH25/Inputs!$F$247</f>
        <v/>
      </c>
      <c r="AI12" s="16">
        <f>(Operations!AI9+Inputs!$F$81+AI9)/100*Time!AI25/Inputs!$F$247</f>
        <v/>
      </c>
      <c r="AJ12" s="16">
        <f>(Operations!AJ9+Inputs!$F$81+AJ9)/100*Time!AJ25/Inputs!$F$247</f>
        <v/>
      </c>
      <c r="AK12" s="16">
        <f>(Operations!AK9+Inputs!$F$81+AK9)/100*Time!AK25/Inputs!$F$247</f>
        <v/>
      </c>
      <c r="AL12" s="16">
        <f>(Operations!AL9+Inputs!$F$81+AL9)/100*Time!AL25/Inputs!$F$247</f>
        <v/>
      </c>
      <c r="AM12" s="16">
        <f>(Operations!AM9+Inputs!$F$81+AM9)/100*Time!AM25/Inputs!$F$247</f>
        <v/>
      </c>
      <c r="AN12" s="16">
        <f>(Operations!AN9+Inputs!$F$81+AN9)/100*Time!AN25/Inputs!$F$247</f>
        <v/>
      </c>
      <c r="AO12" s="16">
        <f>(Operations!AO9+Inputs!$F$81+AO9)/100*Time!AO25/Inputs!$F$247</f>
        <v/>
      </c>
      <c r="AP12" s="16">
        <f>(Operations!AP9+Inputs!$F$81+AP9)/100*Time!AP25/Inputs!$F$247</f>
        <v/>
      </c>
      <c r="AQ12" s="16">
        <f>(Operations!AQ9+Inputs!$F$81+AQ9)/100*Time!AQ25/Inputs!$F$247</f>
        <v/>
      </c>
      <c r="AR12" s="16">
        <f>(Operations!AR9+Inputs!$F$81+AR9)/100*Time!AR25/Inputs!$F$247</f>
        <v/>
      </c>
      <c r="AS12" s="16">
        <f>(Operations!AS9+Inputs!$F$81+AS9)/100*Time!AS25/Inputs!$F$247</f>
        <v/>
      </c>
      <c r="AT12" s="16">
        <f>(Operations!AT9+Inputs!$F$81+AT9)/100*Time!AT25/Inputs!$F$247</f>
        <v/>
      </c>
      <c r="AU12" s="16">
        <f>(Operations!AU9+Inputs!$F$81+AU9)/100*Time!AU25/Inputs!$F$247</f>
        <v/>
      </c>
      <c r="AV12" s="16">
        <f>(Operations!AV9+Inputs!$F$81+AV9)/100*Time!AV25/Inputs!$F$247</f>
        <v/>
      </c>
      <c r="AW12" s="16">
        <f>(Operations!AW9+Inputs!$F$81+AW9)/100*Time!AW25/Inputs!$F$247</f>
        <v/>
      </c>
      <c r="AX12" s="16">
        <f>(Operations!AX9+Inputs!$F$81+AX9)/100*Time!AX25/Inputs!$F$247</f>
        <v/>
      </c>
      <c r="AY12" s="16">
        <f>(Operations!AY9+Inputs!$F$81+AY9)/100*Time!AY25/Inputs!$F$247</f>
        <v/>
      </c>
      <c r="AZ12" s="16">
        <f>(Operations!AZ9+Inputs!$F$81+AZ9)/100*Time!AZ25/Inputs!$F$247</f>
        <v/>
      </c>
      <c r="BA12" s="16">
        <f>(Operations!BA9+Inputs!$F$81+BA9)/100*Time!BA25/Inputs!$F$247</f>
        <v/>
      </c>
      <c r="BB12" s="16">
        <f>(Operations!BB9+Inputs!$F$81+BB9)/100*Time!BB25/Inputs!$F$247</f>
        <v/>
      </c>
      <c r="BC12" s="16">
        <f>(Operations!BC9+Inputs!$F$81+BC9)/100*Time!BC25/Inputs!$F$247</f>
        <v/>
      </c>
      <c r="BD12" s="16">
        <f>(Operations!BD9+Inputs!$F$81+BD9)/100*Time!BD25/Inputs!$F$247</f>
        <v/>
      </c>
      <c r="BE12" s="16">
        <f>(Operations!BE9+Inputs!$F$81+BE9)/100*Time!BE25/Inputs!$F$247</f>
        <v/>
      </c>
      <c r="BF12" s="16">
        <f>(Operations!BF9+Inputs!$F$81+BF9)/100*Time!BF25/Inputs!$F$247</f>
        <v/>
      </c>
      <c r="BG12" s="16">
        <f>(Operations!BG9+Inputs!$F$81+BG9)/100*Time!BG25/Inputs!$F$247</f>
        <v/>
      </c>
      <c r="BH12" s="16">
        <f>(Operations!BH9+Inputs!$F$81+BH9)/100*Time!BH25/Inputs!$F$247</f>
        <v/>
      </c>
      <c r="BI12" s="16">
        <f>(Operations!BI9+Inputs!$F$81+BI9)/100*Time!BI25/Inputs!$F$247</f>
        <v/>
      </c>
      <c r="BJ12" s="16">
        <f>(Operations!BJ9+Inputs!$F$81+BJ9)/100*Time!BJ25/Inputs!$F$247</f>
        <v/>
      </c>
      <c r="BK12" s="16">
        <f>(Operations!BK9+Inputs!$F$81+BK9)/100*Time!BK25/Inputs!$F$247</f>
        <v/>
      </c>
      <c r="BL12" s="16">
        <f>(Operations!BL9+Inputs!$F$81+BL9)/100*Time!BL25/Inputs!$F$247</f>
        <v/>
      </c>
      <c r="BM12" s="16">
        <f>(Operations!BM9+Inputs!$F$81+BM9)/100*Time!BM25/Inputs!$F$247</f>
        <v/>
      </c>
      <c r="BN12" s="16">
        <f>(Operations!BN9+Inputs!$F$81+BN9)/100*Time!BN25/Inputs!$F$247</f>
        <v/>
      </c>
    </row>
    <row r="13">
      <c r="D13" t="inlineStr">
        <is>
          <t>Commercial tranche: rate per period</t>
        </is>
      </c>
      <c r="E13" t="inlineStr">
        <is>
          <t>factor</t>
        </is>
      </c>
      <c r="J13" s="16">
        <f>(Operations!J9+J8+J9)/100*Time!J25/Inputs!$F$247/(1-Inputs!$F$93/100)</f>
        <v/>
      </c>
      <c r="K13" s="16">
        <f>(Operations!K9+K8+K9)/100*Time!K25/Inputs!$F$247/(1-Inputs!$F$93/100)</f>
        <v/>
      </c>
      <c r="L13" s="16">
        <f>(Operations!L9+L8+L9)/100*Time!L25/Inputs!$F$247/(1-Inputs!$F$93/100)</f>
        <v/>
      </c>
      <c r="M13" s="16">
        <f>(Operations!M9+M8+M9)/100*Time!M25/Inputs!$F$247/(1-Inputs!$F$93/100)</f>
        <v/>
      </c>
      <c r="N13" s="16">
        <f>(Operations!N9+N8+N9)/100*Time!N25/Inputs!$F$247/(1-Inputs!$F$93/100)</f>
        <v/>
      </c>
      <c r="O13" s="16">
        <f>(Operations!O9+O8+O9)/100*Time!O25/Inputs!$F$247/(1-Inputs!$F$93/100)</f>
        <v/>
      </c>
      <c r="P13" s="16">
        <f>(Operations!P9+P8+P9)/100*Time!P25/Inputs!$F$247/(1-Inputs!$F$93/100)</f>
        <v/>
      </c>
      <c r="Q13" s="16">
        <f>(Operations!Q9+Q8+Q9)/100*Time!Q25/Inputs!$F$247/(1-Inputs!$F$93/100)</f>
        <v/>
      </c>
      <c r="R13" s="16">
        <f>(Operations!R9+R8+R9)/100*Time!R25/Inputs!$F$247/(1-Inputs!$F$93/100)</f>
        <v/>
      </c>
      <c r="S13" s="16">
        <f>(Operations!S9+S8+S9)/100*Time!S25/Inputs!$F$247/(1-Inputs!$F$93/100)</f>
        <v/>
      </c>
      <c r="T13" s="16">
        <f>(Operations!T9+T8+T9)/100*Time!T25/Inputs!$F$247/(1-Inputs!$F$93/100)</f>
        <v/>
      </c>
      <c r="U13" s="16">
        <f>(Operations!U9+U8+U9)/100*Time!U25/Inputs!$F$247/(1-Inputs!$F$93/100)</f>
        <v/>
      </c>
      <c r="V13" s="16">
        <f>(Operations!V9+V8+V9)/100*Time!V25/Inputs!$F$247/(1-Inputs!$F$93/100)</f>
        <v/>
      </c>
      <c r="W13" s="16">
        <f>(Operations!W9+W8+W9)/100*Time!W25/Inputs!$F$247/(1-Inputs!$F$93/100)</f>
        <v/>
      </c>
      <c r="X13" s="16">
        <f>(Operations!X9+X8+X9)/100*Time!X25/Inputs!$F$247/(1-Inputs!$F$93/100)</f>
        <v/>
      </c>
      <c r="Y13" s="16">
        <f>(Operations!Y9+Y8+Y9)/100*Time!Y25/Inputs!$F$247/(1-Inputs!$F$93/100)</f>
        <v/>
      </c>
      <c r="Z13" s="16">
        <f>(Operations!Z9+Z8+Z9)/100*Time!Z25/Inputs!$F$247/(1-Inputs!$F$93/100)</f>
        <v/>
      </c>
      <c r="AA13" s="16">
        <f>(Operations!AA9+AA8+AA9)/100*Time!AA25/Inputs!$F$247/(1-Inputs!$F$93/100)</f>
        <v/>
      </c>
      <c r="AB13" s="16">
        <f>(Operations!AB9+AB8+AB9)/100*Time!AB25/Inputs!$F$247/(1-Inputs!$F$93/100)</f>
        <v/>
      </c>
      <c r="AC13" s="16">
        <f>(Operations!AC9+AC8+AC9)/100*Time!AC25/Inputs!$F$247/(1-Inputs!$F$93/100)</f>
        <v/>
      </c>
      <c r="AD13" s="16">
        <f>(Operations!AD9+AD8+AD9)/100*Time!AD25/Inputs!$F$247/(1-Inputs!$F$93/100)</f>
        <v/>
      </c>
      <c r="AE13" s="16">
        <f>(Operations!AE9+AE8+AE9)/100*Time!AE25/Inputs!$F$247/(1-Inputs!$F$93/100)</f>
        <v/>
      </c>
      <c r="AF13" s="16">
        <f>(Operations!AF9+AF8+AF9)/100*Time!AF25/Inputs!$F$247/(1-Inputs!$F$93/100)</f>
        <v/>
      </c>
      <c r="AG13" s="16">
        <f>(Operations!AG9+AG8+AG9)/100*Time!AG25/Inputs!$F$247/(1-Inputs!$F$93/100)</f>
        <v/>
      </c>
      <c r="AH13" s="16">
        <f>(Operations!AH9+AH8+AH9)/100*Time!AH25/Inputs!$F$247/(1-Inputs!$F$93/100)</f>
        <v/>
      </c>
      <c r="AI13" s="16">
        <f>(Operations!AI9+AI8+AI9)/100*Time!AI25/Inputs!$F$247/(1-Inputs!$F$93/100)</f>
        <v/>
      </c>
      <c r="AJ13" s="16">
        <f>(Operations!AJ9+AJ8+AJ9)/100*Time!AJ25/Inputs!$F$247/(1-Inputs!$F$93/100)</f>
        <v/>
      </c>
      <c r="AK13" s="16">
        <f>(Operations!AK9+AK8+AK9)/100*Time!AK25/Inputs!$F$247/(1-Inputs!$F$93/100)</f>
        <v/>
      </c>
      <c r="AL13" s="16">
        <f>(Operations!AL9+AL8+AL9)/100*Time!AL25/Inputs!$F$247/(1-Inputs!$F$93/100)</f>
        <v/>
      </c>
      <c r="AM13" s="16">
        <f>(Operations!AM9+AM8+AM9)/100*Time!AM25/Inputs!$F$247/(1-Inputs!$F$93/100)</f>
        <v/>
      </c>
      <c r="AN13" s="16">
        <f>(Operations!AN9+AN8+AN9)/100*Time!AN25/Inputs!$F$247/(1-Inputs!$F$93/100)</f>
        <v/>
      </c>
      <c r="AO13" s="16">
        <f>(Operations!AO9+AO8+AO9)/100*Time!AO25/Inputs!$F$247/(1-Inputs!$F$93/100)</f>
        <v/>
      </c>
      <c r="AP13" s="16">
        <f>(Operations!AP9+AP8+AP9)/100*Time!AP25/Inputs!$F$247/(1-Inputs!$F$93/100)</f>
        <v/>
      </c>
      <c r="AQ13" s="16">
        <f>(Operations!AQ9+AQ8+AQ9)/100*Time!AQ25/Inputs!$F$247/(1-Inputs!$F$93/100)</f>
        <v/>
      </c>
      <c r="AR13" s="16">
        <f>(Operations!AR9+AR8+AR9)/100*Time!AR25/Inputs!$F$247/(1-Inputs!$F$93/100)</f>
        <v/>
      </c>
      <c r="AS13" s="16">
        <f>(Operations!AS9+AS8+AS9)/100*Time!AS25/Inputs!$F$247/(1-Inputs!$F$93/100)</f>
        <v/>
      </c>
      <c r="AT13" s="16">
        <f>(Operations!AT9+AT8+AT9)/100*Time!AT25/Inputs!$F$247/(1-Inputs!$F$93/100)</f>
        <v/>
      </c>
      <c r="AU13" s="16">
        <f>(Operations!AU9+AU8+AU9)/100*Time!AU25/Inputs!$F$247/(1-Inputs!$F$93/100)</f>
        <v/>
      </c>
      <c r="AV13" s="16">
        <f>(Operations!AV9+AV8+AV9)/100*Time!AV25/Inputs!$F$247/(1-Inputs!$F$93/100)</f>
        <v/>
      </c>
      <c r="AW13" s="16">
        <f>(Operations!AW9+AW8+AW9)/100*Time!AW25/Inputs!$F$247/(1-Inputs!$F$93/100)</f>
        <v/>
      </c>
      <c r="AX13" s="16">
        <f>(Operations!AX9+AX8+AX9)/100*Time!AX25/Inputs!$F$247/(1-Inputs!$F$93/100)</f>
        <v/>
      </c>
      <c r="AY13" s="16">
        <f>(Operations!AY9+AY8+AY9)/100*Time!AY25/Inputs!$F$247/(1-Inputs!$F$93/100)</f>
        <v/>
      </c>
      <c r="AZ13" s="16">
        <f>(Operations!AZ9+AZ8+AZ9)/100*Time!AZ25/Inputs!$F$247/(1-Inputs!$F$93/100)</f>
        <v/>
      </c>
      <c r="BA13" s="16">
        <f>(Operations!BA9+BA8+BA9)/100*Time!BA25/Inputs!$F$247/(1-Inputs!$F$93/100)</f>
        <v/>
      </c>
      <c r="BB13" s="16">
        <f>(Operations!BB9+BB8+BB9)/100*Time!BB25/Inputs!$F$247/(1-Inputs!$F$93/100)</f>
        <v/>
      </c>
      <c r="BC13" s="16">
        <f>(Operations!BC9+BC8+BC9)/100*Time!BC25/Inputs!$F$247/(1-Inputs!$F$93/100)</f>
        <v/>
      </c>
      <c r="BD13" s="16">
        <f>(Operations!BD9+BD8+BD9)/100*Time!BD25/Inputs!$F$247/(1-Inputs!$F$93/100)</f>
        <v/>
      </c>
      <c r="BE13" s="16">
        <f>(Operations!BE9+BE8+BE9)/100*Time!BE25/Inputs!$F$247/(1-Inputs!$F$93/100)</f>
        <v/>
      </c>
      <c r="BF13" s="16">
        <f>(Operations!BF9+BF8+BF9)/100*Time!BF25/Inputs!$F$247/(1-Inputs!$F$93/100)</f>
        <v/>
      </c>
      <c r="BG13" s="16">
        <f>(Operations!BG9+BG8+BG9)/100*Time!BG25/Inputs!$F$247/(1-Inputs!$F$93/100)</f>
        <v/>
      </c>
      <c r="BH13" s="16">
        <f>(Operations!BH9+BH8+BH9)/100*Time!BH25/Inputs!$F$247/(1-Inputs!$F$93/100)</f>
        <v/>
      </c>
      <c r="BI13" s="16">
        <f>(Operations!BI9+BI8+BI9)/100*Time!BI25/Inputs!$F$247/(1-Inputs!$F$93/100)</f>
        <v/>
      </c>
      <c r="BJ13" s="16">
        <f>(Operations!BJ9+BJ8+BJ9)/100*Time!BJ25/Inputs!$F$247/(1-Inputs!$F$93/100)</f>
        <v/>
      </c>
      <c r="BK13" s="16">
        <f>(Operations!BK9+BK8+BK9)/100*Time!BK25/Inputs!$F$247/(1-Inputs!$F$93/100)</f>
        <v/>
      </c>
      <c r="BL13" s="16">
        <f>(Operations!BL9+BL8+BL9)/100*Time!BL25/Inputs!$F$247/(1-Inputs!$F$93/100)</f>
        <v/>
      </c>
      <c r="BM13" s="16">
        <f>(Operations!BM9+BM8+BM9)/100*Time!BM25/Inputs!$F$247/(1-Inputs!$F$93/100)</f>
        <v/>
      </c>
      <c r="BN13" s="16">
        <f>(Operations!BN9+BN8+BN9)/100*Time!BN25/Inputs!$F$247/(1-Inputs!$F$93/100)</f>
        <v/>
      </c>
    </row>
    <row r="14">
      <c r="D14" t="inlineStr">
        <is>
          <t>Standby facility: rate per period</t>
        </is>
      </c>
      <c r="E14" t="inlineStr">
        <is>
          <t>factor</t>
        </is>
      </c>
      <c r="J14" s="16">
        <f>(Inputs!$F$102*(Operations!J9+J8+Inputs!$F$101+J9)/(1-Inputs!$F$93/100)+(1-Inputs!$F$102)*(Operations!J9+Inputs!$F$80+Inputs!$F$101+J9))/100*Time!J25/Inputs!$F$247</f>
        <v/>
      </c>
      <c r="K14" s="16">
        <f>(Inputs!$F$102*(Operations!K9+K8+Inputs!$F$101+K9)/(1-Inputs!$F$93/100)+(1-Inputs!$F$102)*(Operations!K9+Inputs!$F$80+Inputs!$F$101+K9))/100*Time!K25/Inputs!$F$247</f>
        <v/>
      </c>
      <c r="L14" s="16">
        <f>(Inputs!$F$102*(Operations!L9+L8+Inputs!$F$101+L9)/(1-Inputs!$F$93/100)+(1-Inputs!$F$102)*(Operations!L9+Inputs!$F$80+Inputs!$F$101+L9))/100*Time!L25/Inputs!$F$247</f>
        <v/>
      </c>
      <c r="M14" s="16">
        <f>(Inputs!$F$102*(Operations!M9+M8+Inputs!$F$101+M9)/(1-Inputs!$F$93/100)+(1-Inputs!$F$102)*(Operations!M9+Inputs!$F$80+Inputs!$F$101+M9))/100*Time!M25/Inputs!$F$247</f>
        <v/>
      </c>
      <c r="N14" s="16">
        <f>(Inputs!$F$102*(Operations!N9+N8+Inputs!$F$101+N9)/(1-Inputs!$F$93/100)+(1-Inputs!$F$102)*(Operations!N9+Inputs!$F$80+Inputs!$F$101+N9))/100*Time!N25/Inputs!$F$247</f>
        <v/>
      </c>
      <c r="O14" s="16">
        <f>(Inputs!$F$102*(Operations!O9+O8+Inputs!$F$101+O9)/(1-Inputs!$F$93/100)+(1-Inputs!$F$102)*(Operations!O9+Inputs!$F$80+Inputs!$F$101+O9))/100*Time!O25/Inputs!$F$247</f>
        <v/>
      </c>
      <c r="P14" s="16">
        <f>(Inputs!$F$102*(Operations!P9+P8+Inputs!$F$101+P9)/(1-Inputs!$F$93/100)+(1-Inputs!$F$102)*(Operations!P9+Inputs!$F$80+Inputs!$F$101+P9))/100*Time!P25/Inputs!$F$247</f>
        <v/>
      </c>
      <c r="Q14" s="16">
        <f>(Inputs!$F$102*(Operations!Q9+Q8+Inputs!$F$101+Q9)/(1-Inputs!$F$93/100)+(1-Inputs!$F$102)*(Operations!Q9+Inputs!$F$80+Inputs!$F$101+Q9))/100*Time!Q25/Inputs!$F$247</f>
        <v/>
      </c>
      <c r="R14" s="16">
        <f>(Inputs!$F$102*(Operations!R9+R8+Inputs!$F$101+R9)/(1-Inputs!$F$93/100)+(1-Inputs!$F$102)*(Operations!R9+Inputs!$F$80+Inputs!$F$101+R9))/100*Time!R25/Inputs!$F$247</f>
        <v/>
      </c>
      <c r="S14" s="16">
        <f>(Inputs!$F$102*(Operations!S9+S8+Inputs!$F$101+S9)/(1-Inputs!$F$93/100)+(1-Inputs!$F$102)*(Operations!S9+Inputs!$F$80+Inputs!$F$101+S9))/100*Time!S25/Inputs!$F$247</f>
        <v/>
      </c>
      <c r="T14" s="16">
        <f>(Inputs!$F$102*(Operations!T9+T8+Inputs!$F$101+T9)/(1-Inputs!$F$93/100)+(1-Inputs!$F$102)*(Operations!T9+Inputs!$F$80+Inputs!$F$101+T9))/100*Time!T25/Inputs!$F$247</f>
        <v/>
      </c>
      <c r="U14" s="16">
        <f>(Inputs!$F$102*(Operations!U9+U8+Inputs!$F$101+U9)/(1-Inputs!$F$93/100)+(1-Inputs!$F$102)*(Operations!U9+Inputs!$F$80+Inputs!$F$101+U9))/100*Time!U25/Inputs!$F$247</f>
        <v/>
      </c>
      <c r="V14" s="16">
        <f>(Inputs!$F$102*(Operations!V9+V8+Inputs!$F$101+V9)/(1-Inputs!$F$93/100)+(1-Inputs!$F$102)*(Operations!V9+Inputs!$F$80+Inputs!$F$101+V9))/100*Time!V25/Inputs!$F$247</f>
        <v/>
      </c>
      <c r="W14" s="16">
        <f>(Inputs!$F$102*(Operations!W9+W8+Inputs!$F$101+W9)/(1-Inputs!$F$93/100)+(1-Inputs!$F$102)*(Operations!W9+Inputs!$F$80+Inputs!$F$101+W9))/100*Time!W25/Inputs!$F$247</f>
        <v/>
      </c>
      <c r="X14" s="16">
        <f>(Inputs!$F$102*(Operations!X9+X8+Inputs!$F$101+X9)/(1-Inputs!$F$93/100)+(1-Inputs!$F$102)*(Operations!X9+Inputs!$F$80+Inputs!$F$101+X9))/100*Time!X25/Inputs!$F$247</f>
        <v/>
      </c>
      <c r="Y14" s="16">
        <f>(Inputs!$F$102*(Operations!Y9+Y8+Inputs!$F$101+Y9)/(1-Inputs!$F$93/100)+(1-Inputs!$F$102)*(Operations!Y9+Inputs!$F$80+Inputs!$F$101+Y9))/100*Time!Y25/Inputs!$F$247</f>
        <v/>
      </c>
      <c r="Z14" s="16">
        <f>(Inputs!$F$102*(Operations!Z9+Z8+Inputs!$F$101+Z9)/(1-Inputs!$F$93/100)+(1-Inputs!$F$102)*(Operations!Z9+Inputs!$F$80+Inputs!$F$101+Z9))/100*Time!Z25/Inputs!$F$247</f>
        <v/>
      </c>
      <c r="AA14" s="16">
        <f>(Inputs!$F$102*(Operations!AA9+AA8+Inputs!$F$101+AA9)/(1-Inputs!$F$93/100)+(1-Inputs!$F$102)*(Operations!AA9+Inputs!$F$80+Inputs!$F$101+AA9))/100*Time!AA25/Inputs!$F$247</f>
        <v/>
      </c>
      <c r="AB14" s="16">
        <f>(Inputs!$F$102*(Operations!AB9+AB8+Inputs!$F$101+AB9)/(1-Inputs!$F$93/100)+(1-Inputs!$F$102)*(Operations!AB9+Inputs!$F$80+Inputs!$F$101+AB9))/100*Time!AB25/Inputs!$F$247</f>
        <v/>
      </c>
      <c r="AC14" s="16">
        <f>(Inputs!$F$102*(Operations!AC9+AC8+Inputs!$F$101+AC9)/(1-Inputs!$F$93/100)+(1-Inputs!$F$102)*(Operations!AC9+Inputs!$F$80+Inputs!$F$101+AC9))/100*Time!AC25/Inputs!$F$247</f>
        <v/>
      </c>
      <c r="AD14" s="16">
        <f>(Inputs!$F$102*(Operations!AD9+AD8+Inputs!$F$101+AD9)/(1-Inputs!$F$93/100)+(1-Inputs!$F$102)*(Operations!AD9+Inputs!$F$80+Inputs!$F$101+AD9))/100*Time!AD25/Inputs!$F$247</f>
        <v/>
      </c>
      <c r="AE14" s="16">
        <f>(Inputs!$F$102*(Operations!AE9+AE8+Inputs!$F$101+AE9)/(1-Inputs!$F$93/100)+(1-Inputs!$F$102)*(Operations!AE9+Inputs!$F$80+Inputs!$F$101+AE9))/100*Time!AE25/Inputs!$F$247</f>
        <v/>
      </c>
      <c r="AF14" s="16">
        <f>(Inputs!$F$102*(Operations!AF9+AF8+Inputs!$F$101+AF9)/(1-Inputs!$F$93/100)+(1-Inputs!$F$102)*(Operations!AF9+Inputs!$F$80+Inputs!$F$101+AF9))/100*Time!AF25/Inputs!$F$247</f>
        <v/>
      </c>
      <c r="AG14" s="16">
        <f>(Inputs!$F$102*(Operations!AG9+AG8+Inputs!$F$101+AG9)/(1-Inputs!$F$93/100)+(1-Inputs!$F$102)*(Operations!AG9+Inputs!$F$80+Inputs!$F$101+AG9))/100*Time!AG25/Inputs!$F$247</f>
        <v/>
      </c>
      <c r="AH14" s="16">
        <f>(Inputs!$F$102*(Operations!AH9+AH8+Inputs!$F$101+AH9)/(1-Inputs!$F$93/100)+(1-Inputs!$F$102)*(Operations!AH9+Inputs!$F$80+Inputs!$F$101+AH9))/100*Time!AH25/Inputs!$F$247</f>
        <v/>
      </c>
      <c r="AI14" s="16">
        <f>(Inputs!$F$102*(Operations!AI9+AI8+Inputs!$F$101+AI9)/(1-Inputs!$F$93/100)+(1-Inputs!$F$102)*(Operations!AI9+Inputs!$F$80+Inputs!$F$101+AI9))/100*Time!AI25/Inputs!$F$247</f>
        <v/>
      </c>
      <c r="AJ14" s="16">
        <f>(Inputs!$F$102*(Operations!AJ9+AJ8+Inputs!$F$101+AJ9)/(1-Inputs!$F$93/100)+(1-Inputs!$F$102)*(Operations!AJ9+Inputs!$F$80+Inputs!$F$101+AJ9))/100*Time!AJ25/Inputs!$F$247</f>
        <v/>
      </c>
      <c r="AK14" s="16">
        <f>(Inputs!$F$102*(Operations!AK9+AK8+Inputs!$F$101+AK9)/(1-Inputs!$F$93/100)+(1-Inputs!$F$102)*(Operations!AK9+Inputs!$F$80+Inputs!$F$101+AK9))/100*Time!AK25/Inputs!$F$247</f>
        <v/>
      </c>
      <c r="AL14" s="16">
        <f>(Inputs!$F$102*(Operations!AL9+AL8+Inputs!$F$101+AL9)/(1-Inputs!$F$93/100)+(1-Inputs!$F$102)*(Operations!AL9+Inputs!$F$80+Inputs!$F$101+AL9))/100*Time!AL25/Inputs!$F$247</f>
        <v/>
      </c>
      <c r="AM14" s="16">
        <f>(Inputs!$F$102*(Operations!AM9+AM8+Inputs!$F$101+AM9)/(1-Inputs!$F$93/100)+(1-Inputs!$F$102)*(Operations!AM9+Inputs!$F$80+Inputs!$F$101+AM9))/100*Time!AM25/Inputs!$F$247</f>
        <v/>
      </c>
      <c r="AN14" s="16">
        <f>(Inputs!$F$102*(Operations!AN9+AN8+Inputs!$F$101+AN9)/(1-Inputs!$F$93/100)+(1-Inputs!$F$102)*(Operations!AN9+Inputs!$F$80+Inputs!$F$101+AN9))/100*Time!AN25/Inputs!$F$247</f>
        <v/>
      </c>
      <c r="AO14" s="16">
        <f>(Inputs!$F$102*(Operations!AO9+AO8+Inputs!$F$101+AO9)/(1-Inputs!$F$93/100)+(1-Inputs!$F$102)*(Operations!AO9+Inputs!$F$80+Inputs!$F$101+AO9))/100*Time!AO25/Inputs!$F$247</f>
        <v/>
      </c>
      <c r="AP14" s="16">
        <f>(Inputs!$F$102*(Operations!AP9+AP8+Inputs!$F$101+AP9)/(1-Inputs!$F$93/100)+(1-Inputs!$F$102)*(Operations!AP9+Inputs!$F$80+Inputs!$F$101+AP9))/100*Time!AP25/Inputs!$F$247</f>
        <v/>
      </c>
      <c r="AQ14" s="16">
        <f>(Inputs!$F$102*(Operations!AQ9+AQ8+Inputs!$F$101+AQ9)/(1-Inputs!$F$93/100)+(1-Inputs!$F$102)*(Operations!AQ9+Inputs!$F$80+Inputs!$F$101+AQ9))/100*Time!AQ25/Inputs!$F$247</f>
        <v/>
      </c>
      <c r="AR14" s="16">
        <f>(Inputs!$F$102*(Operations!AR9+AR8+Inputs!$F$101+AR9)/(1-Inputs!$F$93/100)+(1-Inputs!$F$102)*(Operations!AR9+Inputs!$F$80+Inputs!$F$101+AR9))/100*Time!AR25/Inputs!$F$247</f>
        <v/>
      </c>
      <c r="AS14" s="16">
        <f>(Inputs!$F$102*(Operations!AS9+AS8+Inputs!$F$101+AS9)/(1-Inputs!$F$93/100)+(1-Inputs!$F$102)*(Operations!AS9+Inputs!$F$80+Inputs!$F$101+AS9))/100*Time!AS25/Inputs!$F$247</f>
        <v/>
      </c>
      <c r="AT14" s="16">
        <f>(Inputs!$F$102*(Operations!AT9+AT8+Inputs!$F$101+AT9)/(1-Inputs!$F$93/100)+(1-Inputs!$F$102)*(Operations!AT9+Inputs!$F$80+Inputs!$F$101+AT9))/100*Time!AT25/Inputs!$F$247</f>
        <v/>
      </c>
      <c r="AU14" s="16">
        <f>(Inputs!$F$102*(Operations!AU9+AU8+Inputs!$F$101+AU9)/(1-Inputs!$F$93/100)+(1-Inputs!$F$102)*(Operations!AU9+Inputs!$F$80+Inputs!$F$101+AU9))/100*Time!AU25/Inputs!$F$247</f>
        <v/>
      </c>
      <c r="AV14" s="16">
        <f>(Inputs!$F$102*(Operations!AV9+AV8+Inputs!$F$101+AV9)/(1-Inputs!$F$93/100)+(1-Inputs!$F$102)*(Operations!AV9+Inputs!$F$80+Inputs!$F$101+AV9))/100*Time!AV25/Inputs!$F$247</f>
        <v/>
      </c>
      <c r="AW14" s="16">
        <f>(Inputs!$F$102*(Operations!AW9+AW8+Inputs!$F$101+AW9)/(1-Inputs!$F$93/100)+(1-Inputs!$F$102)*(Operations!AW9+Inputs!$F$80+Inputs!$F$101+AW9))/100*Time!AW25/Inputs!$F$247</f>
        <v/>
      </c>
      <c r="AX14" s="16">
        <f>(Inputs!$F$102*(Operations!AX9+AX8+Inputs!$F$101+AX9)/(1-Inputs!$F$93/100)+(1-Inputs!$F$102)*(Operations!AX9+Inputs!$F$80+Inputs!$F$101+AX9))/100*Time!AX25/Inputs!$F$247</f>
        <v/>
      </c>
      <c r="AY14" s="16">
        <f>(Inputs!$F$102*(Operations!AY9+AY8+Inputs!$F$101+AY9)/(1-Inputs!$F$93/100)+(1-Inputs!$F$102)*(Operations!AY9+Inputs!$F$80+Inputs!$F$101+AY9))/100*Time!AY25/Inputs!$F$247</f>
        <v/>
      </c>
      <c r="AZ14" s="16">
        <f>(Inputs!$F$102*(Operations!AZ9+AZ8+Inputs!$F$101+AZ9)/(1-Inputs!$F$93/100)+(1-Inputs!$F$102)*(Operations!AZ9+Inputs!$F$80+Inputs!$F$101+AZ9))/100*Time!AZ25/Inputs!$F$247</f>
        <v/>
      </c>
      <c r="BA14" s="16">
        <f>(Inputs!$F$102*(Operations!BA9+BA8+Inputs!$F$101+BA9)/(1-Inputs!$F$93/100)+(1-Inputs!$F$102)*(Operations!BA9+Inputs!$F$80+Inputs!$F$101+BA9))/100*Time!BA25/Inputs!$F$247</f>
        <v/>
      </c>
      <c r="BB14" s="16">
        <f>(Inputs!$F$102*(Operations!BB9+BB8+Inputs!$F$101+BB9)/(1-Inputs!$F$93/100)+(1-Inputs!$F$102)*(Operations!BB9+Inputs!$F$80+Inputs!$F$101+BB9))/100*Time!BB25/Inputs!$F$247</f>
        <v/>
      </c>
      <c r="BC14" s="16">
        <f>(Inputs!$F$102*(Operations!BC9+BC8+Inputs!$F$101+BC9)/(1-Inputs!$F$93/100)+(1-Inputs!$F$102)*(Operations!BC9+Inputs!$F$80+Inputs!$F$101+BC9))/100*Time!BC25/Inputs!$F$247</f>
        <v/>
      </c>
      <c r="BD14" s="16">
        <f>(Inputs!$F$102*(Operations!BD9+BD8+Inputs!$F$101+BD9)/(1-Inputs!$F$93/100)+(1-Inputs!$F$102)*(Operations!BD9+Inputs!$F$80+Inputs!$F$101+BD9))/100*Time!BD25/Inputs!$F$247</f>
        <v/>
      </c>
      <c r="BE14" s="16">
        <f>(Inputs!$F$102*(Operations!BE9+BE8+Inputs!$F$101+BE9)/(1-Inputs!$F$93/100)+(1-Inputs!$F$102)*(Operations!BE9+Inputs!$F$80+Inputs!$F$101+BE9))/100*Time!BE25/Inputs!$F$247</f>
        <v/>
      </c>
      <c r="BF14" s="16">
        <f>(Inputs!$F$102*(Operations!BF9+BF8+Inputs!$F$101+BF9)/(1-Inputs!$F$93/100)+(1-Inputs!$F$102)*(Operations!BF9+Inputs!$F$80+Inputs!$F$101+BF9))/100*Time!BF25/Inputs!$F$247</f>
        <v/>
      </c>
      <c r="BG14" s="16">
        <f>(Inputs!$F$102*(Operations!BG9+BG8+Inputs!$F$101+BG9)/(1-Inputs!$F$93/100)+(1-Inputs!$F$102)*(Operations!BG9+Inputs!$F$80+Inputs!$F$101+BG9))/100*Time!BG25/Inputs!$F$247</f>
        <v/>
      </c>
      <c r="BH14" s="16">
        <f>(Inputs!$F$102*(Operations!BH9+BH8+Inputs!$F$101+BH9)/(1-Inputs!$F$93/100)+(1-Inputs!$F$102)*(Operations!BH9+Inputs!$F$80+Inputs!$F$101+BH9))/100*Time!BH25/Inputs!$F$247</f>
        <v/>
      </c>
      <c r="BI14" s="16">
        <f>(Inputs!$F$102*(Operations!BI9+BI8+Inputs!$F$101+BI9)/(1-Inputs!$F$93/100)+(1-Inputs!$F$102)*(Operations!BI9+Inputs!$F$80+Inputs!$F$101+BI9))/100*Time!BI25/Inputs!$F$247</f>
        <v/>
      </c>
      <c r="BJ14" s="16">
        <f>(Inputs!$F$102*(Operations!BJ9+BJ8+Inputs!$F$101+BJ9)/(1-Inputs!$F$93/100)+(1-Inputs!$F$102)*(Operations!BJ9+Inputs!$F$80+Inputs!$F$101+BJ9))/100*Time!BJ25/Inputs!$F$247</f>
        <v/>
      </c>
      <c r="BK14" s="16">
        <f>(Inputs!$F$102*(Operations!BK9+BK8+Inputs!$F$101+BK9)/(1-Inputs!$F$93/100)+(1-Inputs!$F$102)*(Operations!BK9+Inputs!$F$80+Inputs!$F$101+BK9))/100*Time!BK25/Inputs!$F$247</f>
        <v/>
      </c>
      <c r="BL14" s="16">
        <f>(Inputs!$F$102*(Operations!BL9+BL8+Inputs!$F$101+BL9)/(1-Inputs!$F$93/100)+(1-Inputs!$F$102)*(Operations!BL9+Inputs!$F$80+Inputs!$F$101+BL9))/100*Time!BL25/Inputs!$F$247</f>
        <v/>
      </c>
      <c r="BM14" s="16">
        <f>(Inputs!$F$102*(Operations!BM9+BM8+Inputs!$F$101+BM9)/(1-Inputs!$F$93/100)+(1-Inputs!$F$102)*(Operations!BM9+Inputs!$F$80+Inputs!$F$101+BM9))/100*Time!BM25/Inputs!$F$247</f>
        <v/>
      </c>
      <c r="BN14" s="16">
        <f>(Inputs!$F$102*(Operations!BN9+BN8+Inputs!$F$101+BN9)/(1-Inputs!$F$93/100)+(1-Inputs!$F$102)*(Operations!BN9+Inputs!$F$80+Inputs!$F$101+BN9))/100*Time!BN25/Inputs!$F$247</f>
        <v/>
      </c>
    </row>
    <row r="15">
      <c r="D15" t="inlineStr">
        <is>
          <t>2025 project bond: rate per period</t>
        </is>
      </c>
      <c r="E15" t="inlineStr">
        <is>
          <t>factor</t>
        </is>
      </c>
      <c r="J15" s="16">
        <f>Inputs!$F$271/100*Time!J24</f>
        <v/>
      </c>
      <c r="K15" s="16">
        <f>Inputs!$F$271/100*Time!K24</f>
        <v/>
      </c>
      <c r="L15" s="16">
        <f>Inputs!$F$271/100*Time!L24</f>
        <v/>
      </c>
      <c r="M15" s="16">
        <f>Inputs!$F$271/100*Time!M24</f>
        <v/>
      </c>
      <c r="N15" s="16">
        <f>Inputs!$F$271/100*Time!N24</f>
        <v/>
      </c>
      <c r="O15" s="16">
        <f>Inputs!$F$271/100*Time!O24</f>
        <v/>
      </c>
      <c r="P15" s="16">
        <f>Inputs!$F$271/100*Time!P24</f>
        <v/>
      </c>
      <c r="Q15" s="16">
        <f>Inputs!$F$271/100*Time!Q24</f>
        <v/>
      </c>
      <c r="R15" s="16">
        <f>Inputs!$F$271/100*Time!R24</f>
        <v/>
      </c>
      <c r="S15" s="16">
        <f>Inputs!$F$271/100*Time!S24</f>
        <v/>
      </c>
      <c r="T15" s="16">
        <f>Inputs!$F$271/100*Time!T24</f>
        <v/>
      </c>
      <c r="U15" s="16">
        <f>Inputs!$F$271/100*Time!U24</f>
        <v/>
      </c>
      <c r="V15" s="16">
        <f>Inputs!$F$271/100*Time!V24</f>
        <v/>
      </c>
      <c r="W15" s="16">
        <f>Inputs!$F$271/100*Time!W24</f>
        <v/>
      </c>
      <c r="X15" s="16">
        <f>Inputs!$F$271/100*Time!X24</f>
        <v/>
      </c>
      <c r="Y15" s="16">
        <f>Inputs!$F$271/100*Time!Y24</f>
        <v/>
      </c>
      <c r="Z15" s="16">
        <f>Inputs!$F$271/100*Time!Z24</f>
        <v/>
      </c>
      <c r="AA15" s="16">
        <f>Inputs!$F$271/100*Time!AA24</f>
        <v/>
      </c>
      <c r="AB15" s="16">
        <f>Inputs!$F$271/100*Time!AB24</f>
        <v/>
      </c>
      <c r="AC15" s="16">
        <f>Inputs!$F$271/100*Time!AC24</f>
        <v/>
      </c>
      <c r="AD15" s="16">
        <f>Inputs!$F$271/100*Time!AD24</f>
        <v/>
      </c>
      <c r="AE15" s="16">
        <f>Inputs!$F$271/100*Time!AE24</f>
        <v/>
      </c>
      <c r="AF15" s="16">
        <f>Inputs!$F$271/100*Time!AF24</f>
        <v/>
      </c>
      <c r="AG15" s="16">
        <f>Inputs!$F$271/100*Time!AG24</f>
        <v/>
      </c>
      <c r="AH15" s="16">
        <f>Inputs!$F$271/100*Time!AH24</f>
        <v/>
      </c>
      <c r="AI15" s="16">
        <f>Inputs!$F$271/100*Time!AI24</f>
        <v/>
      </c>
      <c r="AJ15" s="16">
        <f>Inputs!$F$271/100*Time!AJ24</f>
        <v/>
      </c>
      <c r="AK15" s="16">
        <f>Inputs!$F$271/100*Time!AK24</f>
        <v/>
      </c>
      <c r="AL15" s="16">
        <f>Inputs!$F$271/100*Time!AL24</f>
        <v/>
      </c>
      <c r="AM15" s="16">
        <f>Inputs!$F$271/100*Time!AM24</f>
        <v/>
      </c>
      <c r="AN15" s="16">
        <f>Inputs!$F$271/100*Time!AN24</f>
        <v/>
      </c>
      <c r="AO15" s="16">
        <f>Inputs!$F$271/100*Time!AO24</f>
        <v/>
      </c>
      <c r="AP15" s="16">
        <f>Inputs!$F$271/100*Time!AP24</f>
        <v/>
      </c>
      <c r="AQ15" s="16">
        <f>Inputs!$F$271/100*Time!AQ24</f>
        <v/>
      </c>
      <c r="AR15" s="16">
        <f>Inputs!$F$271/100*Time!AR24</f>
        <v/>
      </c>
      <c r="AS15" s="16">
        <f>Inputs!$F$271/100*Time!AS24</f>
        <v/>
      </c>
      <c r="AT15" s="16">
        <f>Inputs!$F$271/100*Time!AT24</f>
        <v/>
      </c>
      <c r="AU15" s="16">
        <f>Inputs!$F$271/100*Time!AU24</f>
        <v/>
      </c>
      <c r="AV15" s="16">
        <f>Inputs!$F$271/100*Time!AV24</f>
        <v/>
      </c>
      <c r="AW15" s="16">
        <f>Inputs!$F$271/100*Time!AW24</f>
        <v/>
      </c>
      <c r="AX15" s="16">
        <f>Inputs!$F$271/100*Time!AX24</f>
        <v/>
      </c>
      <c r="AY15" s="16">
        <f>Inputs!$F$271/100*Time!AY24</f>
        <v/>
      </c>
      <c r="AZ15" s="16">
        <f>Inputs!$F$271/100*Time!AZ24</f>
        <v/>
      </c>
      <c r="BA15" s="16">
        <f>Inputs!$F$271/100*Time!BA24</f>
        <v/>
      </c>
      <c r="BB15" s="16">
        <f>Inputs!$F$271/100*Time!BB24</f>
        <v/>
      </c>
      <c r="BC15" s="16">
        <f>Inputs!$F$271/100*Time!BC24</f>
        <v/>
      </c>
      <c r="BD15" s="16">
        <f>Inputs!$F$271/100*Time!BD24</f>
        <v/>
      </c>
      <c r="BE15" s="16">
        <f>Inputs!$F$271/100*Time!BE24</f>
        <v/>
      </c>
      <c r="BF15" s="16">
        <f>Inputs!$F$271/100*Time!BF24</f>
        <v/>
      </c>
      <c r="BG15" s="16">
        <f>Inputs!$F$271/100*Time!BG24</f>
        <v/>
      </c>
      <c r="BH15" s="16">
        <f>Inputs!$F$271/100*Time!BH24</f>
        <v/>
      </c>
      <c r="BI15" s="16">
        <f>Inputs!$F$271/100*Time!BI24</f>
        <v/>
      </c>
      <c r="BJ15" s="16">
        <f>Inputs!$F$271/100*Time!BJ24</f>
        <v/>
      </c>
      <c r="BK15" s="16">
        <f>Inputs!$F$271/100*Time!BK24</f>
        <v/>
      </c>
      <c r="BL15" s="16">
        <f>Inputs!$F$271/100*Time!BL24</f>
        <v/>
      </c>
      <c r="BM15" s="16">
        <f>Inputs!$F$271/100*Time!BM24</f>
        <v/>
      </c>
      <c r="BN15" s="16">
        <f>Inputs!$F$271/100*Time!BN24</f>
        <v/>
      </c>
    </row>
    <row r="16">
      <c r="B16" s="2" t="inlineStr">
        <is>
          <t>Contract repayment profile</t>
        </is>
      </c>
    </row>
    <row r="17">
      <c r="D17" t="inlineStr">
        <is>
          <t>Repayment profile, selected</t>
        </is>
      </c>
      <c r="E17" t="inlineStr">
        <is>
          <t>fraction</t>
        </is>
      </c>
      <c r="J17" s="11">
        <f>IF(Inputs!$F$47=1,Inputs!J298,Inputs!J299)</f>
        <v/>
      </c>
      <c r="K17" s="11">
        <f>IF(Inputs!$F$47=1,Inputs!K298,Inputs!K299)</f>
        <v/>
      </c>
      <c r="L17" s="11">
        <f>IF(Inputs!$F$47=1,Inputs!L298,Inputs!L299)</f>
        <v/>
      </c>
      <c r="M17" s="11">
        <f>IF(Inputs!$F$47=1,Inputs!M298,Inputs!M299)</f>
        <v/>
      </c>
      <c r="N17" s="11">
        <f>IF(Inputs!$F$47=1,Inputs!N298,Inputs!N299)</f>
        <v/>
      </c>
      <c r="O17" s="11">
        <f>IF(Inputs!$F$47=1,Inputs!O298,Inputs!O299)</f>
        <v/>
      </c>
      <c r="P17" s="11">
        <f>IF(Inputs!$F$47=1,Inputs!P298,Inputs!P299)</f>
        <v/>
      </c>
      <c r="Q17" s="11">
        <f>IF(Inputs!$F$47=1,Inputs!Q298,Inputs!Q299)</f>
        <v/>
      </c>
      <c r="R17" s="11">
        <f>IF(Inputs!$F$47=1,Inputs!R298,Inputs!R299)</f>
        <v/>
      </c>
      <c r="S17" s="11">
        <f>IF(Inputs!$F$47=1,Inputs!S298,Inputs!S299)</f>
        <v/>
      </c>
      <c r="T17" s="11">
        <f>IF(Inputs!$F$47=1,Inputs!T298,Inputs!T299)</f>
        <v/>
      </c>
      <c r="U17" s="11">
        <f>IF(Inputs!$F$47=1,Inputs!U298,Inputs!U299)</f>
        <v/>
      </c>
      <c r="V17" s="11">
        <f>IF(Inputs!$F$47=1,Inputs!V298,Inputs!V299)</f>
        <v/>
      </c>
      <c r="W17" s="11">
        <f>IF(Inputs!$F$47=1,Inputs!W298,Inputs!W299)</f>
        <v/>
      </c>
      <c r="X17" s="11">
        <f>IF(Inputs!$F$47=1,Inputs!X298,Inputs!X299)</f>
        <v/>
      </c>
      <c r="Y17" s="11">
        <f>IF(Inputs!$F$47=1,Inputs!Y298,Inputs!Y299)</f>
        <v/>
      </c>
      <c r="Z17" s="11">
        <f>IF(Inputs!$F$47=1,Inputs!Z298,Inputs!Z299)</f>
        <v/>
      </c>
      <c r="AA17" s="11">
        <f>IF(Inputs!$F$47=1,Inputs!AA298,Inputs!AA299)</f>
        <v/>
      </c>
      <c r="AB17" s="11">
        <f>IF(Inputs!$F$47=1,Inputs!AB298,Inputs!AB299)</f>
        <v/>
      </c>
      <c r="AC17" s="11">
        <f>IF(Inputs!$F$47=1,Inputs!AC298,Inputs!AC299)</f>
        <v/>
      </c>
      <c r="AD17" s="11">
        <f>IF(Inputs!$F$47=1,Inputs!AD298,Inputs!AD299)</f>
        <v/>
      </c>
      <c r="AE17" s="11">
        <f>IF(Inputs!$F$47=1,Inputs!AE298,Inputs!AE299)</f>
        <v/>
      </c>
      <c r="AF17" s="11">
        <f>IF(Inputs!$F$47=1,Inputs!AF298,Inputs!AF299)</f>
        <v/>
      </c>
      <c r="AG17" s="11">
        <f>IF(Inputs!$F$47=1,Inputs!AG298,Inputs!AG299)</f>
        <v/>
      </c>
      <c r="AH17" s="11">
        <f>IF(Inputs!$F$47=1,Inputs!AH298,Inputs!AH299)</f>
        <v/>
      </c>
      <c r="AI17" s="11">
        <f>IF(Inputs!$F$47=1,Inputs!AI298,Inputs!AI299)</f>
        <v/>
      </c>
      <c r="AJ17" s="11">
        <f>IF(Inputs!$F$47=1,Inputs!AJ298,Inputs!AJ299)</f>
        <v/>
      </c>
      <c r="AK17" s="11">
        <f>IF(Inputs!$F$47=1,Inputs!AK298,Inputs!AK299)</f>
        <v/>
      </c>
      <c r="AL17" s="11">
        <f>IF(Inputs!$F$47=1,Inputs!AL298,Inputs!AL299)</f>
        <v/>
      </c>
      <c r="AM17" s="11">
        <f>IF(Inputs!$F$47=1,Inputs!AM298,Inputs!AM299)</f>
        <v/>
      </c>
      <c r="AN17" s="11">
        <f>IF(Inputs!$F$47=1,Inputs!AN298,Inputs!AN299)</f>
        <v/>
      </c>
      <c r="AO17" s="11">
        <f>IF(Inputs!$F$47=1,Inputs!AO298,Inputs!AO299)</f>
        <v/>
      </c>
      <c r="AP17" s="11">
        <f>IF(Inputs!$F$47=1,Inputs!AP298,Inputs!AP299)</f>
        <v/>
      </c>
      <c r="AQ17" s="11">
        <f>IF(Inputs!$F$47=1,Inputs!AQ298,Inputs!AQ299)</f>
        <v/>
      </c>
      <c r="AR17" s="11">
        <f>IF(Inputs!$F$47=1,Inputs!AR298,Inputs!AR299)</f>
        <v/>
      </c>
      <c r="AS17" s="11">
        <f>IF(Inputs!$F$47=1,Inputs!AS298,Inputs!AS299)</f>
        <v/>
      </c>
      <c r="AT17" s="11">
        <f>IF(Inputs!$F$47=1,Inputs!AT298,Inputs!AT299)</f>
        <v/>
      </c>
      <c r="AU17" s="11">
        <f>IF(Inputs!$F$47=1,Inputs!AU298,Inputs!AU299)</f>
        <v/>
      </c>
      <c r="AV17" s="11">
        <f>IF(Inputs!$F$47=1,Inputs!AV298,Inputs!AV299)</f>
        <v/>
      </c>
      <c r="AW17" s="11">
        <f>IF(Inputs!$F$47=1,Inputs!AW298,Inputs!AW299)</f>
        <v/>
      </c>
      <c r="AX17" s="11">
        <f>IF(Inputs!$F$47=1,Inputs!AX298,Inputs!AX299)</f>
        <v/>
      </c>
      <c r="AY17" s="11">
        <f>IF(Inputs!$F$47=1,Inputs!AY298,Inputs!AY299)</f>
        <v/>
      </c>
      <c r="AZ17" s="11">
        <f>IF(Inputs!$F$47=1,Inputs!AZ298,Inputs!AZ299)</f>
        <v/>
      </c>
      <c r="BA17" s="11">
        <f>IF(Inputs!$F$47=1,Inputs!BA298,Inputs!BA299)</f>
        <v/>
      </c>
      <c r="BB17" s="11">
        <f>IF(Inputs!$F$47=1,Inputs!BB298,Inputs!BB299)</f>
        <v/>
      </c>
      <c r="BC17" s="11">
        <f>IF(Inputs!$F$47=1,Inputs!BC298,Inputs!BC299)</f>
        <v/>
      </c>
      <c r="BD17" s="11">
        <f>IF(Inputs!$F$47=1,Inputs!BD298,Inputs!BD299)</f>
        <v/>
      </c>
      <c r="BE17" s="11">
        <f>IF(Inputs!$F$47=1,Inputs!BE298,Inputs!BE299)</f>
        <v/>
      </c>
      <c r="BF17" s="11">
        <f>IF(Inputs!$F$47=1,Inputs!BF298,Inputs!BF299)</f>
        <v/>
      </c>
      <c r="BG17" s="11">
        <f>IF(Inputs!$F$47=1,Inputs!BG298,Inputs!BG299)</f>
        <v/>
      </c>
      <c r="BH17" s="11">
        <f>IF(Inputs!$F$47=1,Inputs!BH298,Inputs!BH299)</f>
        <v/>
      </c>
      <c r="BI17" s="11">
        <f>IF(Inputs!$F$47=1,Inputs!BI298,Inputs!BI299)</f>
        <v/>
      </c>
      <c r="BJ17" s="11">
        <f>IF(Inputs!$F$47=1,Inputs!BJ298,Inputs!BJ299)</f>
        <v/>
      </c>
      <c r="BK17" s="11">
        <f>IF(Inputs!$F$47=1,Inputs!BK298,Inputs!BK299)</f>
        <v/>
      </c>
      <c r="BL17" s="11">
        <f>IF(Inputs!$F$47=1,Inputs!BL298,Inputs!BL299)</f>
        <v/>
      </c>
      <c r="BM17" s="11">
        <f>IF(Inputs!$F$47=1,Inputs!BM298,Inputs!BM299)</f>
        <v/>
      </c>
      <c r="BN17" s="11">
        <f>IF(Inputs!$F$47=1,Inputs!BN298,Inputs!BN299)</f>
        <v/>
      </c>
    </row>
    <row r="18">
      <c r="D18" t="inlineStr">
        <is>
          <t>Remaining profile (this and later installments)</t>
        </is>
      </c>
      <c r="E18" t="inlineStr">
        <is>
          <t>fraction</t>
        </is>
      </c>
      <c r="J18" s="11">
        <f>SUM(J17:BN17)</f>
        <v/>
      </c>
      <c r="K18" s="11">
        <f>SUM(K17:BN17)</f>
        <v/>
      </c>
      <c r="L18" s="11">
        <f>SUM(L17:BN17)</f>
        <v/>
      </c>
      <c r="M18" s="11">
        <f>SUM(M17:BN17)</f>
        <v/>
      </c>
      <c r="N18" s="11">
        <f>SUM(N17:BN17)</f>
        <v/>
      </c>
      <c r="O18" s="11">
        <f>SUM(O17:BN17)</f>
        <v/>
      </c>
      <c r="P18" s="11">
        <f>SUM(P17:BN17)</f>
        <v/>
      </c>
      <c r="Q18" s="11">
        <f>SUM(Q17:BN17)</f>
        <v/>
      </c>
      <c r="R18" s="11">
        <f>SUM(R17:BN17)</f>
        <v/>
      </c>
      <c r="S18" s="11">
        <f>SUM(S17:BN17)</f>
        <v/>
      </c>
      <c r="T18" s="11">
        <f>SUM(T17:BN17)</f>
        <v/>
      </c>
      <c r="U18" s="11">
        <f>SUM(U17:BN17)</f>
        <v/>
      </c>
      <c r="V18" s="11">
        <f>SUM(V17:BN17)</f>
        <v/>
      </c>
      <c r="W18" s="11">
        <f>SUM(W17:BN17)</f>
        <v/>
      </c>
      <c r="X18" s="11">
        <f>SUM(X17:BN17)</f>
        <v/>
      </c>
      <c r="Y18" s="11">
        <f>SUM(Y17:BN17)</f>
        <v/>
      </c>
      <c r="Z18" s="11">
        <f>SUM(Z17:BN17)</f>
        <v/>
      </c>
      <c r="AA18" s="11">
        <f>SUM(AA17:BN17)</f>
        <v/>
      </c>
      <c r="AB18" s="11">
        <f>SUM(AB17:BN17)</f>
        <v/>
      </c>
      <c r="AC18" s="11">
        <f>SUM(AC17:BN17)</f>
        <v/>
      </c>
      <c r="AD18" s="11">
        <f>SUM(AD17:BN17)</f>
        <v/>
      </c>
      <c r="AE18" s="11">
        <f>SUM(AE17:BN17)</f>
        <v/>
      </c>
      <c r="AF18" s="11">
        <f>SUM(AF17:BN17)</f>
        <v/>
      </c>
      <c r="AG18" s="11">
        <f>SUM(AG17:BN17)</f>
        <v/>
      </c>
      <c r="AH18" s="11">
        <f>SUM(AH17:BN17)</f>
        <v/>
      </c>
      <c r="AI18" s="11">
        <f>SUM(AI17:BN17)</f>
        <v/>
      </c>
      <c r="AJ18" s="11">
        <f>SUM(AJ17:BN17)</f>
        <v/>
      </c>
      <c r="AK18" s="11">
        <f>SUM(AK17:BN17)</f>
        <v/>
      </c>
      <c r="AL18" s="11">
        <f>SUM(AL17:BN17)</f>
        <v/>
      </c>
      <c r="AM18" s="11">
        <f>SUM(AM17:BN17)</f>
        <v/>
      </c>
      <c r="AN18" s="11">
        <f>SUM(AN17:BN17)</f>
        <v/>
      </c>
      <c r="AO18" s="11">
        <f>SUM(AO17:BN17)</f>
        <v/>
      </c>
      <c r="AP18" s="11">
        <f>SUM(AP17:BN17)</f>
        <v/>
      </c>
      <c r="AQ18" s="11">
        <f>SUM(AQ17:BN17)</f>
        <v/>
      </c>
      <c r="AR18" s="11">
        <f>SUM(AR17:BN17)</f>
        <v/>
      </c>
      <c r="AS18" s="11">
        <f>SUM(AS17:BN17)</f>
        <v/>
      </c>
      <c r="AT18" s="11">
        <f>SUM(AT17:BN17)</f>
        <v/>
      </c>
      <c r="AU18" s="11">
        <f>SUM(AU17:BN17)</f>
        <v/>
      </c>
      <c r="AV18" s="11">
        <f>SUM(AV17:BN17)</f>
        <v/>
      </c>
      <c r="AW18" s="11">
        <f>SUM(AW17:BN17)</f>
        <v/>
      </c>
      <c r="AX18" s="11">
        <f>SUM(AX17:BN17)</f>
        <v/>
      </c>
      <c r="AY18" s="11">
        <f>SUM(AY17:BN17)</f>
        <v/>
      </c>
      <c r="AZ18" s="11">
        <f>SUM(AZ17:BN17)</f>
        <v/>
      </c>
      <c r="BA18" s="11">
        <f>SUM(BA17:BN17)</f>
        <v/>
      </c>
      <c r="BB18" s="11">
        <f>SUM(BB17:BN17)</f>
        <v/>
      </c>
      <c r="BC18" s="11">
        <f>SUM(BC17:BN17)</f>
        <v/>
      </c>
      <c r="BD18" s="11">
        <f>SUM(BD17:BN17)</f>
        <v/>
      </c>
      <c r="BE18" s="11">
        <f>SUM(BE17:BN17)</f>
        <v/>
      </c>
      <c r="BF18" s="11">
        <f>SUM(BF17:BN17)</f>
        <v/>
      </c>
      <c r="BG18" s="11">
        <f>SUM(BG17:BN17)</f>
        <v/>
      </c>
      <c r="BH18" s="11">
        <f>SUM(BH17:BN17)</f>
        <v/>
      </c>
      <c r="BI18" s="11">
        <f>SUM(BI17:BN17)</f>
        <v/>
      </c>
      <c r="BJ18" s="11">
        <f>SUM(BJ17:BN17)</f>
        <v/>
      </c>
      <c r="BK18" s="11">
        <f>SUM(BK17:BN17)</f>
        <v/>
      </c>
      <c r="BL18" s="11">
        <f>SUM(BL17:BN17)</f>
        <v/>
      </c>
      <c r="BM18" s="11">
        <f>SUM(BM17:BN17)</f>
        <v/>
      </c>
      <c r="BN18" s="11">
        <f>SUM(BN17:BN17)</f>
        <v/>
      </c>
    </row>
    <row r="19">
      <c r="D19" t="inlineStr">
        <is>
          <t>Installment share of remaining balance</t>
        </is>
      </c>
      <c r="E19" t="inlineStr">
        <is>
          <t>fraction</t>
        </is>
      </c>
      <c r="J19" s="11">
        <f>IF(J18&gt;Inputs!$F$253,J17/J18,0)</f>
        <v/>
      </c>
      <c r="K19" s="11">
        <f>IF(K18&gt;Inputs!$F$253,K17/K18,0)</f>
        <v/>
      </c>
      <c r="L19" s="11">
        <f>IF(L18&gt;Inputs!$F$253,L17/L18,0)</f>
        <v/>
      </c>
      <c r="M19" s="11">
        <f>IF(M18&gt;Inputs!$F$253,M17/M18,0)</f>
        <v/>
      </c>
      <c r="N19" s="11">
        <f>IF(N18&gt;Inputs!$F$253,N17/N18,0)</f>
        <v/>
      </c>
      <c r="O19" s="11">
        <f>IF(O18&gt;Inputs!$F$253,O17/O18,0)</f>
        <v/>
      </c>
      <c r="P19" s="11">
        <f>IF(P18&gt;Inputs!$F$253,P17/P18,0)</f>
        <v/>
      </c>
      <c r="Q19" s="11">
        <f>IF(Q18&gt;Inputs!$F$253,Q17/Q18,0)</f>
        <v/>
      </c>
      <c r="R19" s="11">
        <f>IF(R18&gt;Inputs!$F$253,R17/R18,0)</f>
        <v/>
      </c>
      <c r="S19" s="11">
        <f>IF(S18&gt;Inputs!$F$253,S17/S18,0)</f>
        <v/>
      </c>
      <c r="T19" s="11">
        <f>IF(T18&gt;Inputs!$F$253,T17/T18,0)</f>
        <v/>
      </c>
      <c r="U19" s="11">
        <f>IF(U18&gt;Inputs!$F$253,U17/U18,0)</f>
        <v/>
      </c>
      <c r="V19" s="11">
        <f>IF(V18&gt;Inputs!$F$253,V17/V18,0)</f>
        <v/>
      </c>
      <c r="W19" s="11">
        <f>IF(W18&gt;Inputs!$F$253,W17/W18,0)</f>
        <v/>
      </c>
      <c r="X19" s="11">
        <f>IF(X18&gt;Inputs!$F$253,X17/X18,0)</f>
        <v/>
      </c>
      <c r="Y19" s="11">
        <f>IF(Y18&gt;Inputs!$F$253,Y17/Y18,0)</f>
        <v/>
      </c>
      <c r="Z19" s="11">
        <f>IF(Z18&gt;Inputs!$F$253,Z17/Z18,0)</f>
        <v/>
      </c>
      <c r="AA19" s="11">
        <f>IF(AA18&gt;Inputs!$F$253,AA17/AA18,0)</f>
        <v/>
      </c>
      <c r="AB19" s="11">
        <f>IF(AB18&gt;Inputs!$F$253,AB17/AB18,0)</f>
        <v/>
      </c>
      <c r="AC19" s="11">
        <f>IF(AC18&gt;Inputs!$F$253,AC17/AC18,0)</f>
        <v/>
      </c>
      <c r="AD19" s="11">
        <f>IF(AD18&gt;Inputs!$F$253,AD17/AD18,0)</f>
        <v/>
      </c>
      <c r="AE19" s="11">
        <f>IF(AE18&gt;Inputs!$F$253,AE17/AE18,0)</f>
        <v/>
      </c>
      <c r="AF19" s="11">
        <f>IF(AF18&gt;Inputs!$F$253,AF17/AF18,0)</f>
        <v/>
      </c>
      <c r="AG19" s="11">
        <f>IF(AG18&gt;Inputs!$F$253,AG17/AG18,0)</f>
        <v/>
      </c>
      <c r="AH19" s="11">
        <f>IF(AH18&gt;Inputs!$F$253,AH17/AH18,0)</f>
        <v/>
      </c>
      <c r="AI19" s="11">
        <f>IF(AI18&gt;Inputs!$F$253,AI17/AI18,0)</f>
        <v/>
      </c>
      <c r="AJ19" s="11">
        <f>IF(AJ18&gt;Inputs!$F$253,AJ17/AJ18,0)</f>
        <v/>
      </c>
      <c r="AK19" s="11">
        <f>IF(AK18&gt;Inputs!$F$253,AK17/AK18,0)</f>
        <v/>
      </c>
      <c r="AL19" s="11">
        <f>IF(AL18&gt;Inputs!$F$253,AL17/AL18,0)</f>
        <v/>
      </c>
      <c r="AM19" s="11">
        <f>IF(AM18&gt;Inputs!$F$253,AM17/AM18,0)</f>
        <v/>
      </c>
      <c r="AN19" s="11">
        <f>IF(AN18&gt;Inputs!$F$253,AN17/AN18,0)</f>
        <v/>
      </c>
      <c r="AO19" s="11">
        <f>IF(AO18&gt;Inputs!$F$253,AO17/AO18,0)</f>
        <v/>
      </c>
      <c r="AP19" s="11">
        <f>IF(AP18&gt;Inputs!$F$253,AP17/AP18,0)</f>
        <v/>
      </c>
      <c r="AQ19" s="11">
        <f>IF(AQ18&gt;Inputs!$F$253,AQ17/AQ18,0)</f>
        <v/>
      </c>
      <c r="AR19" s="11">
        <f>IF(AR18&gt;Inputs!$F$253,AR17/AR18,0)</f>
        <v/>
      </c>
      <c r="AS19" s="11">
        <f>IF(AS18&gt;Inputs!$F$253,AS17/AS18,0)</f>
        <v/>
      </c>
      <c r="AT19" s="11">
        <f>IF(AT18&gt;Inputs!$F$253,AT17/AT18,0)</f>
        <v/>
      </c>
      <c r="AU19" s="11">
        <f>IF(AU18&gt;Inputs!$F$253,AU17/AU18,0)</f>
        <v/>
      </c>
      <c r="AV19" s="11">
        <f>IF(AV18&gt;Inputs!$F$253,AV17/AV18,0)</f>
        <v/>
      </c>
      <c r="AW19" s="11">
        <f>IF(AW18&gt;Inputs!$F$253,AW17/AW18,0)</f>
        <v/>
      </c>
      <c r="AX19" s="11">
        <f>IF(AX18&gt;Inputs!$F$253,AX17/AX18,0)</f>
        <v/>
      </c>
      <c r="AY19" s="11">
        <f>IF(AY18&gt;Inputs!$F$253,AY17/AY18,0)</f>
        <v/>
      </c>
      <c r="AZ19" s="11">
        <f>IF(AZ18&gt;Inputs!$F$253,AZ17/AZ18,0)</f>
        <v/>
      </c>
      <c r="BA19" s="11">
        <f>IF(BA18&gt;Inputs!$F$253,BA17/BA18,0)</f>
        <v/>
      </c>
      <c r="BB19" s="11">
        <f>IF(BB18&gt;Inputs!$F$253,BB17/BB18,0)</f>
        <v/>
      </c>
      <c r="BC19" s="11">
        <f>IF(BC18&gt;Inputs!$F$253,BC17/BC18,0)</f>
        <v/>
      </c>
      <c r="BD19" s="11">
        <f>IF(BD18&gt;Inputs!$F$253,BD17/BD18,0)</f>
        <v/>
      </c>
      <c r="BE19" s="11">
        <f>IF(BE18&gt;Inputs!$F$253,BE17/BE18,0)</f>
        <v/>
      </c>
      <c r="BF19" s="11">
        <f>IF(BF18&gt;Inputs!$F$253,BF17/BF18,0)</f>
        <v/>
      </c>
      <c r="BG19" s="11">
        <f>IF(BG18&gt;Inputs!$F$253,BG17/BG18,0)</f>
        <v/>
      </c>
      <c r="BH19" s="11">
        <f>IF(BH18&gt;Inputs!$F$253,BH17/BH18,0)</f>
        <v/>
      </c>
      <c r="BI19" s="11">
        <f>IF(BI18&gt;Inputs!$F$253,BI17/BI18,0)</f>
        <v/>
      </c>
      <c r="BJ19" s="11">
        <f>IF(BJ18&gt;Inputs!$F$253,BJ17/BJ18,0)</f>
        <v/>
      </c>
      <c r="BK19" s="11">
        <f>IF(BK18&gt;Inputs!$F$253,BK17/BK18,0)</f>
        <v/>
      </c>
      <c r="BL19" s="11">
        <f>IF(BL18&gt;Inputs!$F$253,BL17/BL18,0)</f>
        <v/>
      </c>
      <c r="BM19" s="11">
        <f>IF(BM18&gt;Inputs!$F$253,BM17/BM18,0)</f>
        <v/>
      </c>
      <c r="BN19" s="11">
        <f>IF(BN18&gt;Inputs!$F$253,BN17/BN18,0)</f>
        <v/>
      </c>
    </row>
    <row r="20">
      <c r="B20" s="2" t="inlineStr">
        <is>
          <t>ECA-covered tranche</t>
        </is>
      </c>
    </row>
    <row r="21">
      <c r="D21" t="inlineStr">
        <is>
          <t>Opening balance</t>
        </is>
      </c>
      <c r="E21" t="inlineStr">
        <is>
          <t>USD m</t>
        </is>
      </c>
      <c r="J21" s="13">
        <f>Time!J35*I33</f>
        <v/>
      </c>
      <c r="K21" s="13">
        <f>Time!K35*J33</f>
        <v/>
      </c>
      <c r="L21" s="13">
        <f>Time!L35*K33</f>
        <v/>
      </c>
      <c r="M21" s="13">
        <f>Time!M35*L33</f>
        <v/>
      </c>
      <c r="N21" s="13">
        <f>Time!N35*M33</f>
        <v/>
      </c>
      <c r="O21" s="13">
        <f>Time!O35*N33</f>
        <v/>
      </c>
      <c r="P21" s="13">
        <f>Time!P35*O33</f>
        <v/>
      </c>
      <c r="Q21" s="13">
        <f>Time!Q35*P33</f>
        <v/>
      </c>
      <c r="R21" s="13">
        <f>Time!R35*Q33</f>
        <v/>
      </c>
      <c r="S21" s="13">
        <f>Time!S35*R33</f>
        <v/>
      </c>
      <c r="T21" s="13">
        <f>Time!T35*S33</f>
        <v/>
      </c>
      <c r="U21" s="13">
        <f>Time!U35*T33</f>
        <v/>
      </c>
      <c r="V21" s="13">
        <f>Time!V35*U33</f>
        <v/>
      </c>
      <c r="W21" s="13">
        <f>Time!W35*V33</f>
        <v/>
      </c>
      <c r="X21" s="13">
        <f>Time!X35*W33</f>
        <v/>
      </c>
      <c r="Y21" s="13">
        <f>Time!Y35*X33</f>
        <v/>
      </c>
      <c r="Z21" s="13">
        <f>Time!Z35*Y33</f>
        <v/>
      </c>
      <c r="AA21" s="13">
        <f>Time!AA35*Z33</f>
        <v/>
      </c>
      <c r="AB21" s="13">
        <f>Time!AB35*AA33</f>
        <v/>
      </c>
      <c r="AC21" s="13">
        <f>Time!AC35*AB33</f>
        <v/>
      </c>
      <c r="AD21" s="13">
        <f>Time!AD35*AC33</f>
        <v/>
      </c>
      <c r="AE21" s="13">
        <f>Time!AE35*AD33</f>
        <v/>
      </c>
      <c r="AF21" s="13">
        <f>Time!AF35*AE33</f>
        <v/>
      </c>
      <c r="AG21" s="13">
        <f>Time!AG35*AF33</f>
        <v/>
      </c>
      <c r="AH21" s="13">
        <f>Time!AH35*AG33</f>
        <v/>
      </c>
      <c r="AI21" s="13">
        <f>Time!AI35*AH33</f>
        <v/>
      </c>
      <c r="AJ21" s="13">
        <f>Time!AJ35*AI33</f>
        <v/>
      </c>
      <c r="AK21" s="13">
        <f>Time!AK35*AJ33</f>
        <v/>
      </c>
      <c r="AL21" s="13">
        <f>Time!AL35*AK33</f>
        <v/>
      </c>
      <c r="AM21" s="13">
        <f>Time!AM35*AL33</f>
        <v/>
      </c>
      <c r="AN21" s="13">
        <f>Time!AN35*AM33</f>
        <v/>
      </c>
      <c r="AO21" s="13">
        <f>Time!AO35*AN33</f>
        <v/>
      </c>
      <c r="AP21" s="13">
        <f>Time!AP35*AO33</f>
        <v/>
      </c>
      <c r="AQ21" s="13">
        <f>Time!AQ35*AP33</f>
        <v/>
      </c>
      <c r="AR21" s="13">
        <f>Time!AR35*AQ33</f>
        <v/>
      </c>
      <c r="AS21" s="13">
        <f>Time!AS35*AR33</f>
        <v/>
      </c>
      <c r="AT21" s="13">
        <f>Time!AT35*AS33</f>
        <v/>
      </c>
      <c r="AU21" s="13">
        <f>Time!AU35*AT33</f>
        <v/>
      </c>
      <c r="AV21" s="13">
        <f>Time!AV35*AU33</f>
        <v/>
      </c>
      <c r="AW21" s="13">
        <f>Time!AW35*AV33</f>
        <v/>
      </c>
      <c r="AX21" s="13">
        <f>Time!AX35*AW33</f>
        <v/>
      </c>
      <c r="AY21" s="13">
        <f>Time!AY35*AX33</f>
        <v/>
      </c>
      <c r="AZ21" s="13">
        <f>Time!AZ35*AY33</f>
        <v/>
      </c>
      <c r="BA21" s="13">
        <f>Time!BA35*AZ33</f>
        <v/>
      </c>
      <c r="BB21" s="13">
        <f>Time!BB35*BA33</f>
        <v/>
      </c>
      <c r="BC21" s="13">
        <f>Time!BC35*BB33</f>
        <v/>
      </c>
      <c r="BD21" s="13">
        <f>Time!BD35*BC33</f>
        <v/>
      </c>
      <c r="BE21" s="13">
        <f>Time!BE35*BD33</f>
        <v/>
      </c>
      <c r="BF21" s="13">
        <f>Time!BF35*BE33</f>
        <v/>
      </c>
      <c r="BG21" s="13">
        <f>Time!BG35*BF33</f>
        <v/>
      </c>
      <c r="BH21" s="13">
        <f>Time!BH35*BG33</f>
        <v/>
      </c>
      <c r="BI21" s="13">
        <f>Time!BI35*BH33</f>
        <v/>
      </c>
      <c r="BJ21" s="13">
        <f>Time!BJ35*BI33</f>
        <v/>
      </c>
      <c r="BK21" s="13">
        <f>Time!BK35*BJ33</f>
        <v/>
      </c>
      <c r="BL21" s="13">
        <f>Time!BL35*BK33</f>
        <v/>
      </c>
      <c r="BM21" s="13">
        <f>Time!BM35*BL33</f>
        <v/>
      </c>
      <c r="BN21" s="13">
        <f>Time!BN35*BM33</f>
        <v/>
      </c>
    </row>
    <row r="22">
      <c r="D22" t="inlineStr">
        <is>
          <t>Deferred principal, opening</t>
        </is>
      </c>
      <c r="E22" t="inlineStr">
        <is>
          <t>USD m</t>
        </is>
      </c>
      <c r="J22" s="13">
        <f>I30</f>
        <v/>
      </c>
      <c r="K22" s="13">
        <f>J30</f>
        <v/>
      </c>
      <c r="L22" s="13">
        <f>K30</f>
        <v/>
      </c>
      <c r="M22" s="13">
        <f>L30</f>
        <v/>
      </c>
      <c r="N22" s="13">
        <f>M30</f>
        <v/>
      </c>
      <c r="O22" s="13">
        <f>N30</f>
        <v/>
      </c>
      <c r="P22" s="13">
        <f>O30</f>
        <v/>
      </c>
      <c r="Q22" s="13">
        <f>P30</f>
        <v/>
      </c>
      <c r="R22" s="13">
        <f>Q30</f>
        <v/>
      </c>
      <c r="S22" s="13">
        <f>R30</f>
        <v/>
      </c>
      <c r="T22" s="13">
        <f>S30</f>
        <v/>
      </c>
      <c r="U22" s="13">
        <f>T30</f>
        <v/>
      </c>
      <c r="V22" s="13">
        <f>U30</f>
        <v/>
      </c>
      <c r="W22" s="13">
        <f>V30</f>
        <v/>
      </c>
      <c r="X22" s="13">
        <f>W30</f>
        <v/>
      </c>
      <c r="Y22" s="13">
        <f>X30</f>
        <v/>
      </c>
      <c r="Z22" s="13">
        <f>Y30</f>
        <v/>
      </c>
      <c r="AA22" s="13">
        <f>Z30</f>
        <v/>
      </c>
      <c r="AB22" s="13">
        <f>AA30</f>
        <v/>
      </c>
      <c r="AC22" s="13">
        <f>AB30</f>
        <v/>
      </c>
      <c r="AD22" s="13">
        <f>AC30</f>
        <v/>
      </c>
      <c r="AE22" s="13">
        <f>AD30</f>
        <v/>
      </c>
      <c r="AF22" s="13">
        <f>AE30</f>
        <v/>
      </c>
      <c r="AG22" s="13">
        <f>AF30</f>
        <v/>
      </c>
      <c r="AH22" s="13">
        <f>AG30</f>
        <v/>
      </c>
      <c r="AI22" s="13">
        <f>AH30</f>
        <v/>
      </c>
      <c r="AJ22" s="13">
        <f>AI30</f>
        <v/>
      </c>
      <c r="AK22" s="13">
        <f>AJ30</f>
        <v/>
      </c>
      <c r="AL22" s="13">
        <f>AK30</f>
        <v/>
      </c>
      <c r="AM22" s="13">
        <f>AL30</f>
        <v/>
      </c>
      <c r="AN22" s="13">
        <f>AM30</f>
        <v/>
      </c>
      <c r="AO22" s="13">
        <f>AN30</f>
        <v/>
      </c>
      <c r="AP22" s="13">
        <f>AO30</f>
        <v/>
      </c>
      <c r="AQ22" s="13">
        <f>AP30</f>
        <v/>
      </c>
      <c r="AR22" s="13">
        <f>AQ30</f>
        <v/>
      </c>
      <c r="AS22" s="13">
        <f>AR30</f>
        <v/>
      </c>
      <c r="AT22" s="13">
        <f>AS30</f>
        <v/>
      </c>
      <c r="AU22" s="13">
        <f>AT30</f>
        <v/>
      </c>
      <c r="AV22" s="13">
        <f>AU30</f>
        <v/>
      </c>
      <c r="AW22" s="13">
        <f>AV30</f>
        <v/>
      </c>
      <c r="AX22" s="13">
        <f>AW30</f>
        <v/>
      </c>
      <c r="AY22" s="13">
        <f>AX30</f>
        <v/>
      </c>
      <c r="AZ22" s="13">
        <f>AY30</f>
        <v/>
      </c>
      <c r="BA22" s="13">
        <f>AZ30</f>
        <v/>
      </c>
      <c r="BB22" s="13">
        <f>BA30</f>
        <v/>
      </c>
      <c r="BC22" s="13">
        <f>BB30</f>
        <v/>
      </c>
      <c r="BD22" s="13">
        <f>BC30</f>
        <v/>
      </c>
      <c r="BE22" s="13">
        <f>BD30</f>
        <v/>
      </c>
      <c r="BF22" s="13">
        <f>BE30</f>
        <v/>
      </c>
      <c r="BG22" s="13">
        <f>BF30</f>
        <v/>
      </c>
      <c r="BH22" s="13">
        <f>BG30</f>
        <v/>
      </c>
      <c r="BI22" s="13">
        <f>BH30</f>
        <v/>
      </c>
      <c r="BJ22" s="13">
        <f>BI30</f>
        <v/>
      </c>
      <c r="BK22" s="13">
        <f>BJ30</f>
        <v/>
      </c>
      <c r="BL22" s="13">
        <f>BK30</f>
        <v/>
      </c>
      <c r="BM22" s="13">
        <f>BL30</f>
        <v/>
      </c>
      <c r="BN22" s="13">
        <f>BM30</f>
        <v/>
      </c>
    </row>
    <row r="23">
      <c r="D23" t="inlineStr">
        <is>
          <t>Interest (incl. WHT gross-up where applicable)</t>
        </is>
      </c>
      <c r="E23" t="inlineStr">
        <is>
          <t>USD m</t>
        </is>
      </c>
      <c r="G23" s="13">
        <f>SUM(J23:BN23)</f>
        <v/>
      </c>
      <c r="J23" s="13">
        <f>J21*J10</f>
        <v/>
      </c>
      <c r="K23" s="13">
        <f>K21*K10</f>
        <v/>
      </c>
      <c r="L23" s="13">
        <f>L21*L10</f>
        <v/>
      </c>
      <c r="M23" s="13">
        <f>M21*M10</f>
        <v/>
      </c>
      <c r="N23" s="13">
        <f>N21*N10</f>
        <v/>
      </c>
      <c r="O23" s="13">
        <f>O21*O10</f>
        <v/>
      </c>
      <c r="P23" s="13">
        <f>P21*P10</f>
        <v/>
      </c>
      <c r="Q23" s="13">
        <f>Q21*Q10</f>
        <v/>
      </c>
      <c r="R23" s="13">
        <f>R21*R10</f>
        <v/>
      </c>
      <c r="S23" s="13">
        <f>S21*S10</f>
        <v/>
      </c>
      <c r="T23" s="13">
        <f>T21*T10</f>
        <v/>
      </c>
      <c r="U23" s="13">
        <f>U21*U10</f>
        <v/>
      </c>
      <c r="V23" s="13">
        <f>V21*V10</f>
        <v/>
      </c>
      <c r="W23" s="13">
        <f>W21*W10</f>
        <v/>
      </c>
      <c r="X23" s="13">
        <f>X21*X10</f>
        <v/>
      </c>
      <c r="Y23" s="13">
        <f>Y21*Y10</f>
        <v/>
      </c>
      <c r="Z23" s="13">
        <f>Z21*Z10</f>
        <v/>
      </c>
      <c r="AA23" s="13">
        <f>AA21*AA10</f>
        <v/>
      </c>
      <c r="AB23" s="13">
        <f>AB21*AB10</f>
        <v/>
      </c>
      <c r="AC23" s="13">
        <f>AC21*AC10</f>
        <v/>
      </c>
      <c r="AD23" s="13">
        <f>AD21*AD10</f>
        <v/>
      </c>
      <c r="AE23" s="13">
        <f>AE21*AE10</f>
        <v/>
      </c>
      <c r="AF23" s="13">
        <f>AF21*AF10</f>
        <v/>
      </c>
      <c r="AG23" s="13">
        <f>AG21*AG10</f>
        <v/>
      </c>
      <c r="AH23" s="13">
        <f>AH21*AH10</f>
        <v/>
      </c>
      <c r="AI23" s="13">
        <f>AI21*AI10</f>
        <v/>
      </c>
      <c r="AJ23" s="13">
        <f>AJ21*AJ10</f>
        <v/>
      </c>
      <c r="AK23" s="13">
        <f>AK21*AK10</f>
        <v/>
      </c>
      <c r="AL23" s="13">
        <f>AL21*AL10</f>
        <v/>
      </c>
      <c r="AM23" s="13">
        <f>AM21*AM10</f>
        <v/>
      </c>
      <c r="AN23" s="13">
        <f>AN21*AN10</f>
        <v/>
      </c>
      <c r="AO23" s="13">
        <f>AO21*AO10</f>
        <v/>
      </c>
      <c r="AP23" s="13">
        <f>AP21*AP10</f>
        <v/>
      </c>
      <c r="AQ23" s="13">
        <f>AQ21*AQ10</f>
        <v/>
      </c>
      <c r="AR23" s="13">
        <f>AR21*AR10</f>
        <v/>
      </c>
      <c r="AS23" s="13">
        <f>AS21*AS10</f>
        <v/>
      </c>
      <c r="AT23" s="13">
        <f>AT21*AT10</f>
        <v/>
      </c>
      <c r="AU23" s="13">
        <f>AU21*AU10</f>
        <v/>
      </c>
      <c r="AV23" s="13">
        <f>AV21*AV10</f>
        <v/>
      </c>
      <c r="AW23" s="13">
        <f>AW21*AW10</f>
        <v/>
      </c>
      <c r="AX23" s="13">
        <f>AX21*AX10</f>
        <v/>
      </c>
      <c r="AY23" s="13">
        <f>AY21*AY10</f>
        <v/>
      </c>
      <c r="AZ23" s="13">
        <f>AZ21*AZ10</f>
        <v/>
      </c>
      <c r="BA23" s="13">
        <f>BA21*BA10</f>
        <v/>
      </c>
      <c r="BB23" s="13">
        <f>BB21*BB10</f>
        <v/>
      </c>
      <c r="BC23" s="13">
        <f>BC21*BC10</f>
        <v/>
      </c>
      <c r="BD23" s="13">
        <f>BD21*BD10</f>
        <v/>
      </c>
      <c r="BE23" s="13">
        <f>BE21*BE10</f>
        <v/>
      </c>
      <c r="BF23" s="13">
        <f>BF21*BF10</f>
        <v/>
      </c>
      <c r="BG23" s="13">
        <f>BG21*BG10</f>
        <v/>
      </c>
      <c r="BH23" s="13">
        <f>BH21*BH10</f>
        <v/>
      </c>
      <c r="BI23" s="13">
        <f>BI21*BI10</f>
        <v/>
      </c>
      <c r="BJ23" s="13">
        <f>BJ21*BJ10</f>
        <v/>
      </c>
      <c r="BK23" s="13">
        <f>BK21*BK10</f>
        <v/>
      </c>
      <c r="BL23" s="13">
        <f>BL21*BL10</f>
        <v/>
      </c>
      <c r="BM23" s="13">
        <f>BM21*BM10</f>
        <v/>
      </c>
      <c r="BN23" s="13">
        <f>BN21*BN10</f>
        <v/>
      </c>
    </row>
    <row r="24">
      <c r="D24" t="inlineStr">
        <is>
          <t>Scheduled principal per profile</t>
        </is>
      </c>
      <c r="E24" t="inlineStr">
        <is>
          <t>USD m</t>
        </is>
      </c>
      <c r="G24" s="13">
        <f>SUM(J24:BN24)</f>
        <v/>
      </c>
      <c r="J24" s="13">
        <f>Time!J35*(J21-J22)*J19</f>
        <v/>
      </c>
      <c r="K24" s="13">
        <f>Time!K35*(K21-K22)*K19</f>
        <v/>
      </c>
      <c r="L24" s="13">
        <f>Time!L35*(L21-L22)*L19</f>
        <v/>
      </c>
      <c r="M24" s="13">
        <f>Time!M35*(M21-M22)*M19</f>
        <v/>
      </c>
      <c r="N24" s="13">
        <f>Time!N35*(N21-N22)*N19</f>
        <v/>
      </c>
      <c r="O24" s="13">
        <f>Time!O35*(O21-O22)*O19</f>
        <v/>
      </c>
      <c r="P24" s="13">
        <f>Time!P35*(P21-P22)*P19</f>
        <v/>
      </c>
      <c r="Q24" s="13">
        <f>Time!Q35*(Q21-Q22)*Q19</f>
        <v/>
      </c>
      <c r="R24" s="13">
        <f>Time!R35*(R21-R22)*R19</f>
        <v/>
      </c>
      <c r="S24" s="13">
        <f>Time!S35*(S21-S22)*S19</f>
        <v/>
      </c>
      <c r="T24" s="13">
        <f>Time!T35*(T21-T22)*T19</f>
        <v/>
      </c>
      <c r="U24" s="13">
        <f>Time!U35*(U21-U22)*U19</f>
        <v/>
      </c>
      <c r="V24" s="13">
        <f>Time!V35*(V21-V22)*V19</f>
        <v/>
      </c>
      <c r="W24" s="13">
        <f>Time!W35*(W21-W22)*W19</f>
        <v/>
      </c>
      <c r="X24" s="13">
        <f>Time!X35*(X21-X22)*X19</f>
        <v/>
      </c>
      <c r="Y24" s="13">
        <f>Time!Y35*(Y21-Y22)*Y19</f>
        <v/>
      </c>
      <c r="Z24" s="13">
        <f>Time!Z35*(Z21-Z22)*Z19</f>
        <v/>
      </c>
      <c r="AA24" s="13">
        <f>Time!AA35*(AA21-AA22)*AA19</f>
        <v/>
      </c>
      <c r="AB24" s="13">
        <f>Time!AB35*(AB21-AB22)*AB19</f>
        <v/>
      </c>
      <c r="AC24" s="13">
        <f>Time!AC35*(AC21-AC22)*AC19</f>
        <v/>
      </c>
      <c r="AD24" s="13">
        <f>Time!AD35*(AD21-AD22)*AD19</f>
        <v/>
      </c>
      <c r="AE24" s="13">
        <f>Time!AE35*(AE21-AE22)*AE19</f>
        <v/>
      </c>
      <c r="AF24" s="13">
        <f>Time!AF35*(AF21-AF22)*AF19</f>
        <v/>
      </c>
      <c r="AG24" s="13">
        <f>Time!AG35*(AG21-AG22)*AG19</f>
        <v/>
      </c>
      <c r="AH24" s="13">
        <f>Time!AH35*(AH21-AH22)*AH19</f>
        <v/>
      </c>
      <c r="AI24" s="13">
        <f>Time!AI35*(AI21-AI22)*AI19</f>
        <v/>
      </c>
      <c r="AJ24" s="13">
        <f>Time!AJ35*(AJ21-AJ22)*AJ19</f>
        <v/>
      </c>
      <c r="AK24" s="13">
        <f>Time!AK35*(AK21-AK22)*AK19</f>
        <v/>
      </c>
      <c r="AL24" s="13">
        <f>Time!AL35*(AL21-AL22)*AL19</f>
        <v/>
      </c>
      <c r="AM24" s="13">
        <f>Time!AM35*(AM21-AM22)*AM19</f>
        <v/>
      </c>
      <c r="AN24" s="13">
        <f>Time!AN35*(AN21-AN22)*AN19</f>
        <v/>
      </c>
      <c r="AO24" s="13">
        <f>Time!AO35*(AO21-AO22)*AO19</f>
        <v/>
      </c>
      <c r="AP24" s="13">
        <f>Time!AP35*(AP21-AP22)*AP19</f>
        <v/>
      </c>
      <c r="AQ24" s="13">
        <f>Time!AQ35*(AQ21-AQ22)*AQ19</f>
        <v/>
      </c>
      <c r="AR24" s="13">
        <f>Time!AR35*(AR21-AR22)*AR19</f>
        <v/>
      </c>
      <c r="AS24" s="13">
        <f>Time!AS35*(AS21-AS22)*AS19</f>
        <v/>
      </c>
      <c r="AT24" s="13">
        <f>Time!AT35*(AT21-AT22)*AT19</f>
        <v/>
      </c>
      <c r="AU24" s="13">
        <f>Time!AU35*(AU21-AU22)*AU19</f>
        <v/>
      </c>
      <c r="AV24" s="13">
        <f>Time!AV35*(AV21-AV22)*AV19</f>
        <v/>
      </c>
      <c r="AW24" s="13">
        <f>Time!AW35*(AW21-AW22)*AW19</f>
        <v/>
      </c>
      <c r="AX24" s="13">
        <f>Time!AX35*(AX21-AX22)*AX19</f>
        <v/>
      </c>
      <c r="AY24" s="13">
        <f>Time!AY35*(AY21-AY22)*AY19</f>
        <v/>
      </c>
      <c r="AZ24" s="13">
        <f>Time!AZ35*(AZ21-AZ22)*AZ19</f>
        <v/>
      </c>
      <c r="BA24" s="13">
        <f>Time!BA35*(BA21-BA22)*BA19</f>
        <v/>
      </c>
      <c r="BB24" s="13">
        <f>Time!BB35*(BB21-BB22)*BB19</f>
        <v/>
      </c>
      <c r="BC24" s="13">
        <f>Time!BC35*(BC21-BC22)*BC19</f>
        <v/>
      </c>
      <c r="BD24" s="13">
        <f>Time!BD35*(BD21-BD22)*BD19</f>
        <v/>
      </c>
      <c r="BE24" s="13">
        <f>Time!BE35*(BE21-BE22)*BE19</f>
        <v/>
      </c>
      <c r="BF24" s="13">
        <f>Time!BF35*(BF21-BF22)*BF19</f>
        <v/>
      </c>
      <c r="BG24" s="13">
        <f>Time!BG35*(BG21-BG22)*BG19</f>
        <v/>
      </c>
      <c r="BH24" s="13">
        <f>Time!BH35*(BH21-BH22)*BH19</f>
        <v/>
      </c>
      <c r="BI24" s="13">
        <f>Time!BI35*(BI21-BI22)*BI19</f>
        <v/>
      </c>
      <c r="BJ24" s="13">
        <f>Time!BJ35*(BJ21-BJ22)*BJ19</f>
        <v/>
      </c>
      <c r="BK24" s="13">
        <f>Time!BK35*(BK21-BK22)*BK19</f>
        <v/>
      </c>
      <c r="BL24" s="13">
        <f>Time!BL35*(BL21-BL22)*BL19</f>
        <v/>
      </c>
      <c r="BM24" s="13">
        <f>Time!BM35*(BM21-BM22)*BM19</f>
        <v/>
      </c>
      <c r="BN24" s="13">
        <f>Time!BN35*(BN21-BN22)*BN19</f>
        <v/>
      </c>
    </row>
    <row r="25">
      <c r="D25" t="inlineStr">
        <is>
          <t>Principal deferred under the waiver</t>
        </is>
      </c>
      <c r="E25" t="inlineStr">
        <is>
          <t>USD m</t>
        </is>
      </c>
      <c r="G25" s="13">
        <f>SUM(J25:BN25)</f>
        <v/>
      </c>
      <c r="J25" s="13">
        <f>Time!J43*Inputs!$F$270*J24</f>
        <v/>
      </c>
      <c r="K25" s="13">
        <f>Time!K43*Inputs!$F$270*K24</f>
        <v/>
      </c>
      <c r="L25" s="13">
        <f>Time!L43*Inputs!$F$270*L24</f>
        <v/>
      </c>
      <c r="M25" s="13">
        <f>Time!M43*Inputs!$F$270*M24</f>
        <v/>
      </c>
      <c r="N25" s="13">
        <f>Time!N43*Inputs!$F$270*N24</f>
        <v/>
      </c>
      <c r="O25" s="13">
        <f>Time!O43*Inputs!$F$270*O24</f>
        <v/>
      </c>
      <c r="P25" s="13">
        <f>Time!P43*Inputs!$F$270*P24</f>
        <v/>
      </c>
      <c r="Q25" s="13">
        <f>Time!Q43*Inputs!$F$270*Q24</f>
        <v/>
      </c>
      <c r="R25" s="13">
        <f>Time!R43*Inputs!$F$270*R24</f>
        <v/>
      </c>
      <c r="S25" s="13">
        <f>Time!S43*Inputs!$F$270*S24</f>
        <v/>
      </c>
      <c r="T25" s="13">
        <f>Time!T43*Inputs!$F$270*T24</f>
        <v/>
      </c>
      <c r="U25" s="13">
        <f>Time!U43*Inputs!$F$270*U24</f>
        <v/>
      </c>
      <c r="V25" s="13">
        <f>Time!V43*Inputs!$F$270*V24</f>
        <v/>
      </c>
      <c r="W25" s="13">
        <f>Time!W43*Inputs!$F$270*W24</f>
        <v/>
      </c>
      <c r="X25" s="13">
        <f>Time!X43*Inputs!$F$270*X24</f>
        <v/>
      </c>
      <c r="Y25" s="13">
        <f>Time!Y43*Inputs!$F$270*Y24</f>
        <v/>
      </c>
      <c r="Z25" s="13">
        <f>Time!Z43*Inputs!$F$270*Z24</f>
        <v/>
      </c>
      <c r="AA25" s="13">
        <f>Time!AA43*Inputs!$F$270*AA24</f>
        <v/>
      </c>
      <c r="AB25" s="13">
        <f>Time!AB43*Inputs!$F$270*AB24</f>
        <v/>
      </c>
      <c r="AC25" s="13">
        <f>Time!AC43*Inputs!$F$270*AC24</f>
        <v/>
      </c>
      <c r="AD25" s="13">
        <f>Time!AD43*Inputs!$F$270*AD24</f>
        <v/>
      </c>
      <c r="AE25" s="13">
        <f>Time!AE43*Inputs!$F$270*AE24</f>
        <v/>
      </c>
      <c r="AF25" s="13">
        <f>Time!AF43*Inputs!$F$270*AF24</f>
        <v/>
      </c>
      <c r="AG25" s="13">
        <f>Time!AG43*Inputs!$F$270*AG24</f>
        <v/>
      </c>
      <c r="AH25" s="13">
        <f>Time!AH43*Inputs!$F$270*AH24</f>
        <v/>
      </c>
      <c r="AI25" s="13">
        <f>Time!AI43*Inputs!$F$270*AI24</f>
        <v/>
      </c>
      <c r="AJ25" s="13">
        <f>Time!AJ43*Inputs!$F$270*AJ24</f>
        <v/>
      </c>
      <c r="AK25" s="13">
        <f>Time!AK43*Inputs!$F$270*AK24</f>
        <v/>
      </c>
      <c r="AL25" s="13">
        <f>Time!AL43*Inputs!$F$270*AL24</f>
        <v/>
      </c>
      <c r="AM25" s="13">
        <f>Time!AM43*Inputs!$F$270*AM24</f>
        <v/>
      </c>
      <c r="AN25" s="13">
        <f>Time!AN43*Inputs!$F$270*AN24</f>
        <v/>
      </c>
      <c r="AO25" s="13">
        <f>Time!AO43*Inputs!$F$270*AO24</f>
        <v/>
      </c>
      <c r="AP25" s="13">
        <f>Time!AP43*Inputs!$F$270*AP24</f>
        <v/>
      </c>
      <c r="AQ25" s="13">
        <f>Time!AQ43*Inputs!$F$270*AQ24</f>
        <v/>
      </c>
      <c r="AR25" s="13">
        <f>Time!AR43*Inputs!$F$270*AR24</f>
        <v/>
      </c>
      <c r="AS25" s="13">
        <f>Time!AS43*Inputs!$F$270*AS24</f>
        <v/>
      </c>
      <c r="AT25" s="13">
        <f>Time!AT43*Inputs!$F$270*AT24</f>
        <v/>
      </c>
      <c r="AU25" s="13">
        <f>Time!AU43*Inputs!$F$270*AU24</f>
        <v/>
      </c>
      <c r="AV25" s="13">
        <f>Time!AV43*Inputs!$F$270*AV24</f>
        <v/>
      </c>
      <c r="AW25" s="13">
        <f>Time!AW43*Inputs!$F$270*AW24</f>
        <v/>
      </c>
      <c r="AX25" s="13">
        <f>Time!AX43*Inputs!$F$270*AX24</f>
        <v/>
      </c>
      <c r="AY25" s="13">
        <f>Time!AY43*Inputs!$F$270*AY24</f>
        <v/>
      </c>
      <c r="AZ25" s="13">
        <f>Time!AZ43*Inputs!$F$270*AZ24</f>
        <v/>
      </c>
      <c r="BA25" s="13">
        <f>Time!BA43*Inputs!$F$270*BA24</f>
        <v/>
      </c>
      <c r="BB25" s="13">
        <f>Time!BB43*Inputs!$F$270*BB24</f>
        <v/>
      </c>
      <c r="BC25" s="13">
        <f>Time!BC43*Inputs!$F$270*BC24</f>
        <v/>
      </c>
      <c r="BD25" s="13">
        <f>Time!BD43*Inputs!$F$270*BD24</f>
        <v/>
      </c>
      <c r="BE25" s="13">
        <f>Time!BE43*Inputs!$F$270*BE24</f>
        <v/>
      </c>
      <c r="BF25" s="13">
        <f>Time!BF43*Inputs!$F$270*BF24</f>
        <v/>
      </c>
      <c r="BG25" s="13">
        <f>Time!BG43*Inputs!$F$270*BG24</f>
        <v/>
      </c>
      <c r="BH25" s="13">
        <f>Time!BH43*Inputs!$F$270*BH24</f>
        <v/>
      </c>
      <c r="BI25" s="13">
        <f>Time!BI43*Inputs!$F$270*BI24</f>
        <v/>
      </c>
      <c r="BJ25" s="13">
        <f>Time!BJ43*Inputs!$F$270*BJ24</f>
        <v/>
      </c>
      <c r="BK25" s="13">
        <f>Time!BK43*Inputs!$F$270*BK24</f>
        <v/>
      </c>
      <c r="BL25" s="13">
        <f>Time!BL43*Inputs!$F$270*BL24</f>
        <v/>
      </c>
      <c r="BM25" s="13">
        <f>Time!BM43*Inputs!$F$270*BM24</f>
        <v/>
      </c>
      <c r="BN25" s="13">
        <f>Time!BN43*Inputs!$F$270*BN24</f>
        <v/>
      </c>
    </row>
    <row r="26">
      <c r="D26" t="inlineStr">
        <is>
          <t>Deferred principal repaid (equal parts over the remaining repayment dates)</t>
        </is>
      </c>
      <c r="E26" t="inlineStr">
        <is>
          <t>USD m</t>
        </is>
      </c>
      <c r="G26" s="13">
        <f>SUM(J26:BN26)</f>
        <v/>
      </c>
      <c r="J26" s="13">
        <f>IF(Time!J46&gt;0,Time!J45*J22/Time!J46,0)</f>
        <v/>
      </c>
      <c r="K26" s="13">
        <f>IF(Time!K46&gt;0,Time!K45*K22/Time!K46,0)</f>
        <v/>
      </c>
      <c r="L26" s="13">
        <f>IF(Time!L46&gt;0,Time!L45*L22/Time!L46,0)</f>
        <v/>
      </c>
      <c r="M26" s="13">
        <f>IF(Time!M46&gt;0,Time!M45*M22/Time!M46,0)</f>
        <v/>
      </c>
      <c r="N26" s="13">
        <f>IF(Time!N46&gt;0,Time!N45*N22/Time!N46,0)</f>
        <v/>
      </c>
      <c r="O26" s="13">
        <f>IF(Time!O46&gt;0,Time!O45*O22/Time!O46,0)</f>
        <v/>
      </c>
      <c r="P26" s="13">
        <f>IF(Time!P46&gt;0,Time!P45*P22/Time!P46,0)</f>
        <v/>
      </c>
      <c r="Q26" s="13">
        <f>IF(Time!Q46&gt;0,Time!Q45*Q22/Time!Q46,0)</f>
        <v/>
      </c>
      <c r="R26" s="13">
        <f>IF(Time!R46&gt;0,Time!R45*R22/Time!R46,0)</f>
        <v/>
      </c>
      <c r="S26" s="13">
        <f>IF(Time!S46&gt;0,Time!S45*S22/Time!S46,0)</f>
        <v/>
      </c>
      <c r="T26" s="13">
        <f>IF(Time!T46&gt;0,Time!T45*T22/Time!T46,0)</f>
        <v/>
      </c>
      <c r="U26" s="13">
        <f>IF(Time!U46&gt;0,Time!U45*U22/Time!U46,0)</f>
        <v/>
      </c>
      <c r="V26" s="13">
        <f>IF(Time!V46&gt;0,Time!V45*V22/Time!V46,0)</f>
        <v/>
      </c>
      <c r="W26" s="13">
        <f>IF(Time!W46&gt;0,Time!W45*W22/Time!W46,0)</f>
        <v/>
      </c>
      <c r="X26" s="13">
        <f>IF(Time!X46&gt;0,Time!X45*X22/Time!X46,0)</f>
        <v/>
      </c>
      <c r="Y26" s="13">
        <f>IF(Time!Y46&gt;0,Time!Y45*Y22/Time!Y46,0)</f>
        <v/>
      </c>
      <c r="Z26" s="13">
        <f>IF(Time!Z46&gt;0,Time!Z45*Z22/Time!Z46,0)</f>
        <v/>
      </c>
      <c r="AA26" s="13">
        <f>IF(Time!AA46&gt;0,Time!AA45*AA22/Time!AA46,0)</f>
        <v/>
      </c>
      <c r="AB26" s="13">
        <f>IF(Time!AB46&gt;0,Time!AB45*AB22/Time!AB46,0)</f>
        <v/>
      </c>
      <c r="AC26" s="13">
        <f>IF(Time!AC46&gt;0,Time!AC45*AC22/Time!AC46,0)</f>
        <v/>
      </c>
      <c r="AD26" s="13">
        <f>IF(Time!AD46&gt;0,Time!AD45*AD22/Time!AD46,0)</f>
        <v/>
      </c>
      <c r="AE26" s="13">
        <f>IF(Time!AE46&gt;0,Time!AE45*AE22/Time!AE46,0)</f>
        <v/>
      </c>
      <c r="AF26" s="13">
        <f>IF(Time!AF46&gt;0,Time!AF45*AF22/Time!AF46,0)</f>
        <v/>
      </c>
      <c r="AG26" s="13">
        <f>IF(Time!AG46&gt;0,Time!AG45*AG22/Time!AG46,0)</f>
        <v/>
      </c>
      <c r="AH26" s="13">
        <f>IF(Time!AH46&gt;0,Time!AH45*AH22/Time!AH46,0)</f>
        <v/>
      </c>
      <c r="AI26" s="13">
        <f>IF(Time!AI46&gt;0,Time!AI45*AI22/Time!AI46,0)</f>
        <v/>
      </c>
      <c r="AJ26" s="13">
        <f>IF(Time!AJ46&gt;0,Time!AJ45*AJ22/Time!AJ46,0)</f>
        <v/>
      </c>
      <c r="AK26" s="13">
        <f>IF(Time!AK46&gt;0,Time!AK45*AK22/Time!AK46,0)</f>
        <v/>
      </c>
      <c r="AL26" s="13">
        <f>IF(Time!AL46&gt;0,Time!AL45*AL22/Time!AL46,0)</f>
        <v/>
      </c>
      <c r="AM26" s="13">
        <f>IF(Time!AM46&gt;0,Time!AM45*AM22/Time!AM46,0)</f>
        <v/>
      </c>
      <c r="AN26" s="13">
        <f>IF(Time!AN46&gt;0,Time!AN45*AN22/Time!AN46,0)</f>
        <v/>
      </c>
      <c r="AO26" s="13">
        <f>IF(Time!AO46&gt;0,Time!AO45*AO22/Time!AO46,0)</f>
        <v/>
      </c>
      <c r="AP26" s="13">
        <f>IF(Time!AP46&gt;0,Time!AP45*AP22/Time!AP46,0)</f>
        <v/>
      </c>
      <c r="AQ26" s="13">
        <f>IF(Time!AQ46&gt;0,Time!AQ45*AQ22/Time!AQ46,0)</f>
        <v/>
      </c>
      <c r="AR26" s="13">
        <f>IF(Time!AR46&gt;0,Time!AR45*AR22/Time!AR46,0)</f>
        <v/>
      </c>
      <c r="AS26" s="13">
        <f>IF(Time!AS46&gt;0,Time!AS45*AS22/Time!AS46,0)</f>
        <v/>
      </c>
      <c r="AT26" s="13">
        <f>IF(Time!AT46&gt;0,Time!AT45*AT22/Time!AT46,0)</f>
        <v/>
      </c>
      <c r="AU26" s="13">
        <f>IF(Time!AU46&gt;0,Time!AU45*AU22/Time!AU46,0)</f>
        <v/>
      </c>
      <c r="AV26" s="13">
        <f>IF(Time!AV46&gt;0,Time!AV45*AV22/Time!AV46,0)</f>
        <v/>
      </c>
      <c r="AW26" s="13">
        <f>IF(Time!AW46&gt;0,Time!AW45*AW22/Time!AW46,0)</f>
        <v/>
      </c>
      <c r="AX26" s="13">
        <f>IF(Time!AX46&gt;0,Time!AX45*AX22/Time!AX46,0)</f>
        <v/>
      </c>
      <c r="AY26" s="13">
        <f>IF(Time!AY46&gt;0,Time!AY45*AY22/Time!AY46,0)</f>
        <v/>
      </c>
      <c r="AZ26" s="13">
        <f>IF(Time!AZ46&gt;0,Time!AZ45*AZ22/Time!AZ46,0)</f>
        <v/>
      </c>
      <c r="BA26" s="13">
        <f>IF(Time!BA46&gt;0,Time!BA45*BA22/Time!BA46,0)</f>
        <v/>
      </c>
      <c r="BB26" s="13">
        <f>IF(Time!BB46&gt;0,Time!BB45*BB22/Time!BB46,0)</f>
        <v/>
      </c>
      <c r="BC26" s="13">
        <f>IF(Time!BC46&gt;0,Time!BC45*BC22/Time!BC46,0)</f>
        <v/>
      </c>
      <c r="BD26" s="13">
        <f>IF(Time!BD46&gt;0,Time!BD45*BD22/Time!BD46,0)</f>
        <v/>
      </c>
      <c r="BE26" s="13">
        <f>IF(Time!BE46&gt;0,Time!BE45*BE22/Time!BE46,0)</f>
        <v/>
      </c>
      <c r="BF26" s="13">
        <f>IF(Time!BF46&gt;0,Time!BF45*BF22/Time!BF46,0)</f>
        <v/>
      </c>
      <c r="BG26" s="13">
        <f>IF(Time!BG46&gt;0,Time!BG45*BG22/Time!BG46,0)</f>
        <v/>
      </c>
      <c r="BH26" s="13">
        <f>IF(Time!BH46&gt;0,Time!BH45*BH22/Time!BH46,0)</f>
        <v/>
      </c>
      <c r="BI26" s="13">
        <f>IF(Time!BI46&gt;0,Time!BI45*BI22/Time!BI46,0)</f>
        <v/>
      </c>
      <c r="BJ26" s="13">
        <f>IF(Time!BJ46&gt;0,Time!BJ45*BJ22/Time!BJ46,0)</f>
        <v/>
      </c>
      <c r="BK26" s="13">
        <f>IF(Time!BK46&gt;0,Time!BK45*BK22/Time!BK46,0)</f>
        <v/>
      </c>
      <c r="BL26" s="13">
        <f>IF(Time!BL46&gt;0,Time!BL45*BL22/Time!BL46,0)</f>
        <v/>
      </c>
      <c r="BM26" s="13">
        <f>IF(Time!BM46&gt;0,Time!BM45*BM22/Time!BM46,0)</f>
        <v/>
      </c>
      <c r="BN26" s="13">
        <f>IF(Time!BN46&gt;0,Time!BN45*BN22/Time!BN46,0)</f>
        <v/>
      </c>
    </row>
    <row r="27">
      <c r="D27" t="inlineStr">
        <is>
          <t>Principal paid</t>
        </is>
      </c>
      <c r="E27" t="inlineStr">
        <is>
          <t>USD m</t>
        </is>
      </c>
      <c r="G27" s="13">
        <f>SUM(J27:BN27)</f>
        <v/>
      </c>
      <c r="J27" s="13">
        <f>J24-J25+J26</f>
        <v/>
      </c>
      <c r="K27" s="13">
        <f>K24-K25+K26</f>
        <v/>
      </c>
      <c r="L27" s="13">
        <f>L24-L25+L26</f>
        <v/>
      </c>
      <c r="M27" s="13">
        <f>M24-M25+M26</f>
        <v/>
      </c>
      <c r="N27" s="13">
        <f>N24-N25+N26</f>
        <v/>
      </c>
      <c r="O27" s="13">
        <f>O24-O25+O26</f>
        <v/>
      </c>
      <c r="P27" s="13">
        <f>P24-P25+P26</f>
        <v/>
      </c>
      <c r="Q27" s="13">
        <f>Q24-Q25+Q26</f>
        <v/>
      </c>
      <c r="R27" s="13">
        <f>R24-R25+R26</f>
        <v/>
      </c>
      <c r="S27" s="13">
        <f>S24-S25+S26</f>
        <v/>
      </c>
      <c r="T27" s="13">
        <f>T24-T25+T26</f>
        <v/>
      </c>
      <c r="U27" s="13">
        <f>U24-U25+U26</f>
        <v/>
      </c>
      <c r="V27" s="13">
        <f>V24-V25+V26</f>
        <v/>
      </c>
      <c r="W27" s="13">
        <f>W24-W25+W26</f>
        <v/>
      </c>
      <c r="X27" s="13">
        <f>X24-X25+X26</f>
        <v/>
      </c>
      <c r="Y27" s="13">
        <f>Y24-Y25+Y26</f>
        <v/>
      </c>
      <c r="Z27" s="13">
        <f>Z24-Z25+Z26</f>
        <v/>
      </c>
      <c r="AA27" s="13">
        <f>AA24-AA25+AA26</f>
        <v/>
      </c>
      <c r="AB27" s="13">
        <f>AB24-AB25+AB26</f>
        <v/>
      </c>
      <c r="AC27" s="13">
        <f>AC24-AC25+AC26</f>
        <v/>
      </c>
      <c r="AD27" s="13">
        <f>AD24-AD25+AD26</f>
        <v/>
      </c>
      <c r="AE27" s="13">
        <f>AE24-AE25+AE26</f>
        <v/>
      </c>
      <c r="AF27" s="13">
        <f>AF24-AF25+AF26</f>
        <v/>
      </c>
      <c r="AG27" s="13">
        <f>AG24-AG25+AG26</f>
        <v/>
      </c>
      <c r="AH27" s="13">
        <f>AH24-AH25+AH26</f>
        <v/>
      </c>
      <c r="AI27" s="13">
        <f>AI24-AI25+AI26</f>
        <v/>
      </c>
      <c r="AJ27" s="13">
        <f>AJ24-AJ25+AJ26</f>
        <v/>
      </c>
      <c r="AK27" s="13">
        <f>AK24-AK25+AK26</f>
        <v/>
      </c>
      <c r="AL27" s="13">
        <f>AL24-AL25+AL26</f>
        <v/>
      </c>
      <c r="AM27" s="13">
        <f>AM24-AM25+AM26</f>
        <v/>
      </c>
      <c r="AN27" s="13">
        <f>AN24-AN25+AN26</f>
        <v/>
      </c>
      <c r="AO27" s="13">
        <f>AO24-AO25+AO26</f>
        <v/>
      </c>
      <c r="AP27" s="13">
        <f>AP24-AP25+AP26</f>
        <v/>
      </c>
      <c r="AQ27" s="13">
        <f>AQ24-AQ25+AQ26</f>
        <v/>
      </c>
      <c r="AR27" s="13">
        <f>AR24-AR25+AR26</f>
        <v/>
      </c>
      <c r="AS27" s="13">
        <f>AS24-AS25+AS26</f>
        <v/>
      </c>
      <c r="AT27" s="13">
        <f>AT24-AT25+AT26</f>
        <v/>
      </c>
      <c r="AU27" s="13">
        <f>AU24-AU25+AU26</f>
        <v/>
      </c>
      <c r="AV27" s="13">
        <f>AV24-AV25+AV26</f>
        <v/>
      </c>
      <c r="AW27" s="13">
        <f>AW24-AW25+AW26</f>
        <v/>
      </c>
      <c r="AX27" s="13">
        <f>AX24-AX25+AX26</f>
        <v/>
      </c>
      <c r="AY27" s="13">
        <f>AY24-AY25+AY26</f>
        <v/>
      </c>
      <c r="AZ27" s="13">
        <f>AZ24-AZ25+AZ26</f>
        <v/>
      </c>
      <c r="BA27" s="13">
        <f>BA24-BA25+BA26</f>
        <v/>
      </c>
      <c r="BB27" s="13">
        <f>BB24-BB25+BB26</f>
        <v/>
      </c>
      <c r="BC27" s="13">
        <f>BC24-BC25+BC26</f>
        <v/>
      </c>
      <c r="BD27" s="13">
        <f>BD24-BD25+BD26</f>
        <v/>
      </c>
      <c r="BE27" s="13">
        <f>BE24-BE25+BE26</f>
        <v/>
      </c>
      <c r="BF27" s="13">
        <f>BF24-BF25+BF26</f>
        <v/>
      </c>
      <c r="BG27" s="13">
        <f>BG24-BG25+BG26</f>
        <v/>
      </c>
      <c r="BH27" s="13">
        <f>BH24-BH25+BH26</f>
        <v/>
      </c>
      <c r="BI27" s="13">
        <f>BI24-BI25+BI26</f>
        <v/>
      </c>
      <c r="BJ27" s="13">
        <f>BJ24-BJ25+BJ26</f>
        <v/>
      </c>
      <c r="BK27" s="13">
        <f>BK24-BK25+BK26</f>
        <v/>
      </c>
      <c r="BL27" s="13">
        <f>BL24-BL25+BL26</f>
        <v/>
      </c>
      <c r="BM27" s="13">
        <f>BM24-BM25+BM26</f>
        <v/>
      </c>
      <c r="BN27" s="13">
        <f>BN24-BN25+BN26</f>
        <v/>
      </c>
    </row>
    <row r="28">
      <c r="D28" t="inlineStr">
        <is>
          <t>Performance LD prepayment</t>
        </is>
      </c>
      <c r="E28" t="inlineStr">
        <is>
          <t>USD m</t>
        </is>
      </c>
      <c r="G28" s="13">
        <f>SUM(J28:BN28)</f>
        <v/>
      </c>
      <c r="J28" s="13">
        <f>Time!J42*Inputs!$F$267*(J21-J27)/(J21-J27+J35-J41+J49-J55+J63-J69+J77-J83+Inputs!$F$253)</f>
        <v/>
      </c>
      <c r="K28" s="13">
        <f>Time!K42*Inputs!$F$267*(K21-K27)/(K21-K27+K35-K41+K49-K55+K63-K69+K77-K83+Inputs!$F$253)</f>
        <v/>
      </c>
      <c r="L28" s="13">
        <f>Time!L42*Inputs!$F$267*(L21-L27)/(L21-L27+L35-L41+L49-L55+L63-L69+L77-L83+Inputs!$F$253)</f>
        <v/>
      </c>
      <c r="M28" s="13">
        <f>Time!M42*Inputs!$F$267*(M21-M27)/(M21-M27+M35-M41+M49-M55+M63-M69+M77-M83+Inputs!$F$253)</f>
        <v/>
      </c>
      <c r="N28" s="13">
        <f>Time!N42*Inputs!$F$267*(N21-N27)/(N21-N27+N35-N41+N49-N55+N63-N69+N77-N83+Inputs!$F$253)</f>
        <v/>
      </c>
      <c r="O28" s="13">
        <f>Time!O42*Inputs!$F$267*(O21-O27)/(O21-O27+O35-O41+O49-O55+O63-O69+O77-O83+Inputs!$F$253)</f>
        <v/>
      </c>
      <c r="P28" s="13">
        <f>Time!P42*Inputs!$F$267*(P21-P27)/(P21-P27+P35-P41+P49-P55+P63-P69+P77-P83+Inputs!$F$253)</f>
        <v/>
      </c>
      <c r="Q28" s="13">
        <f>Time!Q42*Inputs!$F$267*(Q21-Q27)/(Q21-Q27+Q35-Q41+Q49-Q55+Q63-Q69+Q77-Q83+Inputs!$F$253)</f>
        <v/>
      </c>
      <c r="R28" s="13">
        <f>Time!R42*Inputs!$F$267*(R21-R27)/(R21-R27+R35-R41+R49-R55+R63-R69+R77-R83+Inputs!$F$253)</f>
        <v/>
      </c>
      <c r="S28" s="13">
        <f>Time!S42*Inputs!$F$267*(S21-S27)/(S21-S27+S35-S41+S49-S55+S63-S69+S77-S83+Inputs!$F$253)</f>
        <v/>
      </c>
      <c r="T28" s="13">
        <f>Time!T42*Inputs!$F$267*(T21-T27)/(T21-T27+T35-T41+T49-T55+T63-T69+T77-T83+Inputs!$F$253)</f>
        <v/>
      </c>
      <c r="U28" s="13">
        <f>Time!U42*Inputs!$F$267*(U21-U27)/(U21-U27+U35-U41+U49-U55+U63-U69+U77-U83+Inputs!$F$253)</f>
        <v/>
      </c>
      <c r="V28" s="13">
        <f>Time!V42*Inputs!$F$267*(V21-V27)/(V21-V27+V35-V41+V49-V55+V63-V69+V77-V83+Inputs!$F$253)</f>
        <v/>
      </c>
      <c r="W28" s="13">
        <f>Time!W42*Inputs!$F$267*(W21-W27)/(W21-W27+W35-W41+W49-W55+W63-W69+W77-W83+Inputs!$F$253)</f>
        <v/>
      </c>
      <c r="X28" s="13">
        <f>Time!X42*Inputs!$F$267*(X21-X27)/(X21-X27+X35-X41+X49-X55+X63-X69+X77-X83+Inputs!$F$253)</f>
        <v/>
      </c>
      <c r="Y28" s="13">
        <f>Time!Y42*Inputs!$F$267*(Y21-Y27)/(Y21-Y27+Y35-Y41+Y49-Y55+Y63-Y69+Y77-Y83+Inputs!$F$253)</f>
        <v/>
      </c>
      <c r="Z28" s="13">
        <f>Time!Z42*Inputs!$F$267*(Z21-Z27)/(Z21-Z27+Z35-Z41+Z49-Z55+Z63-Z69+Z77-Z83+Inputs!$F$253)</f>
        <v/>
      </c>
      <c r="AA28" s="13">
        <f>Time!AA42*Inputs!$F$267*(AA21-AA27)/(AA21-AA27+AA35-AA41+AA49-AA55+AA63-AA69+AA77-AA83+Inputs!$F$253)</f>
        <v/>
      </c>
      <c r="AB28" s="13">
        <f>Time!AB42*Inputs!$F$267*(AB21-AB27)/(AB21-AB27+AB35-AB41+AB49-AB55+AB63-AB69+AB77-AB83+Inputs!$F$253)</f>
        <v/>
      </c>
      <c r="AC28" s="13">
        <f>Time!AC42*Inputs!$F$267*(AC21-AC27)/(AC21-AC27+AC35-AC41+AC49-AC55+AC63-AC69+AC77-AC83+Inputs!$F$253)</f>
        <v/>
      </c>
      <c r="AD28" s="13">
        <f>Time!AD42*Inputs!$F$267*(AD21-AD27)/(AD21-AD27+AD35-AD41+AD49-AD55+AD63-AD69+AD77-AD83+Inputs!$F$253)</f>
        <v/>
      </c>
      <c r="AE28" s="13">
        <f>Time!AE42*Inputs!$F$267*(AE21-AE27)/(AE21-AE27+AE35-AE41+AE49-AE55+AE63-AE69+AE77-AE83+Inputs!$F$253)</f>
        <v/>
      </c>
      <c r="AF28" s="13">
        <f>Time!AF42*Inputs!$F$267*(AF21-AF27)/(AF21-AF27+AF35-AF41+AF49-AF55+AF63-AF69+AF77-AF83+Inputs!$F$253)</f>
        <v/>
      </c>
      <c r="AG28" s="13">
        <f>Time!AG42*Inputs!$F$267*(AG21-AG27)/(AG21-AG27+AG35-AG41+AG49-AG55+AG63-AG69+AG77-AG83+Inputs!$F$253)</f>
        <v/>
      </c>
      <c r="AH28" s="13">
        <f>Time!AH42*Inputs!$F$267*(AH21-AH27)/(AH21-AH27+AH35-AH41+AH49-AH55+AH63-AH69+AH77-AH83+Inputs!$F$253)</f>
        <v/>
      </c>
      <c r="AI28" s="13">
        <f>Time!AI42*Inputs!$F$267*(AI21-AI27)/(AI21-AI27+AI35-AI41+AI49-AI55+AI63-AI69+AI77-AI83+Inputs!$F$253)</f>
        <v/>
      </c>
      <c r="AJ28" s="13">
        <f>Time!AJ42*Inputs!$F$267*(AJ21-AJ27)/(AJ21-AJ27+AJ35-AJ41+AJ49-AJ55+AJ63-AJ69+AJ77-AJ83+Inputs!$F$253)</f>
        <v/>
      </c>
      <c r="AK28" s="13">
        <f>Time!AK42*Inputs!$F$267*(AK21-AK27)/(AK21-AK27+AK35-AK41+AK49-AK55+AK63-AK69+AK77-AK83+Inputs!$F$253)</f>
        <v/>
      </c>
      <c r="AL28" s="13">
        <f>Time!AL42*Inputs!$F$267*(AL21-AL27)/(AL21-AL27+AL35-AL41+AL49-AL55+AL63-AL69+AL77-AL83+Inputs!$F$253)</f>
        <v/>
      </c>
      <c r="AM28" s="13">
        <f>Time!AM42*Inputs!$F$267*(AM21-AM27)/(AM21-AM27+AM35-AM41+AM49-AM55+AM63-AM69+AM77-AM83+Inputs!$F$253)</f>
        <v/>
      </c>
      <c r="AN28" s="13">
        <f>Time!AN42*Inputs!$F$267*(AN21-AN27)/(AN21-AN27+AN35-AN41+AN49-AN55+AN63-AN69+AN77-AN83+Inputs!$F$253)</f>
        <v/>
      </c>
      <c r="AO28" s="13">
        <f>Time!AO42*Inputs!$F$267*(AO21-AO27)/(AO21-AO27+AO35-AO41+AO49-AO55+AO63-AO69+AO77-AO83+Inputs!$F$253)</f>
        <v/>
      </c>
      <c r="AP28" s="13">
        <f>Time!AP42*Inputs!$F$267*(AP21-AP27)/(AP21-AP27+AP35-AP41+AP49-AP55+AP63-AP69+AP77-AP83+Inputs!$F$253)</f>
        <v/>
      </c>
      <c r="AQ28" s="13">
        <f>Time!AQ42*Inputs!$F$267*(AQ21-AQ27)/(AQ21-AQ27+AQ35-AQ41+AQ49-AQ55+AQ63-AQ69+AQ77-AQ83+Inputs!$F$253)</f>
        <v/>
      </c>
      <c r="AR28" s="13">
        <f>Time!AR42*Inputs!$F$267*(AR21-AR27)/(AR21-AR27+AR35-AR41+AR49-AR55+AR63-AR69+AR77-AR83+Inputs!$F$253)</f>
        <v/>
      </c>
      <c r="AS28" s="13">
        <f>Time!AS42*Inputs!$F$267*(AS21-AS27)/(AS21-AS27+AS35-AS41+AS49-AS55+AS63-AS69+AS77-AS83+Inputs!$F$253)</f>
        <v/>
      </c>
      <c r="AT28" s="13">
        <f>Time!AT42*Inputs!$F$267*(AT21-AT27)/(AT21-AT27+AT35-AT41+AT49-AT55+AT63-AT69+AT77-AT83+Inputs!$F$253)</f>
        <v/>
      </c>
      <c r="AU28" s="13">
        <f>Time!AU42*Inputs!$F$267*(AU21-AU27)/(AU21-AU27+AU35-AU41+AU49-AU55+AU63-AU69+AU77-AU83+Inputs!$F$253)</f>
        <v/>
      </c>
      <c r="AV28" s="13">
        <f>Time!AV42*Inputs!$F$267*(AV21-AV27)/(AV21-AV27+AV35-AV41+AV49-AV55+AV63-AV69+AV77-AV83+Inputs!$F$253)</f>
        <v/>
      </c>
      <c r="AW28" s="13">
        <f>Time!AW42*Inputs!$F$267*(AW21-AW27)/(AW21-AW27+AW35-AW41+AW49-AW55+AW63-AW69+AW77-AW83+Inputs!$F$253)</f>
        <v/>
      </c>
      <c r="AX28" s="13">
        <f>Time!AX42*Inputs!$F$267*(AX21-AX27)/(AX21-AX27+AX35-AX41+AX49-AX55+AX63-AX69+AX77-AX83+Inputs!$F$253)</f>
        <v/>
      </c>
      <c r="AY28" s="13">
        <f>Time!AY42*Inputs!$F$267*(AY21-AY27)/(AY21-AY27+AY35-AY41+AY49-AY55+AY63-AY69+AY77-AY83+Inputs!$F$253)</f>
        <v/>
      </c>
      <c r="AZ28" s="13">
        <f>Time!AZ42*Inputs!$F$267*(AZ21-AZ27)/(AZ21-AZ27+AZ35-AZ41+AZ49-AZ55+AZ63-AZ69+AZ77-AZ83+Inputs!$F$253)</f>
        <v/>
      </c>
      <c r="BA28" s="13">
        <f>Time!BA42*Inputs!$F$267*(BA21-BA27)/(BA21-BA27+BA35-BA41+BA49-BA55+BA63-BA69+BA77-BA83+Inputs!$F$253)</f>
        <v/>
      </c>
      <c r="BB28" s="13">
        <f>Time!BB42*Inputs!$F$267*(BB21-BB27)/(BB21-BB27+BB35-BB41+BB49-BB55+BB63-BB69+BB77-BB83+Inputs!$F$253)</f>
        <v/>
      </c>
      <c r="BC28" s="13">
        <f>Time!BC42*Inputs!$F$267*(BC21-BC27)/(BC21-BC27+BC35-BC41+BC49-BC55+BC63-BC69+BC77-BC83+Inputs!$F$253)</f>
        <v/>
      </c>
      <c r="BD28" s="13">
        <f>Time!BD42*Inputs!$F$267*(BD21-BD27)/(BD21-BD27+BD35-BD41+BD49-BD55+BD63-BD69+BD77-BD83+Inputs!$F$253)</f>
        <v/>
      </c>
      <c r="BE28" s="13">
        <f>Time!BE42*Inputs!$F$267*(BE21-BE27)/(BE21-BE27+BE35-BE41+BE49-BE55+BE63-BE69+BE77-BE83+Inputs!$F$253)</f>
        <v/>
      </c>
      <c r="BF28" s="13">
        <f>Time!BF42*Inputs!$F$267*(BF21-BF27)/(BF21-BF27+BF35-BF41+BF49-BF55+BF63-BF69+BF77-BF83+Inputs!$F$253)</f>
        <v/>
      </c>
      <c r="BG28" s="13">
        <f>Time!BG42*Inputs!$F$267*(BG21-BG27)/(BG21-BG27+BG35-BG41+BG49-BG55+BG63-BG69+BG77-BG83+Inputs!$F$253)</f>
        <v/>
      </c>
      <c r="BH28" s="13">
        <f>Time!BH42*Inputs!$F$267*(BH21-BH27)/(BH21-BH27+BH35-BH41+BH49-BH55+BH63-BH69+BH77-BH83+Inputs!$F$253)</f>
        <v/>
      </c>
      <c r="BI28" s="13">
        <f>Time!BI42*Inputs!$F$267*(BI21-BI27)/(BI21-BI27+BI35-BI41+BI49-BI55+BI63-BI69+BI77-BI83+Inputs!$F$253)</f>
        <v/>
      </c>
      <c r="BJ28" s="13">
        <f>Time!BJ42*Inputs!$F$267*(BJ21-BJ27)/(BJ21-BJ27+BJ35-BJ41+BJ49-BJ55+BJ63-BJ69+BJ77-BJ83+Inputs!$F$253)</f>
        <v/>
      </c>
      <c r="BK28" s="13">
        <f>Time!BK42*Inputs!$F$267*(BK21-BK27)/(BK21-BK27+BK35-BK41+BK49-BK55+BK63-BK69+BK77-BK83+Inputs!$F$253)</f>
        <v/>
      </c>
      <c r="BL28" s="13">
        <f>Time!BL42*Inputs!$F$267*(BL21-BL27)/(BL21-BL27+BL35-BL41+BL49-BL55+BL63-BL69+BL77-BL83+Inputs!$F$253)</f>
        <v/>
      </c>
      <c r="BM28" s="13">
        <f>Time!BM42*Inputs!$F$267*(BM21-BM27)/(BM21-BM27+BM35-BM41+BM49-BM55+BM63-BM69+BM77-BM83+Inputs!$F$253)</f>
        <v/>
      </c>
      <c r="BN28" s="13">
        <f>Time!BN42*Inputs!$F$267*(BN21-BN27)/(BN21-BN27+BN35-BN41+BN49-BN55+BN63-BN69+BN77-BN83+Inputs!$F$253)</f>
        <v/>
      </c>
    </row>
    <row r="29">
      <c r="D29" t="inlineStr">
        <is>
          <t>Refinanced (not refinanced: stays in place)</t>
        </is>
      </c>
      <c r="E29" t="inlineStr">
        <is>
          <t>USD m</t>
        </is>
      </c>
      <c r="G29" s="13">
        <f>SUM(J29:BN29)</f>
        <v/>
      </c>
      <c r="J29" s="13">
        <f>Time!J47*0</f>
        <v/>
      </c>
      <c r="K29" s="13">
        <f>Time!K47*0</f>
        <v/>
      </c>
      <c r="L29" s="13">
        <f>Time!L47*0</f>
        <v/>
      </c>
      <c r="M29" s="13">
        <f>Time!M47*0</f>
        <v/>
      </c>
      <c r="N29" s="13">
        <f>Time!N47*0</f>
        <v/>
      </c>
      <c r="O29" s="13">
        <f>Time!O47*0</f>
        <v/>
      </c>
      <c r="P29" s="13">
        <f>Time!P47*0</f>
        <v/>
      </c>
      <c r="Q29" s="13">
        <f>Time!Q47*0</f>
        <v/>
      </c>
      <c r="R29" s="13">
        <f>Time!R47*0</f>
        <v/>
      </c>
      <c r="S29" s="13">
        <f>Time!S47*0</f>
        <v/>
      </c>
      <c r="T29" s="13">
        <f>Time!T47*0</f>
        <v/>
      </c>
      <c r="U29" s="13">
        <f>Time!U47*0</f>
        <v/>
      </c>
      <c r="V29" s="13">
        <f>Time!V47*0</f>
        <v/>
      </c>
      <c r="W29" s="13">
        <f>Time!W47*0</f>
        <v/>
      </c>
      <c r="X29" s="13">
        <f>Time!X47*0</f>
        <v/>
      </c>
      <c r="Y29" s="13">
        <f>Time!Y47*0</f>
        <v/>
      </c>
      <c r="Z29" s="13">
        <f>Time!Z47*0</f>
        <v/>
      </c>
      <c r="AA29" s="13">
        <f>Time!AA47*0</f>
        <v/>
      </c>
      <c r="AB29" s="13">
        <f>Time!AB47*0</f>
        <v/>
      </c>
      <c r="AC29" s="13">
        <f>Time!AC47*0</f>
        <v/>
      </c>
      <c r="AD29" s="13">
        <f>Time!AD47*0</f>
        <v/>
      </c>
      <c r="AE29" s="13">
        <f>Time!AE47*0</f>
        <v/>
      </c>
      <c r="AF29" s="13">
        <f>Time!AF47*0</f>
        <v/>
      </c>
      <c r="AG29" s="13">
        <f>Time!AG47*0</f>
        <v/>
      </c>
      <c r="AH29" s="13">
        <f>Time!AH47*0</f>
        <v/>
      </c>
      <c r="AI29" s="13">
        <f>Time!AI47*0</f>
        <v/>
      </c>
      <c r="AJ29" s="13">
        <f>Time!AJ47*0</f>
        <v/>
      </c>
      <c r="AK29" s="13">
        <f>Time!AK47*0</f>
        <v/>
      </c>
      <c r="AL29" s="13">
        <f>Time!AL47*0</f>
        <v/>
      </c>
      <c r="AM29" s="13">
        <f>Time!AM47*0</f>
        <v/>
      </c>
      <c r="AN29" s="13">
        <f>Time!AN47*0</f>
        <v/>
      </c>
      <c r="AO29" s="13">
        <f>Time!AO47*0</f>
        <v/>
      </c>
      <c r="AP29" s="13">
        <f>Time!AP47*0</f>
        <v/>
      </c>
      <c r="AQ29" s="13">
        <f>Time!AQ47*0</f>
        <v/>
      </c>
      <c r="AR29" s="13">
        <f>Time!AR47*0</f>
        <v/>
      </c>
      <c r="AS29" s="13">
        <f>Time!AS47*0</f>
        <v/>
      </c>
      <c r="AT29" s="13">
        <f>Time!AT47*0</f>
        <v/>
      </c>
      <c r="AU29" s="13">
        <f>Time!AU47*0</f>
        <v/>
      </c>
      <c r="AV29" s="13">
        <f>Time!AV47*0</f>
        <v/>
      </c>
      <c r="AW29" s="13">
        <f>Time!AW47*0</f>
        <v/>
      </c>
      <c r="AX29" s="13">
        <f>Time!AX47*0</f>
        <v/>
      </c>
      <c r="AY29" s="13">
        <f>Time!AY47*0</f>
        <v/>
      </c>
      <c r="AZ29" s="13">
        <f>Time!AZ47*0</f>
        <v/>
      </c>
      <c r="BA29" s="13">
        <f>Time!BA47*0</f>
        <v/>
      </c>
      <c r="BB29" s="13">
        <f>Time!BB47*0</f>
        <v/>
      </c>
      <c r="BC29" s="13">
        <f>Time!BC47*0</f>
        <v/>
      </c>
      <c r="BD29" s="13">
        <f>Time!BD47*0</f>
        <v/>
      </c>
      <c r="BE29" s="13">
        <f>Time!BE47*0</f>
        <v/>
      </c>
      <c r="BF29" s="13">
        <f>Time!BF47*0</f>
        <v/>
      </c>
      <c r="BG29" s="13">
        <f>Time!BG47*0</f>
        <v/>
      </c>
      <c r="BH29" s="13">
        <f>Time!BH47*0</f>
        <v/>
      </c>
      <c r="BI29" s="13">
        <f>Time!BI47*0</f>
        <v/>
      </c>
      <c r="BJ29" s="13">
        <f>Time!BJ47*0</f>
        <v/>
      </c>
      <c r="BK29" s="13">
        <f>Time!BK47*0</f>
        <v/>
      </c>
      <c r="BL29" s="13">
        <f>Time!BL47*0</f>
        <v/>
      </c>
      <c r="BM29" s="13">
        <f>Time!BM47*0</f>
        <v/>
      </c>
      <c r="BN29" s="13">
        <f>Time!BN47*0</f>
        <v/>
      </c>
    </row>
    <row r="30">
      <c r="D30" t="inlineStr">
        <is>
          <t>Deferred principal, closing</t>
        </is>
      </c>
      <c r="E30" t="inlineStr">
        <is>
          <t>USD m</t>
        </is>
      </c>
      <c r="J30" s="13">
        <f>J22+J25-J26</f>
        <v/>
      </c>
      <c r="K30" s="13">
        <f>K22+K25-K26</f>
        <v/>
      </c>
      <c r="L30" s="13">
        <f>L22+L25-L26</f>
        <v/>
      </c>
      <c r="M30" s="13">
        <f>M22+M25-M26</f>
        <v/>
      </c>
      <c r="N30" s="13">
        <f>N22+N25-N26</f>
        <v/>
      </c>
      <c r="O30" s="13">
        <f>O22+O25-O26</f>
        <v/>
      </c>
      <c r="P30" s="13">
        <f>P22+P25-P26</f>
        <v/>
      </c>
      <c r="Q30" s="13">
        <f>Q22+Q25-Q26</f>
        <v/>
      </c>
      <c r="R30" s="13">
        <f>R22+R25-R26</f>
        <v/>
      </c>
      <c r="S30" s="13">
        <f>S22+S25-S26</f>
        <v/>
      </c>
      <c r="T30" s="13">
        <f>T22+T25-T26</f>
        <v/>
      </c>
      <c r="U30" s="13">
        <f>U22+U25-U26</f>
        <v/>
      </c>
      <c r="V30" s="13">
        <f>V22+V25-V26</f>
        <v/>
      </c>
      <c r="W30" s="13">
        <f>W22+W25-W26</f>
        <v/>
      </c>
      <c r="X30" s="13">
        <f>X22+X25-X26</f>
        <v/>
      </c>
      <c r="Y30" s="13">
        <f>Y22+Y25-Y26</f>
        <v/>
      </c>
      <c r="Z30" s="13">
        <f>Z22+Z25-Z26</f>
        <v/>
      </c>
      <c r="AA30" s="13">
        <f>AA22+AA25-AA26</f>
        <v/>
      </c>
      <c r="AB30" s="13">
        <f>AB22+AB25-AB26</f>
        <v/>
      </c>
      <c r="AC30" s="13">
        <f>AC22+AC25-AC26</f>
        <v/>
      </c>
      <c r="AD30" s="13">
        <f>AD22+AD25-AD26</f>
        <v/>
      </c>
      <c r="AE30" s="13">
        <f>AE22+AE25-AE26</f>
        <v/>
      </c>
      <c r="AF30" s="13">
        <f>AF22+AF25-AF26</f>
        <v/>
      </c>
      <c r="AG30" s="13">
        <f>AG22+AG25-AG26</f>
        <v/>
      </c>
      <c r="AH30" s="13">
        <f>AH22+AH25-AH26</f>
        <v/>
      </c>
      <c r="AI30" s="13">
        <f>AI22+AI25-AI26</f>
        <v/>
      </c>
      <c r="AJ30" s="13">
        <f>AJ22+AJ25-AJ26</f>
        <v/>
      </c>
      <c r="AK30" s="13">
        <f>AK22+AK25-AK26</f>
        <v/>
      </c>
      <c r="AL30" s="13">
        <f>AL22+AL25-AL26</f>
        <v/>
      </c>
      <c r="AM30" s="13">
        <f>AM22+AM25-AM26</f>
        <v/>
      </c>
      <c r="AN30" s="13">
        <f>AN22+AN25-AN26</f>
        <v/>
      </c>
      <c r="AO30" s="13">
        <f>AO22+AO25-AO26</f>
        <v/>
      </c>
      <c r="AP30" s="13">
        <f>AP22+AP25-AP26</f>
        <v/>
      </c>
      <c r="AQ30" s="13">
        <f>AQ22+AQ25-AQ26</f>
        <v/>
      </c>
      <c r="AR30" s="13">
        <f>AR22+AR25-AR26</f>
        <v/>
      </c>
      <c r="AS30" s="13">
        <f>AS22+AS25-AS26</f>
        <v/>
      </c>
      <c r="AT30" s="13">
        <f>AT22+AT25-AT26</f>
        <v/>
      </c>
      <c r="AU30" s="13">
        <f>AU22+AU25-AU26</f>
        <v/>
      </c>
      <c r="AV30" s="13">
        <f>AV22+AV25-AV26</f>
        <v/>
      </c>
      <c r="AW30" s="13">
        <f>AW22+AW25-AW26</f>
        <v/>
      </c>
      <c r="AX30" s="13">
        <f>AX22+AX25-AX26</f>
        <v/>
      </c>
      <c r="AY30" s="13">
        <f>AY22+AY25-AY26</f>
        <v/>
      </c>
      <c r="AZ30" s="13">
        <f>AZ22+AZ25-AZ26</f>
        <v/>
      </c>
      <c r="BA30" s="13">
        <f>BA22+BA25-BA26</f>
        <v/>
      </c>
      <c r="BB30" s="13">
        <f>BB22+BB25-BB26</f>
        <v/>
      </c>
      <c r="BC30" s="13">
        <f>BC22+BC25-BC26</f>
        <v/>
      </c>
      <c r="BD30" s="13">
        <f>BD22+BD25-BD26</f>
        <v/>
      </c>
      <c r="BE30" s="13">
        <f>BE22+BE25-BE26</f>
        <v/>
      </c>
      <c r="BF30" s="13">
        <f>BF22+BF25-BF26</f>
        <v/>
      </c>
      <c r="BG30" s="13">
        <f>BG22+BG25-BG26</f>
        <v/>
      </c>
      <c r="BH30" s="13">
        <f>BH22+BH25-BH26</f>
        <v/>
      </c>
      <c r="BI30" s="13">
        <f>BI22+BI25-BI26</f>
        <v/>
      </c>
      <c r="BJ30" s="13">
        <f>BJ22+BJ25-BJ26</f>
        <v/>
      </c>
      <c r="BK30" s="13">
        <f>BK22+BK25-BK26</f>
        <v/>
      </c>
      <c r="BL30" s="13">
        <f>BL22+BL25-BL26</f>
        <v/>
      </c>
      <c r="BM30" s="13">
        <f>BM22+BM25-BM26</f>
        <v/>
      </c>
      <c r="BN30" s="13">
        <f>BN22+BN25-BN26</f>
        <v/>
      </c>
    </row>
    <row r="31">
      <c r="D31" t="inlineStr">
        <is>
          <t>Balance after scheduled payment, LDs and refinancing</t>
        </is>
      </c>
      <c r="E31" t="inlineStr">
        <is>
          <t>USD m</t>
        </is>
      </c>
      <c r="J31" s="13">
        <f>J21-J27-J28-J29</f>
        <v/>
      </c>
      <c r="K31" s="13">
        <f>K21-K27-K28-K29</f>
        <v/>
      </c>
      <c r="L31" s="13">
        <f>L21-L27-L28-L29</f>
        <v/>
      </c>
      <c r="M31" s="13">
        <f>M21-M27-M28-M29</f>
        <v/>
      </c>
      <c r="N31" s="13">
        <f>N21-N27-N28-N29</f>
        <v/>
      </c>
      <c r="O31" s="13">
        <f>O21-O27-O28-O29</f>
        <v/>
      </c>
      <c r="P31" s="13">
        <f>P21-P27-P28-P29</f>
        <v/>
      </c>
      <c r="Q31" s="13">
        <f>Q21-Q27-Q28-Q29</f>
        <v/>
      </c>
      <c r="R31" s="13">
        <f>R21-R27-R28-R29</f>
        <v/>
      </c>
      <c r="S31" s="13">
        <f>S21-S27-S28-S29</f>
        <v/>
      </c>
      <c r="T31" s="13">
        <f>T21-T27-T28-T29</f>
        <v/>
      </c>
      <c r="U31" s="13">
        <f>U21-U27-U28-U29</f>
        <v/>
      </c>
      <c r="V31" s="13">
        <f>V21-V27-V28-V29</f>
        <v/>
      </c>
      <c r="W31" s="13">
        <f>W21-W27-W28-W29</f>
        <v/>
      </c>
      <c r="X31" s="13">
        <f>X21-X27-X28-X29</f>
        <v/>
      </c>
      <c r="Y31" s="13">
        <f>Y21-Y27-Y28-Y29</f>
        <v/>
      </c>
      <c r="Z31" s="13">
        <f>Z21-Z27-Z28-Z29</f>
        <v/>
      </c>
      <c r="AA31" s="13">
        <f>AA21-AA27-AA28-AA29</f>
        <v/>
      </c>
      <c r="AB31" s="13">
        <f>AB21-AB27-AB28-AB29</f>
        <v/>
      </c>
      <c r="AC31" s="13">
        <f>AC21-AC27-AC28-AC29</f>
        <v/>
      </c>
      <c r="AD31" s="13">
        <f>AD21-AD27-AD28-AD29</f>
        <v/>
      </c>
      <c r="AE31" s="13">
        <f>AE21-AE27-AE28-AE29</f>
        <v/>
      </c>
      <c r="AF31" s="13">
        <f>AF21-AF27-AF28-AF29</f>
        <v/>
      </c>
      <c r="AG31" s="13">
        <f>AG21-AG27-AG28-AG29</f>
        <v/>
      </c>
      <c r="AH31" s="13">
        <f>AH21-AH27-AH28-AH29</f>
        <v/>
      </c>
      <c r="AI31" s="13">
        <f>AI21-AI27-AI28-AI29</f>
        <v/>
      </c>
      <c r="AJ31" s="13">
        <f>AJ21-AJ27-AJ28-AJ29</f>
        <v/>
      </c>
      <c r="AK31" s="13">
        <f>AK21-AK27-AK28-AK29</f>
        <v/>
      </c>
      <c r="AL31" s="13">
        <f>AL21-AL27-AL28-AL29</f>
        <v/>
      </c>
      <c r="AM31" s="13">
        <f>AM21-AM27-AM28-AM29</f>
        <v/>
      </c>
      <c r="AN31" s="13">
        <f>AN21-AN27-AN28-AN29</f>
        <v/>
      </c>
      <c r="AO31" s="13">
        <f>AO21-AO27-AO28-AO29</f>
        <v/>
      </c>
      <c r="AP31" s="13">
        <f>AP21-AP27-AP28-AP29</f>
        <v/>
      </c>
      <c r="AQ31" s="13">
        <f>AQ21-AQ27-AQ28-AQ29</f>
        <v/>
      </c>
      <c r="AR31" s="13">
        <f>AR21-AR27-AR28-AR29</f>
        <v/>
      </c>
      <c r="AS31" s="13">
        <f>AS21-AS27-AS28-AS29</f>
        <v/>
      </c>
      <c r="AT31" s="13">
        <f>AT21-AT27-AT28-AT29</f>
        <v/>
      </c>
      <c r="AU31" s="13">
        <f>AU21-AU27-AU28-AU29</f>
        <v/>
      </c>
      <c r="AV31" s="13">
        <f>AV21-AV27-AV28-AV29</f>
        <v/>
      </c>
      <c r="AW31" s="13">
        <f>AW21-AW27-AW28-AW29</f>
        <v/>
      </c>
      <c r="AX31" s="13">
        <f>AX21-AX27-AX28-AX29</f>
        <v/>
      </c>
      <c r="AY31" s="13">
        <f>AY21-AY27-AY28-AY29</f>
        <v/>
      </c>
      <c r="AZ31" s="13">
        <f>AZ21-AZ27-AZ28-AZ29</f>
        <v/>
      </c>
      <c r="BA31" s="13">
        <f>BA21-BA27-BA28-BA29</f>
        <v/>
      </c>
      <c r="BB31" s="13">
        <f>BB21-BB27-BB28-BB29</f>
        <v/>
      </c>
      <c r="BC31" s="13">
        <f>BC21-BC27-BC28-BC29</f>
        <v/>
      </c>
      <c r="BD31" s="13">
        <f>BD21-BD27-BD28-BD29</f>
        <v/>
      </c>
      <c r="BE31" s="13">
        <f>BE21-BE27-BE28-BE29</f>
        <v/>
      </c>
      <c r="BF31" s="13">
        <f>BF21-BF27-BF28-BF29</f>
        <v/>
      </c>
      <c r="BG31" s="13">
        <f>BG21-BG27-BG28-BG29</f>
        <v/>
      </c>
      <c r="BH31" s="13">
        <f>BH21-BH27-BH28-BH29</f>
        <v/>
      </c>
      <c r="BI31" s="13">
        <f>BI21-BI27-BI28-BI29</f>
        <v/>
      </c>
      <c r="BJ31" s="13">
        <f>BJ21-BJ27-BJ28-BJ29</f>
        <v/>
      </c>
      <c r="BK31" s="13">
        <f>BK21-BK27-BK28-BK29</f>
        <v/>
      </c>
      <c r="BL31" s="13">
        <f>BL21-BL27-BL28-BL29</f>
        <v/>
      </c>
      <c r="BM31" s="13">
        <f>BM21-BM27-BM28-BM29</f>
        <v/>
      </c>
      <c r="BN31" s="13">
        <f>BN21-BN27-BN28-BN29</f>
        <v/>
      </c>
    </row>
    <row r="32">
      <c r="D32" t="inlineStr">
        <is>
          <t>Cash sweep prepayment</t>
        </is>
      </c>
      <c r="E32" t="inlineStr">
        <is>
          <t>USD m</t>
        </is>
      </c>
      <c r="G32" s="13">
        <f>SUM(J32:BN32)</f>
        <v/>
      </c>
      <c r="J32" s="13">
        <f>Waterfall!J28*J31/(J31+J45+J59+J73+J87+Inputs!$F$253)</f>
        <v/>
      </c>
      <c r="K32" s="13">
        <f>Waterfall!K28*K31/(K31+K45+K59+K73+K87+Inputs!$F$253)</f>
        <v/>
      </c>
      <c r="L32" s="13">
        <f>Waterfall!L28*L31/(L31+L45+L59+L73+L87+Inputs!$F$253)</f>
        <v/>
      </c>
      <c r="M32" s="13">
        <f>Waterfall!M28*M31/(M31+M45+M59+M73+M87+Inputs!$F$253)</f>
        <v/>
      </c>
      <c r="N32" s="13">
        <f>Waterfall!N28*N31/(N31+N45+N59+N73+N87+Inputs!$F$253)</f>
        <v/>
      </c>
      <c r="O32" s="13">
        <f>Waterfall!O28*O31/(O31+O45+O59+O73+O87+Inputs!$F$253)</f>
        <v/>
      </c>
      <c r="P32" s="13">
        <f>Waterfall!P28*P31/(P31+P45+P59+P73+P87+Inputs!$F$253)</f>
        <v/>
      </c>
      <c r="Q32" s="13">
        <f>Waterfall!Q28*Q31/(Q31+Q45+Q59+Q73+Q87+Inputs!$F$253)</f>
        <v/>
      </c>
      <c r="R32" s="13">
        <f>Waterfall!R28*R31/(R31+R45+R59+R73+R87+Inputs!$F$253)</f>
        <v/>
      </c>
      <c r="S32" s="13">
        <f>Waterfall!S28*S31/(S31+S45+S59+S73+S87+Inputs!$F$253)</f>
        <v/>
      </c>
      <c r="T32" s="13">
        <f>Waterfall!T28*T31/(T31+T45+T59+T73+T87+Inputs!$F$253)</f>
        <v/>
      </c>
      <c r="U32" s="13">
        <f>Waterfall!U28*U31/(U31+U45+U59+U73+U87+Inputs!$F$253)</f>
        <v/>
      </c>
      <c r="V32" s="13">
        <f>Waterfall!V28*V31/(V31+V45+V59+V73+V87+Inputs!$F$253)</f>
        <v/>
      </c>
      <c r="W32" s="13">
        <f>Waterfall!W28*W31/(W31+W45+W59+W73+W87+Inputs!$F$253)</f>
        <v/>
      </c>
      <c r="X32" s="13">
        <f>Waterfall!X28*X31/(X31+X45+X59+X73+X87+Inputs!$F$253)</f>
        <v/>
      </c>
      <c r="Y32" s="13">
        <f>Waterfall!Y28*Y31/(Y31+Y45+Y59+Y73+Y87+Inputs!$F$253)</f>
        <v/>
      </c>
      <c r="Z32" s="13">
        <f>Waterfall!Z28*Z31/(Z31+Z45+Z59+Z73+Z87+Inputs!$F$253)</f>
        <v/>
      </c>
      <c r="AA32" s="13">
        <f>Waterfall!AA28*AA31/(AA31+AA45+AA59+AA73+AA87+Inputs!$F$253)</f>
        <v/>
      </c>
      <c r="AB32" s="13">
        <f>Waterfall!AB28*AB31/(AB31+AB45+AB59+AB73+AB87+Inputs!$F$253)</f>
        <v/>
      </c>
      <c r="AC32" s="13">
        <f>Waterfall!AC28*AC31/(AC31+AC45+AC59+AC73+AC87+Inputs!$F$253)</f>
        <v/>
      </c>
      <c r="AD32" s="13">
        <f>Waterfall!AD28*AD31/(AD31+AD45+AD59+AD73+AD87+Inputs!$F$253)</f>
        <v/>
      </c>
      <c r="AE32" s="13">
        <f>Waterfall!AE28*AE31/(AE31+AE45+AE59+AE73+AE87+Inputs!$F$253)</f>
        <v/>
      </c>
      <c r="AF32" s="13">
        <f>Waterfall!AF28*AF31/(AF31+AF45+AF59+AF73+AF87+Inputs!$F$253)</f>
        <v/>
      </c>
      <c r="AG32" s="13">
        <f>Waterfall!AG28*AG31/(AG31+AG45+AG59+AG73+AG87+Inputs!$F$253)</f>
        <v/>
      </c>
      <c r="AH32" s="13">
        <f>Waterfall!AH28*AH31/(AH31+AH45+AH59+AH73+AH87+Inputs!$F$253)</f>
        <v/>
      </c>
      <c r="AI32" s="13">
        <f>Waterfall!AI28*AI31/(AI31+AI45+AI59+AI73+AI87+Inputs!$F$253)</f>
        <v/>
      </c>
      <c r="AJ32" s="13">
        <f>Waterfall!AJ28*AJ31/(AJ31+AJ45+AJ59+AJ73+AJ87+Inputs!$F$253)</f>
        <v/>
      </c>
      <c r="AK32" s="13">
        <f>Waterfall!AK28*AK31/(AK31+AK45+AK59+AK73+AK87+Inputs!$F$253)</f>
        <v/>
      </c>
      <c r="AL32" s="13">
        <f>Waterfall!AL28*AL31/(AL31+AL45+AL59+AL73+AL87+Inputs!$F$253)</f>
        <v/>
      </c>
      <c r="AM32" s="13">
        <f>Waterfall!AM28*AM31/(AM31+AM45+AM59+AM73+AM87+Inputs!$F$253)</f>
        <v/>
      </c>
      <c r="AN32" s="13">
        <f>Waterfall!AN28*AN31/(AN31+AN45+AN59+AN73+AN87+Inputs!$F$253)</f>
        <v/>
      </c>
      <c r="AO32" s="13">
        <f>Waterfall!AO28*AO31/(AO31+AO45+AO59+AO73+AO87+Inputs!$F$253)</f>
        <v/>
      </c>
      <c r="AP32" s="13">
        <f>Waterfall!AP28*AP31/(AP31+AP45+AP59+AP73+AP87+Inputs!$F$253)</f>
        <v/>
      </c>
      <c r="AQ32" s="13">
        <f>Waterfall!AQ28*AQ31/(AQ31+AQ45+AQ59+AQ73+AQ87+Inputs!$F$253)</f>
        <v/>
      </c>
      <c r="AR32" s="13">
        <f>Waterfall!AR28*AR31/(AR31+AR45+AR59+AR73+AR87+Inputs!$F$253)</f>
        <v/>
      </c>
      <c r="AS32" s="13">
        <f>Waterfall!AS28*AS31/(AS31+AS45+AS59+AS73+AS87+Inputs!$F$253)</f>
        <v/>
      </c>
      <c r="AT32" s="13">
        <f>Waterfall!AT28*AT31/(AT31+AT45+AT59+AT73+AT87+Inputs!$F$253)</f>
        <v/>
      </c>
      <c r="AU32" s="13">
        <f>Waterfall!AU28*AU31/(AU31+AU45+AU59+AU73+AU87+Inputs!$F$253)</f>
        <v/>
      </c>
      <c r="AV32" s="13">
        <f>Waterfall!AV28*AV31/(AV31+AV45+AV59+AV73+AV87+Inputs!$F$253)</f>
        <v/>
      </c>
      <c r="AW32" s="13">
        <f>Waterfall!AW28*AW31/(AW31+AW45+AW59+AW73+AW87+Inputs!$F$253)</f>
        <v/>
      </c>
      <c r="AX32" s="13">
        <f>Waterfall!AX28*AX31/(AX31+AX45+AX59+AX73+AX87+Inputs!$F$253)</f>
        <v/>
      </c>
      <c r="AY32" s="13">
        <f>Waterfall!AY28*AY31/(AY31+AY45+AY59+AY73+AY87+Inputs!$F$253)</f>
        <v/>
      </c>
      <c r="AZ32" s="13">
        <f>Waterfall!AZ28*AZ31/(AZ31+AZ45+AZ59+AZ73+AZ87+Inputs!$F$253)</f>
        <v/>
      </c>
      <c r="BA32" s="13">
        <f>Waterfall!BA28*BA31/(BA31+BA45+BA59+BA73+BA87+Inputs!$F$253)</f>
        <v/>
      </c>
      <c r="BB32" s="13">
        <f>Waterfall!BB28*BB31/(BB31+BB45+BB59+BB73+BB87+Inputs!$F$253)</f>
        <v/>
      </c>
      <c r="BC32" s="13">
        <f>Waterfall!BC28*BC31/(BC31+BC45+BC59+BC73+BC87+Inputs!$F$253)</f>
        <v/>
      </c>
      <c r="BD32" s="13">
        <f>Waterfall!BD28*BD31/(BD31+BD45+BD59+BD73+BD87+Inputs!$F$253)</f>
        <v/>
      </c>
      <c r="BE32" s="13">
        <f>Waterfall!BE28*BE31/(BE31+BE45+BE59+BE73+BE87+Inputs!$F$253)</f>
        <v/>
      </c>
      <c r="BF32" s="13">
        <f>Waterfall!BF28*BF31/(BF31+BF45+BF59+BF73+BF87+Inputs!$F$253)</f>
        <v/>
      </c>
      <c r="BG32" s="13">
        <f>Waterfall!BG28*BG31/(BG31+BG45+BG59+BG73+BG87+Inputs!$F$253)</f>
        <v/>
      </c>
      <c r="BH32" s="13">
        <f>Waterfall!BH28*BH31/(BH31+BH45+BH59+BH73+BH87+Inputs!$F$253)</f>
        <v/>
      </c>
      <c r="BI32" s="13">
        <f>Waterfall!BI28*BI31/(BI31+BI45+BI59+BI73+BI87+Inputs!$F$253)</f>
        <v/>
      </c>
      <c r="BJ32" s="13">
        <f>Waterfall!BJ28*BJ31/(BJ31+BJ45+BJ59+BJ73+BJ87+Inputs!$F$253)</f>
        <v/>
      </c>
      <c r="BK32" s="13">
        <f>Waterfall!BK28*BK31/(BK31+BK45+BK59+BK73+BK87+Inputs!$F$253)</f>
        <v/>
      </c>
      <c r="BL32" s="13">
        <f>Waterfall!BL28*BL31/(BL31+BL45+BL59+BL73+BL87+Inputs!$F$253)</f>
        <v/>
      </c>
      <c r="BM32" s="13">
        <f>Waterfall!BM28*BM31/(BM31+BM45+BM59+BM73+BM87+Inputs!$F$253)</f>
        <v/>
      </c>
      <c r="BN32" s="13">
        <f>Waterfall!BN28*BN31/(BN31+BN45+BN59+BN73+BN87+Inputs!$F$253)</f>
        <v/>
      </c>
    </row>
    <row r="33">
      <c r="D33" t="inlineStr">
        <is>
          <t>Closing balance</t>
        </is>
      </c>
      <c r="E33" t="inlineStr">
        <is>
          <t>USD m</t>
        </is>
      </c>
      <c r="J33" s="13">
        <f>IF(Time!J34=1,INDEX(Funding!$J$61:$BJ$61,1,Time!$F$14),Time!J35*(J31-J32))</f>
        <v/>
      </c>
      <c r="K33" s="13">
        <f>IF(Time!K34=1,INDEX(Funding!$J$61:$BJ$61,1,Time!$F$14),Time!K35*(K31-K32))</f>
        <v/>
      </c>
      <c r="L33" s="13">
        <f>IF(Time!L34=1,INDEX(Funding!$J$61:$BJ$61,1,Time!$F$14),Time!L35*(L31-L32))</f>
        <v/>
      </c>
      <c r="M33" s="13">
        <f>IF(Time!M34=1,INDEX(Funding!$J$61:$BJ$61,1,Time!$F$14),Time!M35*(M31-M32))</f>
        <v/>
      </c>
      <c r="N33" s="13">
        <f>IF(Time!N34=1,INDEX(Funding!$J$61:$BJ$61,1,Time!$F$14),Time!N35*(N31-N32))</f>
        <v/>
      </c>
      <c r="O33" s="13">
        <f>IF(Time!O34=1,INDEX(Funding!$J$61:$BJ$61,1,Time!$F$14),Time!O35*(O31-O32))</f>
        <v/>
      </c>
      <c r="P33" s="13">
        <f>IF(Time!P34=1,INDEX(Funding!$J$61:$BJ$61,1,Time!$F$14),Time!P35*(P31-P32))</f>
        <v/>
      </c>
      <c r="Q33" s="13">
        <f>IF(Time!Q34=1,INDEX(Funding!$J$61:$BJ$61,1,Time!$F$14),Time!Q35*(Q31-Q32))</f>
        <v/>
      </c>
      <c r="R33" s="13">
        <f>IF(Time!R34=1,INDEX(Funding!$J$61:$BJ$61,1,Time!$F$14),Time!R35*(R31-R32))</f>
        <v/>
      </c>
      <c r="S33" s="13">
        <f>IF(Time!S34=1,INDEX(Funding!$J$61:$BJ$61,1,Time!$F$14),Time!S35*(S31-S32))</f>
        <v/>
      </c>
      <c r="T33" s="13">
        <f>IF(Time!T34=1,INDEX(Funding!$J$61:$BJ$61,1,Time!$F$14),Time!T35*(T31-T32))</f>
        <v/>
      </c>
      <c r="U33" s="13">
        <f>IF(Time!U34=1,INDEX(Funding!$J$61:$BJ$61,1,Time!$F$14),Time!U35*(U31-U32))</f>
        <v/>
      </c>
      <c r="V33" s="13">
        <f>IF(Time!V34=1,INDEX(Funding!$J$61:$BJ$61,1,Time!$F$14),Time!V35*(V31-V32))</f>
        <v/>
      </c>
      <c r="W33" s="13">
        <f>IF(Time!W34=1,INDEX(Funding!$J$61:$BJ$61,1,Time!$F$14),Time!W35*(W31-W32))</f>
        <v/>
      </c>
      <c r="X33" s="13">
        <f>IF(Time!X34=1,INDEX(Funding!$J$61:$BJ$61,1,Time!$F$14),Time!X35*(X31-X32))</f>
        <v/>
      </c>
      <c r="Y33" s="13">
        <f>IF(Time!Y34=1,INDEX(Funding!$J$61:$BJ$61,1,Time!$F$14),Time!Y35*(Y31-Y32))</f>
        <v/>
      </c>
      <c r="Z33" s="13">
        <f>IF(Time!Z34=1,INDEX(Funding!$J$61:$BJ$61,1,Time!$F$14),Time!Z35*(Z31-Z32))</f>
        <v/>
      </c>
      <c r="AA33" s="13">
        <f>IF(Time!AA34=1,INDEX(Funding!$J$61:$BJ$61,1,Time!$F$14),Time!AA35*(AA31-AA32))</f>
        <v/>
      </c>
      <c r="AB33" s="13">
        <f>IF(Time!AB34=1,INDEX(Funding!$J$61:$BJ$61,1,Time!$F$14),Time!AB35*(AB31-AB32))</f>
        <v/>
      </c>
      <c r="AC33" s="13">
        <f>IF(Time!AC34=1,INDEX(Funding!$J$61:$BJ$61,1,Time!$F$14),Time!AC35*(AC31-AC32))</f>
        <v/>
      </c>
      <c r="AD33" s="13">
        <f>IF(Time!AD34=1,INDEX(Funding!$J$61:$BJ$61,1,Time!$F$14),Time!AD35*(AD31-AD32))</f>
        <v/>
      </c>
      <c r="AE33" s="13">
        <f>IF(Time!AE34=1,INDEX(Funding!$J$61:$BJ$61,1,Time!$F$14),Time!AE35*(AE31-AE32))</f>
        <v/>
      </c>
      <c r="AF33" s="13">
        <f>IF(Time!AF34=1,INDEX(Funding!$J$61:$BJ$61,1,Time!$F$14),Time!AF35*(AF31-AF32))</f>
        <v/>
      </c>
      <c r="AG33" s="13">
        <f>IF(Time!AG34=1,INDEX(Funding!$J$61:$BJ$61,1,Time!$F$14),Time!AG35*(AG31-AG32))</f>
        <v/>
      </c>
      <c r="AH33" s="13">
        <f>IF(Time!AH34=1,INDEX(Funding!$J$61:$BJ$61,1,Time!$F$14),Time!AH35*(AH31-AH32))</f>
        <v/>
      </c>
      <c r="AI33" s="13">
        <f>IF(Time!AI34=1,INDEX(Funding!$J$61:$BJ$61,1,Time!$F$14),Time!AI35*(AI31-AI32))</f>
        <v/>
      </c>
      <c r="AJ33" s="13">
        <f>IF(Time!AJ34=1,INDEX(Funding!$J$61:$BJ$61,1,Time!$F$14),Time!AJ35*(AJ31-AJ32))</f>
        <v/>
      </c>
      <c r="AK33" s="13">
        <f>IF(Time!AK34=1,INDEX(Funding!$J$61:$BJ$61,1,Time!$F$14),Time!AK35*(AK31-AK32))</f>
        <v/>
      </c>
      <c r="AL33" s="13">
        <f>IF(Time!AL34=1,INDEX(Funding!$J$61:$BJ$61,1,Time!$F$14),Time!AL35*(AL31-AL32))</f>
        <v/>
      </c>
      <c r="AM33" s="13">
        <f>IF(Time!AM34=1,INDEX(Funding!$J$61:$BJ$61,1,Time!$F$14),Time!AM35*(AM31-AM32))</f>
        <v/>
      </c>
      <c r="AN33" s="13">
        <f>IF(Time!AN34=1,INDEX(Funding!$J$61:$BJ$61,1,Time!$F$14),Time!AN35*(AN31-AN32))</f>
        <v/>
      </c>
      <c r="AO33" s="13">
        <f>IF(Time!AO34=1,INDEX(Funding!$J$61:$BJ$61,1,Time!$F$14),Time!AO35*(AO31-AO32))</f>
        <v/>
      </c>
      <c r="AP33" s="13">
        <f>IF(Time!AP34=1,INDEX(Funding!$J$61:$BJ$61,1,Time!$F$14),Time!AP35*(AP31-AP32))</f>
        <v/>
      </c>
      <c r="AQ33" s="13">
        <f>IF(Time!AQ34=1,INDEX(Funding!$J$61:$BJ$61,1,Time!$F$14),Time!AQ35*(AQ31-AQ32))</f>
        <v/>
      </c>
      <c r="AR33" s="13">
        <f>IF(Time!AR34=1,INDEX(Funding!$J$61:$BJ$61,1,Time!$F$14),Time!AR35*(AR31-AR32))</f>
        <v/>
      </c>
      <c r="AS33" s="13">
        <f>IF(Time!AS34=1,INDEX(Funding!$J$61:$BJ$61,1,Time!$F$14),Time!AS35*(AS31-AS32))</f>
        <v/>
      </c>
      <c r="AT33" s="13">
        <f>IF(Time!AT34=1,INDEX(Funding!$J$61:$BJ$61,1,Time!$F$14),Time!AT35*(AT31-AT32))</f>
        <v/>
      </c>
      <c r="AU33" s="13">
        <f>IF(Time!AU34=1,INDEX(Funding!$J$61:$BJ$61,1,Time!$F$14),Time!AU35*(AU31-AU32))</f>
        <v/>
      </c>
      <c r="AV33" s="13">
        <f>IF(Time!AV34=1,INDEX(Funding!$J$61:$BJ$61,1,Time!$F$14),Time!AV35*(AV31-AV32))</f>
        <v/>
      </c>
      <c r="AW33" s="13">
        <f>IF(Time!AW34=1,INDEX(Funding!$J$61:$BJ$61,1,Time!$F$14),Time!AW35*(AW31-AW32))</f>
        <v/>
      </c>
      <c r="AX33" s="13">
        <f>IF(Time!AX34=1,INDEX(Funding!$J$61:$BJ$61,1,Time!$F$14),Time!AX35*(AX31-AX32))</f>
        <v/>
      </c>
      <c r="AY33" s="13">
        <f>IF(Time!AY34=1,INDEX(Funding!$J$61:$BJ$61,1,Time!$F$14),Time!AY35*(AY31-AY32))</f>
        <v/>
      </c>
      <c r="AZ33" s="13">
        <f>IF(Time!AZ34=1,INDEX(Funding!$J$61:$BJ$61,1,Time!$F$14),Time!AZ35*(AZ31-AZ32))</f>
        <v/>
      </c>
      <c r="BA33" s="13">
        <f>IF(Time!BA34=1,INDEX(Funding!$J$61:$BJ$61,1,Time!$F$14),Time!BA35*(BA31-BA32))</f>
        <v/>
      </c>
      <c r="BB33" s="13">
        <f>IF(Time!BB34=1,INDEX(Funding!$J$61:$BJ$61,1,Time!$F$14),Time!BB35*(BB31-BB32))</f>
        <v/>
      </c>
      <c r="BC33" s="13">
        <f>IF(Time!BC34=1,INDEX(Funding!$J$61:$BJ$61,1,Time!$F$14),Time!BC35*(BC31-BC32))</f>
        <v/>
      </c>
      <c r="BD33" s="13">
        <f>IF(Time!BD34=1,INDEX(Funding!$J$61:$BJ$61,1,Time!$F$14),Time!BD35*(BD31-BD32))</f>
        <v/>
      </c>
      <c r="BE33" s="13">
        <f>IF(Time!BE34=1,INDEX(Funding!$J$61:$BJ$61,1,Time!$F$14),Time!BE35*(BE31-BE32))</f>
        <v/>
      </c>
      <c r="BF33" s="13">
        <f>IF(Time!BF34=1,INDEX(Funding!$J$61:$BJ$61,1,Time!$F$14),Time!BF35*(BF31-BF32))</f>
        <v/>
      </c>
      <c r="BG33" s="13">
        <f>IF(Time!BG34=1,INDEX(Funding!$J$61:$BJ$61,1,Time!$F$14),Time!BG35*(BG31-BG32))</f>
        <v/>
      </c>
      <c r="BH33" s="13">
        <f>IF(Time!BH34=1,INDEX(Funding!$J$61:$BJ$61,1,Time!$F$14),Time!BH35*(BH31-BH32))</f>
        <v/>
      </c>
      <c r="BI33" s="13">
        <f>IF(Time!BI34=1,INDEX(Funding!$J$61:$BJ$61,1,Time!$F$14),Time!BI35*(BI31-BI32))</f>
        <v/>
      </c>
      <c r="BJ33" s="13">
        <f>IF(Time!BJ34=1,INDEX(Funding!$J$61:$BJ$61,1,Time!$F$14),Time!BJ35*(BJ31-BJ32))</f>
        <v/>
      </c>
      <c r="BK33" s="13">
        <f>IF(Time!BK34=1,INDEX(Funding!$J$61:$BJ$61,1,Time!$F$14),Time!BK35*(BK31-BK32))</f>
        <v/>
      </c>
      <c r="BL33" s="13">
        <f>IF(Time!BL34=1,INDEX(Funding!$J$61:$BJ$61,1,Time!$F$14),Time!BL35*(BL31-BL32))</f>
        <v/>
      </c>
      <c r="BM33" s="13">
        <f>IF(Time!BM34=1,INDEX(Funding!$J$61:$BJ$61,1,Time!$F$14),Time!BM35*(BM31-BM32))</f>
        <v/>
      </c>
      <c r="BN33" s="13">
        <f>IF(Time!BN34=1,INDEX(Funding!$J$61:$BJ$61,1,Time!$F$14),Time!BN35*(BN31-BN32))</f>
        <v/>
      </c>
    </row>
    <row r="34">
      <c r="B34" s="2" t="inlineStr">
        <is>
          <t>ABDB A-loan</t>
        </is>
      </c>
    </row>
    <row r="35">
      <c r="D35" t="inlineStr">
        <is>
          <t>Opening balance</t>
        </is>
      </c>
      <c r="E35" t="inlineStr">
        <is>
          <t>USD m</t>
        </is>
      </c>
      <c r="J35" s="13">
        <f>Time!J35*I47</f>
        <v/>
      </c>
      <c r="K35" s="13">
        <f>Time!K35*J47</f>
        <v/>
      </c>
      <c r="L35" s="13">
        <f>Time!L35*K47</f>
        <v/>
      </c>
      <c r="M35" s="13">
        <f>Time!M35*L47</f>
        <v/>
      </c>
      <c r="N35" s="13">
        <f>Time!N35*M47</f>
        <v/>
      </c>
      <c r="O35" s="13">
        <f>Time!O35*N47</f>
        <v/>
      </c>
      <c r="P35" s="13">
        <f>Time!P35*O47</f>
        <v/>
      </c>
      <c r="Q35" s="13">
        <f>Time!Q35*P47</f>
        <v/>
      </c>
      <c r="R35" s="13">
        <f>Time!R35*Q47</f>
        <v/>
      </c>
      <c r="S35" s="13">
        <f>Time!S35*R47</f>
        <v/>
      </c>
      <c r="T35" s="13">
        <f>Time!T35*S47</f>
        <v/>
      </c>
      <c r="U35" s="13">
        <f>Time!U35*T47</f>
        <v/>
      </c>
      <c r="V35" s="13">
        <f>Time!V35*U47</f>
        <v/>
      </c>
      <c r="W35" s="13">
        <f>Time!W35*V47</f>
        <v/>
      </c>
      <c r="X35" s="13">
        <f>Time!X35*W47</f>
        <v/>
      </c>
      <c r="Y35" s="13">
        <f>Time!Y35*X47</f>
        <v/>
      </c>
      <c r="Z35" s="13">
        <f>Time!Z35*Y47</f>
        <v/>
      </c>
      <c r="AA35" s="13">
        <f>Time!AA35*Z47</f>
        <v/>
      </c>
      <c r="AB35" s="13">
        <f>Time!AB35*AA47</f>
        <v/>
      </c>
      <c r="AC35" s="13">
        <f>Time!AC35*AB47</f>
        <v/>
      </c>
      <c r="AD35" s="13">
        <f>Time!AD35*AC47</f>
        <v/>
      </c>
      <c r="AE35" s="13">
        <f>Time!AE35*AD47</f>
        <v/>
      </c>
      <c r="AF35" s="13">
        <f>Time!AF35*AE47</f>
        <v/>
      </c>
      <c r="AG35" s="13">
        <f>Time!AG35*AF47</f>
        <v/>
      </c>
      <c r="AH35" s="13">
        <f>Time!AH35*AG47</f>
        <v/>
      </c>
      <c r="AI35" s="13">
        <f>Time!AI35*AH47</f>
        <v/>
      </c>
      <c r="AJ35" s="13">
        <f>Time!AJ35*AI47</f>
        <v/>
      </c>
      <c r="AK35" s="13">
        <f>Time!AK35*AJ47</f>
        <v/>
      </c>
      <c r="AL35" s="13">
        <f>Time!AL35*AK47</f>
        <v/>
      </c>
      <c r="AM35" s="13">
        <f>Time!AM35*AL47</f>
        <v/>
      </c>
      <c r="AN35" s="13">
        <f>Time!AN35*AM47</f>
        <v/>
      </c>
      <c r="AO35" s="13">
        <f>Time!AO35*AN47</f>
        <v/>
      </c>
      <c r="AP35" s="13">
        <f>Time!AP35*AO47</f>
        <v/>
      </c>
      <c r="AQ35" s="13">
        <f>Time!AQ35*AP47</f>
        <v/>
      </c>
      <c r="AR35" s="13">
        <f>Time!AR35*AQ47</f>
        <v/>
      </c>
      <c r="AS35" s="13">
        <f>Time!AS35*AR47</f>
        <v/>
      </c>
      <c r="AT35" s="13">
        <f>Time!AT35*AS47</f>
        <v/>
      </c>
      <c r="AU35" s="13">
        <f>Time!AU35*AT47</f>
        <v/>
      </c>
      <c r="AV35" s="13">
        <f>Time!AV35*AU47</f>
        <v/>
      </c>
      <c r="AW35" s="13">
        <f>Time!AW35*AV47</f>
        <v/>
      </c>
      <c r="AX35" s="13">
        <f>Time!AX35*AW47</f>
        <v/>
      </c>
      <c r="AY35" s="13">
        <f>Time!AY35*AX47</f>
        <v/>
      </c>
      <c r="AZ35" s="13">
        <f>Time!AZ35*AY47</f>
        <v/>
      </c>
      <c r="BA35" s="13">
        <f>Time!BA35*AZ47</f>
        <v/>
      </c>
      <c r="BB35" s="13">
        <f>Time!BB35*BA47</f>
        <v/>
      </c>
      <c r="BC35" s="13">
        <f>Time!BC35*BB47</f>
        <v/>
      </c>
      <c r="BD35" s="13">
        <f>Time!BD35*BC47</f>
        <v/>
      </c>
      <c r="BE35" s="13">
        <f>Time!BE35*BD47</f>
        <v/>
      </c>
      <c r="BF35" s="13">
        <f>Time!BF35*BE47</f>
        <v/>
      </c>
      <c r="BG35" s="13">
        <f>Time!BG35*BF47</f>
        <v/>
      </c>
      <c r="BH35" s="13">
        <f>Time!BH35*BG47</f>
        <v/>
      </c>
      <c r="BI35" s="13">
        <f>Time!BI35*BH47</f>
        <v/>
      </c>
      <c r="BJ35" s="13">
        <f>Time!BJ35*BI47</f>
        <v/>
      </c>
      <c r="BK35" s="13">
        <f>Time!BK35*BJ47</f>
        <v/>
      </c>
      <c r="BL35" s="13">
        <f>Time!BL35*BK47</f>
        <v/>
      </c>
      <c r="BM35" s="13">
        <f>Time!BM35*BL47</f>
        <v/>
      </c>
      <c r="BN35" s="13">
        <f>Time!BN35*BM47</f>
        <v/>
      </c>
    </row>
    <row r="36">
      <c r="D36" t="inlineStr">
        <is>
          <t>Deferred principal, opening</t>
        </is>
      </c>
      <c r="E36" t="inlineStr">
        <is>
          <t>USD m</t>
        </is>
      </c>
      <c r="J36" s="13">
        <f>I44</f>
        <v/>
      </c>
      <c r="K36" s="13">
        <f>J44</f>
        <v/>
      </c>
      <c r="L36" s="13">
        <f>K44</f>
        <v/>
      </c>
      <c r="M36" s="13">
        <f>L44</f>
        <v/>
      </c>
      <c r="N36" s="13">
        <f>M44</f>
        <v/>
      </c>
      <c r="O36" s="13">
        <f>N44</f>
        <v/>
      </c>
      <c r="P36" s="13">
        <f>O44</f>
        <v/>
      </c>
      <c r="Q36" s="13">
        <f>P44</f>
        <v/>
      </c>
      <c r="R36" s="13">
        <f>Q44</f>
        <v/>
      </c>
      <c r="S36" s="13">
        <f>R44</f>
        <v/>
      </c>
      <c r="T36" s="13">
        <f>S44</f>
        <v/>
      </c>
      <c r="U36" s="13">
        <f>T44</f>
        <v/>
      </c>
      <c r="V36" s="13">
        <f>U44</f>
        <v/>
      </c>
      <c r="W36" s="13">
        <f>V44</f>
        <v/>
      </c>
      <c r="X36" s="13">
        <f>W44</f>
        <v/>
      </c>
      <c r="Y36" s="13">
        <f>X44</f>
        <v/>
      </c>
      <c r="Z36" s="13">
        <f>Y44</f>
        <v/>
      </c>
      <c r="AA36" s="13">
        <f>Z44</f>
        <v/>
      </c>
      <c r="AB36" s="13">
        <f>AA44</f>
        <v/>
      </c>
      <c r="AC36" s="13">
        <f>AB44</f>
        <v/>
      </c>
      <c r="AD36" s="13">
        <f>AC44</f>
        <v/>
      </c>
      <c r="AE36" s="13">
        <f>AD44</f>
        <v/>
      </c>
      <c r="AF36" s="13">
        <f>AE44</f>
        <v/>
      </c>
      <c r="AG36" s="13">
        <f>AF44</f>
        <v/>
      </c>
      <c r="AH36" s="13">
        <f>AG44</f>
        <v/>
      </c>
      <c r="AI36" s="13">
        <f>AH44</f>
        <v/>
      </c>
      <c r="AJ36" s="13">
        <f>AI44</f>
        <v/>
      </c>
      <c r="AK36" s="13">
        <f>AJ44</f>
        <v/>
      </c>
      <c r="AL36" s="13">
        <f>AK44</f>
        <v/>
      </c>
      <c r="AM36" s="13">
        <f>AL44</f>
        <v/>
      </c>
      <c r="AN36" s="13">
        <f>AM44</f>
        <v/>
      </c>
      <c r="AO36" s="13">
        <f>AN44</f>
        <v/>
      </c>
      <c r="AP36" s="13">
        <f>AO44</f>
        <v/>
      </c>
      <c r="AQ36" s="13">
        <f>AP44</f>
        <v/>
      </c>
      <c r="AR36" s="13">
        <f>AQ44</f>
        <v/>
      </c>
      <c r="AS36" s="13">
        <f>AR44</f>
        <v/>
      </c>
      <c r="AT36" s="13">
        <f>AS44</f>
        <v/>
      </c>
      <c r="AU36" s="13">
        <f>AT44</f>
        <v/>
      </c>
      <c r="AV36" s="13">
        <f>AU44</f>
        <v/>
      </c>
      <c r="AW36" s="13">
        <f>AV44</f>
        <v/>
      </c>
      <c r="AX36" s="13">
        <f>AW44</f>
        <v/>
      </c>
      <c r="AY36" s="13">
        <f>AX44</f>
        <v/>
      </c>
      <c r="AZ36" s="13">
        <f>AY44</f>
        <v/>
      </c>
      <c r="BA36" s="13">
        <f>AZ44</f>
        <v/>
      </c>
      <c r="BB36" s="13">
        <f>BA44</f>
        <v/>
      </c>
      <c r="BC36" s="13">
        <f>BB44</f>
        <v/>
      </c>
      <c r="BD36" s="13">
        <f>BC44</f>
        <v/>
      </c>
      <c r="BE36" s="13">
        <f>BD44</f>
        <v/>
      </c>
      <c r="BF36" s="13">
        <f>BE44</f>
        <v/>
      </c>
      <c r="BG36" s="13">
        <f>BF44</f>
        <v/>
      </c>
      <c r="BH36" s="13">
        <f>BG44</f>
        <v/>
      </c>
      <c r="BI36" s="13">
        <f>BH44</f>
        <v/>
      </c>
      <c r="BJ36" s="13">
        <f>BI44</f>
        <v/>
      </c>
      <c r="BK36" s="13">
        <f>BJ44</f>
        <v/>
      </c>
      <c r="BL36" s="13">
        <f>BK44</f>
        <v/>
      </c>
      <c r="BM36" s="13">
        <f>BL44</f>
        <v/>
      </c>
      <c r="BN36" s="13">
        <f>BM44</f>
        <v/>
      </c>
    </row>
    <row r="37">
      <c r="D37" t="inlineStr">
        <is>
          <t>Interest (incl. WHT gross-up where applicable)</t>
        </is>
      </c>
      <c r="E37" t="inlineStr">
        <is>
          <t>USD m</t>
        </is>
      </c>
      <c r="G37" s="13">
        <f>SUM(J37:BN37)</f>
        <v/>
      </c>
      <c r="J37" s="13">
        <f>J35*J11</f>
        <v/>
      </c>
      <c r="K37" s="13">
        <f>K35*K11</f>
        <v/>
      </c>
      <c r="L37" s="13">
        <f>L35*L11</f>
        <v/>
      </c>
      <c r="M37" s="13">
        <f>M35*M11</f>
        <v/>
      </c>
      <c r="N37" s="13">
        <f>N35*N11</f>
        <v/>
      </c>
      <c r="O37" s="13">
        <f>O35*O11</f>
        <v/>
      </c>
      <c r="P37" s="13">
        <f>P35*P11</f>
        <v/>
      </c>
      <c r="Q37" s="13">
        <f>Q35*Q11</f>
        <v/>
      </c>
      <c r="R37" s="13">
        <f>R35*R11</f>
        <v/>
      </c>
      <c r="S37" s="13">
        <f>S35*S11</f>
        <v/>
      </c>
      <c r="T37" s="13">
        <f>T35*T11</f>
        <v/>
      </c>
      <c r="U37" s="13">
        <f>U35*U11</f>
        <v/>
      </c>
      <c r="V37" s="13">
        <f>V35*V11</f>
        <v/>
      </c>
      <c r="W37" s="13">
        <f>W35*W11</f>
        <v/>
      </c>
      <c r="X37" s="13">
        <f>X35*X11</f>
        <v/>
      </c>
      <c r="Y37" s="13">
        <f>Y35*Y11</f>
        <v/>
      </c>
      <c r="Z37" s="13">
        <f>Z35*Z11</f>
        <v/>
      </c>
      <c r="AA37" s="13">
        <f>AA35*AA11</f>
        <v/>
      </c>
      <c r="AB37" s="13">
        <f>AB35*AB11</f>
        <v/>
      </c>
      <c r="AC37" s="13">
        <f>AC35*AC11</f>
        <v/>
      </c>
      <c r="AD37" s="13">
        <f>AD35*AD11</f>
        <v/>
      </c>
      <c r="AE37" s="13">
        <f>AE35*AE11</f>
        <v/>
      </c>
      <c r="AF37" s="13">
        <f>AF35*AF11</f>
        <v/>
      </c>
      <c r="AG37" s="13">
        <f>AG35*AG11</f>
        <v/>
      </c>
      <c r="AH37" s="13">
        <f>AH35*AH11</f>
        <v/>
      </c>
      <c r="AI37" s="13">
        <f>AI35*AI11</f>
        <v/>
      </c>
      <c r="AJ37" s="13">
        <f>AJ35*AJ11</f>
        <v/>
      </c>
      <c r="AK37" s="13">
        <f>AK35*AK11</f>
        <v/>
      </c>
      <c r="AL37" s="13">
        <f>AL35*AL11</f>
        <v/>
      </c>
      <c r="AM37" s="13">
        <f>AM35*AM11</f>
        <v/>
      </c>
      <c r="AN37" s="13">
        <f>AN35*AN11</f>
        <v/>
      </c>
      <c r="AO37" s="13">
        <f>AO35*AO11</f>
        <v/>
      </c>
      <c r="AP37" s="13">
        <f>AP35*AP11</f>
        <v/>
      </c>
      <c r="AQ37" s="13">
        <f>AQ35*AQ11</f>
        <v/>
      </c>
      <c r="AR37" s="13">
        <f>AR35*AR11</f>
        <v/>
      </c>
      <c r="AS37" s="13">
        <f>AS35*AS11</f>
        <v/>
      </c>
      <c r="AT37" s="13">
        <f>AT35*AT11</f>
        <v/>
      </c>
      <c r="AU37" s="13">
        <f>AU35*AU11</f>
        <v/>
      </c>
      <c r="AV37" s="13">
        <f>AV35*AV11</f>
        <v/>
      </c>
      <c r="AW37" s="13">
        <f>AW35*AW11</f>
        <v/>
      </c>
      <c r="AX37" s="13">
        <f>AX35*AX11</f>
        <v/>
      </c>
      <c r="AY37" s="13">
        <f>AY35*AY11</f>
        <v/>
      </c>
      <c r="AZ37" s="13">
        <f>AZ35*AZ11</f>
        <v/>
      </c>
      <c r="BA37" s="13">
        <f>BA35*BA11</f>
        <v/>
      </c>
      <c r="BB37" s="13">
        <f>BB35*BB11</f>
        <v/>
      </c>
      <c r="BC37" s="13">
        <f>BC35*BC11</f>
        <v/>
      </c>
      <c r="BD37" s="13">
        <f>BD35*BD11</f>
        <v/>
      </c>
      <c r="BE37" s="13">
        <f>BE35*BE11</f>
        <v/>
      </c>
      <c r="BF37" s="13">
        <f>BF35*BF11</f>
        <v/>
      </c>
      <c r="BG37" s="13">
        <f>BG35*BG11</f>
        <v/>
      </c>
      <c r="BH37" s="13">
        <f>BH35*BH11</f>
        <v/>
      </c>
      <c r="BI37" s="13">
        <f>BI35*BI11</f>
        <v/>
      </c>
      <c r="BJ37" s="13">
        <f>BJ35*BJ11</f>
        <v/>
      </c>
      <c r="BK37" s="13">
        <f>BK35*BK11</f>
        <v/>
      </c>
      <c r="BL37" s="13">
        <f>BL35*BL11</f>
        <v/>
      </c>
      <c r="BM37" s="13">
        <f>BM35*BM11</f>
        <v/>
      </c>
      <c r="BN37" s="13">
        <f>BN35*BN11</f>
        <v/>
      </c>
    </row>
    <row r="38">
      <c r="D38" t="inlineStr">
        <is>
          <t>Scheduled principal per profile</t>
        </is>
      </c>
      <c r="E38" t="inlineStr">
        <is>
          <t>USD m</t>
        </is>
      </c>
      <c r="G38" s="13">
        <f>SUM(J38:BN38)</f>
        <v/>
      </c>
      <c r="J38" s="13">
        <f>Time!J35*(J35-J36)*J19</f>
        <v/>
      </c>
      <c r="K38" s="13">
        <f>Time!K35*(K35-K36)*K19</f>
        <v/>
      </c>
      <c r="L38" s="13">
        <f>Time!L35*(L35-L36)*L19</f>
        <v/>
      </c>
      <c r="M38" s="13">
        <f>Time!M35*(M35-M36)*M19</f>
        <v/>
      </c>
      <c r="N38" s="13">
        <f>Time!N35*(N35-N36)*N19</f>
        <v/>
      </c>
      <c r="O38" s="13">
        <f>Time!O35*(O35-O36)*O19</f>
        <v/>
      </c>
      <c r="P38" s="13">
        <f>Time!P35*(P35-P36)*P19</f>
        <v/>
      </c>
      <c r="Q38" s="13">
        <f>Time!Q35*(Q35-Q36)*Q19</f>
        <v/>
      </c>
      <c r="R38" s="13">
        <f>Time!R35*(R35-R36)*R19</f>
        <v/>
      </c>
      <c r="S38" s="13">
        <f>Time!S35*(S35-S36)*S19</f>
        <v/>
      </c>
      <c r="T38" s="13">
        <f>Time!T35*(T35-T36)*T19</f>
        <v/>
      </c>
      <c r="U38" s="13">
        <f>Time!U35*(U35-U36)*U19</f>
        <v/>
      </c>
      <c r="V38" s="13">
        <f>Time!V35*(V35-V36)*V19</f>
        <v/>
      </c>
      <c r="W38" s="13">
        <f>Time!W35*(W35-W36)*W19</f>
        <v/>
      </c>
      <c r="X38" s="13">
        <f>Time!X35*(X35-X36)*X19</f>
        <v/>
      </c>
      <c r="Y38" s="13">
        <f>Time!Y35*(Y35-Y36)*Y19</f>
        <v/>
      </c>
      <c r="Z38" s="13">
        <f>Time!Z35*(Z35-Z36)*Z19</f>
        <v/>
      </c>
      <c r="AA38" s="13">
        <f>Time!AA35*(AA35-AA36)*AA19</f>
        <v/>
      </c>
      <c r="AB38" s="13">
        <f>Time!AB35*(AB35-AB36)*AB19</f>
        <v/>
      </c>
      <c r="AC38" s="13">
        <f>Time!AC35*(AC35-AC36)*AC19</f>
        <v/>
      </c>
      <c r="AD38" s="13">
        <f>Time!AD35*(AD35-AD36)*AD19</f>
        <v/>
      </c>
      <c r="AE38" s="13">
        <f>Time!AE35*(AE35-AE36)*AE19</f>
        <v/>
      </c>
      <c r="AF38" s="13">
        <f>Time!AF35*(AF35-AF36)*AF19</f>
        <v/>
      </c>
      <c r="AG38" s="13">
        <f>Time!AG35*(AG35-AG36)*AG19</f>
        <v/>
      </c>
      <c r="AH38" s="13">
        <f>Time!AH35*(AH35-AH36)*AH19</f>
        <v/>
      </c>
      <c r="AI38" s="13">
        <f>Time!AI35*(AI35-AI36)*AI19</f>
        <v/>
      </c>
      <c r="AJ38" s="13">
        <f>Time!AJ35*(AJ35-AJ36)*AJ19</f>
        <v/>
      </c>
      <c r="AK38" s="13">
        <f>Time!AK35*(AK35-AK36)*AK19</f>
        <v/>
      </c>
      <c r="AL38" s="13">
        <f>Time!AL35*(AL35-AL36)*AL19</f>
        <v/>
      </c>
      <c r="AM38" s="13">
        <f>Time!AM35*(AM35-AM36)*AM19</f>
        <v/>
      </c>
      <c r="AN38" s="13">
        <f>Time!AN35*(AN35-AN36)*AN19</f>
        <v/>
      </c>
      <c r="AO38" s="13">
        <f>Time!AO35*(AO35-AO36)*AO19</f>
        <v/>
      </c>
      <c r="AP38" s="13">
        <f>Time!AP35*(AP35-AP36)*AP19</f>
        <v/>
      </c>
      <c r="AQ38" s="13">
        <f>Time!AQ35*(AQ35-AQ36)*AQ19</f>
        <v/>
      </c>
      <c r="AR38" s="13">
        <f>Time!AR35*(AR35-AR36)*AR19</f>
        <v/>
      </c>
      <c r="AS38" s="13">
        <f>Time!AS35*(AS35-AS36)*AS19</f>
        <v/>
      </c>
      <c r="AT38" s="13">
        <f>Time!AT35*(AT35-AT36)*AT19</f>
        <v/>
      </c>
      <c r="AU38" s="13">
        <f>Time!AU35*(AU35-AU36)*AU19</f>
        <v/>
      </c>
      <c r="AV38" s="13">
        <f>Time!AV35*(AV35-AV36)*AV19</f>
        <v/>
      </c>
      <c r="AW38" s="13">
        <f>Time!AW35*(AW35-AW36)*AW19</f>
        <v/>
      </c>
      <c r="AX38" s="13">
        <f>Time!AX35*(AX35-AX36)*AX19</f>
        <v/>
      </c>
      <c r="AY38" s="13">
        <f>Time!AY35*(AY35-AY36)*AY19</f>
        <v/>
      </c>
      <c r="AZ38" s="13">
        <f>Time!AZ35*(AZ35-AZ36)*AZ19</f>
        <v/>
      </c>
      <c r="BA38" s="13">
        <f>Time!BA35*(BA35-BA36)*BA19</f>
        <v/>
      </c>
      <c r="BB38" s="13">
        <f>Time!BB35*(BB35-BB36)*BB19</f>
        <v/>
      </c>
      <c r="BC38" s="13">
        <f>Time!BC35*(BC35-BC36)*BC19</f>
        <v/>
      </c>
      <c r="BD38" s="13">
        <f>Time!BD35*(BD35-BD36)*BD19</f>
        <v/>
      </c>
      <c r="BE38" s="13">
        <f>Time!BE35*(BE35-BE36)*BE19</f>
        <v/>
      </c>
      <c r="BF38" s="13">
        <f>Time!BF35*(BF35-BF36)*BF19</f>
        <v/>
      </c>
      <c r="BG38" s="13">
        <f>Time!BG35*(BG35-BG36)*BG19</f>
        <v/>
      </c>
      <c r="BH38" s="13">
        <f>Time!BH35*(BH35-BH36)*BH19</f>
        <v/>
      </c>
      <c r="BI38" s="13">
        <f>Time!BI35*(BI35-BI36)*BI19</f>
        <v/>
      </c>
      <c r="BJ38" s="13">
        <f>Time!BJ35*(BJ35-BJ36)*BJ19</f>
        <v/>
      </c>
      <c r="BK38" s="13">
        <f>Time!BK35*(BK35-BK36)*BK19</f>
        <v/>
      </c>
      <c r="BL38" s="13">
        <f>Time!BL35*(BL35-BL36)*BL19</f>
        <v/>
      </c>
      <c r="BM38" s="13">
        <f>Time!BM35*(BM35-BM36)*BM19</f>
        <v/>
      </c>
      <c r="BN38" s="13">
        <f>Time!BN35*(BN35-BN36)*BN19</f>
        <v/>
      </c>
    </row>
    <row r="39">
      <c r="D39" t="inlineStr">
        <is>
          <t>Principal deferred under the waiver</t>
        </is>
      </c>
      <c r="E39" t="inlineStr">
        <is>
          <t>USD m</t>
        </is>
      </c>
      <c r="G39" s="13">
        <f>SUM(J39:BN39)</f>
        <v/>
      </c>
      <c r="J39" s="13">
        <f>Time!J43*Inputs!$F$270*J38</f>
        <v/>
      </c>
      <c r="K39" s="13">
        <f>Time!K43*Inputs!$F$270*K38</f>
        <v/>
      </c>
      <c r="L39" s="13">
        <f>Time!L43*Inputs!$F$270*L38</f>
        <v/>
      </c>
      <c r="M39" s="13">
        <f>Time!M43*Inputs!$F$270*M38</f>
        <v/>
      </c>
      <c r="N39" s="13">
        <f>Time!N43*Inputs!$F$270*N38</f>
        <v/>
      </c>
      <c r="O39" s="13">
        <f>Time!O43*Inputs!$F$270*O38</f>
        <v/>
      </c>
      <c r="P39" s="13">
        <f>Time!P43*Inputs!$F$270*P38</f>
        <v/>
      </c>
      <c r="Q39" s="13">
        <f>Time!Q43*Inputs!$F$270*Q38</f>
        <v/>
      </c>
      <c r="R39" s="13">
        <f>Time!R43*Inputs!$F$270*R38</f>
        <v/>
      </c>
      <c r="S39" s="13">
        <f>Time!S43*Inputs!$F$270*S38</f>
        <v/>
      </c>
      <c r="T39" s="13">
        <f>Time!T43*Inputs!$F$270*T38</f>
        <v/>
      </c>
      <c r="U39" s="13">
        <f>Time!U43*Inputs!$F$270*U38</f>
        <v/>
      </c>
      <c r="V39" s="13">
        <f>Time!V43*Inputs!$F$270*V38</f>
        <v/>
      </c>
      <c r="W39" s="13">
        <f>Time!W43*Inputs!$F$270*W38</f>
        <v/>
      </c>
      <c r="X39" s="13">
        <f>Time!X43*Inputs!$F$270*X38</f>
        <v/>
      </c>
      <c r="Y39" s="13">
        <f>Time!Y43*Inputs!$F$270*Y38</f>
        <v/>
      </c>
      <c r="Z39" s="13">
        <f>Time!Z43*Inputs!$F$270*Z38</f>
        <v/>
      </c>
      <c r="AA39" s="13">
        <f>Time!AA43*Inputs!$F$270*AA38</f>
        <v/>
      </c>
      <c r="AB39" s="13">
        <f>Time!AB43*Inputs!$F$270*AB38</f>
        <v/>
      </c>
      <c r="AC39" s="13">
        <f>Time!AC43*Inputs!$F$270*AC38</f>
        <v/>
      </c>
      <c r="AD39" s="13">
        <f>Time!AD43*Inputs!$F$270*AD38</f>
        <v/>
      </c>
      <c r="AE39" s="13">
        <f>Time!AE43*Inputs!$F$270*AE38</f>
        <v/>
      </c>
      <c r="AF39" s="13">
        <f>Time!AF43*Inputs!$F$270*AF38</f>
        <v/>
      </c>
      <c r="AG39" s="13">
        <f>Time!AG43*Inputs!$F$270*AG38</f>
        <v/>
      </c>
      <c r="AH39" s="13">
        <f>Time!AH43*Inputs!$F$270*AH38</f>
        <v/>
      </c>
      <c r="AI39" s="13">
        <f>Time!AI43*Inputs!$F$270*AI38</f>
        <v/>
      </c>
      <c r="AJ39" s="13">
        <f>Time!AJ43*Inputs!$F$270*AJ38</f>
        <v/>
      </c>
      <c r="AK39" s="13">
        <f>Time!AK43*Inputs!$F$270*AK38</f>
        <v/>
      </c>
      <c r="AL39" s="13">
        <f>Time!AL43*Inputs!$F$270*AL38</f>
        <v/>
      </c>
      <c r="AM39" s="13">
        <f>Time!AM43*Inputs!$F$270*AM38</f>
        <v/>
      </c>
      <c r="AN39" s="13">
        <f>Time!AN43*Inputs!$F$270*AN38</f>
        <v/>
      </c>
      <c r="AO39" s="13">
        <f>Time!AO43*Inputs!$F$270*AO38</f>
        <v/>
      </c>
      <c r="AP39" s="13">
        <f>Time!AP43*Inputs!$F$270*AP38</f>
        <v/>
      </c>
      <c r="AQ39" s="13">
        <f>Time!AQ43*Inputs!$F$270*AQ38</f>
        <v/>
      </c>
      <c r="AR39" s="13">
        <f>Time!AR43*Inputs!$F$270*AR38</f>
        <v/>
      </c>
      <c r="AS39" s="13">
        <f>Time!AS43*Inputs!$F$270*AS38</f>
        <v/>
      </c>
      <c r="AT39" s="13">
        <f>Time!AT43*Inputs!$F$270*AT38</f>
        <v/>
      </c>
      <c r="AU39" s="13">
        <f>Time!AU43*Inputs!$F$270*AU38</f>
        <v/>
      </c>
      <c r="AV39" s="13">
        <f>Time!AV43*Inputs!$F$270*AV38</f>
        <v/>
      </c>
      <c r="AW39" s="13">
        <f>Time!AW43*Inputs!$F$270*AW38</f>
        <v/>
      </c>
      <c r="AX39" s="13">
        <f>Time!AX43*Inputs!$F$270*AX38</f>
        <v/>
      </c>
      <c r="AY39" s="13">
        <f>Time!AY43*Inputs!$F$270*AY38</f>
        <v/>
      </c>
      <c r="AZ39" s="13">
        <f>Time!AZ43*Inputs!$F$270*AZ38</f>
        <v/>
      </c>
      <c r="BA39" s="13">
        <f>Time!BA43*Inputs!$F$270*BA38</f>
        <v/>
      </c>
      <c r="BB39" s="13">
        <f>Time!BB43*Inputs!$F$270*BB38</f>
        <v/>
      </c>
      <c r="BC39" s="13">
        <f>Time!BC43*Inputs!$F$270*BC38</f>
        <v/>
      </c>
      <c r="BD39" s="13">
        <f>Time!BD43*Inputs!$F$270*BD38</f>
        <v/>
      </c>
      <c r="BE39" s="13">
        <f>Time!BE43*Inputs!$F$270*BE38</f>
        <v/>
      </c>
      <c r="BF39" s="13">
        <f>Time!BF43*Inputs!$F$270*BF38</f>
        <v/>
      </c>
      <c r="BG39" s="13">
        <f>Time!BG43*Inputs!$F$270*BG38</f>
        <v/>
      </c>
      <c r="BH39" s="13">
        <f>Time!BH43*Inputs!$F$270*BH38</f>
        <v/>
      </c>
      <c r="BI39" s="13">
        <f>Time!BI43*Inputs!$F$270*BI38</f>
        <v/>
      </c>
      <c r="BJ39" s="13">
        <f>Time!BJ43*Inputs!$F$270*BJ38</f>
        <v/>
      </c>
      <c r="BK39" s="13">
        <f>Time!BK43*Inputs!$F$270*BK38</f>
        <v/>
      </c>
      <c r="BL39" s="13">
        <f>Time!BL43*Inputs!$F$270*BL38</f>
        <v/>
      </c>
      <c r="BM39" s="13">
        <f>Time!BM43*Inputs!$F$270*BM38</f>
        <v/>
      </c>
      <c r="BN39" s="13">
        <f>Time!BN43*Inputs!$F$270*BN38</f>
        <v/>
      </c>
    </row>
    <row r="40">
      <c r="D40" t="inlineStr">
        <is>
          <t>Deferred principal repaid (equal parts over the remaining repayment dates)</t>
        </is>
      </c>
      <c r="E40" t="inlineStr">
        <is>
          <t>USD m</t>
        </is>
      </c>
      <c r="G40" s="13">
        <f>SUM(J40:BN40)</f>
        <v/>
      </c>
      <c r="J40" s="13">
        <f>IF(Time!J46&gt;0,Time!J45*J36/Time!J46,0)</f>
        <v/>
      </c>
      <c r="K40" s="13">
        <f>IF(Time!K46&gt;0,Time!K45*K36/Time!K46,0)</f>
        <v/>
      </c>
      <c r="L40" s="13">
        <f>IF(Time!L46&gt;0,Time!L45*L36/Time!L46,0)</f>
        <v/>
      </c>
      <c r="M40" s="13">
        <f>IF(Time!M46&gt;0,Time!M45*M36/Time!M46,0)</f>
        <v/>
      </c>
      <c r="N40" s="13">
        <f>IF(Time!N46&gt;0,Time!N45*N36/Time!N46,0)</f>
        <v/>
      </c>
      <c r="O40" s="13">
        <f>IF(Time!O46&gt;0,Time!O45*O36/Time!O46,0)</f>
        <v/>
      </c>
      <c r="P40" s="13">
        <f>IF(Time!P46&gt;0,Time!P45*P36/Time!P46,0)</f>
        <v/>
      </c>
      <c r="Q40" s="13">
        <f>IF(Time!Q46&gt;0,Time!Q45*Q36/Time!Q46,0)</f>
        <v/>
      </c>
      <c r="R40" s="13">
        <f>IF(Time!R46&gt;0,Time!R45*R36/Time!R46,0)</f>
        <v/>
      </c>
      <c r="S40" s="13">
        <f>IF(Time!S46&gt;0,Time!S45*S36/Time!S46,0)</f>
        <v/>
      </c>
      <c r="T40" s="13">
        <f>IF(Time!T46&gt;0,Time!T45*T36/Time!T46,0)</f>
        <v/>
      </c>
      <c r="U40" s="13">
        <f>IF(Time!U46&gt;0,Time!U45*U36/Time!U46,0)</f>
        <v/>
      </c>
      <c r="V40" s="13">
        <f>IF(Time!V46&gt;0,Time!V45*V36/Time!V46,0)</f>
        <v/>
      </c>
      <c r="W40" s="13">
        <f>IF(Time!W46&gt;0,Time!W45*W36/Time!W46,0)</f>
        <v/>
      </c>
      <c r="X40" s="13">
        <f>IF(Time!X46&gt;0,Time!X45*X36/Time!X46,0)</f>
        <v/>
      </c>
      <c r="Y40" s="13">
        <f>IF(Time!Y46&gt;0,Time!Y45*Y36/Time!Y46,0)</f>
        <v/>
      </c>
      <c r="Z40" s="13">
        <f>IF(Time!Z46&gt;0,Time!Z45*Z36/Time!Z46,0)</f>
        <v/>
      </c>
      <c r="AA40" s="13">
        <f>IF(Time!AA46&gt;0,Time!AA45*AA36/Time!AA46,0)</f>
        <v/>
      </c>
      <c r="AB40" s="13">
        <f>IF(Time!AB46&gt;0,Time!AB45*AB36/Time!AB46,0)</f>
        <v/>
      </c>
      <c r="AC40" s="13">
        <f>IF(Time!AC46&gt;0,Time!AC45*AC36/Time!AC46,0)</f>
        <v/>
      </c>
      <c r="AD40" s="13">
        <f>IF(Time!AD46&gt;0,Time!AD45*AD36/Time!AD46,0)</f>
        <v/>
      </c>
      <c r="AE40" s="13">
        <f>IF(Time!AE46&gt;0,Time!AE45*AE36/Time!AE46,0)</f>
        <v/>
      </c>
      <c r="AF40" s="13">
        <f>IF(Time!AF46&gt;0,Time!AF45*AF36/Time!AF46,0)</f>
        <v/>
      </c>
      <c r="AG40" s="13">
        <f>IF(Time!AG46&gt;0,Time!AG45*AG36/Time!AG46,0)</f>
        <v/>
      </c>
      <c r="AH40" s="13">
        <f>IF(Time!AH46&gt;0,Time!AH45*AH36/Time!AH46,0)</f>
        <v/>
      </c>
      <c r="AI40" s="13">
        <f>IF(Time!AI46&gt;0,Time!AI45*AI36/Time!AI46,0)</f>
        <v/>
      </c>
      <c r="AJ40" s="13">
        <f>IF(Time!AJ46&gt;0,Time!AJ45*AJ36/Time!AJ46,0)</f>
        <v/>
      </c>
      <c r="AK40" s="13">
        <f>IF(Time!AK46&gt;0,Time!AK45*AK36/Time!AK46,0)</f>
        <v/>
      </c>
      <c r="AL40" s="13">
        <f>IF(Time!AL46&gt;0,Time!AL45*AL36/Time!AL46,0)</f>
        <v/>
      </c>
      <c r="AM40" s="13">
        <f>IF(Time!AM46&gt;0,Time!AM45*AM36/Time!AM46,0)</f>
        <v/>
      </c>
      <c r="AN40" s="13">
        <f>IF(Time!AN46&gt;0,Time!AN45*AN36/Time!AN46,0)</f>
        <v/>
      </c>
      <c r="AO40" s="13">
        <f>IF(Time!AO46&gt;0,Time!AO45*AO36/Time!AO46,0)</f>
        <v/>
      </c>
      <c r="AP40" s="13">
        <f>IF(Time!AP46&gt;0,Time!AP45*AP36/Time!AP46,0)</f>
        <v/>
      </c>
      <c r="AQ40" s="13">
        <f>IF(Time!AQ46&gt;0,Time!AQ45*AQ36/Time!AQ46,0)</f>
        <v/>
      </c>
      <c r="AR40" s="13">
        <f>IF(Time!AR46&gt;0,Time!AR45*AR36/Time!AR46,0)</f>
        <v/>
      </c>
      <c r="AS40" s="13">
        <f>IF(Time!AS46&gt;0,Time!AS45*AS36/Time!AS46,0)</f>
        <v/>
      </c>
      <c r="AT40" s="13">
        <f>IF(Time!AT46&gt;0,Time!AT45*AT36/Time!AT46,0)</f>
        <v/>
      </c>
      <c r="AU40" s="13">
        <f>IF(Time!AU46&gt;0,Time!AU45*AU36/Time!AU46,0)</f>
        <v/>
      </c>
      <c r="AV40" s="13">
        <f>IF(Time!AV46&gt;0,Time!AV45*AV36/Time!AV46,0)</f>
        <v/>
      </c>
      <c r="AW40" s="13">
        <f>IF(Time!AW46&gt;0,Time!AW45*AW36/Time!AW46,0)</f>
        <v/>
      </c>
      <c r="AX40" s="13">
        <f>IF(Time!AX46&gt;0,Time!AX45*AX36/Time!AX46,0)</f>
        <v/>
      </c>
      <c r="AY40" s="13">
        <f>IF(Time!AY46&gt;0,Time!AY45*AY36/Time!AY46,0)</f>
        <v/>
      </c>
      <c r="AZ40" s="13">
        <f>IF(Time!AZ46&gt;0,Time!AZ45*AZ36/Time!AZ46,0)</f>
        <v/>
      </c>
      <c r="BA40" s="13">
        <f>IF(Time!BA46&gt;0,Time!BA45*BA36/Time!BA46,0)</f>
        <v/>
      </c>
      <c r="BB40" s="13">
        <f>IF(Time!BB46&gt;0,Time!BB45*BB36/Time!BB46,0)</f>
        <v/>
      </c>
      <c r="BC40" s="13">
        <f>IF(Time!BC46&gt;0,Time!BC45*BC36/Time!BC46,0)</f>
        <v/>
      </c>
      <c r="BD40" s="13">
        <f>IF(Time!BD46&gt;0,Time!BD45*BD36/Time!BD46,0)</f>
        <v/>
      </c>
      <c r="BE40" s="13">
        <f>IF(Time!BE46&gt;0,Time!BE45*BE36/Time!BE46,0)</f>
        <v/>
      </c>
      <c r="BF40" s="13">
        <f>IF(Time!BF46&gt;0,Time!BF45*BF36/Time!BF46,0)</f>
        <v/>
      </c>
      <c r="BG40" s="13">
        <f>IF(Time!BG46&gt;0,Time!BG45*BG36/Time!BG46,0)</f>
        <v/>
      </c>
      <c r="BH40" s="13">
        <f>IF(Time!BH46&gt;0,Time!BH45*BH36/Time!BH46,0)</f>
        <v/>
      </c>
      <c r="BI40" s="13">
        <f>IF(Time!BI46&gt;0,Time!BI45*BI36/Time!BI46,0)</f>
        <v/>
      </c>
      <c r="BJ40" s="13">
        <f>IF(Time!BJ46&gt;0,Time!BJ45*BJ36/Time!BJ46,0)</f>
        <v/>
      </c>
      <c r="BK40" s="13">
        <f>IF(Time!BK46&gt;0,Time!BK45*BK36/Time!BK46,0)</f>
        <v/>
      </c>
      <c r="BL40" s="13">
        <f>IF(Time!BL46&gt;0,Time!BL45*BL36/Time!BL46,0)</f>
        <v/>
      </c>
      <c r="BM40" s="13">
        <f>IF(Time!BM46&gt;0,Time!BM45*BM36/Time!BM46,0)</f>
        <v/>
      </c>
      <c r="BN40" s="13">
        <f>IF(Time!BN46&gt;0,Time!BN45*BN36/Time!BN46,0)</f>
        <v/>
      </c>
    </row>
    <row r="41">
      <c r="D41" t="inlineStr">
        <is>
          <t>Principal paid</t>
        </is>
      </c>
      <c r="E41" t="inlineStr">
        <is>
          <t>USD m</t>
        </is>
      </c>
      <c r="G41" s="13">
        <f>SUM(J41:BN41)</f>
        <v/>
      </c>
      <c r="J41" s="13">
        <f>J38-J39+J40</f>
        <v/>
      </c>
      <c r="K41" s="13">
        <f>K38-K39+K40</f>
        <v/>
      </c>
      <c r="L41" s="13">
        <f>L38-L39+L40</f>
        <v/>
      </c>
      <c r="M41" s="13">
        <f>M38-M39+M40</f>
        <v/>
      </c>
      <c r="N41" s="13">
        <f>N38-N39+N40</f>
        <v/>
      </c>
      <c r="O41" s="13">
        <f>O38-O39+O40</f>
        <v/>
      </c>
      <c r="P41" s="13">
        <f>P38-P39+P40</f>
        <v/>
      </c>
      <c r="Q41" s="13">
        <f>Q38-Q39+Q40</f>
        <v/>
      </c>
      <c r="R41" s="13">
        <f>R38-R39+R40</f>
        <v/>
      </c>
      <c r="S41" s="13">
        <f>S38-S39+S40</f>
        <v/>
      </c>
      <c r="T41" s="13">
        <f>T38-T39+T40</f>
        <v/>
      </c>
      <c r="U41" s="13">
        <f>U38-U39+U40</f>
        <v/>
      </c>
      <c r="V41" s="13">
        <f>V38-V39+V40</f>
        <v/>
      </c>
      <c r="W41" s="13">
        <f>W38-W39+W40</f>
        <v/>
      </c>
      <c r="X41" s="13">
        <f>X38-X39+X40</f>
        <v/>
      </c>
      <c r="Y41" s="13">
        <f>Y38-Y39+Y40</f>
        <v/>
      </c>
      <c r="Z41" s="13">
        <f>Z38-Z39+Z40</f>
        <v/>
      </c>
      <c r="AA41" s="13">
        <f>AA38-AA39+AA40</f>
        <v/>
      </c>
      <c r="AB41" s="13">
        <f>AB38-AB39+AB40</f>
        <v/>
      </c>
      <c r="AC41" s="13">
        <f>AC38-AC39+AC40</f>
        <v/>
      </c>
      <c r="AD41" s="13">
        <f>AD38-AD39+AD40</f>
        <v/>
      </c>
      <c r="AE41" s="13">
        <f>AE38-AE39+AE40</f>
        <v/>
      </c>
      <c r="AF41" s="13">
        <f>AF38-AF39+AF40</f>
        <v/>
      </c>
      <c r="AG41" s="13">
        <f>AG38-AG39+AG40</f>
        <v/>
      </c>
      <c r="AH41" s="13">
        <f>AH38-AH39+AH40</f>
        <v/>
      </c>
      <c r="AI41" s="13">
        <f>AI38-AI39+AI40</f>
        <v/>
      </c>
      <c r="AJ41" s="13">
        <f>AJ38-AJ39+AJ40</f>
        <v/>
      </c>
      <c r="AK41" s="13">
        <f>AK38-AK39+AK40</f>
        <v/>
      </c>
      <c r="AL41" s="13">
        <f>AL38-AL39+AL40</f>
        <v/>
      </c>
      <c r="AM41" s="13">
        <f>AM38-AM39+AM40</f>
        <v/>
      </c>
      <c r="AN41" s="13">
        <f>AN38-AN39+AN40</f>
        <v/>
      </c>
      <c r="AO41" s="13">
        <f>AO38-AO39+AO40</f>
        <v/>
      </c>
      <c r="AP41" s="13">
        <f>AP38-AP39+AP40</f>
        <v/>
      </c>
      <c r="AQ41" s="13">
        <f>AQ38-AQ39+AQ40</f>
        <v/>
      </c>
      <c r="AR41" s="13">
        <f>AR38-AR39+AR40</f>
        <v/>
      </c>
      <c r="AS41" s="13">
        <f>AS38-AS39+AS40</f>
        <v/>
      </c>
      <c r="AT41" s="13">
        <f>AT38-AT39+AT40</f>
        <v/>
      </c>
      <c r="AU41" s="13">
        <f>AU38-AU39+AU40</f>
        <v/>
      </c>
      <c r="AV41" s="13">
        <f>AV38-AV39+AV40</f>
        <v/>
      </c>
      <c r="AW41" s="13">
        <f>AW38-AW39+AW40</f>
        <v/>
      </c>
      <c r="AX41" s="13">
        <f>AX38-AX39+AX40</f>
        <v/>
      </c>
      <c r="AY41" s="13">
        <f>AY38-AY39+AY40</f>
        <v/>
      </c>
      <c r="AZ41" s="13">
        <f>AZ38-AZ39+AZ40</f>
        <v/>
      </c>
      <c r="BA41" s="13">
        <f>BA38-BA39+BA40</f>
        <v/>
      </c>
      <c r="BB41" s="13">
        <f>BB38-BB39+BB40</f>
        <v/>
      </c>
      <c r="BC41" s="13">
        <f>BC38-BC39+BC40</f>
        <v/>
      </c>
      <c r="BD41" s="13">
        <f>BD38-BD39+BD40</f>
        <v/>
      </c>
      <c r="BE41" s="13">
        <f>BE38-BE39+BE40</f>
        <v/>
      </c>
      <c r="BF41" s="13">
        <f>BF38-BF39+BF40</f>
        <v/>
      </c>
      <c r="BG41" s="13">
        <f>BG38-BG39+BG40</f>
        <v/>
      </c>
      <c r="BH41" s="13">
        <f>BH38-BH39+BH40</f>
        <v/>
      </c>
      <c r="BI41" s="13">
        <f>BI38-BI39+BI40</f>
        <v/>
      </c>
      <c r="BJ41" s="13">
        <f>BJ38-BJ39+BJ40</f>
        <v/>
      </c>
      <c r="BK41" s="13">
        <f>BK38-BK39+BK40</f>
        <v/>
      </c>
      <c r="BL41" s="13">
        <f>BL38-BL39+BL40</f>
        <v/>
      </c>
      <c r="BM41" s="13">
        <f>BM38-BM39+BM40</f>
        <v/>
      </c>
      <c r="BN41" s="13">
        <f>BN38-BN39+BN40</f>
        <v/>
      </c>
    </row>
    <row r="42">
      <c r="D42" t="inlineStr">
        <is>
          <t>Performance LD prepayment</t>
        </is>
      </c>
      <c r="E42" t="inlineStr">
        <is>
          <t>USD m</t>
        </is>
      </c>
      <c r="G42" s="13">
        <f>SUM(J42:BN42)</f>
        <v/>
      </c>
      <c r="J42" s="13">
        <f>Time!J42*Inputs!$F$267*(J35-J41)/(J21-J27+J35-J41+J49-J55+J63-J69+J77-J83+Inputs!$F$253)</f>
        <v/>
      </c>
      <c r="K42" s="13">
        <f>Time!K42*Inputs!$F$267*(K35-K41)/(K21-K27+K35-K41+K49-K55+K63-K69+K77-K83+Inputs!$F$253)</f>
        <v/>
      </c>
      <c r="L42" s="13">
        <f>Time!L42*Inputs!$F$267*(L35-L41)/(L21-L27+L35-L41+L49-L55+L63-L69+L77-L83+Inputs!$F$253)</f>
        <v/>
      </c>
      <c r="M42" s="13">
        <f>Time!M42*Inputs!$F$267*(M35-M41)/(M21-M27+M35-M41+M49-M55+M63-M69+M77-M83+Inputs!$F$253)</f>
        <v/>
      </c>
      <c r="N42" s="13">
        <f>Time!N42*Inputs!$F$267*(N35-N41)/(N21-N27+N35-N41+N49-N55+N63-N69+N77-N83+Inputs!$F$253)</f>
        <v/>
      </c>
      <c r="O42" s="13">
        <f>Time!O42*Inputs!$F$267*(O35-O41)/(O21-O27+O35-O41+O49-O55+O63-O69+O77-O83+Inputs!$F$253)</f>
        <v/>
      </c>
      <c r="P42" s="13">
        <f>Time!P42*Inputs!$F$267*(P35-P41)/(P21-P27+P35-P41+P49-P55+P63-P69+P77-P83+Inputs!$F$253)</f>
        <v/>
      </c>
      <c r="Q42" s="13">
        <f>Time!Q42*Inputs!$F$267*(Q35-Q41)/(Q21-Q27+Q35-Q41+Q49-Q55+Q63-Q69+Q77-Q83+Inputs!$F$253)</f>
        <v/>
      </c>
      <c r="R42" s="13">
        <f>Time!R42*Inputs!$F$267*(R35-R41)/(R21-R27+R35-R41+R49-R55+R63-R69+R77-R83+Inputs!$F$253)</f>
        <v/>
      </c>
      <c r="S42" s="13">
        <f>Time!S42*Inputs!$F$267*(S35-S41)/(S21-S27+S35-S41+S49-S55+S63-S69+S77-S83+Inputs!$F$253)</f>
        <v/>
      </c>
      <c r="T42" s="13">
        <f>Time!T42*Inputs!$F$267*(T35-T41)/(T21-T27+T35-T41+T49-T55+T63-T69+T77-T83+Inputs!$F$253)</f>
        <v/>
      </c>
      <c r="U42" s="13">
        <f>Time!U42*Inputs!$F$267*(U35-U41)/(U21-U27+U35-U41+U49-U55+U63-U69+U77-U83+Inputs!$F$253)</f>
        <v/>
      </c>
      <c r="V42" s="13">
        <f>Time!V42*Inputs!$F$267*(V35-V41)/(V21-V27+V35-V41+V49-V55+V63-V69+V77-V83+Inputs!$F$253)</f>
        <v/>
      </c>
      <c r="W42" s="13">
        <f>Time!W42*Inputs!$F$267*(W35-W41)/(W21-W27+W35-W41+W49-W55+W63-W69+W77-W83+Inputs!$F$253)</f>
        <v/>
      </c>
      <c r="X42" s="13">
        <f>Time!X42*Inputs!$F$267*(X35-X41)/(X21-X27+X35-X41+X49-X55+X63-X69+X77-X83+Inputs!$F$253)</f>
        <v/>
      </c>
      <c r="Y42" s="13">
        <f>Time!Y42*Inputs!$F$267*(Y35-Y41)/(Y21-Y27+Y35-Y41+Y49-Y55+Y63-Y69+Y77-Y83+Inputs!$F$253)</f>
        <v/>
      </c>
      <c r="Z42" s="13">
        <f>Time!Z42*Inputs!$F$267*(Z35-Z41)/(Z21-Z27+Z35-Z41+Z49-Z55+Z63-Z69+Z77-Z83+Inputs!$F$253)</f>
        <v/>
      </c>
      <c r="AA42" s="13">
        <f>Time!AA42*Inputs!$F$267*(AA35-AA41)/(AA21-AA27+AA35-AA41+AA49-AA55+AA63-AA69+AA77-AA83+Inputs!$F$253)</f>
        <v/>
      </c>
      <c r="AB42" s="13">
        <f>Time!AB42*Inputs!$F$267*(AB35-AB41)/(AB21-AB27+AB35-AB41+AB49-AB55+AB63-AB69+AB77-AB83+Inputs!$F$253)</f>
        <v/>
      </c>
      <c r="AC42" s="13">
        <f>Time!AC42*Inputs!$F$267*(AC35-AC41)/(AC21-AC27+AC35-AC41+AC49-AC55+AC63-AC69+AC77-AC83+Inputs!$F$253)</f>
        <v/>
      </c>
      <c r="AD42" s="13">
        <f>Time!AD42*Inputs!$F$267*(AD35-AD41)/(AD21-AD27+AD35-AD41+AD49-AD55+AD63-AD69+AD77-AD83+Inputs!$F$253)</f>
        <v/>
      </c>
      <c r="AE42" s="13">
        <f>Time!AE42*Inputs!$F$267*(AE35-AE41)/(AE21-AE27+AE35-AE41+AE49-AE55+AE63-AE69+AE77-AE83+Inputs!$F$253)</f>
        <v/>
      </c>
      <c r="AF42" s="13">
        <f>Time!AF42*Inputs!$F$267*(AF35-AF41)/(AF21-AF27+AF35-AF41+AF49-AF55+AF63-AF69+AF77-AF83+Inputs!$F$253)</f>
        <v/>
      </c>
      <c r="AG42" s="13">
        <f>Time!AG42*Inputs!$F$267*(AG35-AG41)/(AG21-AG27+AG35-AG41+AG49-AG55+AG63-AG69+AG77-AG83+Inputs!$F$253)</f>
        <v/>
      </c>
      <c r="AH42" s="13">
        <f>Time!AH42*Inputs!$F$267*(AH35-AH41)/(AH21-AH27+AH35-AH41+AH49-AH55+AH63-AH69+AH77-AH83+Inputs!$F$253)</f>
        <v/>
      </c>
      <c r="AI42" s="13">
        <f>Time!AI42*Inputs!$F$267*(AI35-AI41)/(AI21-AI27+AI35-AI41+AI49-AI55+AI63-AI69+AI77-AI83+Inputs!$F$253)</f>
        <v/>
      </c>
      <c r="AJ42" s="13">
        <f>Time!AJ42*Inputs!$F$267*(AJ35-AJ41)/(AJ21-AJ27+AJ35-AJ41+AJ49-AJ55+AJ63-AJ69+AJ77-AJ83+Inputs!$F$253)</f>
        <v/>
      </c>
      <c r="AK42" s="13">
        <f>Time!AK42*Inputs!$F$267*(AK35-AK41)/(AK21-AK27+AK35-AK41+AK49-AK55+AK63-AK69+AK77-AK83+Inputs!$F$253)</f>
        <v/>
      </c>
      <c r="AL42" s="13">
        <f>Time!AL42*Inputs!$F$267*(AL35-AL41)/(AL21-AL27+AL35-AL41+AL49-AL55+AL63-AL69+AL77-AL83+Inputs!$F$253)</f>
        <v/>
      </c>
      <c r="AM42" s="13">
        <f>Time!AM42*Inputs!$F$267*(AM35-AM41)/(AM21-AM27+AM35-AM41+AM49-AM55+AM63-AM69+AM77-AM83+Inputs!$F$253)</f>
        <v/>
      </c>
      <c r="AN42" s="13">
        <f>Time!AN42*Inputs!$F$267*(AN35-AN41)/(AN21-AN27+AN35-AN41+AN49-AN55+AN63-AN69+AN77-AN83+Inputs!$F$253)</f>
        <v/>
      </c>
      <c r="AO42" s="13">
        <f>Time!AO42*Inputs!$F$267*(AO35-AO41)/(AO21-AO27+AO35-AO41+AO49-AO55+AO63-AO69+AO77-AO83+Inputs!$F$253)</f>
        <v/>
      </c>
      <c r="AP42" s="13">
        <f>Time!AP42*Inputs!$F$267*(AP35-AP41)/(AP21-AP27+AP35-AP41+AP49-AP55+AP63-AP69+AP77-AP83+Inputs!$F$253)</f>
        <v/>
      </c>
      <c r="AQ42" s="13">
        <f>Time!AQ42*Inputs!$F$267*(AQ35-AQ41)/(AQ21-AQ27+AQ35-AQ41+AQ49-AQ55+AQ63-AQ69+AQ77-AQ83+Inputs!$F$253)</f>
        <v/>
      </c>
      <c r="AR42" s="13">
        <f>Time!AR42*Inputs!$F$267*(AR35-AR41)/(AR21-AR27+AR35-AR41+AR49-AR55+AR63-AR69+AR77-AR83+Inputs!$F$253)</f>
        <v/>
      </c>
      <c r="AS42" s="13">
        <f>Time!AS42*Inputs!$F$267*(AS35-AS41)/(AS21-AS27+AS35-AS41+AS49-AS55+AS63-AS69+AS77-AS83+Inputs!$F$253)</f>
        <v/>
      </c>
      <c r="AT42" s="13">
        <f>Time!AT42*Inputs!$F$267*(AT35-AT41)/(AT21-AT27+AT35-AT41+AT49-AT55+AT63-AT69+AT77-AT83+Inputs!$F$253)</f>
        <v/>
      </c>
      <c r="AU42" s="13">
        <f>Time!AU42*Inputs!$F$267*(AU35-AU41)/(AU21-AU27+AU35-AU41+AU49-AU55+AU63-AU69+AU77-AU83+Inputs!$F$253)</f>
        <v/>
      </c>
      <c r="AV42" s="13">
        <f>Time!AV42*Inputs!$F$267*(AV35-AV41)/(AV21-AV27+AV35-AV41+AV49-AV55+AV63-AV69+AV77-AV83+Inputs!$F$253)</f>
        <v/>
      </c>
      <c r="AW42" s="13">
        <f>Time!AW42*Inputs!$F$267*(AW35-AW41)/(AW21-AW27+AW35-AW41+AW49-AW55+AW63-AW69+AW77-AW83+Inputs!$F$253)</f>
        <v/>
      </c>
      <c r="AX42" s="13">
        <f>Time!AX42*Inputs!$F$267*(AX35-AX41)/(AX21-AX27+AX35-AX41+AX49-AX55+AX63-AX69+AX77-AX83+Inputs!$F$253)</f>
        <v/>
      </c>
      <c r="AY42" s="13">
        <f>Time!AY42*Inputs!$F$267*(AY35-AY41)/(AY21-AY27+AY35-AY41+AY49-AY55+AY63-AY69+AY77-AY83+Inputs!$F$253)</f>
        <v/>
      </c>
      <c r="AZ42" s="13">
        <f>Time!AZ42*Inputs!$F$267*(AZ35-AZ41)/(AZ21-AZ27+AZ35-AZ41+AZ49-AZ55+AZ63-AZ69+AZ77-AZ83+Inputs!$F$253)</f>
        <v/>
      </c>
      <c r="BA42" s="13">
        <f>Time!BA42*Inputs!$F$267*(BA35-BA41)/(BA21-BA27+BA35-BA41+BA49-BA55+BA63-BA69+BA77-BA83+Inputs!$F$253)</f>
        <v/>
      </c>
      <c r="BB42" s="13">
        <f>Time!BB42*Inputs!$F$267*(BB35-BB41)/(BB21-BB27+BB35-BB41+BB49-BB55+BB63-BB69+BB77-BB83+Inputs!$F$253)</f>
        <v/>
      </c>
      <c r="BC42" s="13">
        <f>Time!BC42*Inputs!$F$267*(BC35-BC41)/(BC21-BC27+BC35-BC41+BC49-BC55+BC63-BC69+BC77-BC83+Inputs!$F$253)</f>
        <v/>
      </c>
      <c r="BD42" s="13">
        <f>Time!BD42*Inputs!$F$267*(BD35-BD41)/(BD21-BD27+BD35-BD41+BD49-BD55+BD63-BD69+BD77-BD83+Inputs!$F$253)</f>
        <v/>
      </c>
      <c r="BE42" s="13">
        <f>Time!BE42*Inputs!$F$267*(BE35-BE41)/(BE21-BE27+BE35-BE41+BE49-BE55+BE63-BE69+BE77-BE83+Inputs!$F$253)</f>
        <v/>
      </c>
      <c r="BF42" s="13">
        <f>Time!BF42*Inputs!$F$267*(BF35-BF41)/(BF21-BF27+BF35-BF41+BF49-BF55+BF63-BF69+BF77-BF83+Inputs!$F$253)</f>
        <v/>
      </c>
      <c r="BG42" s="13">
        <f>Time!BG42*Inputs!$F$267*(BG35-BG41)/(BG21-BG27+BG35-BG41+BG49-BG55+BG63-BG69+BG77-BG83+Inputs!$F$253)</f>
        <v/>
      </c>
      <c r="BH42" s="13">
        <f>Time!BH42*Inputs!$F$267*(BH35-BH41)/(BH21-BH27+BH35-BH41+BH49-BH55+BH63-BH69+BH77-BH83+Inputs!$F$253)</f>
        <v/>
      </c>
      <c r="BI42" s="13">
        <f>Time!BI42*Inputs!$F$267*(BI35-BI41)/(BI21-BI27+BI35-BI41+BI49-BI55+BI63-BI69+BI77-BI83+Inputs!$F$253)</f>
        <v/>
      </c>
      <c r="BJ42" s="13">
        <f>Time!BJ42*Inputs!$F$267*(BJ35-BJ41)/(BJ21-BJ27+BJ35-BJ41+BJ49-BJ55+BJ63-BJ69+BJ77-BJ83+Inputs!$F$253)</f>
        <v/>
      </c>
      <c r="BK42" s="13">
        <f>Time!BK42*Inputs!$F$267*(BK35-BK41)/(BK21-BK27+BK35-BK41+BK49-BK55+BK63-BK69+BK77-BK83+Inputs!$F$253)</f>
        <v/>
      </c>
      <c r="BL42" s="13">
        <f>Time!BL42*Inputs!$F$267*(BL35-BL41)/(BL21-BL27+BL35-BL41+BL49-BL55+BL63-BL69+BL77-BL83+Inputs!$F$253)</f>
        <v/>
      </c>
      <c r="BM42" s="13">
        <f>Time!BM42*Inputs!$F$267*(BM35-BM41)/(BM21-BM27+BM35-BM41+BM49-BM55+BM63-BM69+BM77-BM83+Inputs!$F$253)</f>
        <v/>
      </c>
      <c r="BN42" s="13">
        <f>Time!BN42*Inputs!$F$267*(BN35-BN41)/(BN21-BN27+BN35-BN41+BN49-BN55+BN63-BN69+BN77-BN83+Inputs!$F$253)</f>
        <v/>
      </c>
    </row>
    <row r="43">
      <c r="D43" t="inlineStr">
        <is>
          <t>Refinanced (not refinanced: stays in place)</t>
        </is>
      </c>
      <c r="E43" t="inlineStr">
        <is>
          <t>USD m</t>
        </is>
      </c>
      <c r="G43" s="13">
        <f>SUM(J43:BN43)</f>
        <v/>
      </c>
      <c r="J43" s="13">
        <f>Time!J47*0</f>
        <v/>
      </c>
      <c r="K43" s="13">
        <f>Time!K47*0</f>
        <v/>
      </c>
      <c r="L43" s="13">
        <f>Time!L47*0</f>
        <v/>
      </c>
      <c r="M43" s="13">
        <f>Time!M47*0</f>
        <v/>
      </c>
      <c r="N43" s="13">
        <f>Time!N47*0</f>
        <v/>
      </c>
      <c r="O43" s="13">
        <f>Time!O47*0</f>
        <v/>
      </c>
      <c r="P43" s="13">
        <f>Time!P47*0</f>
        <v/>
      </c>
      <c r="Q43" s="13">
        <f>Time!Q47*0</f>
        <v/>
      </c>
      <c r="R43" s="13">
        <f>Time!R47*0</f>
        <v/>
      </c>
      <c r="S43" s="13">
        <f>Time!S47*0</f>
        <v/>
      </c>
      <c r="T43" s="13">
        <f>Time!T47*0</f>
        <v/>
      </c>
      <c r="U43" s="13">
        <f>Time!U47*0</f>
        <v/>
      </c>
      <c r="V43" s="13">
        <f>Time!V47*0</f>
        <v/>
      </c>
      <c r="W43" s="13">
        <f>Time!W47*0</f>
        <v/>
      </c>
      <c r="X43" s="13">
        <f>Time!X47*0</f>
        <v/>
      </c>
      <c r="Y43" s="13">
        <f>Time!Y47*0</f>
        <v/>
      </c>
      <c r="Z43" s="13">
        <f>Time!Z47*0</f>
        <v/>
      </c>
      <c r="AA43" s="13">
        <f>Time!AA47*0</f>
        <v/>
      </c>
      <c r="AB43" s="13">
        <f>Time!AB47*0</f>
        <v/>
      </c>
      <c r="AC43" s="13">
        <f>Time!AC47*0</f>
        <v/>
      </c>
      <c r="AD43" s="13">
        <f>Time!AD47*0</f>
        <v/>
      </c>
      <c r="AE43" s="13">
        <f>Time!AE47*0</f>
        <v/>
      </c>
      <c r="AF43" s="13">
        <f>Time!AF47*0</f>
        <v/>
      </c>
      <c r="AG43" s="13">
        <f>Time!AG47*0</f>
        <v/>
      </c>
      <c r="AH43" s="13">
        <f>Time!AH47*0</f>
        <v/>
      </c>
      <c r="AI43" s="13">
        <f>Time!AI47*0</f>
        <v/>
      </c>
      <c r="AJ43" s="13">
        <f>Time!AJ47*0</f>
        <v/>
      </c>
      <c r="AK43" s="13">
        <f>Time!AK47*0</f>
        <v/>
      </c>
      <c r="AL43" s="13">
        <f>Time!AL47*0</f>
        <v/>
      </c>
      <c r="AM43" s="13">
        <f>Time!AM47*0</f>
        <v/>
      </c>
      <c r="AN43" s="13">
        <f>Time!AN47*0</f>
        <v/>
      </c>
      <c r="AO43" s="13">
        <f>Time!AO47*0</f>
        <v/>
      </c>
      <c r="AP43" s="13">
        <f>Time!AP47*0</f>
        <v/>
      </c>
      <c r="AQ43" s="13">
        <f>Time!AQ47*0</f>
        <v/>
      </c>
      <c r="AR43" s="13">
        <f>Time!AR47*0</f>
        <v/>
      </c>
      <c r="AS43" s="13">
        <f>Time!AS47*0</f>
        <v/>
      </c>
      <c r="AT43" s="13">
        <f>Time!AT47*0</f>
        <v/>
      </c>
      <c r="AU43" s="13">
        <f>Time!AU47*0</f>
        <v/>
      </c>
      <c r="AV43" s="13">
        <f>Time!AV47*0</f>
        <v/>
      </c>
      <c r="AW43" s="13">
        <f>Time!AW47*0</f>
        <v/>
      </c>
      <c r="AX43" s="13">
        <f>Time!AX47*0</f>
        <v/>
      </c>
      <c r="AY43" s="13">
        <f>Time!AY47*0</f>
        <v/>
      </c>
      <c r="AZ43" s="13">
        <f>Time!AZ47*0</f>
        <v/>
      </c>
      <c r="BA43" s="13">
        <f>Time!BA47*0</f>
        <v/>
      </c>
      <c r="BB43" s="13">
        <f>Time!BB47*0</f>
        <v/>
      </c>
      <c r="BC43" s="13">
        <f>Time!BC47*0</f>
        <v/>
      </c>
      <c r="BD43" s="13">
        <f>Time!BD47*0</f>
        <v/>
      </c>
      <c r="BE43" s="13">
        <f>Time!BE47*0</f>
        <v/>
      </c>
      <c r="BF43" s="13">
        <f>Time!BF47*0</f>
        <v/>
      </c>
      <c r="BG43" s="13">
        <f>Time!BG47*0</f>
        <v/>
      </c>
      <c r="BH43" s="13">
        <f>Time!BH47*0</f>
        <v/>
      </c>
      <c r="BI43" s="13">
        <f>Time!BI47*0</f>
        <v/>
      </c>
      <c r="BJ43" s="13">
        <f>Time!BJ47*0</f>
        <v/>
      </c>
      <c r="BK43" s="13">
        <f>Time!BK47*0</f>
        <v/>
      </c>
      <c r="BL43" s="13">
        <f>Time!BL47*0</f>
        <v/>
      </c>
      <c r="BM43" s="13">
        <f>Time!BM47*0</f>
        <v/>
      </c>
      <c r="BN43" s="13">
        <f>Time!BN47*0</f>
        <v/>
      </c>
    </row>
    <row r="44">
      <c r="D44" t="inlineStr">
        <is>
          <t>Deferred principal, closing</t>
        </is>
      </c>
      <c r="E44" t="inlineStr">
        <is>
          <t>USD m</t>
        </is>
      </c>
      <c r="J44" s="13">
        <f>J36+J39-J40</f>
        <v/>
      </c>
      <c r="K44" s="13">
        <f>K36+K39-K40</f>
        <v/>
      </c>
      <c r="L44" s="13">
        <f>L36+L39-L40</f>
        <v/>
      </c>
      <c r="M44" s="13">
        <f>M36+M39-M40</f>
        <v/>
      </c>
      <c r="N44" s="13">
        <f>N36+N39-N40</f>
        <v/>
      </c>
      <c r="O44" s="13">
        <f>O36+O39-O40</f>
        <v/>
      </c>
      <c r="P44" s="13">
        <f>P36+P39-P40</f>
        <v/>
      </c>
      <c r="Q44" s="13">
        <f>Q36+Q39-Q40</f>
        <v/>
      </c>
      <c r="R44" s="13">
        <f>R36+R39-R40</f>
        <v/>
      </c>
      <c r="S44" s="13">
        <f>S36+S39-S40</f>
        <v/>
      </c>
      <c r="T44" s="13">
        <f>T36+T39-T40</f>
        <v/>
      </c>
      <c r="U44" s="13">
        <f>U36+U39-U40</f>
        <v/>
      </c>
      <c r="V44" s="13">
        <f>V36+V39-V40</f>
        <v/>
      </c>
      <c r="W44" s="13">
        <f>W36+W39-W40</f>
        <v/>
      </c>
      <c r="X44" s="13">
        <f>X36+X39-X40</f>
        <v/>
      </c>
      <c r="Y44" s="13">
        <f>Y36+Y39-Y40</f>
        <v/>
      </c>
      <c r="Z44" s="13">
        <f>Z36+Z39-Z40</f>
        <v/>
      </c>
      <c r="AA44" s="13">
        <f>AA36+AA39-AA40</f>
        <v/>
      </c>
      <c r="AB44" s="13">
        <f>AB36+AB39-AB40</f>
        <v/>
      </c>
      <c r="AC44" s="13">
        <f>AC36+AC39-AC40</f>
        <v/>
      </c>
      <c r="AD44" s="13">
        <f>AD36+AD39-AD40</f>
        <v/>
      </c>
      <c r="AE44" s="13">
        <f>AE36+AE39-AE40</f>
        <v/>
      </c>
      <c r="AF44" s="13">
        <f>AF36+AF39-AF40</f>
        <v/>
      </c>
      <c r="AG44" s="13">
        <f>AG36+AG39-AG40</f>
        <v/>
      </c>
      <c r="AH44" s="13">
        <f>AH36+AH39-AH40</f>
        <v/>
      </c>
      <c r="AI44" s="13">
        <f>AI36+AI39-AI40</f>
        <v/>
      </c>
      <c r="AJ44" s="13">
        <f>AJ36+AJ39-AJ40</f>
        <v/>
      </c>
      <c r="AK44" s="13">
        <f>AK36+AK39-AK40</f>
        <v/>
      </c>
      <c r="AL44" s="13">
        <f>AL36+AL39-AL40</f>
        <v/>
      </c>
      <c r="AM44" s="13">
        <f>AM36+AM39-AM40</f>
        <v/>
      </c>
      <c r="AN44" s="13">
        <f>AN36+AN39-AN40</f>
        <v/>
      </c>
      <c r="AO44" s="13">
        <f>AO36+AO39-AO40</f>
        <v/>
      </c>
      <c r="AP44" s="13">
        <f>AP36+AP39-AP40</f>
        <v/>
      </c>
      <c r="AQ44" s="13">
        <f>AQ36+AQ39-AQ40</f>
        <v/>
      </c>
      <c r="AR44" s="13">
        <f>AR36+AR39-AR40</f>
        <v/>
      </c>
      <c r="AS44" s="13">
        <f>AS36+AS39-AS40</f>
        <v/>
      </c>
      <c r="AT44" s="13">
        <f>AT36+AT39-AT40</f>
        <v/>
      </c>
      <c r="AU44" s="13">
        <f>AU36+AU39-AU40</f>
        <v/>
      </c>
      <c r="AV44" s="13">
        <f>AV36+AV39-AV40</f>
        <v/>
      </c>
      <c r="AW44" s="13">
        <f>AW36+AW39-AW40</f>
        <v/>
      </c>
      <c r="AX44" s="13">
        <f>AX36+AX39-AX40</f>
        <v/>
      </c>
      <c r="AY44" s="13">
        <f>AY36+AY39-AY40</f>
        <v/>
      </c>
      <c r="AZ44" s="13">
        <f>AZ36+AZ39-AZ40</f>
        <v/>
      </c>
      <c r="BA44" s="13">
        <f>BA36+BA39-BA40</f>
        <v/>
      </c>
      <c r="BB44" s="13">
        <f>BB36+BB39-BB40</f>
        <v/>
      </c>
      <c r="BC44" s="13">
        <f>BC36+BC39-BC40</f>
        <v/>
      </c>
      <c r="BD44" s="13">
        <f>BD36+BD39-BD40</f>
        <v/>
      </c>
      <c r="BE44" s="13">
        <f>BE36+BE39-BE40</f>
        <v/>
      </c>
      <c r="BF44" s="13">
        <f>BF36+BF39-BF40</f>
        <v/>
      </c>
      <c r="BG44" s="13">
        <f>BG36+BG39-BG40</f>
        <v/>
      </c>
      <c r="BH44" s="13">
        <f>BH36+BH39-BH40</f>
        <v/>
      </c>
      <c r="BI44" s="13">
        <f>BI36+BI39-BI40</f>
        <v/>
      </c>
      <c r="BJ44" s="13">
        <f>BJ36+BJ39-BJ40</f>
        <v/>
      </c>
      <c r="BK44" s="13">
        <f>BK36+BK39-BK40</f>
        <v/>
      </c>
      <c r="BL44" s="13">
        <f>BL36+BL39-BL40</f>
        <v/>
      </c>
      <c r="BM44" s="13">
        <f>BM36+BM39-BM40</f>
        <v/>
      </c>
      <c r="BN44" s="13">
        <f>BN36+BN39-BN40</f>
        <v/>
      </c>
    </row>
    <row r="45">
      <c r="D45" t="inlineStr">
        <is>
          <t>Balance after scheduled payment, LDs and refinancing</t>
        </is>
      </c>
      <c r="E45" t="inlineStr">
        <is>
          <t>USD m</t>
        </is>
      </c>
      <c r="J45" s="13">
        <f>J35-J41-J42-J43</f>
        <v/>
      </c>
      <c r="K45" s="13">
        <f>K35-K41-K42-K43</f>
        <v/>
      </c>
      <c r="L45" s="13">
        <f>L35-L41-L42-L43</f>
        <v/>
      </c>
      <c r="M45" s="13">
        <f>M35-M41-M42-M43</f>
        <v/>
      </c>
      <c r="N45" s="13">
        <f>N35-N41-N42-N43</f>
        <v/>
      </c>
      <c r="O45" s="13">
        <f>O35-O41-O42-O43</f>
        <v/>
      </c>
      <c r="P45" s="13">
        <f>P35-P41-P42-P43</f>
        <v/>
      </c>
      <c r="Q45" s="13">
        <f>Q35-Q41-Q42-Q43</f>
        <v/>
      </c>
      <c r="R45" s="13">
        <f>R35-R41-R42-R43</f>
        <v/>
      </c>
      <c r="S45" s="13">
        <f>S35-S41-S42-S43</f>
        <v/>
      </c>
      <c r="T45" s="13">
        <f>T35-T41-T42-T43</f>
        <v/>
      </c>
      <c r="U45" s="13">
        <f>U35-U41-U42-U43</f>
        <v/>
      </c>
      <c r="V45" s="13">
        <f>V35-V41-V42-V43</f>
        <v/>
      </c>
      <c r="W45" s="13">
        <f>W35-W41-W42-W43</f>
        <v/>
      </c>
      <c r="X45" s="13">
        <f>X35-X41-X42-X43</f>
        <v/>
      </c>
      <c r="Y45" s="13">
        <f>Y35-Y41-Y42-Y43</f>
        <v/>
      </c>
      <c r="Z45" s="13">
        <f>Z35-Z41-Z42-Z43</f>
        <v/>
      </c>
      <c r="AA45" s="13">
        <f>AA35-AA41-AA42-AA43</f>
        <v/>
      </c>
      <c r="AB45" s="13">
        <f>AB35-AB41-AB42-AB43</f>
        <v/>
      </c>
      <c r="AC45" s="13">
        <f>AC35-AC41-AC42-AC43</f>
        <v/>
      </c>
      <c r="AD45" s="13">
        <f>AD35-AD41-AD42-AD43</f>
        <v/>
      </c>
      <c r="AE45" s="13">
        <f>AE35-AE41-AE42-AE43</f>
        <v/>
      </c>
      <c r="AF45" s="13">
        <f>AF35-AF41-AF42-AF43</f>
        <v/>
      </c>
      <c r="AG45" s="13">
        <f>AG35-AG41-AG42-AG43</f>
        <v/>
      </c>
      <c r="AH45" s="13">
        <f>AH35-AH41-AH42-AH43</f>
        <v/>
      </c>
      <c r="AI45" s="13">
        <f>AI35-AI41-AI42-AI43</f>
        <v/>
      </c>
      <c r="AJ45" s="13">
        <f>AJ35-AJ41-AJ42-AJ43</f>
        <v/>
      </c>
      <c r="AK45" s="13">
        <f>AK35-AK41-AK42-AK43</f>
        <v/>
      </c>
      <c r="AL45" s="13">
        <f>AL35-AL41-AL42-AL43</f>
        <v/>
      </c>
      <c r="AM45" s="13">
        <f>AM35-AM41-AM42-AM43</f>
        <v/>
      </c>
      <c r="AN45" s="13">
        <f>AN35-AN41-AN42-AN43</f>
        <v/>
      </c>
      <c r="AO45" s="13">
        <f>AO35-AO41-AO42-AO43</f>
        <v/>
      </c>
      <c r="AP45" s="13">
        <f>AP35-AP41-AP42-AP43</f>
        <v/>
      </c>
      <c r="AQ45" s="13">
        <f>AQ35-AQ41-AQ42-AQ43</f>
        <v/>
      </c>
      <c r="AR45" s="13">
        <f>AR35-AR41-AR42-AR43</f>
        <v/>
      </c>
      <c r="AS45" s="13">
        <f>AS35-AS41-AS42-AS43</f>
        <v/>
      </c>
      <c r="AT45" s="13">
        <f>AT35-AT41-AT42-AT43</f>
        <v/>
      </c>
      <c r="AU45" s="13">
        <f>AU35-AU41-AU42-AU43</f>
        <v/>
      </c>
      <c r="AV45" s="13">
        <f>AV35-AV41-AV42-AV43</f>
        <v/>
      </c>
      <c r="AW45" s="13">
        <f>AW35-AW41-AW42-AW43</f>
        <v/>
      </c>
      <c r="AX45" s="13">
        <f>AX35-AX41-AX42-AX43</f>
        <v/>
      </c>
      <c r="AY45" s="13">
        <f>AY35-AY41-AY42-AY43</f>
        <v/>
      </c>
      <c r="AZ45" s="13">
        <f>AZ35-AZ41-AZ42-AZ43</f>
        <v/>
      </c>
      <c r="BA45" s="13">
        <f>BA35-BA41-BA42-BA43</f>
        <v/>
      </c>
      <c r="BB45" s="13">
        <f>BB35-BB41-BB42-BB43</f>
        <v/>
      </c>
      <c r="BC45" s="13">
        <f>BC35-BC41-BC42-BC43</f>
        <v/>
      </c>
      <c r="BD45" s="13">
        <f>BD35-BD41-BD42-BD43</f>
        <v/>
      </c>
      <c r="BE45" s="13">
        <f>BE35-BE41-BE42-BE43</f>
        <v/>
      </c>
      <c r="BF45" s="13">
        <f>BF35-BF41-BF42-BF43</f>
        <v/>
      </c>
      <c r="BG45" s="13">
        <f>BG35-BG41-BG42-BG43</f>
        <v/>
      </c>
      <c r="BH45" s="13">
        <f>BH35-BH41-BH42-BH43</f>
        <v/>
      </c>
      <c r="BI45" s="13">
        <f>BI35-BI41-BI42-BI43</f>
        <v/>
      </c>
      <c r="BJ45" s="13">
        <f>BJ35-BJ41-BJ42-BJ43</f>
        <v/>
      </c>
      <c r="BK45" s="13">
        <f>BK35-BK41-BK42-BK43</f>
        <v/>
      </c>
      <c r="BL45" s="13">
        <f>BL35-BL41-BL42-BL43</f>
        <v/>
      </c>
      <c r="BM45" s="13">
        <f>BM35-BM41-BM42-BM43</f>
        <v/>
      </c>
      <c r="BN45" s="13">
        <f>BN35-BN41-BN42-BN43</f>
        <v/>
      </c>
    </row>
    <row r="46">
      <c r="D46" t="inlineStr">
        <is>
          <t>Cash sweep prepayment</t>
        </is>
      </c>
      <c r="E46" t="inlineStr">
        <is>
          <t>USD m</t>
        </is>
      </c>
      <c r="G46" s="13">
        <f>SUM(J46:BN46)</f>
        <v/>
      </c>
      <c r="J46" s="13">
        <f>Waterfall!J28*J45/(J31+J45+J59+J73+J87+Inputs!$F$253)</f>
        <v/>
      </c>
      <c r="K46" s="13">
        <f>Waterfall!K28*K45/(K31+K45+K59+K73+K87+Inputs!$F$253)</f>
        <v/>
      </c>
      <c r="L46" s="13">
        <f>Waterfall!L28*L45/(L31+L45+L59+L73+L87+Inputs!$F$253)</f>
        <v/>
      </c>
      <c r="M46" s="13">
        <f>Waterfall!M28*M45/(M31+M45+M59+M73+M87+Inputs!$F$253)</f>
        <v/>
      </c>
      <c r="N46" s="13">
        <f>Waterfall!N28*N45/(N31+N45+N59+N73+N87+Inputs!$F$253)</f>
        <v/>
      </c>
      <c r="O46" s="13">
        <f>Waterfall!O28*O45/(O31+O45+O59+O73+O87+Inputs!$F$253)</f>
        <v/>
      </c>
      <c r="P46" s="13">
        <f>Waterfall!P28*P45/(P31+P45+P59+P73+P87+Inputs!$F$253)</f>
        <v/>
      </c>
      <c r="Q46" s="13">
        <f>Waterfall!Q28*Q45/(Q31+Q45+Q59+Q73+Q87+Inputs!$F$253)</f>
        <v/>
      </c>
      <c r="R46" s="13">
        <f>Waterfall!R28*R45/(R31+R45+R59+R73+R87+Inputs!$F$253)</f>
        <v/>
      </c>
      <c r="S46" s="13">
        <f>Waterfall!S28*S45/(S31+S45+S59+S73+S87+Inputs!$F$253)</f>
        <v/>
      </c>
      <c r="T46" s="13">
        <f>Waterfall!T28*T45/(T31+T45+T59+T73+T87+Inputs!$F$253)</f>
        <v/>
      </c>
      <c r="U46" s="13">
        <f>Waterfall!U28*U45/(U31+U45+U59+U73+U87+Inputs!$F$253)</f>
        <v/>
      </c>
      <c r="V46" s="13">
        <f>Waterfall!V28*V45/(V31+V45+V59+V73+V87+Inputs!$F$253)</f>
        <v/>
      </c>
      <c r="W46" s="13">
        <f>Waterfall!W28*W45/(W31+W45+W59+W73+W87+Inputs!$F$253)</f>
        <v/>
      </c>
      <c r="X46" s="13">
        <f>Waterfall!X28*X45/(X31+X45+X59+X73+X87+Inputs!$F$253)</f>
        <v/>
      </c>
      <c r="Y46" s="13">
        <f>Waterfall!Y28*Y45/(Y31+Y45+Y59+Y73+Y87+Inputs!$F$253)</f>
        <v/>
      </c>
      <c r="Z46" s="13">
        <f>Waterfall!Z28*Z45/(Z31+Z45+Z59+Z73+Z87+Inputs!$F$253)</f>
        <v/>
      </c>
      <c r="AA46" s="13">
        <f>Waterfall!AA28*AA45/(AA31+AA45+AA59+AA73+AA87+Inputs!$F$253)</f>
        <v/>
      </c>
      <c r="AB46" s="13">
        <f>Waterfall!AB28*AB45/(AB31+AB45+AB59+AB73+AB87+Inputs!$F$253)</f>
        <v/>
      </c>
      <c r="AC46" s="13">
        <f>Waterfall!AC28*AC45/(AC31+AC45+AC59+AC73+AC87+Inputs!$F$253)</f>
        <v/>
      </c>
      <c r="AD46" s="13">
        <f>Waterfall!AD28*AD45/(AD31+AD45+AD59+AD73+AD87+Inputs!$F$253)</f>
        <v/>
      </c>
      <c r="AE46" s="13">
        <f>Waterfall!AE28*AE45/(AE31+AE45+AE59+AE73+AE87+Inputs!$F$253)</f>
        <v/>
      </c>
      <c r="AF46" s="13">
        <f>Waterfall!AF28*AF45/(AF31+AF45+AF59+AF73+AF87+Inputs!$F$253)</f>
        <v/>
      </c>
      <c r="AG46" s="13">
        <f>Waterfall!AG28*AG45/(AG31+AG45+AG59+AG73+AG87+Inputs!$F$253)</f>
        <v/>
      </c>
      <c r="AH46" s="13">
        <f>Waterfall!AH28*AH45/(AH31+AH45+AH59+AH73+AH87+Inputs!$F$253)</f>
        <v/>
      </c>
      <c r="AI46" s="13">
        <f>Waterfall!AI28*AI45/(AI31+AI45+AI59+AI73+AI87+Inputs!$F$253)</f>
        <v/>
      </c>
      <c r="AJ46" s="13">
        <f>Waterfall!AJ28*AJ45/(AJ31+AJ45+AJ59+AJ73+AJ87+Inputs!$F$253)</f>
        <v/>
      </c>
      <c r="AK46" s="13">
        <f>Waterfall!AK28*AK45/(AK31+AK45+AK59+AK73+AK87+Inputs!$F$253)</f>
        <v/>
      </c>
      <c r="AL46" s="13">
        <f>Waterfall!AL28*AL45/(AL31+AL45+AL59+AL73+AL87+Inputs!$F$253)</f>
        <v/>
      </c>
      <c r="AM46" s="13">
        <f>Waterfall!AM28*AM45/(AM31+AM45+AM59+AM73+AM87+Inputs!$F$253)</f>
        <v/>
      </c>
      <c r="AN46" s="13">
        <f>Waterfall!AN28*AN45/(AN31+AN45+AN59+AN73+AN87+Inputs!$F$253)</f>
        <v/>
      </c>
      <c r="AO46" s="13">
        <f>Waterfall!AO28*AO45/(AO31+AO45+AO59+AO73+AO87+Inputs!$F$253)</f>
        <v/>
      </c>
      <c r="AP46" s="13">
        <f>Waterfall!AP28*AP45/(AP31+AP45+AP59+AP73+AP87+Inputs!$F$253)</f>
        <v/>
      </c>
      <c r="AQ46" s="13">
        <f>Waterfall!AQ28*AQ45/(AQ31+AQ45+AQ59+AQ73+AQ87+Inputs!$F$253)</f>
        <v/>
      </c>
      <c r="AR46" s="13">
        <f>Waterfall!AR28*AR45/(AR31+AR45+AR59+AR73+AR87+Inputs!$F$253)</f>
        <v/>
      </c>
      <c r="AS46" s="13">
        <f>Waterfall!AS28*AS45/(AS31+AS45+AS59+AS73+AS87+Inputs!$F$253)</f>
        <v/>
      </c>
      <c r="AT46" s="13">
        <f>Waterfall!AT28*AT45/(AT31+AT45+AT59+AT73+AT87+Inputs!$F$253)</f>
        <v/>
      </c>
      <c r="AU46" s="13">
        <f>Waterfall!AU28*AU45/(AU31+AU45+AU59+AU73+AU87+Inputs!$F$253)</f>
        <v/>
      </c>
      <c r="AV46" s="13">
        <f>Waterfall!AV28*AV45/(AV31+AV45+AV59+AV73+AV87+Inputs!$F$253)</f>
        <v/>
      </c>
      <c r="AW46" s="13">
        <f>Waterfall!AW28*AW45/(AW31+AW45+AW59+AW73+AW87+Inputs!$F$253)</f>
        <v/>
      </c>
      <c r="AX46" s="13">
        <f>Waterfall!AX28*AX45/(AX31+AX45+AX59+AX73+AX87+Inputs!$F$253)</f>
        <v/>
      </c>
      <c r="AY46" s="13">
        <f>Waterfall!AY28*AY45/(AY31+AY45+AY59+AY73+AY87+Inputs!$F$253)</f>
        <v/>
      </c>
      <c r="AZ46" s="13">
        <f>Waterfall!AZ28*AZ45/(AZ31+AZ45+AZ59+AZ73+AZ87+Inputs!$F$253)</f>
        <v/>
      </c>
      <c r="BA46" s="13">
        <f>Waterfall!BA28*BA45/(BA31+BA45+BA59+BA73+BA87+Inputs!$F$253)</f>
        <v/>
      </c>
      <c r="BB46" s="13">
        <f>Waterfall!BB28*BB45/(BB31+BB45+BB59+BB73+BB87+Inputs!$F$253)</f>
        <v/>
      </c>
      <c r="BC46" s="13">
        <f>Waterfall!BC28*BC45/(BC31+BC45+BC59+BC73+BC87+Inputs!$F$253)</f>
        <v/>
      </c>
      <c r="BD46" s="13">
        <f>Waterfall!BD28*BD45/(BD31+BD45+BD59+BD73+BD87+Inputs!$F$253)</f>
        <v/>
      </c>
      <c r="BE46" s="13">
        <f>Waterfall!BE28*BE45/(BE31+BE45+BE59+BE73+BE87+Inputs!$F$253)</f>
        <v/>
      </c>
      <c r="BF46" s="13">
        <f>Waterfall!BF28*BF45/(BF31+BF45+BF59+BF73+BF87+Inputs!$F$253)</f>
        <v/>
      </c>
      <c r="BG46" s="13">
        <f>Waterfall!BG28*BG45/(BG31+BG45+BG59+BG73+BG87+Inputs!$F$253)</f>
        <v/>
      </c>
      <c r="BH46" s="13">
        <f>Waterfall!BH28*BH45/(BH31+BH45+BH59+BH73+BH87+Inputs!$F$253)</f>
        <v/>
      </c>
      <c r="BI46" s="13">
        <f>Waterfall!BI28*BI45/(BI31+BI45+BI59+BI73+BI87+Inputs!$F$253)</f>
        <v/>
      </c>
      <c r="BJ46" s="13">
        <f>Waterfall!BJ28*BJ45/(BJ31+BJ45+BJ59+BJ73+BJ87+Inputs!$F$253)</f>
        <v/>
      </c>
      <c r="BK46" s="13">
        <f>Waterfall!BK28*BK45/(BK31+BK45+BK59+BK73+BK87+Inputs!$F$253)</f>
        <v/>
      </c>
      <c r="BL46" s="13">
        <f>Waterfall!BL28*BL45/(BL31+BL45+BL59+BL73+BL87+Inputs!$F$253)</f>
        <v/>
      </c>
      <c r="BM46" s="13">
        <f>Waterfall!BM28*BM45/(BM31+BM45+BM59+BM73+BM87+Inputs!$F$253)</f>
        <v/>
      </c>
      <c r="BN46" s="13">
        <f>Waterfall!BN28*BN45/(BN31+BN45+BN59+BN73+BN87+Inputs!$F$253)</f>
        <v/>
      </c>
    </row>
    <row r="47">
      <c r="D47" t="inlineStr">
        <is>
          <t>Closing balance</t>
        </is>
      </c>
      <c r="E47" t="inlineStr">
        <is>
          <t>USD m</t>
        </is>
      </c>
      <c r="J47" s="13">
        <f>IF(Time!J34=1,INDEX(Funding!$J$62:$BJ$62,1,Time!$F$14),Time!J35*(J45-J46))</f>
        <v/>
      </c>
      <c r="K47" s="13">
        <f>IF(Time!K34=1,INDEX(Funding!$J$62:$BJ$62,1,Time!$F$14),Time!K35*(K45-K46))</f>
        <v/>
      </c>
      <c r="L47" s="13">
        <f>IF(Time!L34=1,INDEX(Funding!$J$62:$BJ$62,1,Time!$F$14),Time!L35*(L45-L46))</f>
        <v/>
      </c>
      <c r="M47" s="13">
        <f>IF(Time!M34=1,INDEX(Funding!$J$62:$BJ$62,1,Time!$F$14),Time!M35*(M45-M46))</f>
        <v/>
      </c>
      <c r="N47" s="13">
        <f>IF(Time!N34=1,INDEX(Funding!$J$62:$BJ$62,1,Time!$F$14),Time!N35*(N45-N46))</f>
        <v/>
      </c>
      <c r="O47" s="13">
        <f>IF(Time!O34=1,INDEX(Funding!$J$62:$BJ$62,1,Time!$F$14),Time!O35*(O45-O46))</f>
        <v/>
      </c>
      <c r="P47" s="13">
        <f>IF(Time!P34=1,INDEX(Funding!$J$62:$BJ$62,1,Time!$F$14),Time!P35*(P45-P46))</f>
        <v/>
      </c>
      <c r="Q47" s="13">
        <f>IF(Time!Q34=1,INDEX(Funding!$J$62:$BJ$62,1,Time!$F$14),Time!Q35*(Q45-Q46))</f>
        <v/>
      </c>
      <c r="R47" s="13">
        <f>IF(Time!R34=1,INDEX(Funding!$J$62:$BJ$62,1,Time!$F$14),Time!R35*(R45-R46))</f>
        <v/>
      </c>
      <c r="S47" s="13">
        <f>IF(Time!S34=1,INDEX(Funding!$J$62:$BJ$62,1,Time!$F$14),Time!S35*(S45-S46))</f>
        <v/>
      </c>
      <c r="T47" s="13">
        <f>IF(Time!T34=1,INDEX(Funding!$J$62:$BJ$62,1,Time!$F$14),Time!T35*(T45-T46))</f>
        <v/>
      </c>
      <c r="U47" s="13">
        <f>IF(Time!U34=1,INDEX(Funding!$J$62:$BJ$62,1,Time!$F$14),Time!U35*(U45-U46))</f>
        <v/>
      </c>
      <c r="V47" s="13">
        <f>IF(Time!V34=1,INDEX(Funding!$J$62:$BJ$62,1,Time!$F$14),Time!V35*(V45-V46))</f>
        <v/>
      </c>
      <c r="W47" s="13">
        <f>IF(Time!W34=1,INDEX(Funding!$J$62:$BJ$62,1,Time!$F$14),Time!W35*(W45-W46))</f>
        <v/>
      </c>
      <c r="X47" s="13">
        <f>IF(Time!X34=1,INDEX(Funding!$J$62:$BJ$62,1,Time!$F$14),Time!X35*(X45-X46))</f>
        <v/>
      </c>
      <c r="Y47" s="13">
        <f>IF(Time!Y34=1,INDEX(Funding!$J$62:$BJ$62,1,Time!$F$14),Time!Y35*(Y45-Y46))</f>
        <v/>
      </c>
      <c r="Z47" s="13">
        <f>IF(Time!Z34=1,INDEX(Funding!$J$62:$BJ$62,1,Time!$F$14),Time!Z35*(Z45-Z46))</f>
        <v/>
      </c>
      <c r="AA47" s="13">
        <f>IF(Time!AA34=1,INDEX(Funding!$J$62:$BJ$62,1,Time!$F$14),Time!AA35*(AA45-AA46))</f>
        <v/>
      </c>
      <c r="AB47" s="13">
        <f>IF(Time!AB34=1,INDEX(Funding!$J$62:$BJ$62,1,Time!$F$14),Time!AB35*(AB45-AB46))</f>
        <v/>
      </c>
      <c r="AC47" s="13">
        <f>IF(Time!AC34=1,INDEX(Funding!$J$62:$BJ$62,1,Time!$F$14),Time!AC35*(AC45-AC46))</f>
        <v/>
      </c>
      <c r="AD47" s="13">
        <f>IF(Time!AD34=1,INDEX(Funding!$J$62:$BJ$62,1,Time!$F$14),Time!AD35*(AD45-AD46))</f>
        <v/>
      </c>
      <c r="AE47" s="13">
        <f>IF(Time!AE34=1,INDEX(Funding!$J$62:$BJ$62,1,Time!$F$14),Time!AE35*(AE45-AE46))</f>
        <v/>
      </c>
      <c r="AF47" s="13">
        <f>IF(Time!AF34=1,INDEX(Funding!$J$62:$BJ$62,1,Time!$F$14),Time!AF35*(AF45-AF46))</f>
        <v/>
      </c>
      <c r="AG47" s="13">
        <f>IF(Time!AG34=1,INDEX(Funding!$J$62:$BJ$62,1,Time!$F$14),Time!AG35*(AG45-AG46))</f>
        <v/>
      </c>
      <c r="AH47" s="13">
        <f>IF(Time!AH34=1,INDEX(Funding!$J$62:$BJ$62,1,Time!$F$14),Time!AH35*(AH45-AH46))</f>
        <v/>
      </c>
      <c r="AI47" s="13">
        <f>IF(Time!AI34=1,INDEX(Funding!$J$62:$BJ$62,1,Time!$F$14),Time!AI35*(AI45-AI46))</f>
        <v/>
      </c>
      <c r="AJ47" s="13">
        <f>IF(Time!AJ34=1,INDEX(Funding!$J$62:$BJ$62,1,Time!$F$14),Time!AJ35*(AJ45-AJ46))</f>
        <v/>
      </c>
      <c r="AK47" s="13">
        <f>IF(Time!AK34=1,INDEX(Funding!$J$62:$BJ$62,1,Time!$F$14),Time!AK35*(AK45-AK46))</f>
        <v/>
      </c>
      <c r="AL47" s="13">
        <f>IF(Time!AL34=1,INDEX(Funding!$J$62:$BJ$62,1,Time!$F$14),Time!AL35*(AL45-AL46))</f>
        <v/>
      </c>
      <c r="AM47" s="13">
        <f>IF(Time!AM34=1,INDEX(Funding!$J$62:$BJ$62,1,Time!$F$14),Time!AM35*(AM45-AM46))</f>
        <v/>
      </c>
      <c r="AN47" s="13">
        <f>IF(Time!AN34=1,INDEX(Funding!$J$62:$BJ$62,1,Time!$F$14),Time!AN35*(AN45-AN46))</f>
        <v/>
      </c>
      <c r="AO47" s="13">
        <f>IF(Time!AO34=1,INDEX(Funding!$J$62:$BJ$62,1,Time!$F$14),Time!AO35*(AO45-AO46))</f>
        <v/>
      </c>
      <c r="AP47" s="13">
        <f>IF(Time!AP34=1,INDEX(Funding!$J$62:$BJ$62,1,Time!$F$14),Time!AP35*(AP45-AP46))</f>
        <v/>
      </c>
      <c r="AQ47" s="13">
        <f>IF(Time!AQ34=1,INDEX(Funding!$J$62:$BJ$62,1,Time!$F$14),Time!AQ35*(AQ45-AQ46))</f>
        <v/>
      </c>
      <c r="AR47" s="13">
        <f>IF(Time!AR34=1,INDEX(Funding!$J$62:$BJ$62,1,Time!$F$14),Time!AR35*(AR45-AR46))</f>
        <v/>
      </c>
      <c r="AS47" s="13">
        <f>IF(Time!AS34=1,INDEX(Funding!$J$62:$BJ$62,1,Time!$F$14),Time!AS35*(AS45-AS46))</f>
        <v/>
      </c>
      <c r="AT47" s="13">
        <f>IF(Time!AT34=1,INDEX(Funding!$J$62:$BJ$62,1,Time!$F$14),Time!AT35*(AT45-AT46))</f>
        <v/>
      </c>
      <c r="AU47" s="13">
        <f>IF(Time!AU34=1,INDEX(Funding!$J$62:$BJ$62,1,Time!$F$14),Time!AU35*(AU45-AU46))</f>
        <v/>
      </c>
      <c r="AV47" s="13">
        <f>IF(Time!AV34=1,INDEX(Funding!$J$62:$BJ$62,1,Time!$F$14),Time!AV35*(AV45-AV46))</f>
        <v/>
      </c>
      <c r="AW47" s="13">
        <f>IF(Time!AW34=1,INDEX(Funding!$J$62:$BJ$62,1,Time!$F$14),Time!AW35*(AW45-AW46))</f>
        <v/>
      </c>
      <c r="AX47" s="13">
        <f>IF(Time!AX34=1,INDEX(Funding!$J$62:$BJ$62,1,Time!$F$14),Time!AX35*(AX45-AX46))</f>
        <v/>
      </c>
      <c r="AY47" s="13">
        <f>IF(Time!AY34=1,INDEX(Funding!$J$62:$BJ$62,1,Time!$F$14),Time!AY35*(AY45-AY46))</f>
        <v/>
      </c>
      <c r="AZ47" s="13">
        <f>IF(Time!AZ34=1,INDEX(Funding!$J$62:$BJ$62,1,Time!$F$14),Time!AZ35*(AZ45-AZ46))</f>
        <v/>
      </c>
      <c r="BA47" s="13">
        <f>IF(Time!BA34=1,INDEX(Funding!$J$62:$BJ$62,1,Time!$F$14),Time!BA35*(BA45-BA46))</f>
        <v/>
      </c>
      <c r="BB47" s="13">
        <f>IF(Time!BB34=1,INDEX(Funding!$J$62:$BJ$62,1,Time!$F$14),Time!BB35*(BB45-BB46))</f>
        <v/>
      </c>
      <c r="BC47" s="13">
        <f>IF(Time!BC34=1,INDEX(Funding!$J$62:$BJ$62,1,Time!$F$14),Time!BC35*(BC45-BC46))</f>
        <v/>
      </c>
      <c r="BD47" s="13">
        <f>IF(Time!BD34=1,INDEX(Funding!$J$62:$BJ$62,1,Time!$F$14),Time!BD35*(BD45-BD46))</f>
        <v/>
      </c>
      <c r="BE47" s="13">
        <f>IF(Time!BE34=1,INDEX(Funding!$J$62:$BJ$62,1,Time!$F$14),Time!BE35*(BE45-BE46))</f>
        <v/>
      </c>
      <c r="BF47" s="13">
        <f>IF(Time!BF34=1,INDEX(Funding!$J$62:$BJ$62,1,Time!$F$14),Time!BF35*(BF45-BF46))</f>
        <v/>
      </c>
      <c r="BG47" s="13">
        <f>IF(Time!BG34=1,INDEX(Funding!$J$62:$BJ$62,1,Time!$F$14),Time!BG35*(BG45-BG46))</f>
        <v/>
      </c>
      <c r="BH47" s="13">
        <f>IF(Time!BH34=1,INDEX(Funding!$J$62:$BJ$62,1,Time!$F$14),Time!BH35*(BH45-BH46))</f>
        <v/>
      </c>
      <c r="BI47" s="13">
        <f>IF(Time!BI34=1,INDEX(Funding!$J$62:$BJ$62,1,Time!$F$14),Time!BI35*(BI45-BI46))</f>
        <v/>
      </c>
      <c r="BJ47" s="13">
        <f>IF(Time!BJ34=1,INDEX(Funding!$J$62:$BJ$62,1,Time!$F$14),Time!BJ35*(BJ45-BJ46))</f>
        <v/>
      </c>
      <c r="BK47" s="13">
        <f>IF(Time!BK34=1,INDEX(Funding!$J$62:$BJ$62,1,Time!$F$14),Time!BK35*(BK45-BK46))</f>
        <v/>
      </c>
      <c r="BL47" s="13">
        <f>IF(Time!BL34=1,INDEX(Funding!$J$62:$BJ$62,1,Time!$F$14),Time!BL35*(BL45-BL46))</f>
        <v/>
      </c>
      <c r="BM47" s="13">
        <f>IF(Time!BM34=1,INDEX(Funding!$J$62:$BJ$62,1,Time!$F$14),Time!BM35*(BM45-BM46))</f>
        <v/>
      </c>
      <c r="BN47" s="13">
        <f>IF(Time!BN34=1,INDEX(Funding!$J$62:$BJ$62,1,Time!$F$14),Time!BN35*(BN45-BN46))</f>
        <v/>
      </c>
    </row>
    <row r="48">
      <c r="B48" s="2" t="inlineStr">
        <is>
          <t>ABDB B-loan</t>
        </is>
      </c>
    </row>
    <row r="49">
      <c r="D49" t="inlineStr">
        <is>
          <t>Opening balance</t>
        </is>
      </c>
      <c r="E49" t="inlineStr">
        <is>
          <t>USD m</t>
        </is>
      </c>
      <c r="J49" s="13">
        <f>Time!J35*I61</f>
        <v/>
      </c>
      <c r="K49" s="13">
        <f>Time!K35*J61</f>
        <v/>
      </c>
      <c r="L49" s="13">
        <f>Time!L35*K61</f>
        <v/>
      </c>
      <c r="M49" s="13">
        <f>Time!M35*L61</f>
        <v/>
      </c>
      <c r="N49" s="13">
        <f>Time!N35*M61</f>
        <v/>
      </c>
      <c r="O49" s="13">
        <f>Time!O35*N61</f>
        <v/>
      </c>
      <c r="P49" s="13">
        <f>Time!P35*O61</f>
        <v/>
      </c>
      <c r="Q49" s="13">
        <f>Time!Q35*P61</f>
        <v/>
      </c>
      <c r="R49" s="13">
        <f>Time!R35*Q61</f>
        <v/>
      </c>
      <c r="S49" s="13">
        <f>Time!S35*R61</f>
        <v/>
      </c>
      <c r="T49" s="13">
        <f>Time!T35*S61</f>
        <v/>
      </c>
      <c r="U49" s="13">
        <f>Time!U35*T61</f>
        <v/>
      </c>
      <c r="V49" s="13">
        <f>Time!V35*U61</f>
        <v/>
      </c>
      <c r="W49" s="13">
        <f>Time!W35*V61</f>
        <v/>
      </c>
      <c r="X49" s="13">
        <f>Time!X35*W61</f>
        <v/>
      </c>
      <c r="Y49" s="13">
        <f>Time!Y35*X61</f>
        <v/>
      </c>
      <c r="Z49" s="13">
        <f>Time!Z35*Y61</f>
        <v/>
      </c>
      <c r="AA49" s="13">
        <f>Time!AA35*Z61</f>
        <v/>
      </c>
      <c r="AB49" s="13">
        <f>Time!AB35*AA61</f>
        <v/>
      </c>
      <c r="AC49" s="13">
        <f>Time!AC35*AB61</f>
        <v/>
      </c>
      <c r="AD49" s="13">
        <f>Time!AD35*AC61</f>
        <v/>
      </c>
      <c r="AE49" s="13">
        <f>Time!AE35*AD61</f>
        <v/>
      </c>
      <c r="AF49" s="13">
        <f>Time!AF35*AE61</f>
        <v/>
      </c>
      <c r="AG49" s="13">
        <f>Time!AG35*AF61</f>
        <v/>
      </c>
      <c r="AH49" s="13">
        <f>Time!AH35*AG61</f>
        <v/>
      </c>
      <c r="AI49" s="13">
        <f>Time!AI35*AH61</f>
        <v/>
      </c>
      <c r="AJ49" s="13">
        <f>Time!AJ35*AI61</f>
        <v/>
      </c>
      <c r="AK49" s="13">
        <f>Time!AK35*AJ61</f>
        <v/>
      </c>
      <c r="AL49" s="13">
        <f>Time!AL35*AK61</f>
        <v/>
      </c>
      <c r="AM49" s="13">
        <f>Time!AM35*AL61</f>
        <v/>
      </c>
      <c r="AN49" s="13">
        <f>Time!AN35*AM61</f>
        <v/>
      </c>
      <c r="AO49" s="13">
        <f>Time!AO35*AN61</f>
        <v/>
      </c>
      <c r="AP49" s="13">
        <f>Time!AP35*AO61</f>
        <v/>
      </c>
      <c r="AQ49" s="13">
        <f>Time!AQ35*AP61</f>
        <v/>
      </c>
      <c r="AR49" s="13">
        <f>Time!AR35*AQ61</f>
        <v/>
      </c>
      <c r="AS49" s="13">
        <f>Time!AS35*AR61</f>
        <v/>
      </c>
      <c r="AT49" s="13">
        <f>Time!AT35*AS61</f>
        <v/>
      </c>
      <c r="AU49" s="13">
        <f>Time!AU35*AT61</f>
        <v/>
      </c>
      <c r="AV49" s="13">
        <f>Time!AV35*AU61</f>
        <v/>
      </c>
      <c r="AW49" s="13">
        <f>Time!AW35*AV61</f>
        <v/>
      </c>
      <c r="AX49" s="13">
        <f>Time!AX35*AW61</f>
        <v/>
      </c>
      <c r="AY49" s="13">
        <f>Time!AY35*AX61</f>
        <v/>
      </c>
      <c r="AZ49" s="13">
        <f>Time!AZ35*AY61</f>
        <v/>
      </c>
      <c r="BA49" s="13">
        <f>Time!BA35*AZ61</f>
        <v/>
      </c>
      <c r="BB49" s="13">
        <f>Time!BB35*BA61</f>
        <v/>
      </c>
      <c r="BC49" s="13">
        <f>Time!BC35*BB61</f>
        <v/>
      </c>
      <c r="BD49" s="13">
        <f>Time!BD35*BC61</f>
        <v/>
      </c>
      <c r="BE49" s="13">
        <f>Time!BE35*BD61</f>
        <v/>
      </c>
      <c r="BF49" s="13">
        <f>Time!BF35*BE61</f>
        <v/>
      </c>
      <c r="BG49" s="13">
        <f>Time!BG35*BF61</f>
        <v/>
      </c>
      <c r="BH49" s="13">
        <f>Time!BH35*BG61</f>
        <v/>
      </c>
      <c r="BI49" s="13">
        <f>Time!BI35*BH61</f>
        <v/>
      </c>
      <c r="BJ49" s="13">
        <f>Time!BJ35*BI61</f>
        <v/>
      </c>
      <c r="BK49" s="13">
        <f>Time!BK35*BJ61</f>
        <v/>
      </c>
      <c r="BL49" s="13">
        <f>Time!BL35*BK61</f>
        <v/>
      </c>
      <c r="BM49" s="13">
        <f>Time!BM35*BL61</f>
        <v/>
      </c>
      <c r="BN49" s="13">
        <f>Time!BN35*BM61</f>
        <v/>
      </c>
    </row>
    <row r="50">
      <c r="D50" t="inlineStr">
        <is>
          <t>Deferred principal, opening</t>
        </is>
      </c>
      <c r="E50" t="inlineStr">
        <is>
          <t>USD m</t>
        </is>
      </c>
      <c r="J50" s="13">
        <f>I58</f>
        <v/>
      </c>
      <c r="K50" s="13">
        <f>J58</f>
        <v/>
      </c>
      <c r="L50" s="13">
        <f>K58</f>
        <v/>
      </c>
      <c r="M50" s="13">
        <f>L58</f>
        <v/>
      </c>
      <c r="N50" s="13">
        <f>M58</f>
        <v/>
      </c>
      <c r="O50" s="13">
        <f>N58</f>
        <v/>
      </c>
      <c r="P50" s="13">
        <f>O58</f>
        <v/>
      </c>
      <c r="Q50" s="13">
        <f>P58</f>
        <v/>
      </c>
      <c r="R50" s="13">
        <f>Q58</f>
        <v/>
      </c>
      <c r="S50" s="13">
        <f>R58</f>
        <v/>
      </c>
      <c r="T50" s="13">
        <f>S58</f>
        <v/>
      </c>
      <c r="U50" s="13">
        <f>T58</f>
        <v/>
      </c>
      <c r="V50" s="13">
        <f>U58</f>
        <v/>
      </c>
      <c r="W50" s="13">
        <f>V58</f>
        <v/>
      </c>
      <c r="X50" s="13">
        <f>W58</f>
        <v/>
      </c>
      <c r="Y50" s="13">
        <f>X58</f>
        <v/>
      </c>
      <c r="Z50" s="13">
        <f>Y58</f>
        <v/>
      </c>
      <c r="AA50" s="13">
        <f>Z58</f>
        <v/>
      </c>
      <c r="AB50" s="13">
        <f>AA58</f>
        <v/>
      </c>
      <c r="AC50" s="13">
        <f>AB58</f>
        <v/>
      </c>
      <c r="AD50" s="13">
        <f>AC58</f>
        <v/>
      </c>
      <c r="AE50" s="13">
        <f>AD58</f>
        <v/>
      </c>
      <c r="AF50" s="13">
        <f>AE58</f>
        <v/>
      </c>
      <c r="AG50" s="13">
        <f>AF58</f>
        <v/>
      </c>
      <c r="AH50" s="13">
        <f>AG58</f>
        <v/>
      </c>
      <c r="AI50" s="13">
        <f>AH58</f>
        <v/>
      </c>
      <c r="AJ50" s="13">
        <f>AI58</f>
        <v/>
      </c>
      <c r="AK50" s="13">
        <f>AJ58</f>
        <v/>
      </c>
      <c r="AL50" s="13">
        <f>AK58</f>
        <v/>
      </c>
      <c r="AM50" s="13">
        <f>AL58</f>
        <v/>
      </c>
      <c r="AN50" s="13">
        <f>AM58</f>
        <v/>
      </c>
      <c r="AO50" s="13">
        <f>AN58</f>
        <v/>
      </c>
      <c r="AP50" s="13">
        <f>AO58</f>
        <v/>
      </c>
      <c r="AQ50" s="13">
        <f>AP58</f>
        <v/>
      </c>
      <c r="AR50" s="13">
        <f>AQ58</f>
        <v/>
      </c>
      <c r="AS50" s="13">
        <f>AR58</f>
        <v/>
      </c>
      <c r="AT50" s="13">
        <f>AS58</f>
        <v/>
      </c>
      <c r="AU50" s="13">
        <f>AT58</f>
        <v/>
      </c>
      <c r="AV50" s="13">
        <f>AU58</f>
        <v/>
      </c>
      <c r="AW50" s="13">
        <f>AV58</f>
        <v/>
      </c>
      <c r="AX50" s="13">
        <f>AW58</f>
        <v/>
      </c>
      <c r="AY50" s="13">
        <f>AX58</f>
        <v/>
      </c>
      <c r="AZ50" s="13">
        <f>AY58</f>
        <v/>
      </c>
      <c r="BA50" s="13">
        <f>AZ58</f>
        <v/>
      </c>
      <c r="BB50" s="13">
        <f>BA58</f>
        <v/>
      </c>
      <c r="BC50" s="13">
        <f>BB58</f>
        <v/>
      </c>
      <c r="BD50" s="13">
        <f>BC58</f>
        <v/>
      </c>
      <c r="BE50" s="13">
        <f>BD58</f>
        <v/>
      </c>
      <c r="BF50" s="13">
        <f>BE58</f>
        <v/>
      </c>
      <c r="BG50" s="13">
        <f>BF58</f>
        <v/>
      </c>
      <c r="BH50" s="13">
        <f>BG58</f>
        <v/>
      </c>
      <c r="BI50" s="13">
        <f>BH58</f>
        <v/>
      </c>
      <c r="BJ50" s="13">
        <f>BI58</f>
        <v/>
      </c>
      <c r="BK50" s="13">
        <f>BJ58</f>
        <v/>
      </c>
      <c r="BL50" s="13">
        <f>BK58</f>
        <v/>
      </c>
      <c r="BM50" s="13">
        <f>BL58</f>
        <v/>
      </c>
      <c r="BN50" s="13">
        <f>BM58</f>
        <v/>
      </c>
    </row>
    <row r="51">
      <c r="D51" t="inlineStr">
        <is>
          <t>Interest (incl. WHT gross-up where applicable)</t>
        </is>
      </c>
      <c r="E51" t="inlineStr">
        <is>
          <t>USD m</t>
        </is>
      </c>
      <c r="G51" s="13">
        <f>SUM(J51:BN51)</f>
        <v/>
      </c>
      <c r="J51" s="13">
        <f>J49*J12</f>
        <v/>
      </c>
      <c r="K51" s="13">
        <f>K49*K12</f>
        <v/>
      </c>
      <c r="L51" s="13">
        <f>L49*L12</f>
        <v/>
      </c>
      <c r="M51" s="13">
        <f>M49*M12</f>
        <v/>
      </c>
      <c r="N51" s="13">
        <f>N49*N12</f>
        <v/>
      </c>
      <c r="O51" s="13">
        <f>O49*O12</f>
        <v/>
      </c>
      <c r="P51" s="13">
        <f>P49*P12</f>
        <v/>
      </c>
      <c r="Q51" s="13">
        <f>Q49*Q12</f>
        <v/>
      </c>
      <c r="R51" s="13">
        <f>R49*R12</f>
        <v/>
      </c>
      <c r="S51" s="13">
        <f>S49*S12</f>
        <v/>
      </c>
      <c r="T51" s="13">
        <f>T49*T12</f>
        <v/>
      </c>
      <c r="U51" s="13">
        <f>U49*U12</f>
        <v/>
      </c>
      <c r="V51" s="13">
        <f>V49*V12</f>
        <v/>
      </c>
      <c r="W51" s="13">
        <f>W49*W12</f>
        <v/>
      </c>
      <c r="X51" s="13">
        <f>X49*X12</f>
        <v/>
      </c>
      <c r="Y51" s="13">
        <f>Y49*Y12</f>
        <v/>
      </c>
      <c r="Z51" s="13">
        <f>Z49*Z12</f>
        <v/>
      </c>
      <c r="AA51" s="13">
        <f>AA49*AA12</f>
        <v/>
      </c>
      <c r="AB51" s="13">
        <f>AB49*AB12</f>
        <v/>
      </c>
      <c r="AC51" s="13">
        <f>AC49*AC12</f>
        <v/>
      </c>
      <c r="AD51" s="13">
        <f>AD49*AD12</f>
        <v/>
      </c>
      <c r="AE51" s="13">
        <f>AE49*AE12</f>
        <v/>
      </c>
      <c r="AF51" s="13">
        <f>AF49*AF12</f>
        <v/>
      </c>
      <c r="AG51" s="13">
        <f>AG49*AG12</f>
        <v/>
      </c>
      <c r="AH51" s="13">
        <f>AH49*AH12</f>
        <v/>
      </c>
      <c r="AI51" s="13">
        <f>AI49*AI12</f>
        <v/>
      </c>
      <c r="AJ51" s="13">
        <f>AJ49*AJ12</f>
        <v/>
      </c>
      <c r="AK51" s="13">
        <f>AK49*AK12</f>
        <v/>
      </c>
      <c r="AL51" s="13">
        <f>AL49*AL12</f>
        <v/>
      </c>
      <c r="AM51" s="13">
        <f>AM49*AM12</f>
        <v/>
      </c>
      <c r="AN51" s="13">
        <f>AN49*AN12</f>
        <v/>
      </c>
      <c r="AO51" s="13">
        <f>AO49*AO12</f>
        <v/>
      </c>
      <c r="AP51" s="13">
        <f>AP49*AP12</f>
        <v/>
      </c>
      <c r="AQ51" s="13">
        <f>AQ49*AQ12</f>
        <v/>
      </c>
      <c r="AR51" s="13">
        <f>AR49*AR12</f>
        <v/>
      </c>
      <c r="AS51" s="13">
        <f>AS49*AS12</f>
        <v/>
      </c>
      <c r="AT51" s="13">
        <f>AT49*AT12</f>
        <v/>
      </c>
      <c r="AU51" s="13">
        <f>AU49*AU12</f>
        <v/>
      </c>
      <c r="AV51" s="13">
        <f>AV49*AV12</f>
        <v/>
      </c>
      <c r="AW51" s="13">
        <f>AW49*AW12</f>
        <v/>
      </c>
      <c r="AX51" s="13">
        <f>AX49*AX12</f>
        <v/>
      </c>
      <c r="AY51" s="13">
        <f>AY49*AY12</f>
        <v/>
      </c>
      <c r="AZ51" s="13">
        <f>AZ49*AZ12</f>
        <v/>
      </c>
      <c r="BA51" s="13">
        <f>BA49*BA12</f>
        <v/>
      </c>
      <c r="BB51" s="13">
        <f>BB49*BB12</f>
        <v/>
      </c>
      <c r="BC51" s="13">
        <f>BC49*BC12</f>
        <v/>
      </c>
      <c r="BD51" s="13">
        <f>BD49*BD12</f>
        <v/>
      </c>
      <c r="BE51" s="13">
        <f>BE49*BE12</f>
        <v/>
      </c>
      <c r="BF51" s="13">
        <f>BF49*BF12</f>
        <v/>
      </c>
      <c r="BG51" s="13">
        <f>BG49*BG12</f>
        <v/>
      </c>
      <c r="BH51" s="13">
        <f>BH49*BH12</f>
        <v/>
      </c>
      <c r="BI51" s="13">
        <f>BI49*BI12</f>
        <v/>
      </c>
      <c r="BJ51" s="13">
        <f>BJ49*BJ12</f>
        <v/>
      </c>
      <c r="BK51" s="13">
        <f>BK49*BK12</f>
        <v/>
      </c>
      <c r="BL51" s="13">
        <f>BL49*BL12</f>
        <v/>
      </c>
      <c r="BM51" s="13">
        <f>BM49*BM12</f>
        <v/>
      </c>
      <c r="BN51" s="13">
        <f>BN49*BN12</f>
        <v/>
      </c>
    </row>
    <row r="52">
      <c r="D52" t="inlineStr">
        <is>
          <t>Scheduled principal per profile</t>
        </is>
      </c>
      <c r="E52" t="inlineStr">
        <is>
          <t>USD m</t>
        </is>
      </c>
      <c r="G52" s="13">
        <f>SUM(J52:BN52)</f>
        <v/>
      </c>
      <c r="J52" s="13">
        <f>Time!J35*(J49-J50)*J19</f>
        <v/>
      </c>
      <c r="K52" s="13">
        <f>Time!K35*(K49-K50)*K19</f>
        <v/>
      </c>
      <c r="L52" s="13">
        <f>Time!L35*(L49-L50)*L19</f>
        <v/>
      </c>
      <c r="M52" s="13">
        <f>Time!M35*(M49-M50)*M19</f>
        <v/>
      </c>
      <c r="N52" s="13">
        <f>Time!N35*(N49-N50)*N19</f>
        <v/>
      </c>
      <c r="O52" s="13">
        <f>Time!O35*(O49-O50)*O19</f>
        <v/>
      </c>
      <c r="P52" s="13">
        <f>Time!P35*(P49-P50)*P19</f>
        <v/>
      </c>
      <c r="Q52" s="13">
        <f>Time!Q35*(Q49-Q50)*Q19</f>
        <v/>
      </c>
      <c r="R52" s="13">
        <f>Time!R35*(R49-R50)*R19</f>
        <v/>
      </c>
      <c r="S52" s="13">
        <f>Time!S35*(S49-S50)*S19</f>
        <v/>
      </c>
      <c r="T52" s="13">
        <f>Time!T35*(T49-T50)*T19</f>
        <v/>
      </c>
      <c r="U52" s="13">
        <f>Time!U35*(U49-U50)*U19</f>
        <v/>
      </c>
      <c r="V52" s="13">
        <f>Time!V35*(V49-V50)*V19</f>
        <v/>
      </c>
      <c r="W52" s="13">
        <f>Time!W35*(W49-W50)*W19</f>
        <v/>
      </c>
      <c r="X52" s="13">
        <f>Time!X35*(X49-X50)*X19</f>
        <v/>
      </c>
      <c r="Y52" s="13">
        <f>Time!Y35*(Y49-Y50)*Y19</f>
        <v/>
      </c>
      <c r="Z52" s="13">
        <f>Time!Z35*(Z49-Z50)*Z19</f>
        <v/>
      </c>
      <c r="AA52" s="13">
        <f>Time!AA35*(AA49-AA50)*AA19</f>
        <v/>
      </c>
      <c r="AB52" s="13">
        <f>Time!AB35*(AB49-AB50)*AB19</f>
        <v/>
      </c>
      <c r="AC52" s="13">
        <f>Time!AC35*(AC49-AC50)*AC19</f>
        <v/>
      </c>
      <c r="AD52" s="13">
        <f>Time!AD35*(AD49-AD50)*AD19</f>
        <v/>
      </c>
      <c r="AE52" s="13">
        <f>Time!AE35*(AE49-AE50)*AE19</f>
        <v/>
      </c>
      <c r="AF52" s="13">
        <f>Time!AF35*(AF49-AF50)*AF19</f>
        <v/>
      </c>
      <c r="AG52" s="13">
        <f>Time!AG35*(AG49-AG50)*AG19</f>
        <v/>
      </c>
      <c r="AH52" s="13">
        <f>Time!AH35*(AH49-AH50)*AH19</f>
        <v/>
      </c>
      <c r="AI52" s="13">
        <f>Time!AI35*(AI49-AI50)*AI19</f>
        <v/>
      </c>
      <c r="AJ52" s="13">
        <f>Time!AJ35*(AJ49-AJ50)*AJ19</f>
        <v/>
      </c>
      <c r="AK52" s="13">
        <f>Time!AK35*(AK49-AK50)*AK19</f>
        <v/>
      </c>
      <c r="AL52" s="13">
        <f>Time!AL35*(AL49-AL50)*AL19</f>
        <v/>
      </c>
      <c r="AM52" s="13">
        <f>Time!AM35*(AM49-AM50)*AM19</f>
        <v/>
      </c>
      <c r="AN52" s="13">
        <f>Time!AN35*(AN49-AN50)*AN19</f>
        <v/>
      </c>
      <c r="AO52" s="13">
        <f>Time!AO35*(AO49-AO50)*AO19</f>
        <v/>
      </c>
      <c r="AP52" s="13">
        <f>Time!AP35*(AP49-AP50)*AP19</f>
        <v/>
      </c>
      <c r="AQ52" s="13">
        <f>Time!AQ35*(AQ49-AQ50)*AQ19</f>
        <v/>
      </c>
      <c r="AR52" s="13">
        <f>Time!AR35*(AR49-AR50)*AR19</f>
        <v/>
      </c>
      <c r="AS52" s="13">
        <f>Time!AS35*(AS49-AS50)*AS19</f>
        <v/>
      </c>
      <c r="AT52" s="13">
        <f>Time!AT35*(AT49-AT50)*AT19</f>
        <v/>
      </c>
      <c r="AU52" s="13">
        <f>Time!AU35*(AU49-AU50)*AU19</f>
        <v/>
      </c>
      <c r="AV52" s="13">
        <f>Time!AV35*(AV49-AV50)*AV19</f>
        <v/>
      </c>
      <c r="AW52" s="13">
        <f>Time!AW35*(AW49-AW50)*AW19</f>
        <v/>
      </c>
      <c r="AX52" s="13">
        <f>Time!AX35*(AX49-AX50)*AX19</f>
        <v/>
      </c>
      <c r="AY52" s="13">
        <f>Time!AY35*(AY49-AY50)*AY19</f>
        <v/>
      </c>
      <c r="AZ52" s="13">
        <f>Time!AZ35*(AZ49-AZ50)*AZ19</f>
        <v/>
      </c>
      <c r="BA52" s="13">
        <f>Time!BA35*(BA49-BA50)*BA19</f>
        <v/>
      </c>
      <c r="BB52" s="13">
        <f>Time!BB35*(BB49-BB50)*BB19</f>
        <v/>
      </c>
      <c r="BC52" s="13">
        <f>Time!BC35*(BC49-BC50)*BC19</f>
        <v/>
      </c>
      <c r="BD52" s="13">
        <f>Time!BD35*(BD49-BD50)*BD19</f>
        <v/>
      </c>
      <c r="BE52" s="13">
        <f>Time!BE35*(BE49-BE50)*BE19</f>
        <v/>
      </c>
      <c r="BF52" s="13">
        <f>Time!BF35*(BF49-BF50)*BF19</f>
        <v/>
      </c>
      <c r="BG52" s="13">
        <f>Time!BG35*(BG49-BG50)*BG19</f>
        <v/>
      </c>
      <c r="BH52" s="13">
        <f>Time!BH35*(BH49-BH50)*BH19</f>
        <v/>
      </c>
      <c r="BI52" s="13">
        <f>Time!BI35*(BI49-BI50)*BI19</f>
        <v/>
      </c>
      <c r="BJ52" s="13">
        <f>Time!BJ35*(BJ49-BJ50)*BJ19</f>
        <v/>
      </c>
      <c r="BK52" s="13">
        <f>Time!BK35*(BK49-BK50)*BK19</f>
        <v/>
      </c>
      <c r="BL52" s="13">
        <f>Time!BL35*(BL49-BL50)*BL19</f>
        <v/>
      </c>
      <c r="BM52" s="13">
        <f>Time!BM35*(BM49-BM50)*BM19</f>
        <v/>
      </c>
      <c r="BN52" s="13">
        <f>Time!BN35*(BN49-BN50)*BN19</f>
        <v/>
      </c>
    </row>
    <row r="53">
      <c r="D53" t="inlineStr">
        <is>
          <t>Principal deferred under the waiver</t>
        </is>
      </c>
      <c r="E53" t="inlineStr">
        <is>
          <t>USD m</t>
        </is>
      </c>
      <c r="G53" s="13">
        <f>SUM(J53:BN53)</f>
        <v/>
      </c>
      <c r="J53" s="13">
        <f>Time!J43*Inputs!$F$270*J52</f>
        <v/>
      </c>
      <c r="K53" s="13">
        <f>Time!K43*Inputs!$F$270*K52</f>
        <v/>
      </c>
      <c r="L53" s="13">
        <f>Time!L43*Inputs!$F$270*L52</f>
        <v/>
      </c>
      <c r="M53" s="13">
        <f>Time!M43*Inputs!$F$270*M52</f>
        <v/>
      </c>
      <c r="N53" s="13">
        <f>Time!N43*Inputs!$F$270*N52</f>
        <v/>
      </c>
      <c r="O53" s="13">
        <f>Time!O43*Inputs!$F$270*O52</f>
        <v/>
      </c>
      <c r="P53" s="13">
        <f>Time!P43*Inputs!$F$270*P52</f>
        <v/>
      </c>
      <c r="Q53" s="13">
        <f>Time!Q43*Inputs!$F$270*Q52</f>
        <v/>
      </c>
      <c r="R53" s="13">
        <f>Time!R43*Inputs!$F$270*R52</f>
        <v/>
      </c>
      <c r="S53" s="13">
        <f>Time!S43*Inputs!$F$270*S52</f>
        <v/>
      </c>
      <c r="T53" s="13">
        <f>Time!T43*Inputs!$F$270*T52</f>
        <v/>
      </c>
      <c r="U53" s="13">
        <f>Time!U43*Inputs!$F$270*U52</f>
        <v/>
      </c>
      <c r="V53" s="13">
        <f>Time!V43*Inputs!$F$270*V52</f>
        <v/>
      </c>
      <c r="W53" s="13">
        <f>Time!W43*Inputs!$F$270*W52</f>
        <v/>
      </c>
      <c r="X53" s="13">
        <f>Time!X43*Inputs!$F$270*X52</f>
        <v/>
      </c>
      <c r="Y53" s="13">
        <f>Time!Y43*Inputs!$F$270*Y52</f>
        <v/>
      </c>
      <c r="Z53" s="13">
        <f>Time!Z43*Inputs!$F$270*Z52</f>
        <v/>
      </c>
      <c r="AA53" s="13">
        <f>Time!AA43*Inputs!$F$270*AA52</f>
        <v/>
      </c>
      <c r="AB53" s="13">
        <f>Time!AB43*Inputs!$F$270*AB52</f>
        <v/>
      </c>
      <c r="AC53" s="13">
        <f>Time!AC43*Inputs!$F$270*AC52</f>
        <v/>
      </c>
      <c r="AD53" s="13">
        <f>Time!AD43*Inputs!$F$270*AD52</f>
        <v/>
      </c>
      <c r="AE53" s="13">
        <f>Time!AE43*Inputs!$F$270*AE52</f>
        <v/>
      </c>
      <c r="AF53" s="13">
        <f>Time!AF43*Inputs!$F$270*AF52</f>
        <v/>
      </c>
      <c r="AG53" s="13">
        <f>Time!AG43*Inputs!$F$270*AG52</f>
        <v/>
      </c>
      <c r="AH53" s="13">
        <f>Time!AH43*Inputs!$F$270*AH52</f>
        <v/>
      </c>
      <c r="AI53" s="13">
        <f>Time!AI43*Inputs!$F$270*AI52</f>
        <v/>
      </c>
      <c r="AJ53" s="13">
        <f>Time!AJ43*Inputs!$F$270*AJ52</f>
        <v/>
      </c>
      <c r="AK53" s="13">
        <f>Time!AK43*Inputs!$F$270*AK52</f>
        <v/>
      </c>
      <c r="AL53" s="13">
        <f>Time!AL43*Inputs!$F$270*AL52</f>
        <v/>
      </c>
      <c r="AM53" s="13">
        <f>Time!AM43*Inputs!$F$270*AM52</f>
        <v/>
      </c>
      <c r="AN53" s="13">
        <f>Time!AN43*Inputs!$F$270*AN52</f>
        <v/>
      </c>
      <c r="AO53" s="13">
        <f>Time!AO43*Inputs!$F$270*AO52</f>
        <v/>
      </c>
      <c r="AP53" s="13">
        <f>Time!AP43*Inputs!$F$270*AP52</f>
        <v/>
      </c>
      <c r="AQ53" s="13">
        <f>Time!AQ43*Inputs!$F$270*AQ52</f>
        <v/>
      </c>
      <c r="AR53" s="13">
        <f>Time!AR43*Inputs!$F$270*AR52</f>
        <v/>
      </c>
      <c r="AS53" s="13">
        <f>Time!AS43*Inputs!$F$270*AS52</f>
        <v/>
      </c>
      <c r="AT53" s="13">
        <f>Time!AT43*Inputs!$F$270*AT52</f>
        <v/>
      </c>
      <c r="AU53" s="13">
        <f>Time!AU43*Inputs!$F$270*AU52</f>
        <v/>
      </c>
      <c r="AV53" s="13">
        <f>Time!AV43*Inputs!$F$270*AV52</f>
        <v/>
      </c>
      <c r="AW53" s="13">
        <f>Time!AW43*Inputs!$F$270*AW52</f>
        <v/>
      </c>
      <c r="AX53" s="13">
        <f>Time!AX43*Inputs!$F$270*AX52</f>
        <v/>
      </c>
      <c r="AY53" s="13">
        <f>Time!AY43*Inputs!$F$270*AY52</f>
        <v/>
      </c>
      <c r="AZ53" s="13">
        <f>Time!AZ43*Inputs!$F$270*AZ52</f>
        <v/>
      </c>
      <c r="BA53" s="13">
        <f>Time!BA43*Inputs!$F$270*BA52</f>
        <v/>
      </c>
      <c r="BB53" s="13">
        <f>Time!BB43*Inputs!$F$270*BB52</f>
        <v/>
      </c>
      <c r="BC53" s="13">
        <f>Time!BC43*Inputs!$F$270*BC52</f>
        <v/>
      </c>
      <c r="BD53" s="13">
        <f>Time!BD43*Inputs!$F$270*BD52</f>
        <v/>
      </c>
      <c r="BE53" s="13">
        <f>Time!BE43*Inputs!$F$270*BE52</f>
        <v/>
      </c>
      <c r="BF53" s="13">
        <f>Time!BF43*Inputs!$F$270*BF52</f>
        <v/>
      </c>
      <c r="BG53" s="13">
        <f>Time!BG43*Inputs!$F$270*BG52</f>
        <v/>
      </c>
      <c r="BH53" s="13">
        <f>Time!BH43*Inputs!$F$270*BH52</f>
        <v/>
      </c>
      <c r="BI53" s="13">
        <f>Time!BI43*Inputs!$F$270*BI52</f>
        <v/>
      </c>
      <c r="BJ53" s="13">
        <f>Time!BJ43*Inputs!$F$270*BJ52</f>
        <v/>
      </c>
      <c r="BK53" s="13">
        <f>Time!BK43*Inputs!$F$270*BK52</f>
        <v/>
      </c>
      <c r="BL53" s="13">
        <f>Time!BL43*Inputs!$F$270*BL52</f>
        <v/>
      </c>
      <c r="BM53" s="13">
        <f>Time!BM43*Inputs!$F$270*BM52</f>
        <v/>
      </c>
      <c r="BN53" s="13">
        <f>Time!BN43*Inputs!$F$270*BN52</f>
        <v/>
      </c>
    </row>
    <row r="54">
      <c r="D54" t="inlineStr">
        <is>
          <t>Deferred principal repaid (equal parts over the remaining repayment dates)</t>
        </is>
      </c>
      <c r="E54" t="inlineStr">
        <is>
          <t>USD m</t>
        </is>
      </c>
      <c r="G54" s="13">
        <f>SUM(J54:BN54)</f>
        <v/>
      </c>
      <c r="J54" s="13">
        <f>IF(Time!J46&gt;0,Time!J45*J50/Time!J46,0)</f>
        <v/>
      </c>
      <c r="K54" s="13">
        <f>IF(Time!K46&gt;0,Time!K45*K50/Time!K46,0)</f>
        <v/>
      </c>
      <c r="L54" s="13">
        <f>IF(Time!L46&gt;0,Time!L45*L50/Time!L46,0)</f>
        <v/>
      </c>
      <c r="M54" s="13">
        <f>IF(Time!M46&gt;0,Time!M45*M50/Time!M46,0)</f>
        <v/>
      </c>
      <c r="N54" s="13">
        <f>IF(Time!N46&gt;0,Time!N45*N50/Time!N46,0)</f>
        <v/>
      </c>
      <c r="O54" s="13">
        <f>IF(Time!O46&gt;0,Time!O45*O50/Time!O46,0)</f>
        <v/>
      </c>
      <c r="P54" s="13">
        <f>IF(Time!P46&gt;0,Time!P45*P50/Time!P46,0)</f>
        <v/>
      </c>
      <c r="Q54" s="13">
        <f>IF(Time!Q46&gt;0,Time!Q45*Q50/Time!Q46,0)</f>
        <v/>
      </c>
      <c r="R54" s="13">
        <f>IF(Time!R46&gt;0,Time!R45*R50/Time!R46,0)</f>
        <v/>
      </c>
      <c r="S54" s="13">
        <f>IF(Time!S46&gt;0,Time!S45*S50/Time!S46,0)</f>
        <v/>
      </c>
      <c r="T54" s="13">
        <f>IF(Time!T46&gt;0,Time!T45*T50/Time!T46,0)</f>
        <v/>
      </c>
      <c r="U54" s="13">
        <f>IF(Time!U46&gt;0,Time!U45*U50/Time!U46,0)</f>
        <v/>
      </c>
      <c r="V54" s="13">
        <f>IF(Time!V46&gt;0,Time!V45*V50/Time!V46,0)</f>
        <v/>
      </c>
      <c r="W54" s="13">
        <f>IF(Time!W46&gt;0,Time!W45*W50/Time!W46,0)</f>
        <v/>
      </c>
      <c r="X54" s="13">
        <f>IF(Time!X46&gt;0,Time!X45*X50/Time!X46,0)</f>
        <v/>
      </c>
      <c r="Y54" s="13">
        <f>IF(Time!Y46&gt;0,Time!Y45*Y50/Time!Y46,0)</f>
        <v/>
      </c>
      <c r="Z54" s="13">
        <f>IF(Time!Z46&gt;0,Time!Z45*Z50/Time!Z46,0)</f>
        <v/>
      </c>
      <c r="AA54" s="13">
        <f>IF(Time!AA46&gt;0,Time!AA45*AA50/Time!AA46,0)</f>
        <v/>
      </c>
      <c r="AB54" s="13">
        <f>IF(Time!AB46&gt;0,Time!AB45*AB50/Time!AB46,0)</f>
        <v/>
      </c>
      <c r="AC54" s="13">
        <f>IF(Time!AC46&gt;0,Time!AC45*AC50/Time!AC46,0)</f>
        <v/>
      </c>
      <c r="AD54" s="13">
        <f>IF(Time!AD46&gt;0,Time!AD45*AD50/Time!AD46,0)</f>
        <v/>
      </c>
      <c r="AE54" s="13">
        <f>IF(Time!AE46&gt;0,Time!AE45*AE50/Time!AE46,0)</f>
        <v/>
      </c>
      <c r="AF54" s="13">
        <f>IF(Time!AF46&gt;0,Time!AF45*AF50/Time!AF46,0)</f>
        <v/>
      </c>
      <c r="AG54" s="13">
        <f>IF(Time!AG46&gt;0,Time!AG45*AG50/Time!AG46,0)</f>
        <v/>
      </c>
      <c r="AH54" s="13">
        <f>IF(Time!AH46&gt;0,Time!AH45*AH50/Time!AH46,0)</f>
        <v/>
      </c>
      <c r="AI54" s="13">
        <f>IF(Time!AI46&gt;0,Time!AI45*AI50/Time!AI46,0)</f>
        <v/>
      </c>
      <c r="AJ54" s="13">
        <f>IF(Time!AJ46&gt;0,Time!AJ45*AJ50/Time!AJ46,0)</f>
        <v/>
      </c>
      <c r="AK54" s="13">
        <f>IF(Time!AK46&gt;0,Time!AK45*AK50/Time!AK46,0)</f>
        <v/>
      </c>
      <c r="AL54" s="13">
        <f>IF(Time!AL46&gt;0,Time!AL45*AL50/Time!AL46,0)</f>
        <v/>
      </c>
      <c r="AM54" s="13">
        <f>IF(Time!AM46&gt;0,Time!AM45*AM50/Time!AM46,0)</f>
        <v/>
      </c>
      <c r="AN54" s="13">
        <f>IF(Time!AN46&gt;0,Time!AN45*AN50/Time!AN46,0)</f>
        <v/>
      </c>
      <c r="AO54" s="13">
        <f>IF(Time!AO46&gt;0,Time!AO45*AO50/Time!AO46,0)</f>
        <v/>
      </c>
      <c r="AP54" s="13">
        <f>IF(Time!AP46&gt;0,Time!AP45*AP50/Time!AP46,0)</f>
        <v/>
      </c>
      <c r="AQ54" s="13">
        <f>IF(Time!AQ46&gt;0,Time!AQ45*AQ50/Time!AQ46,0)</f>
        <v/>
      </c>
      <c r="AR54" s="13">
        <f>IF(Time!AR46&gt;0,Time!AR45*AR50/Time!AR46,0)</f>
        <v/>
      </c>
      <c r="AS54" s="13">
        <f>IF(Time!AS46&gt;0,Time!AS45*AS50/Time!AS46,0)</f>
        <v/>
      </c>
      <c r="AT54" s="13">
        <f>IF(Time!AT46&gt;0,Time!AT45*AT50/Time!AT46,0)</f>
        <v/>
      </c>
      <c r="AU54" s="13">
        <f>IF(Time!AU46&gt;0,Time!AU45*AU50/Time!AU46,0)</f>
        <v/>
      </c>
      <c r="AV54" s="13">
        <f>IF(Time!AV46&gt;0,Time!AV45*AV50/Time!AV46,0)</f>
        <v/>
      </c>
      <c r="AW54" s="13">
        <f>IF(Time!AW46&gt;0,Time!AW45*AW50/Time!AW46,0)</f>
        <v/>
      </c>
      <c r="AX54" s="13">
        <f>IF(Time!AX46&gt;0,Time!AX45*AX50/Time!AX46,0)</f>
        <v/>
      </c>
      <c r="AY54" s="13">
        <f>IF(Time!AY46&gt;0,Time!AY45*AY50/Time!AY46,0)</f>
        <v/>
      </c>
      <c r="AZ54" s="13">
        <f>IF(Time!AZ46&gt;0,Time!AZ45*AZ50/Time!AZ46,0)</f>
        <v/>
      </c>
      <c r="BA54" s="13">
        <f>IF(Time!BA46&gt;0,Time!BA45*BA50/Time!BA46,0)</f>
        <v/>
      </c>
      <c r="BB54" s="13">
        <f>IF(Time!BB46&gt;0,Time!BB45*BB50/Time!BB46,0)</f>
        <v/>
      </c>
      <c r="BC54" s="13">
        <f>IF(Time!BC46&gt;0,Time!BC45*BC50/Time!BC46,0)</f>
        <v/>
      </c>
      <c r="BD54" s="13">
        <f>IF(Time!BD46&gt;0,Time!BD45*BD50/Time!BD46,0)</f>
        <v/>
      </c>
      <c r="BE54" s="13">
        <f>IF(Time!BE46&gt;0,Time!BE45*BE50/Time!BE46,0)</f>
        <v/>
      </c>
      <c r="BF54" s="13">
        <f>IF(Time!BF46&gt;0,Time!BF45*BF50/Time!BF46,0)</f>
        <v/>
      </c>
      <c r="BG54" s="13">
        <f>IF(Time!BG46&gt;0,Time!BG45*BG50/Time!BG46,0)</f>
        <v/>
      </c>
      <c r="BH54" s="13">
        <f>IF(Time!BH46&gt;0,Time!BH45*BH50/Time!BH46,0)</f>
        <v/>
      </c>
      <c r="BI54" s="13">
        <f>IF(Time!BI46&gt;0,Time!BI45*BI50/Time!BI46,0)</f>
        <v/>
      </c>
      <c r="BJ54" s="13">
        <f>IF(Time!BJ46&gt;0,Time!BJ45*BJ50/Time!BJ46,0)</f>
        <v/>
      </c>
      <c r="BK54" s="13">
        <f>IF(Time!BK46&gt;0,Time!BK45*BK50/Time!BK46,0)</f>
        <v/>
      </c>
      <c r="BL54" s="13">
        <f>IF(Time!BL46&gt;0,Time!BL45*BL50/Time!BL46,0)</f>
        <v/>
      </c>
      <c r="BM54" s="13">
        <f>IF(Time!BM46&gt;0,Time!BM45*BM50/Time!BM46,0)</f>
        <v/>
      </c>
      <c r="BN54" s="13">
        <f>IF(Time!BN46&gt;0,Time!BN45*BN50/Time!BN46,0)</f>
        <v/>
      </c>
    </row>
    <row r="55">
      <c r="D55" t="inlineStr">
        <is>
          <t>Principal paid</t>
        </is>
      </c>
      <c r="E55" t="inlineStr">
        <is>
          <t>USD m</t>
        </is>
      </c>
      <c r="G55" s="13">
        <f>SUM(J55:BN55)</f>
        <v/>
      </c>
      <c r="J55" s="13">
        <f>J52-J53+J54</f>
        <v/>
      </c>
      <c r="K55" s="13">
        <f>K52-K53+K54</f>
        <v/>
      </c>
      <c r="L55" s="13">
        <f>L52-L53+L54</f>
        <v/>
      </c>
      <c r="M55" s="13">
        <f>M52-M53+M54</f>
        <v/>
      </c>
      <c r="N55" s="13">
        <f>N52-N53+N54</f>
        <v/>
      </c>
      <c r="O55" s="13">
        <f>O52-O53+O54</f>
        <v/>
      </c>
      <c r="P55" s="13">
        <f>P52-P53+P54</f>
        <v/>
      </c>
      <c r="Q55" s="13">
        <f>Q52-Q53+Q54</f>
        <v/>
      </c>
      <c r="R55" s="13">
        <f>R52-R53+R54</f>
        <v/>
      </c>
      <c r="S55" s="13">
        <f>S52-S53+S54</f>
        <v/>
      </c>
      <c r="T55" s="13">
        <f>T52-T53+T54</f>
        <v/>
      </c>
      <c r="U55" s="13">
        <f>U52-U53+U54</f>
        <v/>
      </c>
      <c r="V55" s="13">
        <f>V52-V53+V54</f>
        <v/>
      </c>
      <c r="W55" s="13">
        <f>W52-W53+W54</f>
        <v/>
      </c>
      <c r="X55" s="13">
        <f>X52-X53+X54</f>
        <v/>
      </c>
      <c r="Y55" s="13">
        <f>Y52-Y53+Y54</f>
        <v/>
      </c>
      <c r="Z55" s="13">
        <f>Z52-Z53+Z54</f>
        <v/>
      </c>
      <c r="AA55" s="13">
        <f>AA52-AA53+AA54</f>
        <v/>
      </c>
      <c r="AB55" s="13">
        <f>AB52-AB53+AB54</f>
        <v/>
      </c>
      <c r="AC55" s="13">
        <f>AC52-AC53+AC54</f>
        <v/>
      </c>
      <c r="AD55" s="13">
        <f>AD52-AD53+AD54</f>
        <v/>
      </c>
      <c r="AE55" s="13">
        <f>AE52-AE53+AE54</f>
        <v/>
      </c>
      <c r="AF55" s="13">
        <f>AF52-AF53+AF54</f>
        <v/>
      </c>
      <c r="AG55" s="13">
        <f>AG52-AG53+AG54</f>
        <v/>
      </c>
      <c r="AH55" s="13">
        <f>AH52-AH53+AH54</f>
        <v/>
      </c>
      <c r="AI55" s="13">
        <f>AI52-AI53+AI54</f>
        <v/>
      </c>
      <c r="AJ55" s="13">
        <f>AJ52-AJ53+AJ54</f>
        <v/>
      </c>
      <c r="AK55" s="13">
        <f>AK52-AK53+AK54</f>
        <v/>
      </c>
      <c r="AL55" s="13">
        <f>AL52-AL53+AL54</f>
        <v/>
      </c>
      <c r="AM55" s="13">
        <f>AM52-AM53+AM54</f>
        <v/>
      </c>
      <c r="AN55" s="13">
        <f>AN52-AN53+AN54</f>
        <v/>
      </c>
      <c r="AO55" s="13">
        <f>AO52-AO53+AO54</f>
        <v/>
      </c>
      <c r="AP55" s="13">
        <f>AP52-AP53+AP54</f>
        <v/>
      </c>
      <c r="AQ55" s="13">
        <f>AQ52-AQ53+AQ54</f>
        <v/>
      </c>
      <c r="AR55" s="13">
        <f>AR52-AR53+AR54</f>
        <v/>
      </c>
      <c r="AS55" s="13">
        <f>AS52-AS53+AS54</f>
        <v/>
      </c>
      <c r="AT55" s="13">
        <f>AT52-AT53+AT54</f>
        <v/>
      </c>
      <c r="AU55" s="13">
        <f>AU52-AU53+AU54</f>
        <v/>
      </c>
      <c r="AV55" s="13">
        <f>AV52-AV53+AV54</f>
        <v/>
      </c>
      <c r="AW55" s="13">
        <f>AW52-AW53+AW54</f>
        <v/>
      </c>
      <c r="AX55" s="13">
        <f>AX52-AX53+AX54</f>
        <v/>
      </c>
      <c r="AY55" s="13">
        <f>AY52-AY53+AY54</f>
        <v/>
      </c>
      <c r="AZ55" s="13">
        <f>AZ52-AZ53+AZ54</f>
        <v/>
      </c>
      <c r="BA55" s="13">
        <f>BA52-BA53+BA54</f>
        <v/>
      </c>
      <c r="BB55" s="13">
        <f>BB52-BB53+BB54</f>
        <v/>
      </c>
      <c r="BC55" s="13">
        <f>BC52-BC53+BC54</f>
        <v/>
      </c>
      <c r="BD55" s="13">
        <f>BD52-BD53+BD54</f>
        <v/>
      </c>
      <c r="BE55" s="13">
        <f>BE52-BE53+BE54</f>
        <v/>
      </c>
      <c r="BF55" s="13">
        <f>BF52-BF53+BF54</f>
        <v/>
      </c>
      <c r="BG55" s="13">
        <f>BG52-BG53+BG54</f>
        <v/>
      </c>
      <c r="BH55" s="13">
        <f>BH52-BH53+BH54</f>
        <v/>
      </c>
      <c r="BI55" s="13">
        <f>BI52-BI53+BI54</f>
        <v/>
      </c>
      <c r="BJ55" s="13">
        <f>BJ52-BJ53+BJ54</f>
        <v/>
      </c>
      <c r="BK55" s="13">
        <f>BK52-BK53+BK54</f>
        <v/>
      </c>
      <c r="BL55" s="13">
        <f>BL52-BL53+BL54</f>
        <v/>
      </c>
      <c r="BM55" s="13">
        <f>BM52-BM53+BM54</f>
        <v/>
      </c>
      <c r="BN55" s="13">
        <f>BN52-BN53+BN54</f>
        <v/>
      </c>
    </row>
    <row r="56">
      <c r="D56" t="inlineStr">
        <is>
          <t>Performance LD prepayment</t>
        </is>
      </c>
      <c r="E56" t="inlineStr">
        <is>
          <t>USD m</t>
        </is>
      </c>
      <c r="G56" s="13">
        <f>SUM(J56:BN56)</f>
        <v/>
      </c>
      <c r="J56" s="13">
        <f>Time!J42*Inputs!$F$267*(J49-J55)/(J21-J27+J35-J41+J49-J55+J63-J69+J77-J83+Inputs!$F$253)</f>
        <v/>
      </c>
      <c r="K56" s="13">
        <f>Time!K42*Inputs!$F$267*(K49-K55)/(K21-K27+K35-K41+K49-K55+K63-K69+K77-K83+Inputs!$F$253)</f>
        <v/>
      </c>
      <c r="L56" s="13">
        <f>Time!L42*Inputs!$F$267*(L49-L55)/(L21-L27+L35-L41+L49-L55+L63-L69+L77-L83+Inputs!$F$253)</f>
        <v/>
      </c>
      <c r="M56" s="13">
        <f>Time!M42*Inputs!$F$267*(M49-M55)/(M21-M27+M35-M41+M49-M55+M63-M69+M77-M83+Inputs!$F$253)</f>
        <v/>
      </c>
      <c r="N56" s="13">
        <f>Time!N42*Inputs!$F$267*(N49-N55)/(N21-N27+N35-N41+N49-N55+N63-N69+N77-N83+Inputs!$F$253)</f>
        <v/>
      </c>
      <c r="O56" s="13">
        <f>Time!O42*Inputs!$F$267*(O49-O55)/(O21-O27+O35-O41+O49-O55+O63-O69+O77-O83+Inputs!$F$253)</f>
        <v/>
      </c>
      <c r="P56" s="13">
        <f>Time!P42*Inputs!$F$267*(P49-P55)/(P21-P27+P35-P41+P49-P55+P63-P69+P77-P83+Inputs!$F$253)</f>
        <v/>
      </c>
      <c r="Q56" s="13">
        <f>Time!Q42*Inputs!$F$267*(Q49-Q55)/(Q21-Q27+Q35-Q41+Q49-Q55+Q63-Q69+Q77-Q83+Inputs!$F$253)</f>
        <v/>
      </c>
      <c r="R56" s="13">
        <f>Time!R42*Inputs!$F$267*(R49-R55)/(R21-R27+R35-R41+R49-R55+R63-R69+R77-R83+Inputs!$F$253)</f>
        <v/>
      </c>
      <c r="S56" s="13">
        <f>Time!S42*Inputs!$F$267*(S49-S55)/(S21-S27+S35-S41+S49-S55+S63-S69+S77-S83+Inputs!$F$253)</f>
        <v/>
      </c>
      <c r="T56" s="13">
        <f>Time!T42*Inputs!$F$267*(T49-T55)/(T21-T27+T35-T41+T49-T55+T63-T69+T77-T83+Inputs!$F$253)</f>
        <v/>
      </c>
      <c r="U56" s="13">
        <f>Time!U42*Inputs!$F$267*(U49-U55)/(U21-U27+U35-U41+U49-U55+U63-U69+U77-U83+Inputs!$F$253)</f>
        <v/>
      </c>
      <c r="V56" s="13">
        <f>Time!V42*Inputs!$F$267*(V49-V55)/(V21-V27+V35-V41+V49-V55+V63-V69+V77-V83+Inputs!$F$253)</f>
        <v/>
      </c>
      <c r="W56" s="13">
        <f>Time!W42*Inputs!$F$267*(W49-W55)/(W21-W27+W35-W41+W49-W55+W63-W69+W77-W83+Inputs!$F$253)</f>
        <v/>
      </c>
      <c r="X56" s="13">
        <f>Time!X42*Inputs!$F$267*(X49-X55)/(X21-X27+X35-X41+X49-X55+X63-X69+X77-X83+Inputs!$F$253)</f>
        <v/>
      </c>
      <c r="Y56" s="13">
        <f>Time!Y42*Inputs!$F$267*(Y49-Y55)/(Y21-Y27+Y35-Y41+Y49-Y55+Y63-Y69+Y77-Y83+Inputs!$F$253)</f>
        <v/>
      </c>
      <c r="Z56" s="13">
        <f>Time!Z42*Inputs!$F$267*(Z49-Z55)/(Z21-Z27+Z35-Z41+Z49-Z55+Z63-Z69+Z77-Z83+Inputs!$F$253)</f>
        <v/>
      </c>
      <c r="AA56" s="13">
        <f>Time!AA42*Inputs!$F$267*(AA49-AA55)/(AA21-AA27+AA35-AA41+AA49-AA55+AA63-AA69+AA77-AA83+Inputs!$F$253)</f>
        <v/>
      </c>
      <c r="AB56" s="13">
        <f>Time!AB42*Inputs!$F$267*(AB49-AB55)/(AB21-AB27+AB35-AB41+AB49-AB55+AB63-AB69+AB77-AB83+Inputs!$F$253)</f>
        <v/>
      </c>
      <c r="AC56" s="13">
        <f>Time!AC42*Inputs!$F$267*(AC49-AC55)/(AC21-AC27+AC35-AC41+AC49-AC55+AC63-AC69+AC77-AC83+Inputs!$F$253)</f>
        <v/>
      </c>
      <c r="AD56" s="13">
        <f>Time!AD42*Inputs!$F$267*(AD49-AD55)/(AD21-AD27+AD35-AD41+AD49-AD55+AD63-AD69+AD77-AD83+Inputs!$F$253)</f>
        <v/>
      </c>
      <c r="AE56" s="13">
        <f>Time!AE42*Inputs!$F$267*(AE49-AE55)/(AE21-AE27+AE35-AE41+AE49-AE55+AE63-AE69+AE77-AE83+Inputs!$F$253)</f>
        <v/>
      </c>
      <c r="AF56" s="13">
        <f>Time!AF42*Inputs!$F$267*(AF49-AF55)/(AF21-AF27+AF35-AF41+AF49-AF55+AF63-AF69+AF77-AF83+Inputs!$F$253)</f>
        <v/>
      </c>
      <c r="AG56" s="13">
        <f>Time!AG42*Inputs!$F$267*(AG49-AG55)/(AG21-AG27+AG35-AG41+AG49-AG55+AG63-AG69+AG77-AG83+Inputs!$F$253)</f>
        <v/>
      </c>
      <c r="AH56" s="13">
        <f>Time!AH42*Inputs!$F$267*(AH49-AH55)/(AH21-AH27+AH35-AH41+AH49-AH55+AH63-AH69+AH77-AH83+Inputs!$F$253)</f>
        <v/>
      </c>
      <c r="AI56" s="13">
        <f>Time!AI42*Inputs!$F$267*(AI49-AI55)/(AI21-AI27+AI35-AI41+AI49-AI55+AI63-AI69+AI77-AI83+Inputs!$F$253)</f>
        <v/>
      </c>
      <c r="AJ56" s="13">
        <f>Time!AJ42*Inputs!$F$267*(AJ49-AJ55)/(AJ21-AJ27+AJ35-AJ41+AJ49-AJ55+AJ63-AJ69+AJ77-AJ83+Inputs!$F$253)</f>
        <v/>
      </c>
      <c r="AK56" s="13">
        <f>Time!AK42*Inputs!$F$267*(AK49-AK55)/(AK21-AK27+AK35-AK41+AK49-AK55+AK63-AK69+AK77-AK83+Inputs!$F$253)</f>
        <v/>
      </c>
      <c r="AL56" s="13">
        <f>Time!AL42*Inputs!$F$267*(AL49-AL55)/(AL21-AL27+AL35-AL41+AL49-AL55+AL63-AL69+AL77-AL83+Inputs!$F$253)</f>
        <v/>
      </c>
      <c r="AM56" s="13">
        <f>Time!AM42*Inputs!$F$267*(AM49-AM55)/(AM21-AM27+AM35-AM41+AM49-AM55+AM63-AM69+AM77-AM83+Inputs!$F$253)</f>
        <v/>
      </c>
      <c r="AN56" s="13">
        <f>Time!AN42*Inputs!$F$267*(AN49-AN55)/(AN21-AN27+AN35-AN41+AN49-AN55+AN63-AN69+AN77-AN83+Inputs!$F$253)</f>
        <v/>
      </c>
      <c r="AO56" s="13">
        <f>Time!AO42*Inputs!$F$267*(AO49-AO55)/(AO21-AO27+AO35-AO41+AO49-AO55+AO63-AO69+AO77-AO83+Inputs!$F$253)</f>
        <v/>
      </c>
      <c r="AP56" s="13">
        <f>Time!AP42*Inputs!$F$267*(AP49-AP55)/(AP21-AP27+AP35-AP41+AP49-AP55+AP63-AP69+AP77-AP83+Inputs!$F$253)</f>
        <v/>
      </c>
      <c r="AQ56" s="13">
        <f>Time!AQ42*Inputs!$F$267*(AQ49-AQ55)/(AQ21-AQ27+AQ35-AQ41+AQ49-AQ55+AQ63-AQ69+AQ77-AQ83+Inputs!$F$253)</f>
        <v/>
      </c>
      <c r="AR56" s="13">
        <f>Time!AR42*Inputs!$F$267*(AR49-AR55)/(AR21-AR27+AR35-AR41+AR49-AR55+AR63-AR69+AR77-AR83+Inputs!$F$253)</f>
        <v/>
      </c>
      <c r="AS56" s="13">
        <f>Time!AS42*Inputs!$F$267*(AS49-AS55)/(AS21-AS27+AS35-AS41+AS49-AS55+AS63-AS69+AS77-AS83+Inputs!$F$253)</f>
        <v/>
      </c>
      <c r="AT56" s="13">
        <f>Time!AT42*Inputs!$F$267*(AT49-AT55)/(AT21-AT27+AT35-AT41+AT49-AT55+AT63-AT69+AT77-AT83+Inputs!$F$253)</f>
        <v/>
      </c>
      <c r="AU56" s="13">
        <f>Time!AU42*Inputs!$F$267*(AU49-AU55)/(AU21-AU27+AU35-AU41+AU49-AU55+AU63-AU69+AU77-AU83+Inputs!$F$253)</f>
        <v/>
      </c>
      <c r="AV56" s="13">
        <f>Time!AV42*Inputs!$F$267*(AV49-AV55)/(AV21-AV27+AV35-AV41+AV49-AV55+AV63-AV69+AV77-AV83+Inputs!$F$253)</f>
        <v/>
      </c>
      <c r="AW56" s="13">
        <f>Time!AW42*Inputs!$F$267*(AW49-AW55)/(AW21-AW27+AW35-AW41+AW49-AW55+AW63-AW69+AW77-AW83+Inputs!$F$253)</f>
        <v/>
      </c>
      <c r="AX56" s="13">
        <f>Time!AX42*Inputs!$F$267*(AX49-AX55)/(AX21-AX27+AX35-AX41+AX49-AX55+AX63-AX69+AX77-AX83+Inputs!$F$253)</f>
        <v/>
      </c>
      <c r="AY56" s="13">
        <f>Time!AY42*Inputs!$F$267*(AY49-AY55)/(AY21-AY27+AY35-AY41+AY49-AY55+AY63-AY69+AY77-AY83+Inputs!$F$253)</f>
        <v/>
      </c>
      <c r="AZ56" s="13">
        <f>Time!AZ42*Inputs!$F$267*(AZ49-AZ55)/(AZ21-AZ27+AZ35-AZ41+AZ49-AZ55+AZ63-AZ69+AZ77-AZ83+Inputs!$F$253)</f>
        <v/>
      </c>
      <c r="BA56" s="13">
        <f>Time!BA42*Inputs!$F$267*(BA49-BA55)/(BA21-BA27+BA35-BA41+BA49-BA55+BA63-BA69+BA77-BA83+Inputs!$F$253)</f>
        <v/>
      </c>
      <c r="BB56" s="13">
        <f>Time!BB42*Inputs!$F$267*(BB49-BB55)/(BB21-BB27+BB35-BB41+BB49-BB55+BB63-BB69+BB77-BB83+Inputs!$F$253)</f>
        <v/>
      </c>
      <c r="BC56" s="13">
        <f>Time!BC42*Inputs!$F$267*(BC49-BC55)/(BC21-BC27+BC35-BC41+BC49-BC55+BC63-BC69+BC77-BC83+Inputs!$F$253)</f>
        <v/>
      </c>
      <c r="BD56" s="13">
        <f>Time!BD42*Inputs!$F$267*(BD49-BD55)/(BD21-BD27+BD35-BD41+BD49-BD55+BD63-BD69+BD77-BD83+Inputs!$F$253)</f>
        <v/>
      </c>
      <c r="BE56" s="13">
        <f>Time!BE42*Inputs!$F$267*(BE49-BE55)/(BE21-BE27+BE35-BE41+BE49-BE55+BE63-BE69+BE77-BE83+Inputs!$F$253)</f>
        <v/>
      </c>
      <c r="BF56" s="13">
        <f>Time!BF42*Inputs!$F$267*(BF49-BF55)/(BF21-BF27+BF35-BF41+BF49-BF55+BF63-BF69+BF77-BF83+Inputs!$F$253)</f>
        <v/>
      </c>
      <c r="BG56" s="13">
        <f>Time!BG42*Inputs!$F$267*(BG49-BG55)/(BG21-BG27+BG35-BG41+BG49-BG55+BG63-BG69+BG77-BG83+Inputs!$F$253)</f>
        <v/>
      </c>
      <c r="BH56" s="13">
        <f>Time!BH42*Inputs!$F$267*(BH49-BH55)/(BH21-BH27+BH35-BH41+BH49-BH55+BH63-BH69+BH77-BH83+Inputs!$F$253)</f>
        <v/>
      </c>
      <c r="BI56" s="13">
        <f>Time!BI42*Inputs!$F$267*(BI49-BI55)/(BI21-BI27+BI35-BI41+BI49-BI55+BI63-BI69+BI77-BI83+Inputs!$F$253)</f>
        <v/>
      </c>
      <c r="BJ56" s="13">
        <f>Time!BJ42*Inputs!$F$267*(BJ49-BJ55)/(BJ21-BJ27+BJ35-BJ41+BJ49-BJ55+BJ63-BJ69+BJ77-BJ83+Inputs!$F$253)</f>
        <v/>
      </c>
      <c r="BK56" s="13">
        <f>Time!BK42*Inputs!$F$267*(BK49-BK55)/(BK21-BK27+BK35-BK41+BK49-BK55+BK63-BK69+BK77-BK83+Inputs!$F$253)</f>
        <v/>
      </c>
      <c r="BL56" s="13">
        <f>Time!BL42*Inputs!$F$267*(BL49-BL55)/(BL21-BL27+BL35-BL41+BL49-BL55+BL63-BL69+BL77-BL83+Inputs!$F$253)</f>
        <v/>
      </c>
      <c r="BM56" s="13">
        <f>Time!BM42*Inputs!$F$267*(BM49-BM55)/(BM21-BM27+BM35-BM41+BM49-BM55+BM63-BM69+BM77-BM83+Inputs!$F$253)</f>
        <v/>
      </c>
      <c r="BN56" s="13">
        <f>Time!BN42*Inputs!$F$267*(BN49-BN55)/(BN21-BN27+BN35-BN41+BN49-BN55+BN63-BN69+BN77-BN83+Inputs!$F$253)</f>
        <v/>
      </c>
    </row>
    <row r="57">
      <c r="D57" t="inlineStr">
        <is>
          <t>Refinanced (prepaid from bond proceeds)</t>
        </is>
      </c>
      <c r="E57" t="inlineStr">
        <is>
          <t>USD m</t>
        </is>
      </c>
      <c r="G57" s="13">
        <f>SUM(J57:BN57)</f>
        <v/>
      </c>
      <c r="J57" s="13">
        <f>Time!J47*(J49-J55-J56)</f>
        <v/>
      </c>
      <c r="K57" s="13">
        <f>Time!K47*(K49-K55-K56)</f>
        <v/>
      </c>
      <c r="L57" s="13">
        <f>Time!L47*(L49-L55-L56)</f>
        <v/>
      </c>
      <c r="M57" s="13">
        <f>Time!M47*(M49-M55-M56)</f>
        <v/>
      </c>
      <c r="N57" s="13">
        <f>Time!N47*(N49-N55-N56)</f>
        <v/>
      </c>
      <c r="O57" s="13">
        <f>Time!O47*(O49-O55-O56)</f>
        <v/>
      </c>
      <c r="P57" s="13">
        <f>Time!P47*(P49-P55-P56)</f>
        <v/>
      </c>
      <c r="Q57" s="13">
        <f>Time!Q47*(Q49-Q55-Q56)</f>
        <v/>
      </c>
      <c r="R57" s="13">
        <f>Time!R47*(R49-R55-R56)</f>
        <v/>
      </c>
      <c r="S57" s="13">
        <f>Time!S47*(S49-S55-S56)</f>
        <v/>
      </c>
      <c r="T57" s="13">
        <f>Time!T47*(T49-T55-T56)</f>
        <v/>
      </c>
      <c r="U57" s="13">
        <f>Time!U47*(U49-U55-U56)</f>
        <v/>
      </c>
      <c r="V57" s="13">
        <f>Time!V47*(V49-V55-V56)</f>
        <v/>
      </c>
      <c r="W57" s="13">
        <f>Time!W47*(W49-W55-W56)</f>
        <v/>
      </c>
      <c r="X57" s="13">
        <f>Time!X47*(X49-X55-X56)</f>
        <v/>
      </c>
      <c r="Y57" s="13">
        <f>Time!Y47*(Y49-Y55-Y56)</f>
        <v/>
      </c>
      <c r="Z57" s="13">
        <f>Time!Z47*(Z49-Z55-Z56)</f>
        <v/>
      </c>
      <c r="AA57" s="13">
        <f>Time!AA47*(AA49-AA55-AA56)</f>
        <v/>
      </c>
      <c r="AB57" s="13">
        <f>Time!AB47*(AB49-AB55-AB56)</f>
        <v/>
      </c>
      <c r="AC57" s="13">
        <f>Time!AC47*(AC49-AC55-AC56)</f>
        <v/>
      </c>
      <c r="AD57" s="13">
        <f>Time!AD47*(AD49-AD55-AD56)</f>
        <v/>
      </c>
      <c r="AE57" s="13">
        <f>Time!AE47*(AE49-AE55-AE56)</f>
        <v/>
      </c>
      <c r="AF57" s="13">
        <f>Time!AF47*(AF49-AF55-AF56)</f>
        <v/>
      </c>
      <c r="AG57" s="13">
        <f>Time!AG47*(AG49-AG55-AG56)</f>
        <v/>
      </c>
      <c r="AH57" s="13">
        <f>Time!AH47*(AH49-AH55-AH56)</f>
        <v/>
      </c>
      <c r="AI57" s="13">
        <f>Time!AI47*(AI49-AI55-AI56)</f>
        <v/>
      </c>
      <c r="AJ57" s="13">
        <f>Time!AJ47*(AJ49-AJ55-AJ56)</f>
        <v/>
      </c>
      <c r="AK57" s="13">
        <f>Time!AK47*(AK49-AK55-AK56)</f>
        <v/>
      </c>
      <c r="AL57" s="13">
        <f>Time!AL47*(AL49-AL55-AL56)</f>
        <v/>
      </c>
      <c r="AM57" s="13">
        <f>Time!AM47*(AM49-AM55-AM56)</f>
        <v/>
      </c>
      <c r="AN57" s="13">
        <f>Time!AN47*(AN49-AN55-AN56)</f>
        <v/>
      </c>
      <c r="AO57" s="13">
        <f>Time!AO47*(AO49-AO55-AO56)</f>
        <v/>
      </c>
      <c r="AP57" s="13">
        <f>Time!AP47*(AP49-AP55-AP56)</f>
        <v/>
      </c>
      <c r="AQ57" s="13">
        <f>Time!AQ47*(AQ49-AQ55-AQ56)</f>
        <v/>
      </c>
      <c r="AR57" s="13">
        <f>Time!AR47*(AR49-AR55-AR56)</f>
        <v/>
      </c>
      <c r="AS57" s="13">
        <f>Time!AS47*(AS49-AS55-AS56)</f>
        <v/>
      </c>
      <c r="AT57" s="13">
        <f>Time!AT47*(AT49-AT55-AT56)</f>
        <v/>
      </c>
      <c r="AU57" s="13">
        <f>Time!AU47*(AU49-AU55-AU56)</f>
        <v/>
      </c>
      <c r="AV57" s="13">
        <f>Time!AV47*(AV49-AV55-AV56)</f>
        <v/>
      </c>
      <c r="AW57" s="13">
        <f>Time!AW47*(AW49-AW55-AW56)</f>
        <v/>
      </c>
      <c r="AX57" s="13">
        <f>Time!AX47*(AX49-AX55-AX56)</f>
        <v/>
      </c>
      <c r="AY57" s="13">
        <f>Time!AY47*(AY49-AY55-AY56)</f>
        <v/>
      </c>
      <c r="AZ57" s="13">
        <f>Time!AZ47*(AZ49-AZ55-AZ56)</f>
        <v/>
      </c>
      <c r="BA57" s="13">
        <f>Time!BA47*(BA49-BA55-BA56)</f>
        <v/>
      </c>
      <c r="BB57" s="13">
        <f>Time!BB47*(BB49-BB55-BB56)</f>
        <v/>
      </c>
      <c r="BC57" s="13">
        <f>Time!BC47*(BC49-BC55-BC56)</f>
        <v/>
      </c>
      <c r="BD57" s="13">
        <f>Time!BD47*(BD49-BD55-BD56)</f>
        <v/>
      </c>
      <c r="BE57" s="13">
        <f>Time!BE47*(BE49-BE55-BE56)</f>
        <v/>
      </c>
      <c r="BF57" s="13">
        <f>Time!BF47*(BF49-BF55-BF56)</f>
        <v/>
      </c>
      <c r="BG57" s="13">
        <f>Time!BG47*(BG49-BG55-BG56)</f>
        <v/>
      </c>
      <c r="BH57" s="13">
        <f>Time!BH47*(BH49-BH55-BH56)</f>
        <v/>
      </c>
      <c r="BI57" s="13">
        <f>Time!BI47*(BI49-BI55-BI56)</f>
        <v/>
      </c>
      <c r="BJ57" s="13">
        <f>Time!BJ47*(BJ49-BJ55-BJ56)</f>
        <v/>
      </c>
      <c r="BK57" s="13">
        <f>Time!BK47*(BK49-BK55-BK56)</f>
        <v/>
      </c>
      <c r="BL57" s="13">
        <f>Time!BL47*(BL49-BL55-BL56)</f>
        <v/>
      </c>
      <c r="BM57" s="13">
        <f>Time!BM47*(BM49-BM55-BM56)</f>
        <v/>
      </c>
      <c r="BN57" s="13">
        <f>Time!BN47*(BN49-BN55-BN56)</f>
        <v/>
      </c>
    </row>
    <row r="58">
      <c r="D58" t="inlineStr">
        <is>
          <t>Deferred principal, closing</t>
        </is>
      </c>
      <c r="E58" t="inlineStr">
        <is>
          <t>USD m</t>
        </is>
      </c>
      <c r="J58" s="13">
        <f>(1-Time!J47)*(J50+J53-J54)</f>
        <v/>
      </c>
      <c r="K58" s="13">
        <f>(1-Time!K47)*(K50+K53-K54)</f>
        <v/>
      </c>
      <c r="L58" s="13">
        <f>(1-Time!L47)*(L50+L53-L54)</f>
        <v/>
      </c>
      <c r="M58" s="13">
        <f>(1-Time!M47)*(M50+M53-M54)</f>
        <v/>
      </c>
      <c r="N58" s="13">
        <f>(1-Time!N47)*(N50+N53-N54)</f>
        <v/>
      </c>
      <c r="O58" s="13">
        <f>(1-Time!O47)*(O50+O53-O54)</f>
        <v/>
      </c>
      <c r="P58" s="13">
        <f>(1-Time!P47)*(P50+P53-P54)</f>
        <v/>
      </c>
      <c r="Q58" s="13">
        <f>(1-Time!Q47)*(Q50+Q53-Q54)</f>
        <v/>
      </c>
      <c r="R58" s="13">
        <f>(1-Time!R47)*(R50+R53-R54)</f>
        <v/>
      </c>
      <c r="S58" s="13">
        <f>(1-Time!S47)*(S50+S53-S54)</f>
        <v/>
      </c>
      <c r="T58" s="13">
        <f>(1-Time!T47)*(T50+T53-T54)</f>
        <v/>
      </c>
      <c r="U58" s="13">
        <f>(1-Time!U47)*(U50+U53-U54)</f>
        <v/>
      </c>
      <c r="V58" s="13">
        <f>(1-Time!V47)*(V50+V53-V54)</f>
        <v/>
      </c>
      <c r="W58" s="13">
        <f>(1-Time!W47)*(W50+W53-W54)</f>
        <v/>
      </c>
      <c r="X58" s="13">
        <f>(1-Time!X47)*(X50+X53-X54)</f>
        <v/>
      </c>
      <c r="Y58" s="13">
        <f>(1-Time!Y47)*(Y50+Y53-Y54)</f>
        <v/>
      </c>
      <c r="Z58" s="13">
        <f>(1-Time!Z47)*(Z50+Z53-Z54)</f>
        <v/>
      </c>
      <c r="AA58" s="13">
        <f>(1-Time!AA47)*(AA50+AA53-AA54)</f>
        <v/>
      </c>
      <c r="AB58" s="13">
        <f>(1-Time!AB47)*(AB50+AB53-AB54)</f>
        <v/>
      </c>
      <c r="AC58" s="13">
        <f>(1-Time!AC47)*(AC50+AC53-AC54)</f>
        <v/>
      </c>
      <c r="AD58" s="13">
        <f>(1-Time!AD47)*(AD50+AD53-AD54)</f>
        <v/>
      </c>
      <c r="AE58" s="13">
        <f>(1-Time!AE47)*(AE50+AE53-AE54)</f>
        <v/>
      </c>
      <c r="AF58" s="13">
        <f>(1-Time!AF47)*(AF50+AF53-AF54)</f>
        <v/>
      </c>
      <c r="AG58" s="13">
        <f>(1-Time!AG47)*(AG50+AG53-AG54)</f>
        <v/>
      </c>
      <c r="AH58" s="13">
        <f>(1-Time!AH47)*(AH50+AH53-AH54)</f>
        <v/>
      </c>
      <c r="AI58" s="13">
        <f>(1-Time!AI47)*(AI50+AI53-AI54)</f>
        <v/>
      </c>
      <c r="AJ58" s="13">
        <f>(1-Time!AJ47)*(AJ50+AJ53-AJ54)</f>
        <v/>
      </c>
      <c r="AK58" s="13">
        <f>(1-Time!AK47)*(AK50+AK53-AK54)</f>
        <v/>
      </c>
      <c r="AL58" s="13">
        <f>(1-Time!AL47)*(AL50+AL53-AL54)</f>
        <v/>
      </c>
      <c r="AM58" s="13">
        <f>(1-Time!AM47)*(AM50+AM53-AM54)</f>
        <v/>
      </c>
      <c r="AN58" s="13">
        <f>(1-Time!AN47)*(AN50+AN53-AN54)</f>
        <v/>
      </c>
      <c r="AO58" s="13">
        <f>(1-Time!AO47)*(AO50+AO53-AO54)</f>
        <v/>
      </c>
      <c r="AP58" s="13">
        <f>(1-Time!AP47)*(AP50+AP53-AP54)</f>
        <v/>
      </c>
      <c r="AQ58" s="13">
        <f>(1-Time!AQ47)*(AQ50+AQ53-AQ54)</f>
        <v/>
      </c>
      <c r="AR58" s="13">
        <f>(1-Time!AR47)*(AR50+AR53-AR54)</f>
        <v/>
      </c>
      <c r="AS58" s="13">
        <f>(1-Time!AS47)*(AS50+AS53-AS54)</f>
        <v/>
      </c>
      <c r="AT58" s="13">
        <f>(1-Time!AT47)*(AT50+AT53-AT54)</f>
        <v/>
      </c>
      <c r="AU58" s="13">
        <f>(1-Time!AU47)*(AU50+AU53-AU54)</f>
        <v/>
      </c>
      <c r="AV58" s="13">
        <f>(1-Time!AV47)*(AV50+AV53-AV54)</f>
        <v/>
      </c>
      <c r="AW58" s="13">
        <f>(1-Time!AW47)*(AW50+AW53-AW54)</f>
        <v/>
      </c>
      <c r="AX58" s="13">
        <f>(1-Time!AX47)*(AX50+AX53-AX54)</f>
        <v/>
      </c>
      <c r="AY58" s="13">
        <f>(1-Time!AY47)*(AY50+AY53-AY54)</f>
        <v/>
      </c>
      <c r="AZ58" s="13">
        <f>(1-Time!AZ47)*(AZ50+AZ53-AZ54)</f>
        <v/>
      </c>
      <c r="BA58" s="13">
        <f>(1-Time!BA47)*(BA50+BA53-BA54)</f>
        <v/>
      </c>
      <c r="BB58" s="13">
        <f>(1-Time!BB47)*(BB50+BB53-BB54)</f>
        <v/>
      </c>
      <c r="BC58" s="13">
        <f>(1-Time!BC47)*(BC50+BC53-BC54)</f>
        <v/>
      </c>
      <c r="BD58" s="13">
        <f>(1-Time!BD47)*(BD50+BD53-BD54)</f>
        <v/>
      </c>
      <c r="BE58" s="13">
        <f>(1-Time!BE47)*(BE50+BE53-BE54)</f>
        <v/>
      </c>
      <c r="BF58" s="13">
        <f>(1-Time!BF47)*(BF50+BF53-BF54)</f>
        <v/>
      </c>
      <c r="BG58" s="13">
        <f>(1-Time!BG47)*(BG50+BG53-BG54)</f>
        <v/>
      </c>
      <c r="BH58" s="13">
        <f>(1-Time!BH47)*(BH50+BH53-BH54)</f>
        <v/>
      </c>
      <c r="BI58" s="13">
        <f>(1-Time!BI47)*(BI50+BI53-BI54)</f>
        <v/>
      </c>
      <c r="BJ58" s="13">
        <f>(1-Time!BJ47)*(BJ50+BJ53-BJ54)</f>
        <v/>
      </c>
      <c r="BK58" s="13">
        <f>(1-Time!BK47)*(BK50+BK53-BK54)</f>
        <v/>
      </c>
      <c r="BL58" s="13">
        <f>(1-Time!BL47)*(BL50+BL53-BL54)</f>
        <v/>
      </c>
      <c r="BM58" s="13">
        <f>(1-Time!BM47)*(BM50+BM53-BM54)</f>
        <v/>
      </c>
      <c r="BN58" s="13">
        <f>(1-Time!BN47)*(BN50+BN53-BN54)</f>
        <v/>
      </c>
    </row>
    <row r="59">
      <c r="D59" t="inlineStr">
        <is>
          <t>Balance after scheduled payment, LDs and refinancing</t>
        </is>
      </c>
      <c r="E59" t="inlineStr">
        <is>
          <t>USD m</t>
        </is>
      </c>
      <c r="J59" s="13">
        <f>J49-J55-J56-J57</f>
        <v/>
      </c>
      <c r="K59" s="13">
        <f>K49-K55-K56-K57</f>
        <v/>
      </c>
      <c r="L59" s="13">
        <f>L49-L55-L56-L57</f>
        <v/>
      </c>
      <c r="M59" s="13">
        <f>M49-M55-M56-M57</f>
        <v/>
      </c>
      <c r="N59" s="13">
        <f>N49-N55-N56-N57</f>
        <v/>
      </c>
      <c r="O59" s="13">
        <f>O49-O55-O56-O57</f>
        <v/>
      </c>
      <c r="P59" s="13">
        <f>P49-P55-P56-P57</f>
        <v/>
      </c>
      <c r="Q59" s="13">
        <f>Q49-Q55-Q56-Q57</f>
        <v/>
      </c>
      <c r="R59" s="13">
        <f>R49-R55-R56-R57</f>
        <v/>
      </c>
      <c r="S59" s="13">
        <f>S49-S55-S56-S57</f>
        <v/>
      </c>
      <c r="T59" s="13">
        <f>T49-T55-T56-T57</f>
        <v/>
      </c>
      <c r="U59" s="13">
        <f>U49-U55-U56-U57</f>
        <v/>
      </c>
      <c r="V59" s="13">
        <f>V49-V55-V56-V57</f>
        <v/>
      </c>
      <c r="W59" s="13">
        <f>W49-W55-W56-W57</f>
        <v/>
      </c>
      <c r="X59" s="13">
        <f>X49-X55-X56-X57</f>
        <v/>
      </c>
      <c r="Y59" s="13">
        <f>Y49-Y55-Y56-Y57</f>
        <v/>
      </c>
      <c r="Z59" s="13">
        <f>Z49-Z55-Z56-Z57</f>
        <v/>
      </c>
      <c r="AA59" s="13">
        <f>AA49-AA55-AA56-AA57</f>
        <v/>
      </c>
      <c r="AB59" s="13">
        <f>AB49-AB55-AB56-AB57</f>
        <v/>
      </c>
      <c r="AC59" s="13">
        <f>AC49-AC55-AC56-AC57</f>
        <v/>
      </c>
      <c r="AD59" s="13">
        <f>AD49-AD55-AD56-AD57</f>
        <v/>
      </c>
      <c r="AE59" s="13">
        <f>AE49-AE55-AE56-AE57</f>
        <v/>
      </c>
      <c r="AF59" s="13">
        <f>AF49-AF55-AF56-AF57</f>
        <v/>
      </c>
      <c r="AG59" s="13">
        <f>AG49-AG55-AG56-AG57</f>
        <v/>
      </c>
      <c r="AH59" s="13">
        <f>AH49-AH55-AH56-AH57</f>
        <v/>
      </c>
      <c r="AI59" s="13">
        <f>AI49-AI55-AI56-AI57</f>
        <v/>
      </c>
      <c r="AJ59" s="13">
        <f>AJ49-AJ55-AJ56-AJ57</f>
        <v/>
      </c>
      <c r="AK59" s="13">
        <f>AK49-AK55-AK56-AK57</f>
        <v/>
      </c>
      <c r="AL59" s="13">
        <f>AL49-AL55-AL56-AL57</f>
        <v/>
      </c>
      <c r="AM59" s="13">
        <f>AM49-AM55-AM56-AM57</f>
        <v/>
      </c>
      <c r="AN59" s="13">
        <f>AN49-AN55-AN56-AN57</f>
        <v/>
      </c>
      <c r="AO59" s="13">
        <f>AO49-AO55-AO56-AO57</f>
        <v/>
      </c>
      <c r="AP59" s="13">
        <f>AP49-AP55-AP56-AP57</f>
        <v/>
      </c>
      <c r="AQ59" s="13">
        <f>AQ49-AQ55-AQ56-AQ57</f>
        <v/>
      </c>
      <c r="AR59" s="13">
        <f>AR49-AR55-AR56-AR57</f>
        <v/>
      </c>
      <c r="AS59" s="13">
        <f>AS49-AS55-AS56-AS57</f>
        <v/>
      </c>
      <c r="AT59" s="13">
        <f>AT49-AT55-AT56-AT57</f>
        <v/>
      </c>
      <c r="AU59" s="13">
        <f>AU49-AU55-AU56-AU57</f>
        <v/>
      </c>
      <c r="AV59" s="13">
        <f>AV49-AV55-AV56-AV57</f>
        <v/>
      </c>
      <c r="AW59" s="13">
        <f>AW49-AW55-AW56-AW57</f>
        <v/>
      </c>
      <c r="AX59" s="13">
        <f>AX49-AX55-AX56-AX57</f>
        <v/>
      </c>
      <c r="AY59" s="13">
        <f>AY49-AY55-AY56-AY57</f>
        <v/>
      </c>
      <c r="AZ59" s="13">
        <f>AZ49-AZ55-AZ56-AZ57</f>
        <v/>
      </c>
      <c r="BA59" s="13">
        <f>BA49-BA55-BA56-BA57</f>
        <v/>
      </c>
      <c r="BB59" s="13">
        <f>BB49-BB55-BB56-BB57</f>
        <v/>
      </c>
      <c r="BC59" s="13">
        <f>BC49-BC55-BC56-BC57</f>
        <v/>
      </c>
      <c r="BD59" s="13">
        <f>BD49-BD55-BD56-BD57</f>
        <v/>
      </c>
      <c r="BE59" s="13">
        <f>BE49-BE55-BE56-BE57</f>
        <v/>
      </c>
      <c r="BF59" s="13">
        <f>BF49-BF55-BF56-BF57</f>
        <v/>
      </c>
      <c r="BG59" s="13">
        <f>BG49-BG55-BG56-BG57</f>
        <v/>
      </c>
      <c r="BH59" s="13">
        <f>BH49-BH55-BH56-BH57</f>
        <v/>
      </c>
      <c r="BI59" s="13">
        <f>BI49-BI55-BI56-BI57</f>
        <v/>
      </c>
      <c r="BJ59" s="13">
        <f>BJ49-BJ55-BJ56-BJ57</f>
        <v/>
      </c>
      <c r="BK59" s="13">
        <f>BK49-BK55-BK56-BK57</f>
        <v/>
      </c>
      <c r="BL59" s="13">
        <f>BL49-BL55-BL56-BL57</f>
        <v/>
      </c>
      <c r="BM59" s="13">
        <f>BM49-BM55-BM56-BM57</f>
        <v/>
      </c>
      <c r="BN59" s="13">
        <f>BN49-BN55-BN56-BN57</f>
        <v/>
      </c>
    </row>
    <row r="60">
      <c r="D60" t="inlineStr">
        <is>
          <t>Cash sweep prepayment</t>
        </is>
      </c>
      <c r="E60" t="inlineStr">
        <is>
          <t>USD m</t>
        </is>
      </c>
      <c r="G60" s="13">
        <f>SUM(J60:BN60)</f>
        <v/>
      </c>
      <c r="J60" s="13">
        <f>Waterfall!J28*J59/(J31+J45+J59+J73+J87+Inputs!$F$253)</f>
        <v/>
      </c>
      <c r="K60" s="13">
        <f>Waterfall!K28*K59/(K31+K45+K59+K73+K87+Inputs!$F$253)</f>
        <v/>
      </c>
      <c r="L60" s="13">
        <f>Waterfall!L28*L59/(L31+L45+L59+L73+L87+Inputs!$F$253)</f>
        <v/>
      </c>
      <c r="M60" s="13">
        <f>Waterfall!M28*M59/(M31+M45+M59+M73+M87+Inputs!$F$253)</f>
        <v/>
      </c>
      <c r="N60" s="13">
        <f>Waterfall!N28*N59/(N31+N45+N59+N73+N87+Inputs!$F$253)</f>
        <v/>
      </c>
      <c r="O60" s="13">
        <f>Waterfall!O28*O59/(O31+O45+O59+O73+O87+Inputs!$F$253)</f>
        <v/>
      </c>
      <c r="P60" s="13">
        <f>Waterfall!P28*P59/(P31+P45+P59+P73+P87+Inputs!$F$253)</f>
        <v/>
      </c>
      <c r="Q60" s="13">
        <f>Waterfall!Q28*Q59/(Q31+Q45+Q59+Q73+Q87+Inputs!$F$253)</f>
        <v/>
      </c>
      <c r="R60" s="13">
        <f>Waterfall!R28*R59/(R31+R45+R59+R73+R87+Inputs!$F$253)</f>
        <v/>
      </c>
      <c r="S60" s="13">
        <f>Waterfall!S28*S59/(S31+S45+S59+S73+S87+Inputs!$F$253)</f>
        <v/>
      </c>
      <c r="T60" s="13">
        <f>Waterfall!T28*T59/(T31+T45+T59+T73+T87+Inputs!$F$253)</f>
        <v/>
      </c>
      <c r="U60" s="13">
        <f>Waterfall!U28*U59/(U31+U45+U59+U73+U87+Inputs!$F$253)</f>
        <v/>
      </c>
      <c r="V60" s="13">
        <f>Waterfall!V28*V59/(V31+V45+V59+V73+V87+Inputs!$F$253)</f>
        <v/>
      </c>
      <c r="W60" s="13">
        <f>Waterfall!W28*W59/(W31+W45+W59+W73+W87+Inputs!$F$253)</f>
        <v/>
      </c>
      <c r="X60" s="13">
        <f>Waterfall!X28*X59/(X31+X45+X59+X73+X87+Inputs!$F$253)</f>
        <v/>
      </c>
      <c r="Y60" s="13">
        <f>Waterfall!Y28*Y59/(Y31+Y45+Y59+Y73+Y87+Inputs!$F$253)</f>
        <v/>
      </c>
      <c r="Z60" s="13">
        <f>Waterfall!Z28*Z59/(Z31+Z45+Z59+Z73+Z87+Inputs!$F$253)</f>
        <v/>
      </c>
      <c r="AA60" s="13">
        <f>Waterfall!AA28*AA59/(AA31+AA45+AA59+AA73+AA87+Inputs!$F$253)</f>
        <v/>
      </c>
      <c r="AB60" s="13">
        <f>Waterfall!AB28*AB59/(AB31+AB45+AB59+AB73+AB87+Inputs!$F$253)</f>
        <v/>
      </c>
      <c r="AC60" s="13">
        <f>Waterfall!AC28*AC59/(AC31+AC45+AC59+AC73+AC87+Inputs!$F$253)</f>
        <v/>
      </c>
      <c r="AD60" s="13">
        <f>Waterfall!AD28*AD59/(AD31+AD45+AD59+AD73+AD87+Inputs!$F$253)</f>
        <v/>
      </c>
      <c r="AE60" s="13">
        <f>Waterfall!AE28*AE59/(AE31+AE45+AE59+AE73+AE87+Inputs!$F$253)</f>
        <v/>
      </c>
      <c r="AF60" s="13">
        <f>Waterfall!AF28*AF59/(AF31+AF45+AF59+AF73+AF87+Inputs!$F$253)</f>
        <v/>
      </c>
      <c r="AG60" s="13">
        <f>Waterfall!AG28*AG59/(AG31+AG45+AG59+AG73+AG87+Inputs!$F$253)</f>
        <v/>
      </c>
      <c r="AH60" s="13">
        <f>Waterfall!AH28*AH59/(AH31+AH45+AH59+AH73+AH87+Inputs!$F$253)</f>
        <v/>
      </c>
      <c r="AI60" s="13">
        <f>Waterfall!AI28*AI59/(AI31+AI45+AI59+AI73+AI87+Inputs!$F$253)</f>
        <v/>
      </c>
      <c r="AJ60" s="13">
        <f>Waterfall!AJ28*AJ59/(AJ31+AJ45+AJ59+AJ73+AJ87+Inputs!$F$253)</f>
        <v/>
      </c>
      <c r="AK60" s="13">
        <f>Waterfall!AK28*AK59/(AK31+AK45+AK59+AK73+AK87+Inputs!$F$253)</f>
        <v/>
      </c>
      <c r="AL60" s="13">
        <f>Waterfall!AL28*AL59/(AL31+AL45+AL59+AL73+AL87+Inputs!$F$253)</f>
        <v/>
      </c>
      <c r="AM60" s="13">
        <f>Waterfall!AM28*AM59/(AM31+AM45+AM59+AM73+AM87+Inputs!$F$253)</f>
        <v/>
      </c>
      <c r="AN60" s="13">
        <f>Waterfall!AN28*AN59/(AN31+AN45+AN59+AN73+AN87+Inputs!$F$253)</f>
        <v/>
      </c>
      <c r="AO60" s="13">
        <f>Waterfall!AO28*AO59/(AO31+AO45+AO59+AO73+AO87+Inputs!$F$253)</f>
        <v/>
      </c>
      <c r="AP60" s="13">
        <f>Waterfall!AP28*AP59/(AP31+AP45+AP59+AP73+AP87+Inputs!$F$253)</f>
        <v/>
      </c>
      <c r="AQ60" s="13">
        <f>Waterfall!AQ28*AQ59/(AQ31+AQ45+AQ59+AQ73+AQ87+Inputs!$F$253)</f>
        <v/>
      </c>
      <c r="AR60" s="13">
        <f>Waterfall!AR28*AR59/(AR31+AR45+AR59+AR73+AR87+Inputs!$F$253)</f>
        <v/>
      </c>
      <c r="AS60" s="13">
        <f>Waterfall!AS28*AS59/(AS31+AS45+AS59+AS73+AS87+Inputs!$F$253)</f>
        <v/>
      </c>
      <c r="AT60" s="13">
        <f>Waterfall!AT28*AT59/(AT31+AT45+AT59+AT73+AT87+Inputs!$F$253)</f>
        <v/>
      </c>
      <c r="AU60" s="13">
        <f>Waterfall!AU28*AU59/(AU31+AU45+AU59+AU73+AU87+Inputs!$F$253)</f>
        <v/>
      </c>
      <c r="AV60" s="13">
        <f>Waterfall!AV28*AV59/(AV31+AV45+AV59+AV73+AV87+Inputs!$F$253)</f>
        <v/>
      </c>
      <c r="AW60" s="13">
        <f>Waterfall!AW28*AW59/(AW31+AW45+AW59+AW73+AW87+Inputs!$F$253)</f>
        <v/>
      </c>
      <c r="AX60" s="13">
        <f>Waterfall!AX28*AX59/(AX31+AX45+AX59+AX73+AX87+Inputs!$F$253)</f>
        <v/>
      </c>
      <c r="AY60" s="13">
        <f>Waterfall!AY28*AY59/(AY31+AY45+AY59+AY73+AY87+Inputs!$F$253)</f>
        <v/>
      </c>
      <c r="AZ60" s="13">
        <f>Waterfall!AZ28*AZ59/(AZ31+AZ45+AZ59+AZ73+AZ87+Inputs!$F$253)</f>
        <v/>
      </c>
      <c r="BA60" s="13">
        <f>Waterfall!BA28*BA59/(BA31+BA45+BA59+BA73+BA87+Inputs!$F$253)</f>
        <v/>
      </c>
      <c r="BB60" s="13">
        <f>Waterfall!BB28*BB59/(BB31+BB45+BB59+BB73+BB87+Inputs!$F$253)</f>
        <v/>
      </c>
      <c r="BC60" s="13">
        <f>Waterfall!BC28*BC59/(BC31+BC45+BC59+BC73+BC87+Inputs!$F$253)</f>
        <v/>
      </c>
      <c r="BD60" s="13">
        <f>Waterfall!BD28*BD59/(BD31+BD45+BD59+BD73+BD87+Inputs!$F$253)</f>
        <v/>
      </c>
      <c r="BE60" s="13">
        <f>Waterfall!BE28*BE59/(BE31+BE45+BE59+BE73+BE87+Inputs!$F$253)</f>
        <v/>
      </c>
      <c r="BF60" s="13">
        <f>Waterfall!BF28*BF59/(BF31+BF45+BF59+BF73+BF87+Inputs!$F$253)</f>
        <v/>
      </c>
      <c r="BG60" s="13">
        <f>Waterfall!BG28*BG59/(BG31+BG45+BG59+BG73+BG87+Inputs!$F$253)</f>
        <v/>
      </c>
      <c r="BH60" s="13">
        <f>Waterfall!BH28*BH59/(BH31+BH45+BH59+BH73+BH87+Inputs!$F$253)</f>
        <v/>
      </c>
      <c r="BI60" s="13">
        <f>Waterfall!BI28*BI59/(BI31+BI45+BI59+BI73+BI87+Inputs!$F$253)</f>
        <v/>
      </c>
      <c r="BJ60" s="13">
        <f>Waterfall!BJ28*BJ59/(BJ31+BJ45+BJ59+BJ73+BJ87+Inputs!$F$253)</f>
        <v/>
      </c>
      <c r="BK60" s="13">
        <f>Waterfall!BK28*BK59/(BK31+BK45+BK59+BK73+BK87+Inputs!$F$253)</f>
        <v/>
      </c>
      <c r="BL60" s="13">
        <f>Waterfall!BL28*BL59/(BL31+BL45+BL59+BL73+BL87+Inputs!$F$253)</f>
        <v/>
      </c>
      <c r="BM60" s="13">
        <f>Waterfall!BM28*BM59/(BM31+BM45+BM59+BM73+BM87+Inputs!$F$253)</f>
        <v/>
      </c>
      <c r="BN60" s="13">
        <f>Waterfall!BN28*BN59/(BN31+BN45+BN59+BN73+BN87+Inputs!$F$253)</f>
        <v/>
      </c>
    </row>
    <row r="61">
      <c r="D61" t="inlineStr">
        <is>
          <t>Closing balance</t>
        </is>
      </c>
      <c r="E61" t="inlineStr">
        <is>
          <t>USD m</t>
        </is>
      </c>
      <c r="J61" s="13">
        <f>IF(Time!J34=1,INDEX(Funding!$J$63:$BJ$63,1,Time!$F$14),Time!J35*(J59-J60))</f>
        <v/>
      </c>
      <c r="K61" s="13">
        <f>IF(Time!K34=1,INDEX(Funding!$J$63:$BJ$63,1,Time!$F$14),Time!K35*(K59-K60))</f>
        <v/>
      </c>
      <c r="L61" s="13">
        <f>IF(Time!L34=1,INDEX(Funding!$J$63:$BJ$63,1,Time!$F$14),Time!L35*(L59-L60))</f>
        <v/>
      </c>
      <c r="M61" s="13">
        <f>IF(Time!M34=1,INDEX(Funding!$J$63:$BJ$63,1,Time!$F$14),Time!M35*(M59-M60))</f>
        <v/>
      </c>
      <c r="N61" s="13">
        <f>IF(Time!N34=1,INDEX(Funding!$J$63:$BJ$63,1,Time!$F$14),Time!N35*(N59-N60))</f>
        <v/>
      </c>
      <c r="O61" s="13">
        <f>IF(Time!O34=1,INDEX(Funding!$J$63:$BJ$63,1,Time!$F$14),Time!O35*(O59-O60))</f>
        <v/>
      </c>
      <c r="P61" s="13">
        <f>IF(Time!P34=1,INDEX(Funding!$J$63:$BJ$63,1,Time!$F$14),Time!P35*(P59-P60))</f>
        <v/>
      </c>
      <c r="Q61" s="13">
        <f>IF(Time!Q34=1,INDEX(Funding!$J$63:$BJ$63,1,Time!$F$14),Time!Q35*(Q59-Q60))</f>
        <v/>
      </c>
      <c r="R61" s="13">
        <f>IF(Time!R34=1,INDEX(Funding!$J$63:$BJ$63,1,Time!$F$14),Time!R35*(R59-R60))</f>
        <v/>
      </c>
      <c r="S61" s="13">
        <f>IF(Time!S34=1,INDEX(Funding!$J$63:$BJ$63,1,Time!$F$14),Time!S35*(S59-S60))</f>
        <v/>
      </c>
      <c r="T61" s="13">
        <f>IF(Time!T34=1,INDEX(Funding!$J$63:$BJ$63,1,Time!$F$14),Time!T35*(T59-T60))</f>
        <v/>
      </c>
      <c r="U61" s="13">
        <f>IF(Time!U34=1,INDEX(Funding!$J$63:$BJ$63,1,Time!$F$14),Time!U35*(U59-U60))</f>
        <v/>
      </c>
      <c r="V61" s="13">
        <f>IF(Time!V34=1,INDEX(Funding!$J$63:$BJ$63,1,Time!$F$14),Time!V35*(V59-V60))</f>
        <v/>
      </c>
      <c r="W61" s="13">
        <f>IF(Time!W34=1,INDEX(Funding!$J$63:$BJ$63,1,Time!$F$14),Time!W35*(W59-W60))</f>
        <v/>
      </c>
      <c r="X61" s="13">
        <f>IF(Time!X34=1,INDEX(Funding!$J$63:$BJ$63,1,Time!$F$14),Time!X35*(X59-X60))</f>
        <v/>
      </c>
      <c r="Y61" s="13">
        <f>IF(Time!Y34=1,INDEX(Funding!$J$63:$BJ$63,1,Time!$F$14),Time!Y35*(Y59-Y60))</f>
        <v/>
      </c>
      <c r="Z61" s="13">
        <f>IF(Time!Z34=1,INDEX(Funding!$J$63:$BJ$63,1,Time!$F$14),Time!Z35*(Z59-Z60))</f>
        <v/>
      </c>
      <c r="AA61" s="13">
        <f>IF(Time!AA34=1,INDEX(Funding!$J$63:$BJ$63,1,Time!$F$14),Time!AA35*(AA59-AA60))</f>
        <v/>
      </c>
      <c r="AB61" s="13">
        <f>IF(Time!AB34=1,INDEX(Funding!$J$63:$BJ$63,1,Time!$F$14),Time!AB35*(AB59-AB60))</f>
        <v/>
      </c>
      <c r="AC61" s="13">
        <f>IF(Time!AC34=1,INDEX(Funding!$J$63:$BJ$63,1,Time!$F$14),Time!AC35*(AC59-AC60))</f>
        <v/>
      </c>
      <c r="AD61" s="13">
        <f>IF(Time!AD34=1,INDEX(Funding!$J$63:$BJ$63,1,Time!$F$14),Time!AD35*(AD59-AD60))</f>
        <v/>
      </c>
      <c r="AE61" s="13">
        <f>IF(Time!AE34=1,INDEX(Funding!$J$63:$BJ$63,1,Time!$F$14),Time!AE35*(AE59-AE60))</f>
        <v/>
      </c>
      <c r="AF61" s="13">
        <f>IF(Time!AF34=1,INDEX(Funding!$J$63:$BJ$63,1,Time!$F$14),Time!AF35*(AF59-AF60))</f>
        <v/>
      </c>
      <c r="AG61" s="13">
        <f>IF(Time!AG34=1,INDEX(Funding!$J$63:$BJ$63,1,Time!$F$14),Time!AG35*(AG59-AG60))</f>
        <v/>
      </c>
      <c r="AH61" s="13">
        <f>IF(Time!AH34=1,INDEX(Funding!$J$63:$BJ$63,1,Time!$F$14),Time!AH35*(AH59-AH60))</f>
        <v/>
      </c>
      <c r="AI61" s="13">
        <f>IF(Time!AI34=1,INDEX(Funding!$J$63:$BJ$63,1,Time!$F$14),Time!AI35*(AI59-AI60))</f>
        <v/>
      </c>
      <c r="AJ61" s="13">
        <f>IF(Time!AJ34=1,INDEX(Funding!$J$63:$BJ$63,1,Time!$F$14),Time!AJ35*(AJ59-AJ60))</f>
        <v/>
      </c>
      <c r="AK61" s="13">
        <f>IF(Time!AK34=1,INDEX(Funding!$J$63:$BJ$63,1,Time!$F$14),Time!AK35*(AK59-AK60))</f>
        <v/>
      </c>
      <c r="AL61" s="13">
        <f>IF(Time!AL34=1,INDEX(Funding!$J$63:$BJ$63,1,Time!$F$14),Time!AL35*(AL59-AL60))</f>
        <v/>
      </c>
      <c r="AM61" s="13">
        <f>IF(Time!AM34=1,INDEX(Funding!$J$63:$BJ$63,1,Time!$F$14),Time!AM35*(AM59-AM60))</f>
        <v/>
      </c>
      <c r="AN61" s="13">
        <f>IF(Time!AN34=1,INDEX(Funding!$J$63:$BJ$63,1,Time!$F$14),Time!AN35*(AN59-AN60))</f>
        <v/>
      </c>
      <c r="AO61" s="13">
        <f>IF(Time!AO34=1,INDEX(Funding!$J$63:$BJ$63,1,Time!$F$14),Time!AO35*(AO59-AO60))</f>
        <v/>
      </c>
      <c r="AP61" s="13">
        <f>IF(Time!AP34=1,INDEX(Funding!$J$63:$BJ$63,1,Time!$F$14),Time!AP35*(AP59-AP60))</f>
        <v/>
      </c>
      <c r="AQ61" s="13">
        <f>IF(Time!AQ34=1,INDEX(Funding!$J$63:$BJ$63,1,Time!$F$14),Time!AQ35*(AQ59-AQ60))</f>
        <v/>
      </c>
      <c r="AR61" s="13">
        <f>IF(Time!AR34=1,INDEX(Funding!$J$63:$BJ$63,1,Time!$F$14),Time!AR35*(AR59-AR60))</f>
        <v/>
      </c>
      <c r="AS61" s="13">
        <f>IF(Time!AS34=1,INDEX(Funding!$J$63:$BJ$63,1,Time!$F$14),Time!AS35*(AS59-AS60))</f>
        <v/>
      </c>
      <c r="AT61" s="13">
        <f>IF(Time!AT34=1,INDEX(Funding!$J$63:$BJ$63,1,Time!$F$14),Time!AT35*(AT59-AT60))</f>
        <v/>
      </c>
      <c r="AU61" s="13">
        <f>IF(Time!AU34=1,INDEX(Funding!$J$63:$BJ$63,1,Time!$F$14),Time!AU35*(AU59-AU60))</f>
        <v/>
      </c>
      <c r="AV61" s="13">
        <f>IF(Time!AV34=1,INDEX(Funding!$J$63:$BJ$63,1,Time!$F$14),Time!AV35*(AV59-AV60))</f>
        <v/>
      </c>
      <c r="AW61" s="13">
        <f>IF(Time!AW34=1,INDEX(Funding!$J$63:$BJ$63,1,Time!$F$14),Time!AW35*(AW59-AW60))</f>
        <v/>
      </c>
      <c r="AX61" s="13">
        <f>IF(Time!AX34=1,INDEX(Funding!$J$63:$BJ$63,1,Time!$F$14),Time!AX35*(AX59-AX60))</f>
        <v/>
      </c>
      <c r="AY61" s="13">
        <f>IF(Time!AY34=1,INDEX(Funding!$J$63:$BJ$63,1,Time!$F$14),Time!AY35*(AY59-AY60))</f>
        <v/>
      </c>
      <c r="AZ61" s="13">
        <f>IF(Time!AZ34=1,INDEX(Funding!$J$63:$BJ$63,1,Time!$F$14),Time!AZ35*(AZ59-AZ60))</f>
        <v/>
      </c>
      <c r="BA61" s="13">
        <f>IF(Time!BA34=1,INDEX(Funding!$J$63:$BJ$63,1,Time!$F$14),Time!BA35*(BA59-BA60))</f>
        <v/>
      </c>
      <c r="BB61" s="13">
        <f>IF(Time!BB34=1,INDEX(Funding!$J$63:$BJ$63,1,Time!$F$14),Time!BB35*(BB59-BB60))</f>
        <v/>
      </c>
      <c r="BC61" s="13">
        <f>IF(Time!BC34=1,INDEX(Funding!$J$63:$BJ$63,1,Time!$F$14),Time!BC35*(BC59-BC60))</f>
        <v/>
      </c>
      <c r="BD61" s="13">
        <f>IF(Time!BD34=1,INDEX(Funding!$J$63:$BJ$63,1,Time!$F$14),Time!BD35*(BD59-BD60))</f>
        <v/>
      </c>
      <c r="BE61" s="13">
        <f>IF(Time!BE34=1,INDEX(Funding!$J$63:$BJ$63,1,Time!$F$14),Time!BE35*(BE59-BE60))</f>
        <v/>
      </c>
      <c r="BF61" s="13">
        <f>IF(Time!BF34=1,INDEX(Funding!$J$63:$BJ$63,1,Time!$F$14),Time!BF35*(BF59-BF60))</f>
        <v/>
      </c>
      <c r="BG61" s="13">
        <f>IF(Time!BG34=1,INDEX(Funding!$J$63:$BJ$63,1,Time!$F$14),Time!BG35*(BG59-BG60))</f>
        <v/>
      </c>
      <c r="BH61" s="13">
        <f>IF(Time!BH34=1,INDEX(Funding!$J$63:$BJ$63,1,Time!$F$14),Time!BH35*(BH59-BH60))</f>
        <v/>
      </c>
      <c r="BI61" s="13">
        <f>IF(Time!BI34=1,INDEX(Funding!$J$63:$BJ$63,1,Time!$F$14),Time!BI35*(BI59-BI60))</f>
        <v/>
      </c>
      <c r="BJ61" s="13">
        <f>IF(Time!BJ34=1,INDEX(Funding!$J$63:$BJ$63,1,Time!$F$14),Time!BJ35*(BJ59-BJ60))</f>
        <v/>
      </c>
      <c r="BK61" s="13">
        <f>IF(Time!BK34=1,INDEX(Funding!$J$63:$BJ$63,1,Time!$F$14),Time!BK35*(BK59-BK60))</f>
        <v/>
      </c>
      <c r="BL61" s="13">
        <f>IF(Time!BL34=1,INDEX(Funding!$J$63:$BJ$63,1,Time!$F$14),Time!BL35*(BL59-BL60))</f>
        <v/>
      </c>
      <c r="BM61" s="13">
        <f>IF(Time!BM34=1,INDEX(Funding!$J$63:$BJ$63,1,Time!$F$14),Time!BM35*(BM59-BM60))</f>
        <v/>
      </c>
      <c r="BN61" s="13">
        <f>IF(Time!BN34=1,INDEX(Funding!$J$63:$BJ$63,1,Time!$F$14),Time!BN35*(BN59-BN60))</f>
        <v/>
      </c>
    </row>
    <row r="62">
      <c r="B62" s="2" t="inlineStr">
        <is>
          <t>Commercial tranche</t>
        </is>
      </c>
    </row>
    <row r="63">
      <c r="D63" t="inlineStr">
        <is>
          <t>Opening balance</t>
        </is>
      </c>
      <c r="E63" t="inlineStr">
        <is>
          <t>USD m</t>
        </is>
      </c>
      <c r="J63" s="13">
        <f>Time!J35*I75</f>
        <v/>
      </c>
      <c r="K63" s="13">
        <f>Time!K35*J75</f>
        <v/>
      </c>
      <c r="L63" s="13">
        <f>Time!L35*K75</f>
        <v/>
      </c>
      <c r="M63" s="13">
        <f>Time!M35*L75</f>
        <v/>
      </c>
      <c r="N63" s="13">
        <f>Time!N35*M75</f>
        <v/>
      </c>
      <c r="O63" s="13">
        <f>Time!O35*N75</f>
        <v/>
      </c>
      <c r="P63" s="13">
        <f>Time!P35*O75</f>
        <v/>
      </c>
      <c r="Q63" s="13">
        <f>Time!Q35*P75</f>
        <v/>
      </c>
      <c r="R63" s="13">
        <f>Time!R35*Q75</f>
        <v/>
      </c>
      <c r="S63" s="13">
        <f>Time!S35*R75</f>
        <v/>
      </c>
      <c r="T63" s="13">
        <f>Time!T35*S75</f>
        <v/>
      </c>
      <c r="U63" s="13">
        <f>Time!U35*T75</f>
        <v/>
      </c>
      <c r="V63" s="13">
        <f>Time!V35*U75</f>
        <v/>
      </c>
      <c r="W63" s="13">
        <f>Time!W35*V75</f>
        <v/>
      </c>
      <c r="X63" s="13">
        <f>Time!X35*W75</f>
        <v/>
      </c>
      <c r="Y63" s="13">
        <f>Time!Y35*X75</f>
        <v/>
      </c>
      <c r="Z63" s="13">
        <f>Time!Z35*Y75</f>
        <v/>
      </c>
      <c r="AA63" s="13">
        <f>Time!AA35*Z75</f>
        <v/>
      </c>
      <c r="AB63" s="13">
        <f>Time!AB35*AA75</f>
        <v/>
      </c>
      <c r="AC63" s="13">
        <f>Time!AC35*AB75</f>
        <v/>
      </c>
      <c r="AD63" s="13">
        <f>Time!AD35*AC75</f>
        <v/>
      </c>
      <c r="AE63" s="13">
        <f>Time!AE35*AD75</f>
        <v/>
      </c>
      <c r="AF63" s="13">
        <f>Time!AF35*AE75</f>
        <v/>
      </c>
      <c r="AG63" s="13">
        <f>Time!AG35*AF75</f>
        <v/>
      </c>
      <c r="AH63" s="13">
        <f>Time!AH35*AG75</f>
        <v/>
      </c>
      <c r="AI63" s="13">
        <f>Time!AI35*AH75</f>
        <v/>
      </c>
      <c r="AJ63" s="13">
        <f>Time!AJ35*AI75</f>
        <v/>
      </c>
      <c r="AK63" s="13">
        <f>Time!AK35*AJ75</f>
        <v/>
      </c>
      <c r="AL63" s="13">
        <f>Time!AL35*AK75</f>
        <v/>
      </c>
      <c r="AM63" s="13">
        <f>Time!AM35*AL75</f>
        <v/>
      </c>
      <c r="AN63" s="13">
        <f>Time!AN35*AM75</f>
        <v/>
      </c>
      <c r="AO63" s="13">
        <f>Time!AO35*AN75</f>
        <v/>
      </c>
      <c r="AP63" s="13">
        <f>Time!AP35*AO75</f>
        <v/>
      </c>
      <c r="AQ63" s="13">
        <f>Time!AQ35*AP75</f>
        <v/>
      </c>
      <c r="AR63" s="13">
        <f>Time!AR35*AQ75</f>
        <v/>
      </c>
      <c r="AS63" s="13">
        <f>Time!AS35*AR75</f>
        <v/>
      </c>
      <c r="AT63" s="13">
        <f>Time!AT35*AS75</f>
        <v/>
      </c>
      <c r="AU63" s="13">
        <f>Time!AU35*AT75</f>
        <v/>
      </c>
      <c r="AV63" s="13">
        <f>Time!AV35*AU75</f>
        <v/>
      </c>
      <c r="AW63" s="13">
        <f>Time!AW35*AV75</f>
        <v/>
      </c>
      <c r="AX63" s="13">
        <f>Time!AX35*AW75</f>
        <v/>
      </c>
      <c r="AY63" s="13">
        <f>Time!AY35*AX75</f>
        <v/>
      </c>
      <c r="AZ63" s="13">
        <f>Time!AZ35*AY75</f>
        <v/>
      </c>
      <c r="BA63" s="13">
        <f>Time!BA35*AZ75</f>
        <v/>
      </c>
      <c r="BB63" s="13">
        <f>Time!BB35*BA75</f>
        <v/>
      </c>
      <c r="BC63" s="13">
        <f>Time!BC35*BB75</f>
        <v/>
      </c>
      <c r="BD63" s="13">
        <f>Time!BD35*BC75</f>
        <v/>
      </c>
      <c r="BE63" s="13">
        <f>Time!BE35*BD75</f>
        <v/>
      </c>
      <c r="BF63" s="13">
        <f>Time!BF35*BE75</f>
        <v/>
      </c>
      <c r="BG63" s="13">
        <f>Time!BG35*BF75</f>
        <v/>
      </c>
      <c r="BH63" s="13">
        <f>Time!BH35*BG75</f>
        <v/>
      </c>
      <c r="BI63" s="13">
        <f>Time!BI35*BH75</f>
        <v/>
      </c>
      <c r="BJ63" s="13">
        <f>Time!BJ35*BI75</f>
        <v/>
      </c>
      <c r="BK63" s="13">
        <f>Time!BK35*BJ75</f>
        <v/>
      </c>
      <c r="BL63" s="13">
        <f>Time!BL35*BK75</f>
        <v/>
      </c>
      <c r="BM63" s="13">
        <f>Time!BM35*BL75</f>
        <v/>
      </c>
      <c r="BN63" s="13">
        <f>Time!BN35*BM75</f>
        <v/>
      </c>
    </row>
    <row r="64">
      <c r="D64" t="inlineStr">
        <is>
          <t>Deferred principal, opening</t>
        </is>
      </c>
      <c r="E64" t="inlineStr">
        <is>
          <t>USD m</t>
        </is>
      </c>
      <c r="J64" s="13">
        <f>I72</f>
        <v/>
      </c>
      <c r="K64" s="13">
        <f>J72</f>
        <v/>
      </c>
      <c r="L64" s="13">
        <f>K72</f>
        <v/>
      </c>
      <c r="M64" s="13">
        <f>L72</f>
        <v/>
      </c>
      <c r="N64" s="13">
        <f>M72</f>
        <v/>
      </c>
      <c r="O64" s="13">
        <f>N72</f>
        <v/>
      </c>
      <c r="P64" s="13">
        <f>O72</f>
        <v/>
      </c>
      <c r="Q64" s="13">
        <f>P72</f>
        <v/>
      </c>
      <c r="R64" s="13">
        <f>Q72</f>
        <v/>
      </c>
      <c r="S64" s="13">
        <f>R72</f>
        <v/>
      </c>
      <c r="T64" s="13">
        <f>S72</f>
        <v/>
      </c>
      <c r="U64" s="13">
        <f>T72</f>
        <v/>
      </c>
      <c r="V64" s="13">
        <f>U72</f>
        <v/>
      </c>
      <c r="W64" s="13">
        <f>V72</f>
        <v/>
      </c>
      <c r="X64" s="13">
        <f>W72</f>
        <v/>
      </c>
      <c r="Y64" s="13">
        <f>X72</f>
        <v/>
      </c>
      <c r="Z64" s="13">
        <f>Y72</f>
        <v/>
      </c>
      <c r="AA64" s="13">
        <f>Z72</f>
        <v/>
      </c>
      <c r="AB64" s="13">
        <f>AA72</f>
        <v/>
      </c>
      <c r="AC64" s="13">
        <f>AB72</f>
        <v/>
      </c>
      <c r="AD64" s="13">
        <f>AC72</f>
        <v/>
      </c>
      <c r="AE64" s="13">
        <f>AD72</f>
        <v/>
      </c>
      <c r="AF64" s="13">
        <f>AE72</f>
        <v/>
      </c>
      <c r="AG64" s="13">
        <f>AF72</f>
        <v/>
      </c>
      <c r="AH64" s="13">
        <f>AG72</f>
        <v/>
      </c>
      <c r="AI64" s="13">
        <f>AH72</f>
        <v/>
      </c>
      <c r="AJ64" s="13">
        <f>AI72</f>
        <v/>
      </c>
      <c r="AK64" s="13">
        <f>AJ72</f>
        <v/>
      </c>
      <c r="AL64" s="13">
        <f>AK72</f>
        <v/>
      </c>
      <c r="AM64" s="13">
        <f>AL72</f>
        <v/>
      </c>
      <c r="AN64" s="13">
        <f>AM72</f>
        <v/>
      </c>
      <c r="AO64" s="13">
        <f>AN72</f>
        <v/>
      </c>
      <c r="AP64" s="13">
        <f>AO72</f>
        <v/>
      </c>
      <c r="AQ64" s="13">
        <f>AP72</f>
        <v/>
      </c>
      <c r="AR64" s="13">
        <f>AQ72</f>
        <v/>
      </c>
      <c r="AS64" s="13">
        <f>AR72</f>
        <v/>
      </c>
      <c r="AT64" s="13">
        <f>AS72</f>
        <v/>
      </c>
      <c r="AU64" s="13">
        <f>AT72</f>
        <v/>
      </c>
      <c r="AV64" s="13">
        <f>AU72</f>
        <v/>
      </c>
      <c r="AW64" s="13">
        <f>AV72</f>
        <v/>
      </c>
      <c r="AX64" s="13">
        <f>AW72</f>
        <v/>
      </c>
      <c r="AY64" s="13">
        <f>AX72</f>
        <v/>
      </c>
      <c r="AZ64" s="13">
        <f>AY72</f>
        <v/>
      </c>
      <c r="BA64" s="13">
        <f>AZ72</f>
        <v/>
      </c>
      <c r="BB64" s="13">
        <f>BA72</f>
        <v/>
      </c>
      <c r="BC64" s="13">
        <f>BB72</f>
        <v/>
      </c>
      <c r="BD64" s="13">
        <f>BC72</f>
        <v/>
      </c>
      <c r="BE64" s="13">
        <f>BD72</f>
        <v/>
      </c>
      <c r="BF64" s="13">
        <f>BE72</f>
        <v/>
      </c>
      <c r="BG64" s="13">
        <f>BF72</f>
        <v/>
      </c>
      <c r="BH64" s="13">
        <f>BG72</f>
        <v/>
      </c>
      <c r="BI64" s="13">
        <f>BH72</f>
        <v/>
      </c>
      <c r="BJ64" s="13">
        <f>BI72</f>
        <v/>
      </c>
      <c r="BK64" s="13">
        <f>BJ72</f>
        <v/>
      </c>
      <c r="BL64" s="13">
        <f>BK72</f>
        <v/>
      </c>
      <c r="BM64" s="13">
        <f>BL72</f>
        <v/>
      </c>
      <c r="BN64" s="13">
        <f>BM72</f>
        <v/>
      </c>
    </row>
    <row r="65">
      <c r="D65" t="inlineStr">
        <is>
          <t>Interest (incl. WHT gross-up where applicable)</t>
        </is>
      </c>
      <c r="E65" t="inlineStr">
        <is>
          <t>USD m</t>
        </is>
      </c>
      <c r="G65" s="13">
        <f>SUM(J65:BN65)</f>
        <v/>
      </c>
      <c r="J65" s="13">
        <f>J63*J13</f>
        <v/>
      </c>
      <c r="K65" s="13">
        <f>K63*K13</f>
        <v/>
      </c>
      <c r="L65" s="13">
        <f>L63*L13</f>
        <v/>
      </c>
      <c r="M65" s="13">
        <f>M63*M13</f>
        <v/>
      </c>
      <c r="N65" s="13">
        <f>N63*N13</f>
        <v/>
      </c>
      <c r="O65" s="13">
        <f>O63*O13</f>
        <v/>
      </c>
      <c r="P65" s="13">
        <f>P63*P13</f>
        <v/>
      </c>
      <c r="Q65" s="13">
        <f>Q63*Q13</f>
        <v/>
      </c>
      <c r="R65" s="13">
        <f>R63*R13</f>
        <v/>
      </c>
      <c r="S65" s="13">
        <f>S63*S13</f>
        <v/>
      </c>
      <c r="T65" s="13">
        <f>T63*T13</f>
        <v/>
      </c>
      <c r="U65" s="13">
        <f>U63*U13</f>
        <v/>
      </c>
      <c r="V65" s="13">
        <f>V63*V13</f>
        <v/>
      </c>
      <c r="W65" s="13">
        <f>W63*W13</f>
        <v/>
      </c>
      <c r="X65" s="13">
        <f>X63*X13</f>
        <v/>
      </c>
      <c r="Y65" s="13">
        <f>Y63*Y13</f>
        <v/>
      </c>
      <c r="Z65" s="13">
        <f>Z63*Z13</f>
        <v/>
      </c>
      <c r="AA65" s="13">
        <f>AA63*AA13</f>
        <v/>
      </c>
      <c r="AB65" s="13">
        <f>AB63*AB13</f>
        <v/>
      </c>
      <c r="AC65" s="13">
        <f>AC63*AC13</f>
        <v/>
      </c>
      <c r="AD65" s="13">
        <f>AD63*AD13</f>
        <v/>
      </c>
      <c r="AE65" s="13">
        <f>AE63*AE13</f>
        <v/>
      </c>
      <c r="AF65" s="13">
        <f>AF63*AF13</f>
        <v/>
      </c>
      <c r="AG65" s="13">
        <f>AG63*AG13</f>
        <v/>
      </c>
      <c r="AH65" s="13">
        <f>AH63*AH13</f>
        <v/>
      </c>
      <c r="AI65" s="13">
        <f>AI63*AI13</f>
        <v/>
      </c>
      <c r="AJ65" s="13">
        <f>AJ63*AJ13</f>
        <v/>
      </c>
      <c r="AK65" s="13">
        <f>AK63*AK13</f>
        <v/>
      </c>
      <c r="AL65" s="13">
        <f>AL63*AL13</f>
        <v/>
      </c>
      <c r="AM65" s="13">
        <f>AM63*AM13</f>
        <v/>
      </c>
      <c r="AN65" s="13">
        <f>AN63*AN13</f>
        <v/>
      </c>
      <c r="AO65" s="13">
        <f>AO63*AO13</f>
        <v/>
      </c>
      <c r="AP65" s="13">
        <f>AP63*AP13</f>
        <v/>
      </c>
      <c r="AQ65" s="13">
        <f>AQ63*AQ13</f>
        <v/>
      </c>
      <c r="AR65" s="13">
        <f>AR63*AR13</f>
        <v/>
      </c>
      <c r="AS65" s="13">
        <f>AS63*AS13</f>
        <v/>
      </c>
      <c r="AT65" s="13">
        <f>AT63*AT13</f>
        <v/>
      </c>
      <c r="AU65" s="13">
        <f>AU63*AU13</f>
        <v/>
      </c>
      <c r="AV65" s="13">
        <f>AV63*AV13</f>
        <v/>
      </c>
      <c r="AW65" s="13">
        <f>AW63*AW13</f>
        <v/>
      </c>
      <c r="AX65" s="13">
        <f>AX63*AX13</f>
        <v/>
      </c>
      <c r="AY65" s="13">
        <f>AY63*AY13</f>
        <v/>
      </c>
      <c r="AZ65" s="13">
        <f>AZ63*AZ13</f>
        <v/>
      </c>
      <c r="BA65" s="13">
        <f>BA63*BA13</f>
        <v/>
      </c>
      <c r="BB65" s="13">
        <f>BB63*BB13</f>
        <v/>
      </c>
      <c r="BC65" s="13">
        <f>BC63*BC13</f>
        <v/>
      </c>
      <c r="BD65" s="13">
        <f>BD63*BD13</f>
        <v/>
      </c>
      <c r="BE65" s="13">
        <f>BE63*BE13</f>
        <v/>
      </c>
      <c r="BF65" s="13">
        <f>BF63*BF13</f>
        <v/>
      </c>
      <c r="BG65" s="13">
        <f>BG63*BG13</f>
        <v/>
      </c>
      <c r="BH65" s="13">
        <f>BH63*BH13</f>
        <v/>
      </c>
      <c r="BI65" s="13">
        <f>BI63*BI13</f>
        <v/>
      </c>
      <c r="BJ65" s="13">
        <f>BJ63*BJ13</f>
        <v/>
      </c>
      <c r="BK65" s="13">
        <f>BK63*BK13</f>
        <v/>
      </c>
      <c r="BL65" s="13">
        <f>BL63*BL13</f>
        <v/>
      </c>
      <c r="BM65" s="13">
        <f>BM63*BM13</f>
        <v/>
      </c>
      <c r="BN65" s="13">
        <f>BN63*BN13</f>
        <v/>
      </c>
    </row>
    <row r="66">
      <c r="D66" t="inlineStr">
        <is>
          <t>Scheduled principal per profile</t>
        </is>
      </c>
      <c r="E66" t="inlineStr">
        <is>
          <t>USD m</t>
        </is>
      </c>
      <c r="G66" s="13">
        <f>SUM(J66:BN66)</f>
        <v/>
      </c>
      <c r="J66" s="13">
        <f>Time!J35*(J63-J64)*J19</f>
        <v/>
      </c>
      <c r="K66" s="13">
        <f>Time!K35*(K63-K64)*K19</f>
        <v/>
      </c>
      <c r="L66" s="13">
        <f>Time!L35*(L63-L64)*L19</f>
        <v/>
      </c>
      <c r="M66" s="13">
        <f>Time!M35*(M63-M64)*M19</f>
        <v/>
      </c>
      <c r="N66" s="13">
        <f>Time!N35*(N63-N64)*N19</f>
        <v/>
      </c>
      <c r="O66" s="13">
        <f>Time!O35*(O63-O64)*O19</f>
        <v/>
      </c>
      <c r="P66" s="13">
        <f>Time!P35*(P63-P64)*P19</f>
        <v/>
      </c>
      <c r="Q66" s="13">
        <f>Time!Q35*(Q63-Q64)*Q19</f>
        <v/>
      </c>
      <c r="R66" s="13">
        <f>Time!R35*(R63-R64)*R19</f>
        <v/>
      </c>
      <c r="S66" s="13">
        <f>Time!S35*(S63-S64)*S19</f>
        <v/>
      </c>
      <c r="T66" s="13">
        <f>Time!T35*(T63-T64)*T19</f>
        <v/>
      </c>
      <c r="U66" s="13">
        <f>Time!U35*(U63-U64)*U19</f>
        <v/>
      </c>
      <c r="V66" s="13">
        <f>Time!V35*(V63-V64)*V19</f>
        <v/>
      </c>
      <c r="W66" s="13">
        <f>Time!W35*(W63-W64)*W19</f>
        <v/>
      </c>
      <c r="X66" s="13">
        <f>Time!X35*(X63-X64)*X19</f>
        <v/>
      </c>
      <c r="Y66" s="13">
        <f>Time!Y35*(Y63-Y64)*Y19</f>
        <v/>
      </c>
      <c r="Z66" s="13">
        <f>Time!Z35*(Z63-Z64)*Z19</f>
        <v/>
      </c>
      <c r="AA66" s="13">
        <f>Time!AA35*(AA63-AA64)*AA19</f>
        <v/>
      </c>
      <c r="AB66" s="13">
        <f>Time!AB35*(AB63-AB64)*AB19</f>
        <v/>
      </c>
      <c r="AC66" s="13">
        <f>Time!AC35*(AC63-AC64)*AC19</f>
        <v/>
      </c>
      <c r="AD66" s="13">
        <f>Time!AD35*(AD63-AD64)*AD19</f>
        <v/>
      </c>
      <c r="AE66" s="13">
        <f>Time!AE35*(AE63-AE64)*AE19</f>
        <v/>
      </c>
      <c r="AF66" s="13">
        <f>Time!AF35*(AF63-AF64)*AF19</f>
        <v/>
      </c>
      <c r="AG66" s="13">
        <f>Time!AG35*(AG63-AG64)*AG19</f>
        <v/>
      </c>
      <c r="AH66" s="13">
        <f>Time!AH35*(AH63-AH64)*AH19</f>
        <v/>
      </c>
      <c r="AI66" s="13">
        <f>Time!AI35*(AI63-AI64)*AI19</f>
        <v/>
      </c>
      <c r="AJ66" s="13">
        <f>Time!AJ35*(AJ63-AJ64)*AJ19</f>
        <v/>
      </c>
      <c r="AK66" s="13">
        <f>Time!AK35*(AK63-AK64)*AK19</f>
        <v/>
      </c>
      <c r="AL66" s="13">
        <f>Time!AL35*(AL63-AL64)*AL19</f>
        <v/>
      </c>
      <c r="AM66" s="13">
        <f>Time!AM35*(AM63-AM64)*AM19</f>
        <v/>
      </c>
      <c r="AN66" s="13">
        <f>Time!AN35*(AN63-AN64)*AN19</f>
        <v/>
      </c>
      <c r="AO66" s="13">
        <f>Time!AO35*(AO63-AO64)*AO19</f>
        <v/>
      </c>
      <c r="AP66" s="13">
        <f>Time!AP35*(AP63-AP64)*AP19</f>
        <v/>
      </c>
      <c r="AQ66" s="13">
        <f>Time!AQ35*(AQ63-AQ64)*AQ19</f>
        <v/>
      </c>
      <c r="AR66" s="13">
        <f>Time!AR35*(AR63-AR64)*AR19</f>
        <v/>
      </c>
      <c r="AS66" s="13">
        <f>Time!AS35*(AS63-AS64)*AS19</f>
        <v/>
      </c>
      <c r="AT66" s="13">
        <f>Time!AT35*(AT63-AT64)*AT19</f>
        <v/>
      </c>
      <c r="AU66" s="13">
        <f>Time!AU35*(AU63-AU64)*AU19</f>
        <v/>
      </c>
      <c r="AV66" s="13">
        <f>Time!AV35*(AV63-AV64)*AV19</f>
        <v/>
      </c>
      <c r="AW66" s="13">
        <f>Time!AW35*(AW63-AW64)*AW19</f>
        <v/>
      </c>
      <c r="AX66" s="13">
        <f>Time!AX35*(AX63-AX64)*AX19</f>
        <v/>
      </c>
      <c r="AY66" s="13">
        <f>Time!AY35*(AY63-AY64)*AY19</f>
        <v/>
      </c>
      <c r="AZ66" s="13">
        <f>Time!AZ35*(AZ63-AZ64)*AZ19</f>
        <v/>
      </c>
      <c r="BA66" s="13">
        <f>Time!BA35*(BA63-BA64)*BA19</f>
        <v/>
      </c>
      <c r="BB66" s="13">
        <f>Time!BB35*(BB63-BB64)*BB19</f>
        <v/>
      </c>
      <c r="BC66" s="13">
        <f>Time!BC35*(BC63-BC64)*BC19</f>
        <v/>
      </c>
      <c r="BD66" s="13">
        <f>Time!BD35*(BD63-BD64)*BD19</f>
        <v/>
      </c>
      <c r="BE66" s="13">
        <f>Time!BE35*(BE63-BE64)*BE19</f>
        <v/>
      </c>
      <c r="BF66" s="13">
        <f>Time!BF35*(BF63-BF64)*BF19</f>
        <v/>
      </c>
      <c r="BG66" s="13">
        <f>Time!BG35*(BG63-BG64)*BG19</f>
        <v/>
      </c>
      <c r="BH66" s="13">
        <f>Time!BH35*(BH63-BH64)*BH19</f>
        <v/>
      </c>
      <c r="BI66" s="13">
        <f>Time!BI35*(BI63-BI64)*BI19</f>
        <v/>
      </c>
      <c r="BJ66" s="13">
        <f>Time!BJ35*(BJ63-BJ64)*BJ19</f>
        <v/>
      </c>
      <c r="BK66" s="13">
        <f>Time!BK35*(BK63-BK64)*BK19</f>
        <v/>
      </c>
      <c r="BL66" s="13">
        <f>Time!BL35*(BL63-BL64)*BL19</f>
        <v/>
      </c>
      <c r="BM66" s="13">
        <f>Time!BM35*(BM63-BM64)*BM19</f>
        <v/>
      </c>
      <c r="BN66" s="13">
        <f>Time!BN35*(BN63-BN64)*BN19</f>
        <v/>
      </c>
    </row>
    <row r="67">
      <c r="D67" t="inlineStr">
        <is>
          <t>Principal deferred under the waiver</t>
        </is>
      </c>
      <c r="E67" t="inlineStr">
        <is>
          <t>USD m</t>
        </is>
      </c>
      <c r="G67" s="13">
        <f>SUM(J67:BN67)</f>
        <v/>
      </c>
      <c r="J67" s="13">
        <f>Time!J43*Inputs!$F$270*J66</f>
        <v/>
      </c>
      <c r="K67" s="13">
        <f>Time!K43*Inputs!$F$270*K66</f>
        <v/>
      </c>
      <c r="L67" s="13">
        <f>Time!L43*Inputs!$F$270*L66</f>
        <v/>
      </c>
      <c r="M67" s="13">
        <f>Time!M43*Inputs!$F$270*M66</f>
        <v/>
      </c>
      <c r="N67" s="13">
        <f>Time!N43*Inputs!$F$270*N66</f>
        <v/>
      </c>
      <c r="O67" s="13">
        <f>Time!O43*Inputs!$F$270*O66</f>
        <v/>
      </c>
      <c r="P67" s="13">
        <f>Time!P43*Inputs!$F$270*P66</f>
        <v/>
      </c>
      <c r="Q67" s="13">
        <f>Time!Q43*Inputs!$F$270*Q66</f>
        <v/>
      </c>
      <c r="R67" s="13">
        <f>Time!R43*Inputs!$F$270*R66</f>
        <v/>
      </c>
      <c r="S67" s="13">
        <f>Time!S43*Inputs!$F$270*S66</f>
        <v/>
      </c>
      <c r="T67" s="13">
        <f>Time!T43*Inputs!$F$270*T66</f>
        <v/>
      </c>
      <c r="U67" s="13">
        <f>Time!U43*Inputs!$F$270*U66</f>
        <v/>
      </c>
      <c r="V67" s="13">
        <f>Time!V43*Inputs!$F$270*V66</f>
        <v/>
      </c>
      <c r="W67" s="13">
        <f>Time!W43*Inputs!$F$270*W66</f>
        <v/>
      </c>
      <c r="X67" s="13">
        <f>Time!X43*Inputs!$F$270*X66</f>
        <v/>
      </c>
      <c r="Y67" s="13">
        <f>Time!Y43*Inputs!$F$270*Y66</f>
        <v/>
      </c>
      <c r="Z67" s="13">
        <f>Time!Z43*Inputs!$F$270*Z66</f>
        <v/>
      </c>
      <c r="AA67" s="13">
        <f>Time!AA43*Inputs!$F$270*AA66</f>
        <v/>
      </c>
      <c r="AB67" s="13">
        <f>Time!AB43*Inputs!$F$270*AB66</f>
        <v/>
      </c>
      <c r="AC67" s="13">
        <f>Time!AC43*Inputs!$F$270*AC66</f>
        <v/>
      </c>
      <c r="AD67" s="13">
        <f>Time!AD43*Inputs!$F$270*AD66</f>
        <v/>
      </c>
      <c r="AE67" s="13">
        <f>Time!AE43*Inputs!$F$270*AE66</f>
        <v/>
      </c>
      <c r="AF67" s="13">
        <f>Time!AF43*Inputs!$F$270*AF66</f>
        <v/>
      </c>
      <c r="AG67" s="13">
        <f>Time!AG43*Inputs!$F$270*AG66</f>
        <v/>
      </c>
      <c r="AH67" s="13">
        <f>Time!AH43*Inputs!$F$270*AH66</f>
        <v/>
      </c>
      <c r="AI67" s="13">
        <f>Time!AI43*Inputs!$F$270*AI66</f>
        <v/>
      </c>
      <c r="AJ67" s="13">
        <f>Time!AJ43*Inputs!$F$270*AJ66</f>
        <v/>
      </c>
      <c r="AK67" s="13">
        <f>Time!AK43*Inputs!$F$270*AK66</f>
        <v/>
      </c>
      <c r="AL67" s="13">
        <f>Time!AL43*Inputs!$F$270*AL66</f>
        <v/>
      </c>
      <c r="AM67" s="13">
        <f>Time!AM43*Inputs!$F$270*AM66</f>
        <v/>
      </c>
      <c r="AN67" s="13">
        <f>Time!AN43*Inputs!$F$270*AN66</f>
        <v/>
      </c>
      <c r="AO67" s="13">
        <f>Time!AO43*Inputs!$F$270*AO66</f>
        <v/>
      </c>
      <c r="AP67" s="13">
        <f>Time!AP43*Inputs!$F$270*AP66</f>
        <v/>
      </c>
      <c r="AQ67" s="13">
        <f>Time!AQ43*Inputs!$F$270*AQ66</f>
        <v/>
      </c>
      <c r="AR67" s="13">
        <f>Time!AR43*Inputs!$F$270*AR66</f>
        <v/>
      </c>
      <c r="AS67" s="13">
        <f>Time!AS43*Inputs!$F$270*AS66</f>
        <v/>
      </c>
      <c r="AT67" s="13">
        <f>Time!AT43*Inputs!$F$270*AT66</f>
        <v/>
      </c>
      <c r="AU67" s="13">
        <f>Time!AU43*Inputs!$F$270*AU66</f>
        <v/>
      </c>
      <c r="AV67" s="13">
        <f>Time!AV43*Inputs!$F$270*AV66</f>
        <v/>
      </c>
      <c r="AW67" s="13">
        <f>Time!AW43*Inputs!$F$270*AW66</f>
        <v/>
      </c>
      <c r="AX67" s="13">
        <f>Time!AX43*Inputs!$F$270*AX66</f>
        <v/>
      </c>
      <c r="AY67" s="13">
        <f>Time!AY43*Inputs!$F$270*AY66</f>
        <v/>
      </c>
      <c r="AZ67" s="13">
        <f>Time!AZ43*Inputs!$F$270*AZ66</f>
        <v/>
      </c>
      <c r="BA67" s="13">
        <f>Time!BA43*Inputs!$F$270*BA66</f>
        <v/>
      </c>
      <c r="BB67" s="13">
        <f>Time!BB43*Inputs!$F$270*BB66</f>
        <v/>
      </c>
      <c r="BC67" s="13">
        <f>Time!BC43*Inputs!$F$270*BC66</f>
        <v/>
      </c>
      <c r="BD67" s="13">
        <f>Time!BD43*Inputs!$F$270*BD66</f>
        <v/>
      </c>
      <c r="BE67" s="13">
        <f>Time!BE43*Inputs!$F$270*BE66</f>
        <v/>
      </c>
      <c r="BF67" s="13">
        <f>Time!BF43*Inputs!$F$270*BF66</f>
        <v/>
      </c>
      <c r="BG67" s="13">
        <f>Time!BG43*Inputs!$F$270*BG66</f>
        <v/>
      </c>
      <c r="BH67" s="13">
        <f>Time!BH43*Inputs!$F$270*BH66</f>
        <v/>
      </c>
      <c r="BI67" s="13">
        <f>Time!BI43*Inputs!$F$270*BI66</f>
        <v/>
      </c>
      <c r="BJ67" s="13">
        <f>Time!BJ43*Inputs!$F$270*BJ66</f>
        <v/>
      </c>
      <c r="BK67" s="13">
        <f>Time!BK43*Inputs!$F$270*BK66</f>
        <v/>
      </c>
      <c r="BL67" s="13">
        <f>Time!BL43*Inputs!$F$270*BL66</f>
        <v/>
      </c>
      <c r="BM67" s="13">
        <f>Time!BM43*Inputs!$F$270*BM66</f>
        <v/>
      </c>
      <c r="BN67" s="13">
        <f>Time!BN43*Inputs!$F$270*BN66</f>
        <v/>
      </c>
    </row>
    <row r="68">
      <c r="D68" t="inlineStr">
        <is>
          <t>Deferred principal repaid (equal parts over the remaining repayment dates)</t>
        </is>
      </c>
      <c r="E68" t="inlineStr">
        <is>
          <t>USD m</t>
        </is>
      </c>
      <c r="G68" s="13">
        <f>SUM(J68:BN68)</f>
        <v/>
      </c>
      <c r="J68" s="13">
        <f>IF(Time!J46&gt;0,Time!J45*J64/Time!J46,0)</f>
        <v/>
      </c>
      <c r="K68" s="13">
        <f>IF(Time!K46&gt;0,Time!K45*K64/Time!K46,0)</f>
        <v/>
      </c>
      <c r="L68" s="13">
        <f>IF(Time!L46&gt;0,Time!L45*L64/Time!L46,0)</f>
        <v/>
      </c>
      <c r="M68" s="13">
        <f>IF(Time!M46&gt;0,Time!M45*M64/Time!M46,0)</f>
        <v/>
      </c>
      <c r="N68" s="13">
        <f>IF(Time!N46&gt;0,Time!N45*N64/Time!N46,0)</f>
        <v/>
      </c>
      <c r="O68" s="13">
        <f>IF(Time!O46&gt;0,Time!O45*O64/Time!O46,0)</f>
        <v/>
      </c>
      <c r="P68" s="13">
        <f>IF(Time!P46&gt;0,Time!P45*P64/Time!P46,0)</f>
        <v/>
      </c>
      <c r="Q68" s="13">
        <f>IF(Time!Q46&gt;0,Time!Q45*Q64/Time!Q46,0)</f>
        <v/>
      </c>
      <c r="R68" s="13">
        <f>IF(Time!R46&gt;0,Time!R45*R64/Time!R46,0)</f>
        <v/>
      </c>
      <c r="S68" s="13">
        <f>IF(Time!S46&gt;0,Time!S45*S64/Time!S46,0)</f>
        <v/>
      </c>
      <c r="T68" s="13">
        <f>IF(Time!T46&gt;0,Time!T45*T64/Time!T46,0)</f>
        <v/>
      </c>
      <c r="U68" s="13">
        <f>IF(Time!U46&gt;0,Time!U45*U64/Time!U46,0)</f>
        <v/>
      </c>
      <c r="V68" s="13">
        <f>IF(Time!V46&gt;0,Time!V45*V64/Time!V46,0)</f>
        <v/>
      </c>
      <c r="W68" s="13">
        <f>IF(Time!W46&gt;0,Time!W45*W64/Time!W46,0)</f>
        <v/>
      </c>
      <c r="X68" s="13">
        <f>IF(Time!X46&gt;0,Time!X45*X64/Time!X46,0)</f>
        <v/>
      </c>
      <c r="Y68" s="13">
        <f>IF(Time!Y46&gt;0,Time!Y45*Y64/Time!Y46,0)</f>
        <v/>
      </c>
      <c r="Z68" s="13">
        <f>IF(Time!Z46&gt;0,Time!Z45*Z64/Time!Z46,0)</f>
        <v/>
      </c>
      <c r="AA68" s="13">
        <f>IF(Time!AA46&gt;0,Time!AA45*AA64/Time!AA46,0)</f>
        <v/>
      </c>
      <c r="AB68" s="13">
        <f>IF(Time!AB46&gt;0,Time!AB45*AB64/Time!AB46,0)</f>
        <v/>
      </c>
      <c r="AC68" s="13">
        <f>IF(Time!AC46&gt;0,Time!AC45*AC64/Time!AC46,0)</f>
        <v/>
      </c>
      <c r="AD68" s="13">
        <f>IF(Time!AD46&gt;0,Time!AD45*AD64/Time!AD46,0)</f>
        <v/>
      </c>
      <c r="AE68" s="13">
        <f>IF(Time!AE46&gt;0,Time!AE45*AE64/Time!AE46,0)</f>
        <v/>
      </c>
      <c r="AF68" s="13">
        <f>IF(Time!AF46&gt;0,Time!AF45*AF64/Time!AF46,0)</f>
        <v/>
      </c>
      <c r="AG68" s="13">
        <f>IF(Time!AG46&gt;0,Time!AG45*AG64/Time!AG46,0)</f>
        <v/>
      </c>
      <c r="AH68" s="13">
        <f>IF(Time!AH46&gt;0,Time!AH45*AH64/Time!AH46,0)</f>
        <v/>
      </c>
      <c r="AI68" s="13">
        <f>IF(Time!AI46&gt;0,Time!AI45*AI64/Time!AI46,0)</f>
        <v/>
      </c>
      <c r="AJ68" s="13">
        <f>IF(Time!AJ46&gt;0,Time!AJ45*AJ64/Time!AJ46,0)</f>
        <v/>
      </c>
      <c r="AK68" s="13">
        <f>IF(Time!AK46&gt;0,Time!AK45*AK64/Time!AK46,0)</f>
        <v/>
      </c>
      <c r="AL68" s="13">
        <f>IF(Time!AL46&gt;0,Time!AL45*AL64/Time!AL46,0)</f>
        <v/>
      </c>
      <c r="AM68" s="13">
        <f>IF(Time!AM46&gt;0,Time!AM45*AM64/Time!AM46,0)</f>
        <v/>
      </c>
      <c r="AN68" s="13">
        <f>IF(Time!AN46&gt;0,Time!AN45*AN64/Time!AN46,0)</f>
        <v/>
      </c>
      <c r="AO68" s="13">
        <f>IF(Time!AO46&gt;0,Time!AO45*AO64/Time!AO46,0)</f>
        <v/>
      </c>
      <c r="AP68" s="13">
        <f>IF(Time!AP46&gt;0,Time!AP45*AP64/Time!AP46,0)</f>
        <v/>
      </c>
      <c r="AQ68" s="13">
        <f>IF(Time!AQ46&gt;0,Time!AQ45*AQ64/Time!AQ46,0)</f>
        <v/>
      </c>
      <c r="AR68" s="13">
        <f>IF(Time!AR46&gt;0,Time!AR45*AR64/Time!AR46,0)</f>
        <v/>
      </c>
      <c r="AS68" s="13">
        <f>IF(Time!AS46&gt;0,Time!AS45*AS64/Time!AS46,0)</f>
        <v/>
      </c>
      <c r="AT68" s="13">
        <f>IF(Time!AT46&gt;0,Time!AT45*AT64/Time!AT46,0)</f>
        <v/>
      </c>
      <c r="AU68" s="13">
        <f>IF(Time!AU46&gt;0,Time!AU45*AU64/Time!AU46,0)</f>
        <v/>
      </c>
      <c r="AV68" s="13">
        <f>IF(Time!AV46&gt;0,Time!AV45*AV64/Time!AV46,0)</f>
        <v/>
      </c>
      <c r="AW68" s="13">
        <f>IF(Time!AW46&gt;0,Time!AW45*AW64/Time!AW46,0)</f>
        <v/>
      </c>
      <c r="AX68" s="13">
        <f>IF(Time!AX46&gt;0,Time!AX45*AX64/Time!AX46,0)</f>
        <v/>
      </c>
      <c r="AY68" s="13">
        <f>IF(Time!AY46&gt;0,Time!AY45*AY64/Time!AY46,0)</f>
        <v/>
      </c>
      <c r="AZ68" s="13">
        <f>IF(Time!AZ46&gt;0,Time!AZ45*AZ64/Time!AZ46,0)</f>
        <v/>
      </c>
      <c r="BA68" s="13">
        <f>IF(Time!BA46&gt;0,Time!BA45*BA64/Time!BA46,0)</f>
        <v/>
      </c>
      <c r="BB68" s="13">
        <f>IF(Time!BB46&gt;0,Time!BB45*BB64/Time!BB46,0)</f>
        <v/>
      </c>
      <c r="BC68" s="13">
        <f>IF(Time!BC46&gt;0,Time!BC45*BC64/Time!BC46,0)</f>
        <v/>
      </c>
      <c r="BD68" s="13">
        <f>IF(Time!BD46&gt;0,Time!BD45*BD64/Time!BD46,0)</f>
        <v/>
      </c>
      <c r="BE68" s="13">
        <f>IF(Time!BE46&gt;0,Time!BE45*BE64/Time!BE46,0)</f>
        <v/>
      </c>
      <c r="BF68" s="13">
        <f>IF(Time!BF46&gt;0,Time!BF45*BF64/Time!BF46,0)</f>
        <v/>
      </c>
      <c r="BG68" s="13">
        <f>IF(Time!BG46&gt;0,Time!BG45*BG64/Time!BG46,0)</f>
        <v/>
      </c>
      <c r="BH68" s="13">
        <f>IF(Time!BH46&gt;0,Time!BH45*BH64/Time!BH46,0)</f>
        <v/>
      </c>
      <c r="BI68" s="13">
        <f>IF(Time!BI46&gt;0,Time!BI45*BI64/Time!BI46,0)</f>
        <v/>
      </c>
      <c r="BJ68" s="13">
        <f>IF(Time!BJ46&gt;0,Time!BJ45*BJ64/Time!BJ46,0)</f>
        <v/>
      </c>
      <c r="BK68" s="13">
        <f>IF(Time!BK46&gt;0,Time!BK45*BK64/Time!BK46,0)</f>
        <v/>
      </c>
      <c r="BL68" s="13">
        <f>IF(Time!BL46&gt;0,Time!BL45*BL64/Time!BL46,0)</f>
        <v/>
      </c>
      <c r="BM68" s="13">
        <f>IF(Time!BM46&gt;0,Time!BM45*BM64/Time!BM46,0)</f>
        <v/>
      </c>
      <c r="BN68" s="13">
        <f>IF(Time!BN46&gt;0,Time!BN45*BN64/Time!BN46,0)</f>
        <v/>
      </c>
    </row>
    <row r="69">
      <c r="D69" t="inlineStr">
        <is>
          <t>Principal paid</t>
        </is>
      </c>
      <c r="E69" t="inlineStr">
        <is>
          <t>USD m</t>
        </is>
      </c>
      <c r="G69" s="13">
        <f>SUM(J69:BN69)</f>
        <v/>
      </c>
      <c r="J69" s="13">
        <f>J66-J67+J68</f>
        <v/>
      </c>
      <c r="K69" s="13">
        <f>K66-K67+K68</f>
        <v/>
      </c>
      <c r="L69" s="13">
        <f>L66-L67+L68</f>
        <v/>
      </c>
      <c r="M69" s="13">
        <f>M66-M67+M68</f>
        <v/>
      </c>
      <c r="N69" s="13">
        <f>N66-N67+N68</f>
        <v/>
      </c>
      <c r="O69" s="13">
        <f>O66-O67+O68</f>
        <v/>
      </c>
      <c r="P69" s="13">
        <f>P66-P67+P68</f>
        <v/>
      </c>
      <c r="Q69" s="13">
        <f>Q66-Q67+Q68</f>
        <v/>
      </c>
      <c r="R69" s="13">
        <f>R66-R67+R68</f>
        <v/>
      </c>
      <c r="S69" s="13">
        <f>S66-S67+S68</f>
        <v/>
      </c>
      <c r="T69" s="13">
        <f>T66-T67+T68</f>
        <v/>
      </c>
      <c r="U69" s="13">
        <f>U66-U67+U68</f>
        <v/>
      </c>
      <c r="V69" s="13">
        <f>V66-V67+V68</f>
        <v/>
      </c>
      <c r="W69" s="13">
        <f>W66-W67+W68</f>
        <v/>
      </c>
      <c r="X69" s="13">
        <f>X66-X67+X68</f>
        <v/>
      </c>
      <c r="Y69" s="13">
        <f>Y66-Y67+Y68</f>
        <v/>
      </c>
      <c r="Z69" s="13">
        <f>Z66-Z67+Z68</f>
        <v/>
      </c>
      <c r="AA69" s="13">
        <f>AA66-AA67+AA68</f>
        <v/>
      </c>
      <c r="AB69" s="13">
        <f>AB66-AB67+AB68</f>
        <v/>
      </c>
      <c r="AC69" s="13">
        <f>AC66-AC67+AC68</f>
        <v/>
      </c>
      <c r="AD69" s="13">
        <f>AD66-AD67+AD68</f>
        <v/>
      </c>
      <c r="AE69" s="13">
        <f>AE66-AE67+AE68</f>
        <v/>
      </c>
      <c r="AF69" s="13">
        <f>AF66-AF67+AF68</f>
        <v/>
      </c>
      <c r="AG69" s="13">
        <f>AG66-AG67+AG68</f>
        <v/>
      </c>
      <c r="AH69" s="13">
        <f>AH66-AH67+AH68</f>
        <v/>
      </c>
      <c r="AI69" s="13">
        <f>AI66-AI67+AI68</f>
        <v/>
      </c>
      <c r="AJ69" s="13">
        <f>AJ66-AJ67+AJ68</f>
        <v/>
      </c>
      <c r="AK69" s="13">
        <f>AK66-AK67+AK68</f>
        <v/>
      </c>
      <c r="AL69" s="13">
        <f>AL66-AL67+AL68</f>
        <v/>
      </c>
      <c r="AM69" s="13">
        <f>AM66-AM67+AM68</f>
        <v/>
      </c>
      <c r="AN69" s="13">
        <f>AN66-AN67+AN68</f>
        <v/>
      </c>
      <c r="AO69" s="13">
        <f>AO66-AO67+AO68</f>
        <v/>
      </c>
      <c r="AP69" s="13">
        <f>AP66-AP67+AP68</f>
        <v/>
      </c>
      <c r="AQ69" s="13">
        <f>AQ66-AQ67+AQ68</f>
        <v/>
      </c>
      <c r="AR69" s="13">
        <f>AR66-AR67+AR68</f>
        <v/>
      </c>
      <c r="AS69" s="13">
        <f>AS66-AS67+AS68</f>
        <v/>
      </c>
      <c r="AT69" s="13">
        <f>AT66-AT67+AT68</f>
        <v/>
      </c>
      <c r="AU69" s="13">
        <f>AU66-AU67+AU68</f>
        <v/>
      </c>
      <c r="AV69" s="13">
        <f>AV66-AV67+AV68</f>
        <v/>
      </c>
      <c r="AW69" s="13">
        <f>AW66-AW67+AW68</f>
        <v/>
      </c>
      <c r="AX69" s="13">
        <f>AX66-AX67+AX68</f>
        <v/>
      </c>
      <c r="AY69" s="13">
        <f>AY66-AY67+AY68</f>
        <v/>
      </c>
      <c r="AZ69" s="13">
        <f>AZ66-AZ67+AZ68</f>
        <v/>
      </c>
      <c r="BA69" s="13">
        <f>BA66-BA67+BA68</f>
        <v/>
      </c>
      <c r="BB69" s="13">
        <f>BB66-BB67+BB68</f>
        <v/>
      </c>
      <c r="BC69" s="13">
        <f>BC66-BC67+BC68</f>
        <v/>
      </c>
      <c r="BD69" s="13">
        <f>BD66-BD67+BD68</f>
        <v/>
      </c>
      <c r="BE69" s="13">
        <f>BE66-BE67+BE68</f>
        <v/>
      </c>
      <c r="BF69" s="13">
        <f>BF66-BF67+BF68</f>
        <v/>
      </c>
      <c r="BG69" s="13">
        <f>BG66-BG67+BG68</f>
        <v/>
      </c>
      <c r="BH69" s="13">
        <f>BH66-BH67+BH68</f>
        <v/>
      </c>
      <c r="BI69" s="13">
        <f>BI66-BI67+BI68</f>
        <v/>
      </c>
      <c r="BJ69" s="13">
        <f>BJ66-BJ67+BJ68</f>
        <v/>
      </c>
      <c r="BK69" s="13">
        <f>BK66-BK67+BK68</f>
        <v/>
      </c>
      <c r="BL69" s="13">
        <f>BL66-BL67+BL68</f>
        <v/>
      </c>
      <c r="BM69" s="13">
        <f>BM66-BM67+BM68</f>
        <v/>
      </c>
      <c r="BN69" s="13">
        <f>BN66-BN67+BN68</f>
        <v/>
      </c>
    </row>
    <row r="70">
      <c r="D70" t="inlineStr">
        <is>
          <t>Performance LD prepayment</t>
        </is>
      </c>
      <c r="E70" t="inlineStr">
        <is>
          <t>USD m</t>
        </is>
      </c>
      <c r="G70" s="13">
        <f>SUM(J70:BN70)</f>
        <v/>
      </c>
      <c r="J70" s="13">
        <f>Time!J42*Inputs!$F$267*(J63-J69)/(J21-J27+J35-J41+J49-J55+J63-J69+J77-J83+Inputs!$F$253)</f>
        <v/>
      </c>
      <c r="K70" s="13">
        <f>Time!K42*Inputs!$F$267*(K63-K69)/(K21-K27+K35-K41+K49-K55+K63-K69+K77-K83+Inputs!$F$253)</f>
        <v/>
      </c>
      <c r="L70" s="13">
        <f>Time!L42*Inputs!$F$267*(L63-L69)/(L21-L27+L35-L41+L49-L55+L63-L69+L77-L83+Inputs!$F$253)</f>
        <v/>
      </c>
      <c r="M70" s="13">
        <f>Time!M42*Inputs!$F$267*(M63-M69)/(M21-M27+M35-M41+M49-M55+M63-M69+M77-M83+Inputs!$F$253)</f>
        <v/>
      </c>
      <c r="N70" s="13">
        <f>Time!N42*Inputs!$F$267*(N63-N69)/(N21-N27+N35-N41+N49-N55+N63-N69+N77-N83+Inputs!$F$253)</f>
        <v/>
      </c>
      <c r="O70" s="13">
        <f>Time!O42*Inputs!$F$267*(O63-O69)/(O21-O27+O35-O41+O49-O55+O63-O69+O77-O83+Inputs!$F$253)</f>
        <v/>
      </c>
      <c r="P70" s="13">
        <f>Time!P42*Inputs!$F$267*(P63-P69)/(P21-P27+P35-P41+P49-P55+P63-P69+P77-P83+Inputs!$F$253)</f>
        <v/>
      </c>
      <c r="Q70" s="13">
        <f>Time!Q42*Inputs!$F$267*(Q63-Q69)/(Q21-Q27+Q35-Q41+Q49-Q55+Q63-Q69+Q77-Q83+Inputs!$F$253)</f>
        <v/>
      </c>
      <c r="R70" s="13">
        <f>Time!R42*Inputs!$F$267*(R63-R69)/(R21-R27+R35-R41+R49-R55+R63-R69+R77-R83+Inputs!$F$253)</f>
        <v/>
      </c>
      <c r="S70" s="13">
        <f>Time!S42*Inputs!$F$267*(S63-S69)/(S21-S27+S35-S41+S49-S55+S63-S69+S77-S83+Inputs!$F$253)</f>
        <v/>
      </c>
      <c r="T70" s="13">
        <f>Time!T42*Inputs!$F$267*(T63-T69)/(T21-T27+T35-T41+T49-T55+T63-T69+T77-T83+Inputs!$F$253)</f>
        <v/>
      </c>
      <c r="U70" s="13">
        <f>Time!U42*Inputs!$F$267*(U63-U69)/(U21-U27+U35-U41+U49-U55+U63-U69+U77-U83+Inputs!$F$253)</f>
        <v/>
      </c>
      <c r="V70" s="13">
        <f>Time!V42*Inputs!$F$267*(V63-V69)/(V21-V27+V35-V41+V49-V55+V63-V69+V77-V83+Inputs!$F$253)</f>
        <v/>
      </c>
      <c r="W70" s="13">
        <f>Time!W42*Inputs!$F$267*(W63-W69)/(W21-W27+W35-W41+W49-W55+W63-W69+W77-W83+Inputs!$F$253)</f>
        <v/>
      </c>
      <c r="X70" s="13">
        <f>Time!X42*Inputs!$F$267*(X63-X69)/(X21-X27+X35-X41+X49-X55+X63-X69+X77-X83+Inputs!$F$253)</f>
        <v/>
      </c>
      <c r="Y70" s="13">
        <f>Time!Y42*Inputs!$F$267*(Y63-Y69)/(Y21-Y27+Y35-Y41+Y49-Y55+Y63-Y69+Y77-Y83+Inputs!$F$253)</f>
        <v/>
      </c>
      <c r="Z70" s="13">
        <f>Time!Z42*Inputs!$F$267*(Z63-Z69)/(Z21-Z27+Z35-Z41+Z49-Z55+Z63-Z69+Z77-Z83+Inputs!$F$253)</f>
        <v/>
      </c>
      <c r="AA70" s="13">
        <f>Time!AA42*Inputs!$F$267*(AA63-AA69)/(AA21-AA27+AA35-AA41+AA49-AA55+AA63-AA69+AA77-AA83+Inputs!$F$253)</f>
        <v/>
      </c>
      <c r="AB70" s="13">
        <f>Time!AB42*Inputs!$F$267*(AB63-AB69)/(AB21-AB27+AB35-AB41+AB49-AB55+AB63-AB69+AB77-AB83+Inputs!$F$253)</f>
        <v/>
      </c>
      <c r="AC70" s="13">
        <f>Time!AC42*Inputs!$F$267*(AC63-AC69)/(AC21-AC27+AC35-AC41+AC49-AC55+AC63-AC69+AC77-AC83+Inputs!$F$253)</f>
        <v/>
      </c>
      <c r="AD70" s="13">
        <f>Time!AD42*Inputs!$F$267*(AD63-AD69)/(AD21-AD27+AD35-AD41+AD49-AD55+AD63-AD69+AD77-AD83+Inputs!$F$253)</f>
        <v/>
      </c>
      <c r="AE70" s="13">
        <f>Time!AE42*Inputs!$F$267*(AE63-AE69)/(AE21-AE27+AE35-AE41+AE49-AE55+AE63-AE69+AE77-AE83+Inputs!$F$253)</f>
        <v/>
      </c>
      <c r="AF70" s="13">
        <f>Time!AF42*Inputs!$F$267*(AF63-AF69)/(AF21-AF27+AF35-AF41+AF49-AF55+AF63-AF69+AF77-AF83+Inputs!$F$253)</f>
        <v/>
      </c>
      <c r="AG70" s="13">
        <f>Time!AG42*Inputs!$F$267*(AG63-AG69)/(AG21-AG27+AG35-AG41+AG49-AG55+AG63-AG69+AG77-AG83+Inputs!$F$253)</f>
        <v/>
      </c>
      <c r="AH70" s="13">
        <f>Time!AH42*Inputs!$F$267*(AH63-AH69)/(AH21-AH27+AH35-AH41+AH49-AH55+AH63-AH69+AH77-AH83+Inputs!$F$253)</f>
        <v/>
      </c>
      <c r="AI70" s="13">
        <f>Time!AI42*Inputs!$F$267*(AI63-AI69)/(AI21-AI27+AI35-AI41+AI49-AI55+AI63-AI69+AI77-AI83+Inputs!$F$253)</f>
        <v/>
      </c>
      <c r="AJ70" s="13">
        <f>Time!AJ42*Inputs!$F$267*(AJ63-AJ69)/(AJ21-AJ27+AJ35-AJ41+AJ49-AJ55+AJ63-AJ69+AJ77-AJ83+Inputs!$F$253)</f>
        <v/>
      </c>
      <c r="AK70" s="13">
        <f>Time!AK42*Inputs!$F$267*(AK63-AK69)/(AK21-AK27+AK35-AK41+AK49-AK55+AK63-AK69+AK77-AK83+Inputs!$F$253)</f>
        <v/>
      </c>
      <c r="AL70" s="13">
        <f>Time!AL42*Inputs!$F$267*(AL63-AL69)/(AL21-AL27+AL35-AL41+AL49-AL55+AL63-AL69+AL77-AL83+Inputs!$F$253)</f>
        <v/>
      </c>
      <c r="AM70" s="13">
        <f>Time!AM42*Inputs!$F$267*(AM63-AM69)/(AM21-AM27+AM35-AM41+AM49-AM55+AM63-AM69+AM77-AM83+Inputs!$F$253)</f>
        <v/>
      </c>
      <c r="AN70" s="13">
        <f>Time!AN42*Inputs!$F$267*(AN63-AN69)/(AN21-AN27+AN35-AN41+AN49-AN55+AN63-AN69+AN77-AN83+Inputs!$F$253)</f>
        <v/>
      </c>
      <c r="AO70" s="13">
        <f>Time!AO42*Inputs!$F$267*(AO63-AO69)/(AO21-AO27+AO35-AO41+AO49-AO55+AO63-AO69+AO77-AO83+Inputs!$F$253)</f>
        <v/>
      </c>
      <c r="AP70" s="13">
        <f>Time!AP42*Inputs!$F$267*(AP63-AP69)/(AP21-AP27+AP35-AP41+AP49-AP55+AP63-AP69+AP77-AP83+Inputs!$F$253)</f>
        <v/>
      </c>
      <c r="AQ70" s="13">
        <f>Time!AQ42*Inputs!$F$267*(AQ63-AQ69)/(AQ21-AQ27+AQ35-AQ41+AQ49-AQ55+AQ63-AQ69+AQ77-AQ83+Inputs!$F$253)</f>
        <v/>
      </c>
      <c r="AR70" s="13">
        <f>Time!AR42*Inputs!$F$267*(AR63-AR69)/(AR21-AR27+AR35-AR41+AR49-AR55+AR63-AR69+AR77-AR83+Inputs!$F$253)</f>
        <v/>
      </c>
      <c r="AS70" s="13">
        <f>Time!AS42*Inputs!$F$267*(AS63-AS69)/(AS21-AS27+AS35-AS41+AS49-AS55+AS63-AS69+AS77-AS83+Inputs!$F$253)</f>
        <v/>
      </c>
      <c r="AT70" s="13">
        <f>Time!AT42*Inputs!$F$267*(AT63-AT69)/(AT21-AT27+AT35-AT41+AT49-AT55+AT63-AT69+AT77-AT83+Inputs!$F$253)</f>
        <v/>
      </c>
      <c r="AU70" s="13">
        <f>Time!AU42*Inputs!$F$267*(AU63-AU69)/(AU21-AU27+AU35-AU41+AU49-AU55+AU63-AU69+AU77-AU83+Inputs!$F$253)</f>
        <v/>
      </c>
      <c r="AV70" s="13">
        <f>Time!AV42*Inputs!$F$267*(AV63-AV69)/(AV21-AV27+AV35-AV41+AV49-AV55+AV63-AV69+AV77-AV83+Inputs!$F$253)</f>
        <v/>
      </c>
      <c r="AW70" s="13">
        <f>Time!AW42*Inputs!$F$267*(AW63-AW69)/(AW21-AW27+AW35-AW41+AW49-AW55+AW63-AW69+AW77-AW83+Inputs!$F$253)</f>
        <v/>
      </c>
      <c r="AX70" s="13">
        <f>Time!AX42*Inputs!$F$267*(AX63-AX69)/(AX21-AX27+AX35-AX41+AX49-AX55+AX63-AX69+AX77-AX83+Inputs!$F$253)</f>
        <v/>
      </c>
      <c r="AY70" s="13">
        <f>Time!AY42*Inputs!$F$267*(AY63-AY69)/(AY21-AY27+AY35-AY41+AY49-AY55+AY63-AY69+AY77-AY83+Inputs!$F$253)</f>
        <v/>
      </c>
      <c r="AZ70" s="13">
        <f>Time!AZ42*Inputs!$F$267*(AZ63-AZ69)/(AZ21-AZ27+AZ35-AZ41+AZ49-AZ55+AZ63-AZ69+AZ77-AZ83+Inputs!$F$253)</f>
        <v/>
      </c>
      <c r="BA70" s="13">
        <f>Time!BA42*Inputs!$F$267*(BA63-BA69)/(BA21-BA27+BA35-BA41+BA49-BA55+BA63-BA69+BA77-BA83+Inputs!$F$253)</f>
        <v/>
      </c>
      <c r="BB70" s="13">
        <f>Time!BB42*Inputs!$F$267*(BB63-BB69)/(BB21-BB27+BB35-BB41+BB49-BB55+BB63-BB69+BB77-BB83+Inputs!$F$253)</f>
        <v/>
      </c>
      <c r="BC70" s="13">
        <f>Time!BC42*Inputs!$F$267*(BC63-BC69)/(BC21-BC27+BC35-BC41+BC49-BC55+BC63-BC69+BC77-BC83+Inputs!$F$253)</f>
        <v/>
      </c>
      <c r="BD70" s="13">
        <f>Time!BD42*Inputs!$F$267*(BD63-BD69)/(BD21-BD27+BD35-BD41+BD49-BD55+BD63-BD69+BD77-BD83+Inputs!$F$253)</f>
        <v/>
      </c>
      <c r="BE70" s="13">
        <f>Time!BE42*Inputs!$F$267*(BE63-BE69)/(BE21-BE27+BE35-BE41+BE49-BE55+BE63-BE69+BE77-BE83+Inputs!$F$253)</f>
        <v/>
      </c>
      <c r="BF70" s="13">
        <f>Time!BF42*Inputs!$F$267*(BF63-BF69)/(BF21-BF27+BF35-BF41+BF49-BF55+BF63-BF69+BF77-BF83+Inputs!$F$253)</f>
        <v/>
      </c>
      <c r="BG70" s="13">
        <f>Time!BG42*Inputs!$F$267*(BG63-BG69)/(BG21-BG27+BG35-BG41+BG49-BG55+BG63-BG69+BG77-BG83+Inputs!$F$253)</f>
        <v/>
      </c>
      <c r="BH70" s="13">
        <f>Time!BH42*Inputs!$F$267*(BH63-BH69)/(BH21-BH27+BH35-BH41+BH49-BH55+BH63-BH69+BH77-BH83+Inputs!$F$253)</f>
        <v/>
      </c>
      <c r="BI70" s="13">
        <f>Time!BI42*Inputs!$F$267*(BI63-BI69)/(BI21-BI27+BI35-BI41+BI49-BI55+BI63-BI69+BI77-BI83+Inputs!$F$253)</f>
        <v/>
      </c>
      <c r="BJ70" s="13">
        <f>Time!BJ42*Inputs!$F$267*(BJ63-BJ69)/(BJ21-BJ27+BJ35-BJ41+BJ49-BJ55+BJ63-BJ69+BJ77-BJ83+Inputs!$F$253)</f>
        <v/>
      </c>
      <c r="BK70" s="13">
        <f>Time!BK42*Inputs!$F$267*(BK63-BK69)/(BK21-BK27+BK35-BK41+BK49-BK55+BK63-BK69+BK77-BK83+Inputs!$F$253)</f>
        <v/>
      </c>
      <c r="BL70" s="13">
        <f>Time!BL42*Inputs!$F$267*(BL63-BL69)/(BL21-BL27+BL35-BL41+BL49-BL55+BL63-BL69+BL77-BL83+Inputs!$F$253)</f>
        <v/>
      </c>
      <c r="BM70" s="13">
        <f>Time!BM42*Inputs!$F$267*(BM63-BM69)/(BM21-BM27+BM35-BM41+BM49-BM55+BM63-BM69+BM77-BM83+Inputs!$F$253)</f>
        <v/>
      </c>
      <c r="BN70" s="13">
        <f>Time!BN42*Inputs!$F$267*(BN63-BN69)/(BN21-BN27+BN35-BN41+BN49-BN55+BN63-BN69+BN77-BN83+Inputs!$F$253)</f>
        <v/>
      </c>
    </row>
    <row r="71">
      <c r="D71" t="inlineStr">
        <is>
          <t>Refinanced (prepaid from bond proceeds)</t>
        </is>
      </c>
      <c r="E71" t="inlineStr">
        <is>
          <t>USD m</t>
        </is>
      </c>
      <c r="G71" s="13">
        <f>SUM(J71:BN71)</f>
        <v/>
      </c>
      <c r="J71" s="13">
        <f>Time!J47*(J63-J69-J70)</f>
        <v/>
      </c>
      <c r="K71" s="13">
        <f>Time!K47*(K63-K69-K70)</f>
        <v/>
      </c>
      <c r="L71" s="13">
        <f>Time!L47*(L63-L69-L70)</f>
        <v/>
      </c>
      <c r="M71" s="13">
        <f>Time!M47*(M63-M69-M70)</f>
        <v/>
      </c>
      <c r="N71" s="13">
        <f>Time!N47*(N63-N69-N70)</f>
        <v/>
      </c>
      <c r="O71" s="13">
        <f>Time!O47*(O63-O69-O70)</f>
        <v/>
      </c>
      <c r="P71" s="13">
        <f>Time!P47*(P63-P69-P70)</f>
        <v/>
      </c>
      <c r="Q71" s="13">
        <f>Time!Q47*(Q63-Q69-Q70)</f>
        <v/>
      </c>
      <c r="R71" s="13">
        <f>Time!R47*(R63-R69-R70)</f>
        <v/>
      </c>
      <c r="S71" s="13">
        <f>Time!S47*(S63-S69-S70)</f>
        <v/>
      </c>
      <c r="T71" s="13">
        <f>Time!T47*(T63-T69-T70)</f>
        <v/>
      </c>
      <c r="U71" s="13">
        <f>Time!U47*(U63-U69-U70)</f>
        <v/>
      </c>
      <c r="V71" s="13">
        <f>Time!V47*(V63-V69-V70)</f>
        <v/>
      </c>
      <c r="W71" s="13">
        <f>Time!W47*(W63-W69-W70)</f>
        <v/>
      </c>
      <c r="X71" s="13">
        <f>Time!X47*(X63-X69-X70)</f>
        <v/>
      </c>
      <c r="Y71" s="13">
        <f>Time!Y47*(Y63-Y69-Y70)</f>
        <v/>
      </c>
      <c r="Z71" s="13">
        <f>Time!Z47*(Z63-Z69-Z70)</f>
        <v/>
      </c>
      <c r="AA71" s="13">
        <f>Time!AA47*(AA63-AA69-AA70)</f>
        <v/>
      </c>
      <c r="AB71" s="13">
        <f>Time!AB47*(AB63-AB69-AB70)</f>
        <v/>
      </c>
      <c r="AC71" s="13">
        <f>Time!AC47*(AC63-AC69-AC70)</f>
        <v/>
      </c>
      <c r="AD71" s="13">
        <f>Time!AD47*(AD63-AD69-AD70)</f>
        <v/>
      </c>
      <c r="AE71" s="13">
        <f>Time!AE47*(AE63-AE69-AE70)</f>
        <v/>
      </c>
      <c r="AF71" s="13">
        <f>Time!AF47*(AF63-AF69-AF70)</f>
        <v/>
      </c>
      <c r="AG71" s="13">
        <f>Time!AG47*(AG63-AG69-AG70)</f>
        <v/>
      </c>
      <c r="AH71" s="13">
        <f>Time!AH47*(AH63-AH69-AH70)</f>
        <v/>
      </c>
      <c r="AI71" s="13">
        <f>Time!AI47*(AI63-AI69-AI70)</f>
        <v/>
      </c>
      <c r="AJ71" s="13">
        <f>Time!AJ47*(AJ63-AJ69-AJ70)</f>
        <v/>
      </c>
      <c r="AK71" s="13">
        <f>Time!AK47*(AK63-AK69-AK70)</f>
        <v/>
      </c>
      <c r="AL71" s="13">
        <f>Time!AL47*(AL63-AL69-AL70)</f>
        <v/>
      </c>
      <c r="AM71" s="13">
        <f>Time!AM47*(AM63-AM69-AM70)</f>
        <v/>
      </c>
      <c r="AN71" s="13">
        <f>Time!AN47*(AN63-AN69-AN70)</f>
        <v/>
      </c>
      <c r="AO71" s="13">
        <f>Time!AO47*(AO63-AO69-AO70)</f>
        <v/>
      </c>
      <c r="AP71" s="13">
        <f>Time!AP47*(AP63-AP69-AP70)</f>
        <v/>
      </c>
      <c r="AQ71" s="13">
        <f>Time!AQ47*(AQ63-AQ69-AQ70)</f>
        <v/>
      </c>
      <c r="AR71" s="13">
        <f>Time!AR47*(AR63-AR69-AR70)</f>
        <v/>
      </c>
      <c r="AS71" s="13">
        <f>Time!AS47*(AS63-AS69-AS70)</f>
        <v/>
      </c>
      <c r="AT71" s="13">
        <f>Time!AT47*(AT63-AT69-AT70)</f>
        <v/>
      </c>
      <c r="AU71" s="13">
        <f>Time!AU47*(AU63-AU69-AU70)</f>
        <v/>
      </c>
      <c r="AV71" s="13">
        <f>Time!AV47*(AV63-AV69-AV70)</f>
        <v/>
      </c>
      <c r="AW71" s="13">
        <f>Time!AW47*(AW63-AW69-AW70)</f>
        <v/>
      </c>
      <c r="AX71" s="13">
        <f>Time!AX47*(AX63-AX69-AX70)</f>
        <v/>
      </c>
      <c r="AY71" s="13">
        <f>Time!AY47*(AY63-AY69-AY70)</f>
        <v/>
      </c>
      <c r="AZ71" s="13">
        <f>Time!AZ47*(AZ63-AZ69-AZ70)</f>
        <v/>
      </c>
      <c r="BA71" s="13">
        <f>Time!BA47*(BA63-BA69-BA70)</f>
        <v/>
      </c>
      <c r="BB71" s="13">
        <f>Time!BB47*(BB63-BB69-BB70)</f>
        <v/>
      </c>
      <c r="BC71" s="13">
        <f>Time!BC47*(BC63-BC69-BC70)</f>
        <v/>
      </c>
      <c r="BD71" s="13">
        <f>Time!BD47*(BD63-BD69-BD70)</f>
        <v/>
      </c>
      <c r="BE71" s="13">
        <f>Time!BE47*(BE63-BE69-BE70)</f>
        <v/>
      </c>
      <c r="BF71" s="13">
        <f>Time!BF47*(BF63-BF69-BF70)</f>
        <v/>
      </c>
      <c r="BG71" s="13">
        <f>Time!BG47*(BG63-BG69-BG70)</f>
        <v/>
      </c>
      <c r="BH71" s="13">
        <f>Time!BH47*(BH63-BH69-BH70)</f>
        <v/>
      </c>
      <c r="BI71" s="13">
        <f>Time!BI47*(BI63-BI69-BI70)</f>
        <v/>
      </c>
      <c r="BJ71" s="13">
        <f>Time!BJ47*(BJ63-BJ69-BJ70)</f>
        <v/>
      </c>
      <c r="BK71" s="13">
        <f>Time!BK47*(BK63-BK69-BK70)</f>
        <v/>
      </c>
      <c r="BL71" s="13">
        <f>Time!BL47*(BL63-BL69-BL70)</f>
        <v/>
      </c>
      <c r="BM71" s="13">
        <f>Time!BM47*(BM63-BM69-BM70)</f>
        <v/>
      </c>
      <c r="BN71" s="13">
        <f>Time!BN47*(BN63-BN69-BN70)</f>
        <v/>
      </c>
    </row>
    <row r="72">
      <c r="D72" t="inlineStr">
        <is>
          <t>Deferred principal, closing</t>
        </is>
      </c>
      <c r="E72" t="inlineStr">
        <is>
          <t>USD m</t>
        </is>
      </c>
      <c r="J72" s="13">
        <f>(1-Time!J47)*(J64+J67-J68)</f>
        <v/>
      </c>
      <c r="K72" s="13">
        <f>(1-Time!K47)*(K64+K67-K68)</f>
        <v/>
      </c>
      <c r="L72" s="13">
        <f>(1-Time!L47)*(L64+L67-L68)</f>
        <v/>
      </c>
      <c r="M72" s="13">
        <f>(1-Time!M47)*(M64+M67-M68)</f>
        <v/>
      </c>
      <c r="N72" s="13">
        <f>(1-Time!N47)*(N64+N67-N68)</f>
        <v/>
      </c>
      <c r="O72" s="13">
        <f>(1-Time!O47)*(O64+O67-O68)</f>
        <v/>
      </c>
      <c r="P72" s="13">
        <f>(1-Time!P47)*(P64+P67-P68)</f>
        <v/>
      </c>
      <c r="Q72" s="13">
        <f>(1-Time!Q47)*(Q64+Q67-Q68)</f>
        <v/>
      </c>
      <c r="R72" s="13">
        <f>(1-Time!R47)*(R64+R67-R68)</f>
        <v/>
      </c>
      <c r="S72" s="13">
        <f>(1-Time!S47)*(S64+S67-S68)</f>
        <v/>
      </c>
      <c r="T72" s="13">
        <f>(1-Time!T47)*(T64+T67-T68)</f>
        <v/>
      </c>
      <c r="U72" s="13">
        <f>(1-Time!U47)*(U64+U67-U68)</f>
        <v/>
      </c>
      <c r="V72" s="13">
        <f>(1-Time!V47)*(V64+V67-V68)</f>
        <v/>
      </c>
      <c r="W72" s="13">
        <f>(1-Time!W47)*(W64+W67-W68)</f>
        <v/>
      </c>
      <c r="X72" s="13">
        <f>(1-Time!X47)*(X64+X67-X68)</f>
        <v/>
      </c>
      <c r="Y72" s="13">
        <f>(1-Time!Y47)*(Y64+Y67-Y68)</f>
        <v/>
      </c>
      <c r="Z72" s="13">
        <f>(1-Time!Z47)*(Z64+Z67-Z68)</f>
        <v/>
      </c>
      <c r="AA72" s="13">
        <f>(1-Time!AA47)*(AA64+AA67-AA68)</f>
        <v/>
      </c>
      <c r="AB72" s="13">
        <f>(1-Time!AB47)*(AB64+AB67-AB68)</f>
        <v/>
      </c>
      <c r="AC72" s="13">
        <f>(1-Time!AC47)*(AC64+AC67-AC68)</f>
        <v/>
      </c>
      <c r="AD72" s="13">
        <f>(1-Time!AD47)*(AD64+AD67-AD68)</f>
        <v/>
      </c>
      <c r="AE72" s="13">
        <f>(1-Time!AE47)*(AE64+AE67-AE68)</f>
        <v/>
      </c>
      <c r="AF72" s="13">
        <f>(1-Time!AF47)*(AF64+AF67-AF68)</f>
        <v/>
      </c>
      <c r="AG72" s="13">
        <f>(1-Time!AG47)*(AG64+AG67-AG68)</f>
        <v/>
      </c>
      <c r="AH72" s="13">
        <f>(1-Time!AH47)*(AH64+AH67-AH68)</f>
        <v/>
      </c>
      <c r="AI72" s="13">
        <f>(1-Time!AI47)*(AI64+AI67-AI68)</f>
        <v/>
      </c>
      <c r="AJ72" s="13">
        <f>(1-Time!AJ47)*(AJ64+AJ67-AJ68)</f>
        <v/>
      </c>
      <c r="AK72" s="13">
        <f>(1-Time!AK47)*(AK64+AK67-AK68)</f>
        <v/>
      </c>
      <c r="AL72" s="13">
        <f>(1-Time!AL47)*(AL64+AL67-AL68)</f>
        <v/>
      </c>
      <c r="AM72" s="13">
        <f>(1-Time!AM47)*(AM64+AM67-AM68)</f>
        <v/>
      </c>
      <c r="AN72" s="13">
        <f>(1-Time!AN47)*(AN64+AN67-AN68)</f>
        <v/>
      </c>
      <c r="AO72" s="13">
        <f>(1-Time!AO47)*(AO64+AO67-AO68)</f>
        <v/>
      </c>
      <c r="AP72" s="13">
        <f>(1-Time!AP47)*(AP64+AP67-AP68)</f>
        <v/>
      </c>
      <c r="AQ72" s="13">
        <f>(1-Time!AQ47)*(AQ64+AQ67-AQ68)</f>
        <v/>
      </c>
      <c r="AR72" s="13">
        <f>(1-Time!AR47)*(AR64+AR67-AR68)</f>
        <v/>
      </c>
      <c r="AS72" s="13">
        <f>(1-Time!AS47)*(AS64+AS67-AS68)</f>
        <v/>
      </c>
      <c r="AT72" s="13">
        <f>(1-Time!AT47)*(AT64+AT67-AT68)</f>
        <v/>
      </c>
      <c r="AU72" s="13">
        <f>(1-Time!AU47)*(AU64+AU67-AU68)</f>
        <v/>
      </c>
      <c r="AV72" s="13">
        <f>(1-Time!AV47)*(AV64+AV67-AV68)</f>
        <v/>
      </c>
      <c r="AW72" s="13">
        <f>(1-Time!AW47)*(AW64+AW67-AW68)</f>
        <v/>
      </c>
      <c r="AX72" s="13">
        <f>(1-Time!AX47)*(AX64+AX67-AX68)</f>
        <v/>
      </c>
      <c r="AY72" s="13">
        <f>(1-Time!AY47)*(AY64+AY67-AY68)</f>
        <v/>
      </c>
      <c r="AZ72" s="13">
        <f>(1-Time!AZ47)*(AZ64+AZ67-AZ68)</f>
        <v/>
      </c>
      <c r="BA72" s="13">
        <f>(1-Time!BA47)*(BA64+BA67-BA68)</f>
        <v/>
      </c>
      <c r="BB72" s="13">
        <f>(1-Time!BB47)*(BB64+BB67-BB68)</f>
        <v/>
      </c>
      <c r="BC72" s="13">
        <f>(1-Time!BC47)*(BC64+BC67-BC68)</f>
        <v/>
      </c>
      <c r="BD72" s="13">
        <f>(1-Time!BD47)*(BD64+BD67-BD68)</f>
        <v/>
      </c>
      <c r="BE72" s="13">
        <f>(1-Time!BE47)*(BE64+BE67-BE68)</f>
        <v/>
      </c>
      <c r="BF72" s="13">
        <f>(1-Time!BF47)*(BF64+BF67-BF68)</f>
        <v/>
      </c>
      <c r="BG72" s="13">
        <f>(1-Time!BG47)*(BG64+BG67-BG68)</f>
        <v/>
      </c>
      <c r="BH72" s="13">
        <f>(1-Time!BH47)*(BH64+BH67-BH68)</f>
        <v/>
      </c>
      <c r="BI72" s="13">
        <f>(1-Time!BI47)*(BI64+BI67-BI68)</f>
        <v/>
      </c>
      <c r="BJ72" s="13">
        <f>(1-Time!BJ47)*(BJ64+BJ67-BJ68)</f>
        <v/>
      </c>
      <c r="BK72" s="13">
        <f>(1-Time!BK47)*(BK64+BK67-BK68)</f>
        <v/>
      </c>
      <c r="BL72" s="13">
        <f>(1-Time!BL47)*(BL64+BL67-BL68)</f>
        <v/>
      </c>
      <c r="BM72" s="13">
        <f>(1-Time!BM47)*(BM64+BM67-BM68)</f>
        <v/>
      </c>
      <c r="BN72" s="13">
        <f>(1-Time!BN47)*(BN64+BN67-BN68)</f>
        <v/>
      </c>
    </row>
    <row r="73">
      <c r="D73" t="inlineStr">
        <is>
          <t>Balance after scheduled payment, LDs and refinancing</t>
        </is>
      </c>
      <c r="E73" t="inlineStr">
        <is>
          <t>USD m</t>
        </is>
      </c>
      <c r="J73" s="13">
        <f>J63-J69-J70-J71</f>
        <v/>
      </c>
      <c r="K73" s="13">
        <f>K63-K69-K70-K71</f>
        <v/>
      </c>
      <c r="L73" s="13">
        <f>L63-L69-L70-L71</f>
        <v/>
      </c>
      <c r="M73" s="13">
        <f>M63-M69-M70-M71</f>
        <v/>
      </c>
      <c r="N73" s="13">
        <f>N63-N69-N70-N71</f>
        <v/>
      </c>
      <c r="O73" s="13">
        <f>O63-O69-O70-O71</f>
        <v/>
      </c>
      <c r="P73" s="13">
        <f>P63-P69-P70-P71</f>
        <v/>
      </c>
      <c r="Q73" s="13">
        <f>Q63-Q69-Q70-Q71</f>
        <v/>
      </c>
      <c r="R73" s="13">
        <f>R63-R69-R70-R71</f>
        <v/>
      </c>
      <c r="S73" s="13">
        <f>S63-S69-S70-S71</f>
        <v/>
      </c>
      <c r="T73" s="13">
        <f>T63-T69-T70-T71</f>
        <v/>
      </c>
      <c r="U73" s="13">
        <f>U63-U69-U70-U71</f>
        <v/>
      </c>
      <c r="V73" s="13">
        <f>V63-V69-V70-V71</f>
        <v/>
      </c>
      <c r="W73" s="13">
        <f>W63-W69-W70-W71</f>
        <v/>
      </c>
      <c r="X73" s="13">
        <f>X63-X69-X70-X71</f>
        <v/>
      </c>
      <c r="Y73" s="13">
        <f>Y63-Y69-Y70-Y71</f>
        <v/>
      </c>
      <c r="Z73" s="13">
        <f>Z63-Z69-Z70-Z71</f>
        <v/>
      </c>
      <c r="AA73" s="13">
        <f>AA63-AA69-AA70-AA71</f>
        <v/>
      </c>
      <c r="AB73" s="13">
        <f>AB63-AB69-AB70-AB71</f>
        <v/>
      </c>
      <c r="AC73" s="13">
        <f>AC63-AC69-AC70-AC71</f>
        <v/>
      </c>
      <c r="AD73" s="13">
        <f>AD63-AD69-AD70-AD71</f>
        <v/>
      </c>
      <c r="AE73" s="13">
        <f>AE63-AE69-AE70-AE71</f>
        <v/>
      </c>
      <c r="AF73" s="13">
        <f>AF63-AF69-AF70-AF71</f>
        <v/>
      </c>
      <c r="AG73" s="13">
        <f>AG63-AG69-AG70-AG71</f>
        <v/>
      </c>
      <c r="AH73" s="13">
        <f>AH63-AH69-AH70-AH71</f>
        <v/>
      </c>
      <c r="AI73" s="13">
        <f>AI63-AI69-AI70-AI71</f>
        <v/>
      </c>
      <c r="AJ73" s="13">
        <f>AJ63-AJ69-AJ70-AJ71</f>
        <v/>
      </c>
      <c r="AK73" s="13">
        <f>AK63-AK69-AK70-AK71</f>
        <v/>
      </c>
      <c r="AL73" s="13">
        <f>AL63-AL69-AL70-AL71</f>
        <v/>
      </c>
      <c r="AM73" s="13">
        <f>AM63-AM69-AM70-AM71</f>
        <v/>
      </c>
      <c r="AN73" s="13">
        <f>AN63-AN69-AN70-AN71</f>
        <v/>
      </c>
      <c r="AO73" s="13">
        <f>AO63-AO69-AO70-AO71</f>
        <v/>
      </c>
      <c r="AP73" s="13">
        <f>AP63-AP69-AP70-AP71</f>
        <v/>
      </c>
      <c r="AQ73" s="13">
        <f>AQ63-AQ69-AQ70-AQ71</f>
        <v/>
      </c>
      <c r="AR73" s="13">
        <f>AR63-AR69-AR70-AR71</f>
        <v/>
      </c>
      <c r="AS73" s="13">
        <f>AS63-AS69-AS70-AS71</f>
        <v/>
      </c>
      <c r="AT73" s="13">
        <f>AT63-AT69-AT70-AT71</f>
        <v/>
      </c>
      <c r="AU73" s="13">
        <f>AU63-AU69-AU70-AU71</f>
        <v/>
      </c>
      <c r="AV73" s="13">
        <f>AV63-AV69-AV70-AV71</f>
        <v/>
      </c>
      <c r="AW73" s="13">
        <f>AW63-AW69-AW70-AW71</f>
        <v/>
      </c>
      <c r="AX73" s="13">
        <f>AX63-AX69-AX70-AX71</f>
        <v/>
      </c>
      <c r="AY73" s="13">
        <f>AY63-AY69-AY70-AY71</f>
        <v/>
      </c>
      <c r="AZ73" s="13">
        <f>AZ63-AZ69-AZ70-AZ71</f>
        <v/>
      </c>
      <c r="BA73" s="13">
        <f>BA63-BA69-BA70-BA71</f>
        <v/>
      </c>
      <c r="BB73" s="13">
        <f>BB63-BB69-BB70-BB71</f>
        <v/>
      </c>
      <c r="BC73" s="13">
        <f>BC63-BC69-BC70-BC71</f>
        <v/>
      </c>
      <c r="BD73" s="13">
        <f>BD63-BD69-BD70-BD71</f>
        <v/>
      </c>
      <c r="BE73" s="13">
        <f>BE63-BE69-BE70-BE71</f>
        <v/>
      </c>
      <c r="BF73" s="13">
        <f>BF63-BF69-BF70-BF71</f>
        <v/>
      </c>
      <c r="BG73" s="13">
        <f>BG63-BG69-BG70-BG71</f>
        <v/>
      </c>
      <c r="BH73" s="13">
        <f>BH63-BH69-BH70-BH71</f>
        <v/>
      </c>
      <c r="BI73" s="13">
        <f>BI63-BI69-BI70-BI71</f>
        <v/>
      </c>
      <c r="BJ73" s="13">
        <f>BJ63-BJ69-BJ70-BJ71</f>
        <v/>
      </c>
      <c r="BK73" s="13">
        <f>BK63-BK69-BK70-BK71</f>
        <v/>
      </c>
      <c r="BL73" s="13">
        <f>BL63-BL69-BL70-BL71</f>
        <v/>
      </c>
      <c r="BM73" s="13">
        <f>BM63-BM69-BM70-BM71</f>
        <v/>
      </c>
      <c r="BN73" s="13">
        <f>BN63-BN69-BN70-BN71</f>
        <v/>
      </c>
    </row>
    <row r="74">
      <c r="D74" t="inlineStr">
        <is>
          <t>Cash sweep prepayment</t>
        </is>
      </c>
      <c r="E74" t="inlineStr">
        <is>
          <t>USD m</t>
        </is>
      </c>
      <c r="G74" s="13">
        <f>SUM(J74:BN74)</f>
        <v/>
      </c>
      <c r="J74" s="13">
        <f>Waterfall!J28*J73/(J31+J45+J59+J73+J87+Inputs!$F$253)+Waterfall!J29</f>
        <v/>
      </c>
      <c r="K74" s="13">
        <f>Waterfall!K28*K73/(K31+K45+K59+K73+K87+Inputs!$F$253)+Waterfall!K29</f>
        <v/>
      </c>
      <c r="L74" s="13">
        <f>Waterfall!L28*L73/(L31+L45+L59+L73+L87+Inputs!$F$253)+Waterfall!L29</f>
        <v/>
      </c>
      <c r="M74" s="13">
        <f>Waterfall!M28*M73/(M31+M45+M59+M73+M87+Inputs!$F$253)+Waterfall!M29</f>
        <v/>
      </c>
      <c r="N74" s="13">
        <f>Waterfall!N28*N73/(N31+N45+N59+N73+N87+Inputs!$F$253)+Waterfall!N29</f>
        <v/>
      </c>
      <c r="O74" s="13">
        <f>Waterfall!O28*O73/(O31+O45+O59+O73+O87+Inputs!$F$253)+Waterfall!O29</f>
        <v/>
      </c>
      <c r="P74" s="13">
        <f>Waterfall!P28*P73/(P31+P45+P59+P73+P87+Inputs!$F$253)+Waterfall!P29</f>
        <v/>
      </c>
      <c r="Q74" s="13">
        <f>Waterfall!Q28*Q73/(Q31+Q45+Q59+Q73+Q87+Inputs!$F$253)+Waterfall!Q29</f>
        <v/>
      </c>
      <c r="R74" s="13">
        <f>Waterfall!R28*R73/(R31+R45+R59+R73+R87+Inputs!$F$253)+Waterfall!R29</f>
        <v/>
      </c>
      <c r="S74" s="13">
        <f>Waterfall!S28*S73/(S31+S45+S59+S73+S87+Inputs!$F$253)+Waterfall!S29</f>
        <v/>
      </c>
      <c r="T74" s="13">
        <f>Waterfall!T28*T73/(T31+T45+T59+T73+T87+Inputs!$F$253)+Waterfall!T29</f>
        <v/>
      </c>
      <c r="U74" s="13">
        <f>Waterfall!U28*U73/(U31+U45+U59+U73+U87+Inputs!$F$253)+Waterfall!U29</f>
        <v/>
      </c>
      <c r="V74" s="13">
        <f>Waterfall!V28*V73/(V31+V45+V59+V73+V87+Inputs!$F$253)+Waterfall!V29</f>
        <v/>
      </c>
      <c r="W74" s="13">
        <f>Waterfall!W28*W73/(W31+W45+W59+W73+W87+Inputs!$F$253)+Waterfall!W29</f>
        <v/>
      </c>
      <c r="X74" s="13">
        <f>Waterfall!X28*X73/(X31+X45+X59+X73+X87+Inputs!$F$253)+Waterfall!X29</f>
        <v/>
      </c>
      <c r="Y74" s="13">
        <f>Waterfall!Y28*Y73/(Y31+Y45+Y59+Y73+Y87+Inputs!$F$253)+Waterfall!Y29</f>
        <v/>
      </c>
      <c r="Z74" s="13">
        <f>Waterfall!Z28*Z73/(Z31+Z45+Z59+Z73+Z87+Inputs!$F$253)+Waterfall!Z29</f>
        <v/>
      </c>
      <c r="AA74" s="13">
        <f>Waterfall!AA28*AA73/(AA31+AA45+AA59+AA73+AA87+Inputs!$F$253)+Waterfall!AA29</f>
        <v/>
      </c>
      <c r="AB74" s="13">
        <f>Waterfall!AB28*AB73/(AB31+AB45+AB59+AB73+AB87+Inputs!$F$253)+Waterfall!AB29</f>
        <v/>
      </c>
      <c r="AC74" s="13">
        <f>Waterfall!AC28*AC73/(AC31+AC45+AC59+AC73+AC87+Inputs!$F$253)+Waterfall!AC29</f>
        <v/>
      </c>
      <c r="AD74" s="13">
        <f>Waterfall!AD28*AD73/(AD31+AD45+AD59+AD73+AD87+Inputs!$F$253)+Waterfall!AD29</f>
        <v/>
      </c>
      <c r="AE74" s="13">
        <f>Waterfall!AE28*AE73/(AE31+AE45+AE59+AE73+AE87+Inputs!$F$253)+Waterfall!AE29</f>
        <v/>
      </c>
      <c r="AF74" s="13">
        <f>Waterfall!AF28*AF73/(AF31+AF45+AF59+AF73+AF87+Inputs!$F$253)+Waterfall!AF29</f>
        <v/>
      </c>
      <c r="AG74" s="13">
        <f>Waterfall!AG28*AG73/(AG31+AG45+AG59+AG73+AG87+Inputs!$F$253)+Waterfall!AG29</f>
        <v/>
      </c>
      <c r="AH74" s="13">
        <f>Waterfall!AH28*AH73/(AH31+AH45+AH59+AH73+AH87+Inputs!$F$253)+Waterfall!AH29</f>
        <v/>
      </c>
      <c r="AI74" s="13">
        <f>Waterfall!AI28*AI73/(AI31+AI45+AI59+AI73+AI87+Inputs!$F$253)+Waterfall!AI29</f>
        <v/>
      </c>
      <c r="AJ74" s="13">
        <f>Waterfall!AJ28*AJ73/(AJ31+AJ45+AJ59+AJ73+AJ87+Inputs!$F$253)+Waterfall!AJ29</f>
        <v/>
      </c>
      <c r="AK74" s="13">
        <f>Waterfall!AK28*AK73/(AK31+AK45+AK59+AK73+AK87+Inputs!$F$253)+Waterfall!AK29</f>
        <v/>
      </c>
      <c r="AL74" s="13">
        <f>Waterfall!AL28*AL73/(AL31+AL45+AL59+AL73+AL87+Inputs!$F$253)+Waterfall!AL29</f>
        <v/>
      </c>
      <c r="AM74" s="13">
        <f>Waterfall!AM28*AM73/(AM31+AM45+AM59+AM73+AM87+Inputs!$F$253)+Waterfall!AM29</f>
        <v/>
      </c>
      <c r="AN74" s="13">
        <f>Waterfall!AN28*AN73/(AN31+AN45+AN59+AN73+AN87+Inputs!$F$253)+Waterfall!AN29</f>
        <v/>
      </c>
      <c r="AO74" s="13">
        <f>Waterfall!AO28*AO73/(AO31+AO45+AO59+AO73+AO87+Inputs!$F$253)+Waterfall!AO29</f>
        <v/>
      </c>
      <c r="AP74" s="13">
        <f>Waterfall!AP28*AP73/(AP31+AP45+AP59+AP73+AP87+Inputs!$F$253)+Waterfall!AP29</f>
        <v/>
      </c>
      <c r="AQ74" s="13">
        <f>Waterfall!AQ28*AQ73/(AQ31+AQ45+AQ59+AQ73+AQ87+Inputs!$F$253)+Waterfall!AQ29</f>
        <v/>
      </c>
      <c r="AR74" s="13">
        <f>Waterfall!AR28*AR73/(AR31+AR45+AR59+AR73+AR87+Inputs!$F$253)+Waterfall!AR29</f>
        <v/>
      </c>
      <c r="AS74" s="13">
        <f>Waterfall!AS28*AS73/(AS31+AS45+AS59+AS73+AS87+Inputs!$F$253)+Waterfall!AS29</f>
        <v/>
      </c>
      <c r="AT74" s="13">
        <f>Waterfall!AT28*AT73/(AT31+AT45+AT59+AT73+AT87+Inputs!$F$253)+Waterfall!AT29</f>
        <v/>
      </c>
      <c r="AU74" s="13">
        <f>Waterfall!AU28*AU73/(AU31+AU45+AU59+AU73+AU87+Inputs!$F$253)+Waterfall!AU29</f>
        <v/>
      </c>
      <c r="AV74" s="13">
        <f>Waterfall!AV28*AV73/(AV31+AV45+AV59+AV73+AV87+Inputs!$F$253)+Waterfall!AV29</f>
        <v/>
      </c>
      <c r="AW74" s="13">
        <f>Waterfall!AW28*AW73/(AW31+AW45+AW59+AW73+AW87+Inputs!$F$253)+Waterfall!AW29</f>
        <v/>
      </c>
      <c r="AX74" s="13">
        <f>Waterfall!AX28*AX73/(AX31+AX45+AX59+AX73+AX87+Inputs!$F$253)+Waterfall!AX29</f>
        <v/>
      </c>
      <c r="AY74" s="13">
        <f>Waterfall!AY28*AY73/(AY31+AY45+AY59+AY73+AY87+Inputs!$F$253)+Waterfall!AY29</f>
        <v/>
      </c>
      <c r="AZ74" s="13">
        <f>Waterfall!AZ28*AZ73/(AZ31+AZ45+AZ59+AZ73+AZ87+Inputs!$F$253)+Waterfall!AZ29</f>
        <v/>
      </c>
      <c r="BA74" s="13">
        <f>Waterfall!BA28*BA73/(BA31+BA45+BA59+BA73+BA87+Inputs!$F$253)+Waterfall!BA29</f>
        <v/>
      </c>
      <c r="BB74" s="13">
        <f>Waterfall!BB28*BB73/(BB31+BB45+BB59+BB73+BB87+Inputs!$F$253)+Waterfall!BB29</f>
        <v/>
      </c>
      <c r="BC74" s="13">
        <f>Waterfall!BC28*BC73/(BC31+BC45+BC59+BC73+BC87+Inputs!$F$253)+Waterfall!BC29</f>
        <v/>
      </c>
      <c r="BD74" s="13">
        <f>Waterfall!BD28*BD73/(BD31+BD45+BD59+BD73+BD87+Inputs!$F$253)+Waterfall!BD29</f>
        <v/>
      </c>
      <c r="BE74" s="13">
        <f>Waterfall!BE28*BE73/(BE31+BE45+BE59+BE73+BE87+Inputs!$F$253)+Waterfall!BE29</f>
        <v/>
      </c>
      <c r="BF74" s="13">
        <f>Waterfall!BF28*BF73/(BF31+BF45+BF59+BF73+BF87+Inputs!$F$253)+Waterfall!BF29</f>
        <v/>
      </c>
      <c r="BG74" s="13">
        <f>Waterfall!BG28*BG73/(BG31+BG45+BG59+BG73+BG87+Inputs!$F$253)+Waterfall!BG29</f>
        <v/>
      </c>
      <c r="BH74" s="13">
        <f>Waterfall!BH28*BH73/(BH31+BH45+BH59+BH73+BH87+Inputs!$F$253)+Waterfall!BH29</f>
        <v/>
      </c>
      <c r="BI74" s="13">
        <f>Waterfall!BI28*BI73/(BI31+BI45+BI59+BI73+BI87+Inputs!$F$253)+Waterfall!BI29</f>
        <v/>
      </c>
      <c r="BJ74" s="13">
        <f>Waterfall!BJ28*BJ73/(BJ31+BJ45+BJ59+BJ73+BJ87+Inputs!$F$253)+Waterfall!BJ29</f>
        <v/>
      </c>
      <c r="BK74" s="13">
        <f>Waterfall!BK28*BK73/(BK31+BK45+BK59+BK73+BK87+Inputs!$F$253)+Waterfall!BK29</f>
        <v/>
      </c>
      <c r="BL74" s="13">
        <f>Waterfall!BL28*BL73/(BL31+BL45+BL59+BL73+BL87+Inputs!$F$253)+Waterfall!BL29</f>
        <v/>
      </c>
      <c r="BM74" s="13">
        <f>Waterfall!BM28*BM73/(BM31+BM45+BM59+BM73+BM87+Inputs!$F$253)+Waterfall!BM29</f>
        <v/>
      </c>
      <c r="BN74" s="13">
        <f>Waterfall!BN28*BN73/(BN31+BN45+BN59+BN73+BN87+Inputs!$F$253)+Waterfall!BN29</f>
        <v/>
      </c>
    </row>
    <row r="75">
      <c r="D75" t="inlineStr">
        <is>
          <t>Closing balance</t>
        </is>
      </c>
      <c r="E75" t="inlineStr">
        <is>
          <t>USD m</t>
        </is>
      </c>
      <c r="J75" s="13">
        <f>IF(Time!J34=1,INDEX(Funding!$J$64:$BJ$64,1,Time!$F$14),Time!J35*(J73-J74))</f>
        <v/>
      </c>
      <c r="K75" s="13">
        <f>IF(Time!K34=1,INDEX(Funding!$J$64:$BJ$64,1,Time!$F$14),Time!K35*(K73-K74))</f>
        <v/>
      </c>
      <c r="L75" s="13">
        <f>IF(Time!L34=1,INDEX(Funding!$J$64:$BJ$64,1,Time!$F$14),Time!L35*(L73-L74))</f>
        <v/>
      </c>
      <c r="M75" s="13">
        <f>IF(Time!M34=1,INDEX(Funding!$J$64:$BJ$64,1,Time!$F$14),Time!M35*(M73-M74))</f>
        <v/>
      </c>
      <c r="N75" s="13">
        <f>IF(Time!N34=1,INDEX(Funding!$J$64:$BJ$64,1,Time!$F$14),Time!N35*(N73-N74))</f>
        <v/>
      </c>
      <c r="O75" s="13">
        <f>IF(Time!O34=1,INDEX(Funding!$J$64:$BJ$64,1,Time!$F$14),Time!O35*(O73-O74))</f>
        <v/>
      </c>
      <c r="P75" s="13">
        <f>IF(Time!P34=1,INDEX(Funding!$J$64:$BJ$64,1,Time!$F$14),Time!P35*(P73-P74))</f>
        <v/>
      </c>
      <c r="Q75" s="13">
        <f>IF(Time!Q34=1,INDEX(Funding!$J$64:$BJ$64,1,Time!$F$14),Time!Q35*(Q73-Q74))</f>
        <v/>
      </c>
      <c r="R75" s="13">
        <f>IF(Time!R34=1,INDEX(Funding!$J$64:$BJ$64,1,Time!$F$14),Time!R35*(R73-R74))</f>
        <v/>
      </c>
      <c r="S75" s="13">
        <f>IF(Time!S34=1,INDEX(Funding!$J$64:$BJ$64,1,Time!$F$14),Time!S35*(S73-S74))</f>
        <v/>
      </c>
      <c r="T75" s="13">
        <f>IF(Time!T34=1,INDEX(Funding!$J$64:$BJ$64,1,Time!$F$14),Time!T35*(T73-T74))</f>
        <v/>
      </c>
      <c r="U75" s="13">
        <f>IF(Time!U34=1,INDEX(Funding!$J$64:$BJ$64,1,Time!$F$14),Time!U35*(U73-U74))</f>
        <v/>
      </c>
      <c r="V75" s="13">
        <f>IF(Time!V34=1,INDEX(Funding!$J$64:$BJ$64,1,Time!$F$14),Time!V35*(V73-V74))</f>
        <v/>
      </c>
      <c r="W75" s="13">
        <f>IF(Time!W34=1,INDEX(Funding!$J$64:$BJ$64,1,Time!$F$14),Time!W35*(W73-W74))</f>
        <v/>
      </c>
      <c r="X75" s="13">
        <f>IF(Time!X34=1,INDEX(Funding!$J$64:$BJ$64,1,Time!$F$14),Time!X35*(X73-X74))</f>
        <v/>
      </c>
      <c r="Y75" s="13">
        <f>IF(Time!Y34=1,INDEX(Funding!$J$64:$BJ$64,1,Time!$F$14),Time!Y35*(Y73-Y74))</f>
        <v/>
      </c>
      <c r="Z75" s="13">
        <f>IF(Time!Z34=1,INDEX(Funding!$J$64:$BJ$64,1,Time!$F$14),Time!Z35*(Z73-Z74))</f>
        <v/>
      </c>
      <c r="AA75" s="13">
        <f>IF(Time!AA34=1,INDEX(Funding!$J$64:$BJ$64,1,Time!$F$14),Time!AA35*(AA73-AA74))</f>
        <v/>
      </c>
      <c r="AB75" s="13">
        <f>IF(Time!AB34=1,INDEX(Funding!$J$64:$BJ$64,1,Time!$F$14),Time!AB35*(AB73-AB74))</f>
        <v/>
      </c>
      <c r="AC75" s="13">
        <f>IF(Time!AC34=1,INDEX(Funding!$J$64:$BJ$64,1,Time!$F$14),Time!AC35*(AC73-AC74))</f>
        <v/>
      </c>
      <c r="AD75" s="13">
        <f>IF(Time!AD34=1,INDEX(Funding!$J$64:$BJ$64,1,Time!$F$14),Time!AD35*(AD73-AD74))</f>
        <v/>
      </c>
      <c r="AE75" s="13">
        <f>IF(Time!AE34=1,INDEX(Funding!$J$64:$BJ$64,1,Time!$F$14),Time!AE35*(AE73-AE74))</f>
        <v/>
      </c>
      <c r="AF75" s="13">
        <f>IF(Time!AF34=1,INDEX(Funding!$J$64:$BJ$64,1,Time!$F$14),Time!AF35*(AF73-AF74))</f>
        <v/>
      </c>
      <c r="AG75" s="13">
        <f>IF(Time!AG34=1,INDEX(Funding!$J$64:$BJ$64,1,Time!$F$14),Time!AG35*(AG73-AG74))</f>
        <v/>
      </c>
      <c r="AH75" s="13">
        <f>IF(Time!AH34=1,INDEX(Funding!$J$64:$BJ$64,1,Time!$F$14),Time!AH35*(AH73-AH74))</f>
        <v/>
      </c>
      <c r="AI75" s="13">
        <f>IF(Time!AI34=1,INDEX(Funding!$J$64:$BJ$64,1,Time!$F$14),Time!AI35*(AI73-AI74))</f>
        <v/>
      </c>
      <c r="AJ75" s="13">
        <f>IF(Time!AJ34=1,INDEX(Funding!$J$64:$BJ$64,1,Time!$F$14),Time!AJ35*(AJ73-AJ74))</f>
        <v/>
      </c>
      <c r="AK75" s="13">
        <f>IF(Time!AK34=1,INDEX(Funding!$J$64:$BJ$64,1,Time!$F$14),Time!AK35*(AK73-AK74))</f>
        <v/>
      </c>
      <c r="AL75" s="13">
        <f>IF(Time!AL34=1,INDEX(Funding!$J$64:$BJ$64,1,Time!$F$14),Time!AL35*(AL73-AL74))</f>
        <v/>
      </c>
      <c r="AM75" s="13">
        <f>IF(Time!AM34=1,INDEX(Funding!$J$64:$BJ$64,1,Time!$F$14),Time!AM35*(AM73-AM74))</f>
        <v/>
      </c>
      <c r="AN75" s="13">
        <f>IF(Time!AN34=1,INDEX(Funding!$J$64:$BJ$64,1,Time!$F$14),Time!AN35*(AN73-AN74))</f>
        <v/>
      </c>
      <c r="AO75" s="13">
        <f>IF(Time!AO34=1,INDEX(Funding!$J$64:$BJ$64,1,Time!$F$14),Time!AO35*(AO73-AO74))</f>
        <v/>
      </c>
      <c r="AP75" s="13">
        <f>IF(Time!AP34=1,INDEX(Funding!$J$64:$BJ$64,1,Time!$F$14),Time!AP35*(AP73-AP74))</f>
        <v/>
      </c>
      <c r="AQ75" s="13">
        <f>IF(Time!AQ34=1,INDEX(Funding!$J$64:$BJ$64,1,Time!$F$14),Time!AQ35*(AQ73-AQ74))</f>
        <v/>
      </c>
      <c r="AR75" s="13">
        <f>IF(Time!AR34=1,INDEX(Funding!$J$64:$BJ$64,1,Time!$F$14),Time!AR35*(AR73-AR74))</f>
        <v/>
      </c>
      <c r="AS75" s="13">
        <f>IF(Time!AS34=1,INDEX(Funding!$J$64:$BJ$64,1,Time!$F$14),Time!AS35*(AS73-AS74))</f>
        <v/>
      </c>
      <c r="AT75" s="13">
        <f>IF(Time!AT34=1,INDEX(Funding!$J$64:$BJ$64,1,Time!$F$14),Time!AT35*(AT73-AT74))</f>
        <v/>
      </c>
      <c r="AU75" s="13">
        <f>IF(Time!AU34=1,INDEX(Funding!$J$64:$BJ$64,1,Time!$F$14),Time!AU35*(AU73-AU74))</f>
        <v/>
      </c>
      <c r="AV75" s="13">
        <f>IF(Time!AV34=1,INDEX(Funding!$J$64:$BJ$64,1,Time!$F$14),Time!AV35*(AV73-AV74))</f>
        <v/>
      </c>
      <c r="AW75" s="13">
        <f>IF(Time!AW34=1,INDEX(Funding!$J$64:$BJ$64,1,Time!$F$14),Time!AW35*(AW73-AW74))</f>
        <v/>
      </c>
      <c r="AX75" s="13">
        <f>IF(Time!AX34=1,INDEX(Funding!$J$64:$BJ$64,1,Time!$F$14),Time!AX35*(AX73-AX74))</f>
        <v/>
      </c>
      <c r="AY75" s="13">
        <f>IF(Time!AY34=1,INDEX(Funding!$J$64:$BJ$64,1,Time!$F$14),Time!AY35*(AY73-AY74))</f>
        <v/>
      </c>
      <c r="AZ75" s="13">
        <f>IF(Time!AZ34=1,INDEX(Funding!$J$64:$BJ$64,1,Time!$F$14),Time!AZ35*(AZ73-AZ74))</f>
        <v/>
      </c>
      <c r="BA75" s="13">
        <f>IF(Time!BA34=1,INDEX(Funding!$J$64:$BJ$64,1,Time!$F$14),Time!BA35*(BA73-BA74))</f>
        <v/>
      </c>
      <c r="BB75" s="13">
        <f>IF(Time!BB34=1,INDEX(Funding!$J$64:$BJ$64,1,Time!$F$14),Time!BB35*(BB73-BB74))</f>
        <v/>
      </c>
      <c r="BC75" s="13">
        <f>IF(Time!BC34=1,INDEX(Funding!$J$64:$BJ$64,1,Time!$F$14),Time!BC35*(BC73-BC74))</f>
        <v/>
      </c>
      <c r="BD75" s="13">
        <f>IF(Time!BD34=1,INDEX(Funding!$J$64:$BJ$64,1,Time!$F$14),Time!BD35*(BD73-BD74))</f>
        <v/>
      </c>
      <c r="BE75" s="13">
        <f>IF(Time!BE34=1,INDEX(Funding!$J$64:$BJ$64,1,Time!$F$14),Time!BE35*(BE73-BE74))</f>
        <v/>
      </c>
      <c r="BF75" s="13">
        <f>IF(Time!BF34=1,INDEX(Funding!$J$64:$BJ$64,1,Time!$F$14),Time!BF35*(BF73-BF74))</f>
        <v/>
      </c>
      <c r="BG75" s="13">
        <f>IF(Time!BG34=1,INDEX(Funding!$J$64:$BJ$64,1,Time!$F$14),Time!BG35*(BG73-BG74))</f>
        <v/>
      </c>
      <c r="BH75" s="13">
        <f>IF(Time!BH34=1,INDEX(Funding!$J$64:$BJ$64,1,Time!$F$14),Time!BH35*(BH73-BH74))</f>
        <v/>
      </c>
      <c r="BI75" s="13">
        <f>IF(Time!BI34=1,INDEX(Funding!$J$64:$BJ$64,1,Time!$F$14),Time!BI35*(BI73-BI74))</f>
        <v/>
      </c>
      <c r="BJ75" s="13">
        <f>IF(Time!BJ34=1,INDEX(Funding!$J$64:$BJ$64,1,Time!$F$14),Time!BJ35*(BJ73-BJ74))</f>
        <v/>
      </c>
      <c r="BK75" s="13">
        <f>IF(Time!BK34=1,INDEX(Funding!$J$64:$BJ$64,1,Time!$F$14),Time!BK35*(BK73-BK74))</f>
        <v/>
      </c>
      <c r="BL75" s="13">
        <f>IF(Time!BL34=1,INDEX(Funding!$J$64:$BJ$64,1,Time!$F$14),Time!BL35*(BL73-BL74))</f>
        <v/>
      </c>
      <c r="BM75" s="13">
        <f>IF(Time!BM34=1,INDEX(Funding!$J$64:$BJ$64,1,Time!$F$14),Time!BM35*(BM73-BM74))</f>
        <v/>
      </c>
      <c r="BN75" s="13">
        <f>IF(Time!BN34=1,INDEX(Funding!$J$64:$BJ$64,1,Time!$F$14),Time!BN35*(BN73-BN74))</f>
        <v/>
      </c>
    </row>
    <row r="76">
      <c r="B76" s="2" t="inlineStr">
        <is>
          <t>Standby facility</t>
        </is>
      </c>
    </row>
    <row r="77">
      <c r="D77" t="inlineStr">
        <is>
          <t>Opening balance</t>
        </is>
      </c>
      <c r="E77" t="inlineStr">
        <is>
          <t>USD m</t>
        </is>
      </c>
      <c r="J77" s="13">
        <f>Time!J35*I89</f>
        <v/>
      </c>
      <c r="K77" s="13">
        <f>Time!K35*J89</f>
        <v/>
      </c>
      <c r="L77" s="13">
        <f>Time!L35*K89</f>
        <v/>
      </c>
      <c r="M77" s="13">
        <f>Time!M35*L89</f>
        <v/>
      </c>
      <c r="N77" s="13">
        <f>Time!N35*M89</f>
        <v/>
      </c>
      <c r="O77" s="13">
        <f>Time!O35*N89</f>
        <v/>
      </c>
      <c r="P77" s="13">
        <f>Time!P35*O89</f>
        <v/>
      </c>
      <c r="Q77" s="13">
        <f>Time!Q35*P89</f>
        <v/>
      </c>
      <c r="R77" s="13">
        <f>Time!R35*Q89</f>
        <v/>
      </c>
      <c r="S77" s="13">
        <f>Time!S35*R89</f>
        <v/>
      </c>
      <c r="T77" s="13">
        <f>Time!T35*S89</f>
        <v/>
      </c>
      <c r="U77" s="13">
        <f>Time!U35*T89</f>
        <v/>
      </c>
      <c r="V77" s="13">
        <f>Time!V35*U89</f>
        <v/>
      </c>
      <c r="W77" s="13">
        <f>Time!W35*V89</f>
        <v/>
      </c>
      <c r="X77" s="13">
        <f>Time!X35*W89</f>
        <v/>
      </c>
      <c r="Y77" s="13">
        <f>Time!Y35*X89</f>
        <v/>
      </c>
      <c r="Z77" s="13">
        <f>Time!Z35*Y89</f>
        <v/>
      </c>
      <c r="AA77" s="13">
        <f>Time!AA35*Z89</f>
        <v/>
      </c>
      <c r="AB77" s="13">
        <f>Time!AB35*AA89</f>
        <v/>
      </c>
      <c r="AC77" s="13">
        <f>Time!AC35*AB89</f>
        <v/>
      </c>
      <c r="AD77" s="13">
        <f>Time!AD35*AC89</f>
        <v/>
      </c>
      <c r="AE77" s="13">
        <f>Time!AE35*AD89</f>
        <v/>
      </c>
      <c r="AF77" s="13">
        <f>Time!AF35*AE89</f>
        <v/>
      </c>
      <c r="AG77" s="13">
        <f>Time!AG35*AF89</f>
        <v/>
      </c>
      <c r="AH77" s="13">
        <f>Time!AH35*AG89</f>
        <v/>
      </c>
      <c r="AI77" s="13">
        <f>Time!AI35*AH89</f>
        <v/>
      </c>
      <c r="AJ77" s="13">
        <f>Time!AJ35*AI89</f>
        <v/>
      </c>
      <c r="AK77" s="13">
        <f>Time!AK35*AJ89</f>
        <v/>
      </c>
      <c r="AL77" s="13">
        <f>Time!AL35*AK89</f>
        <v/>
      </c>
      <c r="AM77" s="13">
        <f>Time!AM35*AL89</f>
        <v/>
      </c>
      <c r="AN77" s="13">
        <f>Time!AN35*AM89</f>
        <v/>
      </c>
      <c r="AO77" s="13">
        <f>Time!AO35*AN89</f>
        <v/>
      </c>
      <c r="AP77" s="13">
        <f>Time!AP35*AO89</f>
        <v/>
      </c>
      <c r="AQ77" s="13">
        <f>Time!AQ35*AP89</f>
        <v/>
      </c>
      <c r="AR77" s="13">
        <f>Time!AR35*AQ89</f>
        <v/>
      </c>
      <c r="AS77" s="13">
        <f>Time!AS35*AR89</f>
        <v/>
      </c>
      <c r="AT77" s="13">
        <f>Time!AT35*AS89</f>
        <v/>
      </c>
      <c r="AU77" s="13">
        <f>Time!AU35*AT89</f>
        <v/>
      </c>
      <c r="AV77" s="13">
        <f>Time!AV35*AU89</f>
        <v/>
      </c>
      <c r="AW77" s="13">
        <f>Time!AW35*AV89</f>
        <v/>
      </c>
      <c r="AX77" s="13">
        <f>Time!AX35*AW89</f>
        <v/>
      </c>
      <c r="AY77" s="13">
        <f>Time!AY35*AX89</f>
        <v/>
      </c>
      <c r="AZ77" s="13">
        <f>Time!AZ35*AY89</f>
        <v/>
      </c>
      <c r="BA77" s="13">
        <f>Time!BA35*AZ89</f>
        <v/>
      </c>
      <c r="BB77" s="13">
        <f>Time!BB35*BA89</f>
        <v/>
      </c>
      <c r="BC77" s="13">
        <f>Time!BC35*BB89</f>
        <v/>
      </c>
      <c r="BD77" s="13">
        <f>Time!BD35*BC89</f>
        <v/>
      </c>
      <c r="BE77" s="13">
        <f>Time!BE35*BD89</f>
        <v/>
      </c>
      <c r="BF77" s="13">
        <f>Time!BF35*BE89</f>
        <v/>
      </c>
      <c r="BG77" s="13">
        <f>Time!BG35*BF89</f>
        <v/>
      </c>
      <c r="BH77" s="13">
        <f>Time!BH35*BG89</f>
        <v/>
      </c>
      <c r="BI77" s="13">
        <f>Time!BI35*BH89</f>
        <v/>
      </c>
      <c r="BJ77" s="13">
        <f>Time!BJ35*BI89</f>
        <v/>
      </c>
      <c r="BK77" s="13">
        <f>Time!BK35*BJ89</f>
        <v/>
      </c>
      <c r="BL77" s="13">
        <f>Time!BL35*BK89</f>
        <v/>
      </c>
      <c r="BM77" s="13">
        <f>Time!BM35*BL89</f>
        <v/>
      </c>
      <c r="BN77" s="13">
        <f>Time!BN35*BM89</f>
        <v/>
      </c>
    </row>
    <row r="78">
      <c r="D78" t="inlineStr">
        <is>
          <t>Deferred principal, opening</t>
        </is>
      </c>
      <c r="E78" t="inlineStr">
        <is>
          <t>USD m</t>
        </is>
      </c>
      <c r="J78" s="13">
        <f>I86</f>
        <v/>
      </c>
      <c r="K78" s="13">
        <f>J86</f>
        <v/>
      </c>
      <c r="L78" s="13">
        <f>K86</f>
        <v/>
      </c>
      <c r="M78" s="13">
        <f>L86</f>
        <v/>
      </c>
      <c r="N78" s="13">
        <f>M86</f>
        <v/>
      </c>
      <c r="O78" s="13">
        <f>N86</f>
        <v/>
      </c>
      <c r="P78" s="13">
        <f>O86</f>
        <v/>
      </c>
      <c r="Q78" s="13">
        <f>P86</f>
        <v/>
      </c>
      <c r="R78" s="13">
        <f>Q86</f>
        <v/>
      </c>
      <c r="S78" s="13">
        <f>R86</f>
        <v/>
      </c>
      <c r="T78" s="13">
        <f>S86</f>
        <v/>
      </c>
      <c r="U78" s="13">
        <f>T86</f>
        <v/>
      </c>
      <c r="V78" s="13">
        <f>U86</f>
        <v/>
      </c>
      <c r="W78" s="13">
        <f>V86</f>
        <v/>
      </c>
      <c r="X78" s="13">
        <f>W86</f>
        <v/>
      </c>
      <c r="Y78" s="13">
        <f>X86</f>
        <v/>
      </c>
      <c r="Z78" s="13">
        <f>Y86</f>
        <v/>
      </c>
      <c r="AA78" s="13">
        <f>Z86</f>
        <v/>
      </c>
      <c r="AB78" s="13">
        <f>AA86</f>
        <v/>
      </c>
      <c r="AC78" s="13">
        <f>AB86</f>
        <v/>
      </c>
      <c r="AD78" s="13">
        <f>AC86</f>
        <v/>
      </c>
      <c r="AE78" s="13">
        <f>AD86</f>
        <v/>
      </c>
      <c r="AF78" s="13">
        <f>AE86</f>
        <v/>
      </c>
      <c r="AG78" s="13">
        <f>AF86</f>
        <v/>
      </c>
      <c r="AH78" s="13">
        <f>AG86</f>
        <v/>
      </c>
      <c r="AI78" s="13">
        <f>AH86</f>
        <v/>
      </c>
      <c r="AJ78" s="13">
        <f>AI86</f>
        <v/>
      </c>
      <c r="AK78" s="13">
        <f>AJ86</f>
        <v/>
      </c>
      <c r="AL78" s="13">
        <f>AK86</f>
        <v/>
      </c>
      <c r="AM78" s="13">
        <f>AL86</f>
        <v/>
      </c>
      <c r="AN78" s="13">
        <f>AM86</f>
        <v/>
      </c>
      <c r="AO78" s="13">
        <f>AN86</f>
        <v/>
      </c>
      <c r="AP78" s="13">
        <f>AO86</f>
        <v/>
      </c>
      <c r="AQ78" s="13">
        <f>AP86</f>
        <v/>
      </c>
      <c r="AR78" s="13">
        <f>AQ86</f>
        <v/>
      </c>
      <c r="AS78" s="13">
        <f>AR86</f>
        <v/>
      </c>
      <c r="AT78" s="13">
        <f>AS86</f>
        <v/>
      </c>
      <c r="AU78" s="13">
        <f>AT86</f>
        <v/>
      </c>
      <c r="AV78" s="13">
        <f>AU86</f>
        <v/>
      </c>
      <c r="AW78" s="13">
        <f>AV86</f>
        <v/>
      </c>
      <c r="AX78" s="13">
        <f>AW86</f>
        <v/>
      </c>
      <c r="AY78" s="13">
        <f>AX86</f>
        <v/>
      </c>
      <c r="AZ78" s="13">
        <f>AY86</f>
        <v/>
      </c>
      <c r="BA78" s="13">
        <f>AZ86</f>
        <v/>
      </c>
      <c r="BB78" s="13">
        <f>BA86</f>
        <v/>
      </c>
      <c r="BC78" s="13">
        <f>BB86</f>
        <v/>
      </c>
      <c r="BD78" s="13">
        <f>BC86</f>
        <v/>
      </c>
      <c r="BE78" s="13">
        <f>BD86</f>
        <v/>
      </c>
      <c r="BF78" s="13">
        <f>BE86</f>
        <v/>
      </c>
      <c r="BG78" s="13">
        <f>BF86</f>
        <v/>
      </c>
      <c r="BH78" s="13">
        <f>BG86</f>
        <v/>
      </c>
      <c r="BI78" s="13">
        <f>BH86</f>
        <v/>
      </c>
      <c r="BJ78" s="13">
        <f>BI86</f>
        <v/>
      </c>
      <c r="BK78" s="13">
        <f>BJ86</f>
        <v/>
      </c>
      <c r="BL78" s="13">
        <f>BK86</f>
        <v/>
      </c>
      <c r="BM78" s="13">
        <f>BL86</f>
        <v/>
      </c>
      <c r="BN78" s="13">
        <f>BM86</f>
        <v/>
      </c>
    </row>
    <row r="79">
      <c r="D79" t="inlineStr">
        <is>
          <t>Interest (incl. WHT gross-up where applicable)</t>
        </is>
      </c>
      <c r="E79" t="inlineStr">
        <is>
          <t>USD m</t>
        </is>
      </c>
      <c r="G79" s="13">
        <f>SUM(J79:BN79)</f>
        <v/>
      </c>
      <c r="J79" s="13">
        <f>J77*J14</f>
        <v/>
      </c>
      <c r="K79" s="13">
        <f>K77*K14</f>
        <v/>
      </c>
      <c r="L79" s="13">
        <f>L77*L14</f>
        <v/>
      </c>
      <c r="M79" s="13">
        <f>M77*M14</f>
        <v/>
      </c>
      <c r="N79" s="13">
        <f>N77*N14</f>
        <v/>
      </c>
      <c r="O79" s="13">
        <f>O77*O14</f>
        <v/>
      </c>
      <c r="P79" s="13">
        <f>P77*P14</f>
        <v/>
      </c>
      <c r="Q79" s="13">
        <f>Q77*Q14</f>
        <v/>
      </c>
      <c r="R79" s="13">
        <f>R77*R14</f>
        <v/>
      </c>
      <c r="S79" s="13">
        <f>S77*S14</f>
        <v/>
      </c>
      <c r="T79" s="13">
        <f>T77*T14</f>
        <v/>
      </c>
      <c r="U79" s="13">
        <f>U77*U14</f>
        <v/>
      </c>
      <c r="V79" s="13">
        <f>V77*V14</f>
        <v/>
      </c>
      <c r="W79" s="13">
        <f>W77*W14</f>
        <v/>
      </c>
      <c r="X79" s="13">
        <f>X77*X14</f>
        <v/>
      </c>
      <c r="Y79" s="13">
        <f>Y77*Y14</f>
        <v/>
      </c>
      <c r="Z79" s="13">
        <f>Z77*Z14</f>
        <v/>
      </c>
      <c r="AA79" s="13">
        <f>AA77*AA14</f>
        <v/>
      </c>
      <c r="AB79" s="13">
        <f>AB77*AB14</f>
        <v/>
      </c>
      <c r="AC79" s="13">
        <f>AC77*AC14</f>
        <v/>
      </c>
      <c r="AD79" s="13">
        <f>AD77*AD14</f>
        <v/>
      </c>
      <c r="AE79" s="13">
        <f>AE77*AE14</f>
        <v/>
      </c>
      <c r="AF79" s="13">
        <f>AF77*AF14</f>
        <v/>
      </c>
      <c r="AG79" s="13">
        <f>AG77*AG14</f>
        <v/>
      </c>
      <c r="AH79" s="13">
        <f>AH77*AH14</f>
        <v/>
      </c>
      <c r="AI79" s="13">
        <f>AI77*AI14</f>
        <v/>
      </c>
      <c r="AJ79" s="13">
        <f>AJ77*AJ14</f>
        <v/>
      </c>
      <c r="AK79" s="13">
        <f>AK77*AK14</f>
        <v/>
      </c>
      <c r="AL79" s="13">
        <f>AL77*AL14</f>
        <v/>
      </c>
      <c r="AM79" s="13">
        <f>AM77*AM14</f>
        <v/>
      </c>
      <c r="AN79" s="13">
        <f>AN77*AN14</f>
        <v/>
      </c>
      <c r="AO79" s="13">
        <f>AO77*AO14</f>
        <v/>
      </c>
      <c r="AP79" s="13">
        <f>AP77*AP14</f>
        <v/>
      </c>
      <c r="AQ79" s="13">
        <f>AQ77*AQ14</f>
        <v/>
      </c>
      <c r="AR79" s="13">
        <f>AR77*AR14</f>
        <v/>
      </c>
      <c r="AS79" s="13">
        <f>AS77*AS14</f>
        <v/>
      </c>
      <c r="AT79" s="13">
        <f>AT77*AT14</f>
        <v/>
      </c>
      <c r="AU79" s="13">
        <f>AU77*AU14</f>
        <v/>
      </c>
      <c r="AV79" s="13">
        <f>AV77*AV14</f>
        <v/>
      </c>
      <c r="AW79" s="13">
        <f>AW77*AW14</f>
        <v/>
      </c>
      <c r="AX79" s="13">
        <f>AX77*AX14</f>
        <v/>
      </c>
      <c r="AY79" s="13">
        <f>AY77*AY14</f>
        <v/>
      </c>
      <c r="AZ79" s="13">
        <f>AZ77*AZ14</f>
        <v/>
      </c>
      <c r="BA79" s="13">
        <f>BA77*BA14</f>
        <v/>
      </c>
      <c r="BB79" s="13">
        <f>BB77*BB14</f>
        <v/>
      </c>
      <c r="BC79" s="13">
        <f>BC77*BC14</f>
        <v/>
      </c>
      <c r="BD79" s="13">
        <f>BD77*BD14</f>
        <v/>
      </c>
      <c r="BE79" s="13">
        <f>BE77*BE14</f>
        <v/>
      </c>
      <c r="BF79" s="13">
        <f>BF77*BF14</f>
        <v/>
      </c>
      <c r="BG79" s="13">
        <f>BG77*BG14</f>
        <v/>
      </c>
      <c r="BH79" s="13">
        <f>BH77*BH14</f>
        <v/>
      </c>
      <c r="BI79" s="13">
        <f>BI77*BI14</f>
        <v/>
      </c>
      <c r="BJ79" s="13">
        <f>BJ77*BJ14</f>
        <v/>
      </c>
      <c r="BK79" s="13">
        <f>BK77*BK14</f>
        <v/>
      </c>
      <c r="BL79" s="13">
        <f>BL77*BL14</f>
        <v/>
      </c>
      <c r="BM79" s="13">
        <f>BM77*BM14</f>
        <v/>
      </c>
      <c r="BN79" s="13">
        <f>BN77*BN14</f>
        <v/>
      </c>
    </row>
    <row r="80">
      <c r="D80" t="inlineStr">
        <is>
          <t>Scheduled principal per profile</t>
        </is>
      </c>
      <c r="E80" t="inlineStr">
        <is>
          <t>USD m</t>
        </is>
      </c>
      <c r="G80" s="13">
        <f>SUM(J80:BN80)</f>
        <v/>
      </c>
      <c r="J80" s="13">
        <f>Time!J35*(J77-J78)*J19</f>
        <v/>
      </c>
      <c r="K80" s="13">
        <f>Time!K35*(K77-K78)*K19</f>
        <v/>
      </c>
      <c r="L80" s="13">
        <f>Time!L35*(L77-L78)*L19</f>
        <v/>
      </c>
      <c r="M80" s="13">
        <f>Time!M35*(M77-M78)*M19</f>
        <v/>
      </c>
      <c r="N80" s="13">
        <f>Time!N35*(N77-N78)*N19</f>
        <v/>
      </c>
      <c r="O80" s="13">
        <f>Time!O35*(O77-O78)*O19</f>
        <v/>
      </c>
      <c r="P80" s="13">
        <f>Time!P35*(P77-P78)*P19</f>
        <v/>
      </c>
      <c r="Q80" s="13">
        <f>Time!Q35*(Q77-Q78)*Q19</f>
        <v/>
      </c>
      <c r="R80" s="13">
        <f>Time!R35*(R77-R78)*R19</f>
        <v/>
      </c>
      <c r="S80" s="13">
        <f>Time!S35*(S77-S78)*S19</f>
        <v/>
      </c>
      <c r="T80" s="13">
        <f>Time!T35*(T77-T78)*T19</f>
        <v/>
      </c>
      <c r="U80" s="13">
        <f>Time!U35*(U77-U78)*U19</f>
        <v/>
      </c>
      <c r="V80" s="13">
        <f>Time!V35*(V77-V78)*V19</f>
        <v/>
      </c>
      <c r="W80" s="13">
        <f>Time!W35*(W77-W78)*W19</f>
        <v/>
      </c>
      <c r="X80" s="13">
        <f>Time!X35*(X77-X78)*X19</f>
        <v/>
      </c>
      <c r="Y80" s="13">
        <f>Time!Y35*(Y77-Y78)*Y19</f>
        <v/>
      </c>
      <c r="Z80" s="13">
        <f>Time!Z35*(Z77-Z78)*Z19</f>
        <v/>
      </c>
      <c r="AA80" s="13">
        <f>Time!AA35*(AA77-AA78)*AA19</f>
        <v/>
      </c>
      <c r="AB80" s="13">
        <f>Time!AB35*(AB77-AB78)*AB19</f>
        <v/>
      </c>
      <c r="AC80" s="13">
        <f>Time!AC35*(AC77-AC78)*AC19</f>
        <v/>
      </c>
      <c r="AD80" s="13">
        <f>Time!AD35*(AD77-AD78)*AD19</f>
        <v/>
      </c>
      <c r="AE80" s="13">
        <f>Time!AE35*(AE77-AE78)*AE19</f>
        <v/>
      </c>
      <c r="AF80" s="13">
        <f>Time!AF35*(AF77-AF78)*AF19</f>
        <v/>
      </c>
      <c r="AG80" s="13">
        <f>Time!AG35*(AG77-AG78)*AG19</f>
        <v/>
      </c>
      <c r="AH80" s="13">
        <f>Time!AH35*(AH77-AH78)*AH19</f>
        <v/>
      </c>
      <c r="AI80" s="13">
        <f>Time!AI35*(AI77-AI78)*AI19</f>
        <v/>
      </c>
      <c r="AJ80" s="13">
        <f>Time!AJ35*(AJ77-AJ78)*AJ19</f>
        <v/>
      </c>
      <c r="AK80" s="13">
        <f>Time!AK35*(AK77-AK78)*AK19</f>
        <v/>
      </c>
      <c r="AL80" s="13">
        <f>Time!AL35*(AL77-AL78)*AL19</f>
        <v/>
      </c>
      <c r="AM80" s="13">
        <f>Time!AM35*(AM77-AM78)*AM19</f>
        <v/>
      </c>
      <c r="AN80" s="13">
        <f>Time!AN35*(AN77-AN78)*AN19</f>
        <v/>
      </c>
      <c r="AO80" s="13">
        <f>Time!AO35*(AO77-AO78)*AO19</f>
        <v/>
      </c>
      <c r="AP80" s="13">
        <f>Time!AP35*(AP77-AP78)*AP19</f>
        <v/>
      </c>
      <c r="AQ80" s="13">
        <f>Time!AQ35*(AQ77-AQ78)*AQ19</f>
        <v/>
      </c>
      <c r="AR80" s="13">
        <f>Time!AR35*(AR77-AR78)*AR19</f>
        <v/>
      </c>
      <c r="AS80" s="13">
        <f>Time!AS35*(AS77-AS78)*AS19</f>
        <v/>
      </c>
      <c r="AT80" s="13">
        <f>Time!AT35*(AT77-AT78)*AT19</f>
        <v/>
      </c>
      <c r="AU80" s="13">
        <f>Time!AU35*(AU77-AU78)*AU19</f>
        <v/>
      </c>
      <c r="AV80" s="13">
        <f>Time!AV35*(AV77-AV78)*AV19</f>
        <v/>
      </c>
      <c r="AW80" s="13">
        <f>Time!AW35*(AW77-AW78)*AW19</f>
        <v/>
      </c>
      <c r="AX80" s="13">
        <f>Time!AX35*(AX77-AX78)*AX19</f>
        <v/>
      </c>
      <c r="AY80" s="13">
        <f>Time!AY35*(AY77-AY78)*AY19</f>
        <v/>
      </c>
      <c r="AZ80" s="13">
        <f>Time!AZ35*(AZ77-AZ78)*AZ19</f>
        <v/>
      </c>
      <c r="BA80" s="13">
        <f>Time!BA35*(BA77-BA78)*BA19</f>
        <v/>
      </c>
      <c r="BB80" s="13">
        <f>Time!BB35*(BB77-BB78)*BB19</f>
        <v/>
      </c>
      <c r="BC80" s="13">
        <f>Time!BC35*(BC77-BC78)*BC19</f>
        <v/>
      </c>
      <c r="BD80" s="13">
        <f>Time!BD35*(BD77-BD78)*BD19</f>
        <v/>
      </c>
      <c r="BE80" s="13">
        <f>Time!BE35*(BE77-BE78)*BE19</f>
        <v/>
      </c>
      <c r="BF80" s="13">
        <f>Time!BF35*(BF77-BF78)*BF19</f>
        <v/>
      </c>
      <c r="BG80" s="13">
        <f>Time!BG35*(BG77-BG78)*BG19</f>
        <v/>
      </c>
      <c r="BH80" s="13">
        <f>Time!BH35*(BH77-BH78)*BH19</f>
        <v/>
      </c>
      <c r="BI80" s="13">
        <f>Time!BI35*(BI77-BI78)*BI19</f>
        <v/>
      </c>
      <c r="BJ80" s="13">
        <f>Time!BJ35*(BJ77-BJ78)*BJ19</f>
        <v/>
      </c>
      <c r="BK80" s="13">
        <f>Time!BK35*(BK77-BK78)*BK19</f>
        <v/>
      </c>
      <c r="BL80" s="13">
        <f>Time!BL35*(BL77-BL78)*BL19</f>
        <v/>
      </c>
      <c r="BM80" s="13">
        <f>Time!BM35*(BM77-BM78)*BM19</f>
        <v/>
      </c>
      <c r="BN80" s="13">
        <f>Time!BN35*(BN77-BN78)*BN19</f>
        <v/>
      </c>
    </row>
    <row r="81">
      <c r="D81" t="inlineStr">
        <is>
          <t>Principal deferred under the waiver</t>
        </is>
      </c>
      <c r="E81" t="inlineStr">
        <is>
          <t>USD m</t>
        </is>
      </c>
      <c r="G81" s="13">
        <f>SUM(J81:BN81)</f>
        <v/>
      </c>
      <c r="J81" s="13">
        <f>Time!J43*Inputs!$F$270*J80</f>
        <v/>
      </c>
      <c r="K81" s="13">
        <f>Time!K43*Inputs!$F$270*K80</f>
        <v/>
      </c>
      <c r="L81" s="13">
        <f>Time!L43*Inputs!$F$270*L80</f>
        <v/>
      </c>
      <c r="M81" s="13">
        <f>Time!M43*Inputs!$F$270*M80</f>
        <v/>
      </c>
      <c r="N81" s="13">
        <f>Time!N43*Inputs!$F$270*N80</f>
        <v/>
      </c>
      <c r="O81" s="13">
        <f>Time!O43*Inputs!$F$270*O80</f>
        <v/>
      </c>
      <c r="P81" s="13">
        <f>Time!P43*Inputs!$F$270*P80</f>
        <v/>
      </c>
      <c r="Q81" s="13">
        <f>Time!Q43*Inputs!$F$270*Q80</f>
        <v/>
      </c>
      <c r="R81" s="13">
        <f>Time!R43*Inputs!$F$270*R80</f>
        <v/>
      </c>
      <c r="S81" s="13">
        <f>Time!S43*Inputs!$F$270*S80</f>
        <v/>
      </c>
      <c r="T81" s="13">
        <f>Time!T43*Inputs!$F$270*T80</f>
        <v/>
      </c>
      <c r="U81" s="13">
        <f>Time!U43*Inputs!$F$270*U80</f>
        <v/>
      </c>
      <c r="V81" s="13">
        <f>Time!V43*Inputs!$F$270*V80</f>
        <v/>
      </c>
      <c r="W81" s="13">
        <f>Time!W43*Inputs!$F$270*W80</f>
        <v/>
      </c>
      <c r="X81" s="13">
        <f>Time!X43*Inputs!$F$270*X80</f>
        <v/>
      </c>
      <c r="Y81" s="13">
        <f>Time!Y43*Inputs!$F$270*Y80</f>
        <v/>
      </c>
      <c r="Z81" s="13">
        <f>Time!Z43*Inputs!$F$270*Z80</f>
        <v/>
      </c>
      <c r="AA81" s="13">
        <f>Time!AA43*Inputs!$F$270*AA80</f>
        <v/>
      </c>
      <c r="AB81" s="13">
        <f>Time!AB43*Inputs!$F$270*AB80</f>
        <v/>
      </c>
      <c r="AC81" s="13">
        <f>Time!AC43*Inputs!$F$270*AC80</f>
        <v/>
      </c>
      <c r="AD81" s="13">
        <f>Time!AD43*Inputs!$F$270*AD80</f>
        <v/>
      </c>
      <c r="AE81" s="13">
        <f>Time!AE43*Inputs!$F$270*AE80</f>
        <v/>
      </c>
      <c r="AF81" s="13">
        <f>Time!AF43*Inputs!$F$270*AF80</f>
        <v/>
      </c>
      <c r="AG81" s="13">
        <f>Time!AG43*Inputs!$F$270*AG80</f>
        <v/>
      </c>
      <c r="AH81" s="13">
        <f>Time!AH43*Inputs!$F$270*AH80</f>
        <v/>
      </c>
      <c r="AI81" s="13">
        <f>Time!AI43*Inputs!$F$270*AI80</f>
        <v/>
      </c>
      <c r="AJ81" s="13">
        <f>Time!AJ43*Inputs!$F$270*AJ80</f>
        <v/>
      </c>
      <c r="AK81" s="13">
        <f>Time!AK43*Inputs!$F$270*AK80</f>
        <v/>
      </c>
      <c r="AL81" s="13">
        <f>Time!AL43*Inputs!$F$270*AL80</f>
        <v/>
      </c>
      <c r="AM81" s="13">
        <f>Time!AM43*Inputs!$F$270*AM80</f>
        <v/>
      </c>
      <c r="AN81" s="13">
        <f>Time!AN43*Inputs!$F$270*AN80</f>
        <v/>
      </c>
      <c r="AO81" s="13">
        <f>Time!AO43*Inputs!$F$270*AO80</f>
        <v/>
      </c>
      <c r="AP81" s="13">
        <f>Time!AP43*Inputs!$F$270*AP80</f>
        <v/>
      </c>
      <c r="AQ81" s="13">
        <f>Time!AQ43*Inputs!$F$270*AQ80</f>
        <v/>
      </c>
      <c r="AR81" s="13">
        <f>Time!AR43*Inputs!$F$270*AR80</f>
        <v/>
      </c>
      <c r="AS81" s="13">
        <f>Time!AS43*Inputs!$F$270*AS80</f>
        <v/>
      </c>
      <c r="AT81" s="13">
        <f>Time!AT43*Inputs!$F$270*AT80</f>
        <v/>
      </c>
      <c r="AU81" s="13">
        <f>Time!AU43*Inputs!$F$270*AU80</f>
        <v/>
      </c>
      <c r="AV81" s="13">
        <f>Time!AV43*Inputs!$F$270*AV80</f>
        <v/>
      </c>
      <c r="AW81" s="13">
        <f>Time!AW43*Inputs!$F$270*AW80</f>
        <v/>
      </c>
      <c r="AX81" s="13">
        <f>Time!AX43*Inputs!$F$270*AX80</f>
        <v/>
      </c>
      <c r="AY81" s="13">
        <f>Time!AY43*Inputs!$F$270*AY80</f>
        <v/>
      </c>
      <c r="AZ81" s="13">
        <f>Time!AZ43*Inputs!$F$270*AZ80</f>
        <v/>
      </c>
      <c r="BA81" s="13">
        <f>Time!BA43*Inputs!$F$270*BA80</f>
        <v/>
      </c>
      <c r="BB81" s="13">
        <f>Time!BB43*Inputs!$F$270*BB80</f>
        <v/>
      </c>
      <c r="BC81" s="13">
        <f>Time!BC43*Inputs!$F$270*BC80</f>
        <v/>
      </c>
      <c r="BD81" s="13">
        <f>Time!BD43*Inputs!$F$270*BD80</f>
        <v/>
      </c>
      <c r="BE81" s="13">
        <f>Time!BE43*Inputs!$F$270*BE80</f>
        <v/>
      </c>
      <c r="BF81" s="13">
        <f>Time!BF43*Inputs!$F$270*BF80</f>
        <v/>
      </c>
      <c r="BG81" s="13">
        <f>Time!BG43*Inputs!$F$270*BG80</f>
        <v/>
      </c>
      <c r="BH81" s="13">
        <f>Time!BH43*Inputs!$F$270*BH80</f>
        <v/>
      </c>
      <c r="BI81" s="13">
        <f>Time!BI43*Inputs!$F$270*BI80</f>
        <v/>
      </c>
      <c r="BJ81" s="13">
        <f>Time!BJ43*Inputs!$F$270*BJ80</f>
        <v/>
      </c>
      <c r="BK81" s="13">
        <f>Time!BK43*Inputs!$F$270*BK80</f>
        <v/>
      </c>
      <c r="BL81" s="13">
        <f>Time!BL43*Inputs!$F$270*BL80</f>
        <v/>
      </c>
      <c r="BM81" s="13">
        <f>Time!BM43*Inputs!$F$270*BM80</f>
        <v/>
      </c>
      <c r="BN81" s="13">
        <f>Time!BN43*Inputs!$F$270*BN80</f>
        <v/>
      </c>
    </row>
    <row r="82">
      <c r="D82" t="inlineStr">
        <is>
          <t>Deferred principal repaid (equal parts over the remaining repayment dates)</t>
        </is>
      </c>
      <c r="E82" t="inlineStr">
        <is>
          <t>USD m</t>
        </is>
      </c>
      <c r="G82" s="13">
        <f>SUM(J82:BN82)</f>
        <v/>
      </c>
      <c r="J82" s="13">
        <f>IF(Time!J46&gt;0,Time!J45*J78/Time!J46,0)</f>
        <v/>
      </c>
      <c r="K82" s="13">
        <f>IF(Time!K46&gt;0,Time!K45*K78/Time!K46,0)</f>
        <v/>
      </c>
      <c r="L82" s="13">
        <f>IF(Time!L46&gt;0,Time!L45*L78/Time!L46,0)</f>
        <v/>
      </c>
      <c r="M82" s="13">
        <f>IF(Time!M46&gt;0,Time!M45*M78/Time!M46,0)</f>
        <v/>
      </c>
      <c r="N82" s="13">
        <f>IF(Time!N46&gt;0,Time!N45*N78/Time!N46,0)</f>
        <v/>
      </c>
      <c r="O82" s="13">
        <f>IF(Time!O46&gt;0,Time!O45*O78/Time!O46,0)</f>
        <v/>
      </c>
      <c r="P82" s="13">
        <f>IF(Time!P46&gt;0,Time!P45*P78/Time!P46,0)</f>
        <v/>
      </c>
      <c r="Q82" s="13">
        <f>IF(Time!Q46&gt;0,Time!Q45*Q78/Time!Q46,0)</f>
        <v/>
      </c>
      <c r="R82" s="13">
        <f>IF(Time!R46&gt;0,Time!R45*R78/Time!R46,0)</f>
        <v/>
      </c>
      <c r="S82" s="13">
        <f>IF(Time!S46&gt;0,Time!S45*S78/Time!S46,0)</f>
        <v/>
      </c>
      <c r="T82" s="13">
        <f>IF(Time!T46&gt;0,Time!T45*T78/Time!T46,0)</f>
        <v/>
      </c>
      <c r="U82" s="13">
        <f>IF(Time!U46&gt;0,Time!U45*U78/Time!U46,0)</f>
        <v/>
      </c>
      <c r="V82" s="13">
        <f>IF(Time!V46&gt;0,Time!V45*V78/Time!V46,0)</f>
        <v/>
      </c>
      <c r="W82" s="13">
        <f>IF(Time!W46&gt;0,Time!W45*W78/Time!W46,0)</f>
        <v/>
      </c>
      <c r="X82" s="13">
        <f>IF(Time!X46&gt;0,Time!X45*X78/Time!X46,0)</f>
        <v/>
      </c>
      <c r="Y82" s="13">
        <f>IF(Time!Y46&gt;0,Time!Y45*Y78/Time!Y46,0)</f>
        <v/>
      </c>
      <c r="Z82" s="13">
        <f>IF(Time!Z46&gt;0,Time!Z45*Z78/Time!Z46,0)</f>
        <v/>
      </c>
      <c r="AA82" s="13">
        <f>IF(Time!AA46&gt;0,Time!AA45*AA78/Time!AA46,0)</f>
        <v/>
      </c>
      <c r="AB82" s="13">
        <f>IF(Time!AB46&gt;0,Time!AB45*AB78/Time!AB46,0)</f>
        <v/>
      </c>
      <c r="AC82" s="13">
        <f>IF(Time!AC46&gt;0,Time!AC45*AC78/Time!AC46,0)</f>
        <v/>
      </c>
      <c r="AD82" s="13">
        <f>IF(Time!AD46&gt;0,Time!AD45*AD78/Time!AD46,0)</f>
        <v/>
      </c>
      <c r="AE82" s="13">
        <f>IF(Time!AE46&gt;0,Time!AE45*AE78/Time!AE46,0)</f>
        <v/>
      </c>
      <c r="AF82" s="13">
        <f>IF(Time!AF46&gt;0,Time!AF45*AF78/Time!AF46,0)</f>
        <v/>
      </c>
      <c r="AG82" s="13">
        <f>IF(Time!AG46&gt;0,Time!AG45*AG78/Time!AG46,0)</f>
        <v/>
      </c>
      <c r="AH82" s="13">
        <f>IF(Time!AH46&gt;0,Time!AH45*AH78/Time!AH46,0)</f>
        <v/>
      </c>
      <c r="AI82" s="13">
        <f>IF(Time!AI46&gt;0,Time!AI45*AI78/Time!AI46,0)</f>
        <v/>
      </c>
      <c r="AJ82" s="13">
        <f>IF(Time!AJ46&gt;0,Time!AJ45*AJ78/Time!AJ46,0)</f>
        <v/>
      </c>
      <c r="AK82" s="13">
        <f>IF(Time!AK46&gt;0,Time!AK45*AK78/Time!AK46,0)</f>
        <v/>
      </c>
      <c r="AL82" s="13">
        <f>IF(Time!AL46&gt;0,Time!AL45*AL78/Time!AL46,0)</f>
        <v/>
      </c>
      <c r="AM82" s="13">
        <f>IF(Time!AM46&gt;0,Time!AM45*AM78/Time!AM46,0)</f>
        <v/>
      </c>
      <c r="AN82" s="13">
        <f>IF(Time!AN46&gt;0,Time!AN45*AN78/Time!AN46,0)</f>
        <v/>
      </c>
      <c r="AO82" s="13">
        <f>IF(Time!AO46&gt;0,Time!AO45*AO78/Time!AO46,0)</f>
        <v/>
      </c>
      <c r="AP82" s="13">
        <f>IF(Time!AP46&gt;0,Time!AP45*AP78/Time!AP46,0)</f>
        <v/>
      </c>
      <c r="AQ82" s="13">
        <f>IF(Time!AQ46&gt;0,Time!AQ45*AQ78/Time!AQ46,0)</f>
        <v/>
      </c>
      <c r="AR82" s="13">
        <f>IF(Time!AR46&gt;0,Time!AR45*AR78/Time!AR46,0)</f>
        <v/>
      </c>
      <c r="AS82" s="13">
        <f>IF(Time!AS46&gt;0,Time!AS45*AS78/Time!AS46,0)</f>
        <v/>
      </c>
      <c r="AT82" s="13">
        <f>IF(Time!AT46&gt;0,Time!AT45*AT78/Time!AT46,0)</f>
        <v/>
      </c>
      <c r="AU82" s="13">
        <f>IF(Time!AU46&gt;0,Time!AU45*AU78/Time!AU46,0)</f>
        <v/>
      </c>
      <c r="AV82" s="13">
        <f>IF(Time!AV46&gt;0,Time!AV45*AV78/Time!AV46,0)</f>
        <v/>
      </c>
      <c r="AW82" s="13">
        <f>IF(Time!AW46&gt;0,Time!AW45*AW78/Time!AW46,0)</f>
        <v/>
      </c>
      <c r="AX82" s="13">
        <f>IF(Time!AX46&gt;0,Time!AX45*AX78/Time!AX46,0)</f>
        <v/>
      </c>
      <c r="AY82" s="13">
        <f>IF(Time!AY46&gt;0,Time!AY45*AY78/Time!AY46,0)</f>
        <v/>
      </c>
      <c r="AZ82" s="13">
        <f>IF(Time!AZ46&gt;0,Time!AZ45*AZ78/Time!AZ46,0)</f>
        <v/>
      </c>
      <c r="BA82" s="13">
        <f>IF(Time!BA46&gt;0,Time!BA45*BA78/Time!BA46,0)</f>
        <v/>
      </c>
      <c r="BB82" s="13">
        <f>IF(Time!BB46&gt;0,Time!BB45*BB78/Time!BB46,0)</f>
        <v/>
      </c>
      <c r="BC82" s="13">
        <f>IF(Time!BC46&gt;0,Time!BC45*BC78/Time!BC46,0)</f>
        <v/>
      </c>
      <c r="BD82" s="13">
        <f>IF(Time!BD46&gt;0,Time!BD45*BD78/Time!BD46,0)</f>
        <v/>
      </c>
      <c r="BE82" s="13">
        <f>IF(Time!BE46&gt;0,Time!BE45*BE78/Time!BE46,0)</f>
        <v/>
      </c>
      <c r="BF82" s="13">
        <f>IF(Time!BF46&gt;0,Time!BF45*BF78/Time!BF46,0)</f>
        <v/>
      </c>
      <c r="BG82" s="13">
        <f>IF(Time!BG46&gt;0,Time!BG45*BG78/Time!BG46,0)</f>
        <v/>
      </c>
      <c r="BH82" s="13">
        <f>IF(Time!BH46&gt;0,Time!BH45*BH78/Time!BH46,0)</f>
        <v/>
      </c>
      <c r="BI82" s="13">
        <f>IF(Time!BI46&gt;0,Time!BI45*BI78/Time!BI46,0)</f>
        <v/>
      </c>
      <c r="BJ82" s="13">
        <f>IF(Time!BJ46&gt;0,Time!BJ45*BJ78/Time!BJ46,0)</f>
        <v/>
      </c>
      <c r="BK82" s="13">
        <f>IF(Time!BK46&gt;0,Time!BK45*BK78/Time!BK46,0)</f>
        <v/>
      </c>
      <c r="BL82" s="13">
        <f>IF(Time!BL46&gt;0,Time!BL45*BL78/Time!BL46,0)</f>
        <v/>
      </c>
      <c r="BM82" s="13">
        <f>IF(Time!BM46&gt;0,Time!BM45*BM78/Time!BM46,0)</f>
        <v/>
      </c>
      <c r="BN82" s="13">
        <f>IF(Time!BN46&gt;0,Time!BN45*BN78/Time!BN46,0)</f>
        <v/>
      </c>
    </row>
    <row r="83">
      <c r="D83" t="inlineStr">
        <is>
          <t>Principal paid</t>
        </is>
      </c>
      <c r="E83" t="inlineStr">
        <is>
          <t>USD m</t>
        </is>
      </c>
      <c r="G83" s="13">
        <f>SUM(J83:BN83)</f>
        <v/>
      </c>
      <c r="J83" s="13">
        <f>J80-J81+J82</f>
        <v/>
      </c>
      <c r="K83" s="13">
        <f>K80-K81+K82</f>
        <v/>
      </c>
      <c r="L83" s="13">
        <f>L80-L81+L82</f>
        <v/>
      </c>
      <c r="M83" s="13">
        <f>M80-M81+M82</f>
        <v/>
      </c>
      <c r="N83" s="13">
        <f>N80-N81+N82</f>
        <v/>
      </c>
      <c r="O83" s="13">
        <f>O80-O81+O82</f>
        <v/>
      </c>
      <c r="P83" s="13">
        <f>P80-P81+P82</f>
        <v/>
      </c>
      <c r="Q83" s="13">
        <f>Q80-Q81+Q82</f>
        <v/>
      </c>
      <c r="R83" s="13">
        <f>R80-R81+R82</f>
        <v/>
      </c>
      <c r="S83" s="13">
        <f>S80-S81+S82</f>
        <v/>
      </c>
      <c r="T83" s="13">
        <f>T80-T81+T82</f>
        <v/>
      </c>
      <c r="U83" s="13">
        <f>U80-U81+U82</f>
        <v/>
      </c>
      <c r="V83" s="13">
        <f>V80-V81+V82</f>
        <v/>
      </c>
      <c r="W83" s="13">
        <f>W80-W81+W82</f>
        <v/>
      </c>
      <c r="X83" s="13">
        <f>X80-X81+X82</f>
        <v/>
      </c>
      <c r="Y83" s="13">
        <f>Y80-Y81+Y82</f>
        <v/>
      </c>
      <c r="Z83" s="13">
        <f>Z80-Z81+Z82</f>
        <v/>
      </c>
      <c r="AA83" s="13">
        <f>AA80-AA81+AA82</f>
        <v/>
      </c>
      <c r="AB83" s="13">
        <f>AB80-AB81+AB82</f>
        <v/>
      </c>
      <c r="AC83" s="13">
        <f>AC80-AC81+AC82</f>
        <v/>
      </c>
      <c r="AD83" s="13">
        <f>AD80-AD81+AD82</f>
        <v/>
      </c>
      <c r="AE83" s="13">
        <f>AE80-AE81+AE82</f>
        <v/>
      </c>
      <c r="AF83" s="13">
        <f>AF80-AF81+AF82</f>
        <v/>
      </c>
      <c r="AG83" s="13">
        <f>AG80-AG81+AG82</f>
        <v/>
      </c>
      <c r="AH83" s="13">
        <f>AH80-AH81+AH82</f>
        <v/>
      </c>
      <c r="AI83" s="13">
        <f>AI80-AI81+AI82</f>
        <v/>
      </c>
      <c r="AJ83" s="13">
        <f>AJ80-AJ81+AJ82</f>
        <v/>
      </c>
      <c r="AK83" s="13">
        <f>AK80-AK81+AK82</f>
        <v/>
      </c>
      <c r="AL83" s="13">
        <f>AL80-AL81+AL82</f>
        <v/>
      </c>
      <c r="AM83" s="13">
        <f>AM80-AM81+AM82</f>
        <v/>
      </c>
      <c r="AN83" s="13">
        <f>AN80-AN81+AN82</f>
        <v/>
      </c>
      <c r="AO83" s="13">
        <f>AO80-AO81+AO82</f>
        <v/>
      </c>
      <c r="AP83" s="13">
        <f>AP80-AP81+AP82</f>
        <v/>
      </c>
      <c r="AQ83" s="13">
        <f>AQ80-AQ81+AQ82</f>
        <v/>
      </c>
      <c r="AR83" s="13">
        <f>AR80-AR81+AR82</f>
        <v/>
      </c>
      <c r="AS83" s="13">
        <f>AS80-AS81+AS82</f>
        <v/>
      </c>
      <c r="AT83" s="13">
        <f>AT80-AT81+AT82</f>
        <v/>
      </c>
      <c r="AU83" s="13">
        <f>AU80-AU81+AU82</f>
        <v/>
      </c>
      <c r="AV83" s="13">
        <f>AV80-AV81+AV82</f>
        <v/>
      </c>
      <c r="AW83" s="13">
        <f>AW80-AW81+AW82</f>
        <v/>
      </c>
      <c r="AX83" s="13">
        <f>AX80-AX81+AX82</f>
        <v/>
      </c>
      <c r="AY83" s="13">
        <f>AY80-AY81+AY82</f>
        <v/>
      </c>
      <c r="AZ83" s="13">
        <f>AZ80-AZ81+AZ82</f>
        <v/>
      </c>
      <c r="BA83" s="13">
        <f>BA80-BA81+BA82</f>
        <v/>
      </c>
      <c r="BB83" s="13">
        <f>BB80-BB81+BB82</f>
        <v/>
      </c>
      <c r="BC83" s="13">
        <f>BC80-BC81+BC82</f>
        <v/>
      </c>
      <c r="BD83" s="13">
        <f>BD80-BD81+BD82</f>
        <v/>
      </c>
      <c r="BE83" s="13">
        <f>BE80-BE81+BE82</f>
        <v/>
      </c>
      <c r="BF83" s="13">
        <f>BF80-BF81+BF82</f>
        <v/>
      </c>
      <c r="BG83" s="13">
        <f>BG80-BG81+BG82</f>
        <v/>
      </c>
      <c r="BH83" s="13">
        <f>BH80-BH81+BH82</f>
        <v/>
      </c>
      <c r="BI83" s="13">
        <f>BI80-BI81+BI82</f>
        <v/>
      </c>
      <c r="BJ83" s="13">
        <f>BJ80-BJ81+BJ82</f>
        <v/>
      </c>
      <c r="BK83" s="13">
        <f>BK80-BK81+BK82</f>
        <v/>
      </c>
      <c r="BL83" s="13">
        <f>BL80-BL81+BL82</f>
        <v/>
      </c>
      <c r="BM83" s="13">
        <f>BM80-BM81+BM82</f>
        <v/>
      </c>
      <c r="BN83" s="13">
        <f>BN80-BN81+BN82</f>
        <v/>
      </c>
    </row>
    <row r="84">
      <c r="D84" t="inlineStr">
        <is>
          <t>Performance LD prepayment</t>
        </is>
      </c>
      <c r="E84" t="inlineStr">
        <is>
          <t>USD m</t>
        </is>
      </c>
      <c r="G84" s="13">
        <f>SUM(J84:BN84)</f>
        <v/>
      </c>
      <c r="J84" s="13">
        <f>Time!J42*Inputs!$F$267*(J77-J83)/(J21-J27+J35-J41+J49-J55+J63-J69+J77-J83+Inputs!$F$253)</f>
        <v/>
      </c>
      <c r="K84" s="13">
        <f>Time!K42*Inputs!$F$267*(K77-K83)/(K21-K27+K35-K41+K49-K55+K63-K69+K77-K83+Inputs!$F$253)</f>
        <v/>
      </c>
      <c r="L84" s="13">
        <f>Time!L42*Inputs!$F$267*(L77-L83)/(L21-L27+L35-L41+L49-L55+L63-L69+L77-L83+Inputs!$F$253)</f>
        <v/>
      </c>
      <c r="M84" s="13">
        <f>Time!M42*Inputs!$F$267*(M77-M83)/(M21-M27+M35-M41+M49-M55+M63-M69+M77-M83+Inputs!$F$253)</f>
        <v/>
      </c>
      <c r="N84" s="13">
        <f>Time!N42*Inputs!$F$267*(N77-N83)/(N21-N27+N35-N41+N49-N55+N63-N69+N77-N83+Inputs!$F$253)</f>
        <v/>
      </c>
      <c r="O84" s="13">
        <f>Time!O42*Inputs!$F$267*(O77-O83)/(O21-O27+O35-O41+O49-O55+O63-O69+O77-O83+Inputs!$F$253)</f>
        <v/>
      </c>
      <c r="P84" s="13">
        <f>Time!P42*Inputs!$F$267*(P77-P83)/(P21-P27+P35-P41+P49-P55+P63-P69+P77-P83+Inputs!$F$253)</f>
        <v/>
      </c>
      <c r="Q84" s="13">
        <f>Time!Q42*Inputs!$F$267*(Q77-Q83)/(Q21-Q27+Q35-Q41+Q49-Q55+Q63-Q69+Q77-Q83+Inputs!$F$253)</f>
        <v/>
      </c>
      <c r="R84" s="13">
        <f>Time!R42*Inputs!$F$267*(R77-R83)/(R21-R27+R35-R41+R49-R55+R63-R69+R77-R83+Inputs!$F$253)</f>
        <v/>
      </c>
      <c r="S84" s="13">
        <f>Time!S42*Inputs!$F$267*(S77-S83)/(S21-S27+S35-S41+S49-S55+S63-S69+S77-S83+Inputs!$F$253)</f>
        <v/>
      </c>
      <c r="T84" s="13">
        <f>Time!T42*Inputs!$F$267*(T77-T83)/(T21-T27+T35-T41+T49-T55+T63-T69+T77-T83+Inputs!$F$253)</f>
        <v/>
      </c>
      <c r="U84" s="13">
        <f>Time!U42*Inputs!$F$267*(U77-U83)/(U21-U27+U35-U41+U49-U55+U63-U69+U77-U83+Inputs!$F$253)</f>
        <v/>
      </c>
      <c r="V84" s="13">
        <f>Time!V42*Inputs!$F$267*(V77-V83)/(V21-V27+V35-V41+V49-V55+V63-V69+V77-V83+Inputs!$F$253)</f>
        <v/>
      </c>
      <c r="W84" s="13">
        <f>Time!W42*Inputs!$F$267*(W77-W83)/(W21-W27+W35-W41+W49-W55+W63-W69+W77-W83+Inputs!$F$253)</f>
        <v/>
      </c>
      <c r="X84" s="13">
        <f>Time!X42*Inputs!$F$267*(X77-X83)/(X21-X27+X35-X41+X49-X55+X63-X69+X77-X83+Inputs!$F$253)</f>
        <v/>
      </c>
      <c r="Y84" s="13">
        <f>Time!Y42*Inputs!$F$267*(Y77-Y83)/(Y21-Y27+Y35-Y41+Y49-Y55+Y63-Y69+Y77-Y83+Inputs!$F$253)</f>
        <v/>
      </c>
      <c r="Z84" s="13">
        <f>Time!Z42*Inputs!$F$267*(Z77-Z83)/(Z21-Z27+Z35-Z41+Z49-Z55+Z63-Z69+Z77-Z83+Inputs!$F$253)</f>
        <v/>
      </c>
      <c r="AA84" s="13">
        <f>Time!AA42*Inputs!$F$267*(AA77-AA83)/(AA21-AA27+AA35-AA41+AA49-AA55+AA63-AA69+AA77-AA83+Inputs!$F$253)</f>
        <v/>
      </c>
      <c r="AB84" s="13">
        <f>Time!AB42*Inputs!$F$267*(AB77-AB83)/(AB21-AB27+AB35-AB41+AB49-AB55+AB63-AB69+AB77-AB83+Inputs!$F$253)</f>
        <v/>
      </c>
      <c r="AC84" s="13">
        <f>Time!AC42*Inputs!$F$267*(AC77-AC83)/(AC21-AC27+AC35-AC41+AC49-AC55+AC63-AC69+AC77-AC83+Inputs!$F$253)</f>
        <v/>
      </c>
      <c r="AD84" s="13">
        <f>Time!AD42*Inputs!$F$267*(AD77-AD83)/(AD21-AD27+AD35-AD41+AD49-AD55+AD63-AD69+AD77-AD83+Inputs!$F$253)</f>
        <v/>
      </c>
      <c r="AE84" s="13">
        <f>Time!AE42*Inputs!$F$267*(AE77-AE83)/(AE21-AE27+AE35-AE41+AE49-AE55+AE63-AE69+AE77-AE83+Inputs!$F$253)</f>
        <v/>
      </c>
      <c r="AF84" s="13">
        <f>Time!AF42*Inputs!$F$267*(AF77-AF83)/(AF21-AF27+AF35-AF41+AF49-AF55+AF63-AF69+AF77-AF83+Inputs!$F$253)</f>
        <v/>
      </c>
      <c r="AG84" s="13">
        <f>Time!AG42*Inputs!$F$267*(AG77-AG83)/(AG21-AG27+AG35-AG41+AG49-AG55+AG63-AG69+AG77-AG83+Inputs!$F$253)</f>
        <v/>
      </c>
      <c r="AH84" s="13">
        <f>Time!AH42*Inputs!$F$267*(AH77-AH83)/(AH21-AH27+AH35-AH41+AH49-AH55+AH63-AH69+AH77-AH83+Inputs!$F$253)</f>
        <v/>
      </c>
      <c r="AI84" s="13">
        <f>Time!AI42*Inputs!$F$267*(AI77-AI83)/(AI21-AI27+AI35-AI41+AI49-AI55+AI63-AI69+AI77-AI83+Inputs!$F$253)</f>
        <v/>
      </c>
      <c r="AJ84" s="13">
        <f>Time!AJ42*Inputs!$F$267*(AJ77-AJ83)/(AJ21-AJ27+AJ35-AJ41+AJ49-AJ55+AJ63-AJ69+AJ77-AJ83+Inputs!$F$253)</f>
        <v/>
      </c>
      <c r="AK84" s="13">
        <f>Time!AK42*Inputs!$F$267*(AK77-AK83)/(AK21-AK27+AK35-AK41+AK49-AK55+AK63-AK69+AK77-AK83+Inputs!$F$253)</f>
        <v/>
      </c>
      <c r="AL84" s="13">
        <f>Time!AL42*Inputs!$F$267*(AL77-AL83)/(AL21-AL27+AL35-AL41+AL49-AL55+AL63-AL69+AL77-AL83+Inputs!$F$253)</f>
        <v/>
      </c>
      <c r="AM84" s="13">
        <f>Time!AM42*Inputs!$F$267*(AM77-AM83)/(AM21-AM27+AM35-AM41+AM49-AM55+AM63-AM69+AM77-AM83+Inputs!$F$253)</f>
        <v/>
      </c>
      <c r="AN84" s="13">
        <f>Time!AN42*Inputs!$F$267*(AN77-AN83)/(AN21-AN27+AN35-AN41+AN49-AN55+AN63-AN69+AN77-AN83+Inputs!$F$253)</f>
        <v/>
      </c>
      <c r="AO84" s="13">
        <f>Time!AO42*Inputs!$F$267*(AO77-AO83)/(AO21-AO27+AO35-AO41+AO49-AO55+AO63-AO69+AO77-AO83+Inputs!$F$253)</f>
        <v/>
      </c>
      <c r="AP84" s="13">
        <f>Time!AP42*Inputs!$F$267*(AP77-AP83)/(AP21-AP27+AP35-AP41+AP49-AP55+AP63-AP69+AP77-AP83+Inputs!$F$253)</f>
        <v/>
      </c>
      <c r="AQ84" s="13">
        <f>Time!AQ42*Inputs!$F$267*(AQ77-AQ83)/(AQ21-AQ27+AQ35-AQ41+AQ49-AQ55+AQ63-AQ69+AQ77-AQ83+Inputs!$F$253)</f>
        <v/>
      </c>
      <c r="AR84" s="13">
        <f>Time!AR42*Inputs!$F$267*(AR77-AR83)/(AR21-AR27+AR35-AR41+AR49-AR55+AR63-AR69+AR77-AR83+Inputs!$F$253)</f>
        <v/>
      </c>
      <c r="AS84" s="13">
        <f>Time!AS42*Inputs!$F$267*(AS77-AS83)/(AS21-AS27+AS35-AS41+AS49-AS55+AS63-AS69+AS77-AS83+Inputs!$F$253)</f>
        <v/>
      </c>
      <c r="AT84" s="13">
        <f>Time!AT42*Inputs!$F$267*(AT77-AT83)/(AT21-AT27+AT35-AT41+AT49-AT55+AT63-AT69+AT77-AT83+Inputs!$F$253)</f>
        <v/>
      </c>
      <c r="AU84" s="13">
        <f>Time!AU42*Inputs!$F$267*(AU77-AU83)/(AU21-AU27+AU35-AU41+AU49-AU55+AU63-AU69+AU77-AU83+Inputs!$F$253)</f>
        <v/>
      </c>
      <c r="AV84" s="13">
        <f>Time!AV42*Inputs!$F$267*(AV77-AV83)/(AV21-AV27+AV35-AV41+AV49-AV55+AV63-AV69+AV77-AV83+Inputs!$F$253)</f>
        <v/>
      </c>
      <c r="AW84" s="13">
        <f>Time!AW42*Inputs!$F$267*(AW77-AW83)/(AW21-AW27+AW35-AW41+AW49-AW55+AW63-AW69+AW77-AW83+Inputs!$F$253)</f>
        <v/>
      </c>
      <c r="AX84" s="13">
        <f>Time!AX42*Inputs!$F$267*(AX77-AX83)/(AX21-AX27+AX35-AX41+AX49-AX55+AX63-AX69+AX77-AX83+Inputs!$F$253)</f>
        <v/>
      </c>
      <c r="AY84" s="13">
        <f>Time!AY42*Inputs!$F$267*(AY77-AY83)/(AY21-AY27+AY35-AY41+AY49-AY55+AY63-AY69+AY77-AY83+Inputs!$F$253)</f>
        <v/>
      </c>
      <c r="AZ84" s="13">
        <f>Time!AZ42*Inputs!$F$267*(AZ77-AZ83)/(AZ21-AZ27+AZ35-AZ41+AZ49-AZ55+AZ63-AZ69+AZ77-AZ83+Inputs!$F$253)</f>
        <v/>
      </c>
      <c r="BA84" s="13">
        <f>Time!BA42*Inputs!$F$267*(BA77-BA83)/(BA21-BA27+BA35-BA41+BA49-BA55+BA63-BA69+BA77-BA83+Inputs!$F$253)</f>
        <v/>
      </c>
      <c r="BB84" s="13">
        <f>Time!BB42*Inputs!$F$267*(BB77-BB83)/(BB21-BB27+BB35-BB41+BB49-BB55+BB63-BB69+BB77-BB83+Inputs!$F$253)</f>
        <v/>
      </c>
      <c r="BC84" s="13">
        <f>Time!BC42*Inputs!$F$267*(BC77-BC83)/(BC21-BC27+BC35-BC41+BC49-BC55+BC63-BC69+BC77-BC83+Inputs!$F$253)</f>
        <v/>
      </c>
      <c r="BD84" s="13">
        <f>Time!BD42*Inputs!$F$267*(BD77-BD83)/(BD21-BD27+BD35-BD41+BD49-BD55+BD63-BD69+BD77-BD83+Inputs!$F$253)</f>
        <v/>
      </c>
      <c r="BE84" s="13">
        <f>Time!BE42*Inputs!$F$267*(BE77-BE83)/(BE21-BE27+BE35-BE41+BE49-BE55+BE63-BE69+BE77-BE83+Inputs!$F$253)</f>
        <v/>
      </c>
      <c r="BF84" s="13">
        <f>Time!BF42*Inputs!$F$267*(BF77-BF83)/(BF21-BF27+BF35-BF41+BF49-BF55+BF63-BF69+BF77-BF83+Inputs!$F$253)</f>
        <v/>
      </c>
      <c r="BG84" s="13">
        <f>Time!BG42*Inputs!$F$267*(BG77-BG83)/(BG21-BG27+BG35-BG41+BG49-BG55+BG63-BG69+BG77-BG83+Inputs!$F$253)</f>
        <v/>
      </c>
      <c r="BH84" s="13">
        <f>Time!BH42*Inputs!$F$267*(BH77-BH83)/(BH21-BH27+BH35-BH41+BH49-BH55+BH63-BH69+BH77-BH83+Inputs!$F$253)</f>
        <v/>
      </c>
      <c r="BI84" s="13">
        <f>Time!BI42*Inputs!$F$267*(BI77-BI83)/(BI21-BI27+BI35-BI41+BI49-BI55+BI63-BI69+BI77-BI83+Inputs!$F$253)</f>
        <v/>
      </c>
      <c r="BJ84" s="13">
        <f>Time!BJ42*Inputs!$F$267*(BJ77-BJ83)/(BJ21-BJ27+BJ35-BJ41+BJ49-BJ55+BJ63-BJ69+BJ77-BJ83+Inputs!$F$253)</f>
        <v/>
      </c>
      <c r="BK84" s="13">
        <f>Time!BK42*Inputs!$F$267*(BK77-BK83)/(BK21-BK27+BK35-BK41+BK49-BK55+BK63-BK69+BK77-BK83+Inputs!$F$253)</f>
        <v/>
      </c>
      <c r="BL84" s="13">
        <f>Time!BL42*Inputs!$F$267*(BL77-BL83)/(BL21-BL27+BL35-BL41+BL49-BL55+BL63-BL69+BL77-BL83+Inputs!$F$253)</f>
        <v/>
      </c>
      <c r="BM84" s="13">
        <f>Time!BM42*Inputs!$F$267*(BM77-BM83)/(BM21-BM27+BM35-BM41+BM49-BM55+BM63-BM69+BM77-BM83+Inputs!$F$253)</f>
        <v/>
      </c>
      <c r="BN84" s="13">
        <f>Time!BN42*Inputs!$F$267*(BN77-BN83)/(BN21-BN27+BN35-BN41+BN49-BN55+BN63-BN69+BN77-BN83+Inputs!$F$253)</f>
        <v/>
      </c>
    </row>
    <row r="85">
      <c r="D85" t="inlineStr">
        <is>
          <t>Refinanced (prepaid from bond proceeds)</t>
        </is>
      </c>
      <c r="E85" t="inlineStr">
        <is>
          <t>USD m</t>
        </is>
      </c>
      <c r="G85" s="13">
        <f>SUM(J85:BN85)</f>
        <v/>
      </c>
      <c r="J85" s="13">
        <f>Time!J47*(J77-J83-J84)</f>
        <v/>
      </c>
      <c r="K85" s="13">
        <f>Time!K47*(K77-K83-K84)</f>
        <v/>
      </c>
      <c r="L85" s="13">
        <f>Time!L47*(L77-L83-L84)</f>
        <v/>
      </c>
      <c r="M85" s="13">
        <f>Time!M47*(M77-M83-M84)</f>
        <v/>
      </c>
      <c r="N85" s="13">
        <f>Time!N47*(N77-N83-N84)</f>
        <v/>
      </c>
      <c r="O85" s="13">
        <f>Time!O47*(O77-O83-O84)</f>
        <v/>
      </c>
      <c r="P85" s="13">
        <f>Time!P47*(P77-P83-P84)</f>
        <v/>
      </c>
      <c r="Q85" s="13">
        <f>Time!Q47*(Q77-Q83-Q84)</f>
        <v/>
      </c>
      <c r="R85" s="13">
        <f>Time!R47*(R77-R83-R84)</f>
        <v/>
      </c>
      <c r="S85" s="13">
        <f>Time!S47*(S77-S83-S84)</f>
        <v/>
      </c>
      <c r="T85" s="13">
        <f>Time!T47*(T77-T83-T84)</f>
        <v/>
      </c>
      <c r="U85" s="13">
        <f>Time!U47*(U77-U83-U84)</f>
        <v/>
      </c>
      <c r="V85" s="13">
        <f>Time!V47*(V77-V83-V84)</f>
        <v/>
      </c>
      <c r="W85" s="13">
        <f>Time!W47*(W77-W83-W84)</f>
        <v/>
      </c>
      <c r="X85" s="13">
        <f>Time!X47*(X77-X83-X84)</f>
        <v/>
      </c>
      <c r="Y85" s="13">
        <f>Time!Y47*(Y77-Y83-Y84)</f>
        <v/>
      </c>
      <c r="Z85" s="13">
        <f>Time!Z47*(Z77-Z83-Z84)</f>
        <v/>
      </c>
      <c r="AA85" s="13">
        <f>Time!AA47*(AA77-AA83-AA84)</f>
        <v/>
      </c>
      <c r="AB85" s="13">
        <f>Time!AB47*(AB77-AB83-AB84)</f>
        <v/>
      </c>
      <c r="AC85" s="13">
        <f>Time!AC47*(AC77-AC83-AC84)</f>
        <v/>
      </c>
      <c r="AD85" s="13">
        <f>Time!AD47*(AD77-AD83-AD84)</f>
        <v/>
      </c>
      <c r="AE85" s="13">
        <f>Time!AE47*(AE77-AE83-AE84)</f>
        <v/>
      </c>
      <c r="AF85" s="13">
        <f>Time!AF47*(AF77-AF83-AF84)</f>
        <v/>
      </c>
      <c r="AG85" s="13">
        <f>Time!AG47*(AG77-AG83-AG84)</f>
        <v/>
      </c>
      <c r="AH85" s="13">
        <f>Time!AH47*(AH77-AH83-AH84)</f>
        <v/>
      </c>
      <c r="AI85" s="13">
        <f>Time!AI47*(AI77-AI83-AI84)</f>
        <v/>
      </c>
      <c r="AJ85" s="13">
        <f>Time!AJ47*(AJ77-AJ83-AJ84)</f>
        <v/>
      </c>
      <c r="AK85" s="13">
        <f>Time!AK47*(AK77-AK83-AK84)</f>
        <v/>
      </c>
      <c r="AL85" s="13">
        <f>Time!AL47*(AL77-AL83-AL84)</f>
        <v/>
      </c>
      <c r="AM85" s="13">
        <f>Time!AM47*(AM77-AM83-AM84)</f>
        <v/>
      </c>
      <c r="AN85" s="13">
        <f>Time!AN47*(AN77-AN83-AN84)</f>
        <v/>
      </c>
      <c r="AO85" s="13">
        <f>Time!AO47*(AO77-AO83-AO84)</f>
        <v/>
      </c>
      <c r="AP85" s="13">
        <f>Time!AP47*(AP77-AP83-AP84)</f>
        <v/>
      </c>
      <c r="AQ85" s="13">
        <f>Time!AQ47*(AQ77-AQ83-AQ84)</f>
        <v/>
      </c>
      <c r="AR85" s="13">
        <f>Time!AR47*(AR77-AR83-AR84)</f>
        <v/>
      </c>
      <c r="AS85" s="13">
        <f>Time!AS47*(AS77-AS83-AS84)</f>
        <v/>
      </c>
      <c r="AT85" s="13">
        <f>Time!AT47*(AT77-AT83-AT84)</f>
        <v/>
      </c>
      <c r="AU85" s="13">
        <f>Time!AU47*(AU77-AU83-AU84)</f>
        <v/>
      </c>
      <c r="AV85" s="13">
        <f>Time!AV47*(AV77-AV83-AV84)</f>
        <v/>
      </c>
      <c r="AW85" s="13">
        <f>Time!AW47*(AW77-AW83-AW84)</f>
        <v/>
      </c>
      <c r="AX85" s="13">
        <f>Time!AX47*(AX77-AX83-AX84)</f>
        <v/>
      </c>
      <c r="AY85" s="13">
        <f>Time!AY47*(AY77-AY83-AY84)</f>
        <v/>
      </c>
      <c r="AZ85" s="13">
        <f>Time!AZ47*(AZ77-AZ83-AZ84)</f>
        <v/>
      </c>
      <c r="BA85" s="13">
        <f>Time!BA47*(BA77-BA83-BA84)</f>
        <v/>
      </c>
      <c r="BB85" s="13">
        <f>Time!BB47*(BB77-BB83-BB84)</f>
        <v/>
      </c>
      <c r="BC85" s="13">
        <f>Time!BC47*(BC77-BC83-BC84)</f>
        <v/>
      </c>
      <c r="BD85" s="13">
        <f>Time!BD47*(BD77-BD83-BD84)</f>
        <v/>
      </c>
      <c r="BE85" s="13">
        <f>Time!BE47*(BE77-BE83-BE84)</f>
        <v/>
      </c>
      <c r="BF85" s="13">
        <f>Time!BF47*(BF77-BF83-BF84)</f>
        <v/>
      </c>
      <c r="BG85" s="13">
        <f>Time!BG47*(BG77-BG83-BG84)</f>
        <v/>
      </c>
      <c r="BH85" s="13">
        <f>Time!BH47*(BH77-BH83-BH84)</f>
        <v/>
      </c>
      <c r="BI85" s="13">
        <f>Time!BI47*(BI77-BI83-BI84)</f>
        <v/>
      </c>
      <c r="BJ85" s="13">
        <f>Time!BJ47*(BJ77-BJ83-BJ84)</f>
        <v/>
      </c>
      <c r="BK85" s="13">
        <f>Time!BK47*(BK77-BK83-BK84)</f>
        <v/>
      </c>
      <c r="BL85" s="13">
        <f>Time!BL47*(BL77-BL83-BL84)</f>
        <v/>
      </c>
      <c r="BM85" s="13">
        <f>Time!BM47*(BM77-BM83-BM84)</f>
        <v/>
      </c>
      <c r="BN85" s="13">
        <f>Time!BN47*(BN77-BN83-BN84)</f>
        <v/>
      </c>
    </row>
    <row r="86">
      <c r="D86" t="inlineStr">
        <is>
          <t>Deferred principal, closing</t>
        </is>
      </c>
      <c r="E86" t="inlineStr">
        <is>
          <t>USD m</t>
        </is>
      </c>
      <c r="J86" s="13">
        <f>(1-Time!J47)*(J78+J81-J82)</f>
        <v/>
      </c>
      <c r="K86" s="13">
        <f>(1-Time!K47)*(K78+K81-K82)</f>
        <v/>
      </c>
      <c r="L86" s="13">
        <f>(1-Time!L47)*(L78+L81-L82)</f>
        <v/>
      </c>
      <c r="M86" s="13">
        <f>(1-Time!M47)*(M78+M81-M82)</f>
        <v/>
      </c>
      <c r="N86" s="13">
        <f>(1-Time!N47)*(N78+N81-N82)</f>
        <v/>
      </c>
      <c r="O86" s="13">
        <f>(1-Time!O47)*(O78+O81-O82)</f>
        <v/>
      </c>
      <c r="P86" s="13">
        <f>(1-Time!P47)*(P78+P81-P82)</f>
        <v/>
      </c>
      <c r="Q86" s="13">
        <f>(1-Time!Q47)*(Q78+Q81-Q82)</f>
        <v/>
      </c>
      <c r="R86" s="13">
        <f>(1-Time!R47)*(R78+R81-R82)</f>
        <v/>
      </c>
      <c r="S86" s="13">
        <f>(1-Time!S47)*(S78+S81-S82)</f>
        <v/>
      </c>
      <c r="T86" s="13">
        <f>(1-Time!T47)*(T78+T81-T82)</f>
        <v/>
      </c>
      <c r="U86" s="13">
        <f>(1-Time!U47)*(U78+U81-U82)</f>
        <v/>
      </c>
      <c r="V86" s="13">
        <f>(1-Time!V47)*(V78+V81-V82)</f>
        <v/>
      </c>
      <c r="W86" s="13">
        <f>(1-Time!W47)*(W78+W81-W82)</f>
        <v/>
      </c>
      <c r="X86" s="13">
        <f>(1-Time!X47)*(X78+X81-X82)</f>
        <v/>
      </c>
      <c r="Y86" s="13">
        <f>(1-Time!Y47)*(Y78+Y81-Y82)</f>
        <v/>
      </c>
      <c r="Z86" s="13">
        <f>(1-Time!Z47)*(Z78+Z81-Z82)</f>
        <v/>
      </c>
      <c r="AA86" s="13">
        <f>(1-Time!AA47)*(AA78+AA81-AA82)</f>
        <v/>
      </c>
      <c r="AB86" s="13">
        <f>(1-Time!AB47)*(AB78+AB81-AB82)</f>
        <v/>
      </c>
      <c r="AC86" s="13">
        <f>(1-Time!AC47)*(AC78+AC81-AC82)</f>
        <v/>
      </c>
      <c r="AD86" s="13">
        <f>(1-Time!AD47)*(AD78+AD81-AD82)</f>
        <v/>
      </c>
      <c r="AE86" s="13">
        <f>(1-Time!AE47)*(AE78+AE81-AE82)</f>
        <v/>
      </c>
      <c r="AF86" s="13">
        <f>(1-Time!AF47)*(AF78+AF81-AF82)</f>
        <v/>
      </c>
      <c r="AG86" s="13">
        <f>(1-Time!AG47)*(AG78+AG81-AG82)</f>
        <v/>
      </c>
      <c r="AH86" s="13">
        <f>(1-Time!AH47)*(AH78+AH81-AH82)</f>
        <v/>
      </c>
      <c r="AI86" s="13">
        <f>(1-Time!AI47)*(AI78+AI81-AI82)</f>
        <v/>
      </c>
      <c r="AJ86" s="13">
        <f>(1-Time!AJ47)*(AJ78+AJ81-AJ82)</f>
        <v/>
      </c>
      <c r="AK86" s="13">
        <f>(1-Time!AK47)*(AK78+AK81-AK82)</f>
        <v/>
      </c>
      <c r="AL86" s="13">
        <f>(1-Time!AL47)*(AL78+AL81-AL82)</f>
        <v/>
      </c>
      <c r="AM86" s="13">
        <f>(1-Time!AM47)*(AM78+AM81-AM82)</f>
        <v/>
      </c>
      <c r="AN86" s="13">
        <f>(1-Time!AN47)*(AN78+AN81-AN82)</f>
        <v/>
      </c>
      <c r="AO86" s="13">
        <f>(1-Time!AO47)*(AO78+AO81-AO82)</f>
        <v/>
      </c>
      <c r="AP86" s="13">
        <f>(1-Time!AP47)*(AP78+AP81-AP82)</f>
        <v/>
      </c>
      <c r="AQ86" s="13">
        <f>(1-Time!AQ47)*(AQ78+AQ81-AQ82)</f>
        <v/>
      </c>
      <c r="AR86" s="13">
        <f>(1-Time!AR47)*(AR78+AR81-AR82)</f>
        <v/>
      </c>
      <c r="AS86" s="13">
        <f>(1-Time!AS47)*(AS78+AS81-AS82)</f>
        <v/>
      </c>
      <c r="AT86" s="13">
        <f>(1-Time!AT47)*(AT78+AT81-AT82)</f>
        <v/>
      </c>
      <c r="AU86" s="13">
        <f>(1-Time!AU47)*(AU78+AU81-AU82)</f>
        <v/>
      </c>
      <c r="AV86" s="13">
        <f>(1-Time!AV47)*(AV78+AV81-AV82)</f>
        <v/>
      </c>
      <c r="AW86" s="13">
        <f>(1-Time!AW47)*(AW78+AW81-AW82)</f>
        <v/>
      </c>
      <c r="AX86" s="13">
        <f>(1-Time!AX47)*(AX78+AX81-AX82)</f>
        <v/>
      </c>
      <c r="AY86" s="13">
        <f>(1-Time!AY47)*(AY78+AY81-AY82)</f>
        <v/>
      </c>
      <c r="AZ86" s="13">
        <f>(1-Time!AZ47)*(AZ78+AZ81-AZ82)</f>
        <v/>
      </c>
      <c r="BA86" s="13">
        <f>(1-Time!BA47)*(BA78+BA81-BA82)</f>
        <v/>
      </c>
      <c r="BB86" s="13">
        <f>(1-Time!BB47)*(BB78+BB81-BB82)</f>
        <v/>
      </c>
      <c r="BC86" s="13">
        <f>(1-Time!BC47)*(BC78+BC81-BC82)</f>
        <v/>
      </c>
      <c r="BD86" s="13">
        <f>(1-Time!BD47)*(BD78+BD81-BD82)</f>
        <v/>
      </c>
      <c r="BE86" s="13">
        <f>(1-Time!BE47)*(BE78+BE81-BE82)</f>
        <v/>
      </c>
      <c r="BF86" s="13">
        <f>(1-Time!BF47)*(BF78+BF81-BF82)</f>
        <v/>
      </c>
      <c r="BG86" s="13">
        <f>(1-Time!BG47)*(BG78+BG81-BG82)</f>
        <v/>
      </c>
      <c r="BH86" s="13">
        <f>(1-Time!BH47)*(BH78+BH81-BH82)</f>
        <v/>
      </c>
      <c r="BI86" s="13">
        <f>(1-Time!BI47)*(BI78+BI81-BI82)</f>
        <v/>
      </c>
      <c r="BJ86" s="13">
        <f>(1-Time!BJ47)*(BJ78+BJ81-BJ82)</f>
        <v/>
      </c>
      <c r="BK86" s="13">
        <f>(1-Time!BK47)*(BK78+BK81-BK82)</f>
        <v/>
      </c>
      <c r="BL86" s="13">
        <f>(1-Time!BL47)*(BL78+BL81-BL82)</f>
        <v/>
      </c>
      <c r="BM86" s="13">
        <f>(1-Time!BM47)*(BM78+BM81-BM82)</f>
        <v/>
      </c>
      <c r="BN86" s="13">
        <f>(1-Time!BN47)*(BN78+BN81-BN82)</f>
        <v/>
      </c>
    </row>
    <row r="87">
      <c r="D87" t="inlineStr">
        <is>
          <t>Balance after scheduled payment, LDs and refinancing</t>
        </is>
      </c>
      <c r="E87" t="inlineStr">
        <is>
          <t>USD m</t>
        </is>
      </c>
      <c r="J87" s="13">
        <f>J77-J83-J84-J85</f>
        <v/>
      </c>
      <c r="K87" s="13">
        <f>K77-K83-K84-K85</f>
        <v/>
      </c>
      <c r="L87" s="13">
        <f>L77-L83-L84-L85</f>
        <v/>
      </c>
      <c r="M87" s="13">
        <f>M77-M83-M84-M85</f>
        <v/>
      </c>
      <c r="N87" s="13">
        <f>N77-N83-N84-N85</f>
        <v/>
      </c>
      <c r="O87" s="13">
        <f>O77-O83-O84-O85</f>
        <v/>
      </c>
      <c r="P87" s="13">
        <f>P77-P83-P84-P85</f>
        <v/>
      </c>
      <c r="Q87" s="13">
        <f>Q77-Q83-Q84-Q85</f>
        <v/>
      </c>
      <c r="R87" s="13">
        <f>R77-R83-R84-R85</f>
        <v/>
      </c>
      <c r="S87" s="13">
        <f>S77-S83-S84-S85</f>
        <v/>
      </c>
      <c r="T87" s="13">
        <f>T77-T83-T84-T85</f>
        <v/>
      </c>
      <c r="U87" s="13">
        <f>U77-U83-U84-U85</f>
        <v/>
      </c>
      <c r="V87" s="13">
        <f>V77-V83-V84-V85</f>
        <v/>
      </c>
      <c r="W87" s="13">
        <f>W77-W83-W84-W85</f>
        <v/>
      </c>
      <c r="X87" s="13">
        <f>X77-X83-X84-X85</f>
        <v/>
      </c>
      <c r="Y87" s="13">
        <f>Y77-Y83-Y84-Y85</f>
        <v/>
      </c>
      <c r="Z87" s="13">
        <f>Z77-Z83-Z84-Z85</f>
        <v/>
      </c>
      <c r="AA87" s="13">
        <f>AA77-AA83-AA84-AA85</f>
        <v/>
      </c>
      <c r="AB87" s="13">
        <f>AB77-AB83-AB84-AB85</f>
        <v/>
      </c>
      <c r="AC87" s="13">
        <f>AC77-AC83-AC84-AC85</f>
        <v/>
      </c>
      <c r="AD87" s="13">
        <f>AD77-AD83-AD84-AD85</f>
        <v/>
      </c>
      <c r="AE87" s="13">
        <f>AE77-AE83-AE84-AE85</f>
        <v/>
      </c>
      <c r="AF87" s="13">
        <f>AF77-AF83-AF84-AF85</f>
        <v/>
      </c>
      <c r="AG87" s="13">
        <f>AG77-AG83-AG84-AG85</f>
        <v/>
      </c>
      <c r="AH87" s="13">
        <f>AH77-AH83-AH84-AH85</f>
        <v/>
      </c>
      <c r="AI87" s="13">
        <f>AI77-AI83-AI84-AI85</f>
        <v/>
      </c>
      <c r="AJ87" s="13">
        <f>AJ77-AJ83-AJ84-AJ85</f>
        <v/>
      </c>
      <c r="AK87" s="13">
        <f>AK77-AK83-AK84-AK85</f>
        <v/>
      </c>
      <c r="AL87" s="13">
        <f>AL77-AL83-AL84-AL85</f>
        <v/>
      </c>
      <c r="AM87" s="13">
        <f>AM77-AM83-AM84-AM85</f>
        <v/>
      </c>
      <c r="AN87" s="13">
        <f>AN77-AN83-AN84-AN85</f>
        <v/>
      </c>
      <c r="AO87" s="13">
        <f>AO77-AO83-AO84-AO85</f>
        <v/>
      </c>
      <c r="AP87" s="13">
        <f>AP77-AP83-AP84-AP85</f>
        <v/>
      </c>
      <c r="AQ87" s="13">
        <f>AQ77-AQ83-AQ84-AQ85</f>
        <v/>
      </c>
      <c r="AR87" s="13">
        <f>AR77-AR83-AR84-AR85</f>
        <v/>
      </c>
      <c r="AS87" s="13">
        <f>AS77-AS83-AS84-AS85</f>
        <v/>
      </c>
      <c r="AT87" s="13">
        <f>AT77-AT83-AT84-AT85</f>
        <v/>
      </c>
      <c r="AU87" s="13">
        <f>AU77-AU83-AU84-AU85</f>
        <v/>
      </c>
      <c r="AV87" s="13">
        <f>AV77-AV83-AV84-AV85</f>
        <v/>
      </c>
      <c r="AW87" s="13">
        <f>AW77-AW83-AW84-AW85</f>
        <v/>
      </c>
      <c r="AX87" s="13">
        <f>AX77-AX83-AX84-AX85</f>
        <v/>
      </c>
      <c r="AY87" s="13">
        <f>AY77-AY83-AY84-AY85</f>
        <v/>
      </c>
      <c r="AZ87" s="13">
        <f>AZ77-AZ83-AZ84-AZ85</f>
        <v/>
      </c>
      <c r="BA87" s="13">
        <f>BA77-BA83-BA84-BA85</f>
        <v/>
      </c>
      <c r="BB87" s="13">
        <f>BB77-BB83-BB84-BB85</f>
        <v/>
      </c>
      <c r="BC87" s="13">
        <f>BC77-BC83-BC84-BC85</f>
        <v/>
      </c>
      <c r="BD87" s="13">
        <f>BD77-BD83-BD84-BD85</f>
        <v/>
      </c>
      <c r="BE87" s="13">
        <f>BE77-BE83-BE84-BE85</f>
        <v/>
      </c>
      <c r="BF87" s="13">
        <f>BF77-BF83-BF84-BF85</f>
        <v/>
      </c>
      <c r="BG87" s="13">
        <f>BG77-BG83-BG84-BG85</f>
        <v/>
      </c>
      <c r="BH87" s="13">
        <f>BH77-BH83-BH84-BH85</f>
        <v/>
      </c>
      <c r="BI87" s="13">
        <f>BI77-BI83-BI84-BI85</f>
        <v/>
      </c>
      <c r="BJ87" s="13">
        <f>BJ77-BJ83-BJ84-BJ85</f>
        <v/>
      </c>
      <c r="BK87" s="13">
        <f>BK77-BK83-BK84-BK85</f>
        <v/>
      </c>
      <c r="BL87" s="13">
        <f>BL77-BL83-BL84-BL85</f>
        <v/>
      </c>
      <c r="BM87" s="13">
        <f>BM77-BM83-BM84-BM85</f>
        <v/>
      </c>
      <c r="BN87" s="13">
        <f>BN77-BN83-BN84-BN85</f>
        <v/>
      </c>
    </row>
    <row r="88">
      <c r="D88" t="inlineStr">
        <is>
          <t>Cash sweep prepayment</t>
        </is>
      </c>
      <c r="E88" t="inlineStr">
        <is>
          <t>USD m</t>
        </is>
      </c>
      <c r="G88" s="13">
        <f>SUM(J88:BN88)</f>
        <v/>
      </c>
      <c r="J88" s="13">
        <f>Waterfall!J28*J87/(J31+J45+J59+J73+J87+Inputs!$F$253)</f>
        <v/>
      </c>
      <c r="K88" s="13">
        <f>Waterfall!K28*K87/(K31+K45+K59+K73+K87+Inputs!$F$253)</f>
        <v/>
      </c>
      <c r="L88" s="13">
        <f>Waterfall!L28*L87/(L31+L45+L59+L73+L87+Inputs!$F$253)</f>
        <v/>
      </c>
      <c r="M88" s="13">
        <f>Waterfall!M28*M87/(M31+M45+M59+M73+M87+Inputs!$F$253)</f>
        <v/>
      </c>
      <c r="N88" s="13">
        <f>Waterfall!N28*N87/(N31+N45+N59+N73+N87+Inputs!$F$253)</f>
        <v/>
      </c>
      <c r="O88" s="13">
        <f>Waterfall!O28*O87/(O31+O45+O59+O73+O87+Inputs!$F$253)</f>
        <v/>
      </c>
      <c r="P88" s="13">
        <f>Waterfall!P28*P87/(P31+P45+P59+P73+P87+Inputs!$F$253)</f>
        <v/>
      </c>
      <c r="Q88" s="13">
        <f>Waterfall!Q28*Q87/(Q31+Q45+Q59+Q73+Q87+Inputs!$F$253)</f>
        <v/>
      </c>
      <c r="R88" s="13">
        <f>Waterfall!R28*R87/(R31+R45+R59+R73+R87+Inputs!$F$253)</f>
        <v/>
      </c>
      <c r="S88" s="13">
        <f>Waterfall!S28*S87/(S31+S45+S59+S73+S87+Inputs!$F$253)</f>
        <v/>
      </c>
      <c r="T88" s="13">
        <f>Waterfall!T28*T87/(T31+T45+T59+T73+T87+Inputs!$F$253)</f>
        <v/>
      </c>
      <c r="U88" s="13">
        <f>Waterfall!U28*U87/(U31+U45+U59+U73+U87+Inputs!$F$253)</f>
        <v/>
      </c>
      <c r="V88" s="13">
        <f>Waterfall!V28*V87/(V31+V45+V59+V73+V87+Inputs!$F$253)</f>
        <v/>
      </c>
      <c r="W88" s="13">
        <f>Waterfall!W28*W87/(W31+W45+W59+W73+W87+Inputs!$F$253)</f>
        <v/>
      </c>
      <c r="X88" s="13">
        <f>Waterfall!X28*X87/(X31+X45+X59+X73+X87+Inputs!$F$253)</f>
        <v/>
      </c>
      <c r="Y88" s="13">
        <f>Waterfall!Y28*Y87/(Y31+Y45+Y59+Y73+Y87+Inputs!$F$253)</f>
        <v/>
      </c>
      <c r="Z88" s="13">
        <f>Waterfall!Z28*Z87/(Z31+Z45+Z59+Z73+Z87+Inputs!$F$253)</f>
        <v/>
      </c>
      <c r="AA88" s="13">
        <f>Waterfall!AA28*AA87/(AA31+AA45+AA59+AA73+AA87+Inputs!$F$253)</f>
        <v/>
      </c>
      <c r="AB88" s="13">
        <f>Waterfall!AB28*AB87/(AB31+AB45+AB59+AB73+AB87+Inputs!$F$253)</f>
        <v/>
      </c>
      <c r="AC88" s="13">
        <f>Waterfall!AC28*AC87/(AC31+AC45+AC59+AC73+AC87+Inputs!$F$253)</f>
        <v/>
      </c>
      <c r="AD88" s="13">
        <f>Waterfall!AD28*AD87/(AD31+AD45+AD59+AD73+AD87+Inputs!$F$253)</f>
        <v/>
      </c>
      <c r="AE88" s="13">
        <f>Waterfall!AE28*AE87/(AE31+AE45+AE59+AE73+AE87+Inputs!$F$253)</f>
        <v/>
      </c>
      <c r="AF88" s="13">
        <f>Waterfall!AF28*AF87/(AF31+AF45+AF59+AF73+AF87+Inputs!$F$253)</f>
        <v/>
      </c>
      <c r="AG88" s="13">
        <f>Waterfall!AG28*AG87/(AG31+AG45+AG59+AG73+AG87+Inputs!$F$253)</f>
        <v/>
      </c>
      <c r="AH88" s="13">
        <f>Waterfall!AH28*AH87/(AH31+AH45+AH59+AH73+AH87+Inputs!$F$253)</f>
        <v/>
      </c>
      <c r="AI88" s="13">
        <f>Waterfall!AI28*AI87/(AI31+AI45+AI59+AI73+AI87+Inputs!$F$253)</f>
        <v/>
      </c>
      <c r="AJ88" s="13">
        <f>Waterfall!AJ28*AJ87/(AJ31+AJ45+AJ59+AJ73+AJ87+Inputs!$F$253)</f>
        <v/>
      </c>
      <c r="AK88" s="13">
        <f>Waterfall!AK28*AK87/(AK31+AK45+AK59+AK73+AK87+Inputs!$F$253)</f>
        <v/>
      </c>
      <c r="AL88" s="13">
        <f>Waterfall!AL28*AL87/(AL31+AL45+AL59+AL73+AL87+Inputs!$F$253)</f>
        <v/>
      </c>
      <c r="AM88" s="13">
        <f>Waterfall!AM28*AM87/(AM31+AM45+AM59+AM73+AM87+Inputs!$F$253)</f>
        <v/>
      </c>
      <c r="AN88" s="13">
        <f>Waterfall!AN28*AN87/(AN31+AN45+AN59+AN73+AN87+Inputs!$F$253)</f>
        <v/>
      </c>
      <c r="AO88" s="13">
        <f>Waterfall!AO28*AO87/(AO31+AO45+AO59+AO73+AO87+Inputs!$F$253)</f>
        <v/>
      </c>
      <c r="AP88" s="13">
        <f>Waterfall!AP28*AP87/(AP31+AP45+AP59+AP73+AP87+Inputs!$F$253)</f>
        <v/>
      </c>
      <c r="AQ88" s="13">
        <f>Waterfall!AQ28*AQ87/(AQ31+AQ45+AQ59+AQ73+AQ87+Inputs!$F$253)</f>
        <v/>
      </c>
      <c r="AR88" s="13">
        <f>Waterfall!AR28*AR87/(AR31+AR45+AR59+AR73+AR87+Inputs!$F$253)</f>
        <v/>
      </c>
      <c r="AS88" s="13">
        <f>Waterfall!AS28*AS87/(AS31+AS45+AS59+AS73+AS87+Inputs!$F$253)</f>
        <v/>
      </c>
      <c r="AT88" s="13">
        <f>Waterfall!AT28*AT87/(AT31+AT45+AT59+AT73+AT87+Inputs!$F$253)</f>
        <v/>
      </c>
      <c r="AU88" s="13">
        <f>Waterfall!AU28*AU87/(AU31+AU45+AU59+AU73+AU87+Inputs!$F$253)</f>
        <v/>
      </c>
      <c r="AV88" s="13">
        <f>Waterfall!AV28*AV87/(AV31+AV45+AV59+AV73+AV87+Inputs!$F$253)</f>
        <v/>
      </c>
      <c r="AW88" s="13">
        <f>Waterfall!AW28*AW87/(AW31+AW45+AW59+AW73+AW87+Inputs!$F$253)</f>
        <v/>
      </c>
      <c r="AX88" s="13">
        <f>Waterfall!AX28*AX87/(AX31+AX45+AX59+AX73+AX87+Inputs!$F$253)</f>
        <v/>
      </c>
      <c r="AY88" s="13">
        <f>Waterfall!AY28*AY87/(AY31+AY45+AY59+AY73+AY87+Inputs!$F$253)</f>
        <v/>
      </c>
      <c r="AZ88" s="13">
        <f>Waterfall!AZ28*AZ87/(AZ31+AZ45+AZ59+AZ73+AZ87+Inputs!$F$253)</f>
        <v/>
      </c>
      <c r="BA88" s="13">
        <f>Waterfall!BA28*BA87/(BA31+BA45+BA59+BA73+BA87+Inputs!$F$253)</f>
        <v/>
      </c>
      <c r="BB88" s="13">
        <f>Waterfall!BB28*BB87/(BB31+BB45+BB59+BB73+BB87+Inputs!$F$253)</f>
        <v/>
      </c>
      <c r="BC88" s="13">
        <f>Waterfall!BC28*BC87/(BC31+BC45+BC59+BC73+BC87+Inputs!$F$253)</f>
        <v/>
      </c>
      <c r="BD88" s="13">
        <f>Waterfall!BD28*BD87/(BD31+BD45+BD59+BD73+BD87+Inputs!$F$253)</f>
        <v/>
      </c>
      <c r="BE88" s="13">
        <f>Waterfall!BE28*BE87/(BE31+BE45+BE59+BE73+BE87+Inputs!$F$253)</f>
        <v/>
      </c>
      <c r="BF88" s="13">
        <f>Waterfall!BF28*BF87/(BF31+BF45+BF59+BF73+BF87+Inputs!$F$253)</f>
        <v/>
      </c>
      <c r="BG88" s="13">
        <f>Waterfall!BG28*BG87/(BG31+BG45+BG59+BG73+BG87+Inputs!$F$253)</f>
        <v/>
      </c>
      <c r="BH88" s="13">
        <f>Waterfall!BH28*BH87/(BH31+BH45+BH59+BH73+BH87+Inputs!$F$253)</f>
        <v/>
      </c>
      <c r="BI88" s="13">
        <f>Waterfall!BI28*BI87/(BI31+BI45+BI59+BI73+BI87+Inputs!$F$253)</f>
        <v/>
      </c>
      <c r="BJ88" s="13">
        <f>Waterfall!BJ28*BJ87/(BJ31+BJ45+BJ59+BJ73+BJ87+Inputs!$F$253)</f>
        <v/>
      </c>
      <c r="BK88" s="13">
        <f>Waterfall!BK28*BK87/(BK31+BK45+BK59+BK73+BK87+Inputs!$F$253)</f>
        <v/>
      </c>
      <c r="BL88" s="13">
        <f>Waterfall!BL28*BL87/(BL31+BL45+BL59+BL73+BL87+Inputs!$F$253)</f>
        <v/>
      </c>
      <c r="BM88" s="13">
        <f>Waterfall!BM28*BM87/(BM31+BM45+BM59+BM73+BM87+Inputs!$F$253)</f>
        <v/>
      </c>
      <c r="BN88" s="13">
        <f>Waterfall!BN28*BN87/(BN31+BN45+BN59+BN73+BN87+Inputs!$F$253)</f>
        <v/>
      </c>
    </row>
    <row r="89">
      <c r="D89" t="inlineStr">
        <is>
          <t>Closing balance</t>
        </is>
      </c>
      <c r="E89" t="inlineStr">
        <is>
          <t>USD m</t>
        </is>
      </c>
      <c r="J89" s="13">
        <f>IF(Time!J34=1,INDEX(Funding!$J$65:$BJ$65,1,Time!$F$14),Time!J35*(J87-J88))</f>
        <v/>
      </c>
      <c r="K89" s="13">
        <f>IF(Time!K34=1,INDEX(Funding!$J$65:$BJ$65,1,Time!$F$14),Time!K35*(K87-K88))</f>
        <v/>
      </c>
      <c r="L89" s="13">
        <f>IF(Time!L34=1,INDEX(Funding!$J$65:$BJ$65,1,Time!$F$14),Time!L35*(L87-L88))</f>
        <v/>
      </c>
      <c r="M89" s="13">
        <f>IF(Time!M34=1,INDEX(Funding!$J$65:$BJ$65,1,Time!$F$14),Time!M35*(M87-M88))</f>
        <v/>
      </c>
      <c r="N89" s="13">
        <f>IF(Time!N34=1,INDEX(Funding!$J$65:$BJ$65,1,Time!$F$14),Time!N35*(N87-N88))</f>
        <v/>
      </c>
      <c r="O89" s="13">
        <f>IF(Time!O34=1,INDEX(Funding!$J$65:$BJ$65,1,Time!$F$14),Time!O35*(O87-O88))</f>
        <v/>
      </c>
      <c r="P89" s="13">
        <f>IF(Time!P34=1,INDEX(Funding!$J$65:$BJ$65,1,Time!$F$14),Time!P35*(P87-P88))</f>
        <v/>
      </c>
      <c r="Q89" s="13">
        <f>IF(Time!Q34=1,INDEX(Funding!$J$65:$BJ$65,1,Time!$F$14),Time!Q35*(Q87-Q88))</f>
        <v/>
      </c>
      <c r="R89" s="13">
        <f>IF(Time!R34=1,INDEX(Funding!$J$65:$BJ$65,1,Time!$F$14),Time!R35*(R87-R88))</f>
        <v/>
      </c>
      <c r="S89" s="13">
        <f>IF(Time!S34=1,INDEX(Funding!$J$65:$BJ$65,1,Time!$F$14),Time!S35*(S87-S88))</f>
        <v/>
      </c>
      <c r="T89" s="13">
        <f>IF(Time!T34=1,INDEX(Funding!$J$65:$BJ$65,1,Time!$F$14),Time!T35*(T87-T88))</f>
        <v/>
      </c>
      <c r="U89" s="13">
        <f>IF(Time!U34=1,INDEX(Funding!$J$65:$BJ$65,1,Time!$F$14),Time!U35*(U87-U88))</f>
        <v/>
      </c>
      <c r="V89" s="13">
        <f>IF(Time!V34=1,INDEX(Funding!$J$65:$BJ$65,1,Time!$F$14),Time!V35*(V87-V88))</f>
        <v/>
      </c>
      <c r="W89" s="13">
        <f>IF(Time!W34=1,INDEX(Funding!$J$65:$BJ$65,1,Time!$F$14),Time!W35*(W87-W88))</f>
        <v/>
      </c>
      <c r="X89" s="13">
        <f>IF(Time!X34=1,INDEX(Funding!$J$65:$BJ$65,1,Time!$F$14),Time!X35*(X87-X88))</f>
        <v/>
      </c>
      <c r="Y89" s="13">
        <f>IF(Time!Y34=1,INDEX(Funding!$J$65:$BJ$65,1,Time!$F$14),Time!Y35*(Y87-Y88))</f>
        <v/>
      </c>
      <c r="Z89" s="13">
        <f>IF(Time!Z34=1,INDEX(Funding!$J$65:$BJ$65,1,Time!$F$14),Time!Z35*(Z87-Z88))</f>
        <v/>
      </c>
      <c r="AA89" s="13">
        <f>IF(Time!AA34=1,INDEX(Funding!$J$65:$BJ$65,1,Time!$F$14),Time!AA35*(AA87-AA88))</f>
        <v/>
      </c>
      <c r="AB89" s="13">
        <f>IF(Time!AB34=1,INDEX(Funding!$J$65:$BJ$65,1,Time!$F$14),Time!AB35*(AB87-AB88))</f>
        <v/>
      </c>
      <c r="AC89" s="13">
        <f>IF(Time!AC34=1,INDEX(Funding!$J$65:$BJ$65,1,Time!$F$14),Time!AC35*(AC87-AC88))</f>
        <v/>
      </c>
      <c r="AD89" s="13">
        <f>IF(Time!AD34=1,INDEX(Funding!$J$65:$BJ$65,1,Time!$F$14),Time!AD35*(AD87-AD88))</f>
        <v/>
      </c>
      <c r="AE89" s="13">
        <f>IF(Time!AE34=1,INDEX(Funding!$J$65:$BJ$65,1,Time!$F$14),Time!AE35*(AE87-AE88))</f>
        <v/>
      </c>
      <c r="AF89" s="13">
        <f>IF(Time!AF34=1,INDEX(Funding!$J$65:$BJ$65,1,Time!$F$14),Time!AF35*(AF87-AF88))</f>
        <v/>
      </c>
      <c r="AG89" s="13">
        <f>IF(Time!AG34=1,INDEX(Funding!$J$65:$BJ$65,1,Time!$F$14),Time!AG35*(AG87-AG88))</f>
        <v/>
      </c>
      <c r="AH89" s="13">
        <f>IF(Time!AH34=1,INDEX(Funding!$J$65:$BJ$65,1,Time!$F$14),Time!AH35*(AH87-AH88))</f>
        <v/>
      </c>
      <c r="AI89" s="13">
        <f>IF(Time!AI34=1,INDEX(Funding!$J$65:$BJ$65,1,Time!$F$14),Time!AI35*(AI87-AI88))</f>
        <v/>
      </c>
      <c r="AJ89" s="13">
        <f>IF(Time!AJ34=1,INDEX(Funding!$J$65:$BJ$65,1,Time!$F$14),Time!AJ35*(AJ87-AJ88))</f>
        <v/>
      </c>
      <c r="AK89" s="13">
        <f>IF(Time!AK34=1,INDEX(Funding!$J$65:$BJ$65,1,Time!$F$14),Time!AK35*(AK87-AK88))</f>
        <v/>
      </c>
      <c r="AL89" s="13">
        <f>IF(Time!AL34=1,INDEX(Funding!$J$65:$BJ$65,1,Time!$F$14),Time!AL35*(AL87-AL88))</f>
        <v/>
      </c>
      <c r="AM89" s="13">
        <f>IF(Time!AM34=1,INDEX(Funding!$J$65:$BJ$65,1,Time!$F$14),Time!AM35*(AM87-AM88))</f>
        <v/>
      </c>
      <c r="AN89" s="13">
        <f>IF(Time!AN34=1,INDEX(Funding!$J$65:$BJ$65,1,Time!$F$14),Time!AN35*(AN87-AN88))</f>
        <v/>
      </c>
      <c r="AO89" s="13">
        <f>IF(Time!AO34=1,INDEX(Funding!$J$65:$BJ$65,1,Time!$F$14),Time!AO35*(AO87-AO88))</f>
        <v/>
      </c>
      <c r="AP89" s="13">
        <f>IF(Time!AP34=1,INDEX(Funding!$J$65:$BJ$65,1,Time!$F$14),Time!AP35*(AP87-AP88))</f>
        <v/>
      </c>
      <c r="AQ89" s="13">
        <f>IF(Time!AQ34=1,INDEX(Funding!$J$65:$BJ$65,1,Time!$F$14),Time!AQ35*(AQ87-AQ88))</f>
        <v/>
      </c>
      <c r="AR89" s="13">
        <f>IF(Time!AR34=1,INDEX(Funding!$J$65:$BJ$65,1,Time!$F$14),Time!AR35*(AR87-AR88))</f>
        <v/>
      </c>
      <c r="AS89" s="13">
        <f>IF(Time!AS34=1,INDEX(Funding!$J$65:$BJ$65,1,Time!$F$14),Time!AS35*(AS87-AS88))</f>
        <v/>
      </c>
      <c r="AT89" s="13">
        <f>IF(Time!AT34=1,INDEX(Funding!$J$65:$BJ$65,1,Time!$F$14),Time!AT35*(AT87-AT88))</f>
        <v/>
      </c>
      <c r="AU89" s="13">
        <f>IF(Time!AU34=1,INDEX(Funding!$J$65:$BJ$65,1,Time!$F$14),Time!AU35*(AU87-AU88))</f>
        <v/>
      </c>
      <c r="AV89" s="13">
        <f>IF(Time!AV34=1,INDEX(Funding!$J$65:$BJ$65,1,Time!$F$14),Time!AV35*(AV87-AV88))</f>
        <v/>
      </c>
      <c r="AW89" s="13">
        <f>IF(Time!AW34=1,INDEX(Funding!$J$65:$BJ$65,1,Time!$F$14),Time!AW35*(AW87-AW88))</f>
        <v/>
      </c>
      <c r="AX89" s="13">
        <f>IF(Time!AX34=1,INDEX(Funding!$J$65:$BJ$65,1,Time!$F$14),Time!AX35*(AX87-AX88))</f>
        <v/>
      </c>
      <c r="AY89" s="13">
        <f>IF(Time!AY34=1,INDEX(Funding!$J$65:$BJ$65,1,Time!$F$14),Time!AY35*(AY87-AY88))</f>
        <v/>
      </c>
      <c r="AZ89" s="13">
        <f>IF(Time!AZ34=1,INDEX(Funding!$J$65:$BJ$65,1,Time!$F$14),Time!AZ35*(AZ87-AZ88))</f>
        <v/>
      </c>
      <c r="BA89" s="13">
        <f>IF(Time!BA34=1,INDEX(Funding!$J$65:$BJ$65,1,Time!$F$14),Time!BA35*(BA87-BA88))</f>
        <v/>
      </c>
      <c r="BB89" s="13">
        <f>IF(Time!BB34=1,INDEX(Funding!$J$65:$BJ$65,1,Time!$F$14),Time!BB35*(BB87-BB88))</f>
        <v/>
      </c>
      <c r="BC89" s="13">
        <f>IF(Time!BC34=1,INDEX(Funding!$J$65:$BJ$65,1,Time!$F$14),Time!BC35*(BC87-BC88))</f>
        <v/>
      </c>
      <c r="BD89" s="13">
        <f>IF(Time!BD34=1,INDEX(Funding!$J$65:$BJ$65,1,Time!$F$14),Time!BD35*(BD87-BD88))</f>
        <v/>
      </c>
      <c r="BE89" s="13">
        <f>IF(Time!BE34=1,INDEX(Funding!$J$65:$BJ$65,1,Time!$F$14),Time!BE35*(BE87-BE88))</f>
        <v/>
      </c>
      <c r="BF89" s="13">
        <f>IF(Time!BF34=1,INDEX(Funding!$J$65:$BJ$65,1,Time!$F$14),Time!BF35*(BF87-BF88))</f>
        <v/>
      </c>
      <c r="BG89" s="13">
        <f>IF(Time!BG34=1,INDEX(Funding!$J$65:$BJ$65,1,Time!$F$14),Time!BG35*(BG87-BG88))</f>
        <v/>
      </c>
      <c r="BH89" s="13">
        <f>IF(Time!BH34=1,INDEX(Funding!$J$65:$BJ$65,1,Time!$F$14),Time!BH35*(BH87-BH88))</f>
        <v/>
      </c>
      <c r="BI89" s="13">
        <f>IF(Time!BI34=1,INDEX(Funding!$J$65:$BJ$65,1,Time!$F$14),Time!BI35*(BI87-BI88))</f>
        <v/>
      </c>
      <c r="BJ89" s="13">
        <f>IF(Time!BJ34=1,INDEX(Funding!$J$65:$BJ$65,1,Time!$F$14),Time!BJ35*(BJ87-BJ88))</f>
        <v/>
      </c>
      <c r="BK89" s="13">
        <f>IF(Time!BK34=1,INDEX(Funding!$J$65:$BJ$65,1,Time!$F$14),Time!BK35*(BK87-BK88))</f>
        <v/>
      </c>
      <c r="BL89" s="13">
        <f>IF(Time!BL34=1,INDEX(Funding!$J$65:$BJ$65,1,Time!$F$14),Time!BL35*(BL87-BL88))</f>
        <v/>
      </c>
      <c r="BM89" s="13">
        <f>IF(Time!BM34=1,INDEX(Funding!$J$65:$BJ$65,1,Time!$F$14),Time!BM35*(BM87-BM88))</f>
        <v/>
      </c>
      <c r="BN89" s="13">
        <f>IF(Time!BN34=1,INDEX(Funding!$J$65:$BJ$65,1,Time!$F$14),Time!BN35*(BN87-BN88))</f>
        <v/>
      </c>
    </row>
    <row r="90">
      <c r="B90" s="2" t="inlineStr">
        <is>
          <t>2025 project bond</t>
        </is>
      </c>
    </row>
    <row r="91">
      <c r="D91" t="inlineStr">
        <is>
          <t>Opening balance</t>
        </is>
      </c>
      <c r="E91" t="inlineStr">
        <is>
          <t>USD m</t>
        </is>
      </c>
      <c r="J91" s="13">
        <f>Time!J35*I95</f>
        <v/>
      </c>
      <c r="K91" s="13">
        <f>Time!K35*J95</f>
        <v/>
      </c>
      <c r="L91" s="13">
        <f>Time!L35*K95</f>
        <v/>
      </c>
      <c r="M91" s="13">
        <f>Time!M35*L95</f>
        <v/>
      </c>
      <c r="N91" s="13">
        <f>Time!N35*M95</f>
        <v/>
      </c>
      <c r="O91" s="13">
        <f>Time!O35*N95</f>
        <v/>
      </c>
      <c r="P91" s="13">
        <f>Time!P35*O95</f>
        <v/>
      </c>
      <c r="Q91" s="13">
        <f>Time!Q35*P95</f>
        <v/>
      </c>
      <c r="R91" s="13">
        <f>Time!R35*Q95</f>
        <v/>
      </c>
      <c r="S91" s="13">
        <f>Time!S35*R95</f>
        <v/>
      </c>
      <c r="T91" s="13">
        <f>Time!T35*S95</f>
        <v/>
      </c>
      <c r="U91" s="13">
        <f>Time!U35*T95</f>
        <v/>
      </c>
      <c r="V91" s="13">
        <f>Time!V35*U95</f>
        <v/>
      </c>
      <c r="W91" s="13">
        <f>Time!W35*V95</f>
        <v/>
      </c>
      <c r="X91" s="13">
        <f>Time!X35*W95</f>
        <v/>
      </c>
      <c r="Y91" s="13">
        <f>Time!Y35*X95</f>
        <v/>
      </c>
      <c r="Z91" s="13">
        <f>Time!Z35*Y95</f>
        <v/>
      </c>
      <c r="AA91" s="13">
        <f>Time!AA35*Z95</f>
        <v/>
      </c>
      <c r="AB91" s="13">
        <f>Time!AB35*AA95</f>
        <v/>
      </c>
      <c r="AC91" s="13">
        <f>Time!AC35*AB95</f>
        <v/>
      </c>
      <c r="AD91" s="13">
        <f>Time!AD35*AC95</f>
        <v/>
      </c>
      <c r="AE91" s="13">
        <f>Time!AE35*AD95</f>
        <v/>
      </c>
      <c r="AF91" s="13">
        <f>Time!AF35*AE95</f>
        <v/>
      </c>
      <c r="AG91" s="13">
        <f>Time!AG35*AF95</f>
        <v/>
      </c>
      <c r="AH91" s="13">
        <f>Time!AH35*AG95</f>
        <v/>
      </c>
      <c r="AI91" s="13">
        <f>Time!AI35*AH95</f>
        <v/>
      </c>
      <c r="AJ91" s="13">
        <f>Time!AJ35*AI95</f>
        <v/>
      </c>
      <c r="AK91" s="13">
        <f>Time!AK35*AJ95</f>
        <v/>
      </c>
      <c r="AL91" s="13">
        <f>Time!AL35*AK95</f>
        <v/>
      </c>
      <c r="AM91" s="13">
        <f>Time!AM35*AL95</f>
        <v/>
      </c>
      <c r="AN91" s="13">
        <f>Time!AN35*AM95</f>
        <v/>
      </c>
      <c r="AO91" s="13">
        <f>Time!AO35*AN95</f>
        <v/>
      </c>
      <c r="AP91" s="13">
        <f>Time!AP35*AO95</f>
        <v/>
      </c>
      <c r="AQ91" s="13">
        <f>Time!AQ35*AP95</f>
        <v/>
      </c>
      <c r="AR91" s="13">
        <f>Time!AR35*AQ95</f>
        <v/>
      </c>
      <c r="AS91" s="13">
        <f>Time!AS35*AR95</f>
        <v/>
      </c>
      <c r="AT91" s="13">
        <f>Time!AT35*AS95</f>
        <v/>
      </c>
      <c r="AU91" s="13">
        <f>Time!AU35*AT95</f>
        <v/>
      </c>
      <c r="AV91" s="13">
        <f>Time!AV35*AU95</f>
        <v/>
      </c>
      <c r="AW91" s="13">
        <f>Time!AW35*AV95</f>
        <v/>
      </c>
      <c r="AX91" s="13">
        <f>Time!AX35*AW95</f>
        <v/>
      </c>
      <c r="AY91" s="13">
        <f>Time!AY35*AX95</f>
        <v/>
      </c>
      <c r="AZ91" s="13">
        <f>Time!AZ35*AY95</f>
        <v/>
      </c>
      <c r="BA91" s="13">
        <f>Time!BA35*AZ95</f>
        <v/>
      </c>
      <c r="BB91" s="13">
        <f>Time!BB35*BA95</f>
        <v/>
      </c>
      <c r="BC91" s="13">
        <f>Time!BC35*BB95</f>
        <v/>
      </c>
      <c r="BD91" s="13">
        <f>Time!BD35*BC95</f>
        <v/>
      </c>
      <c r="BE91" s="13">
        <f>Time!BE35*BD95</f>
        <v/>
      </c>
      <c r="BF91" s="13">
        <f>Time!BF35*BE95</f>
        <v/>
      </c>
      <c r="BG91" s="13">
        <f>Time!BG35*BF95</f>
        <v/>
      </c>
      <c r="BH91" s="13">
        <f>Time!BH35*BG95</f>
        <v/>
      </c>
      <c r="BI91" s="13">
        <f>Time!BI35*BH95</f>
        <v/>
      </c>
      <c r="BJ91" s="13">
        <f>Time!BJ35*BI95</f>
        <v/>
      </c>
      <c r="BK91" s="13">
        <f>Time!BK35*BJ95</f>
        <v/>
      </c>
      <c r="BL91" s="13">
        <f>Time!BL35*BK95</f>
        <v/>
      </c>
      <c r="BM91" s="13">
        <f>Time!BM35*BL95</f>
        <v/>
      </c>
      <c r="BN91" s="13">
        <f>Time!BN35*BM95</f>
        <v/>
      </c>
    </row>
    <row r="92">
      <c r="D92" t="inlineStr">
        <is>
          <t>Interest (incl. WHT gross-up where applicable)</t>
        </is>
      </c>
      <c r="E92" t="inlineStr">
        <is>
          <t>USD m</t>
        </is>
      </c>
      <c r="G92" s="13">
        <f>SUM(J92:BN92)</f>
        <v/>
      </c>
      <c r="J92" s="13">
        <f>J91*J15</f>
        <v/>
      </c>
      <c r="K92" s="13">
        <f>K91*K15</f>
        <v/>
      </c>
      <c r="L92" s="13">
        <f>L91*L15</f>
        <v/>
      </c>
      <c r="M92" s="13">
        <f>M91*M15</f>
        <v/>
      </c>
      <c r="N92" s="13">
        <f>N91*N15</f>
        <v/>
      </c>
      <c r="O92" s="13">
        <f>O91*O15</f>
        <v/>
      </c>
      <c r="P92" s="13">
        <f>P91*P15</f>
        <v/>
      </c>
      <c r="Q92" s="13">
        <f>Q91*Q15</f>
        <v/>
      </c>
      <c r="R92" s="13">
        <f>R91*R15</f>
        <v/>
      </c>
      <c r="S92" s="13">
        <f>S91*S15</f>
        <v/>
      </c>
      <c r="T92" s="13">
        <f>T91*T15</f>
        <v/>
      </c>
      <c r="U92" s="13">
        <f>U91*U15</f>
        <v/>
      </c>
      <c r="V92" s="13">
        <f>V91*V15</f>
        <v/>
      </c>
      <c r="W92" s="13">
        <f>W91*W15</f>
        <v/>
      </c>
      <c r="X92" s="13">
        <f>X91*X15</f>
        <v/>
      </c>
      <c r="Y92" s="13">
        <f>Y91*Y15</f>
        <v/>
      </c>
      <c r="Z92" s="13">
        <f>Z91*Z15</f>
        <v/>
      </c>
      <c r="AA92" s="13">
        <f>AA91*AA15</f>
        <v/>
      </c>
      <c r="AB92" s="13">
        <f>AB91*AB15</f>
        <v/>
      </c>
      <c r="AC92" s="13">
        <f>AC91*AC15</f>
        <v/>
      </c>
      <c r="AD92" s="13">
        <f>AD91*AD15</f>
        <v/>
      </c>
      <c r="AE92" s="13">
        <f>AE91*AE15</f>
        <v/>
      </c>
      <c r="AF92" s="13">
        <f>AF91*AF15</f>
        <v/>
      </c>
      <c r="AG92" s="13">
        <f>AG91*AG15</f>
        <v/>
      </c>
      <c r="AH92" s="13">
        <f>AH91*AH15</f>
        <v/>
      </c>
      <c r="AI92" s="13">
        <f>AI91*AI15</f>
        <v/>
      </c>
      <c r="AJ92" s="13">
        <f>AJ91*AJ15</f>
        <v/>
      </c>
      <c r="AK92" s="13">
        <f>AK91*AK15</f>
        <v/>
      </c>
      <c r="AL92" s="13">
        <f>AL91*AL15</f>
        <v/>
      </c>
      <c r="AM92" s="13">
        <f>AM91*AM15</f>
        <v/>
      </c>
      <c r="AN92" s="13">
        <f>AN91*AN15</f>
        <v/>
      </c>
      <c r="AO92" s="13">
        <f>AO91*AO15</f>
        <v/>
      </c>
      <c r="AP92" s="13">
        <f>AP91*AP15</f>
        <v/>
      </c>
      <c r="AQ92" s="13">
        <f>AQ91*AQ15</f>
        <v/>
      </c>
      <c r="AR92" s="13">
        <f>AR91*AR15</f>
        <v/>
      </c>
      <c r="AS92" s="13">
        <f>AS91*AS15</f>
        <v/>
      </c>
      <c r="AT92" s="13">
        <f>AT91*AT15</f>
        <v/>
      </c>
      <c r="AU92" s="13">
        <f>AU91*AU15</f>
        <v/>
      </c>
      <c r="AV92" s="13">
        <f>AV91*AV15</f>
        <v/>
      </c>
      <c r="AW92" s="13">
        <f>AW91*AW15</f>
        <v/>
      </c>
      <c r="AX92" s="13">
        <f>AX91*AX15</f>
        <v/>
      </c>
      <c r="AY92" s="13">
        <f>AY91*AY15</f>
        <v/>
      </c>
      <c r="AZ92" s="13">
        <f>AZ91*AZ15</f>
        <v/>
      </c>
      <c r="BA92" s="13">
        <f>BA91*BA15</f>
        <v/>
      </c>
      <c r="BB92" s="13">
        <f>BB91*BB15</f>
        <v/>
      </c>
      <c r="BC92" s="13">
        <f>BC91*BC15</f>
        <v/>
      </c>
      <c r="BD92" s="13">
        <f>BD91*BD15</f>
        <v/>
      </c>
      <c r="BE92" s="13">
        <f>BE91*BE15</f>
        <v/>
      </c>
      <c r="BF92" s="13">
        <f>BF91*BF15</f>
        <v/>
      </c>
      <c r="BG92" s="13">
        <f>BG91*BG15</f>
        <v/>
      </c>
      <c r="BH92" s="13">
        <f>BH91*BH15</f>
        <v/>
      </c>
      <c r="BI92" s="13">
        <f>BI91*BI15</f>
        <v/>
      </c>
      <c r="BJ92" s="13">
        <f>BJ91*BJ15</f>
        <v/>
      </c>
      <c r="BK92" s="13">
        <f>BK91*BK15</f>
        <v/>
      </c>
      <c r="BL92" s="13">
        <f>BL91*BL15</f>
        <v/>
      </c>
      <c r="BM92" s="13">
        <f>BM91*BM15</f>
        <v/>
      </c>
      <c r="BN92" s="13">
        <f>BN91*BN15</f>
        <v/>
      </c>
    </row>
    <row r="93">
      <c r="D93" t="inlineStr">
        <is>
          <t>Principal paid</t>
        </is>
      </c>
      <c r="E93" t="inlineStr">
        <is>
          <t>USD m</t>
        </is>
      </c>
      <c r="G93" s="13">
        <f>SUM(J93:BN93)</f>
        <v/>
      </c>
      <c r="J93" s="13">
        <f>IF(J91&gt;0,MIN(I101*Inputs!J300,J91),0)</f>
        <v/>
      </c>
      <c r="K93" s="13">
        <f>IF(K91&gt;0,MIN(J101*Inputs!K300,K91),0)</f>
        <v/>
      </c>
      <c r="L93" s="13">
        <f>IF(L91&gt;0,MIN(K101*Inputs!L300,L91),0)</f>
        <v/>
      </c>
      <c r="M93" s="13">
        <f>IF(M91&gt;0,MIN(L101*Inputs!M300,M91),0)</f>
        <v/>
      </c>
      <c r="N93" s="13">
        <f>IF(N91&gt;0,MIN(M101*Inputs!N300,N91),0)</f>
        <v/>
      </c>
      <c r="O93" s="13">
        <f>IF(O91&gt;0,MIN(N101*Inputs!O300,O91),0)</f>
        <v/>
      </c>
      <c r="P93" s="13">
        <f>IF(P91&gt;0,MIN(O101*Inputs!P300,P91),0)</f>
        <v/>
      </c>
      <c r="Q93" s="13">
        <f>IF(Q91&gt;0,MIN(P101*Inputs!Q300,Q91),0)</f>
        <v/>
      </c>
      <c r="R93" s="13">
        <f>IF(R91&gt;0,MIN(Q101*Inputs!R300,R91),0)</f>
        <v/>
      </c>
      <c r="S93" s="13">
        <f>IF(S91&gt;0,MIN(R101*Inputs!S300,S91),0)</f>
        <v/>
      </c>
      <c r="T93" s="13">
        <f>IF(T91&gt;0,MIN(S101*Inputs!T300,T91),0)</f>
        <v/>
      </c>
      <c r="U93" s="13">
        <f>IF(U91&gt;0,MIN(T101*Inputs!U300,U91),0)</f>
        <v/>
      </c>
      <c r="V93" s="13">
        <f>IF(V91&gt;0,MIN(U101*Inputs!V300,V91),0)</f>
        <v/>
      </c>
      <c r="W93" s="13">
        <f>IF(W91&gt;0,MIN(V101*Inputs!W300,W91),0)</f>
        <v/>
      </c>
      <c r="X93" s="13">
        <f>IF(X91&gt;0,MIN(W101*Inputs!X300,X91),0)</f>
        <v/>
      </c>
      <c r="Y93" s="13">
        <f>IF(Y91&gt;0,MIN(X101*Inputs!Y300,Y91),0)</f>
        <v/>
      </c>
      <c r="Z93" s="13">
        <f>IF(Z91&gt;0,MIN(Y101*Inputs!Z300,Z91),0)</f>
        <v/>
      </c>
      <c r="AA93" s="13">
        <f>IF(AA91&gt;0,MIN(Z101*Inputs!AA300,AA91),0)</f>
        <v/>
      </c>
      <c r="AB93" s="13">
        <f>IF(AB91&gt;0,MIN(AA101*Inputs!AB300,AB91),0)</f>
        <v/>
      </c>
      <c r="AC93" s="13">
        <f>IF(AC91&gt;0,MIN(AB101*Inputs!AC300,AC91),0)</f>
        <v/>
      </c>
      <c r="AD93" s="13">
        <f>IF(AD91&gt;0,MIN(AC101*Inputs!AD300,AD91),0)</f>
        <v/>
      </c>
      <c r="AE93" s="13">
        <f>IF(AE91&gt;0,MIN(AD101*Inputs!AE300,AE91),0)</f>
        <v/>
      </c>
      <c r="AF93" s="13">
        <f>IF(AF91&gt;0,MIN(AE101*Inputs!AF300,AF91),0)</f>
        <v/>
      </c>
      <c r="AG93" s="13">
        <f>IF(AG91&gt;0,MIN(AF101*Inputs!AG300,AG91),0)</f>
        <v/>
      </c>
      <c r="AH93" s="13">
        <f>IF(AH91&gt;0,MIN(AG101*Inputs!AH300,AH91),0)</f>
        <v/>
      </c>
      <c r="AI93" s="13">
        <f>IF(AI91&gt;0,MIN(AH101*Inputs!AI300,AI91),0)</f>
        <v/>
      </c>
      <c r="AJ93" s="13">
        <f>IF(AJ91&gt;0,MIN(AI101*Inputs!AJ300,AJ91),0)</f>
        <v/>
      </c>
      <c r="AK93" s="13">
        <f>IF(AK91&gt;0,MIN(AJ101*Inputs!AK300,AK91),0)</f>
        <v/>
      </c>
      <c r="AL93" s="13">
        <f>IF(AL91&gt;0,MIN(AK101*Inputs!AL300,AL91),0)</f>
        <v/>
      </c>
      <c r="AM93" s="13">
        <f>IF(AM91&gt;0,MIN(AL101*Inputs!AM300,AM91),0)</f>
        <v/>
      </c>
      <c r="AN93" s="13">
        <f>IF(AN91&gt;0,MIN(AM101*Inputs!AN300,AN91),0)</f>
        <v/>
      </c>
      <c r="AO93" s="13">
        <f>IF(AO91&gt;0,MIN(AN101*Inputs!AO300,AO91),0)</f>
        <v/>
      </c>
      <c r="AP93" s="13">
        <f>IF(AP91&gt;0,MIN(AO101*Inputs!AP300,AP91),0)</f>
        <v/>
      </c>
      <c r="AQ93" s="13">
        <f>IF(AQ91&gt;0,MIN(AP101*Inputs!AQ300,AQ91),0)</f>
        <v/>
      </c>
      <c r="AR93" s="13">
        <f>IF(AR91&gt;0,MIN(AQ101*Inputs!AR300,AR91),0)</f>
        <v/>
      </c>
      <c r="AS93" s="13">
        <f>IF(AS91&gt;0,MIN(AR101*Inputs!AS300,AS91),0)</f>
        <v/>
      </c>
      <c r="AT93" s="13">
        <f>IF(AT91&gt;0,MIN(AS101*Inputs!AT300,AT91),0)</f>
        <v/>
      </c>
      <c r="AU93" s="13">
        <f>IF(AU91&gt;0,MIN(AT101*Inputs!AU300,AU91),0)</f>
        <v/>
      </c>
      <c r="AV93" s="13">
        <f>IF(AV91&gt;0,MIN(AU101*Inputs!AV300,AV91),0)</f>
        <v/>
      </c>
      <c r="AW93" s="13">
        <f>IF(AW91&gt;0,MIN(AV101*Inputs!AW300,AW91),0)</f>
        <v/>
      </c>
      <c r="AX93" s="13">
        <f>IF(AX91&gt;0,MIN(AW101*Inputs!AX300,AX91),0)</f>
        <v/>
      </c>
      <c r="AY93" s="13">
        <f>IF(AY91&gt;0,MIN(AX101*Inputs!AY300,AY91),0)</f>
        <v/>
      </c>
      <c r="AZ93" s="13">
        <f>IF(AZ91&gt;0,MIN(AY101*Inputs!AZ300,AZ91),0)</f>
        <v/>
      </c>
      <c r="BA93" s="13">
        <f>IF(BA91&gt;0,MIN(AZ101*Inputs!BA300,BA91),0)</f>
        <v/>
      </c>
      <c r="BB93" s="13">
        <f>IF(BB91&gt;0,MIN(BA101*Inputs!BB300,BB91),0)</f>
        <v/>
      </c>
      <c r="BC93" s="13">
        <f>IF(BC91&gt;0,MIN(BB101*Inputs!BC300,BC91),0)</f>
        <v/>
      </c>
      <c r="BD93" s="13">
        <f>IF(BD91&gt;0,MIN(BC101*Inputs!BD300,BD91),0)</f>
        <v/>
      </c>
      <c r="BE93" s="13">
        <f>IF(BE91&gt;0,MIN(BD101*Inputs!BE300,BE91),0)</f>
        <v/>
      </c>
      <c r="BF93" s="13">
        <f>IF(BF91&gt;0,MIN(BE101*Inputs!BF300,BF91),0)</f>
        <v/>
      </c>
      <c r="BG93" s="13">
        <f>IF(BG91&gt;0,MIN(BF101*Inputs!BG300,BG91),0)</f>
        <v/>
      </c>
      <c r="BH93" s="13">
        <f>IF(BH91&gt;0,MIN(BG101*Inputs!BH300,BH91),0)</f>
        <v/>
      </c>
      <c r="BI93" s="13">
        <f>IF(BI91&gt;0,MIN(BH101*Inputs!BI300,BI91),0)</f>
        <v/>
      </c>
      <c r="BJ93" s="13">
        <f>IF(BJ91&gt;0,MIN(BI101*Inputs!BJ300,BJ91),0)</f>
        <v/>
      </c>
      <c r="BK93" s="13">
        <f>IF(BK91&gt;0,MIN(BJ101*Inputs!BK300,BK91),0)</f>
        <v/>
      </c>
      <c r="BL93" s="13">
        <f>IF(BL91&gt;0,MIN(BK101*Inputs!BL300,BL91),0)</f>
        <v/>
      </c>
      <c r="BM93" s="13">
        <f>IF(BM91&gt;0,MIN(BL101*Inputs!BM300,BM91),0)</f>
        <v/>
      </c>
      <c r="BN93" s="13">
        <f>IF(BN91&gt;0,MIN(BM101*Inputs!BN300,BN91),0)</f>
        <v/>
      </c>
    </row>
    <row r="94">
      <c r="D94" t="inlineStr">
        <is>
          <t>Balance after scheduled payment</t>
        </is>
      </c>
      <c r="E94" t="inlineStr">
        <is>
          <t>USD m</t>
        </is>
      </c>
      <c r="J94" s="13">
        <f>J91-J93</f>
        <v/>
      </c>
      <c r="K94" s="13">
        <f>K91-K93</f>
        <v/>
      </c>
      <c r="L94" s="13">
        <f>L91-L93</f>
        <v/>
      </c>
      <c r="M94" s="13">
        <f>M91-M93</f>
        <v/>
      </c>
      <c r="N94" s="13">
        <f>N91-N93</f>
        <v/>
      </c>
      <c r="O94" s="13">
        <f>O91-O93</f>
        <v/>
      </c>
      <c r="P94" s="13">
        <f>P91-P93</f>
        <v/>
      </c>
      <c r="Q94" s="13">
        <f>Q91-Q93</f>
        <v/>
      </c>
      <c r="R94" s="13">
        <f>R91-R93</f>
        <v/>
      </c>
      <c r="S94" s="13">
        <f>S91-S93</f>
        <v/>
      </c>
      <c r="T94" s="13">
        <f>T91-T93</f>
        <v/>
      </c>
      <c r="U94" s="13">
        <f>U91-U93</f>
        <v/>
      </c>
      <c r="V94" s="13">
        <f>V91-V93</f>
        <v/>
      </c>
      <c r="W94" s="13">
        <f>W91-W93</f>
        <v/>
      </c>
      <c r="X94" s="13">
        <f>X91-X93</f>
        <v/>
      </c>
      <c r="Y94" s="13">
        <f>Y91-Y93</f>
        <v/>
      </c>
      <c r="Z94" s="13">
        <f>Z91-Z93</f>
        <v/>
      </c>
      <c r="AA94" s="13">
        <f>AA91-AA93</f>
        <v/>
      </c>
      <c r="AB94" s="13">
        <f>AB91-AB93</f>
        <v/>
      </c>
      <c r="AC94" s="13">
        <f>AC91-AC93</f>
        <v/>
      </c>
      <c r="AD94" s="13">
        <f>AD91-AD93</f>
        <v/>
      </c>
      <c r="AE94" s="13">
        <f>AE91-AE93</f>
        <v/>
      </c>
      <c r="AF94" s="13">
        <f>AF91-AF93</f>
        <v/>
      </c>
      <c r="AG94" s="13">
        <f>AG91-AG93</f>
        <v/>
      </c>
      <c r="AH94" s="13">
        <f>AH91-AH93</f>
        <v/>
      </c>
      <c r="AI94" s="13">
        <f>AI91-AI93</f>
        <v/>
      </c>
      <c r="AJ94" s="13">
        <f>AJ91-AJ93</f>
        <v/>
      </c>
      <c r="AK94" s="13">
        <f>AK91-AK93</f>
        <v/>
      </c>
      <c r="AL94" s="13">
        <f>AL91-AL93</f>
        <v/>
      </c>
      <c r="AM94" s="13">
        <f>AM91-AM93</f>
        <v/>
      </c>
      <c r="AN94" s="13">
        <f>AN91-AN93</f>
        <v/>
      </c>
      <c r="AO94" s="13">
        <f>AO91-AO93</f>
        <v/>
      </c>
      <c r="AP94" s="13">
        <f>AP91-AP93</f>
        <v/>
      </c>
      <c r="AQ94" s="13">
        <f>AQ91-AQ93</f>
        <v/>
      </c>
      <c r="AR94" s="13">
        <f>AR91-AR93</f>
        <v/>
      </c>
      <c r="AS94" s="13">
        <f>AS91-AS93</f>
        <v/>
      </c>
      <c r="AT94" s="13">
        <f>AT91-AT93</f>
        <v/>
      </c>
      <c r="AU94" s="13">
        <f>AU91-AU93</f>
        <v/>
      </c>
      <c r="AV94" s="13">
        <f>AV91-AV93</f>
        <v/>
      </c>
      <c r="AW94" s="13">
        <f>AW91-AW93</f>
        <v/>
      </c>
      <c r="AX94" s="13">
        <f>AX91-AX93</f>
        <v/>
      </c>
      <c r="AY94" s="13">
        <f>AY91-AY93</f>
        <v/>
      </c>
      <c r="AZ94" s="13">
        <f>AZ91-AZ93</f>
        <v/>
      </c>
      <c r="BA94" s="13">
        <f>BA91-BA93</f>
        <v/>
      </c>
      <c r="BB94" s="13">
        <f>BB91-BB93</f>
        <v/>
      </c>
      <c r="BC94" s="13">
        <f>BC91-BC93</f>
        <v/>
      </c>
      <c r="BD94" s="13">
        <f>BD91-BD93</f>
        <v/>
      </c>
      <c r="BE94" s="13">
        <f>BE91-BE93</f>
        <v/>
      </c>
      <c r="BF94" s="13">
        <f>BF91-BF93</f>
        <v/>
      </c>
      <c r="BG94" s="13">
        <f>BG91-BG93</f>
        <v/>
      </c>
      <c r="BH94" s="13">
        <f>BH91-BH93</f>
        <v/>
      </c>
      <c r="BI94" s="13">
        <f>BI91-BI93</f>
        <v/>
      </c>
      <c r="BJ94" s="13">
        <f>BJ91-BJ93</f>
        <v/>
      </c>
      <c r="BK94" s="13">
        <f>BK91-BK93</f>
        <v/>
      </c>
      <c r="BL94" s="13">
        <f>BL91-BL93</f>
        <v/>
      </c>
      <c r="BM94" s="13">
        <f>BM91-BM93</f>
        <v/>
      </c>
      <c r="BN94" s="13">
        <f>BN91-BN93</f>
        <v/>
      </c>
    </row>
    <row r="95">
      <c r="D95" t="inlineStr">
        <is>
          <t>Closing balance (incl. bond issued)</t>
        </is>
      </c>
      <c r="E95" t="inlineStr">
        <is>
          <t>USD m</t>
        </is>
      </c>
      <c r="J95" s="13">
        <f>J94+J100</f>
        <v/>
      </c>
      <c r="K95" s="13">
        <f>K94+K100</f>
        <v/>
      </c>
      <c r="L95" s="13">
        <f>L94+L100</f>
        <v/>
      </c>
      <c r="M95" s="13">
        <f>M94+M100</f>
        <v/>
      </c>
      <c r="N95" s="13">
        <f>N94+N100</f>
        <v/>
      </c>
      <c r="O95" s="13">
        <f>O94+O100</f>
        <v/>
      </c>
      <c r="P95" s="13">
        <f>P94+P100</f>
        <v/>
      </c>
      <c r="Q95" s="13">
        <f>Q94+Q100</f>
        <v/>
      </c>
      <c r="R95" s="13">
        <f>R94+R100</f>
        <v/>
      </c>
      <c r="S95" s="13">
        <f>S94+S100</f>
        <v/>
      </c>
      <c r="T95" s="13">
        <f>T94+T100</f>
        <v/>
      </c>
      <c r="U95" s="13">
        <f>U94+U100</f>
        <v/>
      </c>
      <c r="V95" s="13">
        <f>V94+V100</f>
        <v/>
      </c>
      <c r="W95" s="13">
        <f>W94+W100</f>
        <v/>
      </c>
      <c r="X95" s="13">
        <f>X94+X100</f>
        <v/>
      </c>
      <c r="Y95" s="13">
        <f>Y94+Y100</f>
        <v/>
      </c>
      <c r="Z95" s="13">
        <f>Z94+Z100</f>
        <v/>
      </c>
      <c r="AA95" s="13">
        <f>AA94+AA100</f>
        <v/>
      </c>
      <c r="AB95" s="13">
        <f>AB94+AB100</f>
        <v/>
      </c>
      <c r="AC95" s="13">
        <f>AC94+AC100</f>
        <v/>
      </c>
      <c r="AD95" s="13">
        <f>AD94+AD100</f>
        <v/>
      </c>
      <c r="AE95" s="13">
        <f>AE94+AE100</f>
        <v/>
      </c>
      <c r="AF95" s="13">
        <f>AF94+AF100</f>
        <v/>
      </c>
      <c r="AG95" s="13">
        <f>AG94+AG100</f>
        <v/>
      </c>
      <c r="AH95" s="13">
        <f>AH94+AH100</f>
        <v/>
      </c>
      <c r="AI95" s="13">
        <f>AI94+AI100</f>
        <v/>
      </c>
      <c r="AJ95" s="13">
        <f>AJ94+AJ100</f>
        <v/>
      </c>
      <c r="AK95" s="13">
        <f>AK94+AK100</f>
        <v/>
      </c>
      <c r="AL95" s="13">
        <f>AL94+AL100</f>
        <v/>
      </c>
      <c r="AM95" s="13">
        <f>AM94+AM100</f>
        <v/>
      </c>
      <c r="AN95" s="13">
        <f>AN94+AN100</f>
        <v/>
      </c>
      <c r="AO95" s="13">
        <f>AO94+AO100</f>
        <v/>
      </c>
      <c r="AP95" s="13">
        <f>AP94+AP100</f>
        <v/>
      </c>
      <c r="AQ95" s="13">
        <f>AQ94+AQ100</f>
        <v/>
      </c>
      <c r="AR95" s="13">
        <f>AR94+AR100</f>
        <v/>
      </c>
      <c r="AS95" s="13">
        <f>AS94+AS100</f>
        <v/>
      </c>
      <c r="AT95" s="13">
        <f>AT94+AT100</f>
        <v/>
      </c>
      <c r="AU95" s="13">
        <f>AU94+AU100</f>
        <v/>
      </c>
      <c r="AV95" s="13">
        <f>AV94+AV100</f>
        <v/>
      </c>
      <c r="AW95" s="13">
        <f>AW94+AW100</f>
        <v/>
      </c>
      <c r="AX95" s="13">
        <f>AX94+AX100</f>
        <v/>
      </c>
      <c r="AY95" s="13">
        <f>AY94+AY100</f>
        <v/>
      </c>
      <c r="AZ95" s="13">
        <f>AZ94+AZ100</f>
        <v/>
      </c>
      <c r="BA95" s="13">
        <f>BA94+BA100</f>
        <v/>
      </c>
      <c r="BB95" s="13">
        <f>BB94+BB100</f>
        <v/>
      </c>
      <c r="BC95" s="13">
        <f>BC94+BC100</f>
        <v/>
      </c>
      <c r="BD95" s="13">
        <f>BD94+BD100</f>
        <v/>
      </c>
      <c r="BE95" s="13">
        <f>BE94+BE100</f>
        <v/>
      </c>
      <c r="BF95" s="13">
        <f>BF94+BF100</f>
        <v/>
      </c>
      <c r="BG95" s="13">
        <f>BG94+BG100</f>
        <v/>
      </c>
      <c r="BH95" s="13">
        <f>BH94+BH100</f>
        <v/>
      </c>
      <c r="BI95" s="13">
        <f>BI94+BI100</f>
        <v/>
      </c>
      <c r="BJ95" s="13">
        <f>BJ94+BJ100</f>
        <v/>
      </c>
      <c r="BK95" s="13">
        <f>BK94+BK100</f>
        <v/>
      </c>
      <c r="BL95" s="13">
        <f>BL94+BL100</f>
        <v/>
      </c>
      <c r="BM95" s="13">
        <f>BM94+BM100</f>
        <v/>
      </c>
      <c r="BN95" s="13">
        <f>BN94+BN100</f>
        <v/>
      </c>
    </row>
    <row r="96">
      <c r="B96" s="2" t="inlineStr">
        <is>
          <t>Refinancing 2025 (USD m)</t>
        </is>
      </c>
    </row>
    <row r="97">
      <c r="D97" t="inlineStr">
        <is>
          <t>Swap unwind discount factor at the flat swap rate</t>
        </is>
      </c>
      <c r="E97" t="inlineStr">
        <is>
          <t>factor</t>
        </is>
      </c>
      <c r="J97" s="11">
        <f>IF(Time!J23&gt;Inputs!$F$205,(1+Inputs!$F$278/100*Time!J24)^-(Time!J20-Time!$F$17),0)</f>
        <v/>
      </c>
      <c r="K97" s="11">
        <f>IF(Time!K23&gt;Inputs!$F$205,(1+Inputs!$F$278/100*Time!K24)^-(Time!K20-Time!$F$17),0)</f>
        <v/>
      </c>
      <c r="L97" s="11">
        <f>IF(Time!L23&gt;Inputs!$F$205,(1+Inputs!$F$278/100*Time!L24)^-(Time!L20-Time!$F$17),0)</f>
        <v/>
      </c>
      <c r="M97" s="11">
        <f>IF(Time!M23&gt;Inputs!$F$205,(1+Inputs!$F$278/100*Time!M24)^-(Time!M20-Time!$F$17),0)</f>
        <v/>
      </c>
      <c r="N97" s="11">
        <f>IF(Time!N23&gt;Inputs!$F$205,(1+Inputs!$F$278/100*Time!N24)^-(Time!N20-Time!$F$17),0)</f>
        <v/>
      </c>
      <c r="O97" s="11">
        <f>IF(Time!O23&gt;Inputs!$F$205,(1+Inputs!$F$278/100*Time!O24)^-(Time!O20-Time!$F$17),0)</f>
        <v/>
      </c>
      <c r="P97" s="11">
        <f>IF(Time!P23&gt;Inputs!$F$205,(1+Inputs!$F$278/100*Time!P24)^-(Time!P20-Time!$F$17),0)</f>
        <v/>
      </c>
      <c r="Q97" s="11">
        <f>IF(Time!Q23&gt;Inputs!$F$205,(1+Inputs!$F$278/100*Time!Q24)^-(Time!Q20-Time!$F$17),0)</f>
        <v/>
      </c>
      <c r="R97" s="11">
        <f>IF(Time!R23&gt;Inputs!$F$205,(1+Inputs!$F$278/100*Time!R24)^-(Time!R20-Time!$F$17),0)</f>
        <v/>
      </c>
      <c r="S97" s="11">
        <f>IF(Time!S23&gt;Inputs!$F$205,(1+Inputs!$F$278/100*Time!S24)^-(Time!S20-Time!$F$17),0)</f>
        <v/>
      </c>
      <c r="T97" s="11">
        <f>IF(Time!T23&gt;Inputs!$F$205,(1+Inputs!$F$278/100*Time!T24)^-(Time!T20-Time!$F$17),0)</f>
        <v/>
      </c>
      <c r="U97" s="11">
        <f>IF(Time!U23&gt;Inputs!$F$205,(1+Inputs!$F$278/100*Time!U24)^-(Time!U20-Time!$F$17),0)</f>
        <v/>
      </c>
      <c r="V97" s="11">
        <f>IF(Time!V23&gt;Inputs!$F$205,(1+Inputs!$F$278/100*Time!V24)^-(Time!V20-Time!$F$17),0)</f>
        <v/>
      </c>
      <c r="W97" s="11">
        <f>IF(Time!W23&gt;Inputs!$F$205,(1+Inputs!$F$278/100*Time!W24)^-(Time!W20-Time!$F$17),0)</f>
        <v/>
      </c>
      <c r="X97" s="11">
        <f>IF(Time!X23&gt;Inputs!$F$205,(1+Inputs!$F$278/100*Time!X24)^-(Time!X20-Time!$F$17),0)</f>
        <v/>
      </c>
      <c r="Y97" s="11">
        <f>IF(Time!Y23&gt;Inputs!$F$205,(1+Inputs!$F$278/100*Time!Y24)^-(Time!Y20-Time!$F$17),0)</f>
        <v/>
      </c>
      <c r="Z97" s="11">
        <f>IF(Time!Z23&gt;Inputs!$F$205,(1+Inputs!$F$278/100*Time!Z24)^-(Time!Z20-Time!$F$17),0)</f>
        <v/>
      </c>
      <c r="AA97" s="11">
        <f>IF(Time!AA23&gt;Inputs!$F$205,(1+Inputs!$F$278/100*Time!AA24)^-(Time!AA20-Time!$F$17),0)</f>
        <v/>
      </c>
      <c r="AB97" s="11">
        <f>IF(Time!AB23&gt;Inputs!$F$205,(1+Inputs!$F$278/100*Time!AB24)^-(Time!AB20-Time!$F$17),0)</f>
        <v/>
      </c>
      <c r="AC97" s="11">
        <f>IF(Time!AC23&gt;Inputs!$F$205,(1+Inputs!$F$278/100*Time!AC24)^-(Time!AC20-Time!$F$17),0)</f>
        <v/>
      </c>
      <c r="AD97" s="11">
        <f>IF(Time!AD23&gt;Inputs!$F$205,(1+Inputs!$F$278/100*Time!AD24)^-(Time!AD20-Time!$F$17),0)</f>
        <v/>
      </c>
      <c r="AE97" s="11">
        <f>IF(Time!AE23&gt;Inputs!$F$205,(1+Inputs!$F$278/100*Time!AE24)^-(Time!AE20-Time!$F$17),0)</f>
        <v/>
      </c>
      <c r="AF97" s="11">
        <f>IF(Time!AF23&gt;Inputs!$F$205,(1+Inputs!$F$278/100*Time!AF24)^-(Time!AF20-Time!$F$17),0)</f>
        <v/>
      </c>
      <c r="AG97" s="11">
        <f>IF(Time!AG23&gt;Inputs!$F$205,(1+Inputs!$F$278/100*Time!AG24)^-(Time!AG20-Time!$F$17),0)</f>
        <v/>
      </c>
      <c r="AH97" s="11">
        <f>IF(Time!AH23&gt;Inputs!$F$205,(1+Inputs!$F$278/100*Time!AH24)^-(Time!AH20-Time!$F$17),0)</f>
        <v/>
      </c>
      <c r="AI97" s="11">
        <f>IF(Time!AI23&gt;Inputs!$F$205,(1+Inputs!$F$278/100*Time!AI24)^-(Time!AI20-Time!$F$17),0)</f>
        <v/>
      </c>
      <c r="AJ97" s="11">
        <f>IF(Time!AJ23&gt;Inputs!$F$205,(1+Inputs!$F$278/100*Time!AJ24)^-(Time!AJ20-Time!$F$17),0)</f>
        <v/>
      </c>
      <c r="AK97" s="11">
        <f>IF(Time!AK23&gt;Inputs!$F$205,(1+Inputs!$F$278/100*Time!AK24)^-(Time!AK20-Time!$F$17),0)</f>
        <v/>
      </c>
      <c r="AL97" s="11">
        <f>IF(Time!AL23&gt;Inputs!$F$205,(1+Inputs!$F$278/100*Time!AL24)^-(Time!AL20-Time!$F$17),0)</f>
        <v/>
      </c>
      <c r="AM97" s="11">
        <f>IF(Time!AM23&gt;Inputs!$F$205,(1+Inputs!$F$278/100*Time!AM24)^-(Time!AM20-Time!$F$17),0)</f>
        <v/>
      </c>
      <c r="AN97" s="11">
        <f>IF(Time!AN23&gt;Inputs!$F$205,(1+Inputs!$F$278/100*Time!AN24)^-(Time!AN20-Time!$F$17),0)</f>
        <v/>
      </c>
      <c r="AO97" s="11">
        <f>IF(Time!AO23&gt;Inputs!$F$205,(1+Inputs!$F$278/100*Time!AO24)^-(Time!AO20-Time!$F$17),0)</f>
        <v/>
      </c>
      <c r="AP97" s="11">
        <f>IF(Time!AP23&gt;Inputs!$F$205,(1+Inputs!$F$278/100*Time!AP24)^-(Time!AP20-Time!$F$17),0)</f>
        <v/>
      </c>
      <c r="AQ97" s="11">
        <f>IF(Time!AQ23&gt;Inputs!$F$205,(1+Inputs!$F$278/100*Time!AQ24)^-(Time!AQ20-Time!$F$17),0)</f>
        <v/>
      </c>
      <c r="AR97" s="11">
        <f>IF(Time!AR23&gt;Inputs!$F$205,(1+Inputs!$F$278/100*Time!AR24)^-(Time!AR20-Time!$F$17),0)</f>
        <v/>
      </c>
      <c r="AS97" s="11">
        <f>IF(Time!AS23&gt;Inputs!$F$205,(1+Inputs!$F$278/100*Time!AS24)^-(Time!AS20-Time!$F$17),0)</f>
        <v/>
      </c>
      <c r="AT97" s="11">
        <f>IF(Time!AT23&gt;Inputs!$F$205,(1+Inputs!$F$278/100*Time!AT24)^-(Time!AT20-Time!$F$17),0)</f>
        <v/>
      </c>
      <c r="AU97" s="11">
        <f>IF(Time!AU23&gt;Inputs!$F$205,(1+Inputs!$F$278/100*Time!AU24)^-(Time!AU20-Time!$F$17),0)</f>
        <v/>
      </c>
      <c r="AV97" s="11">
        <f>IF(Time!AV23&gt;Inputs!$F$205,(1+Inputs!$F$278/100*Time!AV24)^-(Time!AV20-Time!$F$17),0)</f>
        <v/>
      </c>
      <c r="AW97" s="11">
        <f>IF(Time!AW23&gt;Inputs!$F$205,(1+Inputs!$F$278/100*Time!AW24)^-(Time!AW20-Time!$F$17),0)</f>
        <v/>
      </c>
      <c r="AX97" s="11">
        <f>IF(Time!AX23&gt;Inputs!$F$205,(1+Inputs!$F$278/100*Time!AX24)^-(Time!AX20-Time!$F$17),0)</f>
        <v/>
      </c>
      <c r="AY97" s="11">
        <f>IF(Time!AY23&gt;Inputs!$F$205,(1+Inputs!$F$278/100*Time!AY24)^-(Time!AY20-Time!$F$17),0)</f>
        <v/>
      </c>
      <c r="AZ97" s="11">
        <f>IF(Time!AZ23&gt;Inputs!$F$205,(1+Inputs!$F$278/100*Time!AZ24)^-(Time!AZ20-Time!$F$17),0)</f>
        <v/>
      </c>
      <c r="BA97" s="11">
        <f>IF(Time!BA23&gt;Inputs!$F$205,(1+Inputs!$F$278/100*Time!BA24)^-(Time!BA20-Time!$F$17),0)</f>
        <v/>
      </c>
      <c r="BB97" s="11">
        <f>IF(Time!BB23&gt;Inputs!$F$205,(1+Inputs!$F$278/100*Time!BB24)^-(Time!BB20-Time!$F$17),0)</f>
        <v/>
      </c>
      <c r="BC97" s="11">
        <f>IF(Time!BC23&gt;Inputs!$F$205,(1+Inputs!$F$278/100*Time!BC24)^-(Time!BC20-Time!$F$17),0)</f>
        <v/>
      </c>
      <c r="BD97" s="11">
        <f>IF(Time!BD23&gt;Inputs!$F$205,(1+Inputs!$F$278/100*Time!BD24)^-(Time!BD20-Time!$F$17),0)</f>
        <v/>
      </c>
      <c r="BE97" s="11">
        <f>IF(Time!BE23&gt;Inputs!$F$205,(1+Inputs!$F$278/100*Time!BE24)^-(Time!BE20-Time!$F$17),0)</f>
        <v/>
      </c>
      <c r="BF97" s="11">
        <f>IF(Time!BF23&gt;Inputs!$F$205,(1+Inputs!$F$278/100*Time!BF24)^-(Time!BF20-Time!$F$17),0)</f>
        <v/>
      </c>
      <c r="BG97" s="11">
        <f>IF(Time!BG23&gt;Inputs!$F$205,(1+Inputs!$F$278/100*Time!BG24)^-(Time!BG20-Time!$F$17),0)</f>
        <v/>
      </c>
      <c r="BH97" s="11">
        <f>IF(Time!BH23&gt;Inputs!$F$205,(1+Inputs!$F$278/100*Time!BH24)^-(Time!BH20-Time!$F$17),0)</f>
        <v/>
      </c>
      <c r="BI97" s="11">
        <f>IF(Time!BI23&gt;Inputs!$F$205,(1+Inputs!$F$278/100*Time!BI24)^-(Time!BI20-Time!$F$17),0)</f>
        <v/>
      </c>
      <c r="BJ97" s="11">
        <f>IF(Time!BJ23&gt;Inputs!$F$205,(1+Inputs!$F$278/100*Time!BJ24)^-(Time!BJ20-Time!$F$17),0)</f>
        <v/>
      </c>
      <c r="BK97" s="11">
        <f>IF(Time!BK23&gt;Inputs!$F$205,(1+Inputs!$F$278/100*Time!BK24)^-(Time!BK20-Time!$F$17),0)</f>
        <v/>
      </c>
      <c r="BL97" s="11">
        <f>IF(Time!BL23&gt;Inputs!$F$205,(1+Inputs!$F$278/100*Time!BL24)^-(Time!BL20-Time!$F$17),0)</f>
        <v/>
      </c>
      <c r="BM97" s="11">
        <f>IF(Time!BM23&gt;Inputs!$F$205,(1+Inputs!$F$278/100*Time!BM24)^-(Time!BM20-Time!$F$17),0)</f>
        <v/>
      </c>
      <c r="BN97" s="11">
        <f>IF(Time!BN23&gt;Inputs!$F$205,(1+Inputs!$F$278/100*Time!BN24)^-(Time!BN20-Time!$F$17),0)</f>
        <v/>
      </c>
    </row>
    <row r="98">
      <c r="D98" t="inlineStr">
        <is>
          <t>Swap unwind receipt (terminated share, MTM at the flat swap rate)</t>
        </is>
      </c>
      <c r="E98" t="inlineStr">
        <is>
          <t>USD m</t>
        </is>
      </c>
      <c r="F98" s="17">
        <f>Inputs!$F$50*Inputs!$F$279*(Inputs!$F$278-Inputs!$F$97)/100*SUMPRODUCT(Inputs!$J$301:$BN$301,$J$97:$BN$97,Time!$J$24:$BN$24)</f>
        <v/>
      </c>
    </row>
    <row r="99">
      <c r="D99" t="inlineStr">
        <is>
          <t>Principal prepaid from bond proceeds (B-loan, commercial, standby)</t>
        </is>
      </c>
      <c r="E99" t="inlineStr">
        <is>
          <t>USD m</t>
        </is>
      </c>
      <c r="G99" s="13">
        <f>SUM(J99:BN99)</f>
        <v/>
      </c>
      <c r="J99" s="13">
        <f>J57+J71+J85</f>
        <v/>
      </c>
      <c r="K99" s="13">
        <f>K57+K71+K85</f>
        <v/>
      </c>
      <c r="L99" s="13">
        <f>L57+L71+L85</f>
        <v/>
      </c>
      <c r="M99" s="13">
        <f>M57+M71+M85</f>
        <v/>
      </c>
      <c r="N99" s="13">
        <f>N57+N71+N85</f>
        <v/>
      </c>
      <c r="O99" s="13">
        <f>O57+O71+O85</f>
        <v/>
      </c>
      <c r="P99" s="13">
        <f>P57+P71+P85</f>
        <v/>
      </c>
      <c r="Q99" s="13">
        <f>Q57+Q71+Q85</f>
        <v/>
      </c>
      <c r="R99" s="13">
        <f>R57+R71+R85</f>
        <v/>
      </c>
      <c r="S99" s="13">
        <f>S57+S71+S85</f>
        <v/>
      </c>
      <c r="T99" s="13">
        <f>T57+T71+T85</f>
        <v/>
      </c>
      <c r="U99" s="13">
        <f>U57+U71+U85</f>
        <v/>
      </c>
      <c r="V99" s="13">
        <f>V57+V71+V85</f>
        <v/>
      </c>
      <c r="W99" s="13">
        <f>W57+W71+W85</f>
        <v/>
      </c>
      <c r="X99" s="13">
        <f>X57+X71+X85</f>
        <v/>
      </c>
      <c r="Y99" s="13">
        <f>Y57+Y71+Y85</f>
        <v/>
      </c>
      <c r="Z99" s="13">
        <f>Z57+Z71+Z85</f>
        <v/>
      </c>
      <c r="AA99" s="13">
        <f>AA57+AA71+AA85</f>
        <v/>
      </c>
      <c r="AB99" s="13">
        <f>AB57+AB71+AB85</f>
        <v/>
      </c>
      <c r="AC99" s="13">
        <f>AC57+AC71+AC85</f>
        <v/>
      </c>
      <c r="AD99" s="13">
        <f>AD57+AD71+AD85</f>
        <v/>
      </c>
      <c r="AE99" s="13">
        <f>AE57+AE71+AE85</f>
        <v/>
      </c>
      <c r="AF99" s="13">
        <f>AF57+AF71+AF85</f>
        <v/>
      </c>
      <c r="AG99" s="13">
        <f>AG57+AG71+AG85</f>
        <v/>
      </c>
      <c r="AH99" s="13">
        <f>AH57+AH71+AH85</f>
        <v/>
      </c>
      <c r="AI99" s="13">
        <f>AI57+AI71+AI85</f>
        <v/>
      </c>
      <c r="AJ99" s="13">
        <f>AJ57+AJ71+AJ85</f>
        <v/>
      </c>
      <c r="AK99" s="13">
        <f>AK57+AK71+AK85</f>
        <v/>
      </c>
      <c r="AL99" s="13">
        <f>AL57+AL71+AL85</f>
        <v/>
      </c>
      <c r="AM99" s="13">
        <f>AM57+AM71+AM85</f>
        <v/>
      </c>
      <c r="AN99" s="13">
        <f>AN57+AN71+AN85</f>
        <v/>
      </c>
      <c r="AO99" s="13">
        <f>AO57+AO71+AO85</f>
        <v/>
      </c>
      <c r="AP99" s="13">
        <f>AP57+AP71+AP85</f>
        <v/>
      </c>
      <c r="AQ99" s="13">
        <f>AQ57+AQ71+AQ85</f>
        <v/>
      </c>
      <c r="AR99" s="13">
        <f>AR57+AR71+AR85</f>
        <v/>
      </c>
      <c r="AS99" s="13">
        <f>AS57+AS71+AS85</f>
        <v/>
      </c>
      <c r="AT99" s="13">
        <f>AT57+AT71+AT85</f>
        <v/>
      </c>
      <c r="AU99" s="13">
        <f>AU57+AU71+AU85</f>
        <v/>
      </c>
      <c r="AV99" s="13">
        <f>AV57+AV71+AV85</f>
        <v/>
      </c>
      <c r="AW99" s="13">
        <f>AW57+AW71+AW85</f>
        <v/>
      </c>
      <c r="AX99" s="13">
        <f>AX57+AX71+AX85</f>
        <v/>
      </c>
      <c r="AY99" s="13">
        <f>AY57+AY71+AY85</f>
        <v/>
      </c>
      <c r="AZ99" s="13">
        <f>AZ57+AZ71+AZ85</f>
        <v/>
      </c>
      <c r="BA99" s="13">
        <f>BA57+BA71+BA85</f>
        <v/>
      </c>
      <c r="BB99" s="13">
        <f>BB57+BB71+BB85</f>
        <v/>
      </c>
      <c r="BC99" s="13">
        <f>BC57+BC71+BC85</f>
        <v/>
      </c>
      <c r="BD99" s="13">
        <f>BD57+BD71+BD85</f>
        <v/>
      </c>
      <c r="BE99" s="13">
        <f>BE57+BE71+BE85</f>
        <v/>
      </c>
      <c r="BF99" s="13">
        <f>BF57+BF71+BF85</f>
        <v/>
      </c>
      <c r="BG99" s="13">
        <f>BG57+BG71+BG85</f>
        <v/>
      </c>
      <c r="BH99" s="13">
        <f>BH57+BH71+BH85</f>
        <v/>
      </c>
      <c r="BI99" s="13">
        <f>BI57+BI71+BI85</f>
        <v/>
      </c>
      <c r="BJ99" s="13">
        <f>BJ57+BJ71+BJ85</f>
        <v/>
      </c>
      <c r="BK99" s="13">
        <f>BK57+BK71+BK85</f>
        <v/>
      </c>
      <c r="BL99" s="13">
        <f>BL57+BL71+BL85</f>
        <v/>
      </c>
      <c r="BM99" s="13">
        <f>BM57+BM71+BM85</f>
        <v/>
      </c>
      <c r="BN99" s="13">
        <f>BN57+BN71+BN85</f>
        <v/>
      </c>
    </row>
    <row r="100">
      <c r="D100" t="inlineStr">
        <is>
          <t>Bond issued (face)</t>
        </is>
      </c>
      <c r="E100" t="inlineStr">
        <is>
          <t>USD m</t>
        </is>
      </c>
      <c r="G100" s="13">
        <f>SUM(J100:BN100)</f>
        <v/>
      </c>
      <c r="J100" s="13">
        <f>Time!J47*(J99+Inputs!$F$274+Inputs!$F$277/100*Inputs!$F$275-$F$98)/(Inputs!$F$272-Inputs!$F$273)</f>
        <v/>
      </c>
      <c r="K100" s="13">
        <f>Time!K47*(K99+Inputs!$F$274+Inputs!$F$277/100*Inputs!$F$275-$F$98)/(Inputs!$F$272-Inputs!$F$273)</f>
        <v/>
      </c>
      <c r="L100" s="13">
        <f>Time!L47*(L99+Inputs!$F$274+Inputs!$F$277/100*Inputs!$F$275-$F$98)/(Inputs!$F$272-Inputs!$F$273)</f>
        <v/>
      </c>
      <c r="M100" s="13">
        <f>Time!M47*(M99+Inputs!$F$274+Inputs!$F$277/100*Inputs!$F$275-$F$98)/(Inputs!$F$272-Inputs!$F$273)</f>
        <v/>
      </c>
      <c r="N100" s="13">
        <f>Time!N47*(N99+Inputs!$F$274+Inputs!$F$277/100*Inputs!$F$275-$F$98)/(Inputs!$F$272-Inputs!$F$273)</f>
        <v/>
      </c>
      <c r="O100" s="13">
        <f>Time!O47*(O99+Inputs!$F$274+Inputs!$F$277/100*Inputs!$F$275-$F$98)/(Inputs!$F$272-Inputs!$F$273)</f>
        <v/>
      </c>
      <c r="P100" s="13">
        <f>Time!P47*(P99+Inputs!$F$274+Inputs!$F$277/100*Inputs!$F$275-$F$98)/(Inputs!$F$272-Inputs!$F$273)</f>
        <v/>
      </c>
      <c r="Q100" s="13">
        <f>Time!Q47*(Q99+Inputs!$F$274+Inputs!$F$277/100*Inputs!$F$275-$F$98)/(Inputs!$F$272-Inputs!$F$273)</f>
        <v/>
      </c>
      <c r="R100" s="13">
        <f>Time!R47*(R99+Inputs!$F$274+Inputs!$F$277/100*Inputs!$F$275-$F$98)/(Inputs!$F$272-Inputs!$F$273)</f>
        <v/>
      </c>
      <c r="S100" s="13">
        <f>Time!S47*(S99+Inputs!$F$274+Inputs!$F$277/100*Inputs!$F$275-$F$98)/(Inputs!$F$272-Inputs!$F$273)</f>
        <v/>
      </c>
      <c r="T100" s="13">
        <f>Time!T47*(T99+Inputs!$F$274+Inputs!$F$277/100*Inputs!$F$275-$F$98)/(Inputs!$F$272-Inputs!$F$273)</f>
        <v/>
      </c>
      <c r="U100" s="13">
        <f>Time!U47*(U99+Inputs!$F$274+Inputs!$F$277/100*Inputs!$F$275-$F$98)/(Inputs!$F$272-Inputs!$F$273)</f>
        <v/>
      </c>
      <c r="V100" s="13">
        <f>Time!V47*(V99+Inputs!$F$274+Inputs!$F$277/100*Inputs!$F$275-$F$98)/(Inputs!$F$272-Inputs!$F$273)</f>
        <v/>
      </c>
      <c r="W100" s="13">
        <f>Time!W47*(W99+Inputs!$F$274+Inputs!$F$277/100*Inputs!$F$275-$F$98)/(Inputs!$F$272-Inputs!$F$273)</f>
        <v/>
      </c>
      <c r="X100" s="13">
        <f>Time!X47*(X99+Inputs!$F$274+Inputs!$F$277/100*Inputs!$F$275-$F$98)/(Inputs!$F$272-Inputs!$F$273)</f>
        <v/>
      </c>
      <c r="Y100" s="13">
        <f>Time!Y47*(Y99+Inputs!$F$274+Inputs!$F$277/100*Inputs!$F$275-$F$98)/(Inputs!$F$272-Inputs!$F$273)</f>
        <v/>
      </c>
      <c r="Z100" s="13">
        <f>Time!Z47*(Z99+Inputs!$F$274+Inputs!$F$277/100*Inputs!$F$275-$F$98)/(Inputs!$F$272-Inputs!$F$273)</f>
        <v/>
      </c>
      <c r="AA100" s="13">
        <f>Time!AA47*(AA99+Inputs!$F$274+Inputs!$F$277/100*Inputs!$F$275-$F$98)/(Inputs!$F$272-Inputs!$F$273)</f>
        <v/>
      </c>
      <c r="AB100" s="13">
        <f>Time!AB47*(AB99+Inputs!$F$274+Inputs!$F$277/100*Inputs!$F$275-$F$98)/(Inputs!$F$272-Inputs!$F$273)</f>
        <v/>
      </c>
      <c r="AC100" s="13">
        <f>Time!AC47*(AC99+Inputs!$F$274+Inputs!$F$277/100*Inputs!$F$275-$F$98)/(Inputs!$F$272-Inputs!$F$273)</f>
        <v/>
      </c>
      <c r="AD100" s="13">
        <f>Time!AD47*(AD99+Inputs!$F$274+Inputs!$F$277/100*Inputs!$F$275-$F$98)/(Inputs!$F$272-Inputs!$F$273)</f>
        <v/>
      </c>
      <c r="AE100" s="13">
        <f>Time!AE47*(AE99+Inputs!$F$274+Inputs!$F$277/100*Inputs!$F$275-$F$98)/(Inputs!$F$272-Inputs!$F$273)</f>
        <v/>
      </c>
      <c r="AF100" s="13">
        <f>Time!AF47*(AF99+Inputs!$F$274+Inputs!$F$277/100*Inputs!$F$275-$F$98)/(Inputs!$F$272-Inputs!$F$273)</f>
        <v/>
      </c>
      <c r="AG100" s="13">
        <f>Time!AG47*(AG99+Inputs!$F$274+Inputs!$F$277/100*Inputs!$F$275-$F$98)/(Inputs!$F$272-Inputs!$F$273)</f>
        <v/>
      </c>
      <c r="AH100" s="13">
        <f>Time!AH47*(AH99+Inputs!$F$274+Inputs!$F$277/100*Inputs!$F$275-$F$98)/(Inputs!$F$272-Inputs!$F$273)</f>
        <v/>
      </c>
      <c r="AI100" s="13">
        <f>Time!AI47*(AI99+Inputs!$F$274+Inputs!$F$277/100*Inputs!$F$275-$F$98)/(Inputs!$F$272-Inputs!$F$273)</f>
        <v/>
      </c>
      <c r="AJ100" s="13">
        <f>Time!AJ47*(AJ99+Inputs!$F$274+Inputs!$F$277/100*Inputs!$F$275-$F$98)/(Inputs!$F$272-Inputs!$F$273)</f>
        <v/>
      </c>
      <c r="AK100" s="13">
        <f>Time!AK47*(AK99+Inputs!$F$274+Inputs!$F$277/100*Inputs!$F$275-$F$98)/(Inputs!$F$272-Inputs!$F$273)</f>
        <v/>
      </c>
      <c r="AL100" s="13">
        <f>Time!AL47*(AL99+Inputs!$F$274+Inputs!$F$277/100*Inputs!$F$275-$F$98)/(Inputs!$F$272-Inputs!$F$273)</f>
        <v/>
      </c>
      <c r="AM100" s="13">
        <f>Time!AM47*(AM99+Inputs!$F$274+Inputs!$F$277/100*Inputs!$F$275-$F$98)/(Inputs!$F$272-Inputs!$F$273)</f>
        <v/>
      </c>
      <c r="AN100" s="13">
        <f>Time!AN47*(AN99+Inputs!$F$274+Inputs!$F$277/100*Inputs!$F$275-$F$98)/(Inputs!$F$272-Inputs!$F$273)</f>
        <v/>
      </c>
      <c r="AO100" s="13">
        <f>Time!AO47*(AO99+Inputs!$F$274+Inputs!$F$277/100*Inputs!$F$275-$F$98)/(Inputs!$F$272-Inputs!$F$273)</f>
        <v/>
      </c>
      <c r="AP100" s="13">
        <f>Time!AP47*(AP99+Inputs!$F$274+Inputs!$F$277/100*Inputs!$F$275-$F$98)/(Inputs!$F$272-Inputs!$F$273)</f>
        <v/>
      </c>
      <c r="AQ100" s="13">
        <f>Time!AQ47*(AQ99+Inputs!$F$274+Inputs!$F$277/100*Inputs!$F$275-$F$98)/(Inputs!$F$272-Inputs!$F$273)</f>
        <v/>
      </c>
      <c r="AR100" s="13">
        <f>Time!AR47*(AR99+Inputs!$F$274+Inputs!$F$277/100*Inputs!$F$275-$F$98)/(Inputs!$F$272-Inputs!$F$273)</f>
        <v/>
      </c>
      <c r="AS100" s="13">
        <f>Time!AS47*(AS99+Inputs!$F$274+Inputs!$F$277/100*Inputs!$F$275-$F$98)/(Inputs!$F$272-Inputs!$F$273)</f>
        <v/>
      </c>
      <c r="AT100" s="13">
        <f>Time!AT47*(AT99+Inputs!$F$274+Inputs!$F$277/100*Inputs!$F$275-$F$98)/(Inputs!$F$272-Inputs!$F$273)</f>
        <v/>
      </c>
      <c r="AU100" s="13">
        <f>Time!AU47*(AU99+Inputs!$F$274+Inputs!$F$277/100*Inputs!$F$275-$F$98)/(Inputs!$F$272-Inputs!$F$273)</f>
        <v/>
      </c>
      <c r="AV100" s="13">
        <f>Time!AV47*(AV99+Inputs!$F$274+Inputs!$F$277/100*Inputs!$F$275-$F$98)/(Inputs!$F$272-Inputs!$F$273)</f>
        <v/>
      </c>
      <c r="AW100" s="13">
        <f>Time!AW47*(AW99+Inputs!$F$274+Inputs!$F$277/100*Inputs!$F$275-$F$98)/(Inputs!$F$272-Inputs!$F$273)</f>
        <v/>
      </c>
      <c r="AX100" s="13">
        <f>Time!AX47*(AX99+Inputs!$F$274+Inputs!$F$277/100*Inputs!$F$275-$F$98)/(Inputs!$F$272-Inputs!$F$273)</f>
        <v/>
      </c>
      <c r="AY100" s="13">
        <f>Time!AY47*(AY99+Inputs!$F$274+Inputs!$F$277/100*Inputs!$F$275-$F$98)/(Inputs!$F$272-Inputs!$F$273)</f>
        <v/>
      </c>
      <c r="AZ100" s="13">
        <f>Time!AZ47*(AZ99+Inputs!$F$274+Inputs!$F$277/100*Inputs!$F$275-$F$98)/(Inputs!$F$272-Inputs!$F$273)</f>
        <v/>
      </c>
      <c r="BA100" s="13">
        <f>Time!BA47*(BA99+Inputs!$F$274+Inputs!$F$277/100*Inputs!$F$275-$F$98)/(Inputs!$F$272-Inputs!$F$273)</f>
        <v/>
      </c>
      <c r="BB100" s="13">
        <f>Time!BB47*(BB99+Inputs!$F$274+Inputs!$F$277/100*Inputs!$F$275-$F$98)/(Inputs!$F$272-Inputs!$F$273)</f>
        <v/>
      </c>
      <c r="BC100" s="13">
        <f>Time!BC47*(BC99+Inputs!$F$274+Inputs!$F$277/100*Inputs!$F$275-$F$98)/(Inputs!$F$272-Inputs!$F$273)</f>
        <v/>
      </c>
      <c r="BD100" s="13">
        <f>Time!BD47*(BD99+Inputs!$F$274+Inputs!$F$277/100*Inputs!$F$275-$F$98)/(Inputs!$F$272-Inputs!$F$273)</f>
        <v/>
      </c>
      <c r="BE100" s="13">
        <f>Time!BE47*(BE99+Inputs!$F$274+Inputs!$F$277/100*Inputs!$F$275-$F$98)/(Inputs!$F$272-Inputs!$F$273)</f>
        <v/>
      </c>
      <c r="BF100" s="13">
        <f>Time!BF47*(BF99+Inputs!$F$274+Inputs!$F$277/100*Inputs!$F$275-$F$98)/(Inputs!$F$272-Inputs!$F$273)</f>
        <v/>
      </c>
      <c r="BG100" s="13">
        <f>Time!BG47*(BG99+Inputs!$F$274+Inputs!$F$277/100*Inputs!$F$275-$F$98)/(Inputs!$F$272-Inputs!$F$273)</f>
        <v/>
      </c>
      <c r="BH100" s="13">
        <f>Time!BH47*(BH99+Inputs!$F$274+Inputs!$F$277/100*Inputs!$F$275-$F$98)/(Inputs!$F$272-Inputs!$F$273)</f>
        <v/>
      </c>
      <c r="BI100" s="13">
        <f>Time!BI47*(BI99+Inputs!$F$274+Inputs!$F$277/100*Inputs!$F$275-$F$98)/(Inputs!$F$272-Inputs!$F$273)</f>
        <v/>
      </c>
      <c r="BJ100" s="13">
        <f>Time!BJ47*(BJ99+Inputs!$F$274+Inputs!$F$277/100*Inputs!$F$275-$F$98)/(Inputs!$F$272-Inputs!$F$273)</f>
        <v/>
      </c>
      <c r="BK100" s="13">
        <f>Time!BK47*(BK99+Inputs!$F$274+Inputs!$F$277/100*Inputs!$F$275-$F$98)/(Inputs!$F$272-Inputs!$F$273)</f>
        <v/>
      </c>
      <c r="BL100" s="13">
        <f>Time!BL47*(BL99+Inputs!$F$274+Inputs!$F$277/100*Inputs!$F$275-$F$98)/(Inputs!$F$272-Inputs!$F$273)</f>
        <v/>
      </c>
      <c r="BM100" s="13">
        <f>Time!BM47*(BM99+Inputs!$F$274+Inputs!$F$277/100*Inputs!$F$275-$F$98)/(Inputs!$F$272-Inputs!$F$273)</f>
        <v/>
      </c>
      <c r="BN100" s="13">
        <f>Time!BN47*(BN99+Inputs!$F$274+Inputs!$F$277/100*Inputs!$F$275-$F$98)/(Inputs!$F$272-Inputs!$F$273)</f>
        <v/>
      </c>
    </row>
    <row r="101">
      <c r="D101" t="inlineStr">
        <is>
          <t>Bond face, cumulative</t>
        </is>
      </c>
      <c r="E101" t="inlineStr">
        <is>
          <t>USD m</t>
        </is>
      </c>
      <c r="J101" s="13">
        <f>I101+J100</f>
        <v/>
      </c>
      <c r="K101" s="13">
        <f>J101+K100</f>
        <v/>
      </c>
      <c r="L101" s="13">
        <f>K101+L100</f>
        <v/>
      </c>
      <c r="M101" s="13">
        <f>L101+M100</f>
        <v/>
      </c>
      <c r="N101" s="13">
        <f>M101+N100</f>
        <v/>
      </c>
      <c r="O101" s="13">
        <f>N101+O100</f>
        <v/>
      </c>
      <c r="P101" s="13">
        <f>O101+P100</f>
        <v/>
      </c>
      <c r="Q101" s="13">
        <f>P101+Q100</f>
        <v/>
      </c>
      <c r="R101" s="13">
        <f>Q101+R100</f>
        <v/>
      </c>
      <c r="S101" s="13">
        <f>R101+S100</f>
        <v/>
      </c>
      <c r="T101" s="13">
        <f>S101+T100</f>
        <v/>
      </c>
      <c r="U101" s="13">
        <f>T101+U100</f>
        <v/>
      </c>
      <c r="V101" s="13">
        <f>U101+V100</f>
        <v/>
      </c>
      <c r="W101" s="13">
        <f>V101+W100</f>
        <v/>
      </c>
      <c r="X101" s="13">
        <f>W101+X100</f>
        <v/>
      </c>
      <c r="Y101" s="13">
        <f>X101+Y100</f>
        <v/>
      </c>
      <c r="Z101" s="13">
        <f>Y101+Z100</f>
        <v/>
      </c>
      <c r="AA101" s="13">
        <f>Z101+AA100</f>
        <v/>
      </c>
      <c r="AB101" s="13">
        <f>AA101+AB100</f>
        <v/>
      </c>
      <c r="AC101" s="13">
        <f>AB101+AC100</f>
        <v/>
      </c>
      <c r="AD101" s="13">
        <f>AC101+AD100</f>
        <v/>
      </c>
      <c r="AE101" s="13">
        <f>AD101+AE100</f>
        <v/>
      </c>
      <c r="AF101" s="13">
        <f>AE101+AF100</f>
        <v/>
      </c>
      <c r="AG101" s="13">
        <f>AF101+AG100</f>
        <v/>
      </c>
      <c r="AH101" s="13">
        <f>AG101+AH100</f>
        <v/>
      </c>
      <c r="AI101" s="13">
        <f>AH101+AI100</f>
        <v/>
      </c>
      <c r="AJ101" s="13">
        <f>AI101+AJ100</f>
        <v/>
      </c>
      <c r="AK101" s="13">
        <f>AJ101+AK100</f>
        <v/>
      </c>
      <c r="AL101" s="13">
        <f>AK101+AL100</f>
        <v/>
      </c>
      <c r="AM101" s="13">
        <f>AL101+AM100</f>
        <v/>
      </c>
      <c r="AN101" s="13">
        <f>AM101+AN100</f>
        <v/>
      </c>
      <c r="AO101" s="13">
        <f>AN101+AO100</f>
        <v/>
      </c>
      <c r="AP101" s="13">
        <f>AO101+AP100</f>
        <v/>
      </c>
      <c r="AQ101" s="13">
        <f>AP101+AQ100</f>
        <v/>
      </c>
      <c r="AR101" s="13">
        <f>AQ101+AR100</f>
        <v/>
      </c>
      <c r="AS101" s="13">
        <f>AR101+AS100</f>
        <v/>
      </c>
      <c r="AT101" s="13">
        <f>AS101+AT100</f>
        <v/>
      </c>
      <c r="AU101" s="13">
        <f>AT101+AU100</f>
        <v/>
      </c>
      <c r="AV101" s="13">
        <f>AU101+AV100</f>
        <v/>
      </c>
      <c r="AW101" s="13">
        <f>AV101+AW100</f>
        <v/>
      </c>
      <c r="AX101" s="13">
        <f>AW101+AX100</f>
        <v/>
      </c>
      <c r="AY101" s="13">
        <f>AX101+AY100</f>
        <v/>
      </c>
      <c r="AZ101" s="13">
        <f>AY101+AZ100</f>
        <v/>
      </c>
      <c r="BA101" s="13">
        <f>AZ101+BA100</f>
        <v/>
      </c>
      <c r="BB101" s="13">
        <f>BA101+BB100</f>
        <v/>
      </c>
      <c r="BC101" s="13">
        <f>BB101+BC100</f>
        <v/>
      </c>
      <c r="BD101" s="13">
        <f>BC101+BD100</f>
        <v/>
      </c>
      <c r="BE101" s="13">
        <f>BD101+BE100</f>
        <v/>
      </c>
      <c r="BF101" s="13">
        <f>BE101+BF100</f>
        <v/>
      </c>
      <c r="BG101" s="13">
        <f>BF101+BG100</f>
        <v/>
      </c>
      <c r="BH101" s="13">
        <f>BG101+BH100</f>
        <v/>
      </c>
      <c r="BI101" s="13">
        <f>BH101+BI100</f>
        <v/>
      </c>
      <c r="BJ101" s="13">
        <f>BI101+BJ100</f>
        <v/>
      </c>
      <c r="BK101" s="13">
        <f>BJ101+BK100</f>
        <v/>
      </c>
      <c r="BL101" s="13">
        <f>BK101+BL100</f>
        <v/>
      </c>
      <c r="BM101" s="13">
        <f>BL101+BM100</f>
        <v/>
      </c>
      <c r="BN101" s="13">
        <f>BM101+BN100</f>
        <v/>
      </c>
    </row>
    <row r="102">
      <c r="D102" t="inlineStr">
        <is>
          <t>Bond face amount</t>
        </is>
      </c>
      <c r="E102" t="inlineStr">
        <is>
          <t>USD m</t>
        </is>
      </c>
      <c r="F102" s="17">
        <f>SUM($J$100:$BN$100)</f>
        <v/>
      </c>
    </row>
    <row r="103">
      <c r="D103" t="inlineStr">
        <is>
          <t>Swap unwind receipt</t>
        </is>
      </c>
      <c r="E103" t="inlineStr">
        <is>
          <t>USD m</t>
        </is>
      </c>
      <c r="G103" s="13">
        <f>SUM(J103:BN103)</f>
        <v/>
      </c>
      <c r="J103" s="13">
        <f>Time!J47*$F$98</f>
        <v/>
      </c>
      <c r="K103" s="13">
        <f>Time!K47*$F$98</f>
        <v/>
      </c>
      <c r="L103" s="13">
        <f>Time!L47*$F$98</f>
        <v/>
      </c>
      <c r="M103" s="13">
        <f>Time!M47*$F$98</f>
        <v/>
      </c>
      <c r="N103" s="13">
        <f>Time!N47*$F$98</f>
        <v/>
      </c>
      <c r="O103" s="13">
        <f>Time!O47*$F$98</f>
        <v/>
      </c>
      <c r="P103" s="13">
        <f>Time!P47*$F$98</f>
        <v/>
      </c>
      <c r="Q103" s="13">
        <f>Time!Q47*$F$98</f>
        <v/>
      </c>
      <c r="R103" s="13">
        <f>Time!R47*$F$98</f>
        <v/>
      </c>
      <c r="S103" s="13">
        <f>Time!S47*$F$98</f>
        <v/>
      </c>
      <c r="T103" s="13">
        <f>Time!T47*$F$98</f>
        <v/>
      </c>
      <c r="U103" s="13">
        <f>Time!U47*$F$98</f>
        <v/>
      </c>
      <c r="V103" s="13">
        <f>Time!V47*$F$98</f>
        <v/>
      </c>
      <c r="W103" s="13">
        <f>Time!W47*$F$98</f>
        <v/>
      </c>
      <c r="X103" s="13">
        <f>Time!X47*$F$98</f>
        <v/>
      </c>
      <c r="Y103" s="13">
        <f>Time!Y47*$F$98</f>
        <v/>
      </c>
      <c r="Z103" s="13">
        <f>Time!Z47*$F$98</f>
        <v/>
      </c>
      <c r="AA103" s="13">
        <f>Time!AA47*$F$98</f>
        <v/>
      </c>
      <c r="AB103" s="13">
        <f>Time!AB47*$F$98</f>
        <v/>
      </c>
      <c r="AC103" s="13">
        <f>Time!AC47*$F$98</f>
        <v/>
      </c>
      <c r="AD103" s="13">
        <f>Time!AD47*$F$98</f>
        <v/>
      </c>
      <c r="AE103" s="13">
        <f>Time!AE47*$F$98</f>
        <v/>
      </c>
      <c r="AF103" s="13">
        <f>Time!AF47*$F$98</f>
        <v/>
      </c>
      <c r="AG103" s="13">
        <f>Time!AG47*$F$98</f>
        <v/>
      </c>
      <c r="AH103" s="13">
        <f>Time!AH47*$F$98</f>
        <v/>
      </c>
      <c r="AI103" s="13">
        <f>Time!AI47*$F$98</f>
        <v/>
      </c>
      <c r="AJ103" s="13">
        <f>Time!AJ47*$F$98</f>
        <v/>
      </c>
      <c r="AK103" s="13">
        <f>Time!AK47*$F$98</f>
        <v/>
      </c>
      <c r="AL103" s="13">
        <f>Time!AL47*$F$98</f>
        <v/>
      </c>
      <c r="AM103" s="13">
        <f>Time!AM47*$F$98</f>
        <v/>
      </c>
      <c r="AN103" s="13">
        <f>Time!AN47*$F$98</f>
        <v/>
      </c>
      <c r="AO103" s="13">
        <f>Time!AO47*$F$98</f>
        <v/>
      </c>
      <c r="AP103" s="13">
        <f>Time!AP47*$F$98</f>
        <v/>
      </c>
      <c r="AQ103" s="13">
        <f>Time!AQ47*$F$98</f>
        <v/>
      </c>
      <c r="AR103" s="13">
        <f>Time!AR47*$F$98</f>
        <v/>
      </c>
      <c r="AS103" s="13">
        <f>Time!AS47*$F$98</f>
        <v/>
      </c>
      <c r="AT103" s="13">
        <f>Time!AT47*$F$98</f>
        <v/>
      </c>
      <c r="AU103" s="13">
        <f>Time!AU47*$F$98</f>
        <v/>
      </c>
      <c r="AV103" s="13">
        <f>Time!AV47*$F$98</f>
        <v/>
      </c>
      <c r="AW103" s="13">
        <f>Time!AW47*$F$98</f>
        <v/>
      </c>
      <c r="AX103" s="13">
        <f>Time!AX47*$F$98</f>
        <v/>
      </c>
      <c r="AY103" s="13">
        <f>Time!AY47*$F$98</f>
        <v/>
      </c>
      <c r="AZ103" s="13">
        <f>Time!AZ47*$F$98</f>
        <v/>
      </c>
      <c r="BA103" s="13">
        <f>Time!BA47*$F$98</f>
        <v/>
      </c>
      <c r="BB103" s="13">
        <f>Time!BB47*$F$98</f>
        <v/>
      </c>
      <c r="BC103" s="13">
        <f>Time!BC47*$F$98</f>
        <v/>
      </c>
      <c r="BD103" s="13">
        <f>Time!BD47*$F$98</f>
        <v/>
      </c>
      <c r="BE103" s="13">
        <f>Time!BE47*$F$98</f>
        <v/>
      </c>
      <c r="BF103" s="13">
        <f>Time!BF47*$F$98</f>
        <v/>
      </c>
      <c r="BG103" s="13">
        <f>Time!BG47*$F$98</f>
        <v/>
      </c>
      <c r="BH103" s="13">
        <f>Time!BH47*$F$98</f>
        <v/>
      </c>
      <c r="BI103" s="13">
        <f>Time!BI47*$F$98</f>
        <v/>
      </c>
      <c r="BJ103" s="13">
        <f>Time!BJ47*$F$98</f>
        <v/>
      </c>
      <c r="BK103" s="13">
        <f>Time!BK47*$F$98</f>
        <v/>
      </c>
      <c r="BL103" s="13">
        <f>Time!BL47*$F$98</f>
        <v/>
      </c>
      <c r="BM103" s="13">
        <f>Time!BM47*$F$98</f>
        <v/>
      </c>
      <c r="BN103" s="13">
        <f>Time!BN47*$F$98</f>
        <v/>
      </c>
    </row>
    <row r="104">
      <c r="D104" t="inlineStr">
        <is>
          <t>Refinancing costs (OID, underwriting, other, PCG upfront)</t>
        </is>
      </c>
      <c r="E104" t="inlineStr">
        <is>
          <t>USD m</t>
        </is>
      </c>
      <c r="G104" s="13">
        <f>SUM(J104:BN104)</f>
        <v/>
      </c>
      <c r="J104" s="13">
        <f>J100*(1-Inputs!$F$272)+Inputs!$F$273*J100+Time!J47*(Inputs!$F$274+Inputs!$F$277/100*Inputs!$F$275)</f>
        <v/>
      </c>
      <c r="K104" s="13">
        <f>K100*(1-Inputs!$F$272)+Inputs!$F$273*K100+Time!K47*(Inputs!$F$274+Inputs!$F$277/100*Inputs!$F$275)</f>
        <v/>
      </c>
      <c r="L104" s="13">
        <f>L100*(1-Inputs!$F$272)+Inputs!$F$273*L100+Time!L47*(Inputs!$F$274+Inputs!$F$277/100*Inputs!$F$275)</f>
        <v/>
      </c>
      <c r="M104" s="13">
        <f>M100*(1-Inputs!$F$272)+Inputs!$F$273*M100+Time!M47*(Inputs!$F$274+Inputs!$F$277/100*Inputs!$F$275)</f>
        <v/>
      </c>
      <c r="N104" s="13">
        <f>N100*(1-Inputs!$F$272)+Inputs!$F$273*N100+Time!N47*(Inputs!$F$274+Inputs!$F$277/100*Inputs!$F$275)</f>
        <v/>
      </c>
      <c r="O104" s="13">
        <f>O100*(1-Inputs!$F$272)+Inputs!$F$273*O100+Time!O47*(Inputs!$F$274+Inputs!$F$277/100*Inputs!$F$275)</f>
        <v/>
      </c>
      <c r="P104" s="13">
        <f>P100*(1-Inputs!$F$272)+Inputs!$F$273*P100+Time!P47*(Inputs!$F$274+Inputs!$F$277/100*Inputs!$F$275)</f>
        <v/>
      </c>
      <c r="Q104" s="13">
        <f>Q100*(1-Inputs!$F$272)+Inputs!$F$273*Q100+Time!Q47*(Inputs!$F$274+Inputs!$F$277/100*Inputs!$F$275)</f>
        <v/>
      </c>
      <c r="R104" s="13">
        <f>R100*(1-Inputs!$F$272)+Inputs!$F$273*R100+Time!R47*(Inputs!$F$274+Inputs!$F$277/100*Inputs!$F$275)</f>
        <v/>
      </c>
      <c r="S104" s="13">
        <f>S100*(1-Inputs!$F$272)+Inputs!$F$273*S100+Time!S47*(Inputs!$F$274+Inputs!$F$277/100*Inputs!$F$275)</f>
        <v/>
      </c>
      <c r="T104" s="13">
        <f>T100*(1-Inputs!$F$272)+Inputs!$F$273*T100+Time!T47*(Inputs!$F$274+Inputs!$F$277/100*Inputs!$F$275)</f>
        <v/>
      </c>
      <c r="U104" s="13">
        <f>U100*(1-Inputs!$F$272)+Inputs!$F$273*U100+Time!U47*(Inputs!$F$274+Inputs!$F$277/100*Inputs!$F$275)</f>
        <v/>
      </c>
      <c r="V104" s="13">
        <f>V100*(1-Inputs!$F$272)+Inputs!$F$273*V100+Time!V47*(Inputs!$F$274+Inputs!$F$277/100*Inputs!$F$275)</f>
        <v/>
      </c>
      <c r="W104" s="13">
        <f>W100*(1-Inputs!$F$272)+Inputs!$F$273*W100+Time!W47*(Inputs!$F$274+Inputs!$F$277/100*Inputs!$F$275)</f>
        <v/>
      </c>
      <c r="X104" s="13">
        <f>X100*(1-Inputs!$F$272)+Inputs!$F$273*X100+Time!X47*(Inputs!$F$274+Inputs!$F$277/100*Inputs!$F$275)</f>
        <v/>
      </c>
      <c r="Y104" s="13">
        <f>Y100*(1-Inputs!$F$272)+Inputs!$F$273*Y100+Time!Y47*(Inputs!$F$274+Inputs!$F$277/100*Inputs!$F$275)</f>
        <v/>
      </c>
      <c r="Z104" s="13">
        <f>Z100*(1-Inputs!$F$272)+Inputs!$F$273*Z100+Time!Z47*(Inputs!$F$274+Inputs!$F$277/100*Inputs!$F$275)</f>
        <v/>
      </c>
      <c r="AA104" s="13">
        <f>AA100*(1-Inputs!$F$272)+Inputs!$F$273*AA100+Time!AA47*(Inputs!$F$274+Inputs!$F$277/100*Inputs!$F$275)</f>
        <v/>
      </c>
      <c r="AB104" s="13">
        <f>AB100*(1-Inputs!$F$272)+Inputs!$F$273*AB100+Time!AB47*(Inputs!$F$274+Inputs!$F$277/100*Inputs!$F$275)</f>
        <v/>
      </c>
      <c r="AC104" s="13">
        <f>AC100*(1-Inputs!$F$272)+Inputs!$F$273*AC100+Time!AC47*(Inputs!$F$274+Inputs!$F$277/100*Inputs!$F$275)</f>
        <v/>
      </c>
      <c r="AD104" s="13">
        <f>AD100*(1-Inputs!$F$272)+Inputs!$F$273*AD100+Time!AD47*(Inputs!$F$274+Inputs!$F$277/100*Inputs!$F$275)</f>
        <v/>
      </c>
      <c r="AE104" s="13">
        <f>AE100*(1-Inputs!$F$272)+Inputs!$F$273*AE100+Time!AE47*(Inputs!$F$274+Inputs!$F$277/100*Inputs!$F$275)</f>
        <v/>
      </c>
      <c r="AF104" s="13">
        <f>AF100*(1-Inputs!$F$272)+Inputs!$F$273*AF100+Time!AF47*(Inputs!$F$274+Inputs!$F$277/100*Inputs!$F$275)</f>
        <v/>
      </c>
      <c r="AG104" s="13">
        <f>AG100*(1-Inputs!$F$272)+Inputs!$F$273*AG100+Time!AG47*(Inputs!$F$274+Inputs!$F$277/100*Inputs!$F$275)</f>
        <v/>
      </c>
      <c r="AH104" s="13">
        <f>AH100*(1-Inputs!$F$272)+Inputs!$F$273*AH100+Time!AH47*(Inputs!$F$274+Inputs!$F$277/100*Inputs!$F$275)</f>
        <v/>
      </c>
      <c r="AI104" s="13">
        <f>AI100*(1-Inputs!$F$272)+Inputs!$F$273*AI100+Time!AI47*(Inputs!$F$274+Inputs!$F$277/100*Inputs!$F$275)</f>
        <v/>
      </c>
      <c r="AJ104" s="13">
        <f>AJ100*(1-Inputs!$F$272)+Inputs!$F$273*AJ100+Time!AJ47*(Inputs!$F$274+Inputs!$F$277/100*Inputs!$F$275)</f>
        <v/>
      </c>
      <c r="AK104" s="13">
        <f>AK100*(1-Inputs!$F$272)+Inputs!$F$273*AK100+Time!AK47*(Inputs!$F$274+Inputs!$F$277/100*Inputs!$F$275)</f>
        <v/>
      </c>
      <c r="AL104" s="13">
        <f>AL100*(1-Inputs!$F$272)+Inputs!$F$273*AL100+Time!AL47*(Inputs!$F$274+Inputs!$F$277/100*Inputs!$F$275)</f>
        <v/>
      </c>
      <c r="AM104" s="13">
        <f>AM100*(1-Inputs!$F$272)+Inputs!$F$273*AM100+Time!AM47*(Inputs!$F$274+Inputs!$F$277/100*Inputs!$F$275)</f>
        <v/>
      </c>
      <c r="AN104" s="13">
        <f>AN100*(1-Inputs!$F$272)+Inputs!$F$273*AN100+Time!AN47*(Inputs!$F$274+Inputs!$F$277/100*Inputs!$F$275)</f>
        <v/>
      </c>
      <c r="AO104" s="13">
        <f>AO100*(1-Inputs!$F$272)+Inputs!$F$273*AO100+Time!AO47*(Inputs!$F$274+Inputs!$F$277/100*Inputs!$F$275)</f>
        <v/>
      </c>
      <c r="AP104" s="13">
        <f>AP100*(1-Inputs!$F$272)+Inputs!$F$273*AP100+Time!AP47*(Inputs!$F$274+Inputs!$F$277/100*Inputs!$F$275)</f>
        <v/>
      </c>
      <c r="AQ104" s="13">
        <f>AQ100*(1-Inputs!$F$272)+Inputs!$F$273*AQ100+Time!AQ47*(Inputs!$F$274+Inputs!$F$277/100*Inputs!$F$275)</f>
        <v/>
      </c>
      <c r="AR104" s="13">
        <f>AR100*(1-Inputs!$F$272)+Inputs!$F$273*AR100+Time!AR47*(Inputs!$F$274+Inputs!$F$277/100*Inputs!$F$275)</f>
        <v/>
      </c>
      <c r="AS104" s="13">
        <f>AS100*(1-Inputs!$F$272)+Inputs!$F$273*AS100+Time!AS47*(Inputs!$F$274+Inputs!$F$277/100*Inputs!$F$275)</f>
        <v/>
      </c>
      <c r="AT104" s="13">
        <f>AT100*(1-Inputs!$F$272)+Inputs!$F$273*AT100+Time!AT47*(Inputs!$F$274+Inputs!$F$277/100*Inputs!$F$275)</f>
        <v/>
      </c>
      <c r="AU104" s="13">
        <f>AU100*(1-Inputs!$F$272)+Inputs!$F$273*AU100+Time!AU47*(Inputs!$F$274+Inputs!$F$277/100*Inputs!$F$275)</f>
        <v/>
      </c>
      <c r="AV104" s="13">
        <f>AV100*(1-Inputs!$F$272)+Inputs!$F$273*AV100+Time!AV47*(Inputs!$F$274+Inputs!$F$277/100*Inputs!$F$275)</f>
        <v/>
      </c>
      <c r="AW104" s="13">
        <f>AW100*(1-Inputs!$F$272)+Inputs!$F$273*AW100+Time!AW47*(Inputs!$F$274+Inputs!$F$277/100*Inputs!$F$275)</f>
        <v/>
      </c>
      <c r="AX104" s="13">
        <f>AX100*(1-Inputs!$F$272)+Inputs!$F$273*AX100+Time!AX47*(Inputs!$F$274+Inputs!$F$277/100*Inputs!$F$275)</f>
        <v/>
      </c>
      <c r="AY104" s="13">
        <f>AY100*(1-Inputs!$F$272)+Inputs!$F$273*AY100+Time!AY47*(Inputs!$F$274+Inputs!$F$277/100*Inputs!$F$275)</f>
        <v/>
      </c>
      <c r="AZ104" s="13">
        <f>AZ100*(1-Inputs!$F$272)+Inputs!$F$273*AZ100+Time!AZ47*(Inputs!$F$274+Inputs!$F$277/100*Inputs!$F$275)</f>
        <v/>
      </c>
      <c r="BA104" s="13">
        <f>BA100*(1-Inputs!$F$272)+Inputs!$F$273*BA100+Time!BA47*(Inputs!$F$274+Inputs!$F$277/100*Inputs!$F$275)</f>
        <v/>
      </c>
      <c r="BB104" s="13">
        <f>BB100*(1-Inputs!$F$272)+Inputs!$F$273*BB100+Time!BB47*(Inputs!$F$274+Inputs!$F$277/100*Inputs!$F$275)</f>
        <v/>
      </c>
      <c r="BC104" s="13">
        <f>BC100*(1-Inputs!$F$272)+Inputs!$F$273*BC100+Time!BC47*(Inputs!$F$274+Inputs!$F$277/100*Inputs!$F$275)</f>
        <v/>
      </c>
      <c r="BD104" s="13">
        <f>BD100*(1-Inputs!$F$272)+Inputs!$F$273*BD100+Time!BD47*(Inputs!$F$274+Inputs!$F$277/100*Inputs!$F$275)</f>
        <v/>
      </c>
      <c r="BE104" s="13">
        <f>BE100*(1-Inputs!$F$272)+Inputs!$F$273*BE100+Time!BE47*(Inputs!$F$274+Inputs!$F$277/100*Inputs!$F$275)</f>
        <v/>
      </c>
      <c r="BF104" s="13">
        <f>BF100*(1-Inputs!$F$272)+Inputs!$F$273*BF100+Time!BF47*(Inputs!$F$274+Inputs!$F$277/100*Inputs!$F$275)</f>
        <v/>
      </c>
      <c r="BG104" s="13">
        <f>BG100*(1-Inputs!$F$272)+Inputs!$F$273*BG100+Time!BG47*(Inputs!$F$274+Inputs!$F$277/100*Inputs!$F$275)</f>
        <v/>
      </c>
      <c r="BH104" s="13">
        <f>BH100*(1-Inputs!$F$272)+Inputs!$F$273*BH100+Time!BH47*(Inputs!$F$274+Inputs!$F$277/100*Inputs!$F$275)</f>
        <v/>
      </c>
      <c r="BI104" s="13">
        <f>BI100*(1-Inputs!$F$272)+Inputs!$F$273*BI100+Time!BI47*(Inputs!$F$274+Inputs!$F$277/100*Inputs!$F$275)</f>
        <v/>
      </c>
      <c r="BJ104" s="13">
        <f>BJ100*(1-Inputs!$F$272)+Inputs!$F$273*BJ100+Time!BJ47*(Inputs!$F$274+Inputs!$F$277/100*Inputs!$F$275)</f>
        <v/>
      </c>
      <c r="BK104" s="13">
        <f>BK100*(1-Inputs!$F$272)+Inputs!$F$273*BK100+Time!BK47*(Inputs!$F$274+Inputs!$F$277/100*Inputs!$F$275)</f>
        <v/>
      </c>
      <c r="BL104" s="13">
        <f>BL100*(1-Inputs!$F$272)+Inputs!$F$273*BL100+Time!BL47*(Inputs!$F$274+Inputs!$F$277/100*Inputs!$F$275)</f>
        <v/>
      </c>
      <c r="BM104" s="13">
        <f>BM100*(1-Inputs!$F$272)+Inputs!$F$273*BM100+Time!BM47*(Inputs!$F$274+Inputs!$F$277/100*Inputs!$F$275)</f>
        <v/>
      </c>
      <c r="BN104" s="13">
        <f>BN100*(1-Inputs!$F$272)+Inputs!$F$273*BN100+Time!BN47*(Inputs!$F$274+Inputs!$F$277/100*Inputs!$F$275)</f>
        <v/>
      </c>
    </row>
    <row r="105">
      <c r="B105" s="2" t="inlineStr">
        <is>
          <t>Swap, premiums and fees (USD m)</t>
        </is>
      </c>
    </row>
    <row r="106">
      <c r="D106" t="inlineStr">
        <is>
          <t>Swap share outstanding</t>
        </is>
      </c>
      <c r="E106" t="inlineStr">
        <is>
          <t>fraction</t>
        </is>
      </c>
      <c r="J106" s="13">
        <f>IF(Time!J48=1,Inputs!$F$280,1)</f>
        <v/>
      </c>
      <c r="K106" s="13">
        <f>IF(Time!K48=1,Inputs!$F$280,1)</f>
        <v/>
      </c>
      <c r="L106" s="13">
        <f>IF(Time!L48=1,Inputs!$F$280,1)</f>
        <v/>
      </c>
      <c r="M106" s="13">
        <f>IF(Time!M48=1,Inputs!$F$280,1)</f>
        <v/>
      </c>
      <c r="N106" s="13">
        <f>IF(Time!N48=1,Inputs!$F$280,1)</f>
        <v/>
      </c>
      <c r="O106" s="13">
        <f>IF(Time!O48=1,Inputs!$F$280,1)</f>
        <v/>
      </c>
      <c r="P106" s="13">
        <f>IF(Time!P48=1,Inputs!$F$280,1)</f>
        <v/>
      </c>
      <c r="Q106" s="13">
        <f>IF(Time!Q48=1,Inputs!$F$280,1)</f>
        <v/>
      </c>
      <c r="R106" s="13">
        <f>IF(Time!R48=1,Inputs!$F$280,1)</f>
        <v/>
      </c>
      <c r="S106" s="13">
        <f>IF(Time!S48=1,Inputs!$F$280,1)</f>
        <v/>
      </c>
      <c r="T106" s="13">
        <f>IF(Time!T48=1,Inputs!$F$280,1)</f>
        <v/>
      </c>
      <c r="U106" s="13">
        <f>IF(Time!U48=1,Inputs!$F$280,1)</f>
        <v/>
      </c>
      <c r="V106" s="13">
        <f>IF(Time!V48=1,Inputs!$F$280,1)</f>
        <v/>
      </c>
      <c r="W106" s="13">
        <f>IF(Time!W48=1,Inputs!$F$280,1)</f>
        <v/>
      </c>
      <c r="X106" s="13">
        <f>IF(Time!X48=1,Inputs!$F$280,1)</f>
        <v/>
      </c>
      <c r="Y106" s="13">
        <f>IF(Time!Y48=1,Inputs!$F$280,1)</f>
        <v/>
      </c>
      <c r="Z106" s="13">
        <f>IF(Time!Z48=1,Inputs!$F$280,1)</f>
        <v/>
      </c>
      <c r="AA106" s="13">
        <f>IF(Time!AA48=1,Inputs!$F$280,1)</f>
        <v/>
      </c>
      <c r="AB106" s="13">
        <f>IF(Time!AB48=1,Inputs!$F$280,1)</f>
        <v/>
      </c>
      <c r="AC106" s="13">
        <f>IF(Time!AC48=1,Inputs!$F$280,1)</f>
        <v/>
      </c>
      <c r="AD106" s="13">
        <f>IF(Time!AD48=1,Inputs!$F$280,1)</f>
        <v/>
      </c>
      <c r="AE106" s="13">
        <f>IF(Time!AE48=1,Inputs!$F$280,1)</f>
        <v/>
      </c>
      <c r="AF106" s="13">
        <f>IF(Time!AF48=1,Inputs!$F$280,1)</f>
        <v/>
      </c>
      <c r="AG106" s="13">
        <f>IF(Time!AG48=1,Inputs!$F$280,1)</f>
        <v/>
      </c>
      <c r="AH106" s="13">
        <f>IF(Time!AH48=1,Inputs!$F$280,1)</f>
        <v/>
      </c>
      <c r="AI106" s="13">
        <f>IF(Time!AI48=1,Inputs!$F$280,1)</f>
        <v/>
      </c>
      <c r="AJ106" s="13">
        <f>IF(Time!AJ48=1,Inputs!$F$280,1)</f>
        <v/>
      </c>
      <c r="AK106" s="13">
        <f>IF(Time!AK48=1,Inputs!$F$280,1)</f>
        <v/>
      </c>
      <c r="AL106" s="13">
        <f>IF(Time!AL48=1,Inputs!$F$280,1)</f>
        <v/>
      </c>
      <c r="AM106" s="13">
        <f>IF(Time!AM48=1,Inputs!$F$280,1)</f>
        <v/>
      </c>
      <c r="AN106" s="13">
        <f>IF(Time!AN48=1,Inputs!$F$280,1)</f>
        <v/>
      </c>
      <c r="AO106" s="13">
        <f>IF(Time!AO48=1,Inputs!$F$280,1)</f>
        <v/>
      </c>
      <c r="AP106" s="13">
        <f>IF(Time!AP48=1,Inputs!$F$280,1)</f>
        <v/>
      </c>
      <c r="AQ106" s="13">
        <f>IF(Time!AQ48=1,Inputs!$F$280,1)</f>
        <v/>
      </c>
      <c r="AR106" s="13">
        <f>IF(Time!AR48=1,Inputs!$F$280,1)</f>
        <v/>
      </c>
      <c r="AS106" s="13">
        <f>IF(Time!AS48=1,Inputs!$F$280,1)</f>
        <v/>
      </c>
      <c r="AT106" s="13">
        <f>IF(Time!AT48=1,Inputs!$F$280,1)</f>
        <v/>
      </c>
      <c r="AU106" s="13">
        <f>IF(Time!AU48=1,Inputs!$F$280,1)</f>
        <v/>
      </c>
      <c r="AV106" s="13">
        <f>IF(Time!AV48=1,Inputs!$F$280,1)</f>
        <v/>
      </c>
      <c r="AW106" s="13">
        <f>IF(Time!AW48=1,Inputs!$F$280,1)</f>
        <v/>
      </c>
      <c r="AX106" s="13">
        <f>IF(Time!AX48=1,Inputs!$F$280,1)</f>
        <v/>
      </c>
      <c r="AY106" s="13">
        <f>IF(Time!AY48=1,Inputs!$F$280,1)</f>
        <v/>
      </c>
      <c r="AZ106" s="13">
        <f>IF(Time!AZ48=1,Inputs!$F$280,1)</f>
        <v/>
      </c>
      <c r="BA106" s="13">
        <f>IF(Time!BA48=1,Inputs!$F$280,1)</f>
        <v/>
      </c>
      <c r="BB106" s="13">
        <f>IF(Time!BB48=1,Inputs!$F$280,1)</f>
        <v/>
      </c>
      <c r="BC106" s="13">
        <f>IF(Time!BC48=1,Inputs!$F$280,1)</f>
        <v/>
      </c>
      <c r="BD106" s="13">
        <f>IF(Time!BD48=1,Inputs!$F$280,1)</f>
        <v/>
      </c>
      <c r="BE106" s="13">
        <f>IF(Time!BE48=1,Inputs!$F$280,1)</f>
        <v/>
      </c>
      <c r="BF106" s="13">
        <f>IF(Time!BF48=1,Inputs!$F$280,1)</f>
        <v/>
      </c>
      <c r="BG106" s="13">
        <f>IF(Time!BG48=1,Inputs!$F$280,1)</f>
        <v/>
      </c>
      <c r="BH106" s="13">
        <f>IF(Time!BH48=1,Inputs!$F$280,1)</f>
        <v/>
      </c>
      <c r="BI106" s="13">
        <f>IF(Time!BI48=1,Inputs!$F$280,1)</f>
        <v/>
      </c>
      <c r="BJ106" s="13">
        <f>IF(Time!BJ48=1,Inputs!$F$280,1)</f>
        <v/>
      </c>
      <c r="BK106" s="13">
        <f>IF(Time!BK48=1,Inputs!$F$280,1)</f>
        <v/>
      </c>
      <c r="BL106" s="13">
        <f>IF(Time!BL48=1,Inputs!$F$280,1)</f>
        <v/>
      </c>
      <c r="BM106" s="13">
        <f>IF(Time!BM48=1,Inputs!$F$280,1)</f>
        <v/>
      </c>
      <c r="BN106" s="13">
        <f>IF(Time!BN48=1,Inputs!$F$280,1)</f>
        <v/>
      </c>
    </row>
    <row r="107">
      <c r="D107" t="inlineStr">
        <is>
          <t>Swap net payment (fixed 30/360 less floating ACT/360)</t>
        </is>
      </c>
      <c r="E107" t="inlineStr">
        <is>
          <t>USD m</t>
        </is>
      </c>
      <c r="G107" s="13">
        <f>SUM(J107:BN107)</f>
        <v/>
      </c>
      <c r="J107" s="13">
        <f>Time!J35*Inputs!J301*J106*(Inputs!$F$97/100*Time!J24-Operations!J9/100*Time!J25/Inputs!$F$247)</f>
        <v/>
      </c>
      <c r="K107" s="13">
        <f>Time!K35*Inputs!K301*K106*(Inputs!$F$97/100*Time!K24-Operations!K9/100*Time!K25/Inputs!$F$247)</f>
        <v/>
      </c>
      <c r="L107" s="13">
        <f>Time!L35*Inputs!L301*L106*(Inputs!$F$97/100*Time!L24-Operations!L9/100*Time!L25/Inputs!$F$247)</f>
        <v/>
      </c>
      <c r="M107" s="13">
        <f>Time!M35*Inputs!M301*M106*(Inputs!$F$97/100*Time!M24-Operations!M9/100*Time!M25/Inputs!$F$247)</f>
        <v/>
      </c>
      <c r="N107" s="13">
        <f>Time!N35*Inputs!N301*N106*(Inputs!$F$97/100*Time!N24-Operations!N9/100*Time!N25/Inputs!$F$247)</f>
        <v/>
      </c>
      <c r="O107" s="13">
        <f>Time!O35*Inputs!O301*O106*(Inputs!$F$97/100*Time!O24-Operations!O9/100*Time!O25/Inputs!$F$247)</f>
        <v/>
      </c>
      <c r="P107" s="13">
        <f>Time!P35*Inputs!P301*P106*(Inputs!$F$97/100*Time!P24-Operations!P9/100*Time!P25/Inputs!$F$247)</f>
        <v/>
      </c>
      <c r="Q107" s="13">
        <f>Time!Q35*Inputs!Q301*Q106*(Inputs!$F$97/100*Time!Q24-Operations!Q9/100*Time!Q25/Inputs!$F$247)</f>
        <v/>
      </c>
      <c r="R107" s="13">
        <f>Time!R35*Inputs!R301*R106*(Inputs!$F$97/100*Time!R24-Operations!R9/100*Time!R25/Inputs!$F$247)</f>
        <v/>
      </c>
      <c r="S107" s="13">
        <f>Time!S35*Inputs!S301*S106*(Inputs!$F$97/100*Time!S24-Operations!S9/100*Time!S25/Inputs!$F$247)</f>
        <v/>
      </c>
      <c r="T107" s="13">
        <f>Time!T35*Inputs!T301*T106*(Inputs!$F$97/100*Time!T24-Operations!T9/100*Time!T25/Inputs!$F$247)</f>
        <v/>
      </c>
      <c r="U107" s="13">
        <f>Time!U35*Inputs!U301*U106*(Inputs!$F$97/100*Time!U24-Operations!U9/100*Time!U25/Inputs!$F$247)</f>
        <v/>
      </c>
      <c r="V107" s="13">
        <f>Time!V35*Inputs!V301*V106*(Inputs!$F$97/100*Time!V24-Operations!V9/100*Time!V25/Inputs!$F$247)</f>
        <v/>
      </c>
      <c r="W107" s="13">
        <f>Time!W35*Inputs!W301*W106*(Inputs!$F$97/100*Time!W24-Operations!W9/100*Time!W25/Inputs!$F$247)</f>
        <v/>
      </c>
      <c r="X107" s="13">
        <f>Time!X35*Inputs!X301*X106*(Inputs!$F$97/100*Time!X24-Operations!X9/100*Time!X25/Inputs!$F$247)</f>
        <v/>
      </c>
      <c r="Y107" s="13">
        <f>Time!Y35*Inputs!Y301*Y106*(Inputs!$F$97/100*Time!Y24-Operations!Y9/100*Time!Y25/Inputs!$F$247)</f>
        <v/>
      </c>
      <c r="Z107" s="13">
        <f>Time!Z35*Inputs!Z301*Z106*(Inputs!$F$97/100*Time!Z24-Operations!Z9/100*Time!Z25/Inputs!$F$247)</f>
        <v/>
      </c>
      <c r="AA107" s="13">
        <f>Time!AA35*Inputs!AA301*AA106*(Inputs!$F$97/100*Time!AA24-Operations!AA9/100*Time!AA25/Inputs!$F$247)</f>
        <v/>
      </c>
      <c r="AB107" s="13">
        <f>Time!AB35*Inputs!AB301*AB106*(Inputs!$F$97/100*Time!AB24-Operations!AB9/100*Time!AB25/Inputs!$F$247)</f>
        <v/>
      </c>
      <c r="AC107" s="13">
        <f>Time!AC35*Inputs!AC301*AC106*(Inputs!$F$97/100*Time!AC24-Operations!AC9/100*Time!AC25/Inputs!$F$247)</f>
        <v/>
      </c>
      <c r="AD107" s="13">
        <f>Time!AD35*Inputs!AD301*AD106*(Inputs!$F$97/100*Time!AD24-Operations!AD9/100*Time!AD25/Inputs!$F$247)</f>
        <v/>
      </c>
      <c r="AE107" s="13">
        <f>Time!AE35*Inputs!AE301*AE106*(Inputs!$F$97/100*Time!AE24-Operations!AE9/100*Time!AE25/Inputs!$F$247)</f>
        <v/>
      </c>
      <c r="AF107" s="13">
        <f>Time!AF35*Inputs!AF301*AF106*(Inputs!$F$97/100*Time!AF24-Operations!AF9/100*Time!AF25/Inputs!$F$247)</f>
        <v/>
      </c>
      <c r="AG107" s="13">
        <f>Time!AG35*Inputs!AG301*AG106*(Inputs!$F$97/100*Time!AG24-Operations!AG9/100*Time!AG25/Inputs!$F$247)</f>
        <v/>
      </c>
      <c r="AH107" s="13">
        <f>Time!AH35*Inputs!AH301*AH106*(Inputs!$F$97/100*Time!AH24-Operations!AH9/100*Time!AH25/Inputs!$F$247)</f>
        <v/>
      </c>
      <c r="AI107" s="13">
        <f>Time!AI35*Inputs!AI301*AI106*(Inputs!$F$97/100*Time!AI24-Operations!AI9/100*Time!AI25/Inputs!$F$247)</f>
        <v/>
      </c>
      <c r="AJ107" s="13">
        <f>Time!AJ35*Inputs!AJ301*AJ106*(Inputs!$F$97/100*Time!AJ24-Operations!AJ9/100*Time!AJ25/Inputs!$F$247)</f>
        <v/>
      </c>
      <c r="AK107" s="13">
        <f>Time!AK35*Inputs!AK301*AK106*(Inputs!$F$97/100*Time!AK24-Operations!AK9/100*Time!AK25/Inputs!$F$247)</f>
        <v/>
      </c>
      <c r="AL107" s="13">
        <f>Time!AL35*Inputs!AL301*AL106*(Inputs!$F$97/100*Time!AL24-Operations!AL9/100*Time!AL25/Inputs!$F$247)</f>
        <v/>
      </c>
      <c r="AM107" s="13">
        <f>Time!AM35*Inputs!AM301*AM106*(Inputs!$F$97/100*Time!AM24-Operations!AM9/100*Time!AM25/Inputs!$F$247)</f>
        <v/>
      </c>
      <c r="AN107" s="13">
        <f>Time!AN35*Inputs!AN301*AN106*(Inputs!$F$97/100*Time!AN24-Operations!AN9/100*Time!AN25/Inputs!$F$247)</f>
        <v/>
      </c>
      <c r="AO107" s="13">
        <f>Time!AO35*Inputs!AO301*AO106*(Inputs!$F$97/100*Time!AO24-Operations!AO9/100*Time!AO25/Inputs!$F$247)</f>
        <v/>
      </c>
      <c r="AP107" s="13">
        <f>Time!AP35*Inputs!AP301*AP106*(Inputs!$F$97/100*Time!AP24-Operations!AP9/100*Time!AP25/Inputs!$F$247)</f>
        <v/>
      </c>
      <c r="AQ107" s="13">
        <f>Time!AQ35*Inputs!AQ301*AQ106*(Inputs!$F$97/100*Time!AQ24-Operations!AQ9/100*Time!AQ25/Inputs!$F$247)</f>
        <v/>
      </c>
      <c r="AR107" s="13">
        <f>Time!AR35*Inputs!AR301*AR106*(Inputs!$F$97/100*Time!AR24-Operations!AR9/100*Time!AR25/Inputs!$F$247)</f>
        <v/>
      </c>
      <c r="AS107" s="13">
        <f>Time!AS35*Inputs!AS301*AS106*(Inputs!$F$97/100*Time!AS24-Operations!AS9/100*Time!AS25/Inputs!$F$247)</f>
        <v/>
      </c>
      <c r="AT107" s="13">
        <f>Time!AT35*Inputs!AT301*AT106*(Inputs!$F$97/100*Time!AT24-Operations!AT9/100*Time!AT25/Inputs!$F$247)</f>
        <v/>
      </c>
      <c r="AU107" s="13">
        <f>Time!AU35*Inputs!AU301*AU106*(Inputs!$F$97/100*Time!AU24-Operations!AU9/100*Time!AU25/Inputs!$F$247)</f>
        <v/>
      </c>
      <c r="AV107" s="13">
        <f>Time!AV35*Inputs!AV301*AV106*(Inputs!$F$97/100*Time!AV24-Operations!AV9/100*Time!AV25/Inputs!$F$247)</f>
        <v/>
      </c>
      <c r="AW107" s="13">
        <f>Time!AW35*Inputs!AW301*AW106*(Inputs!$F$97/100*Time!AW24-Operations!AW9/100*Time!AW25/Inputs!$F$247)</f>
        <v/>
      </c>
      <c r="AX107" s="13">
        <f>Time!AX35*Inputs!AX301*AX106*(Inputs!$F$97/100*Time!AX24-Operations!AX9/100*Time!AX25/Inputs!$F$247)</f>
        <v/>
      </c>
      <c r="AY107" s="13">
        <f>Time!AY35*Inputs!AY301*AY106*(Inputs!$F$97/100*Time!AY24-Operations!AY9/100*Time!AY25/Inputs!$F$247)</f>
        <v/>
      </c>
      <c r="AZ107" s="13">
        <f>Time!AZ35*Inputs!AZ301*AZ106*(Inputs!$F$97/100*Time!AZ24-Operations!AZ9/100*Time!AZ25/Inputs!$F$247)</f>
        <v/>
      </c>
      <c r="BA107" s="13">
        <f>Time!BA35*Inputs!BA301*BA106*(Inputs!$F$97/100*Time!BA24-Operations!BA9/100*Time!BA25/Inputs!$F$247)</f>
        <v/>
      </c>
      <c r="BB107" s="13">
        <f>Time!BB35*Inputs!BB301*BB106*(Inputs!$F$97/100*Time!BB24-Operations!BB9/100*Time!BB25/Inputs!$F$247)</f>
        <v/>
      </c>
      <c r="BC107" s="13">
        <f>Time!BC35*Inputs!BC301*BC106*(Inputs!$F$97/100*Time!BC24-Operations!BC9/100*Time!BC25/Inputs!$F$247)</f>
        <v/>
      </c>
      <c r="BD107" s="13">
        <f>Time!BD35*Inputs!BD301*BD106*(Inputs!$F$97/100*Time!BD24-Operations!BD9/100*Time!BD25/Inputs!$F$247)</f>
        <v/>
      </c>
      <c r="BE107" s="13">
        <f>Time!BE35*Inputs!BE301*BE106*(Inputs!$F$97/100*Time!BE24-Operations!BE9/100*Time!BE25/Inputs!$F$247)</f>
        <v/>
      </c>
      <c r="BF107" s="13">
        <f>Time!BF35*Inputs!BF301*BF106*(Inputs!$F$97/100*Time!BF24-Operations!BF9/100*Time!BF25/Inputs!$F$247)</f>
        <v/>
      </c>
      <c r="BG107" s="13">
        <f>Time!BG35*Inputs!BG301*BG106*(Inputs!$F$97/100*Time!BG24-Operations!BG9/100*Time!BG25/Inputs!$F$247)</f>
        <v/>
      </c>
      <c r="BH107" s="13">
        <f>Time!BH35*Inputs!BH301*BH106*(Inputs!$F$97/100*Time!BH24-Operations!BH9/100*Time!BH25/Inputs!$F$247)</f>
        <v/>
      </c>
      <c r="BI107" s="13">
        <f>Time!BI35*Inputs!BI301*BI106*(Inputs!$F$97/100*Time!BI24-Operations!BI9/100*Time!BI25/Inputs!$F$247)</f>
        <v/>
      </c>
      <c r="BJ107" s="13">
        <f>Time!BJ35*Inputs!BJ301*BJ106*(Inputs!$F$97/100*Time!BJ24-Operations!BJ9/100*Time!BJ25/Inputs!$F$247)</f>
        <v/>
      </c>
      <c r="BK107" s="13">
        <f>Time!BK35*Inputs!BK301*BK106*(Inputs!$F$97/100*Time!BK24-Operations!BK9/100*Time!BK25/Inputs!$F$247)</f>
        <v/>
      </c>
      <c r="BL107" s="13">
        <f>Time!BL35*Inputs!BL301*BL106*(Inputs!$F$97/100*Time!BL24-Operations!BL9/100*Time!BL25/Inputs!$F$247)</f>
        <v/>
      </c>
      <c r="BM107" s="13">
        <f>Time!BM35*Inputs!BM301*BM106*(Inputs!$F$97/100*Time!BM24-Operations!BM9/100*Time!BM25/Inputs!$F$247)</f>
        <v/>
      </c>
      <c r="BN107" s="13">
        <f>Time!BN35*Inputs!BN301*BN106*(Inputs!$F$97/100*Time!BN24-Operations!BN9/100*Time!BN25/Inputs!$F$247)</f>
        <v/>
      </c>
    </row>
    <row r="108">
      <c r="D108" t="inlineStr">
        <is>
          <t>PRI premium (commercial tranche)</t>
        </is>
      </c>
      <c r="E108" t="inlineStr">
        <is>
          <t>USD m</t>
        </is>
      </c>
      <c r="G108" s="13">
        <f>SUM(J108:BN108)</f>
        <v/>
      </c>
      <c r="J108" s="13">
        <f>(Inputs!$F$95/100*Inputs!$F$96/100)*J63*Time!J25/Inputs!$F$248</f>
        <v/>
      </c>
      <c r="K108" s="13">
        <f>(Inputs!$F$95/100*Inputs!$F$96/100)*K63*Time!K25/Inputs!$F$248</f>
        <v/>
      </c>
      <c r="L108" s="13">
        <f>(Inputs!$F$95/100*Inputs!$F$96/100)*L63*Time!L25/Inputs!$F$248</f>
        <v/>
      </c>
      <c r="M108" s="13">
        <f>(Inputs!$F$95/100*Inputs!$F$96/100)*M63*Time!M25/Inputs!$F$248</f>
        <v/>
      </c>
      <c r="N108" s="13">
        <f>(Inputs!$F$95/100*Inputs!$F$96/100)*N63*Time!N25/Inputs!$F$248</f>
        <v/>
      </c>
      <c r="O108" s="13">
        <f>(Inputs!$F$95/100*Inputs!$F$96/100)*O63*Time!O25/Inputs!$F$248</f>
        <v/>
      </c>
      <c r="P108" s="13">
        <f>(Inputs!$F$95/100*Inputs!$F$96/100)*P63*Time!P25/Inputs!$F$248</f>
        <v/>
      </c>
      <c r="Q108" s="13">
        <f>(Inputs!$F$95/100*Inputs!$F$96/100)*Q63*Time!Q25/Inputs!$F$248</f>
        <v/>
      </c>
      <c r="R108" s="13">
        <f>(Inputs!$F$95/100*Inputs!$F$96/100)*R63*Time!R25/Inputs!$F$248</f>
        <v/>
      </c>
      <c r="S108" s="13">
        <f>(Inputs!$F$95/100*Inputs!$F$96/100)*S63*Time!S25/Inputs!$F$248</f>
        <v/>
      </c>
      <c r="T108" s="13">
        <f>(Inputs!$F$95/100*Inputs!$F$96/100)*T63*Time!T25/Inputs!$F$248</f>
        <v/>
      </c>
      <c r="U108" s="13">
        <f>(Inputs!$F$95/100*Inputs!$F$96/100)*U63*Time!U25/Inputs!$F$248</f>
        <v/>
      </c>
      <c r="V108" s="13">
        <f>(Inputs!$F$95/100*Inputs!$F$96/100)*V63*Time!V25/Inputs!$F$248</f>
        <v/>
      </c>
      <c r="W108" s="13">
        <f>(Inputs!$F$95/100*Inputs!$F$96/100)*W63*Time!W25/Inputs!$F$248</f>
        <v/>
      </c>
      <c r="X108" s="13">
        <f>(Inputs!$F$95/100*Inputs!$F$96/100)*X63*Time!X25/Inputs!$F$248</f>
        <v/>
      </c>
      <c r="Y108" s="13">
        <f>(Inputs!$F$95/100*Inputs!$F$96/100)*Y63*Time!Y25/Inputs!$F$248</f>
        <v/>
      </c>
      <c r="Z108" s="13">
        <f>(Inputs!$F$95/100*Inputs!$F$96/100)*Z63*Time!Z25/Inputs!$F$248</f>
        <v/>
      </c>
      <c r="AA108" s="13">
        <f>(Inputs!$F$95/100*Inputs!$F$96/100)*AA63*Time!AA25/Inputs!$F$248</f>
        <v/>
      </c>
      <c r="AB108" s="13">
        <f>(Inputs!$F$95/100*Inputs!$F$96/100)*AB63*Time!AB25/Inputs!$F$248</f>
        <v/>
      </c>
      <c r="AC108" s="13">
        <f>(Inputs!$F$95/100*Inputs!$F$96/100)*AC63*Time!AC25/Inputs!$F$248</f>
        <v/>
      </c>
      <c r="AD108" s="13">
        <f>(Inputs!$F$95/100*Inputs!$F$96/100)*AD63*Time!AD25/Inputs!$F$248</f>
        <v/>
      </c>
      <c r="AE108" s="13">
        <f>(Inputs!$F$95/100*Inputs!$F$96/100)*AE63*Time!AE25/Inputs!$F$248</f>
        <v/>
      </c>
      <c r="AF108" s="13">
        <f>(Inputs!$F$95/100*Inputs!$F$96/100)*AF63*Time!AF25/Inputs!$F$248</f>
        <v/>
      </c>
      <c r="AG108" s="13">
        <f>(Inputs!$F$95/100*Inputs!$F$96/100)*AG63*Time!AG25/Inputs!$F$248</f>
        <v/>
      </c>
      <c r="AH108" s="13">
        <f>(Inputs!$F$95/100*Inputs!$F$96/100)*AH63*Time!AH25/Inputs!$F$248</f>
        <v/>
      </c>
      <c r="AI108" s="13">
        <f>(Inputs!$F$95/100*Inputs!$F$96/100)*AI63*Time!AI25/Inputs!$F$248</f>
        <v/>
      </c>
      <c r="AJ108" s="13">
        <f>(Inputs!$F$95/100*Inputs!$F$96/100)*AJ63*Time!AJ25/Inputs!$F$248</f>
        <v/>
      </c>
      <c r="AK108" s="13">
        <f>(Inputs!$F$95/100*Inputs!$F$96/100)*AK63*Time!AK25/Inputs!$F$248</f>
        <v/>
      </c>
      <c r="AL108" s="13">
        <f>(Inputs!$F$95/100*Inputs!$F$96/100)*AL63*Time!AL25/Inputs!$F$248</f>
        <v/>
      </c>
      <c r="AM108" s="13">
        <f>(Inputs!$F$95/100*Inputs!$F$96/100)*AM63*Time!AM25/Inputs!$F$248</f>
        <v/>
      </c>
      <c r="AN108" s="13">
        <f>(Inputs!$F$95/100*Inputs!$F$96/100)*AN63*Time!AN25/Inputs!$F$248</f>
        <v/>
      </c>
      <c r="AO108" s="13">
        <f>(Inputs!$F$95/100*Inputs!$F$96/100)*AO63*Time!AO25/Inputs!$F$248</f>
        <v/>
      </c>
      <c r="AP108" s="13">
        <f>(Inputs!$F$95/100*Inputs!$F$96/100)*AP63*Time!AP25/Inputs!$F$248</f>
        <v/>
      </c>
      <c r="AQ108" s="13">
        <f>(Inputs!$F$95/100*Inputs!$F$96/100)*AQ63*Time!AQ25/Inputs!$F$248</f>
        <v/>
      </c>
      <c r="AR108" s="13">
        <f>(Inputs!$F$95/100*Inputs!$F$96/100)*AR63*Time!AR25/Inputs!$F$248</f>
        <v/>
      </c>
      <c r="AS108" s="13">
        <f>(Inputs!$F$95/100*Inputs!$F$96/100)*AS63*Time!AS25/Inputs!$F$248</f>
        <v/>
      </c>
      <c r="AT108" s="13">
        <f>(Inputs!$F$95/100*Inputs!$F$96/100)*AT63*Time!AT25/Inputs!$F$248</f>
        <v/>
      </c>
      <c r="AU108" s="13">
        <f>(Inputs!$F$95/100*Inputs!$F$96/100)*AU63*Time!AU25/Inputs!$F$248</f>
        <v/>
      </c>
      <c r="AV108" s="13">
        <f>(Inputs!$F$95/100*Inputs!$F$96/100)*AV63*Time!AV25/Inputs!$F$248</f>
        <v/>
      </c>
      <c r="AW108" s="13">
        <f>(Inputs!$F$95/100*Inputs!$F$96/100)*AW63*Time!AW25/Inputs!$F$248</f>
        <v/>
      </c>
      <c r="AX108" s="13">
        <f>(Inputs!$F$95/100*Inputs!$F$96/100)*AX63*Time!AX25/Inputs!$F$248</f>
        <v/>
      </c>
      <c r="AY108" s="13">
        <f>(Inputs!$F$95/100*Inputs!$F$96/100)*AY63*Time!AY25/Inputs!$F$248</f>
        <v/>
      </c>
      <c r="AZ108" s="13">
        <f>(Inputs!$F$95/100*Inputs!$F$96/100)*AZ63*Time!AZ25/Inputs!$F$248</f>
        <v/>
      </c>
      <c r="BA108" s="13">
        <f>(Inputs!$F$95/100*Inputs!$F$96/100)*BA63*Time!BA25/Inputs!$F$248</f>
        <v/>
      </c>
      <c r="BB108" s="13">
        <f>(Inputs!$F$95/100*Inputs!$F$96/100)*BB63*Time!BB25/Inputs!$F$248</f>
        <v/>
      </c>
      <c r="BC108" s="13">
        <f>(Inputs!$F$95/100*Inputs!$F$96/100)*BC63*Time!BC25/Inputs!$F$248</f>
        <v/>
      </c>
      <c r="BD108" s="13">
        <f>(Inputs!$F$95/100*Inputs!$F$96/100)*BD63*Time!BD25/Inputs!$F$248</f>
        <v/>
      </c>
      <c r="BE108" s="13">
        <f>(Inputs!$F$95/100*Inputs!$F$96/100)*BE63*Time!BE25/Inputs!$F$248</f>
        <v/>
      </c>
      <c r="BF108" s="13">
        <f>(Inputs!$F$95/100*Inputs!$F$96/100)*BF63*Time!BF25/Inputs!$F$248</f>
        <v/>
      </c>
      <c r="BG108" s="13">
        <f>(Inputs!$F$95/100*Inputs!$F$96/100)*BG63*Time!BG25/Inputs!$F$248</f>
        <v/>
      </c>
      <c r="BH108" s="13">
        <f>(Inputs!$F$95/100*Inputs!$F$96/100)*BH63*Time!BH25/Inputs!$F$248</f>
        <v/>
      </c>
      <c r="BI108" s="13">
        <f>(Inputs!$F$95/100*Inputs!$F$96/100)*BI63*Time!BI25/Inputs!$F$248</f>
        <v/>
      </c>
      <c r="BJ108" s="13">
        <f>(Inputs!$F$95/100*Inputs!$F$96/100)*BJ63*Time!BJ25/Inputs!$F$248</f>
        <v/>
      </c>
      <c r="BK108" s="13">
        <f>(Inputs!$F$95/100*Inputs!$F$96/100)*BK63*Time!BK25/Inputs!$F$248</f>
        <v/>
      </c>
      <c r="BL108" s="13">
        <f>(Inputs!$F$95/100*Inputs!$F$96/100)*BL63*Time!BL25/Inputs!$F$248</f>
        <v/>
      </c>
      <c r="BM108" s="13">
        <f>(Inputs!$F$95/100*Inputs!$F$96/100)*BM63*Time!BM25/Inputs!$F$248</f>
        <v/>
      </c>
      <c r="BN108" s="13">
        <f>(Inputs!$F$95/100*Inputs!$F$96/100)*BN63*Time!BN25/Inputs!$F$248</f>
        <v/>
      </c>
    </row>
    <row r="109">
      <c r="D109" t="inlineStr">
        <is>
          <t>ABDB PCG fee (bond)</t>
        </is>
      </c>
      <c r="E109" t="inlineStr">
        <is>
          <t>USD m</t>
        </is>
      </c>
      <c r="G109" s="13">
        <f>SUM(J109:BN109)</f>
        <v/>
      </c>
      <c r="J109" s="13">
        <f>IF(I101&gt;0,Inputs!$F$276/100*Time!J24*J91*Inputs!$F$275/I101,0)</f>
        <v/>
      </c>
      <c r="K109" s="13">
        <f>IF(J101&gt;0,Inputs!$F$276/100*Time!K24*K91*Inputs!$F$275/J101,0)</f>
        <v/>
      </c>
      <c r="L109" s="13">
        <f>IF(K101&gt;0,Inputs!$F$276/100*Time!L24*L91*Inputs!$F$275/K101,0)</f>
        <v/>
      </c>
      <c r="M109" s="13">
        <f>IF(L101&gt;0,Inputs!$F$276/100*Time!M24*M91*Inputs!$F$275/L101,0)</f>
        <v/>
      </c>
      <c r="N109" s="13">
        <f>IF(M101&gt;0,Inputs!$F$276/100*Time!N24*N91*Inputs!$F$275/M101,0)</f>
        <v/>
      </c>
      <c r="O109" s="13">
        <f>IF(N101&gt;0,Inputs!$F$276/100*Time!O24*O91*Inputs!$F$275/N101,0)</f>
        <v/>
      </c>
      <c r="P109" s="13">
        <f>IF(O101&gt;0,Inputs!$F$276/100*Time!P24*P91*Inputs!$F$275/O101,0)</f>
        <v/>
      </c>
      <c r="Q109" s="13">
        <f>IF(P101&gt;0,Inputs!$F$276/100*Time!Q24*Q91*Inputs!$F$275/P101,0)</f>
        <v/>
      </c>
      <c r="R109" s="13">
        <f>IF(Q101&gt;0,Inputs!$F$276/100*Time!R24*R91*Inputs!$F$275/Q101,0)</f>
        <v/>
      </c>
      <c r="S109" s="13">
        <f>IF(R101&gt;0,Inputs!$F$276/100*Time!S24*S91*Inputs!$F$275/R101,0)</f>
        <v/>
      </c>
      <c r="T109" s="13">
        <f>IF(S101&gt;0,Inputs!$F$276/100*Time!T24*T91*Inputs!$F$275/S101,0)</f>
        <v/>
      </c>
      <c r="U109" s="13">
        <f>IF(T101&gt;0,Inputs!$F$276/100*Time!U24*U91*Inputs!$F$275/T101,0)</f>
        <v/>
      </c>
      <c r="V109" s="13">
        <f>IF(U101&gt;0,Inputs!$F$276/100*Time!V24*V91*Inputs!$F$275/U101,0)</f>
        <v/>
      </c>
      <c r="W109" s="13">
        <f>IF(V101&gt;0,Inputs!$F$276/100*Time!W24*W91*Inputs!$F$275/V101,0)</f>
        <v/>
      </c>
      <c r="X109" s="13">
        <f>IF(W101&gt;0,Inputs!$F$276/100*Time!X24*X91*Inputs!$F$275/W101,0)</f>
        <v/>
      </c>
      <c r="Y109" s="13">
        <f>IF(X101&gt;0,Inputs!$F$276/100*Time!Y24*Y91*Inputs!$F$275/X101,0)</f>
        <v/>
      </c>
      <c r="Z109" s="13">
        <f>IF(Y101&gt;0,Inputs!$F$276/100*Time!Z24*Z91*Inputs!$F$275/Y101,0)</f>
        <v/>
      </c>
      <c r="AA109" s="13">
        <f>IF(Z101&gt;0,Inputs!$F$276/100*Time!AA24*AA91*Inputs!$F$275/Z101,0)</f>
        <v/>
      </c>
      <c r="AB109" s="13">
        <f>IF(AA101&gt;0,Inputs!$F$276/100*Time!AB24*AB91*Inputs!$F$275/AA101,0)</f>
        <v/>
      </c>
      <c r="AC109" s="13">
        <f>IF(AB101&gt;0,Inputs!$F$276/100*Time!AC24*AC91*Inputs!$F$275/AB101,0)</f>
        <v/>
      </c>
      <c r="AD109" s="13">
        <f>IF(AC101&gt;0,Inputs!$F$276/100*Time!AD24*AD91*Inputs!$F$275/AC101,0)</f>
        <v/>
      </c>
      <c r="AE109" s="13">
        <f>IF(AD101&gt;0,Inputs!$F$276/100*Time!AE24*AE91*Inputs!$F$275/AD101,0)</f>
        <v/>
      </c>
      <c r="AF109" s="13">
        <f>IF(AE101&gt;0,Inputs!$F$276/100*Time!AF24*AF91*Inputs!$F$275/AE101,0)</f>
        <v/>
      </c>
      <c r="AG109" s="13">
        <f>IF(AF101&gt;0,Inputs!$F$276/100*Time!AG24*AG91*Inputs!$F$275/AF101,0)</f>
        <v/>
      </c>
      <c r="AH109" s="13">
        <f>IF(AG101&gt;0,Inputs!$F$276/100*Time!AH24*AH91*Inputs!$F$275/AG101,0)</f>
        <v/>
      </c>
      <c r="AI109" s="13">
        <f>IF(AH101&gt;0,Inputs!$F$276/100*Time!AI24*AI91*Inputs!$F$275/AH101,0)</f>
        <v/>
      </c>
      <c r="AJ109" s="13">
        <f>IF(AI101&gt;0,Inputs!$F$276/100*Time!AJ24*AJ91*Inputs!$F$275/AI101,0)</f>
        <v/>
      </c>
      <c r="AK109" s="13">
        <f>IF(AJ101&gt;0,Inputs!$F$276/100*Time!AK24*AK91*Inputs!$F$275/AJ101,0)</f>
        <v/>
      </c>
      <c r="AL109" s="13">
        <f>IF(AK101&gt;0,Inputs!$F$276/100*Time!AL24*AL91*Inputs!$F$275/AK101,0)</f>
        <v/>
      </c>
      <c r="AM109" s="13">
        <f>IF(AL101&gt;0,Inputs!$F$276/100*Time!AM24*AM91*Inputs!$F$275/AL101,0)</f>
        <v/>
      </c>
      <c r="AN109" s="13">
        <f>IF(AM101&gt;0,Inputs!$F$276/100*Time!AN24*AN91*Inputs!$F$275/AM101,0)</f>
        <v/>
      </c>
      <c r="AO109" s="13">
        <f>IF(AN101&gt;0,Inputs!$F$276/100*Time!AO24*AO91*Inputs!$F$275/AN101,0)</f>
        <v/>
      </c>
      <c r="AP109" s="13">
        <f>IF(AO101&gt;0,Inputs!$F$276/100*Time!AP24*AP91*Inputs!$F$275/AO101,0)</f>
        <v/>
      </c>
      <c r="AQ109" s="13">
        <f>IF(AP101&gt;0,Inputs!$F$276/100*Time!AQ24*AQ91*Inputs!$F$275/AP101,0)</f>
        <v/>
      </c>
      <c r="AR109" s="13">
        <f>IF(AQ101&gt;0,Inputs!$F$276/100*Time!AR24*AR91*Inputs!$F$275/AQ101,0)</f>
        <v/>
      </c>
      <c r="AS109" s="13">
        <f>IF(AR101&gt;0,Inputs!$F$276/100*Time!AS24*AS91*Inputs!$F$275/AR101,0)</f>
        <v/>
      </c>
      <c r="AT109" s="13">
        <f>IF(AS101&gt;0,Inputs!$F$276/100*Time!AT24*AT91*Inputs!$F$275/AS101,0)</f>
        <v/>
      </c>
      <c r="AU109" s="13">
        <f>IF(AT101&gt;0,Inputs!$F$276/100*Time!AU24*AU91*Inputs!$F$275/AT101,0)</f>
        <v/>
      </c>
      <c r="AV109" s="13">
        <f>IF(AU101&gt;0,Inputs!$F$276/100*Time!AV24*AV91*Inputs!$F$275/AU101,0)</f>
        <v/>
      </c>
      <c r="AW109" s="13">
        <f>IF(AV101&gt;0,Inputs!$F$276/100*Time!AW24*AW91*Inputs!$F$275/AV101,0)</f>
        <v/>
      </c>
      <c r="AX109" s="13">
        <f>IF(AW101&gt;0,Inputs!$F$276/100*Time!AX24*AX91*Inputs!$F$275/AW101,0)</f>
        <v/>
      </c>
      <c r="AY109" s="13">
        <f>IF(AX101&gt;0,Inputs!$F$276/100*Time!AY24*AY91*Inputs!$F$275/AX101,0)</f>
        <v/>
      </c>
      <c r="AZ109" s="13">
        <f>IF(AY101&gt;0,Inputs!$F$276/100*Time!AZ24*AZ91*Inputs!$F$275/AY101,0)</f>
        <v/>
      </c>
      <c r="BA109" s="13">
        <f>IF(AZ101&gt;0,Inputs!$F$276/100*Time!BA24*BA91*Inputs!$F$275/AZ101,0)</f>
        <v/>
      </c>
      <c r="BB109" s="13">
        <f>IF(BA101&gt;0,Inputs!$F$276/100*Time!BB24*BB91*Inputs!$F$275/BA101,0)</f>
        <v/>
      </c>
      <c r="BC109" s="13">
        <f>IF(BB101&gt;0,Inputs!$F$276/100*Time!BC24*BC91*Inputs!$F$275/BB101,0)</f>
        <v/>
      </c>
      <c r="BD109" s="13">
        <f>IF(BC101&gt;0,Inputs!$F$276/100*Time!BD24*BD91*Inputs!$F$275/BC101,0)</f>
        <v/>
      </c>
      <c r="BE109" s="13">
        <f>IF(BD101&gt;0,Inputs!$F$276/100*Time!BE24*BE91*Inputs!$F$275/BD101,0)</f>
        <v/>
      </c>
      <c r="BF109" s="13">
        <f>IF(BE101&gt;0,Inputs!$F$276/100*Time!BF24*BF91*Inputs!$F$275/BE101,0)</f>
        <v/>
      </c>
      <c r="BG109" s="13">
        <f>IF(BF101&gt;0,Inputs!$F$276/100*Time!BG24*BG91*Inputs!$F$275/BF101,0)</f>
        <v/>
      </c>
      <c r="BH109" s="13">
        <f>IF(BG101&gt;0,Inputs!$F$276/100*Time!BH24*BH91*Inputs!$F$275/BG101,0)</f>
        <v/>
      </c>
      <c r="BI109" s="13">
        <f>IF(BH101&gt;0,Inputs!$F$276/100*Time!BI24*BI91*Inputs!$F$275/BH101,0)</f>
        <v/>
      </c>
      <c r="BJ109" s="13">
        <f>IF(BI101&gt;0,Inputs!$F$276/100*Time!BJ24*BJ91*Inputs!$F$275/BI101,0)</f>
        <v/>
      </c>
      <c r="BK109" s="13">
        <f>IF(BJ101&gt;0,Inputs!$F$276/100*Time!BK24*BK91*Inputs!$F$275/BJ101,0)</f>
        <v/>
      </c>
      <c r="BL109" s="13">
        <f>IF(BK101&gt;0,Inputs!$F$276/100*Time!BL24*BL91*Inputs!$F$275/BK101,0)</f>
        <v/>
      </c>
      <c r="BM109" s="13">
        <f>IF(BL101&gt;0,Inputs!$F$276/100*Time!BM24*BM91*Inputs!$F$275/BL101,0)</f>
        <v/>
      </c>
      <c r="BN109" s="13">
        <f>IF(BM101&gt;0,Inputs!$F$276/100*Time!BN24*BN91*Inputs!$F$275/BM101,0)</f>
        <v/>
      </c>
    </row>
    <row r="110">
      <c r="D110" t="inlineStr">
        <is>
          <t>Waiver fee</t>
        </is>
      </c>
      <c r="E110" t="inlineStr">
        <is>
          <t>USD m</t>
        </is>
      </c>
      <c r="G110" s="13">
        <f>SUM(J110:BN110)</f>
        <v/>
      </c>
      <c r="J110" s="13">
        <f>Time!J43*Inputs!$F$268/100*(J21+J35+J49+J63+J77)</f>
        <v/>
      </c>
      <c r="K110" s="13">
        <f>Time!K43*Inputs!$F$268/100*(K21+K35+K49+K63+K77)</f>
        <v/>
      </c>
      <c r="L110" s="13">
        <f>Time!L43*Inputs!$F$268/100*(L21+L35+L49+L63+L77)</f>
        <v/>
      </c>
      <c r="M110" s="13">
        <f>Time!M43*Inputs!$F$268/100*(M21+M35+M49+M63+M77)</f>
        <v/>
      </c>
      <c r="N110" s="13">
        <f>Time!N43*Inputs!$F$268/100*(N21+N35+N49+N63+N77)</f>
        <v/>
      </c>
      <c r="O110" s="13">
        <f>Time!O43*Inputs!$F$268/100*(O21+O35+O49+O63+O77)</f>
        <v/>
      </c>
      <c r="P110" s="13">
        <f>Time!P43*Inputs!$F$268/100*(P21+P35+P49+P63+P77)</f>
        <v/>
      </c>
      <c r="Q110" s="13">
        <f>Time!Q43*Inputs!$F$268/100*(Q21+Q35+Q49+Q63+Q77)</f>
        <v/>
      </c>
      <c r="R110" s="13">
        <f>Time!R43*Inputs!$F$268/100*(R21+R35+R49+R63+R77)</f>
        <v/>
      </c>
      <c r="S110" s="13">
        <f>Time!S43*Inputs!$F$268/100*(S21+S35+S49+S63+S77)</f>
        <v/>
      </c>
      <c r="T110" s="13">
        <f>Time!T43*Inputs!$F$268/100*(T21+T35+T49+T63+T77)</f>
        <v/>
      </c>
      <c r="U110" s="13">
        <f>Time!U43*Inputs!$F$268/100*(U21+U35+U49+U63+U77)</f>
        <v/>
      </c>
      <c r="V110" s="13">
        <f>Time!V43*Inputs!$F$268/100*(V21+V35+V49+V63+V77)</f>
        <v/>
      </c>
      <c r="W110" s="13">
        <f>Time!W43*Inputs!$F$268/100*(W21+W35+W49+W63+W77)</f>
        <v/>
      </c>
      <c r="X110" s="13">
        <f>Time!X43*Inputs!$F$268/100*(X21+X35+X49+X63+X77)</f>
        <v/>
      </c>
      <c r="Y110" s="13">
        <f>Time!Y43*Inputs!$F$268/100*(Y21+Y35+Y49+Y63+Y77)</f>
        <v/>
      </c>
      <c r="Z110" s="13">
        <f>Time!Z43*Inputs!$F$268/100*(Z21+Z35+Z49+Z63+Z77)</f>
        <v/>
      </c>
      <c r="AA110" s="13">
        <f>Time!AA43*Inputs!$F$268/100*(AA21+AA35+AA49+AA63+AA77)</f>
        <v/>
      </c>
      <c r="AB110" s="13">
        <f>Time!AB43*Inputs!$F$268/100*(AB21+AB35+AB49+AB63+AB77)</f>
        <v/>
      </c>
      <c r="AC110" s="13">
        <f>Time!AC43*Inputs!$F$268/100*(AC21+AC35+AC49+AC63+AC77)</f>
        <v/>
      </c>
      <c r="AD110" s="13">
        <f>Time!AD43*Inputs!$F$268/100*(AD21+AD35+AD49+AD63+AD77)</f>
        <v/>
      </c>
      <c r="AE110" s="13">
        <f>Time!AE43*Inputs!$F$268/100*(AE21+AE35+AE49+AE63+AE77)</f>
        <v/>
      </c>
      <c r="AF110" s="13">
        <f>Time!AF43*Inputs!$F$268/100*(AF21+AF35+AF49+AF63+AF77)</f>
        <v/>
      </c>
      <c r="AG110" s="13">
        <f>Time!AG43*Inputs!$F$268/100*(AG21+AG35+AG49+AG63+AG77)</f>
        <v/>
      </c>
      <c r="AH110" s="13">
        <f>Time!AH43*Inputs!$F$268/100*(AH21+AH35+AH49+AH63+AH77)</f>
        <v/>
      </c>
      <c r="AI110" s="13">
        <f>Time!AI43*Inputs!$F$268/100*(AI21+AI35+AI49+AI63+AI77)</f>
        <v/>
      </c>
      <c r="AJ110" s="13">
        <f>Time!AJ43*Inputs!$F$268/100*(AJ21+AJ35+AJ49+AJ63+AJ77)</f>
        <v/>
      </c>
      <c r="AK110" s="13">
        <f>Time!AK43*Inputs!$F$268/100*(AK21+AK35+AK49+AK63+AK77)</f>
        <v/>
      </c>
      <c r="AL110" s="13">
        <f>Time!AL43*Inputs!$F$268/100*(AL21+AL35+AL49+AL63+AL77)</f>
        <v/>
      </c>
      <c r="AM110" s="13">
        <f>Time!AM43*Inputs!$F$268/100*(AM21+AM35+AM49+AM63+AM77)</f>
        <v/>
      </c>
      <c r="AN110" s="13">
        <f>Time!AN43*Inputs!$F$268/100*(AN21+AN35+AN49+AN63+AN77)</f>
        <v/>
      </c>
      <c r="AO110" s="13">
        <f>Time!AO43*Inputs!$F$268/100*(AO21+AO35+AO49+AO63+AO77)</f>
        <v/>
      </c>
      <c r="AP110" s="13">
        <f>Time!AP43*Inputs!$F$268/100*(AP21+AP35+AP49+AP63+AP77)</f>
        <v/>
      </c>
      <c r="AQ110" s="13">
        <f>Time!AQ43*Inputs!$F$268/100*(AQ21+AQ35+AQ49+AQ63+AQ77)</f>
        <v/>
      </c>
      <c r="AR110" s="13">
        <f>Time!AR43*Inputs!$F$268/100*(AR21+AR35+AR49+AR63+AR77)</f>
        <v/>
      </c>
      <c r="AS110" s="13">
        <f>Time!AS43*Inputs!$F$268/100*(AS21+AS35+AS49+AS63+AS77)</f>
        <v/>
      </c>
      <c r="AT110" s="13">
        <f>Time!AT43*Inputs!$F$268/100*(AT21+AT35+AT49+AT63+AT77)</f>
        <v/>
      </c>
      <c r="AU110" s="13">
        <f>Time!AU43*Inputs!$F$268/100*(AU21+AU35+AU49+AU63+AU77)</f>
        <v/>
      </c>
      <c r="AV110" s="13">
        <f>Time!AV43*Inputs!$F$268/100*(AV21+AV35+AV49+AV63+AV77)</f>
        <v/>
      </c>
      <c r="AW110" s="13">
        <f>Time!AW43*Inputs!$F$268/100*(AW21+AW35+AW49+AW63+AW77)</f>
        <v/>
      </c>
      <c r="AX110" s="13">
        <f>Time!AX43*Inputs!$F$268/100*(AX21+AX35+AX49+AX63+AX77)</f>
        <v/>
      </c>
      <c r="AY110" s="13">
        <f>Time!AY43*Inputs!$F$268/100*(AY21+AY35+AY49+AY63+AY77)</f>
        <v/>
      </c>
      <c r="AZ110" s="13">
        <f>Time!AZ43*Inputs!$F$268/100*(AZ21+AZ35+AZ49+AZ63+AZ77)</f>
        <v/>
      </c>
      <c r="BA110" s="13">
        <f>Time!BA43*Inputs!$F$268/100*(BA21+BA35+BA49+BA63+BA77)</f>
        <v/>
      </c>
      <c r="BB110" s="13">
        <f>Time!BB43*Inputs!$F$268/100*(BB21+BB35+BB49+BB63+BB77)</f>
        <v/>
      </c>
      <c r="BC110" s="13">
        <f>Time!BC43*Inputs!$F$268/100*(BC21+BC35+BC49+BC63+BC77)</f>
        <v/>
      </c>
      <c r="BD110" s="13">
        <f>Time!BD43*Inputs!$F$268/100*(BD21+BD35+BD49+BD63+BD77)</f>
        <v/>
      </c>
      <c r="BE110" s="13">
        <f>Time!BE43*Inputs!$F$268/100*(BE21+BE35+BE49+BE63+BE77)</f>
        <v/>
      </c>
      <c r="BF110" s="13">
        <f>Time!BF43*Inputs!$F$268/100*(BF21+BF35+BF49+BF63+BF77)</f>
        <v/>
      </c>
      <c r="BG110" s="13">
        <f>Time!BG43*Inputs!$F$268/100*(BG21+BG35+BG49+BG63+BG77)</f>
        <v/>
      </c>
      <c r="BH110" s="13">
        <f>Time!BH43*Inputs!$F$268/100*(BH21+BH35+BH49+BH63+BH77)</f>
        <v/>
      </c>
      <c r="BI110" s="13">
        <f>Time!BI43*Inputs!$F$268/100*(BI21+BI35+BI49+BI63+BI77)</f>
        <v/>
      </c>
      <c r="BJ110" s="13">
        <f>Time!BJ43*Inputs!$F$268/100*(BJ21+BJ35+BJ49+BJ63+BJ77)</f>
        <v/>
      </c>
      <c r="BK110" s="13">
        <f>Time!BK43*Inputs!$F$268/100*(BK21+BK35+BK49+BK63+BK77)</f>
        <v/>
      </c>
      <c r="BL110" s="13">
        <f>Time!BL43*Inputs!$F$268/100*(BL21+BL35+BL49+BL63+BL77)</f>
        <v/>
      </c>
      <c r="BM110" s="13">
        <f>Time!BM43*Inputs!$F$268/100*(BM21+BM35+BM49+BM63+BM77)</f>
        <v/>
      </c>
      <c r="BN110" s="13">
        <f>Time!BN43*Inputs!$F$268/100*(BN21+BN35+BN49+BN63+BN77)</f>
        <v/>
      </c>
    </row>
    <row r="111">
      <c r="D111" t="inlineStr">
        <is>
          <t>Interest, all tranches</t>
        </is>
      </c>
      <c r="E111" t="inlineStr">
        <is>
          <t>USD m</t>
        </is>
      </c>
      <c r="G111" s="13">
        <f>SUM(J111:BN111)</f>
        <v/>
      </c>
      <c r="J111" s="13">
        <f>J23+J37+J51+J65+J79+J92</f>
        <v/>
      </c>
      <c r="K111" s="13">
        <f>K23+K37+K51+K65+K79+K92</f>
        <v/>
      </c>
      <c r="L111" s="13">
        <f>L23+L37+L51+L65+L79+L92</f>
        <v/>
      </c>
      <c r="M111" s="13">
        <f>M23+M37+M51+M65+M79+M92</f>
        <v/>
      </c>
      <c r="N111" s="13">
        <f>N23+N37+N51+N65+N79+N92</f>
        <v/>
      </c>
      <c r="O111" s="13">
        <f>O23+O37+O51+O65+O79+O92</f>
        <v/>
      </c>
      <c r="P111" s="13">
        <f>P23+P37+P51+P65+P79+P92</f>
        <v/>
      </c>
      <c r="Q111" s="13">
        <f>Q23+Q37+Q51+Q65+Q79+Q92</f>
        <v/>
      </c>
      <c r="R111" s="13">
        <f>R23+R37+R51+R65+R79+R92</f>
        <v/>
      </c>
      <c r="S111" s="13">
        <f>S23+S37+S51+S65+S79+S92</f>
        <v/>
      </c>
      <c r="T111" s="13">
        <f>T23+T37+T51+T65+T79+T92</f>
        <v/>
      </c>
      <c r="U111" s="13">
        <f>U23+U37+U51+U65+U79+U92</f>
        <v/>
      </c>
      <c r="V111" s="13">
        <f>V23+V37+V51+V65+V79+V92</f>
        <v/>
      </c>
      <c r="W111" s="13">
        <f>W23+W37+W51+W65+W79+W92</f>
        <v/>
      </c>
      <c r="X111" s="13">
        <f>X23+X37+X51+X65+X79+X92</f>
        <v/>
      </c>
      <c r="Y111" s="13">
        <f>Y23+Y37+Y51+Y65+Y79+Y92</f>
        <v/>
      </c>
      <c r="Z111" s="13">
        <f>Z23+Z37+Z51+Z65+Z79+Z92</f>
        <v/>
      </c>
      <c r="AA111" s="13">
        <f>AA23+AA37+AA51+AA65+AA79+AA92</f>
        <v/>
      </c>
      <c r="AB111" s="13">
        <f>AB23+AB37+AB51+AB65+AB79+AB92</f>
        <v/>
      </c>
      <c r="AC111" s="13">
        <f>AC23+AC37+AC51+AC65+AC79+AC92</f>
        <v/>
      </c>
      <c r="AD111" s="13">
        <f>AD23+AD37+AD51+AD65+AD79+AD92</f>
        <v/>
      </c>
      <c r="AE111" s="13">
        <f>AE23+AE37+AE51+AE65+AE79+AE92</f>
        <v/>
      </c>
      <c r="AF111" s="13">
        <f>AF23+AF37+AF51+AF65+AF79+AF92</f>
        <v/>
      </c>
      <c r="AG111" s="13">
        <f>AG23+AG37+AG51+AG65+AG79+AG92</f>
        <v/>
      </c>
      <c r="AH111" s="13">
        <f>AH23+AH37+AH51+AH65+AH79+AH92</f>
        <v/>
      </c>
      <c r="AI111" s="13">
        <f>AI23+AI37+AI51+AI65+AI79+AI92</f>
        <v/>
      </c>
      <c r="AJ111" s="13">
        <f>AJ23+AJ37+AJ51+AJ65+AJ79+AJ92</f>
        <v/>
      </c>
      <c r="AK111" s="13">
        <f>AK23+AK37+AK51+AK65+AK79+AK92</f>
        <v/>
      </c>
      <c r="AL111" s="13">
        <f>AL23+AL37+AL51+AL65+AL79+AL92</f>
        <v/>
      </c>
      <c r="AM111" s="13">
        <f>AM23+AM37+AM51+AM65+AM79+AM92</f>
        <v/>
      </c>
      <c r="AN111" s="13">
        <f>AN23+AN37+AN51+AN65+AN79+AN92</f>
        <v/>
      </c>
      <c r="AO111" s="13">
        <f>AO23+AO37+AO51+AO65+AO79+AO92</f>
        <v/>
      </c>
      <c r="AP111" s="13">
        <f>AP23+AP37+AP51+AP65+AP79+AP92</f>
        <v/>
      </c>
      <c r="AQ111" s="13">
        <f>AQ23+AQ37+AQ51+AQ65+AQ79+AQ92</f>
        <v/>
      </c>
      <c r="AR111" s="13">
        <f>AR23+AR37+AR51+AR65+AR79+AR92</f>
        <v/>
      </c>
      <c r="AS111" s="13">
        <f>AS23+AS37+AS51+AS65+AS79+AS92</f>
        <v/>
      </c>
      <c r="AT111" s="13">
        <f>AT23+AT37+AT51+AT65+AT79+AT92</f>
        <v/>
      </c>
      <c r="AU111" s="13">
        <f>AU23+AU37+AU51+AU65+AU79+AU92</f>
        <v/>
      </c>
      <c r="AV111" s="13">
        <f>AV23+AV37+AV51+AV65+AV79+AV92</f>
        <v/>
      </c>
      <c r="AW111" s="13">
        <f>AW23+AW37+AW51+AW65+AW79+AW92</f>
        <v/>
      </c>
      <c r="AX111" s="13">
        <f>AX23+AX37+AX51+AX65+AX79+AX92</f>
        <v/>
      </c>
      <c r="AY111" s="13">
        <f>AY23+AY37+AY51+AY65+AY79+AY92</f>
        <v/>
      </c>
      <c r="AZ111" s="13">
        <f>AZ23+AZ37+AZ51+AZ65+AZ79+AZ92</f>
        <v/>
      </c>
      <c r="BA111" s="13">
        <f>BA23+BA37+BA51+BA65+BA79+BA92</f>
        <v/>
      </c>
      <c r="BB111" s="13">
        <f>BB23+BB37+BB51+BB65+BB79+BB92</f>
        <v/>
      </c>
      <c r="BC111" s="13">
        <f>BC23+BC37+BC51+BC65+BC79+BC92</f>
        <v/>
      </c>
      <c r="BD111" s="13">
        <f>BD23+BD37+BD51+BD65+BD79+BD92</f>
        <v/>
      </c>
      <c r="BE111" s="13">
        <f>BE23+BE37+BE51+BE65+BE79+BE92</f>
        <v/>
      </c>
      <c r="BF111" s="13">
        <f>BF23+BF37+BF51+BF65+BF79+BF92</f>
        <v/>
      </c>
      <c r="BG111" s="13">
        <f>BG23+BG37+BG51+BG65+BG79+BG92</f>
        <v/>
      </c>
      <c r="BH111" s="13">
        <f>BH23+BH37+BH51+BH65+BH79+BH92</f>
        <v/>
      </c>
      <c r="BI111" s="13">
        <f>BI23+BI37+BI51+BI65+BI79+BI92</f>
        <v/>
      </c>
      <c r="BJ111" s="13">
        <f>BJ23+BJ37+BJ51+BJ65+BJ79+BJ92</f>
        <v/>
      </c>
      <c r="BK111" s="13">
        <f>BK23+BK37+BK51+BK65+BK79+BK92</f>
        <v/>
      </c>
      <c r="BL111" s="13">
        <f>BL23+BL37+BL51+BL65+BL79+BL92</f>
        <v/>
      </c>
      <c r="BM111" s="13">
        <f>BM23+BM37+BM51+BM65+BM79+BM92</f>
        <v/>
      </c>
      <c r="BN111" s="13">
        <f>BN23+BN37+BN51+BN65+BN79+BN92</f>
        <v/>
      </c>
    </row>
    <row r="112">
      <c r="D112" t="inlineStr">
        <is>
          <t>Senior financing costs (interest, swap, PRI, PCG)</t>
        </is>
      </c>
      <c r="E112" t="inlineStr">
        <is>
          <t>USD m</t>
        </is>
      </c>
      <c r="G112" s="13">
        <f>SUM(J112:BN112)</f>
        <v/>
      </c>
      <c r="J112" s="13">
        <f>J111+J107+J108+J109</f>
        <v/>
      </c>
      <c r="K112" s="13">
        <f>K111+K107+K108+K109</f>
        <v/>
      </c>
      <c r="L112" s="13">
        <f>L111+L107+L108+L109</f>
        <v/>
      </c>
      <c r="M112" s="13">
        <f>M111+M107+M108+M109</f>
        <v/>
      </c>
      <c r="N112" s="13">
        <f>N111+N107+N108+N109</f>
        <v/>
      </c>
      <c r="O112" s="13">
        <f>O111+O107+O108+O109</f>
        <v/>
      </c>
      <c r="P112" s="13">
        <f>P111+P107+P108+P109</f>
        <v/>
      </c>
      <c r="Q112" s="13">
        <f>Q111+Q107+Q108+Q109</f>
        <v/>
      </c>
      <c r="R112" s="13">
        <f>R111+R107+R108+R109</f>
        <v/>
      </c>
      <c r="S112" s="13">
        <f>S111+S107+S108+S109</f>
        <v/>
      </c>
      <c r="T112" s="13">
        <f>T111+T107+T108+T109</f>
        <v/>
      </c>
      <c r="U112" s="13">
        <f>U111+U107+U108+U109</f>
        <v/>
      </c>
      <c r="V112" s="13">
        <f>V111+V107+V108+V109</f>
        <v/>
      </c>
      <c r="W112" s="13">
        <f>W111+W107+W108+W109</f>
        <v/>
      </c>
      <c r="X112" s="13">
        <f>X111+X107+X108+X109</f>
        <v/>
      </c>
      <c r="Y112" s="13">
        <f>Y111+Y107+Y108+Y109</f>
        <v/>
      </c>
      <c r="Z112" s="13">
        <f>Z111+Z107+Z108+Z109</f>
        <v/>
      </c>
      <c r="AA112" s="13">
        <f>AA111+AA107+AA108+AA109</f>
        <v/>
      </c>
      <c r="AB112" s="13">
        <f>AB111+AB107+AB108+AB109</f>
        <v/>
      </c>
      <c r="AC112" s="13">
        <f>AC111+AC107+AC108+AC109</f>
        <v/>
      </c>
      <c r="AD112" s="13">
        <f>AD111+AD107+AD108+AD109</f>
        <v/>
      </c>
      <c r="AE112" s="13">
        <f>AE111+AE107+AE108+AE109</f>
        <v/>
      </c>
      <c r="AF112" s="13">
        <f>AF111+AF107+AF108+AF109</f>
        <v/>
      </c>
      <c r="AG112" s="13">
        <f>AG111+AG107+AG108+AG109</f>
        <v/>
      </c>
      <c r="AH112" s="13">
        <f>AH111+AH107+AH108+AH109</f>
        <v/>
      </c>
      <c r="AI112" s="13">
        <f>AI111+AI107+AI108+AI109</f>
        <v/>
      </c>
      <c r="AJ112" s="13">
        <f>AJ111+AJ107+AJ108+AJ109</f>
        <v/>
      </c>
      <c r="AK112" s="13">
        <f>AK111+AK107+AK108+AK109</f>
        <v/>
      </c>
      <c r="AL112" s="13">
        <f>AL111+AL107+AL108+AL109</f>
        <v/>
      </c>
      <c r="AM112" s="13">
        <f>AM111+AM107+AM108+AM109</f>
        <v/>
      </c>
      <c r="AN112" s="13">
        <f>AN111+AN107+AN108+AN109</f>
        <v/>
      </c>
      <c r="AO112" s="13">
        <f>AO111+AO107+AO108+AO109</f>
        <v/>
      </c>
      <c r="AP112" s="13">
        <f>AP111+AP107+AP108+AP109</f>
        <v/>
      </c>
      <c r="AQ112" s="13">
        <f>AQ111+AQ107+AQ108+AQ109</f>
        <v/>
      </c>
      <c r="AR112" s="13">
        <f>AR111+AR107+AR108+AR109</f>
        <v/>
      </c>
      <c r="AS112" s="13">
        <f>AS111+AS107+AS108+AS109</f>
        <v/>
      </c>
      <c r="AT112" s="13">
        <f>AT111+AT107+AT108+AT109</f>
        <v/>
      </c>
      <c r="AU112" s="13">
        <f>AU111+AU107+AU108+AU109</f>
        <v/>
      </c>
      <c r="AV112" s="13">
        <f>AV111+AV107+AV108+AV109</f>
        <v/>
      </c>
      <c r="AW112" s="13">
        <f>AW111+AW107+AW108+AW109</f>
        <v/>
      </c>
      <c r="AX112" s="13">
        <f>AX111+AX107+AX108+AX109</f>
        <v/>
      </c>
      <c r="AY112" s="13">
        <f>AY111+AY107+AY108+AY109</f>
        <v/>
      </c>
      <c r="AZ112" s="13">
        <f>AZ111+AZ107+AZ108+AZ109</f>
        <v/>
      </c>
      <c r="BA112" s="13">
        <f>BA111+BA107+BA108+BA109</f>
        <v/>
      </c>
      <c r="BB112" s="13">
        <f>BB111+BB107+BB108+BB109</f>
        <v/>
      </c>
      <c r="BC112" s="13">
        <f>BC111+BC107+BC108+BC109</f>
        <v/>
      </c>
      <c r="BD112" s="13">
        <f>BD111+BD107+BD108+BD109</f>
        <v/>
      </c>
      <c r="BE112" s="13">
        <f>BE111+BE107+BE108+BE109</f>
        <v/>
      </c>
      <c r="BF112" s="13">
        <f>BF111+BF107+BF108+BF109</f>
        <v/>
      </c>
      <c r="BG112" s="13">
        <f>BG111+BG107+BG108+BG109</f>
        <v/>
      </c>
      <c r="BH112" s="13">
        <f>BH111+BH107+BH108+BH109</f>
        <v/>
      </c>
      <c r="BI112" s="13">
        <f>BI111+BI107+BI108+BI109</f>
        <v/>
      </c>
      <c r="BJ112" s="13">
        <f>BJ111+BJ107+BJ108+BJ109</f>
        <v/>
      </c>
      <c r="BK112" s="13">
        <f>BK111+BK107+BK108+BK109</f>
        <v/>
      </c>
      <c r="BL112" s="13">
        <f>BL111+BL107+BL108+BL109</f>
        <v/>
      </c>
      <c r="BM112" s="13">
        <f>BM111+BM107+BM108+BM109</f>
        <v/>
      </c>
      <c r="BN112" s="13">
        <f>BN111+BN107+BN108+BN109</f>
        <v/>
      </c>
    </row>
    <row r="113">
      <c r="D113" t="inlineStr">
        <is>
          <t>Principal paid, all tranches</t>
        </is>
      </c>
      <c r="E113" t="inlineStr">
        <is>
          <t>USD m</t>
        </is>
      </c>
      <c r="G113" s="13">
        <f>SUM(J113:BN113)</f>
        <v/>
      </c>
      <c r="J113" s="13">
        <f>J27+J41+J55+J69+J83+J93</f>
        <v/>
      </c>
      <c r="K113" s="13">
        <f>K27+K41+K55+K69+K83+K93</f>
        <v/>
      </c>
      <c r="L113" s="13">
        <f>L27+L41+L55+L69+L83+L93</f>
        <v/>
      </c>
      <c r="M113" s="13">
        <f>M27+M41+M55+M69+M83+M93</f>
        <v/>
      </c>
      <c r="N113" s="13">
        <f>N27+N41+N55+N69+N83+N93</f>
        <v/>
      </c>
      <c r="O113" s="13">
        <f>O27+O41+O55+O69+O83+O93</f>
        <v/>
      </c>
      <c r="P113" s="13">
        <f>P27+P41+P55+P69+P83+P93</f>
        <v/>
      </c>
      <c r="Q113" s="13">
        <f>Q27+Q41+Q55+Q69+Q83+Q93</f>
        <v/>
      </c>
      <c r="R113" s="13">
        <f>R27+R41+R55+R69+R83+R93</f>
        <v/>
      </c>
      <c r="S113" s="13">
        <f>S27+S41+S55+S69+S83+S93</f>
        <v/>
      </c>
      <c r="T113" s="13">
        <f>T27+T41+T55+T69+T83+T93</f>
        <v/>
      </c>
      <c r="U113" s="13">
        <f>U27+U41+U55+U69+U83+U93</f>
        <v/>
      </c>
      <c r="V113" s="13">
        <f>V27+V41+V55+V69+V83+V93</f>
        <v/>
      </c>
      <c r="W113" s="13">
        <f>W27+W41+W55+W69+W83+W93</f>
        <v/>
      </c>
      <c r="X113" s="13">
        <f>X27+X41+X55+X69+X83+X93</f>
        <v/>
      </c>
      <c r="Y113" s="13">
        <f>Y27+Y41+Y55+Y69+Y83+Y93</f>
        <v/>
      </c>
      <c r="Z113" s="13">
        <f>Z27+Z41+Z55+Z69+Z83+Z93</f>
        <v/>
      </c>
      <c r="AA113" s="13">
        <f>AA27+AA41+AA55+AA69+AA83+AA93</f>
        <v/>
      </c>
      <c r="AB113" s="13">
        <f>AB27+AB41+AB55+AB69+AB83+AB93</f>
        <v/>
      </c>
      <c r="AC113" s="13">
        <f>AC27+AC41+AC55+AC69+AC83+AC93</f>
        <v/>
      </c>
      <c r="AD113" s="13">
        <f>AD27+AD41+AD55+AD69+AD83+AD93</f>
        <v/>
      </c>
      <c r="AE113" s="13">
        <f>AE27+AE41+AE55+AE69+AE83+AE93</f>
        <v/>
      </c>
      <c r="AF113" s="13">
        <f>AF27+AF41+AF55+AF69+AF83+AF93</f>
        <v/>
      </c>
      <c r="AG113" s="13">
        <f>AG27+AG41+AG55+AG69+AG83+AG93</f>
        <v/>
      </c>
      <c r="AH113" s="13">
        <f>AH27+AH41+AH55+AH69+AH83+AH93</f>
        <v/>
      </c>
      <c r="AI113" s="13">
        <f>AI27+AI41+AI55+AI69+AI83+AI93</f>
        <v/>
      </c>
      <c r="AJ113" s="13">
        <f>AJ27+AJ41+AJ55+AJ69+AJ83+AJ93</f>
        <v/>
      </c>
      <c r="AK113" s="13">
        <f>AK27+AK41+AK55+AK69+AK83+AK93</f>
        <v/>
      </c>
      <c r="AL113" s="13">
        <f>AL27+AL41+AL55+AL69+AL83+AL93</f>
        <v/>
      </c>
      <c r="AM113" s="13">
        <f>AM27+AM41+AM55+AM69+AM83+AM93</f>
        <v/>
      </c>
      <c r="AN113" s="13">
        <f>AN27+AN41+AN55+AN69+AN83+AN93</f>
        <v/>
      </c>
      <c r="AO113" s="13">
        <f>AO27+AO41+AO55+AO69+AO83+AO93</f>
        <v/>
      </c>
      <c r="AP113" s="13">
        <f>AP27+AP41+AP55+AP69+AP83+AP93</f>
        <v/>
      </c>
      <c r="AQ113" s="13">
        <f>AQ27+AQ41+AQ55+AQ69+AQ83+AQ93</f>
        <v/>
      </c>
      <c r="AR113" s="13">
        <f>AR27+AR41+AR55+AR69+AR83+AR93</f>
        <v/>
      </c>
      <c r="AS113" s="13">
        <f>AS27+AS41+AS55+AS69+AS83+AS93</f>
        <v/>
      </c>
      <c r="AT113" s="13">
        <f>AT27+AT41+AT55+AT69+AT83+AT93</f>
        <v/>
      </c>
      <c r="AU113" s="13">
        <f>AU27+AU41+AU55+AU69+AU83+AU93</f>
        <v/>
      </c>
      <c r="AV113" s="13">
        <f>AV27+AV41+AV55+AV69+AV83+AV93</f>
        <v/>
      </c>
      <c r="AW113" s="13">
        <f>AW27+AW41+AW55+AW69+AW83+AW93</f>
        <v/>
      </c>
      <c r="AX113" s="13">
        <f>AX27+AX41+AX55+AX69+AX83+AX93</f>
        <v/>
      </c>
      <c r="AY113" s="13">
        <f>AY27+AY41+AY55+AY69+AY83+AY93</f>
        <v/>
      </c>
      <c r="AZ113" s="13">
        <f>AZ27+AZ41+AZ55+AZ69+AZ83+AZ93</f>
        <v/>
      </c>
      <c r="BA113" s="13">
        <f>BA27+BA41+BA55+BA69+BA83+BA93</f>
        <v/>
      </c>
      <c r="BB113" s="13">
        <f>BB27+BB41+BB55+BB69+BB83+BB93</f>
        <v/>
      </c>
      <c r="BC113" s="13">
        <f>BC27+BC41+BC55+BC69+BC83+BC93</f>
        <v/>
      </c>
      <c r="BD113" s="13">
        <f>BD27+BD41+BD55+BD69+BD83+BD93</f>
        <v/>
      </c>
      <c r="BE113" s="13">
        <f>BE27+BE41+BE55+BE69+BE83+BE93</f>
        <v/>
      </c>
      <c r="BF113" s="13">
        <f>BF27+BF41+BF55+BF69+BF83+BF93</f>
        <v/>
      </c>
      <c r="BG113" s="13">
        <f>BG27+BG41+BG55+BG69+BG83+BG93</f>
        <v/>
      </c>
      <c r="BH113" s="13">
        <f>BH27+BH41+BH55+BH69+BH83+BH93</f>
        <v/>
      </c>
      <c r="BI113" s="13">
        <f>BI27+BI41+BI55+BI69+BI83+BI93</f>
        <v/>
      </c>
      <c r="BJ113" s="13">
        <f>BJ27+BJ41+BJ55+BJ69+BJ83+BJ93</f>
        <v/>
      </c>
      <c r="BK113" s="13">
        <f>BK27+BK41+BK55+BK69+BK83+BK93</f>
        <v/>
      </c>
      <c r="BL113" s="13">
        <f>BL27+BL41+BL55+BL69+BL83+BL93</f>
        <v/>
      </c>
      <c r="BM113" s="13">
        <f>BM27+BM41+BM55+BM69+BM83+BM93</f>
        <v/>
      </c>
      <c r="BN113" s="13">
        <f>BN27+BN41+BN55+BN69+BN83+BN93</f>
        <v/>
      </c>
    </row>
    <row r="114">
      <c r="D114" t="inlineStr">
        <is>
          <t>Senior debt service</t>
        </is>
      </c>
      <c r="E114" t="inlineStr">
        <is>
          <t>USD m</t>
        </is>
      </c>
      <c r="G114" s="13">
        <f>SUM(J114:BN114)</f>
        <v/>
      </c>
      <c r="J114" s="13">
        <f>J112+J113</f>
        <v/>
      </c>
      <c r="K114" s="13">
        <f>K112+K113</f>
        <v/>
      </c>
      <c r="L114" s="13">
        <f>L112+L113</f>
        <v/>
      </c>
      <c r="M114" s="13">
        <f>M112+M113</f>
        <v/>
      </c>
      <c r="N114" s="13">
        <f>N112+N113</f>
        <v/>
      </c>
      <c r="O114" s="13">
        <f>O112+O113</f>
        <v/>
      </c>
      <c r="P114" s="13">
        <f>P112+P113</f>
        <v/>
      </c>
      <c r="Q114" s="13">
        <f>Q112+Q113</f>
        <v/>
      </c>
      <c r="R114" s="13">
        <f>R112+R113</f>
        <v/>
      </c>
      <c r="S114" s="13">
        <f>S112+S113</f>
        <v/>
      </c>
      <c r="T114" s="13">
        <f>T112+T113</f>
        <v/>
      </c>
      <c r="U114" s="13">
        <f>U112+U113</f>
        <v/>
      </c>
      <c r="V114" s="13">
        <f>V112+V113</f>
        <v/>
      </c>
      <c r="W114" s="13">
        <f>W112+W113</f>
        <v/>
      </c>
      <c r="X114" s="13">
        <f>X112+X113</f>
        <v/>
      </c>
      <c r="Y114" s="13">
        <f>Y112+Y113</f>
        <v/>
      </c>
      <c r="Z114" s="13">
        <f>Z112+Z113</f>
        <v/>
      </c>
      <c r="AA114" s="13">
        <f>AA112+AA113</f>
        <v/>
      </c>
      <c r="AB114" s="13">
        <f>AB112+AB113</f>
        <v/>
      </c>
      <c r="AC114" s="13">
        <f>AC112+AC113</f>
        <v/>
      </c>
      <c r="AD114" s="13">
        <f>AD112+AD113</f>
        <v/>
      </c>
      <c r="AE114" s="13">
        <f>AE112+AE113</f>
        <v/>
      </c>
      <c r="AF114" s="13">
        <f>AF112+AF113</f>
        <v/>
      </c>
      <c r="AG114" s="13">
        <f>AG112+AG113</f>
        <v/>
      </c>
      <c r="AH114" s="13">
        <f>AH112+AH113</f>
        <v/>
      </c>
      <c r="AI114" s="13">
        <f>AI112+AI113</f>
        <v/>
      </c>
      <c r="AJ114" s="13">
        <f>AJ112+AJ113</f>
        <v/>
      </c>
      <c r="AK114" s="13">
        <f>AK112+AK113</f>
        <v/>
      </c>
      <c r="AL114" s="13">
        <f>AL112+AL113</f>
        <v/>
      </c>
      <c r="AM114" s="13">
        <f>AM112+AM113</f>
        <v/>
      </c>
      <c r="AN114" s="13">
        <f>AN112+AN113</f>
        <v/>
      </c>
      <c r="AO114" s="13">
        <f>AO112+AO113</f>
        <v/>
      </c>
      <c r="AP114" s="13">
        <f>AP112+AP113</f>
        <v/>
      </c>
      <c r="AQ114" s="13">
        <f>AQ112+AQ113</f>
        <v/>
      </c>
      <c r="AR114" s="13">
        <f>AR112+AR113</f>
        <v/>
      </c>
      <c r="AS114" s="13">
        <f>AS112+AS113</f>
        <v/>
      </c>
      <c r="AT114" s="13">
        <f>AT112+AT113</f>
        <v/>
      </c>
      <c r="AU114" s="13">
        <f>AU112+AU113</f>
        <v/>
      </c>
      <c r="AV114" s="13">
        <f>AV112+AV113</f>
        <v/>
      </c>
      <c r="AW114" s="13">
        <f>AW112+AW113</f>
        <v/>
      </c>
      <c r="AX114" s="13">
        <f>AX112+AX113</f>
        <v/>
      </c>
      <c r="AY114" s="13">
        <f>AY112+AY113</f>
        <v/>
      </c>
      <c r="AZ114" s="13">
        <f>AZ112+AZ113</f>
        <v/>
      </c>
      <c r="BA114" s="13">
        <f>BA112+BA113</f>
        <v/>
      </c>
      <c r="BB114" s="13">
        <f>BB112+BB113</f>
        <v/>
      </c>
      <c r="BC114" s="13">
        <f>BC112+BC113</f>
        <v/>
      </c>
      <c r="BD114" s="13">
        <f>BD112+BD113</f>
        <v/>
      </c>
      <c r="BE114" s="13">
        <f>BE112+BE113</f>
        <v/>
      </c>
      <c r="BF114" s="13">
        <f>BF112+BF113</f>
        <v/>
      </c>
      <c r="BG114" s="13">
        <f>BG112+BG113</f>
        <v/>
      </c>
      <c r="BH114" s="13">
        <f>BH112+BH113</f>
        <v/>
      </c>
      <c r="BI114" s="13">
        <f>BI112+BI113</f>
        <v/>
      </c>
      <c r="BJ114" s="13">
        <f>BJ112+BJ113</f>
        <v/>
      </c>
      <c r="BK114" s="13">
        <f>BK112+BK113</f>
        <v/>
      </c>
      <c r="BL114" s="13">
        <f>BL112+BL113</f>
        <v/>
      </c>
      <c r="BM114" s="13">
        <f>BM112+BM113</f>
        <v/>
      </c>
      <c r="BN114" s="13">
        <f>BN112+BN113</f>
        <v/>
      </c>
    </row>
    <row r="115">
      <c r="D115" t="inlineStr">
        <is>
          <t>Senior debt outstanding, opening</t>
        </is>
      </c>
      <c r="E115" t="inlineStr">
        <is>
          <t>USD m</t>
        </is>
      </c>
      <c r="J115" s="13">
        <f>J21+J35+J49+J63+J77+J91</f>
        <v/>
      </c>
      <c r="K115" s="13">
        <f>K21+K35+K49+K63+K77+K91</f>
        <v/>
      </c>
      <c r="L115" s="13">
        <f>L21+L35+L49+L63+L77+L91</f>
        <v/>
      </c>
      <c r="M115" s="13">
        <f>M21+M35+M49+M63+M77+M91</f>
        <v/>
      </c>
      <c r="N115" s="13">
        <f>N21+N35+N49+N63+N77+N91</f>
        <v/>
      </c>
      <c r="O115" s="13">
        <f>O21+O35+O49+O63+O77+O91</f>
        <v/>
      </c>
      <c r="P115" s="13">
        <f>P21+P35+P49+P63+P77+P91</f>
        <v/>
      </c>
      <c r="Q115" s="13">
        <f>Q21+Q35+Q49+Q63+Q77+Q91</f>
        <v/>
      </c>
      <c r="R115" s="13">
        <f>R21+R35+R49+R63+R77+R91</f>
        <v/>
      </c>
      <c r="S115" s="13">
        <f>S21+S35+S49+S63+S77+S91</f>
        <v/>
      </c>
      <c r="T115" s="13">
        <f>T21+T35+T49+T63+T77+T91</f>
        <v/>
      </c>
      <c r="U115" s="13">
        <f>U21+U35+U49+U63+U77+U91</f>
        <v/>
      </c>
      <c r="V115" s="13">
        <f>V21+V35+V49+V63+V77+V91</f>
        <v/>
      </c>
      <c r="W115" s="13">
        <f>W21+W35+W49+W63+W77+W91</f>
        <v/>
      </c>
      <c r="X115" s="13">
        <f>X21+X35+X49+X63+X77+X91</f>
        <v/>
      </c>
      <c r="Y115" s="13">
        <f>Y21+Y35+Y49+Y63+Y77+Y91</f>
        <v/>
      </c>
      <c r="Z115" s="13">
        <f>Z21+Z35+Z49+Z63+Z77+Z91</f>
        <v/>
      </c>
      <c r="AA115" s="13">
        <f>AA21+AA35+AA49+AA63+AA77+AA91</f>
        <v/>
      </c>
      <c r="AB115" s="13">
        <f>AB21+AB35+AB49+AB63+AB77+AB91</f>
        <v/>
      </c>
      <c r="AC115" s="13">
        <f>AC21+AC35+AC49+AC63+AC77+AC91</f>
        <v/>
      </c>
      <c r="AD115" s="13">
        <f>AD21+AD35+AD49+AD63+AD77+AD91</f>
        <v/>
      </c>
      <c r="AE115" s="13">
        <f>AE21+AE35+AE49+AE63+AE77+AE91</f>
        <v/>
      </c>
      <c r="AF115" s="13">
        <f>AF21+AF35+AF49+AF63+AF77+AF91</f>
        <v/>
      </c>
      <c r="AG115" s="13">
        <f>AG21+AG35+AG49+AG63+AG77+AG91</f>
        <v/>
      </c>
      <c r="AH115" s="13">
        <f>AH21+AH35+AH49+AH63+AH77+AH91</f>
        <v/>
      </c>
      <c r="AI115" s="13">
        <f>AI21+AI35+AI49+AI63+AI77+AI91</f>
        <v/>
      </c>
      <c r="AJ115" s="13">
        <f>AJ21+AJ35+AJ49+AJ63+AJ77+AJ91</f>
        <v/>
      </c>
      <c r="AK115" s="13">
        <f>AK21+AK35+AK49+AK63+AK77+AK91</f>
        <v/>
      </c>
      <c r="AL115" s="13">
        <f>AL21+AL35+AL49+AL63+AL77+AL91</f>
        <v/>
      </c>
      <c r="AM115" s="13">
        <f>AM21+AM35+AM49+AM63+AM77+AM91</f>
        <v/>
      </c>
      <c r="AN115" s="13">
        <f>AN21+AN35+AN49+AN63+AN77+AN91</f>
        <v/>
      </c>
      <c r="AO115" s="13">
        <f>AO21+AO35+AO49+AO63+AO77+AO91</f>
        <v/>
      </c>
      <c r="AP115" s="13">
        <f>AP21+AP35+AP49+AP63+AP77+AP91</f>
        <v/>
      </c>
      <c r="AQ115" s="13">
        <f>AQ21+AQ35+AQ49+AQ63+AQ77+AQ91</f>
        <v/>
      </c>
      <c r="AR115" s="13">
        <f>AR21+AR35+AR49+AR63+AR77+AR91</f>
        <v/>
      </c>
      <c r="AS115" s="13">
        <f>AS21+AS35+AS49+AS63+AS77+AS91</f>
        <v/>
      </c>
      <c r="AT115" s="13">
        <f>AT21+AT35+AT49+AT63+AT77+AT91</f>
        <v/>
      </c>
      <c r="AU115" s="13">
        <f>AU21+AU35+AU49+AU63+AU77+AU91</f>
        <v/>
      </c>
      <c r="AV115" s="13">
        <f>AV21+AV35+AV49+AV63+AV77+AV91</f>
        <v/>
      </c>
      <c r="AW115" s="13">
        <f>AW21+AW35+AW49+AW63+AW77+AW91</f>
        <v/>
      </c>
      <c r="AX115" s="13">
        <f>AX21+AX35+AX49+AX63+AX77+AX91</f>
        <v/>
      </c>
      <c r="AY115" s="13">
        <f>AY21+AY35+AY49+AY63+AY77+AY91</f>
        <v/>
      </c>
      <c r="AZ115" s="13">
        <f>AZ21+AZ35+AZ49+AZ63+AZ77+AZ91</f>
        <v/>
      </c>
      <c r="BA115" s="13">
        <f>BA21+BA35+BA49+BA63+BA77+BA91</f>
        <v/>
      </c>
      <c r="BB115" s="13">
        <f>BB21+BB35+BB49+BB63+BB77+BB91</f>
        <v/>
      </c>
      <c r="BC115" s="13">
        <f>BC21+BC35+BC49+BC63+BC77+BC91</f>
        <v/>
      </c>
      <c r="BD115" s="13">
        <f>BD21+BD35+BD49+BD63+BD77+BD91</f>
        <v/>
      </c>
      <c r="BE115" s="13">
        <f>BE21+BE35+BE49+BE63+BE77+BE91</f>
        <v/>
      </c>
      <c r="BF115" s="13">
        <f>BF21+BF35+BF49+BF63+BF77+BF91</f>
        <v/>
      </c>
      <c r="BG115" s="13">
        <f>BG21+BG35+BG49+BG63+BG77+BG91</f>
        <v/>
      </c>
      <c r="BH115" s="13">
        <f>BH21+BH35+BH49+BH63+BH77+BH91</f>
        <v/>
      </c>
      <c r="BI115" s="13">
        <f>BI21+BI35+BI49+BI63+BI77+BI91</f>
        <v/>
      </c>
      <c r="BJ115" s="13">
        <f>BJ21+BJ35+BJ49+BJ63+BJ77+BJ91</f>
        <v/>
      </c>
      <c r="BK115" s="13">
        <f>BK21+BK35+BK49+BK63+BK77+BK91</f>
        <v/>
      </c>
      <c r="BL115" s="13">
        <f>BL21+BL35+BL49+BL63+BL77+BL91</f>
        <v/>
      </c>
      <c r="BM115" s="13">
        <f>BM21+BM35+BM49+BM63+BM77+BM91</f>
        <v/>
      </c>
      <c r="BN115" s="13">
        <f>BN21+BN35+BN49+BN63+BN77+BN91</f>
        <v/>
      </c>
    </row>
    <row r="116">
      <c r="D116" t="inlineStr">
        <is>
          <t>Senior debt outstanding, closing</t>
        </is>
      </c>
      <c r="E116" t="inlineStr">
        <is>
          <t>USD m</t>
        </is>
      </c>
      <c r="J116" s="13">
        <f>J33+J47+J61+J75+J89+J95</f>
        <v/>
      </c>
      <c r="K116" s="13">
        <f>K33+K47+K61+K75+K89+K95</f>
        <v/>
      </c>
      <c r="L116" s="13">
        <f>L33+L47+L61+L75+L89+L95</f>
        <v/>
      </c>
      <c r="M116" s="13">
        <f>M33+M47+M61+M75+M89+M95</f>
        <v/>
      </c>
      <c r="N116" s="13">
        <f>N33+N47+N61+N75+N89+N95</f>
        <v/>
      </c>
      <c r="O116" s="13">
        <f>O33+O47+O61+O75+O89+O95</f>
        <v/>
      </c>
      <c r="P116" s="13">
        <f>P33+P47+P61+P75+P89+P95</f>
        <v/>
      </c>
      <c r="Q116" s="13">
        <f>Q33+Q47+Q61+Q75+Q89+Q95</f>
        <v/>
      </c>
      <c r="R116" s="13">
        <f>R33+R47+R61+R75+R89+R95</f>
        <v/>
      </c>
      <c r="S116" s="13">
        <f>S33+S47+S61+S75+S89+S95</f>
        <v/>
      </c>
      <c r="T116" s="13">
        <f>T33+T47+T61+T75+T89+T95</f>
        <v/>
      </c>
      <c r="U116" s="13">
        <f>U33+U47+U61+U75+U89+U95</f>
        <v/>
      </c>
      <c r="V116" s="13">
        <f>V33+V47+V61+V75+V89+V95</f>
        <v/>
      </c>
      <c r="W116" s="13">
        <f>W33+W47+W61+W75+W89+W95</f>
        <v/>
      </c>
      <c r="X116" s="13">
        <f>X33+X47+X61+X75+X89+X95</f>
        <v/>
      </c>
      <c r="Y116" s="13">
        <f>Y33+Y47+Y61+Y75+Y89+Y95</f>
        <v/>
      </c>
      <c r="Z116" s="13">
        <f>Z33+Z47+Z61+Z75+Z89+Z95</f>
        <v/>
      </c>
      <c r="AA116" s="13">
        <f>AA33+AA47+AA61+AA75+AA89+AA95</f>
        <v/>
      </c>
      <c r="AB116" s="13">
        <f>AB33+AB47+AB61+AB75+AB89+AB95</f>
        <v/>
      </c>
      <c r="AC116" s="13">
        <f>AC33+AC47+AC61+AC75+AC89+AC95</f>
        <v/>
      </c>
      <c r="AD116" s="13">
        <f>AD33+AD47+AD61+AD75+AD89+AD95</f>
        <v/>
      </c>
      <c r="AE116" s="13">
        <f>AE33+AE47+AE61+AE75+AE89+AE95</f>
        <v/>
      </c>
      <c r="AF116" s="13">
        <f>AF33+AF47+AF61+AF75+AF89+AF95</f>
        <v/>
      </c>
      <c r="AG116" s="13">
        <f>AG33+AG47+AG61+AG75+AG89+AG95</f>
        <v/>
      </c>
      <c r="AH116" s="13">
        <f>AH33+AH47+AH61+AH75+AH89+AH95</f>
        <v/>
      </c>
      <c r="AI116" s="13">
        <f>AI33+AI47+AI61+AI75+AI89+AI95</f>
        <v/>
      </c>
      <c r="AJ116" s="13">
        <f>AJ33+AJ47+AJ61+AJ75+AJ89+AJ95</f>
        <v/>
      </c>
      <c r="AK116" s="13">
        <f>AK33+AK47+AK61+AK75+AK89+AK95</f>
        <v/>
      </c>
      <c r="AL116" s="13">
        <f>AL33+AL47+AL61+AL75+AL89+AL95</f>
        <v/>
      </c>
      <c r="AM116" s="13">
        <f>AM33+AM47+AM61+AM75+AM89+AM95</f>
        <v/>
      </c>
      <c r="AN116" s="13">
        <f>AN33+AN47+AN61+AN75+AN89+AN95</f>
        <v/>
      </c>
      <c r="AO116" s="13">
        <f>AO33+AO47+AO61+AO75+AO89+AO95</f>
        <v/>
      </c>
      <c r="AP116" s="13">
        <f>AP33+AP47+AP61+AP75+AP89+AP95</f>
        <v/>
      </c>
      <c r="AQ116" s="13">
        <f>AQ33+AQ47+AQ61+AQ75+AQ89+AQ95</f>
        <v/>
      </c>
      <c r="AR116" s="13">
        <f>AR33+AR47+AR61+AR75+AR89+AR95</f>
        <v/>
      </c>
      <c r="AS116" s="13">
        <f>AS33+AS47+AS61+AS75+AS89+AS95</f>
        <v/>
      </c>
      <c r="AT116" s="13">
        <f>AT33+AT47+AT61+AT75+AT89+AT95</f>
        <v/>
      </c>
      <c r="AU116" s="13">
        <f>AU33+AU47+AU61+AU75+AU89+AU95</f>
        <v/>
      </c>
      <c r="AV116" s="13">
        <f>AV33+AV47+AV61+AV75+AV89+AV95</f>
        <v/>
      </c>
      <c r="AW116" s="13">
        <f>AW33+AW47+AW61+AW75+AW89+AW95</f>
        <v/>
      </c>
      <c r="AX116" s="13">
        <f>AX33+AX47+AX61+AX75+AX89+AX95</f>
        <v/>
      </c>
      <c r="AY116" s="13">
        <f>AY33+AY47+AY61+AY75+AY89+AY95</f>
        <v/>
      </c>
      <c r="AZ116" s="13">
        <f>AZ33+AZ47+AZ61+AZ75+AZ89+AZ95</f>
        <v/>
      </c>
      <c r="BA116" s="13">
        <f>BA33+BA47+BA61+BA75+BA89+BA95</f>
        <v/>
      </c>
      <c r="BB116" s="13">
        <f>BB33+BB47+BB61+BB75+BB89+BB95</f>
        <v/>
      </c>
      <c r="BC116" s="13">
        <f>BC33+BC47+BC61+BC75+BC89+BC95</f>
        <v/>
      </c>
      <c r="BD116" s="13">
        <f>BD33+BD47+BD61+BD75+BD89+BD95</f>
        <v/>
      </c>
      <c r="BE116" s="13">
        <f>BE33+BE47+BE61+BE75+BE89+BE95</f>
        <v/>
      </c>
      <c r="BF116" s="13">
        <f>BF33+BF47+BF61+BF75+BF89+BF95</f>
        <v/>
      </c>
      <c r="BG116" s="13">
        <f>BG33+BG47+BG61+BG75+BG89+BG95</f>
        <v/>
      </c>
      <c r="BH116" s="13">
        <f>BH33+BH47+BH61+BH75+BH89+BH95</f>
        <v/>
      </c>
      <c r="BI116" s="13">
        <f>BI33+BI47+BI61+BI75+BI89+BI95</f>
        <v/>
      </c>
      <c r="BJ116" s="13">
        <f>BJ33+BJ47+BJ61+BJ75+BJ89+BJ95</f>
        <v/>
      </c>
      <c r="BK116" s="13">
        <f>BK33+BK47+BK61+BK75+BK89+BK95</f>
        <v/>
      </c>
      <c r="BL116" s="13">
        <f>BL33+BL47+BL61+BL75+BL89+BL95</f>
        <v/>
      </c>
      <c r="BM116" s="13">
        <f>BM33+BM47+BM61+BM75+BM89+BM95</f>
        <v/>
      </c>
      <c r="BN116" s="13">
        <f>BN33+BN47+BN61+BN75+BN89+BN95</f>
        <v/>
      </c>
    </row>
    <row r="117">
      <c r="B117" s="2" t="inlineStr">
        <is>
          <t>DSRA target: next period scheduled debt service (USD m)</t>
        </is>
      </c>
    </row>
    <row r="118">
      <c r="D118" t="inlineStr">
        <is>
          <t>Commercial balance carried to next period</t>
        </is>
      </c>
      <c r="E118" t="inlineStr">
        <is>
          <t>USD m</t>
        </is>
      </c>
      <c r="J118" s="13">
        <f>IF(Time!J34=1,J75,J73)</f>
        <v/>
      </c>
      <c r="K118" s="13">
        <f>IF(Time!K34=1,K75,K73)</f>
        <v/>
      </c>
      <c r="L118" s="13">
        <f>IF(Time!L34=1,L75,L73)</f>
        <v/>
      </c>
      <c r="M118" s="13">
        <f>IF(Time!M34=1,M75,M73)</f>
        <v/>
      </c>
      <c r="N118" s="13">
        <f>IF(Time!N34=1,N75,N73)</f>
        <v/>
      </c>
      <c r="O118" s="13">
        <f>IF(Time!O34=1,O75,O73)</f>
        <v/>
      </c>
      <c r="P118" s="13">
        <f>IF(Time!P34=1,P75,P73)</f>
        <v/>
      </c>
      <c r="Q118" s="13">
        <f>IF(Time!Q34=1,Q75,Q73)</f>
        <v/>
      </c>
      <c r="R118" s="13">
        <f>IF(Time!R34=1,R75,R73)</f>
        <v/>
      </c>
      <c r="S118" s="13">
        <f>IF(Time!S34=1,S75,S73)</f>
        <v/>
      </c>
      <c r="T118" s="13">
        <f>IF(Time!T34=1,T75,T73)</f>
        <v/>
      </c>
      <c r="U118" s="13">
        <f>IF(Time!U34=1,U75,U73)</f>
        <v/>
      </c>
      <c r="V118" s="13">
        <f>IF(Time!V34=1,V75,V73)</f>
        <v/>
      </c>
      <c r="W118" s="13">
        <f>IF(Time!W34=1,W75,W73)</f>
        <v/>
      </c>
      <c r="X118" s="13">
        <f>IF(Time!X34=1,X75,X73)</f>
        <v/>
      </c>
      <c r="Y118" s="13">
        <f>IF(Time!Y34=1,Y75,Y73)</f>
        <v/>
      </c>
      <c r="Z118" s="13">
        <f>IF(Time!Z34=1,Z75,Z73)</f>
        <v/>
      </c>
      <c r="AA118" s="13">
        <f>IF(Time!AA34=1,AA75,AA73)</f>
        <v/>
      </c>
      <c r="AB118" s="13">
        <f>IF(Time!AB34=1,AB75,AB73)</f>
        <v/>
      </c>
      <c r="AC118" s="13">
        <f>IF(Time!AC34=1,AC75,AC73)</f>
        <v/>
      </c>
      <c r="AD118" s="13">
        <f>IF(Time!AD34=1,AD75,AD73)</f>
        <v/>
      </c>
      <c r="AE118" s="13">
        <f>IF(Time!AE34=1,AE75,AE73)</f>
        <v/>
      </c>
      <c r="AF118" s="13">
        <f>IF(Time!AF34=1,AF75,AF73)</f>
        <v/>
      </c>
      <c r="AG118" s="13">
        <f>IF(Time!AG34=1,AG75,AG73)</f>
        <v/>
      </c>
      <c r="AH118" s="13">
        <f>IF(Time!AH34=1,AH75,AH73)</f>
        <v/>
      </c>
      <c r="AI118" s="13">
        <f>IF(Time!AI34=1,AI75,AI73)</f>
        <v/>
      </c>
      <c r="AJ118" s="13">
        <f>IF(Time!AJ34=1,AJ75,AJ73)</f>
        <v/>
      </c>
      <c r="AK118" s="13">
        <f>IF(Time!AK34=1,AK75,AK73)</f>
        <v/>
      </c>
      <c r="AL118" s="13">
        <f>IF(Time!AL34=1,AL75,AL73)</f>
        <v/>
      </c>
      <c r="AM118" s="13">
        <f>IF(Time!AM34=1,AM75,AM73)</f>
        <v/>
      </c>
      <c r="AN118" s="13">
        <f>IF(Time!AN34=1,AN75,AN73)</f>
        <v/>
      </c>
      <c r="AO118" s="13">
        <f>IF(Time!AO34=1,AO75,AO73)</f>
        <v/>
      </c>
      <c r="AP118" s="13">
        <f>IF(Time!AP34=1,AP75,AP73)</f>
        <v/>
      </c>
      <c r="AQ118" s="13">
        <f>IF(Time!AQ34=1,AQ75,AQ73)</f>
        <v/>
      </c>
      <c r="AR118" s="13">
        <f>IF(Time!AR34=1,AR75,AR73)</f>
        <v/>
      </c>
      <c r="AS118" s="13">
        <f>IF(Time!AS34=1,AS75,AS73)</f>
        <v/>
      </c>
      <c r="AT118" s="13">
        <f>IF(Time!AT34=1,AT75,AT73)</f>
        <v/>
      </c>
      <c r="AU118" s="13">
        <f>IF(Time!AU34=1,AU75,AU73)</f>
        <v/>
      </c>
      <c r="AV118" s="13">
        <f>IF(Time!AV34=1,AV75,AV73)</f>
        <v/>
      </c>
      <c r="AW118" s="13">
        <f>IF(Time!AW34=1,AW75,AW73)</f>
        <v/>
      </c>
      <c r="AX118" s="13">
        <f>IF(Time!AX34=1,AX75,AX73)</f>
        <v/>
      </c>
      <c r="AY118" s="13">
        <f>IF(Time!AY34=1,AY75,AY73)</f>
        <v/>
      </c>
      <c r="AZ118" s="13">
        <f>IF(Time!AZ34=1,AZ75,AZ73)</f>
        <v/>
      </c>
      <c r="BA118" s="13">
        <f>IF(Time!BA34=1,BA75,BA73)</f>
        <v/>
      </c>
      <c r="BB118" s="13">
        <f>IF(Time!BB34=1,BB75,BB73)</f>
        <v/>
      </c>
      <c r="BC118" s="13">
        <f>IF(Time!BC34=1,BC75,BC73)</f>
        <v/>
      </c>
      <c r="BD118" s="13">
        <f>IF(Time!BD34=1,BD75,BD73)</f>
        <v/>
      </c>
      <c r="BE118" s="13">
        <f>IF(Time!BE34=1,BE75,BE73)</f>
        <v/>
      </c>
      <c r="BF118" s="13">
        <f>IF(Time!BF34=1,BF75,BF73)</f>
        <v/>
      </c>
      <c r="BG118" s="13">
        <f>IF(Time!BG34=1,BG75,BG73)</f>
        <v/>
      </c>
      <c r="BH118" s="13">
        <f>IF(Time!BH34=1,BH75,BH73)</f>
        <v/>
      </c>
      <c r="BI118" s="13">
        <f>IF(Time!BI34=1,BI75,BI73)</f>
        <v/>
      </c>
      <c r="BJ118" s="13">
        <f>IF(Time!BJ34=1,BJ75,BJ73)</f>
        <v/>
      </c>
      <c r="BK118" s="13">
        <f>IF(Time!BK34=1,BK75,BK73)</f>
        <v/>
      </c>
      <c r="BL118" s="13">
        <f>IF(Time!BL34=1,BL75,BL73)</f>
        <v/>
      </c>
      <c r="BM118" s="13">
        <f>IF(Time!BM34=1,BM75,BM73)</f>
        <v/>
      </c>
      <c r="BN118" s="13">
        <f>IF(Time!BN34=1,BN75,BN73)</f>
        <v/>
      </c>
    </row>
    <row r="119">
      <c r="D119" t="inlineStr">
        <is>
          <t>ECA-covered tranche: next period debt service</t>
        </is>
      </c>
      <c r="E119" t="inlineStr">
        <is>
          <t>USD m</t>
        </is>
      </c>
      <c r="J119" s="13">
        <f>IF(AND(Time!J20&gt;=Time!$F$12,Time!K20&gt;0),(IF(Time!J34=1,J33,J31)-J30)*K19+IF(Time!K46&gt;0,Time!K45*J30/Time!K46,0)+IF(Time!J34=1,J33,J31)*K10,0)</f>
        <v/>
      </c>
      <c r="K119" s="13">
        <f>IF(AND(Time!K20&gt;=Time!$F$12,Time!L20&gt;0),(IF(Time!K34=1,K33,K31)-K30)*L19+IF(Time!L46&gt;0,Time!L45*K30/Time!L46,0)+IF(Time!K34=1,K33,K31)*L10,0)</f>
        <v/>
      </c>
      <c r="L119" s="13">
        <f>IF(AND(Time!L20&gt;=Time!$F$12,Time!M20&gt;0),(IF(Time!L34=1,L33,L31)-L30)*M19+IF(Time!M46&gt;0,Time!M45*L30/Time!M46,0)+IF(Time!L34=1,L33,L31)*M10,0)</f>
        <v/>
      </c>
      <c r="M119" s="13">
        <f>IF(AND(Time!M20&gt;=Time!$F$12,Time!N20&gt;0),(IF(Time!M34=1,M33,M31)-M30)*N19+IF(Time!N46&gt;0,Time!N45*M30/Time!N46,0)+IF(Time!M34=1,M33,M31)*N10,0)</f>
        <v/>
      </c>
      <c r="N119" s="13">
        <f>IF(AND(Time!N20&gt;=Time!$F$12,Time!O20&gt;0),(IF(Time!N34=1,N33,N31)-N30)*O19+IF(Time!O46&gt;0,Time!O45*N30/Time!O46,0)+IF(Time!N34=1,N33,N31)*O10,0)</f>
        <v/>
      </c>
      <c r="O119" s="13">
        <f>IF(AND(Time!O20&gt;=Time!$F$12,Time!P20&gt;0),(IF(Time!O34=1,O33,O31)-O30)*P19+IF(Time!P46&gt;0,Time!P45*O30/Time!P46,0)+IF(Time!O34=1,O33,O31)*P10,0)</f>
        <v/>
      </c>
      <c r="P119" s="13">
        <f>IF(AND(Time!P20&gt;=Time!$F$12,Time!Q20&gt;0),(IF(Time!P34=1,P33,P31)-P30)*Q19+IF(Time!Q46&gt;0,Time!Q45*P30/Time!Q46,0)+IF(Time!P34=1,P33,P31)*Q10,0)</f>
        <v/>
      </c>
      <c r="Q119" s="13">
        <f>IF(AND(Time!Q20&gt;=Time!$F$12,Time!R20&gt;0),(IF(Time!Q34=1,Q33,Q31)-Q30)*R19+IF(Time!R46&gt;0,Time!R45*Q30/Time!R46,0)+IF(Time!Q34=1,Q33,Q31)*R10,0)</f>
        <v/>
      </c>
      <c r="R119" s="13">
        <f>IF(AND(Time!R20&gt;=Time!$F$12,Time!S20&gt;0),(IF(Time!R34=1,R33,R31)-R30)*S19+IF(Time!S46&gt;0,Time!S45*R30/Time!S46,0)+IF(Time!R34=1,R33,R31)*S10,0)</f>
        <v/>
      </c>
      <c r="S119" s="13">
        <f>IF(AND(Time!S20&gt;=Time!$F$12,Time!T20&gt;0),(IF(Time!S34=1,S33,S31)-S30)*T19+IF(Time!T46&gt;0,Time!T45*S30/Time!T46,0)+IF(Time!S34=1,S33,S31)*T10,0)</f>
        <v/>
      </c>
      <c r="T119" s="13">
        <f>IF(AND(Time!T20&gt;=Time!$F$12,Time!U20&gt;0),(IF(Time!T34=1,T33,T31)-T30)*U19+IF(Time!U46&gt;0,Time!U45*T30/Time!U46,0)+IF(Time!T34=1,T33,T31)*U10,0)</f>
        <v/>
      </c>
      <c r="U119" s="13">
        <f>IF(AND(Time!U20&gt;=Time!$F$12,Time!V20&gt;0),(IF(Time!U34=1,U33,U31)-U30)*V19+IF(Time!V46&gt;0,Time!V45*U30/Time!V46,0)+IF(Time!U34=1,U33,U31)*V10,0)</f>
        <v/>
      </c>
      <c r="V119" s="13">
        <f>IF(AND(Time!V20&gt;=Time!$F$12,Time!W20&gt;0),(IF(Time!V34=1,V33,V31)-V30)*W19+IF(Time!W46&gt;0,Time!W45*V30/Time!W46,0)+IF(Time!V34=1,V33,V31)*W10,0)</f>
        <v/>
      </c>
      <c r="W119" s="13">
        <f>IF(AND(Time!W20&gt;=Time!$F$12,Time!X20&gt;0),(IF(Time!W34=1,W33,W31)-W30)*X19+IF(Time!X46&gt;0,Time!X45*W30/Time!X46,0)+IF(Time!W34=1,W33,W31)*X10,0)</f>
        <v/>
      </c>
      <c r="X119" s="13">
        <f>IF(AND(Time!X20&gt;=Time!$F$12,Time!Y20&gt;0),(IF(Time!X34=1,X33,X31)-X30)*Y19+IF(Time!Y46&gt;0,Time!Y45*X30/Time!Y46,0)+IF(Time!X34=1,X33,X31)*Y10,0)</f>
        <v/>
      </c>
      <c r="Y119" s="13">
        <f>IF(AND(Time!Y20&gt;=Time!$F$12,Time!Z20&gt;0),(IF(Time!Y34=1,Y33,Y31)-Y30)*Z19+IF(Time!Z46&gt;0,Time!Z45*Y30/Time!Z46,0)+IF(Time!Y34=1,Y33,Y31)*Z10,0)</f>
        <v/>
      </c>
      <c r="Z119" s="13">
        <f>IF(AND(Time!Z20&gt;=Time!$F$12,Time!AA20&gt;0),(IF(Time!Z34=1,Z33,Z31)-Z30)*AA19+IF(Time!AA46&gt;0,Time!AA45*Z30/Time!AA46,0)+IF(Time!Z34=1,Z33,Z31)*AA10,0)</f>
        <v/>
      </c>
      <c r="AA119" s="13">
        <f>IF(AND(Time!AA20&gt;=Time!$F$12,Time!AB20&gt;0),(IF(Time!AA34=1,AA33,AA31)-AA30)*AB19+IF(Time!AB46&gt;0,Time!AB45*AA30/Time!AB46,0)+IF(Time!AA34=1,AA33,AA31)*AB10,0)</f>
        <v/>
      </c>
      <c r="AB119" s="13">
        <f>IF(AND(Time!AB20&gt;=Time!$F$12,Time!AC20&gt;0),(IF(Time!AB34=1,AB33,AB31)-AB30)*AC19+IF(Time!AC46&gt;0,Time!AC45*AB30/Time!AC46,0)+IF(Time!AB34=1,AB33,AB31)*AC10,0)</f>
        <v/>
      </c>
      <c r="AC119" s="13">
        <f>IF(AND(Time!AC20&gt;=Time!$F$12,Time!AD20&gt;0),(IF(Time!AC34=1,AC33,AC31)-AC30)*AD19+IF(Time!AD46&gt;0,Time!AD45*AC30/Time!AD46,0)+IF(Time!AC34=1,AC33,AC31)*AD10,0)</f>
        <v/>
      </c>
      <c r="AD119" s="13">
        <f>IF(AND(Time!AD20&gt;=Time!$F$12,Time!AE20&gt;0),(IF(Time!AD34=1,AD33,AD31)-AD30)*AE19+IF(Time!AE46&gt;0,Time!AE45*AD30/Time!AE46,0)+IF(Time!AD34=1,AD33,AD31)*AE10,0)</f>
        <v/>
      </c>
      <c r="AE119" s="13">
        <f>IF(AND(Time!AE20&gt;=Time!$F$12,Time!AF20&gt;0),(IF(Time!AE34=1,AE33,AE31)-AE30)*AF19+IF(Time!AF46&gt;0,Time!AF45*AE30/Time!AF46,0)+IF(Time!AE34=1,AE33,AE31)*AF10,0)</f>
        <v/>
      </c>
      <c r="AF119" s="13">
        <f>IF(AND(Time!AF20&gt;=Time!$F$12,Time!AG20&gt;0),(IF(Time!AF34=1,AF33,AF31)-AF30)*AG19+IF(Time!AG46&gt;0,Time!AG45*AF30/Time!AG46,0)+IF(Time!AF34=1,AF33,AF31)*AG10,0)</f>
        <v/>
      </c>
      <c r="AG119" s="13">
        <f>IF(AND(Time!AG20&gt;=Time!$F$12,Time!AH20&gt;0),(IF(Time!AG34=1,AG33,AG31)-AG30)*AH19+IF(Time!AH46&gt;0,Time!AH45*AG30/Time!AH46,0)+IF(Time!AG34=1,AG33,AG31)*AH10,0)</f>
        <v/>
      </c>
      <c r="AH119" s="13">
        <f>IF(AND(Time!AH20&gt;=Time!$F$12,Time!AI20&gt;0),(IF(Time!AH34=1,AH33,AH31)-AH30)*AI19+IF(Time!AI46&gt;0,Time!AI45*AH30/Time!AI46,0)+IF(Time!AH34=1,AH33,AH31)*AI10,0)</f>
        <v/>
      </c>
      <c r="AI119" s="13">
        <f>IF(AND(Time!AI20&gt;=Time!$F$12,Time!AJ20&gt;0),(IF(Time!AI34=1,AI33,AI31)-AI30)*AJ19+IF(Time!AJ46&gt;0,Time!AJ45*AI30/Time!AJ46,0)+IF(Time!AI34=1,AI33,AI31)*AJ10,0)</f>
        <v/>
      </c>
      <c r="AJ119" s="13">
        <f>IF(AND(Time!AJ20&gt;=Time!$F$12,Time!AK20&gt;0),(IF(Time!AJ34=1,AJ33,AJ31)-AJ30)*AK19+IF(Time!AK46&gt;0,Time!AK45*AJ30/Time!AK46,0)+IF(Time!AJ34=1,AJ33,AJ31)*AK10,0)</f>
        <v/>
      </c>
      <c r="AK119" s="13">
        <f>IF(AND(Time!AK20&gt;=Time!$F$12,Time!AL20&gt;0),(IF(Time!AK34=1,AK33,AK31)-AK30)*AL19+IF(Time!AL46&gt;0,Time!AL45*AK30/Time!AL46,0)+IF(Time!AK34=1,AK33,AK31)*AL10,0)</f>
        <v/>
      </c>
      <c r="AL119" s="13">
        <f>IF(AND(Time!AL20&gt;=Time!$F$12,Time!AM20&gt;0),(IF(Time!AL34=1,AL33,AL31)-AL30)*AM19+IF(Time!AM46&gt;0,Time!AM45*AL30/Time!AM46,0)+IF(Time!AL34=1,AL33,AL31)*AM10,0)</f>
        <v/>
      </c>
      <c r="AM119" s="13">
        <f>IF(AND(Time!AM20&gt;=Time!$F$12,Time!AN20&gt;0),(IF(Time!AM34=1,AM33,AM31)-AM30)*AN19+IF(Time!AN46&gt;0,Time!AN45*AM30/Time!AN46,0)+IF(Time!AM34=1,AM33,AM31)*AN10,0)</f>
        <v/>
      </c>
      <c r="AN119" s="13">
        <f>IF(AND(Time!AN20&gt;=Time!$F$12,Time!AO20&gt;0),(IF(Time!AN34=1,AN33,AN31)-AN30)*AO19+IF(Time!AO46&gt;0,Time!AO45*AN30/Time!AO46,0)+IF(Time!AN34=1,AN33,AN31)*AO10,0)</f>
        <v/>
      </c>
      <c r="AO119" s="13">
        <f>IF(AND(Time!AO20&gt;=Time!$F$12,Time!AP20&gt;0),(IF(Time!AO34=1,AO33,AO31)-AO30)*AP19+IF(Time!AP46&gt;0,Time!AP45*AO30/Time!AP46,0)+IF(Time!AO34=1,AO33,AO31)*AP10,0)</f>
        <v/>
      </c>
      <c r="AP119" s="13">
        <f>IF(AND(Time!AP20&gt;=Time!$F$12,Time!AQ20&gt;0),(IF(Time!AP34=1,AP33,AP31)-AP30)*AQ19+IF(Time!AQ46&gt;0,Time!AQ45*AP30/Time!AQ46,0)+IF(Time!AP34=1,AP33,AP31)*AQ10,0)</f>
        <v/>
      </c>
      <c r="AQ119" s="13">
        <f>IF(AND(Time!AQ20&gt;=Time!$F$12,Time!AR20&gt;0),(IF(Time!AQ34=1,AQ33,AQ31)-AQ30)*AR19+IF(Time!AR46&gt;0,Time!AR45*AQ30/Time!AR46,0)+IF(Time!AQ34=1,AQ33,AQ31)*AR10,0)</f>
        <v/>
      </c>
      <c r="AR119" s="13">
        <f>IF(AND(Time!AR20&gt;=Time!$F$12,Time!AS20&gt;0),(IF(Time!AR34=1,AR33,AR31)-AR30)*AS19+IF(Time!AS46&gt;0,Time!AS45*AR30/Time!AS46,0)+IF(Time!AR34=1,AR33,AR31)*AS10,0)</f>
        <v/>
      </c>
      <c r="AS119" s="13">
        <f>IF(AND(Time!AS20&gt;=Time!$F$12,Time!AT20&gt;0),(IF(Time!AS34=1,AS33,AS31)-AS30)*AT19+IF(Time!AT46&gt;0,Time!AT45*AS30/Time!AT46,0)+IF(Time!AS34=1,AS33,AS31)*AT10,0)</f>
        <v/>
      </c>
      <c r="AT119" s="13">
        <f>IF(AND(Time!AT20&gt;=Time!$F$12,Time!AU20&gt;0),(IF(Time!AT34=1,AT33,AT31)-AT30)*AU19+IF(Time!AU46&gt;0,Time!AU45*AT30/Time!AU46,0)+IF(Time!AT34=1,AT33,AT31)*AU10,0)</f>
        <v/>
      </c>
      <c r="AU119" s="13">
        <f>IF(AND(Time!AU20&gt;=Time!$F$12,Time!AV20&gt;0),(IF(Time!AU34=1,AU33,AU31)-AU30)*AV19+IF(Time!AV46&gt;0,Time!AV45*AU30/Time!AV46,0)+IF(Time!AU34=1,AU33,AU31)*AV10,0)</f>
        <v/>
      </c>
      <c r="AV119" s="13">
        <f>IF(AND(Time!AV20&gt;=Time!$F$12,Time!AW20&gt;0),(IF(Time!AV34=1,AV33,AV31)-AV30)*AW19+IF(Time!AW46&gt;0,Time!AW45*AV30/Time!AW46,0)+IF(Time!AV34=1,AV33,AV31)*AW10,0)</f>
        <v/>
      </c>
      <c r="AW119" s="13">
        <f>IF(AND(Time!AW20&gt;=Time!$F$12,Time!AX20&gt;0),(IF(Time!AW34=1,AW33,AW31)-AW30)*AX19+IF(Time!AX46&gt;0,Time!AX45*AW30/Time!AX46,0)+IF(Time!AW34=1,AW33,AW31)*AX10,0)</f>
        <v/>
      </c>
      <c r="AX119" s="13">
        <f>IF(AND(Time!AX20&gt;=Time!$F$12,Time!AY20&gt;0),(IF(Time!AX34=1,AX33,AX31)-AX30)*AY19+IF(Time!AY46&gt;0,Time!AY45*AX30/Time!AY46,0)+IF(Time!AX34=1,AX33,AX31)*AY10,0)</f>
        <v/>
      </c>
      <c r="AY119" s="13">
        <f>IF(AND(Time!AY20&gt;=Time!$F$12,Time!AZ20&gt;0),(IF(Time!AY34=1,AY33,AY31)-AY30)*AZ19+IF(Time!AZ46&gt;0,Time!AZ45*AY30/Time!AZ46,0)+IF(Time!AY34=1,AY33,AY31)*AZ10,0)</f>
        <v/>
      </c>
      <c r="AZ119" s="13">
        <f>IF(AND(Time!AZ20&gt;=Time!$F$12,Time!BA20&gt;0),(IF(Time!AZ34=1,AZ33,AZ31)-AZ30)*BA19+IF(Time!BA46&gt;0,Time!BA45*AZ30/Time!BA46,0)+IF(Time!AZ34=1,AZ33,AZ31)*BA10,0)</f>
        <v/>
      </c>
      <c r="BA119" s="13">
        <f>IF(AND(Time!BA20&gt;=Time!$F$12,Time!BB20&gt;0),(IF(Time!BA34=1,BA33,BA31)-BA30)*BB19+IF(Time!BB46&gt;0,Time!BB45*BA30/Time!BB46,0)+IF(Time!BA34=1,BA33,BA31)*BB10,0)</f>
        <v/>
      </c>
      <c r="BB119" s="13">
        <f>IF(AND(Time!BB20&gt;=Time!$F$12,Time!BC20&gt;0),(IF(Time!BB34=1,BB33,BB31)-BB30)*BC19+IF(Time!BC46&gt;0,Time!BC45*BB30/Time!BC46,0)+IF(Time!BB34=1,BB33,BB31)*BC10,0)</f>
        <v/>
      </c>
      <c r="BC119" s="13">
        <f>IF(AND(Time!BC20&gt;=Time!$F$12,Time!BD20&gt;0),(IF(Time!BC34=1,BC33,BC31)-BC30)*BD19+IF(Time!BD46&gt;0,Time!BD45*BC30/Time!BD46,0)+IF(Time!BC34=1,BC33,BC31)*BD10,0)</f>
        <v/>
      </c>
      <c r="BD119" s="13">
        <f>IF(AND(Time!BD20&gt;=Time!$F$12,Time!BE20&gt;0),(IF(Time!BD34=1,BD33,BD31)-BD30)*BE19+IF(Time!BE46&gt;0,Time!BE45*BD30/Time!BE46,0)+IF(Time!BD34=1,BD33,BD31)*BE10,0)</f>
        <v/>
      </c>
      <c r="BE119" s="13">
        <f>IF(AND(Time!BE20&gt;=Time!$F$12,Time!BF20&gt;0),(IF(Time!BE34=1,BE33,BE31)-BE30)*BF19+IF(Time!BF46&gt;0,Time!BF45*BE30/Time!BF46,0)+IF(Time!BE34=1,BE33,BE31)*BF10,0)</f>
        <v/>
      </c>
      <c r="BF119" s="13">
        <f>IF(AND(Time!BF20&gt;=Time!$F$12,Time!BG20&gt;0),(IF(Time!BF34=1,BF33,BF31)-BF30)*BG19+IF(Time!BG46&gt;0,Time!BG45*BF30/Time!BG46,0)+IF(Time!BF34=1,BF33,BF31)*BG10,0)</f>
        <v/>
      </c>
      <c r="BG119" s="13">
        <f>IF(AND(Time!BG20&gt;=Time!$F$12,Time!BH20&gt;0),(IF(Time!BG34=1,BG33,BG31)-BG30)*BH19+IF(Time!BH46&gt;0,Time!BH45*BG30/Time!BH46,0)+IF(Time!BG34=1,BG33,BG31)*BH10,0)</f>
        <v/>
      </c>
      <c r="BH119" s="13">
        <f>IF(AND(Time!BH20&gt;=Time!$F$12,Time!BI20&gt;0),(IF(Time!BH34=1,BH33,BH31)-BH30)*BI19+IF(Time!BI46&gt;0,Time!BI45*BH30/Time!BI46,0)+IF(Time!BH34=1,BH33,BH31)*BI10,0)</f>
        <v/>
      </c>
      <c r="BI119" s="13">
        <f>IF(AND(Time!BI20&gt;=Time!$F$12,Time!BJ20&gt;0),(IF(Time!BI34=1,BI33,BI31)-BI30)*BJ19+IF(Time!BJ46&gt;0,Time!BJ45*BI30/Time!BJ46,0)+IF(Time!BI34=1,BI33,BI31)*BJ10,0)</f>
        <v/>
      </c>
      <c r="BJ119" s="13">
        <f>IF(AND(Time!BJ20&gt;=Time!$F$12,Time!BK20&gt;0),(IF(Time!BJ34=1,BJ33,BJ31)-BJ30)*BK19+IF(Time!BK46&gt;0,Time!BK45*BJ30/Time!BK46,0)+IF(Time!BJ34=1,BJ33,BJ31)*BK10,0)</f>
        <v/>
      </c>
      <c r="BK119" s="13">
        <f>IF(AND(Time!BK20&gt;=Time!$F$12,Time!BL20&gt;0),(IF(Time!BK34=1,BK33,BK31)-BK30)*BL19+IF(Time!BL46&gt;0,Time!BL45*BK30/Time!BL46,0)+IF(Time!BK34=1,BK33,BK31)*BL10,0)</f>
        <v/>
      </c>
      <c r="BL119" s="13">
        <f>IF(AND(Time!BL20&gt;=Time!$F$12,Time!BM20&gt;0),(IF(Time!BL34=1,BL33,BL31)-BL30)*BM19+IF(Time!BM46&gt;0,Time!BM45*BL30/Time!BM46,0)+IF(Time!BL34=1,BL33,BL31)*BM10,0)</f>
        <v/>
      </c>
      <c r="BM119" s="13">
        <f>IF(AND(Time!BM20&gt;=Time!$F$12,Time!BN20&gt;0),(IF(Time!BM34=1,BM33,BM31)-BM30)*BN19+IF(Time!BN46&gt;0,Time!BN45*BM30/Time!BN46,0)+IF(Time!BM34=1,BM33,BM31)*BN10,0)</f>
        <v/>
      </c>
      <c r="BN119" s="13">
        <f>IF(AND(Time!BN20&gt;=Time!$F$12,Time!BO20&gt;0),(IF(Time!BN34=1,BN33,BN31)-BN30)*BO19+IF(Time!BO46&gt;0,Time!BO45*BN30/Time!BO46,0)+IF(Time!BN34=1,BN33,BN31)*BO10,0)</f>
        <v/>
      </c>
    </row>
    <row r="120">
      <c r="D120" t="inlineStr">
        <is>
          <t>ABDB A-loan: next period debt service</t>
        </is>
      </c>
      <c r="E120" t="inlineStr">
        <is>
          <t>USD m</t>
        </is>
      </c>
      <c r="J120" s="13">
        <f>IF(AND(Time!J20&gt;=Time!$F$12,Time!K20&gt;0),(IF(Time!J34=1,J47,J45)-J44)*K19+IF(Time!K46&gt;0,Time!K45*J44/Time!K46,0)+IF(Time!J34=1,J47,J45)*K11,0)</f>
        <v/>
      </c>
      <c r="K120" s="13">
        <f>IF(AND(Time!K20&gt;=Time!$F$12,Time!L20&gt;0),(IF(Time!K34=1,K47,K45)-K44)*L19+IF(Time!L46&gt;0,Time!L45*K44/Time!L46,0)+IF(Time!K34=1,K47,K45)*L11,0)</f>
        <v/>
      </c>
      <c r="L120" s="13">
        <f>IF(AND(Time!L20&gt;=Time!$F$12,Time!M20&gt;0),(IF(Time!L34=1,L47,L45)-L44)*M19+IF(Time!M46&gt;0,Time!M45*L44/Time!M46,0)+IF(Time!L34=1,L47,L45)*M11,0)</f>
        <v/>
      </c>
      <c r="M120" s="13">
        <f>IF(AND(Time!M20&gt;=Time!$F$12,Time!N20&gt;0),(IF(Time!M34=1,M47,M45)-M44)*N19+IF(Time!N46&gt;0,Time!N45*M44/Time!N46,0)+IF(Time!M34=1,M47,M45)*N11,0)</f>
        <v/>
      </c>
      <c r="N120" s="13">
        <f>IF(AND(Time!N20&gt;=Time!$F$12,Time!O20&gt;0),(IF(Time!N34=1,N47,N45)-N44)*O19+IF(Time!O46&gt;0,Time!O45*N44/Time!O46,0)+IF(Time!N34=1,N47,N45)*O11,0)</f>
        <v/>
      </c>
      <c r="O120" s="13">
        <f>IF(AND(Time!O20&gt;=Time!$F$12,Time!P20&gt;0),(IF(Time!O34=1,O47,O45)-O44)*P19+IF(Time!P46&gt;0,Time!P45*O44/Time!P46,0)+IF(Time!O34=1,O47,O45)*P11,0)</f>
        <v/>
      </c>
      <c r="P120" s="13">
        <f>IF(AND(Time!P20&gt;=Time!$F$12,Time!Q20&gt;0),(IF(Time!P34=1,P47,P45)-P44)*Q19+IF(Time!Q46&gt;0,Time!Q45*P44/Time!Q46,0)+IF(Time!P34=1,P47,P45)*Q11,0)</f>
        <v/>
      </c>
      <c r="Q120" s="13">
        <f>IF(AND(Time!Q20&gt;=Time!$F$12,Time!R20&gt;0),(IF(Time!Q34=1,Q47,Q45)-Q44)*R19+IF(Time!R46&gt;0,Time!R45*Q44/Time!R46,0)+IF(Time!Q34=1,Q47,Q45)*R11,0)</f>
        <v/>
      </c>
      <c r="R120" s="13">
        <f>IF(AND(Time!R20&gt;=Time!$F$12,Time!S20&gt;0),(IF(Time!R34=1,R47,R45)-R44)*S19+IF(Time!S46&gt;0,Time!S45*R44/Time!S46,0)+IF(Time!R34=1,R47,R45)*S11,0)</f>
        <v/>
      </c>
      <c r="S120" s="13">
        <f>IF(AND(Time!S20&gt;=Time!$F$12,Time!T20&gt;0),(IF(Time!S34=1,S47,S45)-S44)*T19+IF(Time!T46&gt;0,Time!T45*S44/Time!T46,0)+IF(Time!S34=1,S47,S45)*T11,0)</f>
        <v/>
      </c>
      <c r="T120" s="13">
        <f>IF(AND(Time!T20&gt;=Time!$F$12,Time!U20&gt;0),(IF(Time!T34=1,T47,T45)-T44)*U19+IF(Time!U46&gt;0,Time!U45*T44/Time!U46,0)+IF(Time!T34=1,T47,T45)*U11,0)</f>
        <v/>
      </c>
      <c r="U120" s="13">
        <f>IF(AND(Time!U20&gt;=Time!$F$12,Time!V20&gt;0),(IF(Time!U34=1,U47,U45)-U44)*V19+IF(Time!V46&gt;0,Time!V45*U44/Time!V46,0)+IF(Time!U34=1,U47,U45)*V11,0)</f>
        <v/>
      </c>
      <c r="V120" s="13">
        <f>IF(AND(Time!V20&gt;=Time!$F$12,Time!W20&gt;0),(IF(Time!V34=1,V47,V45)-V44)*W19+IF(Time!W46&gt;0,Time!W45*V44/Time!W46,0)+IF(Time!V34=1,V47,V45)*W11,0)</f>
        <v/>
      </c>
      <c r="W120" s="13">
        <f>IF(AND(Time!W20&gt;=Time!$F$12,Time!X20&gt;0),(IF(Time!W34=1,W47,W45)-W44)*X19+IF(Time!X46&gt;0,Time!X45*W44/Time!X46,0)+IF(Time!W34=1,W47,W45)*X11,0)</f>
        <v/>
      </c>
      <c r="X120" s="13">
        <f>IF(AND(Time!X20&gt;=Time!$F$12,Time!Y20&gt;0),(IF(Time!X34=1,X47,X45)-X44)*Y19+IF(Time!Y46&gt;0,Time!Y45*X44/Time!Y46,0)+IF(Time!X34=1,X47,X45)*Y11,0)</f>
        <v/>
      </c>
      <c r="Y120" s="13">
        <f>IF(AND(Time!Y20&gt;=Time!$F$12,Time!Z20&gt;0),(IF(Time!Y34=1,Y47,Y45)-Y44)*Z19+IF(Time!Z46&gt;0,Time!Z45*Y44/Time!Z46,0)+IF(Time!Y34=1,Y47,Y45)*Z11,0)</f>
        <v/>
      </c>
      <c r="Z120" s="13">
        <f>IF(AND(Time!Z20&gt;=Time!$F$12,Time!AA20&gt;0),(IF(Time!Z34=1,Z47,Z45)-Z44)*AA19+IF(Time!AA46&gt;0,Time!AA45*Z44/Time!AA46,0)+IF(Time!Z34=1,Z47,Z45)*AA11,0)</f>
        <v/>
      </c>
      <c r="AA120" s="13">
        <f>IF(AND(Time!AA20&gt;=Time!$F$12,Time!AB20&gt;0),(IF(Time!AA34=1,AA47,AA45)-AA44)*AB19+IF(Time!AB46&gt;0,Time!AB45*AA44/Time!AB46,0)+IF(Time!AA34=1,AA47,AA45)*AB11,0)</f>
        <v/>
      </c>
      <c r="AB120" s="13">
        <f>IF(AND(Time!AB20&gt;=Time!$F$12,Time!AC20&gt;0),(IF(Time!AB34=1,AB47,AB45)-AB44)*AC19+IF(Time!AC46&gt;0,Time!AC45*AB44/Time!AC46,0)+IF(Time!AB34=1,AB47,AB45)*AC11,0)</f>
        <v/>
      </c>
      <c r="AC120" s="13">
        <f>IF(AND(Time!AC20&gt;=Time!$F$12,Time!AD20&gt;0),(IF(Time!AC34=1,AC47,AC45)-AC44)*AD19+IF(Time!AD46&gt;0,Time!AD45*AC44/Time!AD46,0)+IF(Time!AC34=1,AC47,AC45)*AD11,0)</f>
        <v/>
      </c>
      <c r="AD120" s="13">
        <f>IF(AND(Time!AD20&gt;=Time!$F$12,Time!AE20&gt;0),(IF(Time!AD34=1,AD47,AD45)-AD44)*AE19+IF(Time!AE46&gt;0,Time!AE45*AD44/Time!AE46,0)+IF(Time!AD34=1,AD47,AD45)*AE11,0)</f>
        <v/>
      </c>
      <c r="AE120" s="13">
        <f>IF(AND(Time!AE20&gt;=Time!$F$12,Time!AF20&gt;0),(IF(Time!AE34=1,AE47,AE45)-AE44)*AF19+IF(Time!AF46&gt;0,Time!AF45*AE44/Time!AF46,0)+IF(Time!AE34=1,AE47,AE45)*AF11,0)</f>
        <v/>
      </c>
      <c r="AF120" s="13">
        <f>IF(AND(Time!AF20&gt;=Time!$F$12,Time!AG20&gt;0),(IF(Time!AF34=1,AF47,AF45)-AF44)*AG19+IF(Time!AG46&gt;0,Time!AG45*AF44/Time!AG46,0)+IF(Time!AF34=1,AF47,AF45)*AG11,0)</f>
        <v/>
      </c>
      <c r="AG120" s="13">
        <f>IF(AND(Time!AG20&gt;=Time!$F$12,Time!AH20&gt;0),(IF(Time!AG34=1,AG47,AG45)-AG44)*AH19+IF(Time!AH46&gt;0,Time!AH45*AG44/Time!AH46,0)+IF(Time!AG34=1,AG47,AG45)*AH11,0)</f>
        <v/>
      </c>
      <c r="AH120" s="13">
        <f>IF(AND(Time!AH20&gt;=Time!$F$12,Time!AI20&gt;0),(IF(Time!AH34=1,AH47,AH45)-AH44)*AI19+IF(Time!AI46&gt;0,Time!AI45*AH44/Time!AI46,0)+IF(Time!AH34=1,AH47,AH45)*AI11,0)</f>
        <v/>
      </c>
      <c r="AI120" s="13">
        <f>IF(AND(Time!AI20&gt;=Time!$F$12,Time!AJ20&gt;0),(IF(Time!AI34=1,AI47,AI45)-AI44)*AJ19+IF(Time!AJ46&gt;0,Time!AJ45*AI44/Time!AJ46,0)+IF(Time!AI34=1,AI47,AI45)*AJ11,0)</f>
        <v/>
      </c>
      <c r="AJ120" s="13">
        <f>IF(AND(Time!AJ20&gt;=Time!$F$12,Time!AK20&gt;0),(IF(Time!AJ34=1,AJ47,AJ45)-AJ44)*AK19+IF(Time!AK46&gt;0,Time!AK45*AJ44/Time!AK46,0)+IF(Time!AJ34=1,AJ47,AJ45)*AK11,0)</f>
        <v/>
      </c>
      <c r="AK120" s="13">
        <f>IF(AND(Time!AK20&gt;=Time!$F$12,Time!AL20&gt;0),(IF(Time!AK34=1,AK47,AK45)-AK44)*AL19+IF(Time!AL46&gt;0,Time!AL45*AK44/Time!AL46,0)+IF(Time!AK34=1,AK47,AK45)*AL11,0)</f>
        <v/>
      </c>
      <c r="AL120" s="13">
        <f>IF(AND(Time!AL20&gt;=Time!$F$12,Time!AM20&gt;0),(IF(Time!AL34=1,AL47,AL45)-AL44)*AM19+IF(Time!AM46&gt;0,Time!AM45*AL44/Time!AM46,0)+IF(Time!AL34=1,AL47,AL45)*AM11,0)</f>
        <v/>
      </c>
      <c r="AM120" s="13">
        <f>IF(AND(Time!AM20&gt;=Time!$F$12,Time!AN20&gt;0),(IF(Time!AM34=1,AM47,AM45)-AM44)*AN19+IF(Time!AN46&gt;0,Time!AN45*AM44/Time!AN46,0)+IF(Time!AM34=1,AM47,AM45)*AN11,0)</f>
        <v/>
      </c>
      <c r="AN120" s="13">
        <f>IF(AND(Time!AN20&gt;=Time!$F$12,Time!AO20&gt;0),(IF(Time!AN34=1,AN47,AN45)-AN44)*AO19+IF(Time!AO46&gt;0,Time!AO45*AN44/Time!AO46,0)+IF(Time!AN34=1,AN47,AN45)*AO11,0)</f>
        <v/>
      </c>
      <c r="AO120" s="13">
        <f>IF(AND(Time!AO20&gt;=Time!$F$12,Time!AP20&gt;0),(IF(Time!AO34=1,AO47,AO45)-AO44)*AP19+IF(Time!AP46&gt;0,Time!AP45*AO44/Time!AP46,0)+IF(Time!AO34=1,AO47,AO45)*AP11,0)</f>
        <v/>
      </c>
      <c r="AP120" s="13">
        <f>IF(AND(Time!AP20&gt;=Time!$F$12,Time!AQ20&gt;0),(IF(Time!AP34=1,AP47,AP45)-AP44)*AQ19+IF(Time!AQ46&gt;0,Time!AQ45*AP44/Time!AQ46,0)+IF(Time!AP34=1,AP47,AP45)*AQ11,0)</f>
        <v/>
      </c>
      <c r="AQ120" s="13">
        <f>IF(AND(Time!AQ20&gt;=Time!$F$12,Time!AR20&gt;0),(IF(Time!AQ34=1,AQ47,AQ45)-AQ44)*AR19+IF(Time!AR46&gt;0,Time!AR45*AQ44/Time!AR46,0)+IF(Time!AQ34=1,AQ47,AQ45)*AR11,0)</f>
        <v/>
      </c>
      <c r="AR120" s="13">
        <f>IF(AND(Time!AR20&gt;=Time!$F$12,Time!AS20&gt;0),(IF(Time!AR34=1,AR47,AR45)-AR44)*AS19+IF(Time!AS46&gt;0,Time!AS45*AR44/Time!AS46,0)+IF(Time!AR34=1,AR47,AR45)*AS11,0)</f>
        <v/>
      </c>
      <c r="AS120" s="13">
        <f>IF(AND(Time!AS20&gt;=Time!$F$12,Time!AT20&gt;0),(IF(Time!AS34=1,AS47,AS45)-AS44)*AT19+IF(Time!AT46&gt;0,Time!AT45*AS44/Time!AT46,0)+IF(Time!AS34=1,AS47,AS45)*AT11,0)</f>
        <v/>
      </c>
      <c r="AT120" s="13">
        <f>IF(AND(Time!AT20&gt;=Time!$F$12,Time!AU20&gt;0),(IF(Time!AT34=1,AT47,AT45)-AT44)*AU19+IF(Time!AU46&gt;0,Time!AU45*AT44/Time!AU46,0)+IF(Time!AT34=1,AT47,AT45)*AU11,0)</f>
        <v/>
      </c>
      <c r="AU120" s="13">
        <f>IF(AND(Time!AU20&gt;=Time!$F$12,Time!AV20&gt;0),(IF(Time!AU34=1,AU47,AU45)-AU44)*AV19+IF(Time!AV46&gt;0,Time!AV45*AU44/Time!AV46,0)+IF(Time!AU34=1,AU47,AU45)*AV11,0)</f>
        <v/>
      </c>
      <c r="AV120" s="13">
        <f>IF(AND(Time!AV20&gt;=Time!$F$12,Time!AW20&gt;0),(IF(Time!AV34=1,AV47,AV45)-AV44)*AW19+IF(Time!AW46&gt;0,Time!AW45*AV44/Time!AW46,0)+IF(Time!AV34=1,AV47,AV45)*AW11,0)</f>
        <v/>
      </c>
      <c r="AW120" s="13">
        <f>IF(AND(Time!AW20&gt;=Time!$F$12,Time!AX20&gt;0),(IF(Time!AW34=1,AW47,AW45)-AW44)*AX19+IF(Time!AX46&gt;0,Time!AX45*AW44/Time!AX46,0)+IF(Time!AW34=1,AW47,AW45)*AX11,0)</f>
        <v/>
      </c>
      <c r="AX120" s="13">
        <f>IF(AND(Time!AX20&gt;=Time!$F$12,Time!AY20&gt;0),(IF(Time!AX34=1,AX47,AX45)-AX44)*AY19+IF(Time!AY46&gt;0,Time!AY45*AX44/Time!AY46,0)+IF(Time!AX34=1,AX47,AX45)*AY11,0)</f>
        <v/>
      </c>
      <c r="AY120" s="13">
        <f>IF(AND(Time!AY20&gt;=Time!$F$12,Time!AZ20&gt;0),(IF(Time!AY34=1,AY47,AY45)-AY44)*AZ19+IF(Time!AZ46&gt;0,Time!AZ45*AY44/Time!AZ46,0)+IF(Time!AY34=1,AY47,AY45)*AZ11,0)</f>
        <v/>
      </c>
      <c r="AZ120" s="13">
        <f>IF(AND(Time!AZ20&gt;=Time!$F$12,Time!BA20&gt;0),(IF(Time!AZ34=1,AZ47,AZ45)-AZ44)*BA19+IF(Time!BA46&gt;0,Time!BA45*AZ44/Time!BA46,0)+IF(Time!AZ34=1,AZ47,AZ45)*BA11,0)</f>
        <v/>
      </c>
      <c r="BA120" s="13">
        <f>IF(AND(Time!BA20&gt;=Time!$F$12,Time!BB20&gt;0),(IF(Time!BA34=1,BA47,BA45)-BA44)*BB19+IF(Time!BB46&gt;0,Time!BB45*BA44/Time!BB46,0)+IF(Time!BA34=1,BA47,BA45)*BB11,0)</f>
        <v/>
      </c>
      <c r="BB120" s="13">
        <f>IF(AND(Time!BB20&gt;=Time!$F$12,Time!BC20&gt;0),(IF(Time!BB34=1,BB47,BB45)-BB44)*BC19+IF(Time!BC46&gt;0,Time!BC45*BB44/Time!BC46,0)+IF(Time!BB34=1,BB47,BB45)*BC11,0)</f>
        <v/>
      </c>
      <c r="BC120" s="13">
        <f>IF(AND(Time!BC20&gt;=Time!$F$12,Time!BD20&gt;0),(IF(Time!BC34=1,BC47,BC45)-BC44)*BD19+IF(Time!BD46&gt;0,Time!BD45*BC44/Time!BD46,0)+IF(Time!BC34=1,BC47,BC45)*BD11,0)</f>
        <v/>
      </c>
      <c r="BD120" s="13">
        <f>IF(AND(Time!BD20&gt;=Time!$F$12,Time!BE20&gt;0),(IF(Time!BD34=1,BD47,BD45)-BD44)*BE19+IF(Time!BE46&gt;0,Time!BE45*BD44/Time!BE46,0)+IF(Time!BD34=1,BD47,BD45)*BE11,0)</f>
        <v/>
      </c>
      <c r="BE120" s="13">
        <f>IF(AND(Time!BE20&gt;=Time!$F$12,Time!BF20&gt;0),(IF(Time!BE34=1,BE47,BE45)-BE44)*BF19+IF(Time!BF46&gt;0,Time!BF45*BE44/Time!BF46,0)+IF(Time!BE34=1,BE47,BE45)*BF11,0)</f>
        <v/>
      </c>
      <c r="BF120" s="13">
        <f>IF(AND(Time!BF20&gt;=Time!$F$12,Time!BG20&gt;0),(IF(Time!BF34=1,BF47,BF45)-BF44)*BG19+IF(Time!BG46&gt;0,Time!BG45*BF44/Time!BG46,0)+IF(Time!BF34=1,BF47,BF45)*BG11,0)</f>
        <v/>
      </c>
      <c r="BG120" s="13">
        <f>IF(AND(Time!BG20&gt;=Time!$F$12,Time!BH20&gt;0),(IF(Time!BG34=1,BG47,BG45)-BG44)*BH19+IF(Time!BH46&gt;0,Time!BH45*BG44/Time!BH46,0)+IF(Time!BG34=1,BG47,BG45)*BH11,0)</f>
        <v/>
      </c>
      <c r="BH120" s="13">
        <f>IF(AND(Time!BH20&gt;=Time!$F$12,Time!BI20&gt;0),(IF(Time!BH34=1,BH47,BH45)-BH44)*BI19+IF(Time!BI46&gt;0,Time!BI45*BH44/Time!BI46,0)+IF(Time!BH34=1,BH47,BH45)*BI11,0)</f>
        <v/>
      </c>
      <c r="BI120" s="13">
        <f>IF(AND(Time!BI20&gt;=Time!$F$12,Time!BJ20&gt;0),(IF(Time!BI34=1,BI47,BI45)-BI44)*BJ19+IF(Time!BJ46&gt;0,Time!BJ45*BI44/Time!BJ46,0)+IF(Time!BI34=1,BI47,BI45)*BJ11,0)</f>
        <v/>
      </c>
      <c r="BJ120" s="13">
        <f>IF(AND(Time!BJ20&gt;=Time!$F$12,Time!BK20&gt;0),(IF(Time!BJ34=1,BJ47,BJ45)-BJ44)*BK19+IF(Time!BK46&gt;0,Time!BK45*BJ44/Time!BK46,0)+IF(Time!BJ34=1,BJ47,BJ45)*BK11,0)</f>
        <v/>
      </c>
      <c r="BK120" s="13">
        <f>IF(AND(Time!BK20&gt;=Time!$F$12,Time!BL20&gt;0),(IF(Time!BK34=1,BK47,BK45)-BK44)*BL19+IF(Time!BL46&gt;0,Time!BL45*BK44/Time!BL46,0)+IF(Time!BK34=1,BK47,BK45)*BL11,0)</f>
        <v/>
      </c>
      <c r="BL120" s="13">
        <f>IF(AND(Time!BL20&gt;=Time!$F$12,Time!BM20&gt;0),(IF(Time!BL34=1,BL47,BL45)-BL44)*BM19+IF(Time!BM46&gt;0,Time!BM45*BL44/Time!BM46,0)+IF(Time!BL34=1,BL47,BL45)*BM11,0)</f>
        <v/>
      </c>
      <c r="BM120" s="13">
        <f>IF(AND(Time!BM20&gt;=Time!$F$12,Time!BN20&gt;0),(IF(Time!BM34=1,BM47,BM45)-BM44)*BN19+IF(Time!BN46&gt;0,Time!BN45*BM44/Time!BN46,0)+IF(Time!BM34=1,BM47,BM45)*BN11,0)</f>
        <v/>
      </c>
      <c r="BN120" s="13">
        <f>IF(AND(Time!BN20&gt;=Time!$F$12,Time!BO20&gt;0),(IF(Time!BN34=1,BN47,BN45)-BN44)*BO19+IF(Time!BO46&gt;0,Time!BO45*BN44/Time!BO46,0)+IF(Time!BN34=1,BN47,BN45)*BO11,0)</f>
        <v/>
      </c>
    </row>
    <row r="121">
      <c r="D121" t="inlineStr">
        <is>
          <t>ABDB B-loan: next period debt service</t>
        </is>
      </c>
      <c r="E121" t="inlineStr">
        <is>
          <t>USD m</t>
        </is>
      </c>
      <c r="J121" s="13">
        <f>IF(AND(Time!J20&gt;=Time!$F$12,Time!K20&gt;0),(IF(Time!J34=1,J61,J59)-J58)*K19+IF(Time!K46&gt;0,Time!K45*J58/Time!K46,0)+IF(Time!J34=1,J61,J59)*K12,0)</f>
        <v/>
      </c>
      <c r="K121" s="13">
        <f>IF(AND(Time!K20&gt;=Time!$F$12,Time!L20&gt;0),(IF(Time!K34=1,K61,K59)-K58)*L19+IF(Time!L46&gt;0,Time!L45*K58/Time!L46,0)+IF(Time!K34=1,K61,K59)*L12,0)</f>
        <v/>
      </c>
      <c r="L121" s="13">
        <f>IF(AND(Time!L20&gt;=Time!$F$12,Time!M20&gt;0),(IF(Time!L34=1,L61,L59)-L58)*M19+IF(Time!M46&gt;0,Time!M45*L58/Time!M46,0)+IF(Time!L34=1,L61,L59)*M12,0)</f>
        <v/>
      </c>
      <c r="M121" s="13">
        <f>IF(AND(Time!M20&gt;=Time!$F$12,Time!N20&gt;0),(IF(Time!M34=1,M61,M59)-M58)*N19+IF(Time!N46&gt;0,Time!N45*M58/Time!N46,0)+IF(Time!M34=1,M61,M59)*N12,0)</f>
        <v/>
      </c>
      <c r="N121" s="13">
        <f>IF(AND(Time!N20&gt;=Time!$F$12,Time!O20&gt;0),(IF(Time!N34=1,N61,N59)-N58)*O19+IF(Time!O46&gt;0,Time!O45*N58/Time!O46,0)+IF(Time!N34=1,N61,N59)*O12,0)</f>
        <v/>
      </c>
      <c r="O121" s="13">
        <f>IF(AND(Time!O20&gt;=Time!$F$12,Time!P20&gt;0),(IF(Time!O34=1,O61,O59)-O58)*P19+IF(Time!P46&gt;0,Time!P45*O58/Time!P46,0)+IF(Time!O34=1,O61,O59)*P12,0)</f>
        <v/>
      </c>
      <c r="P121" s="13">
        <f>IF(AND(Time!P20&gt;=Time!$F$12,Time!Q20&gt;0),(IF(Time!P34=1,P61,P59)-P58)*Q19+IF(Time!Q46&gt;0,Time!Q45*P58/Time!Q46,0)+IF(Time!P34=1,P61,P59)*Q12,0)</f>
        <v/>
      </c>
      <c r="Q121" s="13">
        <f>IF(AND(Time!Q20&gt;=Time!$F$12,Time!R20&gt;0),(IF(Time!Q34=1,Q61,Q59)-Q58)*R19+IF(Time!R46&gt;0,Time!R45*Q58/Time!R46,0)+IF(Time!Q34=1,Q61,Q59)*R12,0)</f>
        <v/>
      </c>
      <c r="R121" s="13">
        <f>IF(AND(Time!R20&gt;=Time!$F$12,Time!S20&gt;0),(IF(Time!R34=1,R61,R59)-R58)*S19+IF(Time!S46&gt;0,Time!S45*R58/Time!S46,0)+IF(Time!R34=1,R61,R59)*S12,0)</f>
        <v/>
      </c>
      <c r="S121" s="13">
        <f>IF(AND(Time!S20&gt;=Time!$F$12,Time!T20&gt;0),(IF(Time!S34=1,S61,S59)-S58)*T19+IF(Time!T46&gt;0,Time!T45*S58/Time!T46,0)+IF(Time!S34=1,S61,S59)*T12,0)</f>
        <v/>
      </c>
      <c r="T121" s="13">
        <f>IF(AND(Time!T20&gt;=Time!$F$12,Time!U20&gt;0),(IF(Time!T34=1,T61,T59)-T58)*U19+IF(Time!U46&gt;0,Time!U45*T58/Time!U46,0)+IF(Time!T34=1,T61,T59)*U12,0)</f>
        <v/>
      </c>
      <c r="U121" s="13">
        <f>IF(AND(Time!U20&gt;=Time!$F$12,Time!V20&gt;0),(IF(Time!U34=1,U61,U59)-U58)*V19+IF(Time!V46&gt;0,Time!V45*U58/Time!V46,0)+IF(Time!U34=1,U61,U59)*V12,0)</f>
        <v/>
      </c>
      <c r="V121" s="13">
        <f>IF(AND(Time!V20&gt;=Time!$F$12,Time!W20&gt;0),(IF(Time!V34=1,V61,V59)-V58)*W19+IF(Time!W46&gt;0,Time!W45*V58/Time!W46,0)+IF(Time!V34=1,V61,V59)*W12,0)</f>
        <v/>
      </c>
      <c r="W121" s="13">
        <f>IF(AND(Time!W20&gt;=Time!$F$12,Time!X20&gt;0),(IF(Time!W34=1,W61,W59)-W58)*X19+IF(Time!X46&gt;0,Time!X45*W58/Time!X46,0)+IF(Time!W34=1,W61,W59)*X12,0)</f>
        <v/>
      </c>
      <c r="X121" s="13">
        <f>IF(AND(Time!X20&gt;=Time!$F$12,Time!Y20&gt;0),(IF(Time!X34=1,X61,X59)-X58)*Y19+IF(Time!Y46&gt;0,Time!Y45*X58/Time!Y46,0)+IF(Time!X34=1,X61,X59)*Y12,0)</f>
        <v/>
      </c>
      <c r="Y121" s="13">
        <f>IF(AND(Time!Y20&gt;=Time!$F$12,Time!Z20&gt;0),(IF(Time!Y34=1,Y61,Y59)-Y58)*Z19+IF(Time!Z46&gt;0,Time!Z45*Y58/Time!Z46,0)+IF(Time!Y34=1,Y61,Y59)*Z12,0)</f>
        <v/>
      </c>
      <c r="Z121" s="13">
        <f>IF(AND(Time!Z20&gt;=Time!$F$12,Time!AA20&gt;0),(IF(Time!Z34=1,Z61,Z59)-Z58)*AA19+IF(Time!AA46&gt;0,Time!AA45*Z58/Time!AA46,0)+IF(Time!Z34=1,Z61,Z59)*AA12,0)</f>
        <v/>
      </c>
      <c r="AA121" s="13">
        <f>IF(AND(Time!AA20&gt;=Time!$F$12,Time!AB20&gt;0),(IF(Time!AA34=1,AA61,AA59)-AA58)*AB19+IF(Time!AB46&gt;0,Time!AB45*AA58/Time!AB46,0)+IF(Time!AA34=1,AA61,AA59)*AB12,0)</f>
        <v/>
      </c>
      <c r="AB121" s="13">
        <f>IF(AND(Time!AB20&gt;=Time!$F$12,Time!AC20&gt;0),(IF(Time!AB34=1,AB61,AB59)-AB58)*AC19+IF(Time!AC46&gt;0,Time!AC45*AB58/Time!AC46,0)+IF(Time!AB34=1,AB61,AB59)*AC12,0)</f>
        <v/>
      </c>
      <c r="AC121" s="13">
        <f>IF(AND(Time!AC20&gt;=Time!$F$12,Time!AD20&gt;0),(IF(Time!AC34=1,AC61,AC59)-AC58)*AD19+IF(Time!AD46&gt;0,Time!AD45*AC58/Time!AD46,0)+IF(Time!AC34=1,AC61,AC59)*AD12,0)</f>
        <v/>
      </c>
      <c r="AD121" s="13">
        <f>IF(AND(Time!AD20&gt;=Time!$F$12,Time!AE20&gt;0),(IF(Time!AD34=1,AD61,AD59)-AD58)*AE19+IF(Time!AE46&gt;0,Time!AE45*AD58/Time!AE46,0)+IF(Time!AD34=1,AD61,AD59)*AE12,0)</f>
        <v/>
      </c>
      <c r="AE121" s="13">
        <f>IF(AND(Time!AE20&gt;=Time!$F$12,Time!AF20&gt;0),(IF(Time!AE34=1,AE61,AE59)-AE58)*AF19+IF(Time!AF46&gt;0,Time!AF45*AE58/Time!AF46,0)+IF(Time!AE34=1,AE61,AE59)*AF12,0)</f>
        <v/>
      </c>
      <c r="AF121" s="13">
        <f>IF(AND(Time!AF20&gt;=Time!$F$12,Time!AG20&gt;0),(IF(Time!AF34=1,AF61,AF59)-AF58)*AG19+IF(Time!AG46&gt;0,Time!AG45*AF58/Time!AG46,0)+IF(Time!AF34=1,AF61,AF59)*AG12,0)</f>
        <v/>
      </c>
      <c r="AG121" s="13">
        <f>IF(AND(Time!AG20&gt;=Time!$F$12,Time!AH20&gt;0),(IF(Time!AG34=1,AG61,AG59)-AG58)*AH19+IF(Time!AH46&gt;0,Time!AH45*AG58/Time!AH46,0)+IF(Time!AG34=1,AG61,AG59)*AH12,0)</f>
        <v/>
      </c>
      <c r="AH121" s="13">
        <f>IF(AND(Time!AH20&gt;=Time!$F$12,Time!AI20&gt;0),(IF(Time!AH34=1,AH61,AH59)-AH58)*AI19+IF(Time!AI46&gt;0,Time!AI45*AH58/Time!AI46,0)+IF(Time!AH34=1,AH61,AH59)*AI12,0)</f>
        <v/>
      </c>
      <c r="AI121" s="13">
        <f>IF(AND(Time!AI20&gt;=Time!$F$12,Time!AJ20&gt;0),(IF(Time!AI34=1,AI61,AI59)-AI58)*AJ19+IF(Time!AJ46&gt;0,Time!AJ45*AI58/Time!AJ46,0)+IF(Time!AI34=1,AI61,AI59)*AJ12,0)</f>
        <v/>
      </c>
      <c r="AJ121" s="13">
        <f>IF(AND(Time!AJ20&gt;=Time!$F$12,Time!AK20&gt;0),(IF(Time!AJ34=1,AJ61,AJ59)-AJ58)*AK19+IF(Time!AK46&gt;0,Time!AK45*AJ58/Time!AK46,0)+IF(Time!AJ34=1,AJ61,AJ59)*AK12,0)</f>
        <v/>
      </c>
      <c r="AK121" s="13">
        <f>IF(AND(Time!AK20&gt;=Time!$F$12,Time!AL20&gt;0),(IF(Time!AK34=1,AK61,AK59)-AK58)*AL19+IF(Time!AL46&gt;0,Time!AL45*AK58/Time!AL46,0)+IF(Time!AK34=1,AK61,AK59)*AL12,0)</f>
        <v/>
      </c>
      <c r="AL121" s="13">
        <f>IF(AND(Time!AL20&gt;=Time!$F$12,Time!AM20&gt;0),(IF(Time!AL34=1,AL61,AL59)-AL58)*AM19+IF(Time!AM46&gt;0,Time!AM45*AL58/Time!AM46,0)+IF(Time!AL34=1,AL61,AL59)*AM12,0)</f>
        <v/>
      </c>
      <c r="AM121" s="13">
        <f>IF(AND(Time!AM20&gt;=Time!$F$12,Time!AN20&gt;0),(IF(Time!AM34=1,AM61,AM59)-AM58)*AN19+IF(Time!AN46&gt;0,Time!AN45*AM58/Time!AN46,0)+IF(Time!AM34=1,AM61,AM59)*AN12,0)</f>
        <v/>
      </c>
      <c r="AN121" s="13">
        <f>IF(AND(Time!AN20&gt;=Time!$F$12,Time!AO20&gt;0),(IF(Time!AN34=1,AN61,AN59)-AN58)*AO19+IF(Time!AO46&gt;0,Time!AO45*AN58/Time!AO46,0)+IF(Time!AN34=1,AN61,AN59)*AO12,0)</f>
        <v/>
      </c>
      <c r="AO121" s="13">
        <f>IF(AND(Time!AO20&gt;=Time!$F$12,Time!AP20&gt;0),(IF(Time!AO34=1,AO61,AO59)-AO58)*AP19+IF(Time!AP46&gt;0,Time!AP45*AO58/Time!AP46,0)+IF(Time!AO34=1,AO61,AO59)*AP12,0)</f>
        <v/>
      </c>
      <c r="AP121" s="13">
        <f>IF(AND(Time!AP20&gt;=Time!$F$12,Time!AQ20&gt;0),(IF(Time!AP34=1,AP61,AP59)-AP58)*AQ19+IF(Time!AQ46&gt;0,Time!AQ45*AP58/Time!AQ46,0)+IF(Time!AP34=1,AP61,AP59)*AQ12,0)</f>
        <v/>
      </c>
      <c r="AQ121" s="13">
        <f>IF(AND(Time!AQ20&gt;=Time!$F$12,Time!AR20&gt;0),(IF(Time!AQ34=1,AQ61,AQ59)-AQ58)*AR19+IF(Time!AR46&gt;0,Time!AR45*AQ58/Time!AR46,0)+IF(Time!AQ34=1,AQ61,AQ59)*AR12,0)</f>
        <v/>
      </c>
      <c r="AR121" s="13">
        <f>IF(AND(Time!AR20&gt;=Time!$F$12,Time!AS20&gt;0),(IF(Time!AR34=1,AR61,AR59)-AR58)*AS19+IF(Time!AS46&gt;0,Time!AS45*AR58/Time!AS46,0)+IF(Time!AR34=1,AR61,AR59)*AS12,0)</f>
        <v/>
      </c>
      <c r="AS121" s="13">
        <f>IF(AND(Time!AS20&gt;=Time!$F$12,Time!AT20&gt;0),(IF(Time!AS34=1,AS61,AS59)-AS58)*AT19+IF(Time!AT46&gt;0,Time!AT45*AS58/Time!AT46,0)+IF(Time!AS34=1,AS61,AS59)*AT12,0)</f>
        <v/>
      </c>
      <c r="AT121" s="13">
        <f>IF(AND(Time!AT20&gt;=Time!$F$12,Time!AU20&gt;0),(IF(Time!AT34=1,AT61,AT59)-AT58)*AU19+IF(Time!AU46&gt;0,Time!AU45*AT58/Time!AU46,0)+IF(Time!AT34=1,AT61,AT59)*AU12,0)</f>
        <v/>
      </c>
      <c r="AU121" s="13">
        <f>IF(AND(Time!AU20&gt;=Time!$F$12,Time!AV20&gt;0),(IF(Time!AU34=1,AU61,AU59)-AU58)*AV19+IF(Time!AV46&gt;0,Time!AV45*AU58/Time!AV46,0)+IF(Time!AU34=1,AU61,AU59)*AV12,0)</f>
        <v/>
      </c>
      <c r="AV121" s="13">
        <f>IF(AND(Time!AV20&gt;=Time!$F$12,Time!AW20&gt;0),(IF(Time!AV34=1,AV61,AV59)-AV58)*AW19+IF(Time!AW46&gt;0,Time!AW45*AV58/Time!AW46,0)+IF(Time!AV34=1,AV61,AV59)*AW12,0)</f>
        <v/>
      </c>
      <c r="AW121" s="13">
        <f>IF(AND(Time!AW20&gt;=Time!$F$12,Time!AX20&gt;0),(IF(Time!AW34=1,AW61,AW59)-AW58)*AX19+IF(Time!AX46&gt;0,Time!AX45*AW58/Time!AX46,0)+IF(Time!AW34=1,AW61,AW59)*AX12,0)</f>
        <v/>
      </c>
      <c r="AX121" s="13">
        <f>IF(AND(Time!AX20&gt;=Time!$F$12,Time!AY20&gt;0),(IF(Time!AX34=1,AX61,AX59)-AX58)*AY19+IF(Time!AY46&gt;0,Time!AY45*AX58/Time!AY46,0)+IF(Time!AX34=1,AX61,AX59)*AY12,0)</f>
        <v/>
      </c>
      <c r="AY121" s="13">
        <f>IF(AND(Time!AY20&gt;=Time!$F$12,Time!AZ20&gt;0),(IF(Time!AY34=1,AY61,AY59)-AY58)*AZ19+IF(Time!AZ46&gt;0,Time!AZ45*AY58/Time!AZ46,0)+IF(Time!AY34=1,AY61,AY59)*AZ12,0)</f>
        <v/>
      </c>
      <c r="AZ121" s="13">
        <f>IF(AND(Time!AZ20&gt;=Time!$F$12,Time!BA20&gt;0),(IF(Time!AZ34=1,AZ61,AZ59)-AZ58)*BA19+IF(Time!BA46&gt;0,Time!BA45*AZ58/Time!BA46,0)+IF(Time!AZ34=1,AZ61,AZ59)*BA12,0)</f>
        <v/>
      </c>
      <c r="BA121" s="13">
        <f>IF(AND(Time!BA20&gt;=Time!$F$12,Time!BB20&gt;0),(IF(Time!BA34=1,BA61,BA59)-BA58)*BB19+IF(Time!BB46&gt;0,Time!BB45*BA58/Time!BB46,0)+IF(Time!BA34=1,BA61,BA59)*BB12,0)</f>
        <v/>
      </c>
      <c r="BB121" s="13">
        <f>IF(AND(Time!BB20&gt;=Time!$F$12,Time!BC20&gt;0),(IF(Time!BB34=1,BB61,BB59)-BB58)*BC19+IF(Time!BC46&gt;0,Time!BC45*BB58/Time!BC46,0)+IF(Time!BB34=1,BB61,BB59)*BC12,0)</f>
        <v/>
      </c>
      <c r="BC121" s="13">
        <f>IF(AND(Time!BC20&gt;=Time!$F$12,Time!BD20&gt;0),(IF(Time!BC34=1,BC61,BC59)-BC58)*BD19+IF(Time!BD46&gt;0,Time!BD45*BC58/Time!BD46,0)+IF(Time!BC34=1,BC61,BC59)*BD12,0)</f>
        <v/>
      </c>
      <c r="BD121" s="13">
        <f>IF(AND(Time!BD20&gt;=Time!$F$12,Time!BE20&gt;0),(IF(Time!BD34=1,BD61,BD59)-BD58)*BE19+IF(Time!BE46&gt;0,Time!BE45*BD58/Time!BE46,0)+IF(Time!BD34=1,BD61,BD59)*BE12,0)</f>
        <v/>
      </c>
      <c r="BE121" s="13">
        <f>IF(AND(Time!BE20&gt;=Time!$F$12,Time!BF20&gt;0),(IF(Time!BE34=1,BE61,BE59)-BE58)*BF19+IF(Time!BF46&gt;0,Time!BF45*BE58/Time!BF46,0)+IF(Time!BE34=1,BE61,BE59)*BF12,0)</f>
        <v/>
      </c>
      <c r="BF121" s="13">
        <f>IF(AND(Time!BF20&gt;=Time!$F$12,Time!BG20&gt;0),(IF(Time!BF34=1,BF61,BF59)-BF58)*BG19+IF(Time!BG46&gt;0,Time!BG45*BF58/Time!BG46,0)+IF(Time!BF34=1,BF61,BF59)*BG12,0)</f>
        <v/>
      </c>
      <c r="BG121" s="13">
        <f>IF(AND(Time!BG20&gt;=Time!$F$12,Time!BH20&gt;0),(IF(Time!BG34=1,BG61,BG59)-BG58)*BH19+IF(Time!BH46&gt;0,Time!BH45*BG58/Time!BH46,0)+IF(Time!BG34=1,BG61,BG59)*BH12,0)</f>
        <v/>
      </c>
      <c r="BH121" s="13">
        <f>IF(AND(Time!BH20&gt;=Time!$F$12,Time!BI20&gt;0),(IF(Time!BH34=1,BH61,BH59)-BH58)*BI19+IF(Time!BI46&gt;0,Time!BI45*BH58/Time!BI46,0)+IF(Time!BH34=1,BH61,BH59)*BI12,0)</f>
        <v/>
      </c>
      <c r="BI121" s="13">
        <f>IF(AND(Time!BI20&gt;=Time!$F$12,Time!BJ20&gt;0),(IF(Time!BI34=1,BI61,BI59)-BI58)*BJ19+IF(Time!BJ46&gt;0,Time!BJ45*BI58/Time!BJ46,0)+IF(Time!BI34=1,BI61,BI59)*BJ12,0)</f>
        <v/>
      </c>
      <c r="BJ121" s="13">
        <f>IF(AND(Time!BJ20&gt;=Time!$F$12,Time!BK20&gt;0),(IF(Time!BJ34=1,BJ61,BJ59)-BJ58)*BK19+IF(Time!BK46&gt;0,Time!BK45*BJ58/Time!BK46,0)+IF(Time!BJ34=1,BJ61,BJ59)*BK12,0)</f>
        <v/>
      </c>
      <c r="BK121" s="13">
        <f>IF(AND(Time!BK20&gt;=Time!$F$12,Time!BL20&gt;0),(IF(Time!BK34=1,BK61,BK59)-BK58)*BL19+IF(Time!BL46&gt;0,Time!BL45*BK58/Time!BL46,0)+IF(Time!BK34=1,BK61,BK59)*BL12,0)</f>
        <v/>
      </c>
      <c r="BL121" s="13">
        <f>IF(AND(Time!BL20&gt;=Time!$F$12,Time!BM20&gt;0),(IF(Time!BL34=1,BL61,BL59)-BL58)*BM19+IF(Time!BM46&gt;0,Time!BM45*BL58/Time!BM46,0)+IF(Time!BL34=1,BL61,BL59)*BM12,0)</f>
        <v/>
      </c>
      <c r="BM121" s="13">
        <f>IF(AND(Time!BM20&gt;=Time!$F$12,Time!BN20&gt;0),(IF(Time!BM34=1,BM61,BM59)-BM58)*BN19+IF(Time!BN46&gt;0,Time!BN45*BM58/Time!BN46,0)+IF(Time!BM34=1,BM61,BM59)*BN12,0)</f>
        <v/>
      </c>
      <c r="BN121" s="13">
        <f>IF(AND(Time!BN20&gt;=Time!$F$12,Time!BO20&gt;0),(IF(Time!BN34=1,BN61,BN59)-BN58)*BO19+IF(Time!BO46&gt;0,Time!BO45*BN58/Time!BO46,0)+IF(Time!BN34=1,BN61,BN59)*BO12,0)</f>
        <v/>
      </c>
    </row>
    <row r="122">
      <c r="D122" t="inlineStr">
        <is>
          <t>Commercial tranche: next period debt service</t>
        </is>
      </c>
      <c r="E122" t="inlineStr">
        <is>
          <t>USD m</t>
        </is>
      </c>
      <c r="J122" s="13">
        <f>IF(AND(Time!J20&gt;=Time!$F$12,Time!K20&gt;0),(IF(Time!J34=1,J75,J73)-J72)*K19+IF(Time!K46&gt;0,Time!K45*J72/Time!K46,0)+IF(Time!J34=1,J75,J73)*K13,0)</f>
        <v/>
      </c>
      <c r="K122" s="13">
        <f>IF(AND(Time!K20&gt;=Time!$F$12,Time!L20&gt;0),(IF(Time!K34=1,K75,K73)-K72)*L19+IF(Time!L46&gt;0,Time!L45*K72/Time!L46,0)+IF(Time!K34=1,K75,K73)*L13,0)</f>
        <v/>
      </c>
      <c r="L122" s="13">
        <f>IF(AND(Time!L20&gt;=Time!$F$12,Time!M20&gt;0),(IF(Time!L34=1,L75,L73)-L72)*M19+IF(Time!M46&gt;0,Time!M45*L72/Time!M46,0)+IF(Time!L34=1,L75,L73)*M13,0)</f>
        <v/>
      </c>
      <c r="M122" s="13">
        <f>IF(AND(Time!M20&gt;=Time!$F$12,Time!N20&gt;0),(IF(Time!M34=1,M75,M73)-M72)*N19+IF(Time!N46&gt;0,Time!N45*M72/Time!N46,0)+IF(Time!M34=1,M75,M73)*N13,0)</f>
        <v/>
      </c>
      <c r="N122" s="13">
        <f>IF(AND(Time!N20&gt;=Time!$F$12,Time!O20&gt;0),(IF(Time!N34=1,N75,N73)-N72)*O19+IF(Time!O46&gt;0,Time!O45*N72/Time!O46,0)+IF(Time!N34=1,N75,N73)*O13,0)</f>
        <v/>
      </c>
      <c r="O122" s="13">
        <f>IF(AND(Time!O20&gt;=Time!$F$12,Time!P20&gt;0),(IF(Time!O34=1,O75,O73)-O72)*P19+IF(Time!P46&gt;0,Time!P45*O72/Time!P46,0)+IF(Time!O34=1,O75,O73)*P13,0)</f>
        <v/>
      </c>
      <c r="P122" s="13">
        <f>IF(AND(Time!P20&gt;=Time!$F$12,Time!Q20&gt;0),(IF(Time!P34=1,P75,P73)-P72)*Q19+IF(Time!Q46&gt;0,Time!Q45*P72/Time!Q46,0)+IF(Time!P34=1,P75,P73)*Q13,0)</f>
        <v/>
      </c>
      <c r="Q122" s="13">
        <f>IF(AND(Time!Q20&gt;=Time!$F$12,Time!R20&gt;0),(IF(Time!Q34=1,Q75,Q73)-Q72)*R19+IF(Time!R46&gt;0,Time!R45*Q72/Time!R46,0)+IF(Time!Q34=1,Q75,Q73)*R13,0)</f>
        <v/>
      </c>
      <c r="R122" s="13">
        <f>IF(AND(Time!R20&gt;=Time!$F$12,Time!S20&gt;0),(IF(Time!R34=1,R75,R73)-R72)*S19+IF(Time!S46&gt;0,Time!S45*R72/Time!S46,0)+IF(Time!R34=1,R75,R73)*S13,0)</f>
        <v/>
      </c>
      <c r="S122" s="13">
        <f>IF(AND(Time!S20&gt;=Time!$F$12,Time!T20&gt;0),(IF(Time!S34=1,S75,S73)-S72)*T19+IF(Time!T46&gt;0,Time!T45*S72/Time!T46,0)+IF(Time!S34=1,S75,S73)*T13,0)</f>
        <v/>
      </c>
      <c r="T122" s="13">
        <f>IF(AND(Time!T20&gt;=Time!$F$12,Time!U20&gt;0),(IF(Time!T34=1,T75,T73)-T72)*U19+IF(Time!U46&gt;0,Time!U45*T72/Time!U46,0)+IF(Time!T34=1,T75,T73)*U13,0)</f>
        <v/>
      </c>
      <c r="U122" s="13">
        <f>IF(AND(Time!U20&gt;=Time!$F$12,Time!V20&gt;0),(IF(Time!U34=1,U75,U73)-U72)*V19+IF(Time!V46&gt;0,Time!V45*U72/Time!V46,0)+IF(Time!U34=1,U75,U73)*V13,0)</f>
        <v/>
      </c>
      <c r="V122" s="13">
        <f>IF(AND(Time!V20&gt;=Time!$F$12,Time!W20&gt;0),(IF(Time!V34=1,V75,V73)-V72)*W19+IF(Time!W46&gt;0,Time!W45*V72/Time!W46,0)+IF(Time!V34=1,V75,V73)*W13,0)</f>
        <v/>
      </c>
      <c r="W122" s="13">
        <f>IF(AND(Time!W20&gt;=Time!$F$12,Time!X20&gt;0),(IF(Time!W34=1,W75,W73)-W72)*X19+IF(Time!X46&gt;0,Time!X45*W72/Time!X46,0)+IF(Time!W34=1,W75,W73)*X13,0)</f>
        <v/>
      </c>
      <c r="X122" s="13">
        <f>IF(AND(Time!X20&gt;=Time!$F$12,Time!Y20&gt;0),(IF(Time!X34=1,X75,X73)-X72)*Y19+IF(Time!Y46&gt;0,Time!Y45*X72/Time!Y46,0)+IF(Time!X34=1,X75,X73)*Y13,0)</f>
        <v/>
      </c>
      <c r="Y122" s="13">
        <f>IF(AND(Time!Y20&gt;=Time!$F$12,Time!Z20&gt;0),(IF(Time!Y34=1,Y75,Y73)-Y72)*Z19+IF(Time!Z46&gt;0,Time!Z45*Y72/Time!Z46,0)+IF(Time!Y34=1,Y75,Y73)*Z13,0)</f>
        <v/>
      </c>
      <c r="Z122" s="13">
        <f>IF(AND(Time!Z20&gt;=Time!$F$12,Time!AA20&gt;0),(IF(Time!Z34=1,Z75,Z73)-Z72)*AA19+IF(Time!AA46&gt;0,Time!AA45*Z72/Time!AA46,0)+IF(Time!Z34=1,Z75,Z73)*AA13,0)</f>
        <v/>
      </c>
      <c r="AA122" s="13">
        <f>IF(AND(Time!AA20&gt;=Time!$F$12,Time!AB20&gt;0),(IF(Time!AA34=1,AA75,AA73)-AA72)*AB19+IF(Time!AB46&gt;0,Time!AB45*AA72/Time!AB46,0)+IF(Time!AA34=1,AA75,AA73)*AB13,0)</f>
        <v/>
      </c>
      <c r="AB122" s="13">
        <f>IF(AND(Time!AB20&gt;=Time!$F$12,Time!AC20&gt;0),(IF(Time!AB34=1,AB75,AB73)-AB72)*AC19+IF(Time!AC46&gt;0,Time!AC45*AB72/Time!AC46,0)+IF(Time!AB34=1,AB75,AB73)*AC13,0)</f>
        <v/>
      </c>
      <c r="AC122" s="13">
        <f>IF(AND(Time!AC20&gt;=Time!$F$12,Time!AD20&gt;0),(IF(Time!AC34=1,AC75,AC73)-AC72)*AD19+IF(Time!AD46&gt;0,Time!AD45*AC72/Time!AD46,0)+IF(Time!AC34=1,AC75,AC73)*AD13,0)</f>
        <v/>
      </c>
      <c r="AD122" s="13">
        <f>IF(AND(Time!AD20&gt;=Time!$F$12,Time!AE20&gt;0),(IF(Time!AD34=1,AD75,AD73)-AD72)*AE19+IF(Time!AE46&gt;0,Time!AE45*AD72/Time!AE46,0)+IF(Time!AD34=1,AD75,AD73)*AE13,0)</f>
        <v/>
      </c>
      <c r="AE122" s="13">
        <f>IF(AND(Time!AE20&gt;=Time!$F$12,Time!AF20&gt;0),(IF(Time!AE34=1,AE75,AE73)-AE72)*AF19+IF(Time!AF46&gt;0,Time!AF45*AE72/Time!AF46,0)+IF(Time!AE34=1,AE75,AE73)*AF13,0)</f>
        <v/>
      </c>
      <c r="AF122" s="13">
        <f>IF(AND(Time!AF20&gt;=Time!$F$12,Time!AG20&gt;0),(IF(Time!AF34=1,AF75,AF73)-AF72)*AG19+IF(Time!AG46&gt;0,Time!AG45*AF72/Time!AG46,0)+IF(Time!AF34=1,AF75,AF73)*AG13,0)</f>
        <v/>
      </c>
      <c r="AG122" s="13">
        <f>IF(AND(Time!AG20&gt;=Time!$F$12,Time!AH20&gt;0),(IF(Time!AG34=1,AG75,AG73)-AG72)*AH19+IF(Time!AH46&gt;0,Time!AH45*AG72/Time!AH46,0)+IF(Time!AG34=1,AG75,AG73)*AH13,0)</f>
        <v/>
      </c>
      <c r="AH122" s="13">
        <f>IF(AND(Time!AH20&gt;=Time!$F$12,Time!AI20&gt;0),(IF(Time!AH34=1,AH75,AH73)-AH72)*AI19+IF(Time!AI46&gt;0,Time!AI45*AH72/Time!AI46,0)+IF(Time!AH34=1,AH75,AH73)*AI13,0)</f>
        <v/>
      </c>
      <c r="AI122" s="13">
        <f>IF(AND(Time!AI20&gt;=Time!$F$12,Time!AJ20&gt;0),(IF(Time!AI34=1,AI75,AI73)-AI72)*AJ19+IF(Time!AJ46&gt;0,Time!AJ45*AI72/Time!AJ46,0)+IF(Time!AI34=1,AI75,AI73)*AJ13,0)</f>
        <v/>
      </c>
      <c r="AJ122" s="13">
        <f>IF(AND(Time!AJ20&gt;=Time!$F$12,Time!AK20&gt;0),(IF(Time!AJ34=1,AJ75,AJ73)-AJ72)*AK19+IF(Time!AK46&gt;0,Time!AK45*AJ72/Time!AK46,0)+IF(Time!AJ34=1,AJ75,AJ73)*AK13,0)</f>
        <v/>
      </c>
      <c r="AK122" s="13">
        <f>IF(AND(Time!AK20&gt;=Time!$F$12,Time!AL20&gt;0),(IF(Time!AK34=1,AK75,AK73)-AK72)*AL19+IF(Time!AL46&gt;0,Time!AL45*AK72/Time!AL46,0)+IF(Time!AK34=1,AK75,AK73)*AL13,0)</f>
        <v/>
      </c>
      <c r="AL122" s="13">
        <f>IF(AND(Time!AL20&gt;=Time!$F$12,Time!AM20&gt;0),(IF(Time!AL34=1,AL75,AL73)-AL72)*AM19+IF(Time!AM46&gt;0,Time!AM45*AL72/Time!AM46,0)+IF(Time!AL34=1,AL75,AL73)*AM13,0)</f>
        <v/>
      </c>
      <c r="AM122" s="13">
        <f>IF(AND(Time!AM20&gt;=Time!$F$12,Time!AN20&gt;0),(IF(Time!AM34=1,AM75,AM73)-AM72)*AN19+IF(Time!AN46&gt;0,Time!AN45*AM72/Time!AN46,0)+IF(Time!AM34=1,AM75,AM73)*AN13,0)</f>
        <v/>
      </c>
      <c r="AN122" s="13">
        <f>IF(AND(Time!AN20&gt;=Time!$F$12,Time!AO20&gt;0),(IF(Time!AN34=1,AN75,AN73)-AN72)*AO19+IF(Time!AO46&gt;0,Time!AO45*AN72/Time!AO46,0)+IF(Time!AN34=1,AN75,AN73)*AO13,0)</f>
        <v/>
      </c>
      <c r="AO122" s="13">
        <f>IF(AND(Time!AO20&gt;=Time!$F$12,Time!AP20&gt;0),(IF(Time!AO34=1,AO75,AO73)-AO72)*AP19+IF(Time!AP46&gt;0,Time!AP45*AO72/Time!AP46,0)+IF(Time!AO34=1,AO75,AO73)*AP13,0)</f>
        <v/>
      </c>
      <c r="AP122" s="13">
        <f>IF(AND(Time!AP20&gt;=Time!$F$12,Time!AQ20&gt;0),(IF(Time!AP34=1,AP75,AP73)-AP72)*AQ19+IF(Time!AQ46&gt;0,Time!AQ45*AP72/Time!AQ46,0)+IF(Time!AP34=1,AP75,AP73)*AQ13,0)</f>
        <v/>
      </c>
      <c r="AQ122" s="13">
        <f>IF(AND(Time!AQ20&gt;=Time!$F$12,Time!AR20&gt;0),(IF(Time!AQ34=1,AQ75,AQ73)-AQ72)*AR19+IF(Time!AR46&gt;0,Time!AR45*AQ72/Time!AR46,0)+IF(Time!AQ34=1,AQ75,AQ73)*AR13,0)</f>
        <v/>
      </c>
      <c r="AR122" s="13">
        <f>IF(AND(Time!AR20&gt;=Time!$F$12,Time!AS20&gt;0),(IF(Time!AR34=1,AR75,AR73)-AR72)*AS19+IF(Time!AS46&gt;0,Time!AS45*AR72/Time!AS46,0)+IF(Time!AR34=1,AR75,AR73)*AS13,0)</f>
        <v/>
      </c>
      <c r="AS122" s="13">
        <f>IF(AND(Time!AS20&gt;=Time!$F$12,Time!AT20&gt;0),(IF(Time!AS34=1,AS75,AS73)-AS72)*AT19+IF(Time!AT46&gt;0,Time!AT45*AS72/Time!AT46,0)+IF(Time!AS34=1,AS75,AS73)*AT13,0)</f>
        <v/>
      </c>
      <c r="AT122" s="13">
        <f>IF(AND(Time!AT20&gt;=Time!$F$12,Time!AU20&gt;0),(IF(Time!AT34=1,AT75,AT73)-AT72)*AU19+IF(Time!AU46&gt;0,Time!AU45*AT72/Time!AU46,0)+IF(Time!AT34=1,AT75,AT73)*AU13,0)</f>
        <v/>
      </c>
      <c r="AU122" s="13">
        <f>IF(AND(Time!AU20&gt;=Time!$F$12,Time!AV20&gt;0),(IF(Time!AU34=1,AU75,AU73)-AU72)*AV19+IF(Time!AV46&gt;0,Time!AV45*AU72/Time!AV46,0)+IF(Time!AU34=1,AU75,AU73)*AV13,0)</f>
        <v/>
      </c>
      <c r="AV122" s="13">
        <f>IF(AND(Time!AV20&gt;=Time!$F$12,Time!AW20&gt;0),(IF(Time!AV34=1,AV75,AV73)-AV72)*AW19+IF(Time!AW46&gt;0,Time!AW45*AV72/Time!AW46,0)+IF(Time!AV34=1,AV75,AV73)*AW13,0)</f>
        <v/>
      </c>
      <c r="AW122" s="13">
        <f>IF(AND(Time!AW20&gt;=Time!$F$12,Time!AX20&gt;0),(IF(Time!AW34=1,AW75,AW73)-AW72)*AX19+IF(Time!AX46&gt;0,Time!AX45*AW72/Time!AX46,0)+IF(Time!AW34=1,AW75,AW73)*AX13,0)</f>
        <v/>
      </c>
      <c r="AX122" s="13">
        <f>IF(AND(Time!AX20&gt;=Time!$F$12,Time!AY20&gt;0),(IF(Time!AX34=1,AX75,AX73)-AX72)*AY19+IF(Time!AY46&gt;0,Time!AY45*AX72/Time!AY46,0)+IF(Time!AX34=1,AX75,AX73)*AY13,0)</f>
        <v/>
      </c>
      <c r="AY122" s="13">
        <f>IF(AND(Time!AY20&gt;=Time!$F$12,Time!AZ20&gt;0),(IF(Time!AY34=1,AY75,AY73)-AY72)*AZ19+IF(Time!AZ46&gt;0,Time!AZ45*AY72/Time!AZ46,0)+IF(Time!AY34=1,AY75,AY73)*AZ13,0)</f>
        <v/>
      </c>
      <c r="AZ122" s="13">
        <f>IF(AND(Time!AZ20&gt;=Time!$F$12,Time!BA20&gt;0),(IF(Time!AZ34=1,AZ75,AZ73)-AZ72)*BA19+IF(Time!BA46&gt;0,Time!BA45*AZ72/Time!BA46,0)+IF(Time!AZ34=1,AZ75,AZ73)*BA13,0)</f>
        <v/>
      </c>
      <c r="BA122" s="13">
        <f>IF(AND(Time!BA20&gt;=Time!$F$12,Time!BB20&gt;0),(IF(Time!BA34=1,BA75,BA73)-BA72)*BB19+IF(Time!BB46&gt;0,Time!BB45*BA72/Time!BB46,0)+IF(Time!BA34=1,BA75,BA73)*BB13,0)</f>
        <v/>
      </c>
      <c r="BB122" s="13">
        <f>IF(AND(Time!BB20&gt;=Time!$F$12,Time!BC20&gt;0),(IF(Time!BB34=1,BB75,BB73)-BB72)*BC19+IF(Time!BC46&gt;0,Time!BC45*BB72/Time!BC46,0)+IF(Time!BB34=1,BB75,BB73)*BC13,0)</f>
        <v/>
      </c>
      <c r="BC122" s="13">
        <f>IF(AND(Time!BC20&gt;=Time!$F$12,Time!BD20&gt;0),(IF(Time!BC34=1,BC75,BC73)-BC72)*BD19+IF(Time!BD46&gt;0,Time!BD45*BC72/Time!BD46,0)+IF(Time!BC34=1,BC75,BC73)*BD13,0)</f>
        <v/>
      </c>
      <c r="BD122" s="13">
        <f>IF(AND(Time!BD20&gt;=Time!$F$12,Time!BE20&gt;0),(IF(Time!BD34=1,BD75,BD73)-BD72)*BE19+IF(Time!BE46&gt;0,Time!BE45*BD72/Time!BE46,0)+IF(Time!BD34=1,BD75,BD73)*BE13,0)</f>
        <v/>
      </c>
      <c r="BE122" s="13">
        <f>IF(AND(Time!BE20&gt;=Time!$F$12,Time!BF20&gt;0),(IF(Time!BE34=1,BE75,BE73)-BE72)*BF19+IF(Time!BF46&gt;0,Time!BF45*BE72/Time!BF46,0)+IF(Time!BE34=1,BE75,BE73)*BF13,0)</f>
        <v/>
      </c>
      <c r="BF122" s="13">
        <f>IF(AND(Time!BF20&gt;=Time!$F$12,Time!BG20&gt;0),(IF(Time!BF34=1,BF75,BF73)-BF72)*BG19+IF(Time!BG46&gt;0,Time!BG45*BF72/Time!BG46,0)+IF(Time!BF34=1,BF75,BF73)*BG13,0)</f>
        <v/>
      </c>
      <c r="BG122" s="13">
        <f>IF(AND(Time!BG20&gt;=Time!$F$12,Time!BH20&gt;0),(IF(Time!BG34=1,BG75,BG73)-BG72)*BH19+IF(Time!BH46&gt;0,Time!BH45*BG72/Time!BH46,0)+IF(Time!BG34=1,BG75,BG73)*BH13,0)</f>
        <v/>
      </c>
      <c r="BH122" s="13">
        <f>IF(AND(Time!BH20&gt;=Time!$F$12,Time!BI20&gt;0),(IF(Time!BH34=1,BH75,BH73)-BH72)*BI19+IF(Time!BI46&gt;0,Time!BI45*BH72/Time!BI46,0)+IF(Time!BH34=1,BH75,BH73)*BI13,0)</f>
        <v/>
      </c>
      <c r="BI122" s="13">
        <f>IF(AND(Time!BI20&gt;=Time!$F$12,Time!BJ20&gt;0),(IF(Time!BI34=1,BI75,BI73)-BI72)*BJ19+IF(Time!BJ46&gt;0,Time!BJ45*BI72/Time!BJ46,0)+IF(Time!BI34=1,BI75,BI73)*BJ13,0)</f>
        <v/>
      </c>
      <c r="BJ122" s="13">
        <f>IF(AND(Time!BJ20&gt;=Time!$F$12,Time!BK20&gt;0),(IF(Time!BJ34=1,BJ75,BJ73)-BJ72)*BK19+IF(Time!BK46&gt;0,Time!BK45*BJ72/Time!BK46,0)+IF(Time!BJ34=1,BJ75,BJ73)*BK13,0)</f>
        <v/>
      </c>
      <c r="BK122" s="13">
        <f>IF(AND(Time!BK20&gt;=Time!$F$12,Time!BL20&gt;0),(IF(Time!BK34=1,BK75,BK73)-BK72)*BL19+IF(Time!BL46&gt;0,Time!BL45*BK72/Time!BL46,0)+IF(Time!BK34=1,BK75,BK73)*BL13,0)</f>
        <v/>
      </c>
      <c r="BL122" s="13">
        <f>IF(AND(Time!BL20&gt;=Time!$F$12,Time!BM20&gt;0),(IF(Time!BL34=1,BL75,BL73)-BL72)*BM19+IF(Time!BM46&gt;0,Time!BM45*BL72/Time!BM46,0)+IF(Time!BL34=1,BL75,BL73)*BM13,0)</f>
        <v/>
      </c>
      <c r="BM122" s="13">
        <f>IF(AND(Time!BM20&gt;=Time!$F$12,Time!BN20&gt;0),(IF(Time!BM34=1,BM75,BM73)-BM72)*BN19+IF(Time!BN46&gt;0,Time!BN45*BM72/Time!BN46,0)+IF(Time!BM34=1,BM75,BM73)*BN13,0)</f>
        <v/>
      </c>
      <c r="BN122" s="13">
        <f>IF(AND(Time!BN20&gt;=Time!$F$12,Time!BO20&gt;0),(IF(Time!BN34=1,BN75,BN73)-BN72)*BO19+IF(Time!BO46&gt;0,Time!BO45*BN72/Time!BO46,0)+IF(Time!BN34=1,BN75,BN73)*BO13,0)</f>
        <v/>
      </c>
    </row>
    <row r="123">
      <c r="D123" t="inlineStr">
        <is>
          <t>Standby facility: next period debt service</t>
        </is>
      </c>
      <c r="E123" t="inlineStr">
        <is>
          <t>USD m</t>
        </is>
      </c>
      <c r="J123" s="13">
        <f>IF(AND(Time!J20&gt;=Time!$F$12,Time!K20&gt;0),(IF(Time!J34=1,J89,J87)-J86)*K19+IF(Time!K46&gt;0,Time!K45*J86/Time!K46,0)+IF(Time!J34=1,J89,J87)*K14,0)</f>
        <v/>
      </c>
      <c r="K123" s="13">
        <f>IF(AND(Time!K20&gt;=Time!$F$12,Time!L20&gt;0),(IF(Time!K34=1,K89,K87)-K86)*L19+IF(Time!L46&gt;0,Time!L45*K86/Time!L46,0)+IF(Time!K34=1,K89,K87)*L14,0)</f>
        <v/>
      </c>
      <c r="L123" s="13">
        <f>IF(AND(Time!L20&gt;=Time!$F$12,Time!M20&gt;0),(IF(Time!L34=1,L89,L87)-L86)*M19+IF(Time!M46&gt;0,Time!M45*L86/Time!M46,0)+IF(Time!L34=1,L89,L87)*M14,0)</f>
        <v/>
      </c>
      <c r="M123" s="13">
        <f>IF(AND(Time!M20&gt;=Time!$F$12,Time!N20&gt;0),(IF(Time!M34=1,M89,M87)-M86)*N19+IF(Time!N46&gt;0,Time!N45*M86/Time!N46,0)+IF(Time!M34=1,M89,M87)*N14,0)</f>
        <v/>
      </c>
      <c r="N123" s="13">
        <f>IF(AND(Time!N20&gt;=Time!$F$12,Time!O20&gt;0),(IF(Time!N34=1,N89,N87)-N86)*O19+IF(Time!O46&gt;0,Time!O45*N86/Time!O46,0)+IF(Time!N34=1,N89,N87)*O14,0)</f>
        <v/>
      </c>
      <c r="O123" s="13">
        <f>IF(AND(Time!O20&gt;=Time!$F$12,Time!P20&gt;0),(IF(Time!O34=1,O89,O87)-O86)*P19+IF(Time!P46&gt;0,Time!P45*O86/Time!P46,0)+IF(Time!O34=1,O89,O87)*P14,0)</f>
        <v/>
      </c>
      <c r="P123" s="13">
        <f>IF(AND(Time!P20&gt;=Time!$F$12,Time!Q20&gt;0),(IF(Time!P34=1,P89,P87)-P86)*Q19+IF(Time!Q46&gt;0,Time!Q45*P86/Time!Q46,0)+IF(Time!P34=1,P89,P87)*Q14,0)</f>
        <v/>
      </c>
      <c r="Q123" s="13">
        <f>IF(AND(Time!Q20&gt;=Time!$F$12,Time!R20&gt;0),(IF(Time!Q34=1,Q89,Q87)-Q86)*R19+IF(Time!R46&gt;0,Time!R45*Q86/Time!R46,0)+IF(Time!Q34=1,Q89,Q87)*R14,0)</f>
        <v/>
      </c>
      <c r="R123" s="13">
        <f>IF(AND(Time!R20&gt;=Time!$F$12,Time!S20&gt;0),(IF(Time!R34=1,R89,R87)-R86)*S19+IF(Time!S46&gt;0,Time!S45*R86/Time!S46,0)+IF(Time!R34=1,R89,R87)*S14,0)</f>
        <v/>
      </c>
      <c r="S123" s="13">
        <f>IF(AND(Time!S20&gt;=Time!$F$12,Time!T20&gt;0),(IF(Time!S34=1,S89,S87)-S86)*T19+IF(Time!T46&gt;0,Time!T45*S86/Time!T46,0)+IF(Time!S34=1,S89,S87)*T14,0)</f>
        <v/>
      </c>
      <c r="T123" s="13">
        <f>IF(AND(Time!T20&gt;=Time!$F$12,Time!U20&gt;0),(IF(Time!T34=1,T89,T87)-T86)*U19+IF(Time!U46&gt;0,Time!U45*T86/Time!U46,0)+IF(Time!T34=1,T89,T87)*U14,0)</f>
        <v/>
      </c>
      <c r="U123" s="13">
        <f>IF(AND(Time!U20&gt;=Time!$F$12,Time!V20&gt;0),(IF(Time!U34=1,U89,U87)-U86)*V19+IF(Time!V46&gt;0,Time!V45*U86/Time!V46,0)+IF(Time!U34=1,U89,U87)*V14,0)</f>
        <v/>
      </c>
      <c r="V123" s="13">
        <f>IF(AND(Time!V20&gt;=Time!$F$12,Time!W20&gt;0),(IF(Time!V34=1,V89,V87)-V86)*W19+IF(Time!W46&gt;0,Time!W45*V86/Time!W46,0)+IF(Time!V34=1,V89,V87)*W14,0)</f>
        <v/>
      </c>
      <c r="W123" s="13">
        <f>IF(AND(Time!W20&gt;=Time!$F$12,Time!X20&gt;0),(IF(Time!W34=1,W89,W87)-W86)*X19+IF(Time!X46&gt;0,Time!X45*W86/Time!X46,0)+IF(Time!W34=1,W89,W87)*X14,0)</f>
        <v/>
      </c>
      <c r="X123" s="13">
        <f>IF(AND(Time!X20&gt;=Time!$F$12,Time!Y20&gt;0),(IF(Time!X34=1,X89,X87)-X86)*Y19+IF(Time!Y46&gt;0,Time!Y45*X86/Time!Y46,0)+IF(Time!X34=1,X89,X87)*Y14,0)</f>
        <v/>
      </c>
      <c r="Y123" s="13">
        <f>IF(AND(Time!Y20&gt;=Time!$F$12,Time!Z20&gt;0),(IF(Time!Y34=1,Y89,Y87)-Y86)*Z19+IF(Time!Z46&gt;0,Time!Z45*Y86/Time!Z46,0)+IF(Time!Y34=1,Y89,Y87)*Z14,0)</f>
        <v/>
      </c>
      <c r="Z123" s="13">
        <f>IF(AND(Time!Z20&gt;=Time!$F$12,Time!AA20&gt;0),(IF(Time!Z34=1,Z89,Z87)-Z86)*AA19+IF(Time!AA46&gt;0,Time!AA45*Z86/Time!AA46,0)+IF(Time!Z34=1,Z89,Z87)*AA14,0)</f>
        <v/>
      </c>
      <c r="AA123" s="13">
        <f>IF(AND(Time!AA20&gt;=Time!$F$12,Time!AB20&gt;0),(IF(Time!AA34=1,AA89,AA87)-AA86)*AB19+IF(Time!AB46&gt;0,Time!AB45*AA86/Time!AB46,0)+IF(Time!AA34=1,AA89,AA87)*AB14,0)</f>
        <v/>
      </c>
      <c r="AB123" s="13">
        <f>IF(AND(Time!AB20&gt;=Time!$F$12,Time!AC20&gt;0),(IF(Time!AB34=1,AB89,AB87)-AB86)*AC19+IF(Time!AC46&gt;0,Time!AC45*AB86/Time!AC46,0)+IF(Time!AB34=1,AB89,AB87)*AC14,0)</f>
        <v/>
      </c>
      <c r="AC123" s="13">
        <f>IF(AND(Time!AC20&gt;=Time!$F$12,Time!AD20&gt;0),(IF(Time!AC34=1,AC89,AC87)-AC86)*AD19+IF(Time!AD46&gt;0,Time!AD45*AC86/Time!AD46,0)+IF(Time!AC34=1,AC89,AC87)*AD14,0)</f>
        <v/>
      </c>
      <c r="AD123" s="13">
        <f>IF(AND(Time!AD20&gt;=Time!$F$12,Time!AE20&gt;0),(IF(Time!AD34=1,AD89,AD87)-AD86)*AE19+IF(Time!AE46&gt;0,Time!AE45*AD86/Time!AE46,0)+IF(Time!AD34=1,AD89,AD87)*AE14,0)</f>
        <v/>
      </c>
      <c r="AE123" s="13">
        <f>IF(AND(Time!AE20&gt;=Time!$F$12,Time!AF20&gt;0),(IF(Time!AE34=1,AE89,AE87)-AE86)*AF19+IF(Time!AF46&gt;0,Time!AF45*AE86/Time!AF46,0)+IF(Time!AE34=1,AE89,AE87)*AF14,0)</f>
        <v/>
      </c>
      <c r="AF123" s="13">
        <f>IF(AND(Time!AF20&gt;=Time!$F$12,Time!AG20&gt;0),(IF(Time!AF34=1,AF89,AF87)-AF86)*AG19+IF(Time!AG46&gt;0,Time!AG45*AF86/Time!AG46,0)+IF(Time!AF34=1,AF89,AF87)*AG14,0)</f>
        <v/>
      </c>
      <c r="AG123" s="13">
        <f>IF(AND(Time!AG20&gt;=Time!$F$12,Time!AH20&gt;0),(IF(Time!AG34=1,AG89,AG87)-AG86)*AH19+IF(Time!AH46&gt;0,Time!AH45*AG86/Time!AH46,0)+IF(Time!AG34=1,AG89,AG87)*AH14,0)</f>
        <v/>
      </c>
      <c r="AH123" s="13">
        <f>IF(AND(Time!AH20&gt;=Time!$F$12,Time!AI20&gt;0),(IF(Time!AH34=1,AH89,AH87)-AH86)*AI19+IF(Time!AI46&gt;0,Time!AI45*AH86/Time!AI46,0)+IF(Time!AH34=1,AH89,AH87)*AI14,0)</f>
        <v/>
      </c>
      <c r="AI123" s="13">
        <f>IF(AND(Time!AI20&gt;=Time!$F$12,Time!AJ20&gt;0),(IF(Time!AI34=1,AI89,AI87)-AI86)*AJ19+IF(Time!AJ46&gt;0,Time!AJ45*AI86/Time!AJ46,0)+IF(Time!AI34=1,AI89,AI87)*AJ14,0)</f>
        <v/>
      </c>
      <c r="AJ123" s="13">
        <f>IF(AND(Time!AJ20&gt;=Time!$F$12,Time!AK20&gt;0),(IF(Time!AJ34=1,AJ89,AJ87)-AJ86)*AK19+IF(Time!AK46&gt;0,Time!AK45*AJ86/Time!AK46,0)+IF(Time!AJ34=1,AJ89,AJ87)*AK14,0)</f>
        <v/>
      </c>
      <c r="AK123" s="13">
        <f>IF(AND(Time!AK20&gt;=Time!$F$12,Time!AL20&gt;0),(IF(Time!AK34=1,AK89,AK87)-AK86)*AL19+IF(Time!AL46&gt;0,Time!AL45*AK86/Time!AL46,0)+IF(Time!AK34=1,AK89,AK87)*AL14,0)</f>
        <v/>
      </c>
      <c r="AL123" s="13">
        <f>IF(AND(Time!AL20&gt;=Time!$F$12,Time!AM20&gt;0),(IF(Time!AL34=1,AL89,AL87)-AL86)*AM19+IF(Time!AM46&gt;0,Time!AM45*AL86/Time!AM46,0)+IF(Time!AL34=1,AL89,AL87)*AM14,0)</f>
        <v/>
      </c>
      <c r="AM123" s="13">
        <f>IF(AND(Time!AM20&gt;=Time!$F$12,Time!AN20&gt;0),(IF(Time!AM34=1,AM89,AM87)-AM86)*AN19+IF(Time!AN46&gt;0,Time!AN45*AM86/Time!AN46,0)+IF(Time!AM34=1,AM89,AM87)*AN14,0)</f>
        <v/>
      </c>
      <c r="AN123" s="13">
        <f>IF(AND(Time!AN20&gt;=Time!$F$12,Time!AO20&gt;0),(IF(Time!AN34=1,AN89,AN87)-AN86)*AO19+IF(Time!AO46&gt;0,Time!AO45*AN86/Time!AO46,0)+IF(Time!AN34=1,AN89,AN87)*AO14,0)</f>
        <v/>
      </c>
      <c r="AO123" s="13">
        <f>IF(AND(Time!AO20&gt;=Time!$F$12,Time!AP20&gt;0),(IF(Time!AO34=1,AO89,AO87)-AO86)*AP19+IF(Time!AP46&gt;0,Time!AP45*AO86/Time!AP46,0)+IF(Time!AO34=1,AO89,AO87)*AP14,0)</f>
        <v/>
      </c>
      <c r="AP123" s="13">
        <f>IF(AND(Time!AP20&gt;=Time!$F$12,Time!AQ20&gt;0),(IF(Time!AP34=1,AP89,AP87)-AP86)*AQ19+IF(Time!AQ46&gt;0,Time!AQ45*AP86/Time!AQ46,0)+IF(Time!AP34=1,AP89,AP87)*AQ14,0)</f>
        <v/>
      </c>
      <c r="AQ123" s="13">
        <f>IF(AND(Time!AQ20&gt;=Time!$F$12,Time!AR20&gt;0),(IF(Time!AQ34=1,AQ89,AQ87)-AQ86)*AR19+IF(Time!AR46&gt;0,Time!AR45*AQ86/Time!AR46,0)+IF(Time!AQ34=1,AQ89,AQ87)*AR14,0)</f>
        <v/>
      </c>
      <c r="AR123" s="13">
        <f>IF(AND(Time!AR20&gt;=Time!$F$12,Time!AS20&gt;0),(IF(Time!AR34=1,AR89,AR87)-AR86)*AS19+IF(Time!AS46&gt;0,Time!AS45*AR86/Time!AS46,0)+IF(Time!AR34=1,AR89,AR87)*AS14,0)</f>
        <v/>
      </c>
      <c r="AS123" s="13">
        <f>IF(AND(Time!AS20&gt;=Time!$F$12,Time!AT20&gt;0),(IF(Time!AS34=1,AS89,AS87)-AS86)*AT19+IF(Time!AT46&gt;0,Time!AT45*AS86/Time!AT46,0)+IF(Time!AS34=1,AS89,AS87)*AT14,0)</f>
        <v/>
      </c>
      <c r="AT123" s="13">
        <f>IF(AND(Time!AT20&gt;=Time!$F$12,Time!AU20&gt;0),(IF(Time!AT34=1,AT89,AT87)-AT86)*AU19+IF(Time!AU46&gt;0,Time!AU45*AT86/Time!AU46,0)+IF(Time!AT34=1,AT89,AT87)*AU14,0)</f>
        <v/>
      </c>
      <c r="AU123" s="13">
        <f>IF(AND(Time!AU20&gt;=Time!$F$12,Time!AV20&gt;0),(IF(Time!AU34=1,AU89,AU87)-AU86)*AV19+IF(Time!AV46&gt;0,Time!AV45*AU86/Time!AV46,0)+IF(Time!AU34=1,AU89,AU87)*AV14,0)</f>
        <v/>
      </c>
      <c r="AV123" s="13">
        <f>IF(AND(Time!AV20&gt;=Time!$F$12,Time!AW20&gt;0),(IF(Time!AV34=1,AV89,AV87)-AV86)*AW19+IF(Time!AW46&gt;0,Time!AW45*AV86/Time!AW46,0)+IF(Time!AV34=1,AV89,AV87)*AW14,0)</f>
        <v/>
      </c>
      <c r="AW123" s="13">
        <f>IF(AND(Time!AW20&gt;=Time!$F$12,Time!AX20&gt;0),(IF(Time!AW34=1,AW89,AW87)-AW86)*AX19+IF(Time!AX46&gt;0,Time!AX45*AW86/Time!AX46,0)+IF(Time!AW34=1,AW89,AW87)*AX14,0)</f>
        <v/>
      </c>
      <c r="AX123" s="13">
        <f>IF(AND(Time!AX20&gt;=Time!$F$12,Time!AY20&gt;0),(IF(Time!AX34=1,AX89,AX87)-AX86)*AY19+IF(Time!AY46&gt;0,Time!AY45*AX86/Time!AY46,0)+IF(Time!AX34=1,AX89,AX87)*AY14,0)</f>
        <v/>
      </c>
      <c r="AY123" s="13">
        <f>IF(AND(Time!AY20&gt;=Time!$F$12,Time!AZ20&gt;0),(IF(Time!AY34=1,AY89,AY87)-AY86)*AZ19+IF(Time!AZ46&gt;0,Time!AZ45*AY86/Time!AZ46,0)+IF(Time!AY34=1,AY89,AY87)*AZ14,0)</f>
        <v/>
      </c>
      <c r="AZ123" s="13">
        <f>IF(AND(Time!AZ20&gt;=Time!$F$12,Time!BA20&gt;0),(IF(Time!AZ34=1,AZ89,AZ87)-AZ86)*BA19+IF(Time!BA46&gt;0,Time!BA45*AZ86/Time!BA46,0)+IF(Time!AZ34=1,AZ89,AZ87)*BA14,0)</f>
        <v/>
      </c>
      <c r="BA123" s="13">
        <f>IF(AND(Time!BA20&gt;=Time!$F$12,Time!BB20&gt;0),(IF(Time!BA34=1,BA89,BA87)-BA86)*BB19+IF(Time!BB46&gt;0,Time!BB45*BA86/Time!BB46,0)+IF(Time!BA34=1,BA89,BA87)*BB14,0)</f>
        <v/>
      </c>
      <c r="BB123" s="13">
        <f>IF(AND(Time!BB20&gt;=Time!$F$12,Time!BC20&gt;0),(IF(Time!BB34=1,BB89,BB87)-BB86)*BC19+IF(Time!BC46&gt;0,Time!BC45*BB86/Time!BC46,0)+IF(Time!BB34=1,BB89,BB87)*BC14,0)</f>
        <v/>
      </c>
      <c r="BC123" s="13">
        <f>IF(AND(Time!BC20&gt;=Time!$F$12,Time!BD20&gt;0),(IF(Time!BC34=1,BC89,BC87)-BC86)*BD19+IF(Time!BD46&gt;0,Time!BD45*BC86/Time!BD46,0)+IF(Time!BC34=1,BC89,BC87)*BD14,0)</f>
        <v/>
      </c>
      <c r="BD123" s="13">
        <f>IF(AND(Time!BD20&gt;=Time!$F$12,Time!BE20&gt;0),(IF(Time!BD34=1,BD89,BD87)-BD86)*BE19+IF(Time!BE46&gt;0,Time!BE45*BD86/Time!BE46,0)+IF(Time!BD34=1,BD89,BD87)*BE14,0)</f>
        <v/>
      </c>
      <c r="BE123" s="13">
        <f>IF(AND(Time!BE20&gt;=Time!$F$12,Time!BF20&gt;0),(IF(Time!BE34=1,BE89,BE87)-BE86)*BF19+IF(Time!BF46&gt;0,Time!BF45*BE86/Time!BF46,0)+IF(Time!BE34=1,BE89,BE87)*BF14,0)</f>
        <v/>
      </c>
      <c r="BF123" s="13">
        <f>IF(AND(Time!BF20&gt;=Time!$F$12,Time!BG20&gt;0),(IF(Time!BF34=1,BF89,BF87)-BF86)*BG19+IF(Time!BG46&gt;0,Time!BG45*BF86/Time!BG46,0)+IF(Time!BF34=1,BF89,BF87)*BG14,0)</f>
        <v/>
      </c>
      <c r="BG123" s="13">
        <f>IF(AND(Time!BG20&gt;=Time!$F$12,Time!BH20&gt;0),(IF(Time!BG34=1,BG89,BG87)-BG86)*BH19+IF(Time!BH46&gt;0,Time!BH45*BG86/Time!BH46,0)+IF(Time!BG34=1,BG89,BG87)*BH14,0)</f>
        <v/>
      </c>
      <c r="BH123" s="13">
        <f>IF(AND(Time!BH20&gt;=Time!$F$12,Time!BI20&gt;0),(IF(Time!BH34=1,BH89,BH87)-BH86)*BI19+IF(Time!BI46&gt;0,Time!BI45*BH86/Time!BI46,0)+IF(Time!BH34=1,BH89,BH87)*BI14,0)</f>
        <v/>
      </c>
      <c r="BI123" s="13">
        <f>IF(AND(Time!BI20&gt;=Time!$F$12,Time!BJ20&gt;0),(IF(Time!BI34=1,BI89,BI87)-BI86)*BJ19+IF(Time!BJ46&gt;0,Time!BJ45*BI86/Time!BJ46,0)+IF(Time!BI34=1,BI89,BI87)*BJ14,0)</f>
        <v/>
      </c>
      <c r="BJ123" s="13">
        <f>IF(AND(Time!BJ20&gt;=Time!$F$12,Time!BK20&gt;0),(IF(Time!BJ34=1,BJ89,BJ87)-BJ86)*BK19+IF(Time!BK46&gt;0,Time!BK45*BJ86/Time!BK46,0)+IF(Time!BJ34=1,BJ89,BJ87)*BK14,0)</f>
        <v/>
      </c>
      <c r="BK123" s="13">
        <f>IF(AND(Time!BK20&gt;=Time!$F$12,Time!BL20&gt;0),(IF(Time!BK34=1,BK89,BK87)-BK86)*BL19+IF(Time!BL46&gt;0,Time!BL45*BK86/Time!BL46,0)+IF(Time!BK34=1,BK89,BK87)*BL14,0)</f>
        <v/>
      </c>
      <c r="BL123" s="13">
        <f>IF(AND(Time!BL20&gt;=Time!$F$12,Time!BM20&gt;0),(IF(Time!BL34=1,BL89,BL87)-BL86)*BM19+IF(Time!BM46&gt;0,Time!BM45*BL86/Time!BM46,0)+IF(Time!BL34=1,BL89,BL87)*BM14,0)</f>
        <v/>
      </c>
      <c r="BM123" s="13">
        <f>IF(AND(Time!BM20&gt;=Time!$F$12,Time!BN20&gt;0),(IF(Time!BM34=1,BM89,BM87)-BM86)*BN19+IF(Time!BN46&gt;0,Time!BN45*BM86/Time!BN46,0)+IF(Time!BM34=1,BM89,BM87)*BN14,0)</f>
        <v/>
      </c>
      <c r="BN123" s="13">
        <f>IF(AND(Time!BN20&gt;=Time!$F$12,Time!BO20&gt;0),(IF(Time!BN34=1,BN89,BN87)-BN86)*BO19+IF(Time!BO46&gt;0,Time!BO45*BN86/Time!BO46,0)+IF(Time!BN34=1,BN89,BN87)*BO14,0)</f>
        <v/>
      </c>
    </row>
    <row r="124">
      <c r="D124" t="inlineStr">
        <is>
          <t>Bond: next period debt service</t>
        </is>
      </c>
      <c r="E124" t="inlineStr">
        <is>
          <t>USD m</t>
        </is>
      </c>
      <c r="J124" s="13">
        <f>IF(AND(AND(Time!J20&gt;=Time!$F$12,Time!K20&gt;0),(J94+J100)&gt;Inputs!$F$253),MIN(J101*Inputs!K300,(J94+J100))+(J94+J100)*(K15+Inputs!$F$276/100*Time!K24*Inputs!$F$275/J101),0)</f>
        <v/>
      </c>
      <c r="K124" s="13">
        <f>IF(AND(AND(Time!K20&gt;=Time!$F$12,Time!L20&gt;0),(K94+K100)&gt;Inputs!$F$253),MIN(K101*Inputs!L300,(K94+K100))+(K94+K100)*(L15+Inputs!$F$276/100*Time!L24*Inputs!$F$275/K101),0)</f>
        <v/>
      </c>
      <c r="L124" s="13">
        <f>IF(AND(AND(Time!L20&gt;=Time!$F$12,Time!M20&gt;0),(L94+L100)&gt;Inputs!$F$253),MIN(L101*Inputs!M300,(L94+L100))+(L94+L100)*(M15+Inputs!$F$276/100*Time!M24*Inputs!$F$275/L101),0)</f>
        <v/>
      </c>
      <c r="M124" s="13">
        <f>IF(AND(AND(Time!M20&gt;=Time!$F$12,Time!N20&gt;0),(M94+M100)&gt;Inputs!$F$253),MIN(M101*Inputs!N300,(M94+M100))+(M94+M100)*(N15+Inputs!$F$276/100*Time!N24*Inputs!$F$275/M101),0)</f>
        <v/>
      </c>
      <c r="N124" s="13">
        <f>IF(AND(AND(Time!N20&gt;=Time!$F$12,Time!O20&gt;0),(N94+N100)&gt;Inputs!$F$253),MIN(N101*Inputs!O300,(N94+N100))+(N94+N100)*(O15+Inputs!$F$276/100*Time!O24*Inputs!$F$275/N101),0)</f>
        <v/>
      </c>
      <c r="O124" s="13">
        <f>IF(AND(AND(Time!O20&gt;=Time!$F$12,Time!P20&gt;0),(O94+O100)&gt;Inputs!$F$253),MIN(O101*Inputs!P300,(O94+O100))+(O94+O100)*(P15+Inputs!$F$276/100*Time!P24*Inputs!$F$275/O101),0)</f>
        <v/>
      </c>
      <c r="P124" s="13">
        <f>IF(AND(AND(Time!P20&gt;=Time!$F$12,Time!Q20&gt;0),(P94+P100)&gt;Inputs!$F$253),MIN(P101*Inputs!Q300,(P94+P100))+(P94+P100)*(Q15+Inputs!$F$276/100*Time!Q24*Inputs!$F$275/P101),0)</f>
        <v/>
      </c>
      <c r="Q124" s="13">
        <f>IF(AND(AND(Time!Q20&gt;=Time!$F$12,Time!R20&gt;0),(Q94+Q100)&gt;Inputs!$F$253),MIN(Q101*Inputs!R300,(Q94+Q100))+(Q94+Q100)*(R15+Inputs!$F$276/100*Time!R24*Inputs!$F$275/Q101),0)</f>
        <v/>
      </c>
      <c r="R124" s="13">
        <f>IF(AND(AND(Time!R20&gt;=Time!$F$12,Time!S20&gt;0),(R94+R100)&gt;Inputs!$F$253),MIN(R101*Inputs!S300,(R94+R100))+(R94+R100)*(S15+Inputs!$F$276/100*Time!S24*Inputs!$F$275/R101),0)</f>
        <v/>
      </c>
      <c r="S124" s="13">
        <f>IF(AND(AND(Time!S20&gt;=Time!$F$12,Time!T20&gt;0),(S94+S100)&gt;Inputs!$F$253),MIN(S101*Inputs!T300,(S94+S100))+(S94+S100)*(T15+Inputs!$F$276/100*Time!T24*Inputs!$F$275/S101),0)</f>
        <v/>
      </c>
      <c r="T124" s="13">
        <f>IF(AND(AND(Time!T20&gt;=Time!$F$12,Time!U20&gt;0),(T94+T100)&gt;Inputs!$F$253),MIN(T101*Inputs!U300,(T94+T100))+(T94+T100)*(U15+Inputs!$F$276/100*Time!U24*Inputs!$F$275/T101),0)</f>
        <v/>
      </c>
      <c r="U124" s="13">
        <f>IF(AND(AND(Time!U20&gt;=Time!$F$12,Time!V20&gt;0),(U94+U100)&gt;Inputs!$F$253),MIN(U101*Inputs!V300,(U94+U100))+(U94+U100)*(V15+Inputs!$F$276/100*Time!V24*Inputs!$F$275/U101),0)</f>
        <v/>
      </c>
      <c r="V124" s="13">
        <f>IF(AND(AND(Time!V20&gt;=Time!$F$12,Time!W20&gt;0),(V94+V100)&gt;Inputs!$F$253),MIN(V101*Inputs!W300,(V94+V100))+(V94+V100)*(W15+Inputs!$F$276/100*Time!W24*Inputs!$F$275/V101),0)</f>
        <v/>
      </c>
      <c r="W124" s="13">
        <f>IF(AND(AND(Time!W20&gt;=Time!$F$12,Time!X20&gt;0),(W94+W100)&gt;Inputs!$F$253),MIN(W101*Inputs!X300,(W94+W100))+(W94+W100)*(X15+Inputs!$F$276/100*Time!X24*Inputs!$F$275/W101),0)</f>
        <v/>
      </c>
      <c r="X124" s="13">
        <f>IF(AND(AND(Time!X20&gt;=Time!$F$12,Time!Y20&gt;0),(X94+X100)&gt;Inputs!$F$253),MIN(X101*Inputs!Y300,(X94+X100))+(X94+X100)*(Y15+Inputs!$F$276/100*Time!Y24*Inputs!$F$275/X101),0)</f>
        <v/>
      </c>
      <c r="Y124" s="13">
        <f>IF(AND(AND(Time!Y20&gt;=Time!$F$12,Time!Z20&gt;0),(Y94+Y100)&gt;Inputs!$F$253),MIN(Y101*Inputs!Z300,(Y94+Y100))+(Y94+Y100)*(Z15+Inputs!$F$276/100*Time!Z24*Inputs!$F$275/Y101),0)</f>
        <v/>
      </c>
      <c r="Z124" s="13">
        <f>IF(AND(AND(Time!Z20&gt;=Time!$F$12,Time!AA20&gt;0),(Z94+Z100)&gt;Inputs!$F$253),MIN(Z101*Inputs!AA300,(Z94+Z100))+(Z94+Z100)*(AA15+Inputs!$F$276/100*Time!AA24*Inputs!$F$275/Z101),0)</f>
        <v/>
      </c>
      <c r="AA124" s="13">
        <f>IF(AND(AND(Time!AA20&gt;=Time!$F$12,Time!AB20&gt;0),(AA94+AA100)&gt;Inputs!$F$253),MIN(AA101*Inputs!AB300,(AA94+AA100))+(AA94+AA100)*(AB15+Inputs!$F$276/100*Time!AB24*Inputs!$F$275/AA101),0)</f>
        <v/>
      </c>
      <c r="AB124" s="13">
        <f>IF(AND(AND(Time!AB20&gt;=Time!$F$12,Time!AC20&gt;0),(AB94+AB100)&gt;Inputs!$F$253),MIN(AB101*Inputs!AC300,(AB94+AB100))+(AB94+AB100)*(AC15+Inputs!$F$276/100*Time!AC24*Inputs!$F$275/AB101),0)</f>
        <v/>
      </c>
      <c r="AC124" s="13">
        <f>IF(AND(AND(Time!AC20&gt;=Time!$F$12,Time!AD20&gt;0),(AC94+AC100)&gt;Inputs!$F$253),MIN(AC101*Inputs!AD300,(AC94+AC100))+(AC94+AC100)*(AD15+Inputs!$F$276/100*Time!AD24*Inputs!$F$275/AC101),0)</f>
        <v/>
      </c>
      <c r="AD124" s="13">
        <f>IF(AND(AND(Time!AD20&gt;=Time!$F$12,Time!AE20&gt;0),(AD94+AD100)&gt;Inputs!$F$253),MIN(AD101*Inputs!AE300,(AD94+AD100))+(AD94+AD100)*(AE15+Inputs!$F$276/100*Time!AE24*Inputs!$F$275/AD101),0)</f>
        <v/>
      </c>
      <c r="AE124" s="13">
        <f>IF(AND(AND(Time!AE20&gt;=Time!$F$12,Time!AF20&gt;0),(AE94+AE100)&gt;Inputs!$F$253),MIN(AE101*Inputs!AF300,(AE94+AE100))+(AE94+AE100)*(AF15+Inputs!$F$276/100*Time!AF24*Inputs!$F$275/AE101),0)</f>
        <v/>
      </c>
      <c r="AF124" s="13">
        <f>IF(AND(AND(Time!AF20&gt;=Time!$F$12,Time!AG20&gt;0),(AF94+AF100)&gt;Inputs!$F$253),MIN(AF101*Inputs!AG300,(AF94+AF100))+(AF94+AF100)*(AG15+Inputs!$F$276/100*Time!AG24*Inputs!$F$275/AF101),0)</f>
        <v/>
      </c>
      <c r="AG124" s="13">
        <f>IF(AND(AND(Time!AG20&gt;=Time!$F$12,Time!AH20&gt;0),(AG94+AG100)&gt;Inputs!$F$253),MIN(AG101*Inputs!AH300,(AG94+AG100))+(AG94+AG100)*(AH15+Inputs!$F$276/100*Time!AH24*Inputs!$F$275/AG101),0)</f>
        <v/>
      </c>
      <c r="AH124" s="13">
        <f>IF(AND(AND(Time!AH20&gt;=Time!$F$12,Time!AI20&gt;0),(AH94+AH100)&gt;Inputs!$F$253),MIN(AH101*Inputs!AI300,(AH94+AH100))+(AH94+AH100)*(AI15+Inputs!$F$276/100*Time!AI24*Inputs!$F$275/AH101),0)</f>
        <v/>
      </c>
      <c r="AI124" s="13">
        <f>IF(AND(AND(Time!AI20&gt;=Time!$F$12,Time!AJ20&gt;0),(AI94+AI100)&gt;Inputs!$F$253),MIN(AI101*Inputs!AJ300,(AI94+AI100))+(AI94+AI100)*(AJ15+Inputs!$F$276/100*Time!AJ24*Inputs!$F$275/AI101),0)</f>
        <v/>
      </c>
      <c r="AJ124" s="13">
        <f>IF(AND(AND(Time!AJ20&gt;=Time!$F$12,Time!AK20&gt;0),(AJ94+AJ100)&gt;Inputs!$F$253),MIN(AJ101*Inputs!AK300,(AJ94+AJ100))+(AJ94+AJ100)*(AK15+Inputs!$F$276/100*Time!AK24*Inputs!$F$275/AJ101),0)</f>
        <v/>
      </c>
      <c r="AK124" s="13">
        <f>IF(AND(AND(Time!AK20&gt;=Time!$F$12,Time!AL20&gt;0),(AK94+AK100)&gt;Inputs!$F$253),MIN(AK101*Inputs!AL300,(AK94+AK100))+(AK94+AK100)*(AL15+Inputs!$F$276/100*Time!AL24*Inputs!$F$275/AK101),0)</f>
        <v/>
      </c>
      <c r="AL124" s="13">
        <f>IF(AND(AND(Time!AL20&gt;=Time!$F$12,Time!AM20&gt;0),(AL94+AL100)&gt;Inputs!$F$253),MIN(AL101*Inputs!AM300,(AL94+AL100))+(AL94+AL100)*(AM15+Inputs!$F$276/100*Time!AM24*Inputs!$F$275/AL101),0)</f>
        <v/>
      </c>
      <c r="AM124" s="13">
        <f>IF(AND(AND(Time!AM20&gt;=Time!$F$12,Time!AN20&gt;0),(AM94+AM100)&gt;Inputs!$F$253),MIN(AM101*Inputs!AN300,(AM94+AM100))+(AM94+AM100)*(AN15+Inputs!$F$276/100*Time!AN24*Inputs!$F$275/AM101),0)</f>
        <v/>
      </c>
      <c r="AN124" s="13">
        <f>IF(AND(AND(Time!AN20&gt;=Time!$F$12,Time!AO20&gt;0),(AN94+AN100)&gt;Inputs!$F$253),MIN(AN101*Inputs!AO300,(AN94+AN100))+(AN94+AN100)*(AO15+Inputs!$F$276/100*Time!AO24*Inputs!$F$275/AN101),0)</f>
        <v/>
      </c>
      <c r="AO124" s="13">
        <f>IF(AND(AND(Time!AO20&gt;=Time!$F$12,Time!AP20&gt;0),(AO94+AO100)&gt;Inputs!$F$253),MIN(AO101*Inputs!AP300,(AO94+AO100))+(AO94+AO100)*(AP15+Inputs!$F$276/100*Time!AP24*Inputs!$F$275/AO101),0)</f>
        <v/>
      </c>
      <c r="AP124" s="13">
        <f>IF(AND(AND(Time!AP20&gt;=Time!$F$12,Time!AQ20&gt;0),(AP94+AP100)&gt;Inputs!$F$253),MIN(AP101*Inputs!AQ300,(AP94+AP100))+(AP94+AP100)*(AQ15+Inputs!$F$276/100*Time!AQ24*Inputs!$F$275/AP101),0)</f>
        <v/>
      </c>
      <c r="AQ124" s="13">
        <f>IF(AND(AND(Time!AQ20&gt;=Time!$F$12,Time!AR20&gt;0),(AQ94+AQ100)&gt;Inputs!$F$253),MIN(AQ101*Inputs!AR300,(AQ94+AQ100))+(AQ94+AQ100)*(AR15+Inputs!$F$276/100*Time!AR24*Inputs!$F$275/AQ101),0)</f>
        <v/>
      </c>
      <c r="AR124" s="13">
        <f>IF(AND(AND(Time!AR20&gt;=Time!$F$12,Time!AS20&gt;0),(AR94+AR100)&gt;Inputs!$F$253),MIN(AR101*Inputs!AS300,(AR94+AR100))+(AR94+AR100)*(AS15+Inputs!$F$276/100*Time!AS24*Inputs!$F$275/AR101),0)</f>
        <v/>
      </c>
      <c r="AS124" s="13">
        <f>IF(AND(AND(Time!AS20&gt;=Time!$F$12,Time!AT20&gt;0),(AS94+AS100)&gt;Inputs!$F$253),MIN(AS101*Inputs!AT300,(AS94+AS100))+(AS94+AS100)*(AT15+Inputs!$F$276/100*Time!AT24*Inputs!$F$275/AS101),0)</f>
        <v/>
      </c>
      <c r="AT124" s="13">
        <f>IF(AND(AND(Time!AT20&gt;=Time!$F$12,Time!AU20&gt;0),(AT94+AT100)&gt;Inputs!$F$253),MIN(AT101*Inputs!AU300,(AT94+AT100))+(AT94+AT100)*(AU15+Inputs!$F$276/100*Time!AU24*Inputs!$F$275/AT101),0)</f>
        <v/>
      </c>
      <c r="AU124" s="13">
        <f>IF(AND(AND(Time!AU20&gt;=Time!$F$12,Time!AV20&gt;0),(AU94+AU100)&gt;Inputs!$F$253),MIN(AU101*Inputs!AV300,(AU94+AU100))+(AU94+AU100)*(AV15+Inputs!$F$276/100*Time!AV24*Inputs!$F$275/AU101),0)</f>
        <v/>
      </c>
      <c r="AV124" s="13">
        <f>IF(AND(AND(Time!AV20&gt;=Time!$F$12,Time!AW20&gt;0),(AV94+AV100)&gt;Inputs!$F$253),MIN(AV101*Inputs!AW300,(AV94+AV100))+(AV94+AV100)*(AW15+Inputs!$F$276/100*Time!AW24*Inputs!$F$275/AV101),0)</f>
        <v/>
      </c>
      <c r="AW124" s="13">
        <f>IF(AND(AND(Time!AW20&gt;=Time!$F$12,Time!AX20&gt;0),(AW94+AW100)&gt;Inputs!$F$253),MIN(AW101*Inputs!AX300,(AW94+AW100))+(AW94+AW100)*(AX15+Inputs!$F$276/100*Time!AX24*Inputs!$F$275/AW101),0)</f>
        <v/>
      </c>
      <c r="AX124" s="13">
        <f>IF(AND(AND(Time!AX20&gt;=Time!$F$12,Time!AY20&gt;0),(AX94+AX100)&gt;Inputs!$F$253),MIN(AX101*Inputs!AY300,(AX94+AX100))+(AX94+AX100)*(AY15+Inputs!$F$276/100*Time!AY24*Inputs!$F$275/AX101),0)</f>
        <v/>
      </c>
      <c r="AY124" s="13">
        <f>IF(AND(AND(Time!AY20&gt;=Time!$F$12,Time!AZ20&gt;0),(AY94+AY100)&gt;Inputs!$F$253),MIN(AY101*Inputs!AZ300,(AY94+AY100))+(AY94+AY100)*(AZ15+Inputs!$F$276/100*Time!AZ24*Inputs!$F$275/AY101),0)</f>
        <v/>
      </c>
      <c r="AZ124" s="13">
        <f>IF(AND(AND(Time!AZ20&gt;=Time!$F$12,Time!BA20&gt;0),(AZ94+AZ100)&gt;Inputs!$F$253),MIN(AZ101*Inputs!BA300,(AZ94+AZ100))+(AZ94+AZ100)*(BA15+Inputs!$F$276/100*Time!BA24*Inputs!$F$275/AZ101),0)</f>
        <v/>
      </c>
      <c r="BA124" s="13">
        <f>IF(AND(AND(Time!BA20&gt;=Time!$F$12,Time!BB20&gt;0),(BA94+BA100)&gt;Inputs!$F$253),MIN(BA101*Inputs!BB300,(BA94+BA100))+(BA94+BA100)*(BB15+Inputs!$F$276/100*Time!BB24*Inputs!$F$275/BA101),0)</f>
        <v/>
      </c>
      <c r="BB124" s="13">
        <f>IF(AND(AND(Time!BB20&gt;=Time!$F$12,Time!BC20&gt;0),(BB94+BB100)&gt;Inputs!$F$253),MIN(BB101*Inputs!BC300,(BB94+BB100))+(BB94+BB100)*(BC15+Inputs!$F$276/100*Time!BC24*Inputs!$F$275/BB101),0)</f>
        <v/>
      </c>
      <c r="BC124" s="13">
        <f>IF(AND(AND(Time!BC20&gt;=Time!$F$12,Time!BD20&gt;0),(BC94+BC100)&gt;Inputs!$F$253),MIN(BC101*Inputs!BD300,(BC94+BC100))+(BC94+BC100)*(BD15+Inputs!$F$276/100*Time!BD24*Inputs!$F$275/BC101),0)</f>
        <v/>
      </c>
      <c r="BD124" s="13">
        <f>IF(AND(AND(Time!BD20&gt;=Time!$F$12,Time!BE20&gt;0),(BD94+BD100)&gt;Inputs!$F$253),MIN(BD101*Inputs!BE300,(BD94+BD100))+(BD94+BD100)*(BE15+Inputs!$F$276/100*Time!BE24*Inputs!$F$275/BD101),0)</f>
        <v/>
      </c>
      <c r="BE124" s="13">
        <f>IF(AND(AND(Time!BE20&gt;=Time!$F$12,Time!BF20&gt;0),(BE94+BE100)&gt;Inputs!$F$253),MIN(BE101*Inputs!BF300,(BE94+BE100))+(BE94+BE100)*(BF15+Inputs!$F$276/100*Time!BF24*Inputs!$F$275/BE101),0)</f>
        <v/>
      </c>
      <c r="BF124" s="13">
        <f>IF(AND(AND(Time!BF20&gt;=Time!$F$12,Time!BG20&gt;0),(BF94+BF100)&gt;Inputs!$F$253),MIN(BF101*Inputs!BG300,(BF94+BF100))+(BF94+BF100)*(BG15+Inputs!$F$276/100*Time!BG24*Inputs!$F$275/BF101),0)</f>
        <v/>
      </c>
      <c r="BG124" s="13">
        <f>IF(AND(AND(Time!BG20&gt;=Time!$F$12,Time!BH20&gt;0),(BG94+BG100)&gt;Inputs!$F$253),MIN(BG101*Inputs!BH300,(BG94+BG100))+(BG94+BG100)*(BH15+Inputs!$F$276/100*Time!BH24*Inputs!$F$275/BG101),0)</f>
        <v/>
      </c>
      <c r="BH124" s="13">
        <f>IF(AND(AND(Time!BH20&gt;=Time!$F$12,Time!BI20&gt;0),(BH94+BH100)&gt;Inputs!$F$253),MIN(BH101*Inputs!BI300,(BH94+BH100))+(BH94+BH100)*(BI15+Inputs!$F$276/100*Time!BI24*Inputs!$F$275/BH101),0)</f>
        <v/>
      </c>
      <c r="BI124" s="13">
        <f>IF(AND(AND(Time!BI20&gt;=Time!$F$12,Time!BJ20&gt;0),(BI94+BI100)&gt;Inputs!$F$253),MIN(BI101*Inputs!BJ300,(BI94+BI100))+(BI94+BI100)*(BJ15+Inputs!$F$276/100*Time!BJ24*Inputs!$F$275/BI101),0)</f>
        <v/>
      </c>
      <c r="BJ124" s="13">
        <f>IF(AND(AND(Time!BJ20&gt;=Time!$F$12,Time!BK20&gt;0),(BJ94+BJ100)&gt;Inputs!$F$253),MIN(BJ101*Inputs!BK300,(BJ94+BJ100))+(BJ94+BJ100)*(BK15+Inputs!$F$276/100*Time!BK24*Inputs!$F$275/BJ101),0)</f>
        <v/>
      </c>
      <c r="BK124" s="13">
        <f>IF(AND(AND(Time!BK20&gt;=Time!$F$12,Time!BL20&gt;0),(BK94+BK100)&gt;Inputs!$F$253),MIN(BK101*Inputs!BL300,(BK94+BK100))+(BK94+BK100)*(BL15+Inputs!$F$276/100*Time!BL24*Inputs!$F$275/BK101),0)</f>
        <v/>
      </c>
      <c r="BL124" s="13">
        <f>IF(AND(AND(Time!BL20&gt;=Time!$F$12,Time!BM20&gt;0),(BL94+BL100)&gt;Inputs!$F$253),MIN(BL101*Inputs!BM300,(BL94+BL100))+(BL94+BL100)*(BM15+Inputs!$F$276/100*Time!BM24*Inputs!$F$275/BL101),0)</f>
        <v/>
      </c>
      <c r="BM124" s="13">
        <f>IF(AND(AND(Time!BM20&gt;=Time!$F$12,Time!BN20&gt;0),(BM94+BM100)&gt;Inputs!$F$253),MIN(BM101*Inputs!BN300,(BM94+BM100))+(BM94+BM100)*(BN15+Inputs!$F$276/100*Time!BN24*Inputs!$F$275/BM101),0)</f>
        <v/>
      </c>
      <c r="BN124" s="13">
        <f>IF(AND(AND(Time!BN20&gt;=Time!$F$12,Time!BO20&gt;0),(BN94+BN100)&gt;Inputs!$F$253),MIN(BN101*Inputs!BO300,(BN94+BN100))+(BN94+BN100)*(BO15+Inputs!$F$276/100*Time!BO24*Inputs!$F$275/BN101),0)</f>
        <v/>
      </c>
    </row>
    <row r="125">
      <c r="D125" t="inlineStr">
        <is>
          <t>DSRA target (six months of next debt service)</t>
        </is>
      </c>
      <c r="E125" t="inlineStr">
        <is>
          <t>USD m</t>
        </is>
      </c>
      <c r="J125" s="13">
        <f>IF(AND(Time!J20&gt;=Time!$F$12,Time!K20&gt;0),J119+J120+J121+J122+J123+J124+Inputs!K301*K106*(Inputs!$F$97/100*Time!K24-Operations!K9/100*Time!K25/Inputs!$F$247)+(Inputs!$F$95/100*Inputs!$F$96/100)*J118*Time!K25/Inputs!$F$248,0)</f>
        <v/>
      </c>
      <c r="K125" s="13">
        <f>IF(AND(Time!K20&gt;=Time!$F$12,Time!L20&gt;0),K119+K120+K121+K122+K123+K124+Inputs!L301*L106*(Inputs!$F$97/100*Time!L24-Operations!L9/100*Time!L25/Inputs!$F$247)+(Inputs!$F$95/100*Inputs!$F$96/100)*K118*Time!L25/Inputs!$F$248,0)</f>
        <v/>
      </c>
      <c r="L125" s="13">
        <f>IF(AND(Time!L20&gt;=Time!$F$12,Time!M20&gt;0),L119+L120+L121+L122+L123+L124+Inputs!M301*M106*(Inputs!$F$97/100*Time!M24-Operations!M9/100*Time!M25/Inputs!$F$247)+(Inputs!$F$95/100*Inputs!$F$96/100)*L118*Time!M25/Inputs!$F$248,0)</f>
        <v/>
      </c>
      <c r="M125" s="13">
        <f>IF(AND(Time!M20&gt;=Time!$F$12,Time!N20&gt;0),M119+M120+M121+M122+M123+M124+Inputs!N301*N106*(Inputs!$F$97/100*Time!N24-Operations!N9/100*Time!N25/Inputs!$F$247)+(Inputs!$F$95/100*Inputs!$F$96/100)*M118*Time!N25/Inputs!$F$248,0)</f>
        <v/>
      </c>
      <c r="N125" s="13">
        <f>IF(AND(Time!N20&gt;=Time!$F$12,Time!O20&gt;0),N119+N120+N121+N122+N123+N124+Inputs!O301*O106*(Inputs!$F$97/100*Time!O24-Operations!O9/100*Time!O25/Inputs!$F$247)+(Inputs!$F$95/100*Inputs!$F$96/100)*N118*Time!O25/Inputs!$F$248,0)</f>
        <v/>
      </c>
      <c r="O125" s="13">
        <f>IF(AND(Time!O20&gt;=Time!$F$12,Time!P20&gt;0),O119+O120+O121+O122+O123+O124+Inputs!P301*P106*(Inputs!$F$97/100*Time!P24-Operations!P9/100*Time!P25/Inputs!$F$247)+(Inputs!$F$95/100*Inputs!$F$96/100)*O118*Time!P25/Inputs!$F$248,0)</f>
        <v/>
      </c>
      <c r="P125" s="13">
        <f>IF(AND(Time!P20&gt;=Time!$F$12,Time!Q20&gt;0),P119+P120+P121+P122+P123+P124+Inputs!Q301*Q106*(Inputs!$F$97/100*Time!Q24-Operations!Q9/100*Time!Q25/Inputs!$F$247)+(Inputs!$F$95/100*Inputs!$F$96/100)*P118*Time!Q25/Inputs!$F$248,0)</f>
        <v/>
      </c>
      <c r="Q125" s="13">
        <f>IF(AND(Time!Q20&gt;=Time!$F$12,Time!R20&gt;0),Q119+Q120+Q121+Q122+Q123+Q124+Inputs!R301*R106*(Inputs!$F$97/100*Time!R24-Operations!R9/100*Time!R25/Inputs!$F$247)+(Inputs!$F$95/100*Inputs!$F$96/100)*Q118*Time!R25/Inputs!$F$248,0)</f>
        <v/>
      </c>
      <c r="R125" s="13">
        <f>IF(AND(Time!R20&gt;=Time!$F$12,Time!S20&gt;0),R119+R120+R121+R122+R123+R124+Inputs!S301*S106*(Inputs!$F$97/100*Time!S24-Operations!S9/100*Time!S25/Inputs!$F$247)+(Inputs!$F$95/100*Inputs!$F$96/100)*R118*Time!S25/Inputs!$F$248,0)</f>
        <v/>
      </c>
      <c r="S125" s="13">
        <f>IF(AND(Time!S20&gt;=Time!$F$12,Time!T20&gt;0),S119+S120+S121+S122+S123+S124+Inputs!T301*T106*(Inputs!$F$97/100*Time!T24-Operations!T9/100*Time!T25/Inputs!$F$247)+(Inputs!$F$95/100*Inputs!$F$96/100)*S118*Time!T25/Inputs!$F$248,0)</f>
        <v/>
      </c>
      <c r="T125" s="13">
        <f>IF(AND(Time!T20&gt;=Time!$F$12,Time!U20&gt;0),T119+T120+T121+T122+T123+T124+Inputs!U301*U106*(Inputs!$F$97/100*Time!U24-Operations!U9/100*Time!U25/Inputs!$F$247)+(Inputs!$F$95/100*Inputs!$F$96/100)*T118*Time!U25/Inputs!$F$248,0)</f>
        <v/>
      </c>
      <c r="U125" s="13">
        <f>IF(AND(Time!U20&gt;=Time!$F$12,Time!V20&gt;0),U119+U120+U121+U122+U123+U124+Inputs!V301*V106*(Inputs!$F$97/100*Time!V24-Operations!V9/100*Time!V25/Inputs!$F$247)+(Inputs!$F$95/100*Inputs!$F$96/100)*U118*Time!V25/Inputs!$F$248,0)</f>
        <v/>
      </c>
      <c r="V125" s="13">
        <f>IF(AND(Time!V20&gt;=Time!$F$12,Time!W20&gt;0),V119+V120+V121+V122+V123+V124+Inputs!W301*W106*(Inputs!$F$97/100*Time!W24-Operations!W9/100*Time!W25/Inputs!$F$247)+(Inputs!$F$95/100*Inputs!$F$96/100)*V118*Time!W25/Inputs!$F$248,0)</f>
        <v/>
      </c>
      <c r="W125" s="13">
        <f>IF(AND(Time!W20&gt;=Time!$F$12,Time!X20&gt;0),W119+W120+W121+W122+W123+W124+Inputs!X301*X106*(Inputs!$F$97/100*Time!X24-Operations!X9/100*Time!X25/Inputs!$F$247)+(Inputs!$F$95/100*Inputs!$F$96/100)*W118*Time!X25/Inputs!$F$248,0)</f>
        <v/>
      </c>
      <c r="X125" s="13">
        <f>IF(AND(Time!X20&gt;=Time!$F$12,Time!Y20&gt;0),X119+X120+X121+X122+X123+X124+Inputs!Y301*Y106*(Inputs!$F$97/100*Time!Y24-Operations!Y9/100*Time!Y25/Inputs!$F$247)+(Inputs!$F$95/100*Inputs!$F$96/100)*X118*Time!Y25/Inputs!$F$248,0)</f>
        <v/>
      </c>
      <c r="Y125" s="13">
        <f>IF(AND(Time!Y20&gt;=Time!$F$12,Time!Z20&gt;0),Y119+Y120+Y121+Y122+Y123+Y124+Inputs!Z301*Z106*(Inputs!$F$97/100*Time!Z24-Operations!Z9/100*Time!Z25/Inputs!$F$247)+(Inputs!$F$95/100*Inputs!$F$96/100)*Y118*Time!Z25/Inputs!$F$248,0)</f>
        <v/>
      </c>
      <c r="Z125" s="13">
        <f>IF(AND(Time!Z20&gt;=Time!$F$12,Time!AA20&gt;0),Z119+Z120+Z121+Z122+Z123+Z124+Inputs!AA301*AA106*(Inputs!$F$97/100*Time!AA24-Operations!AA9/100*Time!AA25/Inputs!$F$247)+(Inputs!$F$95/100*Inputs!$F$96/100)*Z118*Time!AA25/Inputs!$F$248,0)</f>
        <v/>
      </c>
      <c r="AA125" s="13">
        <f>IF(AND(Time!AA20&gt;=Time!$F$12,Time!AB20&gt;0),AA119+AA120+AA121+AA122+AA123+AA124+Inputs!AB301*AB106*(Inputs!$F$97/100*Time!AB24-Operations!AB9/100*Time!AB25/Inputs!$F$247)+(Inputs!$F$95/100*Inputs!$F$96/100)*AA118*Time!AB25/Inputs!$F$248,0)</f>
        <v/>
      </c>
      <c r="AB125" s="13">
        <f>IF(AND(Time!AB20&gt;=Time!$F$12,Time!AC20&gt;0),AB119+AB120+AB121+AB122+AB123+AB124+Inputs!AC301*AC106*(Inputs!$F$97/100*Time!AC24-Operations!AC9/100*Time!AC25/Inputs!$F$247)+(Inputs!$F$95/100*Inputs!$F$96/100)*AB118*Time!AC25/Inputs!$F$248,0)</f>
        <v/>
      </c>
      <c r="AC125" s="13">
        <f>IF(AND(Time!AC20&gt;=Time!$F$12,Time!AD20&gt;0),AC119+AC120+AC121+AC122+AC123+AC124+Inputs!AD301*AD106*(Inputs!$F$97/100*Time!AD24-Operations!AD9/100*Time!AD25/Inputs!$F$247)+(Inputs!$F$95/100*Inputs!$F$96/100)*AC118*Time!AD25/Inputs!$F$248,0)</f>
        <v/>
      </c>
      <c r="AD125" s="13">
        <f>IF(AND(Time!AD20&gt;=Time!$F$12,Time!AE20&gt;0),AD119+AD120+AD121+AD122+AD123+AD124+Inputs!AE301*AE106*(Inputs!$F$97/100*Time!AE24-Operations!AE9/100*Time!AE25/Inputs!$F$247)+(Inputs!$F$95/100*Inputs!$F$96/100)*AD118*Time!AE25/Inputs!$F$248,0)</f>
        <v/>
      </c>
      <c r="AE125" s="13">
        <f>IF(AND(Time!AE20&gt;=Time!$F$12,Time!AF20&gt;0),AE119+AE120+AE121+AE122+AE123+AE124+Inputs!AF301*AF106*(Inputs!$F$97/100*Time!AF24-Operations!AF9/100*Time!AF25/Inputs!$F$247)+(Inputs!$F$95/100*Inputs!$F$96/100)*AE118*Time!AF25/Inputs!$F$248,0)</f>
        <v/>
      </c>
      <c r="AF125" s="13">
        <f>IF(AND(Time!AF20&gt;=Time!$F$12,Time!AG20&gt;0),AF119+AF120+AF121+AF122+AF123+AF124+Inputs!AG301*AG106*(Inputs!$F$97/100*Time!AG24-Operations!AG9/100*Time!AG25/Inputs!$F$247)+(Inputs!$F$95/100*Inputs!$F$96/100)*AF118*Time!AG25/Inputs!$F$248,0)</f>
        <v/>
      </c>
      <c r="AG125" s="13">
        <f>IF(AND(Time!AG20&gt;=Time!$F$12,Time!AH20&gt;0),AG119+AG120+AG121+AG122+AG123+AG124+Inputs!AH301*AH106*(Inputs!$F$97/100*Time!AH24-Operations!AH9/100*Time!AH25/Inputs!$F$247)+(Inputs!$F$95/100*Inputs!$F$96/100)*AG118*Time!AH25/Inputs!$F$248,0)</f>
        <v/>
      </c>
      <c r="AH125" s="13">
        <f>IF(AND(Time!AH20&gt;=Time!$F$12,Time!AI20&gt;0),AH119+AH120+AH121+AH122+AH123+AH124+Inputs!AI301*AI106*(Inputs!$F$97/100*Time!AI24-Operations!AI9/100*Time!AI25/Inputs!$F$247)+(Inputs!$F$95/100*Inputs!$F$96/100)*AH118*Time!AI25/Inputs!$F$248,0)</f>
        <v/>
      </c>
      <c r="AI125" s="13">
        <f>IF(AND(Time!AI20&gt;=Time!$F$12,Time!AJ20&gt;0),AI119+AI120+AI121+AI122+AI123+AI124+Inputs!AJ301*AJ106*(Inputs!$F$97/100*Time!AJ24-Operations!AJ9/100*Time!AJ25/Inputs!$F$247)+(Inputs!$F$95/100*Inputs!$F$96/100)*AI118*Time!AJ25/Inputs!$F$248,0)</f>
        <v/>
      </c>
      <c r="AJ125" s="13">
        <f>IF(AND(Time!AJ20&gt;=Time!$F$12,Time!AK20&gt;0),AJ119+AJ120+AJ121+AJ122+AJ123+AJ124+Inputs!AK301*AK106*(Inputs!$F$97/100*Time!AK24-Operations!AK9/100*Time!AK25/Inputs!$F$247)+(Inputs!$F$95/100*Inputs!$F$96/100)*AJ118*Time!AK25/Inputs!$F$248,0)</f>
        <v/>
      </c>
      <c r="AK125" s="13">
        <f>IF(AND(Time!AK20&gt;=Time!$F$12,Time!AL20&gt;0),AK119+AK120+AK121+AK122+AK123+AK124+Inputs!AL301*AL106*(Inputs!$F$97/100*Time!AL24-Operations!AL9/100*Time!AL25/Inputs!$F$247)+(Inputs!$F$95/100*Inputs!$F$96/100)*AK118*Time!AL25/Inputs!$F$248,0)</f>
        <v/>
      </c>
      <c r="AL125" s="13">
        <f>IF(AND(Time!AL20&gt;=Time!$F$12,Time!AM20&gt;0),AL119+AL120+AL121+AL122+AL123+AL124+Inputs!AM301*AM106*(Inputs!$F$97/100*Time!AM24-Operations!AM9/100*Time!AM25/Inputs!$F$247)+(Inputs!$F$95/100*Inputs!$F$96/100)*AL118*Time!AM25/Inputs!$F$248,0)</f>
        <v/>
      </c>
      <c r="AM125" s="13">
        <f>IF(AND(Time!AM20&gt;=Time!$F$12,Time!AN20&gt;0),AM119+AM120+AM121+AM122+AM123+AM124+Inputs!AN301*AN106*(Inputs!$F$97/100*Time!AN24-Operations!AN9/100*Time!AN25/Inputs!$F$247)+(Inputs!$F$95/100*Inputs!$F$96/100)*AM118*Time!AN25/Inputs!$F$248,0)</f>
        <v/>
      </c>
      <c r="AN125" s="13">
        <f>IF(AND(Time!AN20&gt;=Time!$F$12,Time!AO20&gt;0),AN119+AN120+AN121+AN122+AN123+AN124+Inputs!AO301*AO106*(Inputs!$F$97/100*Time!AO24-Operations!AO9/100*Time!AO25/Inputs!$F$247)+(Inputs!$F$95/100*Inputs!$F$96/100)*AN118*Time!AO25/Inputs!$F$248,0)</f>
        <v/>
      </c>
      <c r="AO125" s="13">
        <f>IF(AND(Time!AO20&gt;=Time!$F$12,Time!AP20&gt;0),AO119+AO120+AO121+AO122+AO123+AO124+Inputs!AP301*AP106*(Inputs!$F$97/100*Time!AP24-Operations!AP9/100*Time!AP25/Inputs!$F$247)+(Inputs!$F$95/100*Inputs!$F$96/100)*AO118*Time!AP25/Inputs!$F$248,0)</f>
        <v/>
      </c>
      <c r="AP125" s="13">
        <f>IF(AND(Time!AP20&gt;=Time!$F$12,Time!AQ20&gt;0),AP119+AP120+AP121+AP122+AP123+AP124+Inputs!AQ301*AQ106*(Inputs!$F$97/100*Time!AQ24-Operations!AQ9/100*Time!AQ25/Inputs!$F$247)+(Inputs!$F$95/100*Inputs!$F$96/100)*AP118*Time!AQ25/Inputs!$F$248,0)</f>
        <v/>
      </c>
      <c r="AQ125" s="13">
        <f>IF(AND(Time!AQ20&gt;=Time!$F$12,Time!AR20&gt;0),AQ119+AQ120+AQ121+AQ122+AQ123+AQ124+Inputs!AR301*AR106*(Inputs!$F$97/100*Time!AR24-Operations!AR9/100*Time!AR25/Inputs!$F$247)+(Inputs!$F$95/100*Inputs!$F$96/100)*AQ118*Time!AR25/Inputs!$F$248,0)</f>
        <v/>
      </c>
      <c r="AR125" s="13">
        <f>IF(AND(Time!AR20&gt;=Time!$F$12,Time!AS20&gt;0),AR119+AR120+AR121+AR122+AR123+AR124+Inputs!AS301*AS106*(Inputs!$F$97/100*Time!AS24-Operations!AS9/100*Time!AS25/Inputs!$F$247)+(Inputs!$F$95/100*Inputs!$F$96/100)*AR118*Time!AS25/Inputs!$F$248,0)</f>
        <v/>
      </c>
      <c r="AS125" s="13">
        <f>IF(AND(Time!AS20&gt;=Time!$F$12,Time!AT20&gt;0),AS119+AS120+AS121+AS122+AS123+AS124+Inputs!AT301*AT106*(Inputs!$F$97/100*Time!AT24-Operations!AT9/100*Time!AT25/Inputs!$F$247)+(Inputs!$F$95/100*Inputs!$F$96/100)*AS118*Time!AT25/Inputs!$F$248,0)</f>
        <v/>
      </c>
      <c r="AT125" s="13">
        <f>IF(AND(Time!AT20&gt;=Time!$F$12,Time!AU20&gt;0),AT119+AT120+AT121+AT122+AT123+AT124+Inputs!AU301*AU106*(Inputs!$F$97/100*Time!AU24-Operations!AU9/100*Time!AU25/Inputs!$F$247)+(Inputs!$F$95/100*Inputs!$F$96/100)*AT118*Time!AU25/Inputs!$F$248,0)</f>
        <v/>
      </c>
      <c r="AU125" s="13">
        <f>IF(AND(Time!AU20&gt;=Time!$F$12,Time!AV20&gt;0),AU119+AU120+AU121+AU122+AU123+AU124+Inputs!AV301*AV106*(Inputs!$F$97/100*Time!AV24-Operations!AV9/100*Time!AV25/Inputs!$F$247)+(Inputs!$F$95/100*Inputs!$F$96/100)*AU118*Time!AV25/Inputs!$F$248,0)</f>
        <v/>
      </c>
      <c r="AV125" s="13">
        <f>IF(AND(Time!AV20&gt;=Time!$F$12,Time!AW20&gt;0),AV119+AV120+AV121+AV122+AV123+AV124+Inputs!AW301*AW106*(Inputs!$F$97/100*Time!AW24-Operations!AW9/100*Time!AW25/Inputs!$F$247)+(Inputs!$F$95/100*Inputs!$F$96/100)*AV118*Time!AW25/Inputs!$F$248,0)</f>
        <v/>
      </c>
      <c r="AW125" s="13">
        <f>IF(AND(Time!AW20&gt;=Time!$F$12,Time!AX20&gt;0),AW119+AW120+AW121+AW122+AW123+AW124+Inputs!AX301*AX106*(Inputs!$F$97/100*Time!AX24-Operations!AX9/100*Time!AX25/Inputs!$F$247)+(Inputs!$F$95/100*Inputs!$F$96/100)*AW118*Time!AX25/Inputs!$F$248,0)</f>
        <v/>
      </c>
      <c r="AX125" s="13">
        <f>IF(AND(Time!AX20&gt;=Time!$F$12,Time!AY20&gt;0),AX119+AX120+AX121+AX122+AX123+AX124+Inputs!AY301*AY106*(Inputs!$F$97/100*Time!AY24-Operations!AY9/100*Time!AY25/Inputs!$F$247)+(Inputs!$F$95/100*Inputs!$F$96/100)*AX118*Time!AY25/Inputs!$F$248,0)</f>
        <v/>
      </c>
      <c r="AY125" s="13">
        <f>IF(AND(Time!AY20&gt;=Time!$F$12,Time!AZ20&gt;0),AY119+AY120+AY121+AY122+AY123+AY124+Inputs!AZ301*AZ106*(Inputs!$F$97/100*Time!AZ24-Operations!AZ9/100*Time!AZ25/Inputs!$F$247)+(Inputs!$F$95/100*Inputs!$F$96/100)*AY118*Time!AZ25/Inputs!$F$248,0)</f>
        <v/>
      </c>
      <c r="AZ125" s="13">
        <f>IF(AND(Time!AZ20&gt;=Time!$F$12,Time!BA20&gt;0),AZ119+AZ120+AZ121+AZ122+AZ123+AZ124+Inputs!BA301*BA106*(Inputs!$F$97/100*Time!BA24-Operations!BA9/100*Time!BA25/Inputs!$F$247)+(Inputs!$F$95/100*Inputs!$F$96/100)*AZ118*Time!BA25/Inputs!$F$248,0)</f>
        <v/>
      </c>
      <c r="BA125" s="13">
        <f>IF(AND(Time!BA20&gt;=Time!$F$12,Time!BB20&gt;0),BA119+BA120+BA121+BA122+BA123+BA124+Inputs!BB301*BB106*(Inputs!$F$97/100*Time!BB24-Operations!BB9/100*Time!BB25/Inputs!$F$247)+(Inputs!$F$95/100*Inputs!$F$96/100)*BA118*Time!BB25/Inputs!$F$248,0)</f>
        <v/>
      </c>
      <c r="BB125" s="13">
        <f>IF(AND(Time!BB20&gt;=Time!$F$12,Time!BC20&gt;0),BB119+BB120+BB121+BB122+BB123+BB124+Inputs!BC301*BC106*(Inputs!$F$97/100*Time!BC24-Operations!BC9/100*Time!BC25/Inputs!$F$247)+(Inputs!$F$95/100*Inputs!$F$96/100)*BB118*Time!BC25/Inputs!$F$248,0)</f>
        <v/>
      </c>
      <c r="BC125" s="13">
        <f>IF(AND(Time!BC20&gt;=Time!$F$12,Time!BD20&gt;0),BC119+BC120+BC121+BC122+BC123+BC124+Inputs!BD301*BD106*(Inputs!$F$97/100*Time!BD24-Operations!BD9/100*Time!BD25/Inputs!$F$247)+(Inputs!$F$95/100*Inputs!$F$96/100)*BC118*Time!BD25/Inputs!$F$248,0)</f>
        <v/>
      </c>
      <c r="BD125" s="13">
        <f>IF(AND(Time!BD20&gt;=Time!$F$12,Time!BE20&gt;0),BD119+BD120+BD121+BD122+BD123+BD124+Inputs!BE301*BE106*(Inputs!$F$97/100*Time!BE24-Operations!BE9/100*Time!BE25/Inputs!$F$247)+(Inputs!$F$95/100*Inputs!$F$96/100)*BD118*Time!BE25/Inputs!$F$248,0)</f>
        <v/>
      </c>
      <c r="BE125" s="13">
        <f>IF(AND(Time!BE20&gt;=Time!$F$12,Time!BF20&gt;0),BE119+BE120+BE121+BE122+BE123+BE124+Inputs!BF301*BF106*(Inputs!$F$97/100*Time!BF24-Operations!BF9/100*Time!BF25/Inputs!$F$247)+(Inputs!$F$95/100*Inputs!$F$96/100)*BE118*Time!BF25/Inputs!$F$248,0)</f>
        <v/>
      </c>
      <c r="BF125" s="13">
        <f>IF(AND(Time!BF20&gt;=Time!$F$12,Time!BG20&gt;0),BF119+BF120+BF121+BF122+BF123+BF124+Inputs!BG301*BG106*(Inputs!$F$97/100*Time!BG24-Operations!BG9/100*Time!BG25/Inputs!$F$247)+(Inputs!$F$95/100*Inputs!$F$96/100)*BF118*Time!BG25/Inputs!$F$248,0)</f>
        <v/>
      </c>
      <c r="BG125" s="13">
        <f>IF(AND(Time!BG20&gt;=Time!$F$12,Time!BH20&gt;0),BG119+BG120+BG121+BG122+BG123+BG124+Inputs!BH301*BH106*(Inputs!$F$97/100*Time!BH24-Operations!BH9/100*Time!BH25/Inputs!$F$247)+(Inputs!$F$95/100*Inputs!$F$96/100)*BG118*Time!BH25/Inputs!$F$248,0)</f>
        <v/>
      </c>
      <c r="BH125" s="13">
        <f>IF(AND(Time!BH20&gt;=Time!$F$12,Time!BI20&gt;0),BH119+BH120+BH121+BH122+BH123+BH124+Inputs!BI301*BI106*(Inputs!$F$97/100*Time!BI24-Operations!BI9/100*Time!BI25/Inputs!$F$247)+(Inputs!$F$95/100*Inputs!$F$96/100)*BH118*Time!BI25/Inputs!$F$248,0)</f>
        <v/>
      </c>
      <c r="BI125" s="13">
        <f>IF(AND(Time!BI20&gt;=Time!$F$12,Time!BJ20&gt;0),BI119+BI120+BI121+BI122+BI123+BI124+Inputs!BJ301*BJ106*(Inputs!$F$97/100*Time!BJ24-Operations!BJ9/100*Time!BJ25/Inputs!$F$247)+(Inputs!$F$95/100*Inputs!$F$96/100)*BI118*Time!BJ25/Inputs!$F$248,0)</f>
        <v/>
      </c>
      <c r="BJ125" s="13">
        <f>IF(AND(Time!BJ20&gt;=Time!$F$12,Time!BK20&gt;0),BJ119+BJ120+BJ121+BJ122+BJ123+BJ124+Inputs!BK301*BK106*(Inputs!$F$97/100*Time!BK24-Operations!BK9/100*Time!BK25/Inputs!$F$247)+(Inputs!$F$95/100*Inputs!$F$96/100)*BJ118*Time!BK25/Inputs!$F$248,0)</f>
        <v/>
      </c>
      <c r="BK125" s="13">
        <f>IF(AND(Time!BK20&gt;=Time!$F$12,Time!BL20&gt;0),BK119+BK120+BK121+BK122+BK123+BK124+Inputs!BL301*BL106*(Inputs!$F$97/100*Time!BL24-Operations!BL9/100*Time!BL25/Inputs!$F$247)+(Inputs!$F$95/100*Inputs!$F$96/100)*BK118*Time!BL25/Inputs!$F$248,0)</f>
        <v/>
      </c>
      <c r="BL125" s="13">
        <f>IF(AND(Time!BL20&gt;=Time!$F$12,Time!BM20&gt;0),BL119+BL120+BL121+BL122+BL123+BL124+Inputs!BM301*BM106*(Inputs!$F$97/100*Time!BM24-Operations!BM9/100*Time!BM25/Inputs!$F$247)+(Inputs!$F$95/100*Inputs!$F$96/100)*BL118*Time!BM25/Inputs!$F$248,0)</f>
        <v/>
      </c>
      <c r="BM125" s="13">
        <f>IF(AND(Time!BM20&gt;=Time!$F$12,Time!BN20&gt;0),BM119+BM120+BM121+BM122+BM123+BM124+Inputs!BN301*BN106*(Inputs!$F$97/100*Time!BN24-Operations!BN9/100*Time!BN25/Inputs!$F$247)+(Inputs!$F$95/100*Inputs!$F$96/100)*BM118*Time!BN25/Inputs!$F$248,0)</f>
        <v/>
      </c>
      <c r="BN125" s="13">
        <f>IF(AND(Time!BN20&gt;=Time!$F$12,Time!BO20&gt;0),BN119+BN120+BN121+BN122+BN123+BN124+Inputs!BO301*BO106*(Inputs!$F$97/100*Time!BO24-Operations!BO9/100*Time!BO25/Inputs!$F$247)+(Inputs!$F$95/100*Inputs!$F$96/100)*BN118*Time!BO25/Inputs!$F$248,0)</f>
        <v/>
      </c>
    </row>
    <row r="126">
      <c r="B126" s="2" t="inlineStr">
        <is>
          <t>Live sculpting check (FC base: constant-DSCR profile from CFADS)</t>
        </is>
      </c>
    </row>
    <row r="127">
      <c r="D127" t="inlineStr">
        <is>
          <t>Sculpting rate on scheduled balance</t>
        </is>
      </c>
      <c r="E127" t="inlineStr">
        <is>
          <t>factor</t>
        </is>
      </c>
      <c r="J127" s="16">
        <f>IF(Time!J53=1,Inputs!$F$75*J10+Inputs!$F$76*J11+Inputs!$F$77*J12+Inputs!$F$78*(J13+(Inputs!$F$95/100*Inputs!$F$96/100)*Time!J25/Inputs!$F$248)+Inputs!J301/(Funding!$F$25*J18)*(Inputs!$F$97/100*Time!J24-Operations!J9/100*Time!J25/Inputs!$F$247),0)</f>
        <v/>
      </c>
      <c r="K127" s="16">
        <f>IF(Time!K53=1,Inputs!$F$75*K10+Inputs!$F$76*K11+Inputs!$F$77*K12+Inputs!$F$78*(K13+(Inputs!$F$95/100*Inputs!$F$96/100)*Time!K25/Inputs!$F$248)+Inputs!K301/(Funding!$F$25*K18)*(Inputs!$F$97/100*Time!K24-Operations!K9/100*Time!K25/Inputs!$F$247),0)</f>
        <v/>
      </c>
      <c r="L127" s="16">
        <f>IF(Time!L53=1,Inputs!$F$75*L10+Inputs!$F$76*L11+Inputs!$F$77*L12+Inputs!$F$78*(L13+(Inputs!$F$95/100*Inputs!$F$96/100)*Time!L25/Inputs!$F$248)+Inputs!L301/(Funding!$F$25*L18)*(Inputs!$F$97/100*Time!L24-Operations!L9/100*Time!L25/Inputs!$F$247),0)</f>
        <v/>
      </c>
      <c r="M127" s="16">
        <f>IF(Time!M53=1,Inputs!$F$75*M10+Inputs!$F$76*M11+Inputs!$F$77*M12+Inputs!$F$78*(M13+(Inputs!$F$95/100*Inputs!$F$96/100)*Time!M25/Inputs!$F$248)+Inputs!M301/(Funding!$F$25*M18)*(Inputs!$F$97/100*Time!M24-Operations!M9/100*Time!M25/Inputs!$F$247),0)</f>
        <v/>
      </c>
      <c r="N127" s="16">
        <f>IF(Time!N53=1,Inputs!$F$75*N10+Inputs!$F$76*N11+Inputs!$F$77*N12+Inputs!$F$78*(N13+(Inputs!$F$95/100*Inputs!$F$96/100)*Time!N25/Inputs!$F$248)+Inputs!N301/(Funding!$F$25*N18)*(Inputs!$F$97/100*Time!N24-Operations!N9/100*Time!N25/Inputs!$F$247),0)</f>
        <v/>
      </c>
      <c r="O127" s="16">
        <f>IF(Time!O53=1,Inputs!$F$75*O10+Inputs!$F$76*O11+Inputs!$F$77*O12+Inputs!$F$78*(O13+(Inputs!$F$95/100*Inputs!$F$96/100)*Time!O25/Inputs!$F$248)+Inputs!O301/(Funding!$F$25*O18)*(Inputs!$F$97/100*Time!O24-Operations!O9/100*Time!O25/Inputs!$F$247),0)</f>
        <v/>
      </c>
      <c r="P127" s="16">
        <f>IF(Time!P53=1,Inputs!$F$75*P10+Inputs!$F$76*P11+Inputs!$F$77*P12+Inputs!$F$78*(P13+(Inputs!$F$95/100*Inputs!$F$96/100)*Time!P25/Inputs!$F$248)+Inputs!P301/(Funding!$F$25*P18)*(Inputs!$F$97/100*Time!P24-Operations!P9/100*Time!P25/Inputs!$F$247),0)</f>
        <v/>
      </c>
      <c r="Q127" s="16">
        <f>IF(Time!Q53=1,Inputs!$F$75*Q10+Inputs!$F$76*Q11+Inputs!$F$77*Q12+Inputs!$F$78*(Q13+(Inputs!$F$95/100*Inputs!$F$96/100)*Time!Q25/Inputs!$F$248)+Inputs!Q301/(Funding!$F$25*Q18)*(Inputs!$F$97/100*Time!Q24-Operations!Q9/100*Time!Q25/Inputs!$F$247),0)</f>
        <v/>
      </c>
      <c r="R127" s="16">
        <f>IF(Time!R53=1,Inputs!$F$75*R10+Inputs!$F$76*R11+Inputs!$F$77*R12+Inputs!$F$78*(R13+(Inputs!$F$95/100*Inputs!$F$96/100)*Time!R25/Inputs!$F$248)+Inputs!R301/(Funding!$F$25*R18)*(Inputs!$F$97/100*Time!R24-Operations!R9/100*Time!R25/Inputs!$F$247),0)</f>
        <v/>
      </c>
      <c r="S127" s="16">
        <f>IF(Time!S53=1,Inputs!$F$75*S10+Inputs!$F$76*S11+Inputs!$F$77*S12+Inputs!$F$78*(S13+(Inputs!$F$95/100*Inputs!$F$96/100)*Time!S25/Inputs!$F$248)+Inputs!S301/(Funding!$F$25*S18)*(Inputs!$F$97/100*Time!S24-Operations!S9/100*Time!S25/Inputs!$F$247),0)</f>
        <v/>
      </c>
      <c r="T127" s="16">
        <f>IF(Time!T53=1,Inputs!$F$75*T10+Inputs!$F$76*T11+Inputs!$F$77*T12+Inputs!$F$78*(T13+(Inputs!$F$95/100*Inputs!$F$96/100)*Time!T25/Inputs!$F$248)+Inputs!T301/(Funding!$F$25*T18)*(Inputs!$F$97/100*Time!T24-Operations!T9/100*Time!T25/Inputs!$F$247),0)</f>
        <v/>
      </c>
      <c r="U127" s="16">
        <f>IF(Time!U53=1,Inputs!$F$75*U10+Inputs!$F$76*U11+Inputs!$F$77*U12+Inputs!$F$78*(U13+(Inputs!$F$95/100*Inputs!$F$96/100)*Time!U25/Inputs!$F$248)+Inputs!U301/(Funding!$F$25*U18)*(Inputs!$F$97/100*Time!U24-Operations!U9/100*Time!U25/Inputs!$F$247),0)</f>
        <v/>
      </c>
      <c r="V127" s="16">
        <f>IF(Time!V53=1,Inputs!$F$75*V10+Inputs!$F$76*V11+Inputs!$F$77*V12+Inputs!$F$78*(V13+(Inputs!$F$95/100*Inputs!$F$96/100)*Time!V25/Inputs!$F$248)+Inputs!V301/(Funding!$F$25*V18)*(Inputs!$F$97/100*Time!V24-Operations!V9/100*Time!V25/Inputs!$F$247),0)</f>
        <v/>
      </c>
      <c r="W127" s="16">
        <f>IF(Time!W53=1,Inputs!$F$75*W10+Inputs!$F$76*W11+Inputs!$F$77*W12+Inputs!$F$78*(W13+(Inputs!$F$95/100*Inputs!$F$96/100)*Time!W25/Inputs!$F$248)+Inputs!W301/(Funding!$F$25*W18)*(Inputs!$F$97/100*Time!W24-Operations!W9/100*Time!W25/Inputs!$F$247),0)</f>
        <v/>
      </c>
      <c r="X127" s="16">
        <f>IF(Time!X53=1,Inputs!$F$75*X10+Inputs!$F$76*X11+Inputs!$F$77*X12+Inputs!$F$78*(X13+(Inputs!$F$95/100*Inputs!$F$96/100)*Time!X25/Inputs!$F$248)+Inputs!X301/(Funding!$F$25*X18)*(Inputs!$F$97/100*Time!X24-Operations!X9/100*Time!X25/Inputs!$F$247),0)</f>
        <v/>
      </c>
      <c r="Y127" s="16">
        <f>IF(Time!Y53=1,Inputs!$F$75*Y10+Inputs!$F$76*Y11+Inputs!$F$77*Y12+Inputs!$F$78*(Y13+(Inputs!$F$95/100*Inputs!$F$96/100)*Time!Y25/Inputs!$F$248)+Inputs!Y301/(Funding!$F$25*Y18)*(Inputs!$F$97/100*Time!Y24-Operations!Y9/100*Time!Y25/Inputs!$F$247),0)</f>
        <v/>
      </c>
      <c r="Z127" s="16">
        <f>IF(Time!Z53=1,Inputs!$F$75*Z10+Inputs!$F$76*Z11+Inputs!$F$77*Z12+Inputs!$F$78*(Z13+(Inputs!$F$95/100*Inputs!$F$96/100)*Time!Z25/Inputs!$F$248)+Inputs!Z301/(Funding!$F$25*Z18)*(Inputs!$F$97/100*Time!Z24-Operations!Z9/100*Time!Z25/Inputs!$F$247),0)</f>
        <v/>
      </c>
      <c r="AA127" s="16">
        <f>IF(Time!AA53=1,Inputs!$F$75*AA10+Inputs!$F$76*AA11+Inputs!$F$77*AA12+Inputs!$F$78*(AA13+(Inputs!$F$95/100*Inputs!$F$96/100)*Time!AA25/Inputs!$F$248)+Inputs!AA301/(Funding!$F$25*AA18)*(Inputs!$F$97/100*Time!AA24-Operations!AA9/100*Time!AA25/Inputs!$F$247),0)</f>
        <v/>
      </c>
      <c r="AB127" s="16">
        <f>IF(Time!AB53=1,Inputs!$F$75*AB10+Inputs!$F$76*AB11+Inputs!$F$77*AB12+Inputs!$F$78*(AB13+(Inputs!$F$95/100*Inputs!$F$96/100)*Time!AB25/Inputs!$F$248)+Inputs!AB301/(Funding!$F$25*AB18)*(Inputs!$F$97/100*Time!AB24-Operations!AB9/100*Time!AB25/Inputs!$F$247),0)</f>
        <v/>
      </c>
      <c r="AC127" s="16">
        <f>IF(Time!AC53=1,Inputs!$F$75*AC10+Inputs!$F$76*AC11+Inputs!$F$77*AC12+Inputs!$F$78*(AC13+(Inputs!$F$95/100*Inputs!$F$96/100)*Time!AC25/Inputs!$F$248)+Inputs!AC301/(Funding!$F$25*AC18)*(Inputs!$F$97/100*Time!AC24-Operations!AC9/100*Time!AC25/Inputs!$F$247),0)</f>
        <v/>
      </c>
      <c r="AD127" s="16">
        <f>IF(Time!AD53=1,Inputs!$F$75*AD10+Inputs!$F$76*AD11+Inputs!$F$77*AD12+Inputs!$F$78*(AD13+(Inputs!$F$95/100*Inputs!$F$96/100)*Time!AD25/Inputs!$F$248)+Inputs!AD301/(Funding!$F$25*AD18)*(Inputs!$F$97/100*Time!AD24-Operations!AD9/100*Time!AD25/Inputs!$F$247),0)</f>
        <v/>
      </c>
      <c r="AE127" s="16">
        <f>IF(Time!AE53=1,Inputs!$F$75*AE10+Inputs!$F$76*AE11+Inputs!$F$77*AE12+Inputs!$F$78*(AE13+(Inputs!$F$95/100*Inputs!$F$96/100)*Time!AE25/Inputs!$F$248)+Inputs!AE301/(Funding!$F$25*AE18)*(Inputs!$F$97/100*Time!AE24-Operations!AE9/100*Time!AE25/Inputs!$F$247),0)</f>
        <v/>
      </c>
      <c r="AF127" s="16">
        <f>IF(Time!AF53=1,Inputs!$F$75*AF10+Inputs!$F$76*AF11+Inputs!$F$77*AF12+Inputs!$F$78*(AF13+(Inputs!$F$95/100*Inputs!$F$96/100)*Time!AF25/Inputs!$F$248)+Inputs!AF301/(Funding!$F$25*AF18)*(Inputs!$F$97/100*Time!AF24-Operations!AF9/100*Time!AF25/Inputs!$F$247),0)</f>
        <v/>
      </c>
      <c r="AG127" s="16">
        <f>IF(Time!AG53=1,Inputs!$F$75*AG10+Inputs!$F$76*AG11+Inputs!$F$77*AG12+Inputs!$F$78*(AG13+(Inputs!$F$95/100*Inputs!$F$96/100)*Time!AG25/Inputs!$F$248)+Inputs!AG301/(Funding!$F$25*AG18)*(Inputs!$F$97/100*Time!AG24-Operations!AG9/100*Time!AG25/Inputs!$F$247),0)</f>
        <v/>
      </c>
      <c r="AH127" s="16">
        <f>IF(Time!AH53=1,Inputs!$F$75*AH10+Inputs!$F$76*AH11+Inputs!$F$77*AH12+Inputs!$F$78*(AH13+(Inputs!$F$95/100*Inputs!$F$96/100)*Time!AH25/Inputs!$F$248)+Inputs!AH301/(Funding!$F$25*AH18)*(Inputs!$F$97/100*Time!AH24-Operations!AH9/100*Time!AH25/Inputs!$F$247),0)</f>
        <v/>
      </c>
      <c r="AI127" s="16">
        <f>IF(Time!AI53=1,Inputs!$F$75*AI10+Inputs!$F$76*AI11+Inputs!$F$77*AI12+Inputs!$F$78*(AI13+(Inputs!$F$95/100*Inputs!$F$96/100)*Time!AI25/Inputs!$F$248)+Inputs!AI301/(Funding!$F$25*AI18)*(Inputs!$F$97/100*Time!AI24-Operations!AI9/100*Time!AI25/Inputs!$F$247),0)</f>
        <v/>
      </c>
      <c r="AJ127" s="16">
        <f>IF(Time!AJ53=1,Inputs!$F$75*AJ10+Inputs!$F$76*AJ11+Inputs!$F$77*AJ12+Inputs!$F$78*(AJ13+(Inputs!$F$95/100*Inputs!$F$96/100)*Time!AJ25/Inputs!$F$248)+Inputs!AJ301/(Funding!$F$25*AJ18)*(Inputs!$F$97/100*Time!AJ24-Operations!AJ9/100*Time!AJ25/Inputs!$F$247),0)</f>
        <v/>
      </c>
      <c r="AK127" s="16">
        <f>IF(Time!AK53=1,Inputs!$F$75*AK10+Inputs!$F$76*AK11+Inputs!$F$77*AK12+Inputs!$F$78*(AK13+(Inputs!$F$95/100*Inputs!$F$96/100)*Time!AK25/Inputs!$F$248)+Inputs!AK301/(Funding!$F$25*AK18)*(Inputs!$F$97/100*Time!AK24-Operations!AK9/100*Time!AK25/Inputs!$F$247),0)</f>
        <v/>
      </c>
      <c r="AL127" s="16">
        <f>IF(Time!AL53=1,Inputs!$F$75*AL10+Inputs!$F$76*AL11+Inputs!$F$77*AL12+Inputs!$F$78*(AL13+(Inputs!$F$95/100*Inputs!$F$96/100)*Time!AL25/Inputs!$F$248)+Inputs!AL301/(Funding!$F$25*AL18)*(Inputs!$F$97/100*Time!AL24-Operations!AL9/100*Time!AL25/Inputs!$F$247),0)</f>
        <v/>
      </c>
      <c r="AM127" s="16">
        <f>IF(Time!AM53=1,Inputs!$F$75*AM10+Inputs!$F$76*AM11+Inputs!$F$77*AM12+Inputs!$F$78*(AM13+(Inputs!$F$95/100*Inputs!$F$96/100)*Time!AM25/Inputs!$F$248)+Inputs!AM301/(Funding!$F$25*AM18)*(Inputs!$F$97/100*Time!AM24-Operations!AM9/100*Time!AM25/Inputs!$F$247),0)</f>
        <v/>
      </c>
      <c r="AN127" s="16">
        <f>IF(Time!AN53=1,Inputs!$F$75*AN10+Inputs!$F$76*AN11+Inputs!$F$77*AN12+Inputs!$F$78*(AN13+(Inputs!$F$95/100*Inputs!$F$96/100)*Time!AN25/Inputs!$F$248)+Inputs!AN301/(Funding!$F$25*AN18)*(Inputs!$F$97/100*Time!AN24-Operations!AN9/100*Time!AN25/Inputs!$F$247),0)</f>
        <v/>
      </c>
      <c r="AO127" s="16">
        <f>IF(Time!AO53=1,Inputs!$F$75*AO10+Inputs!$F$76*AO11+Inputs!$F$77*AO12+Inputs!$F$78*(AO13+(Inputs!$F$95/100*Inputs!$F$96/100)*Time!AO25/Inputs!$F$248)+Inputs!AO301/(Funding!$F$25*AO18)*(Inputs!$F$97/100*Time!AO24-Operations!AO9/100*Time!AO25/Inputs!$F$247),0)</f>
        <v/>
      </c>
      <c r="AP127" s="16">
        <f>IF(Time!AP53=1,Inputs!$F$75*AP10+Inputs!$F$76*AP11+Inputs!$F$77*AP12+Inputs!$F$78*(AP13+(Inputs!$F$95/100*Inputs!$F$96/100)*Time!AP25/Inputs!$F$248)+Inputs!AP301/(Funding!$F$25*AP18)*(Inputs!$F$97/100*Time!AP24-Operations!AP9/100*Time!AP25/Inputs!$F$247),0)</f>
        <v/>
      </c>
      <c r="AQ127" s="16">
        <f>IF(Time!AQ53=1,Inputs!$F$75*AQ10+Inputs!$F$76*AQ11+Inputs!$F$77*AQ12+Inputs!$F$78*(AQ13+(Inputs!$F$95/100*Inputs!$F$96/100)*Time!AQ25/Inputs!$F$248)+Inputs!AQ301/(Funding!$F$25*AQ18)*(Inputs!$F$97/100*Time!AQ24-Operations!AQ9/100*Time!AQ25/Inputs!$F$247),0)</f>
        <v/>
      </c>
      <c r="AR127" s="16">
        <f>IF(Time!AR53=1,Inputs!$F$75*AR10+Inputs!$F$76*AR11+Inputs!$F$77*AR12+Inputs!$F$78*(AR13+(Inputs!$F$95/100*Inputs!$F$96/100)*Time!AR25/Inputs!$F$248)+Inputs!AR301/(Funding!$F$25*AR18)*(Inputs!$F$97/100*Time!AR24-Operations!AR9/100*Time!AR25/Inputs!$F$247),0)</f>
        <v/>
      </c>
      <c r="AS127" s="16">
        <f>IF(Time!AS53=1,Inputs!$F$75*AS10+Inputs!$F$76*AS11+Inputs!$F$77*AS12+Inputs!$F$78*(AS13+(Inputs!$F$95/100*Inputs!$F$96/100)*Time!AS25/Inputs!$F$248)+Inputs!AS301/(Funding!$F$25*AS18)*(Inputs!$F$97/100*Time!AS24-Operations!AS9/100*Time!AS25/Inputs!$F$247),0)</f>
        <v/>
      </c>
      <c r="AT127" s="16">
        <f>IF(Time!AT53=1,Inputs!$F$75*AT10+Inputs!$F$76*AT11+Inputs!$F$77*AT12+Inputs!$F$78*(AT13+(Inputs!$F$95/100*Inputs!$F$96/100)*Time!AT25/Inputs!$F$248)+Inputs!AT301/(Funding!$F$25*AT18)*(Inputs!$F$97/100*Time!AT24-Operations!AT9/100*Time!AT25/Inputs!$F$247),0)</f>
        <v/>
      </c>
      <c r="AU127" s="16">
        <f>IF(Time!AU53=1,Inputs!$F$75*AU10+Inputs!$F$76*AU11+Inputs!$F$77*AU12+Inputs!$F$78*(AU13+(Inputs!$F$95/100*Inputs!$F$96/100)*Time!AU25/Inputs!$F$248)+Inputs!AU301/(Funding!$F$25*AU18)*(Inputs!$F$97/100*Time!AU24-Operations!AU9/100*Time!AU25/Inputs!$F$247),0)</f>
        <v/>
      </c>
      <c r="AV127" s="16">
        <f>IF(Time!AV53=1,Inputs!$F$75*AV10+Inputs!$F$76*AV11+Inputs!$F$77*AV12+Inputs!$F$78*(AV13+(Inputs!$F$95/100*Inputs!$F$96/100)*Time!AV25/Inputs!$F$248)+Inputs!AV301/(Funding!$F$25*AV18)*(Inputs!$F$97/100*Time!AV24-Operations!AV9/100*Time!AV25/Inputs!$F$247),0)</f>
        <v/>
      </c>
      <c r="AW127" s="16">
        <f>IF(Time!AW53=1,Inputs!$F$75*AW10+Inputs!$F$76*AW11+Inputs!$F$77*AW12+Inputs!$F$78*(AW13+(Inputs!$F$95/100*Inputs!$F$96/100)*Time!AW25/Inputs!$F$248)+Inputs!AW301/(Funding!$F$25*AW18)*(Inputs!$F$97/100*Time!AW24-Operations!AW9/100*Time!AW25/Inputs!$F$247),0)</f>
        <v/>
      </c>
      <c r="AX127" s="16">
        <f>IF(Time!AX53=1,Inputs!$F$75*AX10+Inputs!$F$76*AX11+Inputs!$F$77*AX12+Inputs!$F$78*(AX13+(Inputs!$F$95/100*Inputs!$F$96/100)*Time!AX25/Inputs!$F$248)+Inputs!AX301/(Funding!$F$25*AX18)*(Inputs!$F$97/100*Time!AX24-Operations!AX9/100*Time!AX25/Inputs!$F$247),0)</f>
        <v/>
      </c>
      <c r="AY127" s="16">
        <f>IF(Time!AY53=1,Inputs!$F$75*AY10+Inputs!$F$76*AY11+Inputs!$F$77*AY12+Inputs!$F$78*(AY13+(Inputs!$F$95/100*Inputs!$F$96/100)*Time!AY25/Inputs!$F$248)+Inputs!AY301/(Funding!$F$25*AY18)*(Inputs!$F$97/100*Time!AY24-Operations!AY9/100*Time!AY25/Inputs!$F$247),0)</f>
        <v/>
      </c>
      <c r="AZ127" s="16">
        <f>IF(Time!AZ53=1,Inputs!$F$75*AZ10+Inputs!$F$76*AZ11+Inputs!$F$77*AZ12+Inputs!$F$78*(AZ13+(Inputs!$F$95/100*Inputs!$F$96/100)*Time!AZ25/Inputs!$F$248)+Inputs!AZ301/(Funding!$F$25*AZ18)*(Inputs!$F$97/100*Time!AZ24-Operations!AZ9/100*Time!AZ25/Inputs!$F$247),0)</f>
        <v/>
      </c>
      <c r="BA127" s="16">
        <f>IF(Time!BA53=1,Inputs!$F$75*BA10+Inputs!$F$76*BA11+Inputs!$F$77*BA12+Inputs!$F$78*(BA13+(Inputs!$F$95/100*Inputs!$F$96/100)*Time!BA25/Inputs!$F$248)+Inputs!BA301/(Funding!$F$25*BA18)*(Inputs!$F$97/100*Time!BA24-Operations!BA9/100*Time!BA25/Inputs!$F$247),0)</f>
        <v/>
      </c>
      <c r="BB127" s="16">
        <f>IF(Time!BB53=1,Inputs!$F$75*BB10+Inputs!$F$76*BB11+Inputs!$F$77*BB12+Inputs!$F$78*(BB13+(Inputs!$F$95/100*Inputs!$F$96/100)*Time!BB25/Inputs!$F$248)+Inputs!BB301/(Funding!$F$25*BB18)*(Inputs!$F$97/100*Time!BB24-Operations!BB9/100*Time!BB25/Inputs!$F$247),0)</f>
        <v/>
      </c>
      <c r="BC127" s="16">
        <f>IF(Time!BC53=1,Inputs!$F$75*BC10+Inputs!$F$76*BC11+Inputs!$F$77*BC12+Inputs!$F$78*(BC13+(Inputs!$F$95/100*Inputs!$F$96/100)*Time!BC25/Inputs!$F$248)+Inputs!BC301/(Funding!$F$25*BC18)*(Inputs!$F$97/100*Time!BC24-Operations!BC9/100*Time!BC25/Inputs!$F$247),0)</f>
        <v/>
      </c>
      <c r="BD127" s="16">
        <f>IF(Time!BD53=1,Inputs!$F$75*BD10+Inputs!$F$76*BD11+Inputs!$F$77*BD12+Inputs!$F$78*(BD13+(Inputs!$F$95/100*Inputs!$F$96/100)*Time!BD25/Inputs!$F$248)+Inputs!BD301/(Funding!$F$25*BD18)*(Inputs!$F$97/100*Time!BD24-Operations!BD9/100*Time!BD25/Inputs!$F$247),0)</f>
        <v/>
      </c>
      <c r="BE127" s="16">
        <f>IF(Time!BE53=1,Inputs!$F$75*BE10+Inputs!$F$76*BE11+Inputs!$F$77*BE12+Inputs!$F$78*(BE13+(Inputs!$F$95/100*Inputs!$F$96/100)*Time!BE25/Inputs!$F$248)+Inputs!BE301/(Funding!$F$25*BE18)*(Inputs!$F$97/100*Time!BE24-Operations!BE9/100*Time!BE25/Inputs!$F$247),0)</f>
        <v/>
      </c>
      <c r="BF127" s="16">
        <f>IF(Time!BF53=1,Inputs!$F$75*BF10+Inputs!$F$76*BF11+Inputs!$F$77*BF12+Inputs!$F$78*(BF13+(Inputs!$F$95/100*Inputs!$F$96/100)*Time!BF25/Inputs!$F$248)+Inputs!BF301/(Funding!$F$25*BF18)*(Inputs!$F$97/100*Time!BF24-Operations!BF9/100*Time!BF25/Inputs!$F$247),0)</f>
        <v/>
      </c>
      <c r="BG127" s="16">
        <f>IF(Time!BG53=1,Inputs!$F$75*BG10+Inputs!$F$76*BG11+Inputs!$F$77*BG12+Inputs!$F$78*(BG13+(Inputs!$F$95/100*Inputs!$F$96/100)*Time!BG25/Inputs!$F$248)+Inputs!BG301/(Funding!$F$25*BG18)*(Inputs!$F$97/100*Time!BG24-Operations!BG9/100*Time!BG25/Inputs!$F$247),0)</f>
        <v/>
      </c>
      <c r="BH127" s="16">
        <f>IF(Time!BH53=1,Inputs!$F$75*BH10+Inputs!$F$76*BH11+Inputs!$F$77*BH12+Inputs!$F$78*(BH13+(Inputs!$F$95/100*Inputs!$F$96/100)*Time!BH25/Inputs!$F$248)+Inputs!BH301/(Funding!$F$25*BH18)*(Inputs!$F$97/100*Time!BH24-Operations!BH9/100*Time!BH25/Inputs!$F$247),0)</f>
        <v/>
      </c>
      <c r="BI127" s="16">
        <f>IF(Time!BI53=1,Inputs!$F$75*BI10+Inputs!$F$76*BI11+Inputs!$F$77*BI12+Inputs!$F$78*(BI13+(Inputs!$F$95/100*Inputs!$F$96/100)*Time!BI25/Inputs!$F$248)+Inputs!BI301/(Funding!$F$25*BI18)*(Inputs!$F$97/100*Time!BI24-Operations!BI9/100*Time!BI25/Inputs!$F$247),0)</f>
        <v/>
      </c>
      <c r="BJ127" s="16">
        <f>IF(Time!BJ53=1,Inputs!$F$75*BJ10+Inputs!$F$76*BJ11+Inputs!$F$77*BJ12+Inputs!$F$78*(BJ13+(Inputs!$F$95/100*Inputs!$F$96/100)*Time!BJ25/Inputs!$F$248)+Inputs!BJ301/(Funding!$F$25*BJ18)*(Inputs!$F$97/100*Time!BJ24-Operations!BJ9/100*Time!BJ25/Inputs!$F$247),0)</f>
        <v/>
      </c>
      <c r="BK127" s="16">
        <f>IF(Time!BK53=1,Inputs!$F$75*BK10+Inputs!$F$76*BK11+Inputs!$F$77*BK12+Inputs!$F$78*(BK13+(Inputs!$F$95/100*Inputs!$F$96/100)*Time!BK25/Inputs!$F$248)+Inputs!BK301/(Funding!$F$25*BK18)*(Inputs!$F$97/100*Time!BK24-Operations!BK9/100*Time!BK25/Inputs!$F$247),0)</f>
        <v/>
      </c>
      <c r="BL127" s="16">
        <f>IF(Time!BL53=1,Inputs!$F$75*BL10+Inputs!$F$76*BL11+Inputs!$F$77*BL12+Inputs!$F$78*(BL13+(Inputs!$F$95/100*Inputs!$F$96/100)*Time!BL25/Inputs!$F$248)+Inputs!BL301/(Funding!$F$25*BL18)*(Inputs!$F$97/100*Time!BL24-Operations!BL9/100*Time!BL25/Inputs!$F$247),0)</f>
        <v/>
      </c>
      <c r="BM127" s="16">
        <f>IF(Time!BM53=1,Inputs!$F$75*BM10+Inputs!$F$76*BM11+Inputs!$F$77*BM12+Inputs!$F$78*(BM13+(Inputs!$F$95/100*Inputs!$F$96/100)*Time!BM25/Inputs!$F$248)+Inputs!BM301/(Funding!$F$25*BM18)*(Inputs!$F$97/100*Time!BM24-Operations!BM9/100*Time!BM25/Inputs!$F$247),0)</f>
        <v/>
      </c>
      <c r="BN127" s="16">
        <f>IF(Time!BN53=1,Inputs!$F$75*BN10+Inputs!$F$76*BN11+Inputs!$F$77*BN12+Inputs!$F$78*(BN13+(Inputs!$F$95/100*Inputs!$F$96/100)*Time!BN25/Inputs!$F$248)+Inputs!BN301/(Funding!$F$25*BN18)*(Inputs!$F$97/100*Time!BN24-Operations!BN9/100*Time!BN25/Inputs!$F$247),0)</f>
        <v/>
      </c>
    </row>
    <row r="128">
      <c r="D128" t="inlineStr">
        <is>
          <t>PV of CFADS to final maturity at the sculpting rate</t>
        </is>
      </c>
      <c r="E128" t="inlineStr">
        <is>
          <t>USD m</t>
        </is>
      </c>
      <c r="J128" s="13">
        <f>IF(Time!J53=1,(Waterfall!J7+K128)/(1+J127),0)</f>
        <v/>
      </c>
      <c r="K128" s="13">
        <f>IF(Time!K53=1,(Waterfall!K7+L128)/(1+K127),0)</f>
        <v/>
      </c>
      <c r="L128" s="13">
        <f>IF(Time!L53=1,(Waterfall!L7+M128)/(1+L127),0)</f>
        <v/>
      </c>
      <c r="M128" s="13">
        <f>IF(Time!M53=1,(Waterfall!M7+N128)/(1+M127),0)</f>
        <v/>
      </c>
      <c r="N128" s="13">
        <f>IF(Time!N53=1,(Waterfall!N7+O128)/(1+N127),0)</f>
        <v/>
      </c>
      <c r="O128" s="13">
        <f>IF(Time!O53=1,(Waterfall!O7+P128)/(1+O127),0)</f>
        <v/>
      </c>
      <c r="P128" s="13">
        <f>IF(Time!P53=1,(Waterfall!P7+Q128)/(1+P127),0)</f>
        <v/>
      </c>
      <c r="Q128" s="13">
        <f>IF(Time!Q53=1,(Waterfall!Q7+R128)/(1+Q127),0)</f>
        <v/>
      </c>
      <c r="R128" s="13">
        <f>IF(Time!R53=1,(Waterfall!R7+S128)/(1+R127),0)</f>
        <v/>
      </c>
      <c r="S128" s="13">
        <f>IF(Time!S53=1,(Waterfall!S7+T128)/(1+S127),0)</f>
        <v/>
      </c>
      <c r="T128" s="13">
        <f>IF(Time!T53=1,(Waterfall!T7+U128)/(1+T127),0)</f>
        <v/>
      </c>
      <c r="U128" s="13">
        <f>IF(Time!U53=1,(Waterfall!U7+V128)/(1+U127),0)</f>
        <v/>
      </c>
      <c r="V128" s="13">
        <f>IF(Time!V53=1,(Waterfall!V7+W128)/(1+V127),0)</f>
        <v/>
      </c>
      <c r="W128" s="13">
        <f>IF(Time!W53=1,(Waterfall!W7+X128)/(1+W127),0)</f>
        <v/>
      </c>
      <c r="X128" s="13">
        <f>IF(Time!X53=1,(Waterfall!X7+Y128)/(1+X127),0)</f>
        <v/>
      </c>
      <c r="Y128" s="13">
        <f>IF(Time!Y53=1,(Waterfall!Y7+Z128)/(1+Y127),0)</f>
        <v/>
      </c>
      <c r="Z128" s="13">
        <f>IF(Time!Z53=1,(Waterfall!Z7+AA128)/(1+Z127),0)</f>
        <v/>
      </c>
      <c r="AA128" s="13">
        <f>IF(Time!AA53=1,(Waterfall!AA7+AB128)/(1+AA127),0)</f>
        <v/>
      </c>
      <c r="AB128" s="13">
        <f>IF(Time!AB53=1,(Waterfall!AB7+AC128)/(1+AB127),0)</f>
        <v/>
      </c>
      <c r="AC128" s="13">
        <f>IF(Time!AC53=1,(Waterfall!AC7+AD128)/(1+AC127),0)</f>
        <v/>
      </c>
      <c r="AD128" s="13">
        <f>IF(Time!AD53=1,(Waterfall!AD7+AE128)/(1+AD127),0)</f>
        <v/>
      </c>
      <c r="AE128" s="13">
        <f>IF(Time!AE53=1,(Waterfall!AE7+AF128)/(1+AE127),0)</f>
        <v/>
      </c>
      <c r="AF128" s="13">
        <f>IF(Time!AF53=1,(Waterfall!AF7+AG128)/(1+AF127),0)</f>
        <v/>
      </c>
      <c r="AG128" s="13">
        <f>IF(Time!AG53=1,(Waterfall!AG7+AH128)/(1+AG127),0)</f>
        <v/>
      </c>
      <c r="AH128" s="13">
        <f>IF(Time!AH53=1,(Waterfall!AH7+AI128)/(1+AH127),0)</f>
        <v/>
      </c>
      <c r="AI128" s="13">
        <f>IF(Time!AI53=1,(Waterfall!AI7+AJ128)/(1+AI127),0)</f>
        <v/>
      </c>
      <c r="AJ128" s="13">
        <f>IF(Time!AJ53=1,(Waterfall!AJ7+AK128)/(1+AJ127),0)</f>
        <v/>
      </c>
      <c r="AK128" s="13">
        <f>IF(Time!AK53=1,(Waterfall!AK7+AL128)/(1+AK127),0)</f>
        <v/>
      </c>
      <c r="AL128" s="13">
        <f>IF(Time!AL53=1,(Waterfall!AL7+AM128)/(1+AL127),0)</f>
        <v/>
      </c>
      <c r="AM128" s="13">
        <f>IF(Time!AM53=1,(Waterfall!AM7+AN128)/(1+AM127),0)</f>
        <v/>
      </c>
      <c r="AN128" s="13">
        <f>IF(Time!AN53=1,(Waterfall!AN7+AO128)/(1+AN127),0)</f>
        <v/>
      </c>
      <c r="AO128" s="13">
        <f>IF(Time!AO53=1,(Waterfall!AO7+AP128)/(1+AO127),0)</f>
        <v/>
      </c>
      <c r="AP128" s="13">
        <f>IF(Time!AP53=1,(Waterfall!AP7+AQ128)/(1+AP127),0)</f>
        <v/>
      </c>
      <c r="AQ128" s="13">
        <f>IF(Time!AQ53=1,(Waterfall!AQ7+AR128)/(1+AQ127),0)</f>
        <v/>
      </c>
      <c r="AR128" s="13">
        <f>IF(Time!AR53=1,(Waterfall!AR7+AS128)/(1+AR127),0)</f>
        <v/>
      </c>
      <c r="AS128" s="13">
        <f>IF(Time!AS53=1,(Waterfall!AS7+AT128)/(1+AS127),0)</f>
        <v/>
      </c>
      <c r="AT128" s="13">
        <f>IF(Time!AT53=1,(Waterfall!AT7+AU128)/(1+AT127),0)</f>
        <v/>
      </c>
      <c r="AU128" s="13">
        <f>IF(Time!AU53=1,(Waterfall!AU7+AV128)/(1+AU127),0)</f>
        <v/>
      </c>
      <c r="AV128" s="13">
        <f>IF(Time!AV53=1,(Waterfall!AV7+AW128)/(1+AV127),0)</f>
        <v/>
      </c>
      <c r="AW128" s="13">
        <f>IF(Time!AW53=1,(Waterfall!AW7+AX128)/(1+AW127),0)</f>
        <v/>
      </c>
      <c r="AX128" s="13">
        <f>IF(Time!AX53=1,(Waterfall!AX7+AY128)/(1+AX127),0)</f>
        <v/>
      </c>
      <c r="AY128" s="13">
        <f>IF(Time!AY53=1,(Waterfall!AY7+AZ128)/(1+AY127),0)</f>
        <v/>
      </c>
      <c r="AZ128" s="13">
        <f>IF(Time!AZ53=1,(Waterfall!AZ7+BA128)/(1+AZ127),0)</f>
        <v/>
      </c>
      <c r="BA128" s="13">
        <f>IF(Time!BA53=1,(Waterfall!BA7+BB128)/(1+BA127),0)</f>
        <v/>
      </c>
      <c r="BB128" s="13">
        <f>IF(Time!BB53=1,(Waterfall!BB7+BC128)/(1+BB127),0)</f>
        <v/>
      </c>
      <c r="BC128" s="13">
        <f>IF(Time!BC53=1,(Waterfall!BC7+BD128)/(1+BC127),0)</f>
        <v/>
      </c>
      <c r="BD128" s="13">
        <f>IF(Time!BD53=1,(Waterfall!BD7+BE128)/(1+BD127),0)</f>
        <v/>
      </c>
      <c r="BE128" s="13">
        <f>IF(Time!BE53=1,(Waterfall!BE7+BF128)/(1+BE127),0)</f>
        <v/>
      </c>
      <c r="BF128" s="13">
        <f>IF(Time!BF53=1,(Waterfall!BF7+BG128)/(1+BF127),0)</f>
        <v/>
      </c>
      <c r="BG128" s="13">
        <f>IF(Time!BG53=1,(Waterfall!BG7+BH128)/(1+BG127),0)</f>
        <v/>
      </c>
      <c r="BH128" s="13">
        <f>IF(Time!BH53=1,(Waterfall!BH7+BI128)/(1+BH127),0)</f>
        <v/>
      </c>
      <c r="BI128" s="13">
        <f>IF(Time!BI53=1,(Waterfall!BI7+BJ128)/(1+BI127),0)</f>
        <v/>
      </c>
      <c r="BJ128" s="13">
        <f>IF(Time!BJ53=1,(Waterfall!BJ7+BK128)/(1+BJ127),0)</f>
        <v/>
      </c>
      <c r="BK128" s="13">
        <f>IF(Time!BK53=1,(Waterfall!BK7+BL128)/(1+BK127),0)</f>
        <v/>
      </c>
      <c r="BL128" s="13">
        <f>IF(Time!BL53=1,(Waterfall!BL7+BM128)/(1+BL127),0)</f>
        <v/>
      </c>
      <c r="BM128" s="13">
        <f>IF(Time!BM53=1,(Waterfall!BM7+BN128)/(1+BM127),0)</f>
        <v/>
      </c>
      <c r="BN128" s="13">
        <f>IF(Time!BN53=1,(Waterfall!BN7+BO128)/(1+BN127),0)</f>
        <v/>
      </c>
    </row>
    <row r="129">
      <c r="D129" t="inlineStr">
        <is>
          <t>Sculpted DSCR = PV(CFADS) / debt</t>
        </is>
      </c>
      <c r="E129" t="inlineStr">
        <is>
          <t>x</t>
        </is>
      </c>
      <c r="F129" s="11">
        <f>INDEX($J$128:$BN$128,1,Time!$F$13)/Funding!$F$25</f>
        <v/>
      </c>
    </row>
    <row r="130">
      <c r="D130" t="inlineStr">
        <is>
          <t>Debt capacity at the target DSCR</t>
        </is>
      </c>
      <c r="E130" t="inlineStr">
        <is>
          <t>USD m</t>
        </is>
      </c>
      <c r="F130" s="17">
        <f>INDEX($J$128:$BN$128,1,Time!$F$13)/Inputs!$F$106</f>
        <v/>
      </c>
    </row>
    <row r="131">
      <c r="D131" t="inlineStr">
        <is>
          <t>Debt at the gearing cap (closed form)</t>
        </is>
      </c>
      <c r="E131" t="inlineStr">
        <is>
          <t>USD m</t>
        </is>
      </c>
      <c r="F131" s="17">
        <f>Inputs!$F$105*Funding!$F$24</f>
        <v/>
      </c>
    </row>
    <row r="132">
      <c r="D132" t="inlineStr">
        <is>
          <t>Sculpted debt service</t>
        </is>
      </c>
      <c r="E132" t="inlineStr">
        <is>
          <t>USD m</t>
        </is>
      </c>
      <c r="J132" s="13">
        <f>IF(Time!J53=1,(Waterfall!J7)/$F$129,0)</f>
        <v/>
      </c>
      <c r="K132" s="13">
        <f>IF(Time!K53=1,(Waterfall!K7)/$F$129,0)</f>
        <v/>
      </c>
      <c r="L132" s="13">
        <f>IF(Time!L53=1,(Waterfall!L7)/$F$129,0)</f>
        <v/>
      </c>
      <c r="M132" s="13">
        <f>IF(Time!M53=1,(Waterfall!M7)/$F$129,0)</f>
        <v/>
      </c>
      <c r="N132" s="13">
        <f>IF(Time!N53=1,(Waterfall!N7)/$F$129,0)</f>
        <v/>
      </c>
      <c r="O132" s="13">
        <f>IF(Time!O53=1,(Waterfall!O7)/$F$129,0)</f>
        <v/>
      </c>
      <c r="P132" s="13">
        <f>IF(Time!P53=1,(Waterfall!P7)/$F$129,0)</f>
        <v/>
      </c>
      <c r="Q132" s="13">
        <f>IF(Time!Q53=1,(Waterfall!Q7)/$F$129,0)</f>
        <v/>
      </c>
      <c r="R132" s="13">
        <f>IF(Time!R53=1,(Waterfall!R7)/$F$129,0)</f>
        <v/>
      </c>
      <c r="S132" s="13">
        <f>IF(Time!S53=1,(Waterfall!S7)/$F$129,0)</f>
        <v/>
      </c>
      <c r="T132" s="13">
        <f>IF(Time!T53=1,(Waterfall!T7)/$F$129,0)</f>
        <v/>
      </c>
      <c r="U132" s="13">
        <f>IF(Time!U53=1,(Waterfall!U7)/$F$129,0)</f>
        <v/>
      </c>
      <c r="V132" s="13">
        <f>IF(Time!V53=1,(Waterfall!V7)/$F$129,0)</f>
        <v/>
      </c>
      <c r="W132" s="13">
        <f>IF(Time!W53=1,(Waterfall!W7)/$F$129,0)</f>
        <v/>
      </c>
      <c r="X132" s="13">
        <f>IF(Time!X53=1,(Waterfall!X7)/$F$129,0)</f>
        <v/>
      </c>
      <c r="Y132" s="13">
        <f>IF(Time!Y53=1,(Waterfall!Y7)/$F$129,0)</f>
        <v/>
      </c>
      <c r="Z132" s="13">
        <f>IF(Time!Z53=1,(Waterfall!Z7)/$F$129,0)</f>
        <v/>
      </c>
      <c r="AA132" s="13">
        <f>IF(Time!AA53=1,(Waterfall!AA7)/$F$129,0)</f>
        <v/>
      </c>
      <c r="AB132" s="13">
        <f>IF(Time!AB53=1,(Waterfall!AB7)/$F$129,0)</f>
        <v/>
      </c>
      <c r="AC132" s="13">
        <f>IF(Time!AC53=1,(Waterfall!AC7)/$F$129,0)</f>
        <v/>
      </c>
      <c r="AD132" s="13">
        <f>IF(Time!AD53=1,(Waterfall!AD7)/$F$129,0)</f>
        <v/>
      </c>
      <c r="AE132" s="13">
        <f>IF(Time!AE53=1,(Waterfall!AE7)/$F$129,0)</f>
        <v/>
      </c>
      <c r="AF132" s="13">
        <f>IF(Time!AF53=1,(Waterfall!AF7)/$F$129,0)</f>
        <v/>
      </c>
      <c r="AG132" s="13">
        <f>IF(Time!AG53=1,(Waterfall!AG7)/$F$129,0)</f>
        <v/>
      </c>
      <c r="AH132" s="13">
        <f>IF(Time!AH53=1,(Waterfall!AH7)/$F$129,0)</f>
        <v/>
      </c>
      <c r="AI132" s="13">
        <f>IF(Time!AI53=1,(Waterfall!AI7)/$F$129,0)</f>
        <v/>
      </c>
      <c r="AJ132" s="13">
        <f>IF(Time!AJ53=1,(Waterfall!AJ7)/$F$129,0)</f>
        <v/>
      </c>
      <c r="AK132" s="13">
        <f>IF(Time!AK53=1,(Waterfall!AK7)/$F$129,0)</f>
        <v/>
      </c>
      <c r="AL132" s="13">
        <f>IF(Time!AL53=1,(Waterfall!AL7)/$F$129,0)</f>
        <v/>
      </c>
      <c r="AM132" s="13">
        <f>IF(Time!AM53=1,(Waterfall!AM7)/$F$129,0)</f>
        <v/>
      </c>
      <c r="AN132" s="13">
        <f>IF(Time!AN53=1,(Waterfall!AN7)/$F$129,0)</f>
        <v/>
      </c>
      <c r="AO132" s="13">
        <f>IF(Time!AO53=1,(Waterfall!AO7)/$F$129,0)</f>
        <v/>
      </c>
      <c r="AP132" s="13">
        <f>IF(Time!AP53=1,(Waterfall!AP7)/$F$129,0)</f>
        <v/>
      </c>
      <c r="AQ132" s="13">
        <f>IF(Time!AQ53=1,(Waterfall!AQ7)/$F$129,0)</f>
        <v/>
      </c>
      <c r="AR132" s="13">
        <f>IF(Time!AR53=1,(Waterfall!AR7)/$F$129,0)</f>
        <v/>
      </c>
      <c r="AS132" s="13">
        <f>IF(Time!AS53=1,(Waterfall!AS7)/$F$129,0)</f>
        <v/>
      </c>
      <c r="AT132" s="13">
        <f>IF(Time!AT53=1,(Waterfall!AT7)/$F$129,0)</f>
        <v/>
      </c>
      <c r="AU132" s="13">
        <f>IF(Time!AU53=1,(Waterfall!AU7)/$F$129,0)</f>
        <v/>
      </c>
      <c r="AV132" s="13">
        <f>IF(Time!AV53=1,(Waterfall!AV7)/$F$129,0)</f>
        <v/>
      </c>
      <c r="AW132" s="13">
        <f>IF(Time!AW53=1,(Waterfall!AW7)/$F$129,0)</f>
        <v/>
      </c>
      <c r="AX132" s="13">
        <f>IF(Time!AX53=1,(Waterfall!AX7)/$F$129,0)</f>
        <v/>
      </c>
      <c r="AY132" s="13">
        <f>IF(Time!AY53=1,(Waterfall!AY7)/$F$129,0)</f>
        <v/>
      </c>
      <c r="AZ132" s="13">
        <f>IF(Time!AZ53=1,(Waterfall!AZ7)/$F$129,0)</f>
        <v/>
      </c>
      <c r="BA132" s="13">
        <f>IF(Time!BA53=1,(Waterfall!BA7)/$F$129,0)</f>
        <v/>
      </c>
      <c r="BB132" s="13">
        <f>IF(Time!BB53=1,(Waterfall!BB7)/$F$129,0)</f>
        <v/>
      </c>
      <c r="BC132" s="13">
        <f>IF(Time!BC53=1,(Waterfall!BC7)/$F$129,0)</f>
        <v/>
      </c>
      <c r="BD132" s="13">
        <f>IF(Time!BD53=1,(Waterfall!BD7)/$F$129,0)</f>
        <v/>
      </c>
      <c r="BE132" s="13">
        <f>IF(Time!BE53=1,(Waterfall!BE7)/$F$129,0)</f>
        <v/>
      </c>
      <c r="BF132" s="13">
        <f>IF(Time!BF53=1,(Waterfall!BF7)/$F$129,0)</f>
        <v/>
      </c>
      <c r="BG132" s="13">
        <f>IF(Time!BG53=1,(Waterfall!BG7)/$F$129,0)</f>
        <v/>
      </c>
      <c r="BH132" s="13">
        <f>IF(Time!BH53=1,(Waterfall!BH7)/$F$129,0)</f>
        <v/>
      </c>
      <c r="BI132" s="13">
        <f>IF(Time!BI53=1,(Waterfall!BI7)/$F$129,0)</f>
        <v/>
      </c>
      <c r="BJ132" s="13">
        <f>IF(Time!BJ53=1,(Waterfall!BJ7)/$F$129,0)</f>
        <v/>
      </c>
      <c r="BK132" s="13">
        <f>IF(Time!BK53=1,(Waterfall!BK7)/$F$129,0)</f>
        <v/>
      </c>
      <c r="BL132" s="13">
        <f>IF(Time!BL53=1,(Waterfall!BL7)/$F$129,0)</f>
        <v/>
      </c>
      <c r="BM132" s="13">
        <f>IF(Time!BM53=1,(Waterfall!BM7)/$F$129,0)</f>
        <v/>
      </c>
      <c r="BN132" s="13">
        <f>IF(Time!BN53=1,(Waterfall!BN7)/$F$129,0)</f>
        <v/>
      </c>
    </row>
    <row r="133">
      <c r="D133" t="inlineStr">
        <is>
          <t>Sculpted balance, opening</t>
        </is>
      </c>
      <c r="E133" t="inlineStr">
        <is>
          <t>USD m</t>
        </is>
      </c>
      <c r="J133" s="13">
        <f>IF(Time!J53=1,IF(Time!J20=Time!$F$13,Funding!$F$25,I133-I134),0)</f>
        <v/>
      </c>
      <c r="K133" s="13">
        <f>IF(Time!K53=1,IF(Time!K20=Time!$F$13,Funding!$F$25,J133-J134),0)</f>
        <v/>
      </c>
      <c r="L133" s="13">
        <f>IF(Time!L53=1,IF(Time!L20=Time!$F$13,Funding!$F$25,K133-K134),0)</f>
        <v/>
      </c>
      <c r="M133" s="13">
        <f>IF(Time!M53=1,IF(Time!M20=Time!$F$13,Funding!$F$25,L133-L134),0)</f>
        <v/>
      </c>
      <c r="N133" s="13">
        <f>IF(Time!N53=1,IF(Time!N20=Time!$F$13,Funding!$F$25,M133-M134),0)</f>
        <v/>
      </c>
      <c r="O133" s="13">
        <f>IF(Time!O53=1,IF(Time!O20=Time!$F$13,Funding!$F$25,N133-N134),0)</f>
        <v/>
      </c>
      <c r="P133" s="13">
        <f>IF(Time!P53=1,IF(Time!P20=Time!$F$13,Funding!$F$25,O133-O134),0)</f>
        <v/>
      </c>
      <c r="Q133" s="13">
        <f>IF(Time!Q53=1,IF(Time!Q20=Time!$F$13,Funding!$F$25,P133-P134),0)</f>
        <v/>
      </c>
      <c r="R133" s="13">
        <f>IF(Time!R53=1,IF(Time!R20=Time!$F$13,Funding!$F$25,Q133-Q134),0)</f>
        <v/>
      </c>
      <c r="S133" s="13">
        <f>IF(Time!S53=1,IF(Time!S20=Time!$F$13,Funding!$F$25,R133-R134),0)</f>
        <v/>
      </c>
      <c r="T133" s="13">
        <f>IF(Time!T53=1,IF(Time!T20=Time!$F$13,Funding!$F$25,S133-S134),0)</f>
        <v/>
      </c>
      <c r="U133" s="13">
        <f>IF(Time!U53=1,IF(Time!U20=Time!$F$13,Funding!$F$25,T133-T134),0)</f>
        <v/>
      </c>
      <c r="V133" s="13">
        <f>IF(Time!V53=1,IF(Time!V20=Time!$F$13,Funding!$F$25,U133-U134),0)</f>
        <v/>
      </c>
      <c r="W133" s="13">
        <f>IF(Time!W53=1,IF(Time!W20=Time!$F$13,Funding!$F$25,V133-V134),0)</f>
        <v/>
      </c>
      <c r="X133" s="13">
        <f>IF(Time!X53=1,IF(Time!X20=Time!$F$13,Funding!$F$25,W133-W134),0)</f>
        <v/>
      </c>
      <c r="Y133" s="13">
        <f>IF(Time!Y53=1,IF(Time!Y20=Time!$F$13,Funding!$F$25,X133-X134),0)</f>
        <v/>
      </c>
      <c r="Z133" s="13">
        <f>IF(Time!Z53=1,IF(Time!Z20=Time!$F$13,Funding!$F$25,Y133-Y134),0)</f>
        <v/>
      </c>
      <c r="AA133" s="13">
        <f>IF(Time!AA53=1,IF(Time!AA20=Time!$F$13,Funding!$F$25,Z133-Z134),0)</f>
        <v/>
      </c>
      <c r="AB133" s="13">
        <f>IF(Time!AB53=1,IF(Time!AB20=Time!$F$13,Funding!$F$25,AA133-AA134),0)</f>
        <v/>
      </c>
      <c r="AC133" s="13">
        <f>IF(Time!AC53=1,IF(Time!AC20=Time!$F$13,Funding!$F$25,AB133-AB134),0)</f>
        <v/>
      </c>
      <c r="AD133" s="13">
        <f>IF(Time!AD53=1,IF(Time!AD20=Time!$F$13,Funding!$F$25,AC133-AC134),0)</f>
        <v/>
      </c>
      <c r="AE133" s="13">
        <f>IF(Time!AE53=1,IF(Time!AE20=Time!$F$13,Funding!$F$25,AD133-AD134),0)</f>
        <v/>
      </c>
      <c r="AF133" s="13">
        <f>IF(Time!AF53=1,IF(Time!AF20=Time!$F$13,Funding!$F$25,AE133-AE134),0)</f>
        <v/>
      </c>
      <c r="AG133" s="13">
        <f>IF(Time!AG53=1,IF(Time!AG20=Time!$F$13,Funding!$F$25,AF133-AF134),0)</f>
        <v/>
      </c>
      <c r="AH133" s="13">
        <f>IF(Time!AH53=1,IF(Time!AH20=Time!$F$13,Funding!$F$25,AG133-AG134),0)</f>
        <v/>
      </c>
      <c r="AI133" s="13">
        <f>IF(Time!AI53=1,IF(Time!AI20=Time!$F$13,Funding!$F$25,AH133-AH134),0)</f>
        <v/>
      </c>
      <c r="AJ133" s="13">
        <f>IF(Time!AJ53=1,IF(Time!AJ20=Time!$F$13,Funding!$F$25,AI133-AI134),0)</f>
        <v/>
      </c>
      <c r="AK133" s="13">
        <f>IF(Time!AK53=1,IF(Time!AK20=Time!$F$13,Funding!$F$25,AJ133-AJ134),0)</f>
        <v/>
      </c>
      <c r="AL133" s="13">
        <f>IF(Time!AL53=1,IF(Time!AL20=Time!$F$13,Funding!$F$25,AK133-AK134),0)</f>
        <v/>
      </c>
      <c r="AM133" s="13">
        <f>IF(Time!AM53=1,IF(Time!AM20=Time!$F$13,Funding!$F$25,AL133-AL134),0)</f>
        <v/>
      </c>
      <c r="AN133" s="13">
        <f>IF(Time!AN53=1,IF(Time!AN20=Time!$F$13,Funding!$F$25,AM133-AM134),0)</f>
        <v/>
      </c>
      <c r="AO133" s="13">
        <f>IF(Time!AO53=1,IF(Time!AO20=Time!$F$13,Funding!$F$25,AN133-AN134),0)</f>
        <v/>
      </c>
      <c r="AP133" s="13">
        <f>IF(Time!AP53=1,IF(Time!AP20=Time!$F$13,Funding!$F$25,AO133-AO134),0)</f>
        <v/>
      </c>
      <c r="AQ133" s="13">
        <f>IF(Time!AQ53=1,IF(Time!AQ20=Time!$F$13,Funding!$F$25,AP133-AP134),0)</f>
        <v/>
      </c>
      <c r="AR133" s="13">
        <f>IF(Time!AR53=1,IF(Time!AR20=Time!$F$13,Funding!$F$25,AQ133-AQ134),0)</f>
        <v/>
      </c>
      <c r="AS133" s="13">
        <f>IF(Time!AS53=1,IF(Time!AS20=Time!$F$13,Funding!$F$25,AR133-AR134),0)</f>
        <v/>
      </c>
      <c r="AT133" s="13">
        <f>IF(Time!AT53=1,IF(Time!AT20=Time!$F$13,Funding!$F$25,AS133-AS134),0)</f>
        <v/>
      </c>
      <c r="AU133" s="13">
        <f>IF(Time!AU53=1,IF(Time!AU20=Time!$F$13,Funding!$F$25,AT133-AT134),0)</f>
        <v/>
      </c>
      <c r="AV133" s="13">
        <f>IF(Time!AV53=1,IF(Time!AV20=Time!$F$13,Funding!$F$25,AU133-AU134),0)</f>
        <v/>
      </c>
      <c r="AW133" s="13">
        <f>IF(Time!AW53=1,IF(Time!AW20=Time!$F$13,Funding!$F$25,AV133-AV134),0)</f>
        <v/>
      </c>
      <c r="AX133" s="13">
        <f>IF(Time!AX53=1,IF(Time!AX20=Time!$F$13,Funding!$F$25,AW133-AW134),0)</f>
        <v/>
      </c>
      <c r="AY133" s="13">
        <f>IF(Time!AY53=1,IF(Time!AY20=Time!$F$13,Funding!$F$25,AX133-AX134),0)</f>
        <v/>
      </c>
      <c r="AZ133" s="13">
        <f>IF(Time!AZ53=1,IF(Time!AZ20=Time!$F$13,Funding!$F$25,AY133-AY134),0)</f>
        <v/>
      </c>
      <c r="BA133" s="13">
        <f>IF(Time!BA53=1,IF(Time!BA20=Time!$F$13,Funding!$F$25,AZ133-AZ134),0)</f>
        <v/>
      </c>
      <c r="BB133" s="13">
        <f>IF(Time!BB53=1,IF(Time!BB20=Time!$F$13,Funding!$F$25,BA133-BA134),0)</f>
        <v/>
      </c>
      <c r="BC133" s="13">
        <f>IF(Time!BC53=1,IF(Time!BC20=Time!$F$13,Funding!$F$25,BB133-BB134),0)</f>
        <v/>
      </c>
      <c r="BD133" s="13">
        <f>IF(Time!BD53=1,IF(Time!BD20=Time!$F$13,Funding!$F$25,BC133-BC134),0)</f>
        <v/>
      </c>
      <c r="BE133" s="13">
        <f>IF(Time!BE53=1,IF(Time!BE20=Time!$F$13,Funding!$F$25,BD133-BD134),0)</f>
        <v/>
      </c>
      <c r="BF133" s="13">
        <f>IF(Time!BF53=1,IF(Time!BF20=Time!$F$13,Funding!$F$25,BE133-BE134),0)</f>
        <v/>
      </c>
      <c r="BG133" s="13">
        <f>IF(Time!BG53=1,IF(Time!BG20=Time!$F$13,Funding!$F$25,BF133-BF134),0)</f>
        <v/>
      </c>
      <c r="BH133" s="13">
        <f>IF(Time!BH53=1,IF(Time!BH20=Time!$F$13,Funding!$F$25,BG133-BG134),0)</f>
        <v/>
      </c>
      <c r="BI133" s="13">
        <f>IF(Time!BI53=1,IF(Time!BI20=Time!$F$13,Funding!$F$25,BH133-BH134),0)</f>
        <v/>
      </c>
      <c r="BJ133" s="13">
        <f>IF(Time!BJ53=1,IF(Time!BJ20=Time!$F$13,Funding!$F$25,BI133-BI134),0)</f>
        <v/>
      </c>
      <c r="BK133" s="13">
        <f>IF(Time!BK53=1,IF(Time!BK20=Time!$F$13,Funding!$F$25,BJ133-BJ134),0)</f>
        <v/>
      </c>
      <c r="BL133" s="13">
        <f>IF(Time!BL53=1,IF(Time!BL20=Time!$F$13,Funding!$F$25,BK133-BK134),0)</f>
        <v/>
      </c>
      <c r="BM133" s="13">
        <f>IF(Time!BM53=1,IF(Time!BM20=Time!$F$13,Funding!$F$25,BL133-BL134),0)</f>
        <v/>
      </c>
      <c r="BN133" s="13">
        <f>IF(Time!BN53=1,IF(Time!BN20=Time!$F$13,Funding!$F$25,BM133-BM134),0)</f>
        <v/>
      </c>
    </row>
    <row r="134">
      <c r="D134" t="inlineStr">
        <is>
          <t>Sculpted principal</t>
        </is>
      </c>
      <c r="E134" t="inlineStr">
        <is>
          <t>USD m</t>
        </is>
      </c>
      <c r="J134" s="13">
        <f>J132-J133*J127</f>
        <v/>
      </c>
      <c r="K134" s="13">
        <f>K132-K133*K127</f>
        <v/>
      </c>
      <c r="L134" s="13">
        <f>L132-L133*L127</f>
        <v/>
      </c>
      <c r="M134" s="13">
        <f>M132-M133*M127</f>
        <v/>
      </c>
      <c r="N134" s="13">
        <f>N132-N133*N127</f>
        <v/>
      </c>
      <c r="O134" s="13">
        <f>O132-O133*O127</f>
        <v/>
      </c>
      <c r="P134" s="13">
        <f>P132-P133*P127</f>
        <v/>
      </c>
      <c r="Q134" s="13">
        <f>Q132-Q133*Q127</f>
        <v/>
      </c>
      <c r="R134" s="13">
        <f>R132-R133*R127</f>
        <v/>
      </c>
      <c r="S134" s="13">
        <f>S132-S133*S127</f>
        <v/>
      </c>
      <c r="T134" s="13">
        <f>T132-T133*T127</f>
        <v/>
      </c>
      <c r="U134" s="13">
        <f>U132-U133*U127</f>
        <v/>
      </c>
      <c r="V134" s="13">
        <f>V132-V133*V127</f>
        <v/>
      </c>
      <c r="W134" s="13">
        <f>W132-W133*W127</f>
        <v/>
      </c>
      <c r="X134" s="13">
        <f>X132-X133*X127</f>
        <v/>
      </c>
      <c r="Y134" s="13">
        <f>Y132-Y133*Y127</f>
        <v/>
      </c>
      <c r="Z134" s="13">
        <f>Z132-Z133*Z127</f>
        <v/>
      </c>
      <c r="AA134" s="13">
        <f>AA132-AA133*AA127</f>
        <v/>
      </c>
      <c r="AB134" s="13">
        <f>AB132-AB133*AB127</f>
        <v/>
      </c>
      <c r="AC134" s="13">
        <f>AC132-AC133*AC127</f>
        <v/>
      </c>
      <c r="AD134" s="13">
        <f>AD132-AD133*AD127</f>
        <v/>
      </c>
      <c r="AE134" s="13">
        <f>AE132-AE133*AE127</f>
        <v/>
      </c>
      <c r="AF134" s="13">
        <f>AF132-AF133*AF127</f>
        <v/>
      </c>
      <c r="AG134" s="13">
        <f>AG132-AG133*AG127</f>
        <v/>
      </c>
      <c r="AH134" s="13">
        <f>AH132-AH133*AH127</f>
        <v/>
      </c>
      <c r="AI134" s="13">
        <f>AI132-AI133*AI127</f>
        <v/>
      </c>
      <c r="AJ134" s="13">
        <f>AJ132-AJ133*AJ127</f>
        <v/>
      </c>
      <c r="AK134" s="13">
        <f>AK132-AK133*AK127</f>
        <v/>
      </c>
      <c r="AL134" s="13">
        <f>AL132-AL133*AL127</f>
        <v/>
      </c>
      <c r="AM134" s="13">
        <f>AM132-AM133*AM127</f>
        <v/>
      </c>
      <c r="AN134" s="13">
        <f>AN132-AN133*AN127</f>
        <v/>
      </c>
      <c r="AO134" s="13">
        <f>AO132-AO133*AO127</f>
        <v/>
      </c>
      <c r="AP134" s="13">
        <f>AP132-AP133*AP127</f>
        <v/>
      </c>
      <c r="AQ134" s="13">
        <f>AQ132-AQ133*AQ127</f>
        <v/>
      </c>
      <c r="AR134" s="13">
        <f>AR132-AR133*AR127</f>
        <v/>
      </c>
      <c r="AS134" s="13">
        <f>AS132-AS133*AS127</f>
        <v/>
      </c>
      <c r="AT134" s="13">
        <f>AT132-AT133*AT127</f>
        <v/>
      </c>
      <c r="AU134" s="13">
        <f>AU132-AU133*AU127</f>
        <v/>
      </c>
      <c r="AV134" s="13">
        <f>AV132-AV133*AV127</f>
        <v/>
      </c>
      <c r="AW134" s="13">
        <f>AW132-AW133*AW127</f>
        <v/>
      </c>
      <c r="AX134" s="13">
        <f>AX132-AX133*AX127</f>
        <v/>
      </c>
      <c r="AY134" s="13">
        <f>AY132-AY133*AY127</f>
        <v/>
      </c>
      <c r="AZ134" s="13">
        <f>AZ132-AZ133*AZ127</f>
        <v/>
      </c>
      <c r="BA134" s="13">
        <f>BA132-BA133*BA127</f>
        <v/>
      </c>
      <c r="BB134" s="13">
        <f>BB132-BB133*BB127</f>
        <v/>
      </c>
      <c r="BC134" s="13">
        <f>BC132-BC133*BC127</f>
        <v/>
      </c>
      <c r="BD134" s="13">
        <f>BD132-BD133*BD127</f>
        <v/>
      </c>
      <c r="BE134" s="13">
        <f>BE132-BE133*BE127</f>
        <v/>
      </c>
      <c r="BF134" s="13">
        <f>BF132-BF133*BF127</f>
        <v/>
      </c>
      <c r="BG134" s="13">
        <f>BG132-BG133*BG127</f>
        <v/>
      </c>
      <c r="BH134" s="13">
        <f>BH132-BH133*BH127</f>
        <v/>
      </c>
      <c r="BI134" s="13">
        <f>BI132-BI133*BI127</f>
        <v/>
      </c>
      <c r="BJ134" s="13">
        <f>BJ132-BJ133*BJ127</f>
        <v/>
      </c>
      <c r="BK134" s="13">
        <f>BK132-BK133*BK127</f>
        <v/>
      </c>
      <c r="BL134" s="13">
        <f>BL132-BL133*BL127</f>
        <v/>
      </c>
      <c r="BM134" s="13">
        <f>BM132-BM133*BM127</f>
        <v/>
      </c>
      <c r="BN134" s="13">
        <f>BN132-BN133*BN127</f>
        <v/>
      </c>
    </row>
    <row r="135">
      <c r="D135" t="inlineStr">
        <is>
          <t>Sculpted principal less contract principal (FC base)</t>
        </is>
      </c>
      <c r="E135" t="inlineStr">
        <is>
          <t>USD m</t>
        </is>
      </c>
      <c r="J135" s="13">
        <f>IF(Inputs!$F$8=1,J134-Time!J53*Inputs!J298*Funding!$F$25,0)</f>
        <v/>
      </c>
      <c r="K135" s="13">
        <f>IF(Inputs!$F$8=1,K134-Time!K53*Inputs!K298*Funding!$F$25,0)</f>
        <v/>
      </c>
      <c r="L135" s="13">
        <f>IF(Inputs!$F$8=1,L134-Time!L53*Inputs!L298*Funding!$F$25,0)</f>
        <v/>
      </c>
      <c r="M135" s="13">
        <f>IF(Inputs!$F$8=1,M134-Time!M53*Inputs!M298*Funding!$F$25,0)</f>
        <v/>
      </c>
      <c r="N135" s="13">
        <f>IF(Inputs!$F$8=1,N134-Time!N53*Inputs!N298*Funding!$F$25,0)</f>
        <v/>
      </c>
      <c r="O135" s="13">
        <f>IF(Inputs!$F$8=1,O134-Time!O53*Inputs!O298*Funding!$F$25,0)</f>
        <v/>
      </c>
      <c r="P135" s="13">
        <f>IF(Inputs!$F$8=1,P134-Time!P53*Inputs!P298*Funding!$F$25,0)</f>
        <v/>
      </c>
      <c r="Q135" s="13">
        <f>IF(Inputs!$F$8=1,Q134-Time!Q53*Inputs!Q298*Funding!$F$25,0)</f>
        <v/>
      </c>
      <c r="R135" s="13">
        <f>IF(Inputs!$F$8=1,R134-Time!R53*Inputs!R298*Funding!$F$25,0)</f>
        <v/>
      </c>
      <c r="S135" s="13">
        <f>IF(Inputs!$F$8=1,S134-Time!S53*Inputs!S298*Funding!$F$25,0)</f>
        <v/>
      </c>
      <c r="T135" s="13">
        <f>IF(Inputs!$F$8=1,T134-Time!T53*Inputs!T298*Funding!$F$25,0)</f>
        <v/>
      </c>
      <c r="U135" s="13">
        <f>IF(Inputs!$F$8=1,U134-Time!U53*Inputs!U298*Funding!$F$25,0)</f>
        <v/>
      </c>
      <c r="V135" s="13">
        <f>IF(Inputs!$F$8=1,V134-Time!V53*Inputs!V298*Funding!$F$25,0)</f>
        <v/>
      </c>
      <c r="W135" s="13">
        <f>IF(Inputs!$F$8=1,W134-Time!W53*Inputs!W298*Funding!$F$25,0)</f>
        <v/>
      </c>
      <c r="X135" s="13">
        <f>IF(Inputs!$F$8=1,X134-Time!X53*Inputs!X298*Funding!$F$25,0)</f>
        <v/>
      </c>
      <c r="Y135" s="13">
        <f>IF(Inputs!$F$8=1,Y134-Time!Y53*Inputs!Y298*Funding!$F$25,0)</f>
        <v/>
      </c>
      <c r="Z135" s="13">
        <f>IF(Inputs!$F$8=1,Z134-Time!Z53*Inputs!Z298*Funding!$F$25,0)</f>
        <v/>
      </c>
      <c r="AA135" s="13">
        <f>IF(Inputs!$F$8=1,AA134-Time!AA53*Inputs!AA298*Funding!$F$25,0)</f>
        <v/>
      </c>
      <c r="AB135" s="13">
        <f>IF(Inputs!$F$8=1,AB134-Time!AB53*Inputs!AB298*Funding!$F$25,0)</f>
        <v/>
      </c>
      <c r="AC135" s="13">
        <f>IF(Inputs!$F$8=1,AC134-Time!AC53*Inputs!AC298*Funding!$F$25,0)</f>
        <v/>
      </c>
      <c r="AD135" s="13">
        <f>IF(Inputs!$F$8=1,AD134-Time!AD53*Inputs!AD298*Funding!$F$25,0)</f>
        <v/>
      </c>
      <c r="AE135" s="13">
        <f>IF(Inputs!$F$8=1,AE134-Time!AE53*Inputs!AE298*Funding!$F$25,0)</f>
        <v/>
      </c>
      <c r="AF135" s="13">
        <f>IF(Inputs!$F$8=1,AF134-Time!AF53*Inputs!AF298*Funding!$F$25,0)</f>
        <v/>
      </c>
      <c r="AG135" s="13">
        <f>IF(Inputs!$F$8=1,AG134-Time!AG53*Inputs!AG298*Funding!$F$25,0)</f>
        <v/>
      </c>
      <c r="AH135" s="13">
        <f>IF(Inputs!$F$8=1,AH134-Time!AH53*Inputs!AH298*Funding!$F$25,0)</f>
        <v/>
      </c>
      <c r="AI135" s="13">
        <f>IF(Inputs!$F$8=1,AI134-Time!AI53*Inputs!AI298*Funding!$F$25,0)</f>
        <v/>
      </c>
      <c r="AJ135" s="13">
        <f>IF(Inputs!$F$8=1,AJ134-Time!AJ53*Inputs!AJ298*Funding!$F$25,0)</f>
        <v/>
      </c>
      <c r="AK135" s="13">
        <f>IF(Inputs!$F$8=1,AK134-Time!AK53*Inputs!AK298*Funding!$F$25,0)</f>
        <v/>
      </c>
      <c r="AL135" s="13">
        <f>IF(Inputs!$F$8=1,AL134-Time!AL53*Inputs!AL298*Funding!$F$25,0)</f>
        <v/>
      </c>
      <c r="AM135" s="13">
        <f>IF(Inputs!$F$8=1,AM134-Time!AM53*Inputs!AM298*Funding!$F$25,0)</f>
        <v/>
      </c>
      <c r="AN135" s="13">
        <f>IF(Inputs!$F$8=1,AN134-Time!AN53*Inputs!AN298*Funding!$F$25,0)</f>
        <v/>
      </c>
      <c r="AO135" s="13">
        <f>IF(Inputs!$F$8=1,AO134-Time!AO53*Inputs!AO298*Funding!$F$25,0)</f>
        <v/>
      </c>
      <c r="AP135" s="13">
        <f>IF(Inputs!$F$8=1,AP134-Time!AP53*Inputs!AP298*Funding!$F$25,0)</f>
        <v/>
      </c>
      <c r="AQ135" s="13">
        <f>IF(Inputs!$F$8=1,AQ134-Time!AQ53*Inputs!AQ298*Funding!$F$25,0)</f>
        <v/>
      </c>
      <c r="AR135" s="13">
        <f>IF(Inputs!$F$8=1,AR134-Time!AR53*Inputs!AR298*Funding!$F$25,0)</f>
        <v/>
      </c>
      <c r="AS135" s="13">
        <f>IF(Inputs!$F$8=1,AS134-Time!AS53*Inputs!AS298*Funding!$F$25,0)</f>
        <v/>
      </c>
      <c r="AT135" s="13">
        <f>IF(Inputs!$F$8=1,AT134-Time!AT53*Inputs!AT298*Funding!$F$25,0)</f>
        <v/>
      </c>
      <c r="AU135" s="13">
        <f>IF(Inputs!$F$8=1,AU134-Time!AU53*Inputs!AU298*Funding!$F$25,0)</f>
        <v/>
      </c>
      <c r="AV135" s="13">
        <f>IF(Inputs!$F$8=1,AV134-Time!AV53*Inputs!AV298*Funding!$F$25,0)</f>
        <v/>
      </c>
      <c r="AW135" s="13">
        <f>IF(Inputs!$F$8=1,AW134-Time!AW53*Inputs!AW298*Funding!$F$25,0)</f>
        <v/>
      </c>
      <c r="AX135" s="13">
        <f>IF(Inputs!$F$8=1,AX134-Time!AX53*Inputs!AX298*Funding!$F$25,0)</f>
        <v/>
      </c>
      <c r="AY135" s="13">
        <f>IF(Inputs!$F$8=1,AY134-Time!AY53*Inputs!AY298*Funding!$F$25,0)</f>
        <v/>
      </c>
      <c r="AZ135" s="13">
        <f>IF(Inputs!$F$8=1,AZ134-Time!AZ53*Inputs!AZ298*Funding!$F$25,0)</f>
        <v/>
      </c>
      <c r="BA135" s="13">
        <f>IF(Inputs!$F$8=1,BA134-Time!BA53*Inputs!BA298*Funding!$F$25,0)</f>
        <v/>
      </c>
      <c r="BB135" s="13">
        <f>IF(Inputs!$F$8=1,BB134-Time!BB53*Inputs!BB298*Funding!$F$25,0)</f>
        <v/>
      </c>
      <c r="BC135" s="13">
        <f>IF(Inputs!$F$8=1,BC134-Time!BC53*Inputs!BC298*Funding!$F$25,0)</f>
        <v/>
      </c>
      <c r="BD135" s="13">
        <f>IF(Inputs!$F$8=1,BD134-Time!BD53*Inputs!BD298*Funding!$F$25,0)</f>
        <v/>
      </c>
      <c r="BE135" s="13">
        <f>IF(Inputs!$F$8=1,BE134-Time!BE53*Inputs!BE298*Funding!$F$25,0)</f>
        <v/>
      </c>
      <c r="BF135" s="13">
        <f>IF(Inputs!$F$8=1,BF134-Time!BF53*Inputs!BF298*Funding!$F$25,0)</f>
        <v/>
      </c>
      <c r="BG135" s="13">
        <f>IF(Inputs!$F$8=1,BG134-Time!BG53*Inputs!BG298*Funding!$F$25,0)</f>
        <v/>
      </c>
      <c r="BH135" s="13">
        <f>IF(Inputs!$F$8=1,BH134-Time!BH53*Inputs!BH298*Funding!$F$25,0)</f>
        <v/>
      </c>
      <c r="BI135" s="13">
        <f>IF(Inputs!$F$8=1,BI134-Time!BI53*Inputs!BI298*Funding!$F$25,0)</f>
        <v/>
      </c>
      <c r="BJ135" s="13">
        <f>IF(Inputs!$F$8=1,BJ134-Time!BJ53*Inputs!BJ298*Funding!$F$25,0)</f>
        <v/>
      </c>
      <c r="BK135" s="13">
        <f>IF(Inputs!$F$8=1,BK134-Time!BK53*Inputs!BK298*Funding!$F$25,0)</f>
        <v/>
      </c>
      <c r="BL135" s="13">
        <f>IF(Inputs!$F$8=1,BL134-Time!BL53*Inputs!BL298*Funding!$F$25,0)</f>
        <v/>
      </c>
      <c r="BM135" s="13">
        <f>IF(Inputs!$F$8=1,BM134-Time!BM53*Inputs!BM298*Funding!$F$25,0)</f>
        <v/>
      </c>
      <c r="BN135" s="13">
        <f>IF(Inputs!$F$8=1,BN134-Time!BN53*Inputs!BN298*Funding!$F$25,0)</f>
        <v/>
      </c>
    </row>
    <row r="137">
      <c r="D137" t="inlineStr">
        <is>
          <t>ECA tests: years from COD to period end</t>
        </is>
      </c>
      <c r="E137" t="inlineStr">
        <is>
          <t>years</t>
        </is>
      </c>
      <c r="J137" s="3">
        <f>(Time!J23-Time!$F$8)/Inputs!$F$1320</f>
        <v/>
      </c>
      <c r="K137" s="3">
        <f>(Time!K23-Time!$F$8)/Inputs!$F$1320</f>
        <v/>
      </c>
      <c r="L137" s="3">
        <f>(Time!L23-Time!$F$8)/Inputs!$F$1320</f>
        <v/>
      </c>
      <c r="M137" s="3">
        <f>(Time!M23-Time!$F$8)/Inputs!$F$1320</f>
        <v/>
      </c>
      <c r="N137" s="3">
        <f>(Time!N23-Time!$F$8)/Inputs!$F$1320</f>
        <v/>
      </c>
      <c r="O137" s="3">
        <f>(Time!O23-Time!$F$8)/Inputs!$F$1320</f>
        <v/>
      </c>
      <c r="P137" s="3">
        <f>(Time!P23-Time!$F$8)/Inputs!$F$1320</f>
        <v/>
      </c>
      <c r="Q137" s="3">
        <f>(Time!Q23-Time!$F$8)/Inputs!$F$1320</f>
        <v/>
      </c>
      <c r="R137" s="3">
        <f>(Time!R23-Time!$F$8)/Inputs!$F$1320</f>
        <v/>
      </c>
      <c r="S137" s="3">
        <f>(Time!S23-Time!$F$8)/Inputs!$F$1320</f>
        <v/>
      </c>
      <c r="T137" s="3">
        <f>(Time!T23-Time!$F$8)/Inputs!$F$1320</f>
        <v/>
      </c>
      <c r="U137" s="3">
        <f>(Time!U23-Time!$F$8)/Inputs!$F$1320</f>
        <v/>
      </c>
      <c r="V137" s="3">
        <f>(Time!V23-Time!$F$8)/Inputs!$F$1320</f>
        <v/>
      </c>
      <c r="W137" s="3">
        <f>(Time!W23-Time!$F$8)/Inputs!$F$1320</f>
        <v/>
      </c>
      <c r="X137" s="3">
        <f>(Time!X23-Time!$F$8)/Inputs!$F$1320</f>
        <v/>
      </c>
      <c r="Y137" s="3">
        <f>(Time!Y23-Time!$F$8)/Inputs!$F$1320</f>
        <v/>
      </c>
      <c r="Z137" s="3">
        <f>(Time!Z23-Time!$F$8)/Inputs!$F$1320</f>
        <v/>
      </c>
      <c r="AA137" s="3">
        <f>(Time!AA23-Time!$F$8)/Inputs!$F$1320</f>
        <v/>
      </c>
      <c r="AB137" s="3">
        <f>(Time!AB23-Time!$F$8)/Inputs!$F$1320</f>
        <v/>
      </c>
      <c r="AC137" s="3">
        <f>(Time!AC23-Time!$F$8)/Inputs!$F$1320</f>
        <v/>
      </c>
      <c r="AD137" s="3">
        <f>(Time!AD23-Time!$F$8)/Inputs!$F$1320</f>
        <v/>
      </c>
      <c r="AE137" s="3">
        <f>(Time!AE23-Time!$F$8)/Inputs!$F$1320</f>
        <v/>
      </c>
      <c r="AF137" s="3">
        <f>(Time!AF23-Time!$F$8)/Inputs!$F$1320</f>
        <v/>
      </c>
      <c r="AG137" s="3">
        <f>(Time!AG23-Time!$F$8)/Inputs!$F$1320</f>
        <v/>
      </c>
      <c r="AH137" s="3">
        <f>(Time!AH23-Time!$F$8)/Inputs!$F$1320</f>
        <v/>
      </c>
      <c r="AI137" s="3">
        <f>(Time!AI23-Time!$F$8)/Inputs!$F$1320</f>
        <v/>
      </c>
      <c r="AJ137" s="3">
        <f>(Time!AJ23-Time!$F$8)/Inputs!$F$1320</f>
        <v/>
      </c>
      <c r="AK137" s="3">
        <f>(Time!AK23-Time!$F$8)/Inputs!$F$1320</f>
        <v/>
      </c>
      <c r="AL137" s="3">
        <f>(Time!AL23-Time!$F$8)/Inputs!$F$1320</f>
        <v/>
      </c>
      <c r="AM137" s="3">
        <f>(Time!AM23-Time!$F$8)/Inputs!$F$1320</f>
        <v/>
      </c>
      <c r="AN137" s="3">
        <f>(Time!AN23-Time!$F$8)/Inputs!$F$1320</f>
        <v/>
      </c>
      <c r="AO137" s="3">
        <f>(Time!AO23-Time!$F$8)/Inputs!$F$1320</f>
        <v/>
      </c>
      <c r="AP137" s="3">
        <f>(Time!AP23-Time!$F$8)/Inputs!$F$1320</f>
        <v/>
      </c>
      <c r="AQ137" s="3">
        <f>(Time!AQ23-Time!$F$8)/Inputs!$F$1320</f>
        <v/>
      </c>
      <c r="AR137" s="3">
        <f>(Time!AR23-Time!$F$8)/Inputs!$F$1320</f>
        <v/>
      </c>
      <c r="AS137" s="3">
        <f>(Time!AS23-Time!$F$8)/Inputs!$F$1320</f>
        <v/>
      </c>
      <c r="AT137" s="3">
        <f>(Time!AT23-Time!$F$8)/Inputs!$F$1320</f>
        <v/>
      </c>
      <c r="AU137" s="3">
        <f>(Time!AU23-Time!$F$8)/Inputs!$F$1320</f>
        <v/>
      </c>
      <c r="AV137" s="3">
        <f>(Time!AV23-Time!$F$8)/Inputs!$F$1320</f>
        <v/>
      </c>
      <c r="AW137" s="3">
        <f>(Time!AW23-Time!$F$8)/Inputs!$F$1320</f>
        <v/>
      </c>
      <c r="AX137" s="3">
        <f>(Time!AX23-Time!$F$8)/Inputs!$F$1320</f>
        <v/>
      </c>
      <c r="AY137" s="3">
        <f>(Time!AY23-Time!$F$8)/Inputs!$F$1320</f>
        <v/>
      </c>
      <c r="AZ137" s="3">
        <f>(Time!AZ23-Time!$F$8)/Inputs!$F$1320</f>
        <v/>
      </c>
      <c r="BA137" s="3">
        <f>(Time!BA23-Time!$F$8)/Inputs!$F$1320</f>
        <v/>
      </c>
      <c r="BB137" s="3">
        <f>(Time!BB23-Time!$F$8)/Inputs!$F$1320</f>
        <v/>
      </c>
      <c r="BC137" s="3">
        <f>(Time!BC23-Time!$F$8)/Inputs!$F$1320</f>
        <v/>
      </c>
      <c r="BD137" s="3">
        <f>(Time!BD23-Time!$F$8)/Inputs!$F$1320</f>
        <v/>
      </c>
      <c r="BE137" s="3">
        <f>(Time!BE23-Time!$F$8)/Inputs!$F$1320</f>
        <v/>
      </c>
      <c r="BF137" s="3">
        <f>(Time!BF23-Time!$F$8)/Inputs!$F$1320</f>
        <v/>
      </c>
      <c r="BG137" s="3">
        <f>(Time!BG23-Time!$F$8)/Inputs!$F$1320</f>
        <v/>
      </c>
      <c r="BH137" s="3">
        <f>(Time!BH23-Time!$F$8)/Inputs!$F$1320</f>
        <v/>
      </c>
      <c r="BI137" s="3">
        <f>(Time!BI23-Time!$F$8)/Inputs!$F$1320</f>
        <v/>
      </c>
      <c r="BJ137" s="3">
        <f>(Time!BJ23-Time!$F$8)/Inputs!$F$1320</f>
        <v/>
      </c>
      <c r="BK137" s="3">
        <f>(Time!BK23-Time!$F$8)/Inputs!$F$1320</f>
        <v/>
      </c>
      <c r="BL137" s="3">
        <f>(Time!BL23-Time!$F$8)/Inputs!$F$1320</f>
        <v/>
      </c>
      <c r="BM137" s="3">
        <f>(Time!BM23-Time!$F$8)/Inputs!$F$1320</f>
        <v/>
      </c>
      <c r="BN137" s="3">
        <f>(Time!BN23-Time!$F$8)/Inputs!$F$1320</f>
        <v/>
      </c>
    </row>
    <row r="138">
      <c r="D138" t="inlineStr">
        <is>
          <t>ECA test: weighted average life from COD</t>
        </is>
      </c>
      <c r="E138" t="inlineStr">
        <is>
          <t>years</t>
        </is>
      </c>
      <c r="F138" s="3">
        <f>SUMPRODUCT($J$113:$BN$113,$J$137:$BN$137)/SUM($J$113:$BN$113)</f>
        <v/>
      </c>
    </row>
    <row r="139">
      <c r="D139" t="inlineStr">
        <is>
          <t>ECA test: largest installment as a share of principal</t>
        </is>
      </c>
      <c r="E139" t="inlineStr">
        <is>
          <t>fraction</t>
        </is>
      </c>
      <c r="F139" s="3">
        <f>MAX($J$113:$BN$113)/SUM($J$113:$BN$113)</f>
        <v/>
      </c>
    </row>
    <row r="140">
      <c r="D140" t="inlineStr">
        <is>
          <t>ECA test: repayment term from COD (to the last installment)</t>
        </is>
      </c>
      <c r="E140" t="inlineStr">
        <is>
          <t>years</t>
        </is>
      </c>
      <c r="F140" s="3">
        <f>INDEX($J$137:$BN$137,1,SUMPRODUCT(MAX(($J$113:$BN$113&gt;Inputs!$F$253)*Time!$J$20:$BN$20)))</f>
        <v/>
      </c>
    </row>
    <row r="141">
      <c r="D141" t="inlineStr">
        <is>
          <t>ECA test: months from COD to the first repayment</t>
        </is>
      </c>
      <c r="E141" t="inlineStr">
        <is>
          <t>months</t>
        </is>
      </c>
      <c r="F141" s="9">
        <f>(YEAR(INDEX(Time!$J$23:$BN$23,1,_xlfn.MINIFS(Time!$J$20:$BN$20,$J$113:$BN$113,"&gt;"&amp;Inputs!$F$253))+1)-YEAR(Time!$F$8))*12+MONTH(INDEX(Time!$J$23:$BN$23,1,_xlfn.MINIFS(Time!$J$20:$BN$20,$J$113:$BN$113,"&gt;"&amp;Inputs!$F$253))+1)-MONTH(Time!$F$8)</f>
        <v/>
      </c>
    </row>
    <row r="142">
      <c r="D142" t="inlineStr">
        <is>
          <t>ECA test: share of principal repaid within the window from COD</t>
        </is>
      </c>
      <c r="E142" t="inlineStr">
        <is>
          <t>fraction</t>
        </is>
      </c>
      <c r="F142" s="3">
        <f>SUMIFS($J$113:$BN$113,Time!$J$23:$BN$23,"&lt;="&amp;(EDATE(Time!$F$8,Inputs!$F$1318)-1))/SUM($J$113:$BN$113)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17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Reserves: MMRA, DSRA, handback reserve, Compensation Account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MMRA contribution (1/6 of next outlay)</t>
        </is>
      </c>
      <c r="E7" t="inlineStr">
        <is>
          <t>USD m</t>
        </is>
      </c>
      <c r="G7" s="13">
        <f>SUM(J7:BN7)</f>
        <v/>
      </c>
      <c r="J7" s="13">
        <f>SUM(Operations!K79:P79)/Inputs!$F$225</f>
        <v/>
      </c>
      <c r="K7" s="13">
        <f>SUM(Operations!L79:Q79)/Inputs!$F$225</f>
        <v/>
      </c>
      <c r="L7" s="13">
        <f>SUM(Operations!M79:R79)/Inputs!$F$225</f>
        <v/>
      </c>
      <c r="M7" s="13">
        <f>SUM(Operations!N79:S79)/Inputs!$F$225</f>
        <v/>
      </c>
      <c r="N7" s="13">
        <f>SUM(Operations!O79:T79)/Inputs!$F$225</f>
        <v/>
      </c>
      <c r="O7" s="13">
        <f>SUM(Operations!P79:U79)/Inputs!$F$225</f>
        <v/>
      </c>
      <c r="P7" s="13">
        <f>SUM(Operations!Q79:V79)/Inputs!$F$225</f>
        <v/>
      </c>
      <c r="Q7" s="13">
        <f>SUM(Operations!R79:W79)/Inputs!$F$225</f>
        <v/>
      </c>
      <c r="R7" s="13">
        <f>SUM(Operations!S79:X79)/Inputs!$F$225</f>
        <v/>
      </c>
      <c r="S7" s="13">
        <f>SUM(Operations!T79:Y79)/Inputs!$F$225</f>
        <v/>
      </c>
      <c r="T7" s="13">
        <f>SUM(Operations!U79:Z79)/Inputs!$F$225</f>
        <v/>
      </c>
      <c r="U7" s="13">
        <f>SUM(Operations!V79:AA79)/Inputs!$F$225</f>
        <v/>
      </c>
      <c r="V7" s="13">
        <f>SUM(Operations!W79:AB79)/Inputs!$F$225</f>
        <v/>
      </c>
      <c r="W7" s="13">
        <f>SUM(Operations!X79:AC79)/Inputs!$F$225</f>
        <v/>
      </c>
      <c r="X7" s="13">
        <f>SUM(Operations!Y79:AD79)/Inputs!$F$225</f>
        <v/>
      </c>
      <c r="Y7" s="13">
        <f>SUM(Operations!Z79:AE79)/Inputs!$F$225</f>
        <v/>
      </c>
      <c r="Z7" s="13">
        <f>SUM(Operations!AA79:AF79)/Inputs!$F$225</f>
        <v/>
      </c>
      <c r="AA7" s="13">
        <f>SUM(Operations!AB79:AG79)/Inputs!$F$225</f>
        <v/>
      </c>
      <c r="AB7" s="13">
        <f>SUM(Operations!AC79:AH79)/Inputs!$F$225</f>
        <v/>
      </c>
      <c r="AC7" s="13">
        <f>SUM(Operations!AD79:AI79)/Inputs!$F$225</f>
        <v/>
      </c>
      <c r="AD7" s="13">
        <f>SUM(Operations!AE79:AJ79)/Inputs!$F$225</f>
        <v/>
      </c>
      <c r="AE7" s="13">
        <f>SUM(Operations!AF79:AK79)/Inputs!$F$225</f>
        <v/>
      </c>
      <c r="AF7" s="13">
        <f>SUM(Operations!AG79:AL79)/Inputs!$F$225</f>
        <v/>
      </c>
      <c r="AG7" s="13">
        <f>SUM(Operations!AH79:AM79)/Inputs!$F$225</f>
        <v/>
      </c>
      <c r="AH7" s="13">
        <f>SUM(Operations!AI79:AN79)/Inputs!$F$225</f>
        <v/>
      </c>
      <c r="AI7" s="13">
        <f>SUM(Operations!AJ79:AO79)/Inputs!$F$225</f>
        <v/>
      </c>
      <c r="AJ7" s="13">
        <f>SUM(Operations!AK79:AP79)/Inputs!$F$225</f>
        <v/>
      </c>
      <c r="AK7" s="13">
        <f>SUM(Operations!AL79:AQ79)/Inputs!$F$225</f>
        <v/>
      </c>
      <c r="AL7" s="13">
        <f>SUM(Operations!AM79:AR79)/Inputs!$F$225</f>
        <v/>
      </c>
      <c r="AM7" s="13">
        <f>SUM(Operations!AN79:AS79)/Inputs!$F$225</f>
        <v/>
      </c>
      <c r="AN7" s="13">
        <f>SUM(Operations!AO79:AT79)/Inputs!$F$225</f>
        <v/>
      </c>
      <c r="AO7" s="13">
        <f>SUM(Operations!AP79:AU79)/Inputs!$F$225</f>
        <v/>
      </c>
      <c r="AP7" s="13">
        <f>SUM(Operations!AQ79:AV79)/Inputs!$F$225</f>
        <v/>
      </c>
      <c r="AQ7" s="13">
        <f>SUM(Operations!AR79:AW79)/Inputs!$F$225</f>
        <v/>
      </c>
      <c r="AR7" s="13">
        <f>SUM(Operations!AS79:AX79)/Inputs!$F$225</f>
        <v/>
      </c>
      <c r="AS7" s="13">
        <f>SUM(Operations!AT79:AY79)/Inputs!$F$225</f>
        <v/>
      </c>
      <c r="AT7" s="13">
        <f>SUM(Operations!AU79:AZ79)/Inputs!$F$225</f>
        <v/>
      </c>
      <c r="AU7" s="13">
        <f>SUM(Operations!AV79:BA79)/Inputs!$F$225</f>
        <v/>
      </c>
      <c r="AV7" s="13">
        <f>SUM(Operations!AW79:BB79)/Inputs!$F$225</f>
        <v/>
      </c>
      <c r="AW7" s="13">
        <f>SUM(Operations!AX79:BC79)/Inputs!$F$225</f>
        <v/>
      </c>
      <c r="AX7" s="13">
        <f>SUM(Operations!AY79:BD79)/Inputs!$F$225</f>
        <v/>
      </c>
      <c r="AY7" s="13">
        <f>SUM(Operations!AZ79:BE79)/Inputs!$F$225</f>
        <v/>
      </c>
      <c r="AZ7" s="13">
        <f>SUM(Operations!BA79:BF79)/Inputs!$F$225</f>
        <v/>
      </c>
      <c r="BA7" s="13">
        <f>SUM(Operations!BB79:BG79)/Inputs!$F$225</f>
        <v/>
      </c>
      <c r="BB7" s="13">
        <f>SUM(Operations!BC79:BH79)/Inputs!$F$225</f>
        <v/>
      </c>
      <c r="BC7" s="13">
        <f>SUM(Operations!BD79:BI79)/Inputs!$F$225</f>
        <v/>
      </c>
      <c r="BD7" s="13">
        <f>SUM(Operations!BE79:BJ79)/Inputs!$F$225</f>
        <v/>
      </c>
      <c r="BE7" s="13">
        <f>SUM(Operations!BF79:BK79)/Inputs!$F$225</f>
        <v/>
      </c>
      <c r="BF7" s="13">
        <f>SUM(Operations!BG79:BL79)/Inputs!$F$225</f>
        <v/>
      </c>
      <c r="BG7" s="13">
        <f>SUM(Operations!BH79:BM79)/Inputs!$F$225</f>
        <v/>
      </c>
      <c r="BH7" s="13">
        <f>SUM(Operations!BI79:BN79)/Inputs!$F$225</f>
        <v/>
      </c>
      <c r="BI7" s="13">
        <f>SUM(Operations!BJ79:BO79)/Inputs!$F$225</f>
        <v/>
      </c>
      <c r="BJ7" s="13">
        <f>SUM(Operations!BK79:BP79)/Inputs!$F$225</f>
        <v/>
      </c>
      <c r="BK7" s="13">
        <f>SUM(Operations!BL79:BQ79)/Inputs!$F$225</f>
        <v/>
      </c>
      <c r="BL7" s="13">
        <f>SUM(Operations!BM79:BR79)/Inputs!$F$225</f>
        <v/>
      </c>
      <c r="BM7" s="13">
        <f>SUM(Operations!BN79:BS79)/Inputs!$F$225</f>
        <v/>
      </c>
      <c r="BN7" s="13">
        <f>SUM(Operations!BO79:BT79)/Inputs!$F$225</f>
        <v/>
      </c>
    </row>
    <row r="8">
      <c r="D8" t="inlineStr">
        <is>
          <t>MMRA balance</t>
        </is>
      </c>
      <c r="E8" t="inlineStr">
        <is>
          <t>USD m</t>
        </is>
      </c>
      <c r="J8" s="13">
        <f>I8+J7-Operations!J79</f>
        <v/>
      </c>
      <c r="K8" s="13">
        <f>J8+K7-Operations!K79</f>
        <v/>
      </c>
      <c r="L8" s="13">
        <f>K8+L7-Operations!L79</f>
        <v/>
      </c>
      <c r="M8" s="13">
        <f>L8+M7-Operations!M79</f>
        <v/>
      </c>
      <c r="N8" s="13">
        <f>M8+N7-Operations!N79</f>
        <v/>
      </c>
      <c r="O8" s="13">
        <f>N8+O7-Operations!O79</f>
        <v/>
      </c>
      <c r="P8" s="13">
        <f>O8+P7-Operations!P79</f>
        <v/>
      </c>
      <c r="Q8" s="13">
        <f>P8+Q7-Operations!Q79</f>
        <v/>
      </c>
      <c r="R8" s="13">
        <f>Q8+R7-Operations!R79</f>
        <v/>
      </c>
      <c r="S8" s="13">
        <f>R8+S7-Operations!S79</f>
        <v/>
      </c>
      <c r="T8" s="13">
        <f>S8+T7-Operations!T79</f>
        <v/>
      </c>
      <c r="U8" s="13">
        <f>T8+U7-Operations!U79</f>
        <v/>
      </c>
      <c r="V8" s="13">
        <f>U8+V7-Operations!V79</f>
        <v/>
      </c>
      <c r="W8" s="13">
        <f>V8+W7-Operations!W79</f>
        <v/>
      </c>
      <c r="X8" s="13">
        <f>W8+X7-Operations!X79</f>
        <v/>
      </c>
      <c r="Y8" s="13">
        <f>X8+Y7-Operations!Y79</f>
        <v/>
      </c>
      <c r="Z8" s="13">
        <f>Y8+Z7-Operations!Z79</f>
        <v/>
      </c>
      <c r="AA8" s="13">
        <f>Z8+AA7-Operations!AA79</f>
        <v/>
      </c>
      <c r="AB8" s="13">
        <f>AA8+AB7-Operations!AB79</f>
        <v/>
      </c>
      <c r="AC8" s="13">
        <f>AB8+AC7-Operations!AC79</f>
        <v/>
      </c>
      <c r="AD8" s="13">
        <f>AC8+AD7-Operations!AD79</f>
        <v/>
      </c>
      <c r="AE8" s="13">
        <f>AD8+AE7-Operations!AE79</f>
        <v/>
      </c>
      <c r="AF8" s="13">
        <f>AE8+AF7-Operations!AF79</f>
        <v/>
      </c>
      <c r="AG8" s="13">
        <f>AF8+AG7-Operations!AG79</f>
        <v/>
      </c>
      <c r="AH8" s="13">
        <f>AG8+AH7-Operations!AH79</f>
        <v/>
      </c>
      <c r="AI8" s="13">
        <f>AH8+AI7-Operations!AI79</f>
        <v/>
      </c>
      <c r="AJ8" s="13">
        <f>AI8+AJ7-Operations!AJ79</f>
        <v/>
      </c>
      <c r="AK8" s="13">
        <f>AJ8+AK7-Operations!AK79</f>
        <v/>
      </c>
      <c r="AL8" s="13">
        <f>AK8+AL7-Operations!AL79</f>
        <v/>
      </c>
      <c r="AM8" s="13">
        <f>AL8+AM7-Operations!AM79</f>
        <v/>
      </c>
      <c r="AN8" s="13">
        <f>AM8+AN7-Operations!AN79</f>
        <v/>
      </c>
      <c r="AO8" s="13">
        <f>AN8+AO7-Operations!AO79</f>
        <v/>
      </c>
      <c r="AP8" s="13">
        <f>AO8+AP7-Operations!AP79</f>
        <v/>
      </c>
      <c r="AQ8" s="13">
        <f>AP8+AQ7-Operations!AQ79</f>
        <v/>
      </c>
      <c r="AR8" s="13">
        <f>AQ8+AR7-Operations!AR79</f>
        <v/>
      </c>
      <c r="AS8" s="13">
        <f>AR8+AS7-Operations!AS79</f>
        <v/>
      </c>
      <c r="AT8" s="13">
        <f>AS8+AT7-Operations!AT79</f>
        <v/>
      </c>
      <c r="AU8" s="13">
        <f>AT8+AU7-Operations!AU79</f>
        <v/>
      </c>
      <c r="AV8" s="13">
        <f>AU8+AV7-Operations!AV79</f>
        <v/>
      </c>
      <c r="AW8" s="13">
        <f>AV8+AW7-Operations!AW79</f>
        <v/>
      </c>
      <c r="AX8" s="13">
        <f>AW8+AX7-Operations!AX79</f>
        <v/>
      </c>
      <c r="AY8" s="13">
        <f>AX8+AY7-Operations!AY79</f>
        <v/>
      </c>
      <c r="AZ8" s="13">
        <f>AY8+AZ7-Operations!AZ79</f>
        <v/>
      </c>
      <c r="BA8" s="13">
        <f>AZ8+BA7-Operations!BA79</f>
        <v/>
      </c>
      <c r="BB8" s="13">
        <f>BA8+BB7-Operations!BB79</f>
        <v/>
      </c>
      <c r="BC8" s="13">
        <f>BB8+BC7-Operations!BC79</f>
        <v/>
      </c>
      <c r="BD8" s="13">
        <f>BC8+BD7-Operations!BD79</f>
        <v/>
      </c>
      <c r="BE8" s="13">
        <f>BD8+BE7-Operations!BE79</f>
        <v/>
      </c>
      <c r="BF8" s="13">
        <f>BE8+BF7-Operations!BF79</f>
        <v/>
      </c>
      <c r="BG8" s="13">
        <f>BF8+BG7-Operations!BG79</f>
        <v/>
      </c>
      <c r="BH8" s="13">
        <f>BG8+BH7-Operations!BH79</f>
        <v/>
      </c>
      <c r="BI8" s="13">
        <f>BH8+BI7-Operations!BI79</f>
        <v/>
      </c>
      <c r="BJ8" s="13">
        <f>BI8+BJ7-Operations!BJ79</f>
        <v/>
      </c>
      <c r="BK8" s="13">
        <f>BJ8+BK7-Operations!BK79</f>
        <v/>
      </c>
      <c r="BL8" s="13">
        <f>BK8+BL7-Operations!BL79</f>
        <v/>
      </c>
      <c r="BM8" s="13">
        <f>BL8+BM7-Operations!BM79</f>
        <v/>
      </c>
      <c r="BN8" s="13">
        <f>BM8+BN7-Operations!BN79</f>
        <v/>
      </c>
    </row>
    <row r="9">
      <c r="D9" t="inlineStr">
        <is>
          <t>DSRA opening</t>
        </is>
      </c>
      <c r="E9" t="inlineStr">
        <is>
          <t>USD m</t>
        </is>
      </c>
      <c r="J9" s="13">
        <f>IF(Time!J34=1,SUM(Funding!$J$44:$BJ$44),I13)</f>
        <v/>
      </c>
      <c r="K9" s="13">
        <f>IF(Time!K34=1,SUM(Funding!$J$44:$BJ$44),J13)</f>
        <v/>
      </c>
      <c r="L9" s="13">
        <f>IF(Time!L34=1,SUM(Funding!$J$44:$BJ$44),K13)</f>
        <v/>
      </c>
      <c r="M9" s="13">
        <f>IF(Time!M34=1,SUM(Funding!$J$44:$BJ$44),L13)</f>
        <v/>
      </c>
      <c r="N9" s="13">
        <f>IF(Time!N34=1,SUM(Funding!$J$44:$BJ$44),M13)</f>
        <v/>
      </c>
      <c r="O9" s="13">
        <f>IF(Time!O34=1,SUM(Funding!$J$44:$BJ$44),N13)</f>
        <v/>
      </c>
      <c r="P9" s="13">
        <f>IF(Time!P34=1,SUM(Funding!$J$44:$BJ$44),O13)</f>
        <v/>
      </c>
      <c r="Q9" s="13">
        <f>IF(Time!Q34=1,SUM(Funding!$J$44:$BJ$44),P13)</f>
        <v/>
      </c>
      <c r="R9" s="13">
        <f>IF(Time!R34=1,SUM(Funding!$J$44:$BJ$44),Q13)</f>
        <v/>
      </c>
      <c r="S9" s="13">
        <f>IF(Time!S34=1,SUM(Funding!$J$44:$BJ$44),R13)</f>
        <v/>
      </c>
      <c r="T9" s="13">
        <f>IF(Time!T34=1,SUM(Funding!$J$44:$BJ$44),S13)</f>
        <v/>
      </c>
      <c r="U9" s="13">
        <f>IF(Time!U34=1,SUM(Funding!$J$44:$BJ$44),T13)</f>
        <v/>
      </c>
      <c r="V9" s="13">
        <f>IF(Time!V34=1,SUM(Funding!$J$44:$BJ$44),U13)</f>
        <v/>
      </c>
      <c r="W9" s="13">
        <f>IF(Time!W34=1,SUM(Funding!$J$44:$BJ$44),V13)</f>
        <v/>
      </c>
      <c r="X9" s="13">
        <f>IF(Time!X34=1,SUM(Funding!$J$44:$BJ$44),W13)</f>
        <v/>
      </c>
      <c r="Y9" s="13">
        <f>IF(Time!Y34=1,SUM(Funding!$J$44:$BJ$44),X13)</f>
        <v/>
      </c>
      <c r="Z9" s="13">
        <f>IF(Time!Z34=1,SUM(Funding!$J$44:$BJ$44),Y13)</f>
        <v/>
      </c>
      <c r="AA9" s="13">
        <f>IF(Time!AA34=1,SUM(Funding!$J$44:$BJ$44),Z13)</f>
        <v/>
      </c>
      <c r="AB9" s="13">
        <f>IF(Time!AB34=1,SUM(Funding!$J$44:$BJ$44),AA13)</f>
        <v/>
      </c>
      <c r="AC9" s="13">
        <f>IF(Time!AC34=1,SUM(Funding!$J$44:$BJ$44),AB13)</f>
        <v/>
      </c>
      <c r="AD9" s="13">
        <f>IF(Time!AD34=1,SUM(Funding!$J$44:$BJ$44),AC13)</f>
        <v/>
      </c>
      <c r="AE9" s="13">
        <f>IF(Time!AE34=1,SUM(Funding!$J$44:$BJ$44),AD13)</f>
        <v/>
      </c>
      <c r="AF9" s="13">
        <f>IF(Time!AF34=1,SUM(Funding!$J$44:$BJ$44),AE13)</f>
        <v/>
      </c>
      <c r="AG9" s="13">
        <f>IF(Time!AG34=1,SUM(Funding!$J$44:$BJ$44),AF13)</f>
        <v/>
      </c>
      <c r="AH9" s="13">
        <f>IF(Time!AH34=1,SUM(Funding!$J$44:$BJ$44),AG13)</f>
        <v/>
      </c>
      <c r="AI9" s="13">
        <f>IF(Time!AI34=1,SUM(Funding!$J$44:$BJ$44),AH13)</f>
        <v/>
      </c>
      <c r="AJ9" s="13">
        <f>IF(Time!AJ34=1,SUM(Funding!$J$44:$BJ$44),AI13)</f>
        <v/>
      </c>
      <c r="AK9" s="13">
        <f>IF(Time!AK34=1,SUM(Funding!$J$44:$BJ$44),AJ13)</f>
        <v/>
      </c>
      <c r="AL9" s="13">
        <f>IF(Time!AL34=1,SUM(Funding!$J$44:$BJ$44),AK13)</f>
        <v/>
      </c>
      <c r="AM9" s="13">
        <f>IF(Time!AM34=1,SUM(Funding!$J$44:$BJ$44),AL13)</f>
        <v/>
      </c>
      <c r="AN9" s="13">
        <f>IF(Time!AN34=1,SUM(Funding!$J$44:$BJ$44),AM13)</f>
        <v/>
      </c>
      <c r="AO9" s="13">
        <f>IF(Time!AO34=1,SUM(Funding!$J$44:$BJ$44),AN13)</f>
        <v/>
      </c>
      <c r="AP9" s="13">
        <f>IF(Time!AP34=1,SUM(Funding!$J$44:$BJ$44),AO13)</f>
        <v/>
      </c>
      <c r="AQ9" s="13">
        <f>IF(Time!AQ34=1,SUM(Funding!$J$44:$BJ$44),AP13)</f>
        <v/>
      </c>
      <c r="AR9" s="13">
        <f>IF(Time!AR34=1,SUM(Funding!$J$44:$BJ$44),AQ13)</f>
        <v/>
      </c>
      <c r="AS9" s="13">
        <f>IF(Time!AS34=1,SUM(Funding!$J$44:$BJ$44),AR13)</f>
        <v/>
      </c>
      <c r="AT9" s="13">
        <f>IF(Time!AT34=1,SUM(Funding!$J$44:$BJ$44),AS13)</f>
        <v/>
      </c>
      <c r="AU9" s="13">
        <f>IF(Time!AU34=1,SUM(Funding!$J$44:$BJ$44),AT13)</f>
        <v/>
      </c>
      <c r="AV9" s="13">
        <f>IF(Time!AV34=1,SUM(Funding!$J$44:$BJ$44),AU13)</f>
        <v/>
      </c>
      <c r="AW9" s="13">
        <f>IF(Time!AW34=1,SUM(Funding!$J$44:$BJ$44),AV13)</f>
        <v/>
      </c>
      <c r="AX9" s="13">
        <f>IF(Time!AX34=1,SUM(Funding!$J$44:$BJ$44),AW13)</f>
        <v/>
      </c>
      <c r="AY9" s="13">
        <f>IF(Time!AY34=1,SUM(Funding!$J$44:$BJ$44),AX13)</f>
        <v/>
      </c>
      <c r="AZ9" s="13">
        <f>IF(Time!AZ34=1,SUM(Funding!$J$44:$BJ$44),AY13)</f>
        <v/>
      </c>
      <c r="BA9" s="13">
        <f>IF(Time!BA34=1,SUM(Funding!$J$44:$BJ$44),AZ13)</f>
        <v/>
      </c>
      <c r="BB9" s="13">
        <f>IF(Time!BB34=1,SUM(Funding!$J$44:$BJ$44),BA13)</f>
        <v/>
      </c>
      <c r="BC9" s="13">
        <f>IF(Time!BC34=1,SUM(Funding!$J$44:$BJ$44),BB13)</f>
        <v/>
      </c>
      <c r="BD9" s="13">
        <f>IF(Time!BD34=1,SUM(Funding!$J$44:$BJ$44),BC13)</f>
        <v/>
      </c>
      <c r="BE9" s="13">
        <f>IF(Time!BE34=1,SUM(Funding!$J$44:$BJ$44),BD13)</f>
        <v/>
      </c>
      <c r="BF9" s="13">
        <f>IF(Time!BF34=1,SUM(Funding!$J$44:$BJ$44),BE13)</f>
        <v/>
      </c>
      <c r="BG9" s="13">
        <f>IF(Time!BG34=1,SUM(Funding!$J$44:$BJ$44),BF13)</f>
        <v/>
      </c>
      <c r="BH9" s="13">
        <f>IF(Time!BH34=1,SUM(Funding!$J$44:$BJ$44),BG13)</f>
        <v/>
      </c>
      <c r="BI9" s="13">
        <f>IF(Time!BI34=1,SUM(Funding!$J$44:$BJ$44),BH13)</f>
        <v/>
      </c>
      <c r="BJ9" s="13">
        <f>IF(Time!BJ34=1,SUM(Funding!$J$44:$BJ$44),BI13)</f>
        <v/>
      </c>
      <c r="BK9" s="13">
        <f>IF(Time!BK34=1,SUM(Funding!$J$44:$BJ$44),BJ13)</f>
        <v/>
      </c>
      <c r="BL9" s="13">
        <f>IF(Time!BL34=1,SUM(Funding!$J$44:$BJ$44),BK13)</f>
        <v/>
      </c>
      <c r="BM9" s="13">
        <f>IF(Time!BM34=1,SUM(Funding!$J$44:$BJ$44),BL13)</f>
        <v/>
      </c>
      <c r="BN9" s="13">
        <f>IF(Time!BN34=1,SUM(Funding!$J$44:$BJ$44),BM13)</f>
        <v/>
      </c>
    </row>
    <row r="10">
      <c r="D10" t="inlineStr">
        <is>
          <t>DSRA drawing</t>
        </is>
      </c>
      <c r="E10" t="inlineStr">
        <is>
          <t>USD m</t>
        </is>
      </c>
      <c r="G10" s="13">
        <f>SUM(J10:BN10)</f>
        <v/>
      </c>
      <c r="J10" s="13">
        <f>MIN(J9,Waterfall!J11)</f>
        <v/>
      </c>
      <c r="K10" s="13">
        <f>MIN(K9,Waterfall!K11)</f>
        <v/>
      </c>
      <c r="L10" s="13">
        <f>MIN(L9,Waterfall!L11)</f>
        <v/>
      </c>
      <c r="M10" s="13">
        <f>MIN(M9,Waterfall!M11)</f>
        <v/>
      </c>
      <c r="N10" s="13">
        <f>MIN(N9,Waterfall!N11)</f>
        <v/>
      </c>
      <c r="O10" s="13">
        <f>MIN(O9,Waterfall!O11)</f>
        <v/>
      </c>
      <c r="P10" s="13">
        <f>MIN(P9,Waterfall!P11)</f>
        <v/>
      </c>
      <c r="Q10" s="13">
        <f>MIN(Q9,Waterfall!Q11)</f>
        <v/>
      </c>
      <c r="R10" s="13">
        <f>MIN(R9,Waterfall!R11)</f>
        <v/>
      </c>
      <c r="S10" s="13">
        <f>MIN(S9,Waterfall!S11)</f>
        <v/>
      </c>
      <c r="T10" s="13">
        <f>MIN(T9,Waterfall!T11)</f>
        <v/>
      </c>
      <c r="U10" s="13">
        <f>MIN(U9,Waterfall!U11)</f>
        <v/>
      </c>
      <c r="V10" s="13">
        <f>MIN(V9,Waterfall!V11)</f>
        <v/>
      </c>
      <c r="W10" s="13">
        <f>MIN(W9,Waterfall!W11)</f>
        <v/>
      </c>
      <c r="X10" s="13">
        <f>MIN(X9,Waterfall!X11)</f>
        <v/>
      </c>
      <c r="Y10" s="13">
        <f>MIN(Y9,Waterfall!Y11)</f>
        <v/>
      </c>
      <c r="Z10" s="13">
        <f>MIN(Z9,Waterfall!Z11)</f>
        <v/>
      </c>
      <c r="AA10" s="13">
        <f>MIN(AA9,Waterfall!AA11)</f>
        <v/>
      </c>
      <c r="AB10" s="13">
        <f>MIN(AB9,Waterfall!AB11)</f>
        <v/>
      </c>
      <c r="AC10" s="13">
        <f>MIN(AC9,Waterfall!AC11)</f>
        <v/>
      </c>
      <c r="AD10" s="13">
        <f>MIN(AD9,Waterfall!AD11)</f>
        <v/>
      </c>
      <c r="AE10" s="13">
        <f>MIN(AE9,Waterfall!AE11)</f>
        <v/>
      </c>
      <c r="AF10" s="13">
        <f>MIN(AF9,Waterfall!AF11)</f>
        <v/>
      </c>
      <c r="AG10" s="13">
        <f>MIN(AG9,Waterfall!AG11)</f>
        <v/>
      </c>
      <c r="AH10" s="13">
        <f>MIN(AH9,Waterfall!AH11)</f>
        <v/>
      </c>
      <c r="AI10" s="13">
        <f>MIN(AI9,Waterfall!AI11)</f>
        <v/>
      </c>
      <c r="AJ10" s="13">
        <f>MIN(AJ9,Waterfall!AJ11)</f>
        <v/>
      </c>
      <c r="AK10" s="13">
        <f>MIN(AK9,Waterfall!AK11)</f>
        <v/>
      </c>
      <c r="AL10" s="13">
        <f>MIN(AL9,Waterfall!AL11)</f>
        <v/>
      </c>
      <c r="AM10" s="13">
        <f>MIN(AM9,Waterfall!AM11)</f>
        <v/>
      </c>
      <c r="AN10" s="13">
        <f>MIN(AN9,Waterfall!AN11)</f>
        <v/>
      </c>
      <c r="AO10" s="13">
        <f>MIN(AO9,Waterfall!AO11)</f>
        <v/>
      </c>
      <c r="AP10" s="13">
        <f>MIN(AP9,Waterfall!AP11)</f>
        <v/>
      </c>
      <c r="AQ10" s="13">
        <f>MIN(AQ9,Waterfall!AQ11)</f>
        <v/>
      </c>
      <c r="AR10" s="13">
        <f>MIN(AR9,Waterfall!AR11)</f>
        <v/>
      </c>
      <c r="AS10" s="13">
        <f>MIN(AS9,Waterfall!AS11)</f>
        <v/>
      </c>
      <c r="AT10" s="13">
        <f>MIN(AT9,Waterfall!AT11)</f>
        <v/>
      </c>
      <c r="AU10" s="13">
        <f>MIN(AU9,Waterfall!AU11)</f>
        <v/>
      </c>
      <c r="AV10" s="13">
        <f>MIN(AV9,Waterfall!AV11)</f>
        <v/>
      </c>
      <c r="AW10" s="13">
        <f>MIN(AW9,Waterfall!AW11)</f>
        <v/>
      </c>
      <c r="AX10" s="13">
        <f>MIN(AX9,Waterfall!AX11)</f>
        <v/>
      </c>
      <c r="AY10" s="13">
        <f>MIN(AY9,Waterfall!AY11)</f>
        <v/>
      </c>
      <c r="AZ10" s="13">
        <f>MIN(AZ9,Waterfall!AZ11)</f>
        <v/>
      </c>
      <c r="BA10" s="13">
        <f>MIN(BA9,Waterfall!BA11)</f>
        <v/>
      </c>
      <c r="BB10" s="13">
        <f>MIN(BB9,Waterfall!BB11)</f>
        <v/>
      </c>
      <c r="BC10" s="13">
        <f>MIN(BC9,Waterfall!BC11)</f>
        <v/>
      </c>
      <c r="BD10" s="13">
        <f>MIN(BD9,Waterfall!BD11)</f>
        <v/>
      </c>
      <c r="BE10" s="13">
        <f>MIN(BE9,Waterfall!BE11)</f>
        <v/>
      </c>
      <c r="BF10" s="13">
        <f>MIN(BF9,Waterfall!BF11)</f>
        <v/>
      </c>
      <c r="BG10" s="13">
        <f>MIN(BG9,Waterfall!BG11)</f>
        <v/>
      </c>
      <c r="BH10" s="13">
        <f>MIN(BH9,Waterfall!BH11)</f>
        <v/>
      </c>
      <c r="BI10" s="13">
        <f>MIN(BI9,Waterfall!BI11)</f>
        <v/>
      </c>
      <c r="BJ10" s="13">
        <f>MIN(BJ9,Waterfall!BJ11)</f>
        <v/>
      </c>
      <c r="BK10" s="13">
        <f>MIN(BK9,Waterfall!BK11)</f>
        <v/>
      </c>
      <c r="BL10" s="13">
        <f>MIN(BL9,Waterfall!BL11)</f>
        <v/>
      </c>
      <c r="BM10" s="13">
        <f>MIN(BM9,Waterfall!BM11)</f>
        <v/>
      </c>
      <c r="BN10" s="13">
        <f>MIN(BN9,Waterfall!BN11)</f>
        <v/>
      </c>
    </row>
    <row r="11">
      <c r="D11" t="inlineStr">
        <is>
          <t>DSRA top-up</t>
        </is>
      </c>
      <c r="E11" t="inlineStr">
        <is>
          <t>USD m</t>
        </is>
      </c>
      <c r="G11" s="13">
        <f>SUM(J11:BN11)</f>
        <v/>
      </c>
      <c r="J11" s="13">
        <f>MIN(Waterfall!J13,MAX(0,Debt!J125-(J9-J10)))</f>
        <v/>
      </c>
      <c r="K11" s="13">
        <f>MIN(Waterfall!K13,MAX(0,Debt!K125-(K9-K10)))</f>
        <v/>
      </c>
      <c r="L11" s="13">
        <f>MIN(Waterfall!L13,MAX(0,Debt!L125-(L9-L10)))</f>
        <v/>
      </c>
      <c r="M11" s="13">
        <f>MIN(Waterfall!M13,MAX(0,Debt!M125-(M9-M10)))</f>
        <v/>
      </c>
      <c r="N11" s="13">
        <f>MIN(Waterfall!N13,MAX(0,Debt!N125-(N9-N10)))</f>
        <v/>
      </c>
      <c r="O11" s="13">
        <f>MIN(Waterfall!O13,MAX(0,Debt!O125-(O9-O10)))</f>
        <v/>
      </c>
      <c r="P11" s="13">
        <f>MIN(Waterfall!P13,MAX(0,Debt!P125-(P9-P10)))</f>
        <v/>
      </c>
      <c r="Q11" s="13">
        <f>MIN(Waterfall!Q13,MAX(0,Debt!Q125-(Q9-Q10)))</f>
        <v/>
      </c>
      <c r="R11" s="13">
        <f>MIN(Waterfall!R13,MAX(0,Debt!R125-(R9-R10)))</f>
        <v/>
      </c>
      <c r="S11" s="13">
        <f>MIN(Waterfall!S13,MAX(0,Debt!S125-(S9-S10)))</f>
        <v/>
      </c>
      <c r="T11" s="13">
        <f>MIN(Waterfall!T13,MAX(0,Debt!T125-(T9-T10)))</f>
        <v/>
      </c>
      <c r="U11" s="13">
        <f>MIN(Waterfall!U13,MAX(0,Debt!U125-(U9-U10)))</f>
        <v/>
      </c>
      <c r="V11" s="13">
        <f>MIN(Waterfall!V13,MAX(0,Debt!V125-(V9-V10)))</f>
        <v/>
      </c>
      <c r="W11" s="13">
        <f>MIN(Waterfall!W13,MAX(0,Debt!W125-(W9-W10)))</f>
        <v/>
      </c>
      <c r="X11" s="13">
        <f>MIN(Waterfall!X13,MAX(0,Debt!X125-(X9-X10)))</f>
        <v/>
      </c>
      <c r="Y11" s="13">
        <f>MIN(Waterfall!Y13,MAX(0,Debt!Y125-(Y9-Y10)))</f>
        <v/>
      </c>
      <c r="Z11" s="13">
        <f>MIN(Waterfall!Z13,MAX(0,Debt!Z125-(Z9-Z10)))</f>
        <v/>
      </c>
      <c r="AA11" s="13">
        <f>MIN(Waterfall!AA13,MAX(0,Debt!AA125-(AA9-AA10)))</f>
        <v/>
      </c>
      <c r="AB11" s="13">
        <f>MIN(Waterfall!AB13,MAX(0,Debt!AB125-(AB9-AB10)))</f>
        <v/>
      </c>
      <c r="AC11" s="13">
        <f>MIN(Waterfall!AC13,MAX(0,Debt!AC125-(AC9-AC10)))</f>
        <v/>
      </c>
      <c r="AD11" s="13">
        <f>MIN(Waterfall!AD13,MAX(0,Debt!AD125-(AD9-AD10)))</f>
        <v/>
      </c>
      <c r="AE11" s="13">
        <f>MIN(Waterfall!AE13,MAX(0,Debt!AE125-(AE9-AE10)))</f>
        <v/>
      </c>
      <c r="AF11" s="13">
        <f>MIN(Waterfall!AF13,MAX(0,Debt!AF125-(AF9-AF10)))</f>
        <v/>
      </c>
      <c r="AG11" s="13">
        <f>MIN(Waterfall!AG13,MAX(0,Debt!AG125-(AG9-AG10)))</f>
        <v/>
      </c>
      <c r="AH11" s="13">
        <f>MIN(Waterfall!AH13,MAX(0,Debt!AH125-(AH9-AH10)))</f>
        <v/>
      </c>
      <c r="AI11" s="13">
        <f>MIN(Waterfall!AI13,MAX(0,Debt!AI125-(AI9-AI10)))</f>
        <v/>
      </c>
      <c r="AJ11" s="13">
        <f>MIN(Waterfall!AJ13,MAX(0,Debt!AJ125-(AJ9-AJ10)))</f>
        <v/>
      </c>
      <c r="AK11" s="13">
        <f>MIN(Waterfall!AK13,MAX(0,Debt!AK125-(AK9-AK10)))</f>
        <v/>
      </c>
      <c r="AL11" s="13">
        <f>MIN(Waterfall!AL13,MAX(0,Debt!AL125-(AL9-AL10)))</f>
        <v/>
      </c>
      <c r="AM11" s="13">
        <f>MIN(Waterfall!AM13,MAX(0,Debt!AM125-(AM9-AM10)))</f>
        <v/>
      </c>
      <c r="AN11" s="13">
        <f>MIN(Waterfall!AN13,MAX(0,Debt!AN125-(AN9-AN10)))</f>
        <v/>
      </c>
      <c r="AO11" s="13">
        <f>MIN(Waterfall!AO13,MAX(0,Debt!AO125-(AO9-AO10)))</f>
        <v/>
      </c>
      <c r="AP11" s="13">
        <f>MIN(Waterfall!AP13,MAX(0,Debt!AP125-(AP9-AP10)))</f>
        <v/>
      </c>
      <c r="AQ11" s="13">
        <f>MIN(Waterfall!AQ13,MAX(0,Debt!AQ125-(AQ9-AQ10)))</f>
        <v/>
      </c>
      <c r="AR11" s="13">
        <f>MIN(Waterfall!AR13,MAX(0,Debt!AR125-(AR9-AR10)))</f>
        <v/>
      </c>
      <c r="AS11" s="13">
        <f>MIN(Waterfall!AS13,MAX(0,Debt!AS125-(AS9-AS10)))</f>
        <v/>
      </c>
      <c r="AT11" s="13">
        <f>MIN(Waterfall!AT13,MAX(0,Debt!AT125-(AT9-AT10)))</f>
        <v/>
      </c>
      <c r="AU11" s="13">
        <f>MIN(Waterfall!AU13,MAX(0,Debt!AU125-(AU9-AU10)))</f>
        <v/>
      </c>
      <c r="AV11" s="13">
        <f>MIN(Waterfall!AV13,MAX(0,Debt!AV125-(AV9-AV10)))</f>
        <v/>
      </c>
      <c r="AW11" s="13">
        <f>MIN(Waterfall!AW13,MAX(0,Debt!AW125-(AW9-AW10)))</f>
        <v/>
      </c>
      <c r="AX11" s="13">
        <f>MIN(Waterfall!AX13,MAX(0,Debt!AX125-(AX9-AX10)))</f>
        <v/>
      </c>
      <c r="AY11" s="13">
        <f>MIN(Waterfall!AY13,MAX(0,Debt!AY125-(AY9-AY10)))</f>
        <v/>
      </c>
      <c r="AZ11" s="13">
        <f>MIN(Waterfall!AZ13,MAX(0,Debt!AZ125-(AZ9-AZ10)))</f>
        <v/>
      </c>
      <c r="BA11" s="13">
        <f>MIN(Waterfall!BA13,MAX(0,Debt!BA125-(BA9-BA10)))</f>
        <v/>
      </c>
      <c r="BB11" s="13">
        <f>MIN(Waterfall!BB13,MAX(0,Debt!BB125-(BB9-BB10)))</f>
        <v/>
      </c>
      <c r="BC11" s="13">
        <f>MIN(Waterfall!BC13,MAX(0,Debt!BC125-(BC9-BC10)))</f>
        <v/>
      </c>
      <c r="BD11" s="13">
        <f>MIN(Waterfall!BD13,MAX(0,Debt!BD125-(BD9-BD10)))</f>
        <v/>
      </c>
      <c r="BE11" s="13">
        <f>MIN(Waterfall!BE13,MAX(0,Debt!BE125-(BE9-BE10)))</f>
        <v/>
      </c>
      <c r="BF11" s="13">
        <f>MIN(Waterfall!BF13,MAX(0,Debt!BF125-(BF9-BF10)))</f>
        <v/>
      </c>
      <c r="BG11" s="13">
        <f>MIN(Waterfall!BG13,MAX(0,Debt!BG125-(BG9-BG10)))</f>
        <v/>
      </c>
      <c r="BH11" s="13">
        <f>MIN(Waterfall!BH13,MAX(0,Debt!BH125-(BH9-BH10)))</f>
        <v/>
      </c>
      <c r="BI11" s="13">
        <f>MIN(Waterfall!BI13,MAX(0,Debt!BI125-(BI9-BI10)))</f>
        <v/>
      </c>
      <c r="BJ11" s="13">
        <f>MIN(Waterfall!BJ13,MAX(0,Debt!BJ125-(BJ9-BJ10)))</f>
        <v/>
      </c>
      <c r="BK11" s="13">
        <f>MIN(Waterfall!BK13,MAX(0,Debt!BK125-(BK9-BK10)))</f>
        <v/>
      </c>
      <c r="BL11" s="13">
        <f>MIN(Waterfall!BL13,MAX(0,Debt!BL125-(BL9-BL10)))</f>
        <v/>
      </c>
      <c r="BM11" s="13">
        <f>MIN(Waterfall!BM13,MAX(0,Debt!BM125-(BM9-BM10)))</f>
        <v/>
      </c>
      <c r="BN11" s="13">
        <f>MIN(Waterfall!BN13,MAX(0,Debt!BN125-(BN9-BN10)))</f>
        <v/>
      </c>
    </row>
    <row r="12">
      <c r="D12" t="inlineStr">
        <is>
          <t>DSRA release of excess</t>
        </is>
      </c>
      <c r="E12" t="inlineStr">
        <is>
          <t>USD m</t>
        </is>
      </c>
      <c r="G12" s="13">
        <f>SUM(J12:BN12)</f>
        <v/>
      </c>
      <c r="J12" s="13">
        <f>MAX(0,J9-J10-Debt!J125)</f>
        <v/>
      </c>
      <c r="K12" s="13">
        <f>MAX(0,K9-K10-Debt!K125)</f>
        <v/>
      </c>
      <c r="L12" s="13">
        <f>MAX(0,L9-L10-Debt!L125)</f>
        <v/>
      </c>
      <c r="M12" s="13">
        <f>MAX(0,M9-M10-Debt!M125)</f>
        <v/>
      </c>
      <c r="N12" s="13">
        <f>MAX(0,N9-N10-Debt!N125)</f>
        <v/>
      </c>
      <c r="O12" s="13">
        <f>MAX(0,O9-O10-Debt!O125)</f>
        <v/>
      </c>
      <c r="P12" s="13">
        <f>MAX(0,P9-P10-Debt!P125)</f>
        <v/>
      </c>
      <c r="Q12" s="13">
        <f>MAX(0,Q9-Q10-Debt!Q125)</f>
        <v/>
      </c>
      <c r="R12" s="13">
        <f>MAX(0,R9-R10-Debt!R125)</f>
        <v/>
      </c>
      <c r="S12" s="13">
        <f>MAX(0,S9-S10-Debt!S125)</f>
        <v/>
      </c>
      <c r="T12" s="13">
        <f>MAX(0,T9-T10-Debt!T125)</f>
        <v/>
      </c>
      <c r="U12" s="13">
        <f>MAX(0,U9-U10-Debt!U125)</f>
        <v/>
      </c>
      <c r="V12" s="13">
        <f>MAX(0,V9-V10-Debt!V125)</f>
        <v/>
      </c>
      <c r="W12" s="13">
        <f>MAX(0,W9-W10-Debt!W125)</f>
        <v/>
      </c>
      <c r="X12" s="13">
        <f>MAX(0,X9-X10-Debt!X125)</f>
        <v/>
      </c>
      <c r="Y12" s="13">
        <f>MAX(0,Y9-Y10-Debt!Y125)</f>
        <v/>
      </c>
      <c r="Z12" s="13">
        <f>MAX(0,Z9-Z10-Debt!Z125)</f>
        <v/>
      </c>
      <c r="AA12" s="13">
        <f>MAX(0,AA9-AA10-Debt!AA125)</f>
        <v/>
      </c>
      <c r="AB12" s="13">
        <f>MAX(0,AB9-AB10-Debt!AB125)</f>
        <v/>
      </c>
      <c r="AC12" s="13">
        <f>MAX(0,AC9-AC10-Debt!AC125)</f>
        <v/>
      </c>
      <c r="AD12" s="13">
        <f>MAX(0,AD9-AD10-Debt!AD125)</f>
        <v/>
      </c>
      <c r="AE12" s="13">
        <f>MAX(0,AE9-AE10-Debt!AE125)</f>
        <v/>
      </c>
      <c r="AF12" s="13">
        <f>MAX(0,AF9-AF10-Debt!AF125)</f>
        <v/>
      </c>
      <c r="AG12" s="13">
        <f>MAX(0,AG9-AG10-Debt!AG125)</f>
        <v/>
      </c>
      <c r="AH12" s="13">
        <f>MAX(0,AH9-AH10-Debt!AH125)</f>
        <v/>
      </c>
      <c r="AI12" s="13">
        <f>MAX(0,AI9-AI10-Debt!AI125)</f>
        <v/>
      </c>
      <c r="AJ12" s="13">
        <f>MAX(0,AJ9-AJ10-Debt!AJ125)</f>
        <v/>
      </c>
      <c r="AK12" s="13">
        <f>MAX(0,AK9-AK10-Debt!AK125)</f>
        <v/>
      </c>
      <c r="AL12" s="13">
        <f>MAX(0,AL9-AL10-Debt!AL125)</f>
        <v/>
      </c>
      <c r="AM12" s="13">
        <f>MAX(0,AM9-AM10-Debt!AM125)</f>
        <v/>
      </c>
      <c r="AN12" s="13">
        <f>MAX(0,AN9-AN10-Debt!AN125)</f>
        <v/>
      </c>
      <c r="AO12" s="13">
        <f>MAX(0,AO9-AO10-Debt!AO125)</f>
        <v/>
      </c>
      <c r="AP12" s="13">
        <f>MAX(0,AP9-AP10-Debt!AP125)</f>
        <v/>
      </c>
      <c r="AQ12" s="13">
        <f>MAX(0,AQ9-AQ10-Debt!AQ125)</f>
        <v/>
      </c>
      <c r="AR12" s="13">
        <f>MAX(0,AR9-AR10-Debt!AR125)</f>
        <v/>
      </c>
      <c r="AS12" s="13">
        <f>MAX(0,AS9-AS10-Debt!AS125)</f>
        <v/>
      </c>
      <c r="AT12" s="13">
        <f>MAX(0,AT9-AT10-Debt!AT125)</f>
        <v/>
      </c>
      <c r="AU12" s="13">
        <f>MAX(0,AU9-AU10-Debt!AU125)</f>
        <v/>
      </c>
      <c r="AV12" s="13">
        <f>MAX(0,AV9-AV10-Debt!AV125)</f>
        <v/>
      </c>
      <c r="AW12" s="13">
        <f>MAX(0,AW9-AW10-Debt!AW125)</f>
        <v/>
      </c>
      <c r="AX12" s="13">
        <f>MAX(0,AX9-AX10-Debt!AX125)</f>
        <v/>
      </c>
      <c r="AY12" s="13">
        <f>MAX(0,AY9-AY10-Debt!AY125)</f>
        <v/>
      </c>
      <c r="AZ12" s="13">
        <f>MAX(0,AZ9-AZ10-Debt!AZ125)</f>
        <v/>
      </c>
      <c r="BA12" s="13">
        <f>MAX(0,BA9-BA10-Debt!BA125)</f>
        <v/>
      </c>
      <c r="BB12" s="13">
        <f>MAX(0,BB9-BB10-Debt!BB125)</f>
        <v/>
      </c>
      <c r="BC12" s="13">
        <f>MAX(0,BC9-BC10-Debt!BC125)</f>
        <v/>
      </c>
      <c r="BD12" s="13">
        <f>MAX(0,BD9-BD10-Debt!BD125)</f>
        <v/>
      </c>
      <c r="BE12" s="13">
        <f>MAX(0,BE9-BE10-Debt!BE125)</f>
        <v/>
      </c>
      <c r="BF12" s="13">
        <f>MAX(0,BF9-BF10-Debt!BF125)</f>
        <v/>
      </c>
      <c r="BG12" s="13">
        <f>MAX(0,BG9-BG10-Debt!BG125)</f>
        <v/>
      </c>
      <c r="BH12" s="13">
        <f>MAX(0,BH9-BH10-Debt!BH125)</f>
        <v/>
      </c>
      <c r="BI12" s="13">
        <f>MAX(0,BI9-BI10-Debt!BI125)</f>
        <v/>
      </c>
      <c r="BJ12" s="13">
        <f>MAX(0,BJ9-BJ10-Debt!BJ125)</f>
        <v/>
      </c>
      <c r="BK12" s="13">
        <f>MAX(0,BK9-BK10-Debt!BK125)</f>
        <v/>
      </c>
      <c r="BL12" s="13">
        <f>MAX(0,BL9-BL10-Debt!BL125)</f>
        <v/>
      </c>
      <c r="BM12" s="13">
        <f>MAX(0,BM9-BM10-Debt!BM125)</f>
        <v/>
      </c>
      <c r="BN12" s="13">
        <f>MAX(0,BN9-BN10-Debt!BN125)</f>
        <v/>
      </c>
    </row>
    <row r="13">
      <c r="D13" t="inlineStr">
        <is>
          <t>DSRA closing</t>
        </is>
      </c>
      <c r="E13" t="inlineStr">
        <is>
          <t>USD m</t>
        </is>
      </c>
      <c r="J13" s="13">
        <f>(1-Time!J37)*(J9-J10+J11-J12)</f>
        <v/>
      </c>
      <c r="K13" s="13">
        <f>(1-Time!K37)*(K9-K10+K11-K12)</f>
        <v/>
      </c>
      <c r="L13" s="13">
        <f>(1-Time!L37)*(L9-L10+L11-L12)</f>
        <v/>
      </c>
      <c r="M13" s="13">
        <f>(1-Time!M37)*(M9-M10+M11-M12)</f>
        <v/>
      </c>
      <c r="N13" s="13">
        <f>(1-Time!N37)*(N9-N10+N11-N12)</f>
        <v/>
      </c>
      <c r="O13" s="13">
        <f>(1-Time!O37)*(O9-O10+O11-O12)</f>
        <v/>
      </c>
      <c r="P13" s="13">
        <f>(1-Time!P37)*(P9-P10+P11-P12)</f>
        <v/>
      </c>
      <c r="Q13" s="13">
        <f>(1-Time!Q37)*(Q9-Q10+Q11-Q12)</f>
        <v/>
      </c>
      <c r="R13" s="13">
        <f>(1-Time!R37)*(R9-R10+R11-R12)</f>
        <v/>
      </c>
      <c r="S13" s="13">
        <f>(1-Time!S37)*(S9-S10+S11-S12)</f>
        <v/>
      </c>
      <c r="T13" s="13">
        <f>(1-Time!T37)*(T9-T10+T11-T12)</f>
        <v/>
      </c>
      <c r="U13" s="13">
        <f>(1-Time!U37)*(U9-U10+U11-U12)</f>
        <v/>
      </c>
      <c r="V13" s="13">
        <f>(1-Time!V37)*(V9-V10+V11-V12)</f>
        <v/>
      </c>
      <c r="W13" s="13">
        <f>(1-Time!W37)*(W9-W10+W11-W12)</f>
        <v/>
      </c>
      <c r="X13" s="13">
        <f>(1-Time!X37)*(X9-X10+X11-X12)</f>
        <v/>
      </c>
      <c r="Y13" s="13">
        <f>(1-Time!Y37)*(Y9-Y10+Y11-Y12)</f>
        <v/>
      </c>
      <c r="Z13" s="13">
        <f>(1-Time!Z37)*(Z9-Z10+Z11-Z12)</f>
        <v/>
      </c>
      <c r="AA13" s="13">
        <f>(1-Time!AA37)*(AA9-AA10+AA11-AA12)</f>
        <v/>
      </c>
      <c r="AB13" s="13">
        <f>(1-Time!AB37)*(AB9-AB10+AB11-AB12)</f>
        <v/>
      </c>
      <c r="AC13" s="13">
        <f>(1-Time!AC37)*(AC9-AC10+AC11-AC12)</f>
        <v/>
      </c>
      <c r="AD13" s="13">
        <f>(1-Time!AD37)*(AD9-AD10+AD11-AD12)</f>
        <v/>
      </c>
      <c r="AE13" s="13">
        <f>(1-Time!AE37)*(AE9-AE10+AE11-AE12)</f>
        <v/>
      </c>
      <c r="AF13" s="13">
        <f>(1-Time!AF37)*(AF9-AF10+AF11-AF12)</f>
        <v/>
      </c>
      <c r="AG13" s="13">
        <f>(1-Time!AG37)*(AG9-AG10+AG11-AG12)</f>
        <v/>
      </c>
      <c r="AH13" s="13">
        <f>(1-Time!AH37)*(AH9-AH10+AH11-AH12)</f>
        <v/>
      </c>
      <c r="AI13" s="13">
        <f>(1-Time!AI37)*(AI9-AI10+AI11-AI12)</f>
        <v/>
      </c>
      <c r="AJ13" s="13">
        <f>(1-Time!AJ37)*(AJ9-AJ10+AJ11-AJ12)</f>
        <v/>
      </c>
      <c r="AK13" s="13">
        <f>(1-Time!AK37)*(AK9-AK10+AK11-AK12)</f>
        <v/>
      </c>
      <c r="AL13" s="13">
        <f>(1-Time!AL37)*(AL9-AL10+AL11-AL12)</f>
        <v/>
      </c>
      <c r="AM13" s="13">
        <f>(1-Time!AM37)*(AM9-AM10+AM11-AM12)</f>
        <v/>
      </c>
      <c r="AN13" s="13">
        <f>(1-Time!AN37)*(AN9-AN10+AN11-AN12)</f>
        <v/>
      </c>
      <c r="AO13" s="13">
        <f>(1-Time!AO37)*(AO9-AO10+AO11-AO12)</f>
        <v/>
      </c>
      <c r="AP13" s="13">
        <f>(1-Time!AP37)*(AP9-AP10+AP11-AP12)</f>
        <v/>
      </c>
      <c r="AQ13" s="13">
        <f>(1-Time!AQ37)*(AQ9-AQ10+AQ11-AQ12)</f>
        <v/>
      </c>
      <c r="AR13" s="13">
        <f>(1-Time!AR37)*(AR9-AR10+AR11-AR12)</f>
        <v/>
      </c>
      <c r="AS13" s="13">
        <f>(1-Time!AS37)*(AS9-AS10+AS11-AS12)</f>
        <v/>
      </c>
      <c r="AT13" s="13">
        <f>(1-Time!AT37)*(AT9-AT10+AT11-AT12)</f>
        <v/>
      </c>
      <c r="AU13" s="13">
        <f>(1-Time!AU37)*(AU9-AU10+AU11-AU12)</f>
        <v/>
      </c>
      <c r="AV13" s="13">
        <f>(1-Time!AV37)*(AV9-AV10+AV11-AV12)</f>
        <v/>
      </c>
      <c r="AW13" s="13">
        <f>(1-Time!AW37)*(AW9-AW10+AW11-AW12)</f>
        <v/>
      </c>
      <c r="AX13" s="13">
        <f>(1-Time!AX37)*(AX9-AX10+AX11-AX12)</f>
        <v/>
      </c>
      <c r="AY13" s="13">
        <f>(1-Time!AY37)*(AY9-AY10+AY11-AY12)</f>
        <v/>
      </c>
      <c r="AZ13" s="13">
        <f>(1-Time!AZ37)*(AZ9-AZ10+AZ11-AZ12)</f>
        <v/>
      </c>
      <c r="BA13" s="13">
        <f>(1-Time!BA37)*(BA9-BA10+BA11-BA12)</f>
        <v/>
      </c>
      <c r="BB13" s="13">
        <f>(1-Time!BB37)*(BB9-BB10+BB11-BB12)</f>
        <v/>
      </c>
      <c r="BC13" s="13">
        <f>(1-Time!BC37)*(BC9-BC10+BC11-BC12)</f>
        <v/>
      </c>
      <c r="BD13" s="13">
        <f>(1-Time!BD37)*(BD9-BD10+BD11-BD12)</f>
        <v/>
      </c>
      <c r="BE13" s="13">
        <f>(1-Time!BE37)*(BE9-BE10+BE11-BE12)</f>
        <v/>
      </c>
      <c r="BF13" s="13">
        <f>(1-Time!BF37)*(BF9-BF10+BF11-BF12)</f>
        <v/>
      </c>
      <c r="BG13" s="13">
        <f>(1-Time!BG37)*(BG9-BG10+BG11-BG12)</f>
        <v/>
      </c>
      <c r="BH13" s="13">
        <f>(1-Time!BH37)*(BH9-BH10+BH11-BH12)</f>
        <v/>
      </c>
      <c r="BI13" s="13">
        <f>(1-Time!BI37)*(BI9-BI10+BI11-BI12)</f>
        <v/>
      </c>
      <c r="BJ13" s="13">
        <f>(1-Time!BJ37)*(BJ9-BJ10+BJ11-BJ12)</f>
        <v/>
      </c>
      <c r="BK13" s="13">
        <f>(1-Time!BK37)*(BK9-BK10+BK11-BK12)</f>
        <v/>
      </c>
      <c r="BL13" s="13">
        <f>(1-Time!BL37)*(BL9-BL10+BL11-BL12)</f>
        <v/>
      </c>
      <c r="BM13" s="13">
        <f>(1-Time!BM37)*(BM9-BM10+BM11-BM12)</f>
        <v/>
      </c>
      <c r="BN13" s="13">
        <f>(1-Time!BN37)*(BN9-BN10+BN11-BN12)</f>
        <v/>
      </c>
    </row>
    <row r="14">
      <c r="D14" t="inlineStr">
        <is>
          <t>Handback reserve contribution</t>
        </is>
      </c>
      <c r="E14" t="inlineStr">
        <is>
          <t>USD m</t>
        </is>
      </c>
      <c r="G14" s="13">
        <f>SUM(J14:BN14)</f>
        <v/>
      </c>
      <c r="J14" s="13">
        <f>MIN(Waterfall!J14,Operations!J81)</f>
        <v/>
      </c>
      <c r="K14" s="13">
        <f>MIN(Waterfall!K14,Operations!K81)</f>
        <v/>
      </c>
      <c r="L14" s="13">
        <f>MIN(Waterfall!L14,Operations!L81)</f>
        <v/>
      </c>
      <c r="M14" s="13">
        <f>MIN(Waterfall!M14,Operations!M81)</f>
        <v/>
      </c>
      <c r="N14" s="13">
        <f>MIN(Waterfall!N14,Operations!N81)</f>
        <v/>
      </c>
      <c r="O14" s="13">
        <f>MIN(Waterfall!O14,Operations!O81)</f>
        <v/>
      </c>
      <c r="P14" s="13">
        <f>MIN(Waterfall!P14,Operations!P81)</f>
        <v/>
      </c>
      <c r="Q14" s="13">
        <f>MIN(Waterfall!Q14,Operations!Q81)</f>
        <v/>
      </c>
      <c r="R14" s="13">
        <f>MIN(Waterfall!R14,Operations!R81)</f>
        <v/>
      </c>
      <c r="S14" s="13">
        <f>MIN(Waterfall!S14,Operations!S81)</f>
        <v/>
      </c>
      <c r="T14" s="13">
        <f>MIN(Waterfall!T14,Operations!T81)</f>
        <v/>
      </c>
      <c r="U14" s="13">
        <f>MIN(Waterfall!U14,Operations!U81)</f>
        <v/>
      </c>
      <c r="V14" s="13">
        <f>MIN(Waterfall!V14,Operations!V81)</f>
        <v/>
      </c>
      <c r="W14" s="13">
        <f>MIN(Waterfall!W14,Operations!W81)</f>
        <v/>
      </c>
      <c r="X14" s="13">
        <f>MIN(Waterfall!X14,Operations!X81)</f>
        <v/>
      </c>
      <c r="Y14" s="13">
        <f>MIN(Waterfall!Y14,Operations!Y81)</f>
        <v/>
      </c>
      <c r="Z14" s="13">
        <f>MIN(Waterfall!Z14,Operations!Z81)</f>
        <v/>
      </c>
      <c r="AA14" s="13">
        <f>MIN(Waterfall!AA14,Operations!AA81)</f>
        <v/>
      </c>
      <c r="AB14" s="13">
        <f>MIN(Waterfall!AB14,Operations!AB81)</f>
        <v/>
      </c>
      <c r="AC14" s="13">
        <f>MIN(Waterfall!AC14,Operations!AC81)</f>
        <v/>
      </c>
      <c r="AD14" s="13">
        <f>MIN(Waterfall!AD14,Operations!AD81)</f>
        <v/>
      </c>
      <c r="AE14" s="13">
        <f>MIN(Waterfall!AE14,Operations!AE81)</f>
        <v/>
      </c>
      <c r="AF14" s="13">
        <f>MIN(Waterfall!AF14,Operations!AF81)</f>
        <v/>
      </c>
      <c r="AG14" s="13">
        <f>MIN(Waterfall!AG14,Operations!AG81)</f>
        <v/>
      </c>
      <c r="AH14" s="13">
        <f>MIN(Waterfall!AH14,Operations!AH81)</f>
        <v/>
      </c>
      <c r="AI14" s="13">
        <f>MIN(Waterfall!AI14,Operations!AI81)</f>
        <v/>
      </c>
      <c r="AJ14" s="13">
        <f>MIN(Waterfall!AJ14,Operations!AJ81)</f>
        <v/>
      </c>
      <c r="AK14" s="13">
        <f>MIN(Waterfall!AK14,Operations!AK81)</f>
        <v/>
      </c>
      <c r="AL14" s="13">
        <f>MIN(Waterfall!AL14,Operations!AL81)</f>
        <v/>
      </c>
      <c r="AM14" s="13">
        <f>MIN(Waterfall!AM14,Operations!AM81)</f>
        <v/>
      </c>
      <c r="AN14" s="13">
        <f>MIN(Waterfall!AN14,Operations!AN81)</f>
        <v/>
      </c>
      <c r="AO14" s="13">
        <f>MIN(Waterfall!AO14,Operations!AO81)</f>
        <v/>
      </c>
      <c r="AP14" s="13">
        <f>MIN(Waterfall!AP14,Operations!AP81)</f>
        <v/>
      </c>
      <c r="AQ14" s="13">
        <f>MIN(Waterfall!AQ14,Operations!AQ81)</f>
        <v/>
      </c>
      <c r="AR14" s="13">
        <f>MIN(Waterfall!AR14,Operations!AR81)</f>
        <v/>
      </c>
      <c r="AS14" s="13">
        <f>MIN(Waterfall!AS14,Operations!AS81)</f>
        <v/>
      </c>
      <c r="AT14" s="13">
        <f>MIN(Waterfall!AT14,Operations!AT81)</f>
        <v/>
      </c>
      <c r="AU14" s="13">
        <f>MIN(Waterfall!AU14,Operations!AU81)</f>
        <v/>
      </c>
      <c r="AV14" s="13">
        <f>MIN(Waterfall!AV14,Operations!AV81)</f>
        <v/>
      </c>
      <c r="AW14" s="13">
        <f>MIN(Waterfall!AW14,Operations!AW81)</f>
        <v/>
      </c>
      <c r="AX14" s="13">
        <f>MIN(Waterfall!AX14,Operations!AX81)</f>
        <v/>
      </c>
      <c r="AY14" s="13">
        <f>MIN(Waterfall!AY14,Operations!AY81)</f>
        <v/>
      </c>
      <c r="AZ14" s="13">
        <f>MIN(Waterfall!AZ14,Operations!AZ81)</f>
        <v/>
      </c>
      <c r="BA14" s="13">
        <f>MIN(Waterfall!BA14,Operations!BA81)</f>
        <v/>
      </c>
      <c r="BB14" s="13">
        <f>MIN(Waterfall!BB14,Operations!BB81)</f>
        <v/>
      </c>
      <c r="BC14" s="13">
        <f>MIN(Waterfall!BC14,Operations!BC81)</f>
        <v/>
      </c>
      <c r="BD14" s="13">
        <f>MIN(Waterfall!BD14,Operations!BD81)</f>
        <v/>
      </c>
      <c r="BE14" s="13">
        <f>MIN(Waterfall!BE14,Operations!BE81)</f>
        <v/>
      </c>
      <c r="BF14" s="13">
        <f>MIN(Waterfall!BF14,Operations!BF81)</f>
        <v/>
      </c>
      <c r="BG14" s="13">
        <f>MIN(Waterfall!BG14,Operations!BG81)</f>
        <v/>
      </c>
      <c r="BH14" s="13">
        <f>MIN(Waterfall!BH14,Operations!BH81)</f>
        <v/>
      </c>
      <c r="BI14" s="13">
        <f>MIN(Waterfall!BI14,Operations!BI81)</f>
        <v/>
      </c>
      <c r="BJ14" s="13">
        <f>MIN(Waterfall!BJ14,Operations!BJ81)</f>
        <v/>
      </c>
      <c r="BK14" s="13">
        <f>MIN(Waterfall!BK14,Operations!BK81)</f>
        <v/>
      </c>
      <c r="BL14" s="13">
        <f>MIN(Waterfall!BL14,Operations!BL81)</f>
        <v/>
      </c>
      <c r="BM14" s="13">
        <f>MIN(Waterfall!BM14,Operations!BM81)</f>
        <v/>
      </c>
      <c r="BN14" s="13">
        <f>MIN(Waterfall!BN14,Operations!BN81)</f>
        <v/>
      </c>
    </row>
    <row r="15">
      <c r="D15" t="inlineStr">
        <is>
          <t>Handback reserve release at expiry</t>
        </is>
      </c>
      <c r="E15" t="inlineStr">
        <is>
          <t>USD m</t>
        </is>
      </c>
      <c r="G15" s="13">
        <f>SUM(J15:BN15)</f>
        <v/>
      </c>
      <c r="J15" s="13">
        <f>Time!J37*(I16+J14)</f>
        <v/>
      </c>
      <c r="K15" s="13">
        <f>Time!K37*(J16+K14)</f>
        <v/>
      </c>
      <c r="L15" s="13">
        <f>Time!L37*(K16+L14)</f>
        <v/>
      </c>
      <c r="M15" s="13">
        <f>Time!M37*(L16+M14)</f>
        <v/>
      </c>
      <c r="N15" s="13">
        <f>Time!N37*(M16+N14)</f>
        <v/>
      </c>
      <c r="O15" s="13">
        <f>Time!O37*(N16+O14)</f>
        <v/>
      </c>
      <c r="P15" s="13">
        <f>Time!P37*(O16+P14)</f>
        <v/>
      </c>
      <c r="Q15" s="13">
        <f>Time!Q37*(P16+Q14)</f>
        <v/>
      </c>
      <c r="R15" s="13">
        <f>Time!R37*(Q16+R14)</f>
        <v/>
      </c>
      <c r="S15" s="13">
        <f>Time!S37*(R16+S14)</f>
        <v/>
      </c>
      <c r="T15" s="13">
        <f>Time!T37*(S16+T14)</f>
        <v/>
      </c>
      <c r="U15" s="13">
        <f>Time!U37*(T16+U14)</f>
        <v/>
      </c>
      <c r="V15" s="13">
        <f>Time!V37*(U16+V14)</f>
        <v/>
      </c>
      <c r="W15" s="13">
        <f>Time!W37*(V16+W14)</f>
        <v/>
      </c>
      <c r="X15" s="13">
        <f>Time!X37*(W16+X14)</f>
        <v/>
      </c>
      <c r="Y15" s="13">
        <f>Time!Y37*(X16+Y14)</f>
        <v/>
      </c>
      <c r="Z15" s="13">
        <f>Time!Z37*(Y16+Z14)</f>
        <v/>
      </c>
      <c r="AA15" s="13">
        <f>Time!AA37*(Z16+AA14)</f>
        <v/>
      </c>
      <c r="AB15" s="13">
        <f>Time!AB37*(AA16+AB14)</f>
        <v/>
      </c>
      <c r="AC15" s="13">
        <f>Time!AC37*(AB16+AC14)</f>
        <v/>
      </c>
      <c r="AD15" s="13">
        <f>Time!AD37*(AC16+AD14)</f>
        <v/>
      </c>
      <c r="AE15" s="13">
        <f>Time!AE37*(AD16+AE14)</f>
        <v/>
      </c>
      <c r="AF15" s="13">
        <f>Time!AF37*(AE16+AF14)</f>
        <v/>
      </c>
      <c r="AG15" s="13">
        <f>Time!AG37*(AF16+AG14)</f>
        <v/>
      </c>
      <c r="AH15" s="13">
        <f>Time!AH37*(AG16+AH14)</f>
        <v/>
      </c>
      <c r="AI15" s="13">
        <f>Time!AI37*(AH16+AI14)</f>
        <v/>
      </c>
      <c r="AJ15" s="13">
        <f>Time!AJ37*(AI16+AJ14)</f>
        <v/>
      </c>
      <c r="AK15" s="13">
        <f>Time!AK37*(AJ16+AK14)</f>
        <v/>
      </c>
      <c r="AL15" s="13">
        <f>Time!AL37*(AK16+AL14)</f>
        <v/>
      </c>
      <c r="AM15" s="13">
        <f>Time!AM37*(AL16+AM14)</f>
        <v/>
      </c>
      <c r="AN15" s="13">
        <f>Time!AN37*(AM16+AN14)</f>
        <v/>
      </c>
      <c r="AO15" s="13">
        <f>Time!AO37*(AN16+AO14)</f>
        <v/>
      </c>
      <c r="AP15" s="13">
        <f>Time!AP37*(AO16+AP14)</f>
        <v/>
      </c>
      <c r="AQ15" s="13">
        <f>Time!AQ37*(AP16+AQ14)</f>
        <v/>
      </c>
      <c r="AR15" s="13">
        <f>Time!AR37*(AQ16+AR14)</f>
        <v/>
      </c>
      <c r="AS15" s="13">
        <f>Time!AS37*(AR16+AS14)</f>
        <v/>
      </c>
      <c r="AT15" s="13">
        <f>Time!AT37*(AS16+AT14)</f>
        <v/>
      </c>
      <c r="AU15" s="13">
        <f>Time!AU37*(AT16+AU14)</f>
        <v/>
      </c>
      <c r="AV15" s="13">
        <f>Time!AV37*(AU16+AV14)</f>
        <v/>
      </c>
      <c r="AW15" s="13">
        <f>Time!AW37*(AV16+AW14)</f>
        <v/>
      </c>
      <c r="AX15" s="13">
        <f>Time!AX37*(AW16+AX14)</f>
        <v/>
      </c>
      <c r="AY15" s="13">
        <f>Time!AY37*(AX16+AY14)</f>
        <v/>
      </c>
      <c r="AZ15" s="13">
        <f>Time!AZ37*(AY16+AZ14)</f>
        <v/>
      </c>
      <c r="BA15" s="13">
        <f>Time!BA37*(AZ16+BA14)</f>
        <v/>
      </c>
      <c r="BB15" s="13">
        <f>Time!BB37*(BA16+BB14)</f>
        <v/>
      </c>
      <c r="BC15" s="13">
        <f>Time!BC37*(BB16+BC14)</f>
        <v/>
      </c>
      <c r="BD15" s="13">
        <f>Time!BD37*(BC16+BD14)</f>
        <v/>
      </c>
      <c r="BE15" s="13">
        <f>Time!BE37*(BD16+BE14)</f>
        <v/>
      </c>
      <c r="BF15" s="13">
        <f>Time!BF37*(BE16+BF14)</f>
        <v/>
      </c>
      <c r="BG15" s="13">
        <f>Time!BG37*(BF16+BG14)</f>
        <v/>
      </c>
      <c r="BH15" s="13">
        <f>Time!BH37*(BG16+BH14)</f>
        <v/>
      </c>
      <c r="BI15" s="13">
        <f>Time!BI37*(BH16+BI14)</f>
        <v/>
      </c>
      <c r="BJ15" s="13">
        <f>Time!BJ37*(BI16+BJ14)</f>
        <v/>
      </c>
      <c r="BK15" s="13">
        <f>Time!BK37*(BJ16+BK14)</f>
        <v/>
      </c>
      <c r="BL15" s="13">
        <f>Time!BL37*(BK16+BL14)</f>
        <v/>
      </c>
      <c r="BM15" s="13">
        <f>Time!BM37*(BL16+BM14)</f>
        <v/>
      </c>
      <c r="BN15" s="13">
        <f>Time!BN37*(BM16+BN14)</f>
        <v/>
      </c>
    </row>
    <row r="16">
      <c r="D16" t="inlineStr">
        <is>
          <t>Handback reserve balance</t>
        </is>
      </c>
      <c r="E16" t="inlineStr">
        <is>
          <t>USD m</t>
        </is>
      </c>
      <c r="J16" s="13">
        <f>I16+J14-J15</f>
        <v/>
      </c>
      <c r="K16" s="13">
        <f>J16+K14-K15</f>
        <v/>
      </c>
      <c r="L16" s="13">
        <f>K16+L14-L15</f>
        <v/>
      </c>
      <c r="M16" s="13">
        <f>L16+M14-M15</f>
        <v/>
      </c>
      <c r="N16" s="13">
        <f>M16+N14-N15</f>
        <v/>
      </c>
      <c r="O16" s="13">
        <f>N16+O14-O15</f>
        <v/>
      </c>
      <c r="P16" s="13">
        <f>O16+P14-P15</f>
        <v/>
      </c>
      <c r="Q16" s="13">
        <f>P16+Q14-Q15</f>
        <v/>
      </c>
      <c r="R16" s="13">
        <f>Q16+R14-R15</f>
        <v/>
      </c>
      <c r="S16" s="13">
        <f>R16+S14-S15</f>
        <v/>
      </c>
      <c r="T16" s="13">
        <f>S16+T14-T15</f>
        <v/>
      </c>
      <c r="U16" s="13">
        <f>T16+U14-U15</f>
        <v/>
      </c>
      <c r="V16" s="13">
        <f>U16+V14-V15</f>
        <v/>
      </c>
      <c r="W16" s="13">
        <f>V16+W14-W15</f>
        <v/>
      </c>
      <c r="X16" s="13">
        <f>W16+X14-X15</f>
        <v/>
      </c>
      <c r="Y16" s="13">
        <f>X16+Y14-Y15</f>
        <v/>
      </c>
      <c r="Z16" s="13">
        <f>Y16+Z14-Z15</f>
        <v/>
      </c>
      <c r="AA16" s="13">
        <f>Z16+AA14-AA15</f>
        <v/>
      </c>
      <c r="AB16" s="13">
        <f>AA16+AB14-AB15</f>
        <v/>
      </c>
      <c r="AC16" s="13">
        <f>AB16+AC14-AC15</f>
        <v/>
      </c>
      <c r="AD16" s="13">
        <f>AC16+AD14-AD15</f>
        <v/>
      </c>
      <c r="AE16" s="13">
        <f>AD16+AE14-AE15</f>
        <v/>
      </c>
      <c r="AF16" s="13">
        <f>AE16+AF14-AF15</f>
        <v/>
      </c>
      <c r="AG16" s="13">
        <f>AF16+AG14-AG15</f>
        <v/>
      </c>
      <c r="AH16" s="13">
        <f>AG16+AH14-AH15</f>
        <v/>
      </c>
      <c r="AI16" s="13">
        <f>AH16+AI14-AI15</f>
        <v/>
      </c>
      <c r="AJ16" s="13">
        <f>AI16+AJ14-AJ15</f>
        <v/>
      </c>
      <c r="AK16" s="13">
        <f>AJ16+AK14-AK15</f>
        <v/>
      </c>
      <c r="AL16" s="13">
        <f>AK16+AL14-AL15</f>
        <v/>
      </c>
      <c r="AM16" s="13">
        <f>AL16+AM14-AM15</f>
        <v/>
      </c>
      <c r="AN16" s="13">
        <f>AM16+AN14-AN15</f>
        <v/>
      </c>
      <c r="AO16" s="13">
        <f>AN16+AO14-AO15</f>
        <v/>
      </c>
      <c r="AP16" s="13">
        <f>AO16+AP14-AP15</f>
        <v/>
      </c>
      <c r="AQ16" s="13">
        <f>AP16+AQ14-AQ15</f>
        <v/>
      </c>
      <c r="AR16" s="13">
        <f>AQ16+AR14-AR15</f>
        <v/>
      </c>
      <c r="AS16" s="13">
        <f>AR16+AS14-AS15</f>
        <v/>
      </c>
      <c r="AT16" s="13">
        <f>AS16+AT14-AT15</f>
        <v/>
      </c>
      <c r="AU16" s="13">
        <f>AT16+AU14-AU15</f>
        <v/>
      </c>
      <c r="AV16" s="13">
        <f>AU16+AV14-AV15</f>
        <v/>
      </c>
      <c r="AW16" s="13">
        <f>AV16+AW14-AW15</f>
        <v/>
      </c>
      <c r="AX16" s="13">
        <f>AW16+AX14-AX15</f>
        <v/>
      </c>
      <c r="AY16" s="13">
        <f>AX16+AY14-AY15</f>
        <v/>
      </c>
      <c r="AZ16" s="13">
        <f>AY16+AZ14-AZ15</f>
        <v/>
      </c>
      <c r="BA16" s="13">
        <f>AZ16+BA14-BA15</f>
        <v/>
      </c>
      <c r="BB16" s="13">
        <f>BA16+BB14-BB15</f>
        <v/>
      </c>
      <c r="BC16" s="13">
        <f>BB16+BC14-BC15</f>
        <v/>
      </c>
      <c r="BD16" s="13">
        <f>BC16+BD14-BD15</f>
        <v/>
      </c>
      <c r="BE16" s="13">
        <f>BD16+BE14-BE15</f>
        <v/>
      </c>
      <c r="BF16" s="13">
        <f>BE16+BF14-BF15</f>
        <v/>
      </c>
      <c r="BG16" s="13">
        <f>BF16+BG14-BG15</f>
        <v/>
      </c>
      <c r="BH16" s="13">
        <f>BG16+BH14-BH15</f>
        <v/>
      </c>
      <c r="BI16" s="13">
        <f>BH16+BI14-BI15</f>
        <v/>
      </c>
      <c r="BJ16" s="13">
        <f>BI16+BJ14-BJ15</f>
        <v/>
      </c>
      <c r="BK16" s="13">
        <f>BJ16+BK14-BK15</f>
        <v/>
      </c>
      <c r="BL16" s="13">
        <f>BK16+BL14-BL15</f>
        <v/>
      </c>
      <c r="BM16" s="13">
        <f>BL16+BM14-BM15</f>
        <v/>
      </c>
      <c r="BN16" s="13">
        <f>BM16+BN14-BN15</f>
        <v/>
      </c>
    </row>
    <row r="17">
      <c r="D17" t="inlineStr">
        <is>
          <t>Compensation Account (performance LDs held)</t>
        </is>
      </c>
      <c r="E17" t="inlineStr">
        <is>
          <t>USD m</t>
        </is>
      </c>
      <c r="J17" s="13">
        <f>Inputs!$F$48*IF(AND(Time!J20&gt;=Time!$F$12,Time!J23&lt;Inputs!$F$198),Inputs!$F$267,0)</f>
        <v/>
      </c>
      <c r="K17" s="13">
        <f>Inputs!$F$48*IF(AND(Time!K20&gt;=Time!$F$12,Time!K23&lt;Inputs!$F$198),Inputs!$F$267,0)</f>
        <v/>
      </c>
      <c r="L17" s="13">
        <f>Inputs!$F$48*IF(AND(Time!L20&gt;=Time!$F$12,Time!L23&lt;Inputs!$F$198),Inputs!$F$267,0)</f>
        <v/>
      </c>
      <c r="M17" s="13">
        <f>Inputs!$F$48*IF(AND(Time!M20&gt;=Time!$F$12,Time!M23&lt;Inputs!$F$198),Inputs!$F$267,0)</f>
        <v/>
      </c>
      <c r="N17" s="13">
        <f>Inputs!$F$48*IF(AND(Time!N20&gt;=Time!$F$12,Time!N23&lt;Inputs!$F$198),Inputs!$F$267,0)</f>
        <v/>
      </c>
      <c r="O17" s="13">
        <f>Inputs!$F$48*IF(AND(Time!O20&gt;=Time!$F$12,Time!O23&lt;Inputs!$F$198),Inputs!$F$267,0)</f>
        <v/>
      </c>
      <c r="P17" s="13">
        <f>Inputs!$F$48*IF(AND(Time!P20&gt;=Time!$F$12,Time!P23&lt;Inputs!$F$198),Inputs!$F$267,0)</f>
        <v/>
      </c>
      <c r="Q17" s="13">
        <f>Inputs!$F$48*IF(AND(Time!Q20&gt;=Time!$F$12,Time!Q23&lt;Inputs!$F$198),Inputs!$F$267,0)</f>
        <v/>
      </c>
      <c r="R17" s="13">
        <f>Inputs!$F$48*IF(AND(Time!R20&gt;=Time!$F$12,Time!R23&lt;Inputs!$F$198),Inputs!$F$267,0)</f>
        <v/>
      </c>
      <c r="S17" s="13">
        <f>Inputs!$F$48*IF(AND(Time!S20&gt;=Time!$F$12,Time!S23&lt;Inputs!$F$198),Inputs!$F$267,0)</f>
        <v/>
      </c>
      <c r="T17" s="13">
        <f>Inputs!$F$48*IF(AND(Time!T20&gt;=Time!$F$12,Time!T23&lt;Inputs!$F$198),Inputs!$F$267,0)</f>
        <v/>
      </c>
      <c r="U17" s="13">
        <f>Inputs!$F$48*IF(AND(Time!U20&gt;=Time!$F$12,Time!U23&lt;Inputs!$F$198),Inputs!$F$267,0)</f>
        <v/>
      </c>
      <c r="V17" s="13">
        <f>Inputs!$F$48*IF(AND(Time!V20&gt;=Time!$F$12,Time!V23&lt;Inputs!$F$198),Inputs!$F$267,0)</f>
        <v/>
      </c>
      <c r="W17" s="13">
        <f>Inputs!$F$48*IF(AND(Time!W20&gt;=Time!$F$12,Time!W23&lt;Inputs!$F$198),Inputs!$F$267,0)</f>
        <v/>
      </c>
      <c r="X17" s="13">
        <f>Inputs!$F$48*IF(AND(Time!X20&gt;=Time!$F$12,Time!X23&lt;Inputs!$F$198),Inputs!$F$267,0)</f>
        <v/>
      </c>
      <c r="Y17" s="13">
        <f>Inputs!$F$48*IF(AND(Time!Y20&gt;=Time!$F$12,Time!Y23&lt;Inputs!$F$198),Inputs!$F$267,0)</f>
        <v/>
      </c>
      <c r="Z17" s="13">
        <f>Inputs!$F$48*IF(AND(Time!Z20&gt;=Time!$F$12,Time!Z23&lt;Inputs!$F$198),Inputs!$F$267,0)</f>
        <v/>
      </c>
      <c r="AA17" s="13">
        <f>Inputs!$F$48*IF(AND(Time!AA20&gt;=Time!$F$12,Time!AA23&lt;Inputs!$F$198),Inputs!$F$267,0)</f>
        <v/>
      </c>
      <c r="AB17" s="13">
        <f>Inputs!$F$48*IF(AND(Time!AB20&gt;=Time!$F$12,Time!AB23&lt;Inputs!$F$198),Inputs!$F$267,0)</f>
        <v/>
      </c>
      <c r="AC17" s="13">
        <f>Inputs!$F$48*IF(AND(Time!AC20&gt;=Time!$F$12,Time!AC23&lt;Inputs!$F$198),Inputs!$F$267,0)</f>
        <v/>
      </c>
      <c r="AD17" s="13">
        <f>Inputs!$F$48*IF(AND(Time!AD20&gt;=Time!$F$12,Time!AD23&lt;Inputs!$F$198),Inputs!$F$267,0)</f>
        <v/>
      </c>
      <c r="AE17" s="13">
        <f>Inputs!$F$48*IF(AND(Time!AE20&gt;=Time!$F$12,Time!AE23&lt;Inputs!$F$198),Inputs!$F$267,0)</f>
        <v/>
      </c>
      <c r="AF17" s="13">
        <f>Inputs!$F$48*IF(AND(Time!AF20&gt;=Time!$F$12,Time!AF23&lt;Inputs!$F$198),Inputs!$F$267,0)</f>
        <v/>
      </c>
      <c r="AG17" s="13">
        <f>Inputs!$F$48*IF(AND(Time!AG20&gt;=Time!$F$12,Time!AG23&lt;Inputs!$F$198),Inputs!$F$267,0)</f>
        <v/>
      </c>
      <c r="AH17" s="13">
        <f>Inputs!$F$48*IF(AND(Time!AH20&gt;=Time!$F$12,Time!AH23&lt;Inputs!$F$198),Inputs!$F$267,0)</f>
        <v/>
      </c>
      <c r="AI17" s="13">
        <f>Inputs!$F$48*IF(AND(Time!AI20&gt;=Time!$F$12,Time!AI23&lt;Inputs!$F$198),Inputs!$F$267,0)</f>
        <v/>
      </c>
      <c r="AJ17" s="13">
        <f>Inputs!$F$48*IF(AND(Time!AJ20&gt;=Time!$F$12,Time!AJ23&lt;Inputs!$F$198),Inputs!$F$267,0)</f>
        <v/>
      </c>
      <c r="AK17" s="13">
        <f>Inputs!$F$48*IF(AND(Time!AK20&gt;=Time!$F$12,Time!AK23&lt;Inputs!$F$198),Inputs!$F$267,0)</f>
        <v/>
      </c>
      <c r="AL17" s="13">
        <f>Inputs!$F$48*IF(AND(Time!AL20&gt;=Time!$F$12,Time!AL23&lt;Inputs!$F$198),Inputs!$F$267,0)</f>
        <v/>
      </c>
      <c r="AM17" s="13">
        <f>Inputs!$F$48*IF(AND(Time!AM20&gt;=Time!$F$12,Time!AM23&lt;Inputs!$F$198),Inputs!$F$267,0)</f>
        <v/>
      </c>
      <c r="AN17" s="13">
        <f>Inputs!$F$48*IF(AND(Time!AN20&gt;=Time!$F$12,Time!AN23&lt;Inputs!$F$198),Inputs!$F$267,0)</f>
        <v/>
      </c>
      <c r="AO17" s="13">
        <f>Inputs!$F$48*IF(AND(Time!AO20&gt;=Time!$F$12,Time!AO23&lt;Inputs!$F$198),Inputs!$F$267,0)</f>
        <v/>
      </c>
      <c r="AP17" s="13">
        <f>Inputs!$F$48*IF(AND(Time!AP20&gt;=Time!$F$12,Time!AP23&lt;Inputs!$F$198),Inputs!$F$267,0)</f>
        <v/>
      </c>
      <c r="AQ17" s="13">
        <f>Inputs!$F$48*IF(AND(Time!AQ20&gt;=Time!$F$12,Time!AQ23&lt;Inputs!$F$198),Inputs!$F$267,0)</f>
        <v/>
      </c>
      <c r="AR17" s="13">
        <f>Inputs!$F$48*IF(AND(Time!AR20&gt;=Time!$F$12,Time!AR23&lt;Inputs!$F$198),Inputs!$F$267,0)</f>
        <v/>
      </c>
      <c r="AS17" s="13">
        <f>Inputs!$F$48*IF(AND(Time!AS20&gt;=Time!$F$12,Time!AS23&lt;Inputs!$F$198),Inputs!$F$267,0)</f>
        <v/>
      </c>
      <c r="AT17" s="13">
        <f>Inputs!$F$48*IF(AND(Time!AT20&gt;=Time!$F$12,Time!AT23&lt;Inputs!$F$198),Inputs!$F$267,0)</f>
        <v/>
      </c>
      <c r="AU17" s="13">
        <f>Inputs!$F$48*IF(AND(Time!AU20&gt;=Time!$F$12,Time!AU23&lt;Inputs!$F$198),Inputs!$F$267,0)</f>
        <v/>
      </c>
      <c r="AV17" s="13">
        <f>Inputs!$F$48*IF(AND(Time!AV20&gt;=Time!$F$12,Time!AV23&lt;Inputs!$F$198),Inputs!$F$267,0)</f>
        <v/>
      </c>
      <c r="AW17" s="13">
        <f>Inputs!$F$48*IF(AND(Time!AW20&gt;=Time!$F$12,Time!AW23&lt;Inputs!$F$198),Inputs!$F$267,0)</f>
        <v/>
      </c>
      <c r="AX17" s="13">
        <f>Inputs!$F$48*IF(AND(Time!AX20&gt;=Time!$F$12,Time!AX23&lt;Inputs!$F$198),Inputs!$F$267,0)</f>
        <v/>
      </c>
      <c r="AY17" s="13">
        <f>Inputs!$F$48*IF(AND(Time!AY20&gt;=Time!$F$12,Time!AY23&lt;Inputs!$F$198),Inputs!$F$267,0)</f>
        <v/>
      </c>
      <c r="AZ17" s="13">
        <f>Inputs!$F$48*IF(AND(Time!AZ20&gt;=Time!$F$12,Time!AZ23&lt;Inputs!$F$198),Inputs!$F$267,0)</f>
        <v/>
      </c>
      <c r="BA17" s="13">
        <f>Inputs!$F$48*IF(AND(Time!BA20&gt;=Time!$F$12,Time!BA23&lt;Inputs!$F$198),Inputs!$F$267,0)</f>
        <v/>
      </c>
      <c r="BB17" s="13">
        <f>Inputs!$F$48*IF(AND(Time!BB20&gt;=Time!$F$12,Time!BB23&lt;Inputs!$F$198),Inputs!$F$267,0)</f>
        <v/>
      </c>
      <c r="BC17" s="13">
        <f>Inputs!$F$48*IF(AND(Time!BC20&gt;=Time!$F$12,Time!BC23&lt;Inputs!$F$198),Inputs!$F$267,0)</f>
        <v/>
      </c>
      <c r="BD17" s="13">
        <f>Inputs!$F$48*IF(AND(Time!BD20&gt;=Time!$F$12,Time!BD23&lt;Inputs!$F$198),Inputs!$F$267,0)</f>
        <v/>
      </c>
      <c r="BE17" s="13">
        <f>Inputs!$F$48*IF(AND(Time!BE20&gt;=Time!$F$12,Time!BE23&lt;Inputs!$F$198),Inputs!$F$267,0)</f>
        <v/>
      </c>
      <c r="BF17" s="13">
        <f>Inputs!$F$48*IF(AND(Time!BF20&gt;=Time!$F$12,Time!BF23&lt;Inputs!$F$198),Inputs!$F$267,0)</f>
        <v/>
      </c>
      <c r="BG17" s="13">
        <f>Inputs!$F$48*IF(AND(Time!BG20&gt;=Time!$F$12,Time!BG23&lt;Inputs!$F$198),Inputs!$F$267,0)</f>
        <v/>
      </c>
      <c r="BH17" s="13">
        <f>Inputs!$F$48*IF(AND(Time!BH20&gt;=Time!$F$12,Time!BH23&lt;Inputs!$F$198),Inputs!$F$267,0)</f>
        <v/>
      </c>
      <c r="BI17" s="13">
        <f>Inputs!$F$48*IF(AND(Time!BI20&gt;=Time!$F$12,Time!BI23&lt;Inputs!$F$198),Inputs!$F$267,0)</f>
        <v/>
      </c>
      <c r="BJ17" s="13">
        <f>Inputs!$F$48*IF(AND(Time!BJ20&gt;=Time!$F$12,Time!BJ23&lt;Inputs!$F$198),Inputs!$F$267,0)</f>
        <v/>
      </c>
      <c r="BK17" s="13">
        <f>Inputs!$F$48*IF(AND(Time!BK20&gt;=Time!$F$12,Time!BK23&lt;Inputs!$F$198),Inputs!$F$267,0)</f>
        <v/>
      </c>
      <c r="BL17" s="13">
        <f>Inputs!$F$48*IF(AND(Time!BL20&gt;=Time!$F$12,Time!BL23&lt;Inputs!$F$198),Inputs!$F$267,0)</f>
        <v/>
      </c>
      <c r="BM17" s="13">
        <f>Inputs!$F$48*IF(AND(Time!BM20&gt;=Time!$F$12,Time!BM23&lt;Inputs!$F$198),Inputs!$F$267,0)</f>
        <v/>
      </c>
      <c r="BN17" s="13">
        <f>Inputs!$F$48*IF(AND(Time!BN20&gt;=Time!$F$12,Time!BN23&lt;Inputs!$F$198),Inputs!$F$267,0)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44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Waterfall: CFADS, debt service, reserves, tests, sweeps, distributions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CFADS</t>
        </is>
      </c>
      <c r="E7" t="inlineStr">
        <is>
          <t>USD m</t>
        </is>
      </c>
      <c r="G7" s="13">
        <f>SUM(J7:BN7)</f>
        <v/>
      </c>
      <c r="J7" s="13">
        <f>Operations!J84-Tax!J27-Operations!J96-Reserves!J7+Operations!J79+Operations!J97</f>
        <v/>
      </c>
      <c r="K7" s="13">
        <f>Operations!K84-Tax!K27-Operations!K96-Reserves!K7+Operations!K79+Operations!K97</f>
        <v/>
      </c>
      <c r="L7" s="13">
        <f>Operations!L84-Tax!L27-Operations!L96-Reserves!L7+Operations!L79+Operations!L97</f>
        <v/>
      </c>
      <c r="M7" s="13">
        <f>Operations!M84-Tax!M27-Operations!M96-Reserves!M7+Operations!M79+Operations!M97</f>
        <v/>
      </c>
      <c r="N7" s="13">
        <f>Operations!N84-Tax!N27-Operations!N96-Reserves!N7+Operations!N79+Operations!N97</f>
        <v/>
      </c>
      <c r="O7" s="13">
        <f>Operations!O84-Tax!O27-Operations!O96-Reserves!O7+Operations!O79+Operations!O97</f>
        <v/>
      </c>
      <c r="P7" s="13">
        <f>Operations!P84-Tax!P27-Operations!P96-Reserves!P7+Operations!P79+Operations!P97</f>
        <v/>
      </c>
      <c r="Q7" s="13">
        <f>Operations!Q84-Tax!Q27-Operations!Q96-Reserves!Q7+Operations!Q79+Operations!Q97</f>
        <v/>
      </c>
      <c r="R7" s="13">
        <f>Operations!R84-Tax!R27-Operations!R96-Reserves!R7+Operations!R79+Operations!R97</f>
        <v/>
      </c>
      <c r="S7" s="13">
        <f>Operations!S84-Tax!S27-Operations!S96-Reserves!S7+Operations!S79+Operations!S97</f>
        <v/>
      </c>
      <c r="T7" s="13">
        <f>Operations!T84-Tax!T27-Operations!T96-Reserves!T7+Operations!T79+Operations!T97</f>
        <v/>
      </c>
      <c r="U7" s="13">
        <f>Operations!U84-Tax!U27-Operations!U96-Reserves!U7+Operations!U79+Operations!U97</f>
        <v/>
      </c>
      <c r="V7" s="13">
        <f>Operations!V84-Tax!V27-Operations!V96-Reserves!V7+Operations!V79+Operations!V97</f>
        <v/>
      </c>
      <c r="W7" s="13">
        <f>Operations!W84-Tax!W27-Operations!W96-Reserves!W7+Operations!W79+Operations!W97</f>
        <v/>
      </c>
      <c r="X7" s="13">
        <f>Operations!X84-Tax!X27-Operations!X96-Reserves!X7+Operations!X79+Operations!X97</f>
        <v/>
      </c>
      <c r="Y7" s="13">
        <f>Operations!Y84-Tax!Y27-Operations!Y96-Reserves!Y7+Operations!Y79+Operations!Y97</f>
        <v/>
      </c>
      <c r="Z7" s="13">
        <f>Operations!Z84-Tax!Z27-Operations!Z96-Reserves!Z7+Operations!Z79+Operations!Z97</f>
        <v/>
      </c>
      <c r="AA7" s="13">
        <f>Operations!AA84-Tax!AA27-Operations!AA96-Reserves!AA7+Operations!AA79+Operations!AA97</f>
        <v/>
      </c>
      <c r="AB7" s="13">
        <f>Operations!AB84-Tax!AB27-Operations!AB96-Reserves!AB7+Operations!AB79+Operations!AB97</f>
        <v/>
      </c>
      <c r="AC7" s="13">
        <f>Operations!AC84-Tax!AC27-Operations!AC96-Reserves!AC7+Operations!AC79+Operations!AC97</f>
        <v/>
      </c>
      <c r="AD7" s="13">
        <f>Operations!AD84-Tax!AD27-Operations!AD96-Reserves!AD7+Operations!AD79+Operations!AD97</f>
        <v/>
      </c>
      <c r="AE7" s="13">
        <f>Operations!AE84-Tax!AE27-Operations!AE96-Reserves!AE7+Operations!AE79+Operations!AE97</f>
        <v/>
      </c>
      <c r="AF7" s="13">
        <f>Operations!AF84-Tax!AF27-Operations!AF96-Reserves!AF7+Operations!AF79+Operations!AF97</f>
        <v/>
      </c>
      <c r="AG7" s="13">
        <f>Operations!AG84-Tax!AG27-Operations!AG96-Reserves!AG7+Operations!AG79+Operations!AG97</f>
        <v/>
      </c>
      <c r="AH7" s="13">
        <f>Operations!AH84-Tax!AH27-Operations!AH96-Reserves!AH7+Operations!AH79+Operations!AH97</f>
        <v/>
      </c>
      <c r="AI7" s="13">
        <f>Operations!AI84-Tax!AI27-Operations!AI96-Reserves!AI7+Operations!AI79+Operations!AI97</f>
        <v/>
      </c>
      <c r="AJ7" s="13">
        <f>Operations!AJ84-Tax!AJ27-Operations!AJ96-Reserves!AJ7+Operations!AJ79+Operations!AJ97</f>
        <v/>
      </c>
      <c r="AK7" s="13">
        <f>Operations!AK84-Tax!AK27-Operations!AK96-Reserves!AK7+Operations!AK79+Operations!AK97</f>
        <v/>
      </c>
      <c r="AL7" s="13">
        <f>Operations!AL84-Tax!AL27-Operations!AL96-Reserves!AL7+Operations!AL79+Operations!AL97</f>
        <v/>
      </c>
      <c r="AM7" s="13">
        <f>Operations!AM84-Tax!AM27-Operations!AM96-Reserves!AM7+Operations!AM79+Operations!AM97</f>
        <v/>
      </c>
      <c r="AN7" s="13">
        <f>Operations!AN84-Tax!AN27-Operations!AN96-Reserves!AN7+Operations!AN79+Operations!AN97</f>
        <v/>
      </c>
      <c r="AO7" s="13">
        <f>Operations!AO84-Tax!AO27-Operations!AO96-Reserves!AO7+Operations!AO79+Operations!AO97</f>
        <v/>
      </c>
      <c r="AP7" s="13">
        <f>Operations!AP84-Tax!AP27-Operations!AP96-Reserves!AP7+Operations!AP79+Operations!AP97</f>
        <v/>
      </c>
      <c r="AQ7" s="13">
        <f>Operations!AQ84-Tax!AQ27-Operations!AQ96-Reserves!AQ7+Operations!AQ79+Operations!AQ97</f>
        <v/>
      </c>
      <c r="AR7" s="13">
        <f>Operations!AR84-Tax!AR27-Operations!AR96-Reserves!AR7+Operations!AR79+Operations!AR97</f>
        <v/>
      </c>
      <c r="AS7" s="13">
        <f>Operations!AS84-Tax!AS27-Operations!AS96-Reserves!AS7+Operations!AS79+Operations!AS97</f>
        <v/>
      </c>
      <c r="AT7" s="13">
        <f>Operations!AT84-Tax!AT27-Operations!AT96-Reserves!AT7+Operations!AT79+Operations!AT97</f>
        <v/>
      </c>
      <c r="AU7" s="13">
        <f>Operations!AU84-Tax!AU27-Operations!AU96-Reserves!AU7+Operations!AU79+Operations!AU97</f>
        <v/>
      </c>
      <c r="AV7" s="13">
        <f>Operations!AV84-Tax!AV27-Operations!AV96-Reserves!AV7+Operations!AV79+Operations!AV97</f>
        <v/>
      </c>
      <c r="AW7" s="13">
        <f>Operations!AW84-Tax!AW27-Operations!AW96-Reserves!AW7+Operations!AW79+Operations!AW97</f>
        <v/>
      </c>
      <c r="AX7" s="13">
        <f>Operations!AX84-Tax!AX27-Operations!AX96-Reserves!AX7+Operations!AX79+Operations!AX97</f>
        <v/>
      </c>
      <c r="AY7" s="13">
        <f>Operations!AY84-Tax!AY27-Operations!AY96-Reserves!AY7+Operations!AY79+Operations!AY97</f>
        <v/>
      </c>
      <c r="AZ7" s="13">
        <f>Operations!AZ84-Tax!AZ27-Operations!AZ96-Reserves!AZ7+Operations!AZ79+Operations!AZ97</f>
        <v/>
      </c>
      <c r="BA7" s="13">
        <f>Operations!BA84-Tax!BA27-Operations!BA96-Reserves!BA7+Operations!BA79+Operations!BA97</f>
        <v/>
      </c>
      <c r="BB7" s="13">
        <f>Operations!BB84-Tax!BB27-Operations!BB96-Reserves!BB7+Operations!BB79+Operations!BB97</f>
        <v/>
      </c>
      <c r="BC7" s="13">
        <f>Operations!BC84-Tax!BC27-Operations!BC96-Reserves!BC7+Operations!BC79+Operations!BC97</f>
        <v/>
      </c>
      <c r="BD7" s="13">
        <f>Operations!BD84-Tax!BD27-Operations!BD96-Reserves!BD7+Operations!BD79+Operations!BD97</f>
        <v/>
      </c>
      <c r="BE7" s="13">
        <f>Operations!BE84-Tax!BE27-Operations!BE96-Reserves!BE7+Operations!BE79+Operations!BE97</f>
        <v/>
      </c>
      <c r="BF7" s="13">
        <f>Operations!BF84-Tax!BF27-Operations!BF96-Reserves!BF7+Operations!BF79+Operations!BF97</f>
        <v/>
      </c>
      <c r="BG7" s="13">
        <f>Operations!BG84-Tax!BG27-Operations!BG96-Reserves!BG7+Operations!BG79+Operations!BG97</f>
        <v/>
      </c>
      <c r="BH7" s="13">
        <f>Operations!BH84-Tax!BH27-Operations!BH96-Reserves!BH7+Operations!BH79+Operations!BH97</f>
        <v/>
      </c>
      <c r="BI7" s="13">
        <f>Operations!BI84-Tax!BI27-Operations!BI96-Reserves!BI7+Operations!BI79+Operations!BI97</f>
        <v/>
      </c>
      <c r="BJ7" s="13">
        <f>Operations!BJ84-Tax!BJ27-Operations!BJ96-Reserves!BJ7+Operations!BJ79+Operations!BJ97</f>
        <v/>
      </c>
      <c r="BK7" s="13">
        <f>Operations!BK84-Tax!BK27-Operations!BK96-Reserves!BK7+Operations!BK79+Operations!BK97</f>
        <v/>
      </c>
      <c r="BL7" s="13">
        <f>Operations!BL84-Tax!BL27-Operations!BL96-Reserves!BL7+Operations!BL79+Operations!BL97</f>
        <v/>
      </c>
      <c r="BM7" s="13">
        <f>Operations!BM84-Tax!BM27-Operations!BM96-Reserves!BM7+Operations!BM79+Operations!BM97</f>
        <v/>
      </c>
      <c r="BN7" s="13">
        <f>Operations!BN84-Tax!BN27-Operations!BN96-Reserves!BN7+Operations!BN79+Operations!BN97</f>
        <v/>
      </c>
    </row>
    <row r="8">
      <c r="D8" t="inlineStr">
        <is>
          <t>Cash brought forward (lock-up and trapped cash)</t>
        </is>
      </c>
      <c r="E8" t="inlineStr">
        <is>
          <t>USD m</t>
        </is>
      </c>
      <c r="J8" s="13">
        <f>IF(Time!J34=1,INDEX(Funding!$J$54:$BJ$54,1,Time!$F$14),0)+I30+I42</f>
        <v/>
      </c>
      <c r="K8" s="13">
        <f>IF(Time!K34=1,INDEX(Funding!$J$54:$BJ$54,1,Time!$F$14),0)+J30+J42</f>
        <v/>
      </c>
      <c r="L8" s="13">
        <f>IF(Time!L34=1,INDEX(Funding!$J$54:$BJ$54,1,Time!$F$14),0)+K30+K42</f>
        <v/>
      </c>
      <c r="M8" s="13">
        <f>IF(Time!M34=1,INDEX(Funding!$J$54:$BJ$54,1,Time!$F$14),0)+L30+L42</f>
        <v/>
      </c>
      <c r="N8" s="13">
        <f>IF(Time!N34=1,INDEX(Funding!$J$54:$BJ$54,1,Time!$F$14),0)+M30+M42</f>
        <v/>
      </c>
      <c r="O8" s="13">
        <f>IF(Time!O34=1,INDEX(Funding!$J$54:$BJ$54,1,Time!$F$14),0)+N30+N42</f>
        <v/>
      </c>
      <c r="P8" s="13">
        <f>IF(Time!P34=1,INDEX(Funding!$J$54:$BJ$54,1,Time!$F$14),0)+O30+O42</f>
        <v/>
      </c>
      <c r="Q8" s="13">
        <f>IF(Time!Q34=1,INDEX(Funding!$J$54:$BJ$54,1,Time!$F$14),0)+P30+P42</f>
        <v/>
      </c>
      <c r="R8" s="13">
        <f>IF(Time!R34=1,INDEX(Funding!$J$54:$BJ$54,1,Time!$F$14),0)+Q30+Q42</f>
        <v/>
      </c>
      <c r="S8" s="13">
        <f>IF(Time!S34=1,INDEX(Funding!$J$54:$BJ$54,1,Time!$F$14),0)+R30+R42</f>
        <v/>
      </c>
      <c r="T8" s="13">
        <f>IF(Time!T34=1,INDEX(Funding!$J$54:$BJ$54,1,Time!$F$14),0)+S30+S42</f>
        <v/>
      </c>
      <c r="U8" s="13">
        <f>IF(Time!U34=1,INDEX(Funding!$J$54:$BJ$54,1,Time!$F$14),0)+T30+T42</f>
        <v/>
      </c>
      <c r="V8" s="13">
        <f>IF(Time!V34=1,INDEX(Funding!$J$54:$BJ$54,1,Time!$F$14),0)+U30+U42</f>
        <v/>
      </c>
      <c r="W8" s="13">
        <f>IF(Time!W34=1,INDEX(Funding!$J$54:$BJ$54,1,Time!$F$14),0)+V30+V42</f>
        <v/>
      </c>
      <c r="X8" s="13">
        <f>IF(Time!X34=1,INDEX(Funding!$J$54:$BJ$54,1,Time!$F$14),0)+W30+W42</f>
        <v/>
      </c>
      <c r="Y8" s="13">
        <f>IF(Time!Y34=1,INDEX(Funding!$J$54:$BJ$54,1,Time!$F$14),0)+X30+X42</f>
        <v/>
      </c>
      <c r="Z8" s="13">
        <f>IF(Time!Z34=1,INDEX(Funding!$J$54:$BJ$54,1,Time!$F$14),0)+Y30+Y42</f>
        <v/>
      </c>
      <c r="AA8" s="13">
        <f>IF(Time!AA34=1,INDEX(Funding!$J$54:$BJ$54,1,Time!$F$14),0)+Z30+Z42</f>
        <v/>
      </c>
      <c r="AB8" s="13">
        <f>IF(Time!AB34=1,INDEX(Funding!$J$54:$BJ$54,1,Time!$F$14),0)+AA30+AA42</f>
        <v/>
      </c>
      <c r="AC8" s="13">
        <f>IF(Time!AC34=1,INDEX(Funding!$J$54:$BJ$54,1,Time!$F$14),0)+AB30+AB42</f>
        <v/>
      </c>
      <c r="AD8" s="13">
        <f>IF(Time!AD34=1,INDEX(Funding!$J$54:$BJ$54,1,Time!$F$14),0)+AC30+AC42</f>
        <v/>
      </c>
      <c r="AE8" s="13">
        <f>IF(Time!AE34=1,INDEX(Funding!$J$54:$BJ$54,1,Time!$F$14),0)+AD30+AD42</f>
        <v/>
      </c>
      <c r="AF8" s="13">
        <f>IF(Time!AF34=1,INDEX(Funding!$J$54:$BJ$54,1,Time!$F$14),0)+AE30+AE42</f>
        <v/>
      </c>
      <c r="AG8" s="13">
        <f>IF(Time!AG34=1,INDEX(Funding!$J$54:$BJ$54,1,Time!$F$14),0)+AF30+AF42</f>
        <v/>
      </c>
      <c r="AH8" s="13">
        <f>IF(Time!AH34=1,INDEX(Funding!$J$54:$BJ$54,1,Time!$F$14),0)+AG30+AG42</f>
        <v/>
      </c>
      <c r="AI8" s="13">
        <f>IF(Time!AI34=1,INDEX(Funding!$J$54:$BJ$54,1,Time!$F$14),0)+AH30+AH42</f>
        <v/>
      </c>
      <c r="AJ8" s="13">
        <f>IF(Time!AJ34=1,INDEX(Funding!$J$54:$BJ$54,1,Time!$F$14),0)+AI30+AI42</f>
        <v/>
      </c>
      <c r="AK8" s="13">
        <f>IF(Time!AK34=1,INDEX(Funding!$J$54:$BJ$54,1,Time!$F$14),0)+AJ30+AJ42</f>
        <v/>
      </c>
      <c r="AL8" s="13">
        <f>IF(Time!AL34=1,INDEX(Funding!$J$54:$BJ$54,1,Time!$F$14),0)+AK30+AK42</f>
        <v/>
      </c>
      <c r="AM8" s="13">
        <f>IF(Time!AM34=1,INDEX(Funding!$J$54:$BJ$54,1,Time!$F$14),0)+AL30+AL42</f>
        <v/>
      </c>
      <c r="AN8" s="13">
        <f>IF(Time!AN34=1,INDEX(Funding!$J$54:$BJ$54,1,Time!$F$14),0)+AM30+AM42</f>
        <v/>
      </c>
      <c r="AO8" s="13">
        <f>IF(Time!AO34=1,INDEX(Funding!$J$54:$BJ$54,1,Time!$F$14),0)+AN30+AN42</f>
        <v/>
      </c>
      <c r="AP8" s="13">
        <f>IF(Time!AP34=1,INDEX(Funding!$J$54:$BJ$54,1,Time!$F$14),0)+AO30+AO42</f>
        <v/>
      </c>
      <c r="AQ8" s="13">
        <f>IF(Time!AQ34=1,INDEX(Funding!$J$54:$BJ$54,1,Time!$F$14),0)+AP30+AP42</f>
        <v/>
      </c>
      <c r="AR8" s="13">
        <f>IF(Time!AR34=1,INDEX(Funding!$J$54:$BJ$54,1,Time!$F$14),0)+AQ30+AQ42</f>
        <v/>
      </c>
      <c r="AS8" s="13">
        <f>IF(Time!AS34=1,INDEX(Funding!$J$54:$BJ$54,1,Time!$F$14),0)+AR30+AR42</f>
        <v/>
      </c>
      <c r="AT8" s="13">
        <f>IF(Time!AT34=1,INDEX(Funding!$J$54:$BJ$54,1,Time!$F$14),0)+AS30+AS42</f>
        <v/>
      </c>
      <c r="AU8" s="13">
        <f>IF(Time!AU34=1,INDEX(Funding!$J$54:$BJ$54,1,Time!$F$14),0)+AT30+AT42</f>
        <v/>
      </c>
      <c r="AV8" s="13">
        <f>IF(Time!AV34=1,INDEX(Funding!$J$54:$BJ$54,1,Time!$F$14),0)+AU30+AU42</f>
        <v/>
      </c>
      <c r="AW8" s="13">
        <f>IF(Time!AW34=1,INDEX(Funding!$J$54:$BJ$54,1,Time!$F$14),0)+AV30+AV42</f>
        <v/>
      </c>
      <c r="AX8" s="13">
        <f>IF(Time!AX34=1,INDEX(Funding!$J$54:$BJ$54,1,Time!$F$14),0)+AW30+AW42</f>
        <v/>
      </c>
      <c r="AY8" s="13">
        <f>IF(Time!AY34=1,INDEX(Funding!$J$54:$BJ$54,1,Time!$F$14),0)+AX30+AX42</f>
        <v/>
      </c>
      <c r="AZ8" s="13">
        <f>IF(Time!AZ34=1,INDEX(Funding!$J$54:$BJ$54,1,Time!$F$14),0)+AY30+AY42</f>
        <v/>
      </c>
      <c r="BA8" s="13">
        <f>IF(Time!BA34=1,INDEX(Funding!$J$54:$BJ$54,1,Time!$F$14),0)+AZ30+AZ42</f>
        <v/>
      </c>
      <c r="BB8" s="13">
        <f>IF(Time!BB34=1,INDEX(Funding!$J$54:$BJ$54,1,Time!$F$14),0)+BA30+BA42</f>
        <v/>
      </c>
      <c r="BC8" s="13">
        <f>IF(Time!BC34=1,INDEX(Funding!$J$54:$BJ$54,1,Time!$F$14),0)+BB30+BB42</f>
        <v/>
      </c>
      <c r="BD8" s="13">
        <f>IF(Time!BD34=1,INDEX(Funding!$J$54:$BJ$54,1,Time!$F$14),0)+BC30+BC42</f>
        <v/>
      </c>
      <c r="BE8" s="13">
        <f>IF(Time!BE34=1,INDEX(Funding!$J$54:$BJ$54,1,Time!$F$14),0)+BD30+BD42</f>
        <v/>
      </c>
      <c r="BF8" s="13">
        <f>IF(Time!BF34=1,INDEX(Funding!$J$54:$BJ$54,1,Time!$F$14),0)+BE30+BE42</f>
        <v/>
      </c>
      <c r="BG8" s="13">
        <f>IF(Time!BG34=1,INDEX(Funding!$J$54:$BJ$54,1,Time!$F$14),0)+BF30+BF42</f>
        <v/>
      </c>
      <c r="BH8" s="13">
        <f>IF(Time!BH34=1,INDEX(Funding!$J$54:$BJ$54,1,Time!$F$14),0)+BG30+BG42</f>
        <v/>
      </c>
      <c r="BI8" s="13">
        <f>IF(Time!BI34=1,INDEX(Funding!$J$54:$BJ$54,1,Time!$F$14),0)+BH30+BH42</f>
        <v/>
      </c>
      <c r="BJ8" s="13">
        <f>IF(Time!BJ34=1,INDEX(Funding!$J$54:$BJ$54,1,Time!$F$14),0)+BI30+BI42</f>
        <v/>
      </c>
      <c r="BK8" s="13">
        <f>IF(Time!BK34=1,INDEX(Funding!$J$54:$BJ$54,1,Time!$F$14),0)+BJ30+BJ42</f>
        <v/>
      </c>
      <c r="BL8" s="13">
        <f>IF(Time!BL34=1,INDEX(Funding!$J$54:$BJ$54,1,Time!$F$14),0)+BK30+BK42</f>
        <v/>
      </c>
      <c r="BM8" s="13">
        <f>IF(Time!BM34=1,INDEX(Funding!$J$54:$BJ$54,1,Time!$F$14),0)+BL30+BL42</f>
        <v/>
      </c>
      <c r="BN8" s="13">
        <f>IF(Time!BN34=1,INDEX(Funding!$J$54:$BJ$54,1,Time!$F$14),0)+BM30+BM42</f>
        <v/>
      </c>
    </row>
    <row r="9">
      <c r="D9" t="inlineStr">
        <is>
          <t>Cash available for debt service</t>
        </is>
      </c>
      <c r="E9" t="inlineStr">
        <is>
          <t>USD m</t>
        </is>
      </c>
      <c r="J9" s="13">
        <f>J7+J8</f>
        <v/>
      </c>
      <c r="K9" s="13">
        <f>K7+K8</f>
        <v/>
      </c>
      <c r="L9" s="13">
        <f>L7+L8</f>
        <v/>
      </c>
      <c r="M9" s="13">
        <f>M7+M8</f>
        <v/>
      </c>
      <c r="N9" s="13">
        <f>N7+N8</f>
        <v/>
      </c>
      <c r="O9" s="13">
        <f>O7+O8</f>
        <v/>
      </c>
      <c r="P9" s="13">
        <f>P7+P8</f>
        <v/>
      </c>
      <c r="Q9" s="13">
        <f>Q7+Q8</f>
        <v/>
      </c>
      <c r="R9" s="13">
        <f>R7+R8</f>
        <v/>
      </c>
      <c r="S9" s="13">
        <f>S7+S8</f>
        <v/>
      </c>
      <c r="T9" s="13">
        <f>T7+T8</f>
        <v/>
      </c>
      <c r="U9" s="13">
        <f>U7+U8</f>
        <v/>
      </c>
      <c r="V9" s="13">
        <f>V7+V8</f>
        <v/>
      </c>
      <c r="W9" s="13">
        <f>W7+W8</f>
        <v/>
      </c>
      <c r="X9" s="13">
        <f>X7+X8</f>
        <v/>
      </c>
      <c r="Y9" s="13">
        <f>Y7+Y8</f>
        <v/>
      </c>
      <c r="Z9" s="13">
        <f>Z7+Z8</f>
        <v/>
      </c>
      <c r="AA9" s="13">
        <f>AA7+AA8</f>
        <v/>
      </c>
      <c r="AB9" s="13">
        <f>AB7+AB8</f>
        <v/>
      </c>
      <c r="AC9" s="13">
        <f>AC7+AC8</f>
        <v/>
      </c>
      <c r="AD9" s="13">
        <f>AD7+AD8</f>
        <v/>
      </c>
      <c r="AE9" s="13">
        <f>AE7+AE8</f>
        <v/>
      </c>
      <c r="AF9" s="13">
        <f>AF7+AF8</f>
        <v/>
      </c>
      <c r="AG9" s="13">
        <f>AG7+AG8</f>
        <v/>
      </c>
      <c r="AH9" s="13">
        <f>AH7+AH8</f>
        <v/>
      </c>
      <c r="AI9" s="13">
        <f>AI7+AI8</f>
        <v/>
      </c>
      <c r="AJ9" s="13">
        <f>AJ7+AJ8</f>
        <v/>
      </c>
      <c r="AK9" s="13">
        <f>AK7+AK8</f>
        <v/>
      </c>
      <c r="AL9" s="13">
        <f>AL7+AL8</f>
        <v/>
      </c>
      <c r="AM9" s="13">
        <f>AM7+AM8</f>
        <v/>
      </c>
      <c r="AN9" s="13">
        <f>AN7+AN8</f>
        <v/>
      </c>
      <c r="AO9" s="13">
        <f>AO7+AO8</f>
        <v/>
      </c>
      <c r="AP9" s="13">
        <f>AP7+AP8</f>
        <v/>
      </c>
      <c r="AQ9" s="13">
        <f>AQ7+AQ8</f>
        <v/>
      </c>
      <c r="AR9" s="13">
        <f>AR7+AR8</f>
        <v/>
      </c>
      <c r="AS9" s="13">
        <f>AS7+AS8</f>
        <v/>
      </c>
      <c r="AT9" s="13">
        <f>AT7+AT8</f>
        <v/>
      </c>
      <c r="AU9" s="13">
        <f>AU7+AU8</f>
        <v/>
      </c>
      <c r="AV9" s="13">
        <f>AV7+AV8</f>
        <v/>
      </c>
      <c r="AW9" s="13">
        <f>AW7+AW8</f>
        <v/>
      </c>
      <c r="AX9" s="13">
        <f>AX7+AX8</f>
        <v/>
      </c>
      <c r="AY9" s="13">
        <f>AY7+AY8</f>
        <v/>
      </c>
      <c r="AZ9" s="13">
        <f>AZ7+AZ8</f>
        <v/>
      </c>
      <c r="BA9" s="13">
        <f>BA7+BA8</f>
        <v/>
      </c>
      <c r="BB9" s="13">
        <f>BB7+BB8</f>
        <v/>
      </c>
      <c r="BC9" s="13">
        <f>BC7+BC8</f>
        <v/>
      </c>
      <c r="BD9" s="13">
        <f>BD7+BD8</f>
        <v/>
      </c>
      <c r="BE9" s="13">
        <f>BE7+BE8</f>
        <v/>
      </c>
      <c r="BF9" s="13">
        <f>BF7+BF8</f>
        <v/>
      </c>
      <c r="BG9" s="13">
        <f>BG7+BG8</f>
        <v/>
      </c>
      <c r="BH9" s="13">
        <f>BH7+BH8</f>
        <v/>
      </c>
      <c r="BI9" s="13">
        <f>BI7+BI8</f>
        <v/>
      </c>
      <c r="BJ9" s="13">
        <f>BJ7+BJ8</f>
        <v/>
      </c>
      <c r="BK9" s="13">
        <f>BK7+BK8</f>
        <v/>
      </c>
      <c r="BL9" s="13">
        <f>BL7+BL8</f>
        <v/>
      </c>
      <c r="BM9" s="13">
        <f>BM7+BM8</f>
        <v/>
      </c>
      <c r="BN9" s="13">
        <f>BN7+BN8</f>
        <v/>
      </c>
    </row>
    <row r="10">
      <c r="D10" t="inlineStr">
        <is>
          <t>Senior debt service and fees due</t>
        </is>
      </c>
      <c r="E10" t="inlineStr">
        <is>
          <t>USD m</t>
        </is>
      </c>
      <c r="G10" s="13">
        <f>SUM(J10:BN10)</f>
        <v/>
      </c>
      <c r="J10" s="13">
        <f>Debt!J114+Debt!J110</f>
        <v/>
      </c>
      <c r="K10" s="13">
        <f>Debt!K114+Debt!K110</f>
        <v/>
      </c>
      <c r="L10" s="13">
        <f>Debt!L114+Debt!L110</f>
        <v/>
      </c>
      <c r="M10" s="13">
        <f>Debt!M114+Debt!M110</f>
        <v/>
      </c>
      <c r="N10" s="13">
        <f>Debt!N114+Debt!N110</f>
        <v/>
      </c>
      <c r="O10" s="13">
        <f>Debt!O114+Debt!O110</f>
        <v/>
      </c>
      <c r="P10" s="13">
        <f>Debt!P114+Debt!P110</f>
        <v/>
      </c>
      <c r="Q10" s="13">
        <f>Debt!Q114+Debt!Q110</f>
        <v/>
      </c>
      <c r="R10" s="13">
        <f>Debt!R114+Debt!R110</f>
        <v/>
      </c>
      <c r="S10" s="13">
        <f>Debt!S114+Debt!S110</f>
        <v/>
      </c>
      <c r="T10" s="13">
        <f>Debt!T114+Debt!T110</f>
        <v/>
      </c>
      <c r="U10" s="13">
        <f>Debt!U114+Debt!U110</f>
        <v/>
      </c>
      <c r="V10" s="13">
        <f>Debt!V114+Debt!V110</f>
        <v/>
      </c>
      <c r="W10" s="13">
        <f>Debt!W114+Debt!W110</f>
        <v/>
      </c>
      <c r="X10" s="13">
        <f>Debt!X114+Debt!X110</f>
        <v/>
      </c>
      <c r="Y10" s="13">
        <f>Debt!Y114+Debt!Y110</f>
        <v/>
      </c>
      <c r="Z10" s="13">
        <f>Debt!Z114+Debt!Z110</f>
        <v/>
      </c>
      <c r="AA10" s="13">
        <f>Debt!AA114+Debt!AA110</f>
        <v/>
      </c>
      <c r="AB10" s="13">
        <f>Debt!AB114+Debt!AB110</f>
        <v/>
      </c>
      <c r="AC10" s="13">
        <f>Debt!AC114+Debt!AC110</f>
        <v/>
      </c>
      <c r="AD10" s="13">
        <f>Debt!AD114+Debt!AD110</f>
        <v/>
      </c>
      <c r="AE10" s="13">
        <f>Debt!AE114+Debt!AE110</f>
        <v/>
      </c>
      <c r="AF10" s="13">
        <f>Debt!AF114+Debt!AF110</f>
        <v/>
      </c>
      <c r="AG10" s="13">
        <f>Debt!AG114+Debt!AG110</f>
        <v/>
      </c>
      <c r="AH10" s="13">
        <f>Debt!AH114+Debt!AH110</f>
        <v/>
      </c>
      <c r="AI10" s="13">
        <f>Debt!AI114+Debt!AI110</f>
        <v/>
      </c>
      <c r="AJ10" s="13">
        <f>Debt!AJ114+Debt!AJ110</f>
        <v/>
      </c>
      <c r="AK10" s="13">
        <f>Debt!AK114+Debt!AK110</f>
        <v/>
      </c>
      <c r="AL10" s="13">
        <f>Debt!AL114+Debt!AL110</f>
        <v/>
      </c>
      <c r="AM10" s="13">
        <f>Debt!AM114+Debt!AM110</f>
        <v/>
      </c>
      <c r="AN10" s="13">
        <f>Debt!AN114+Debt!AN110</f>
        <v/>
      </c>
      <c r="AO10" s="13">
        <f>Debt!AO114+Debt!AO110</f>
        <v/>
      </c>
      <c r="AP10" s="13">
        <f>Debt!AP114+Debt!AP110</f>
        <v/>
      </c>
      <c r="AQ10" s="13">
        <f>Debt!AQ114+Debt!AQ110</f>
        <v/>
      </c>
      <c r="AR10" s="13">
        <f>Debt!AR114+Debt!AR110</f>
        <v/>
      </c>
      <c r="AS10" s="13">
        <f>Debt!AS114+Debt!AS110</f>
        <v/>
      </c>
      <c r="AT10" s="13">
        <f>Debt!AT114+Debt!AT110</f>
        <v/>
      </c>
      <c r="AU10" s="13">
        <f>Debt!AU114+Debt!AU110</f>
        <v/>
      </c>
      <c r="AV10" s="13">
        <f>Debt!AV114+Debt!AV110</f>
        <v/>
      </c>
      <c r="AW10" s="13">
        <f>Debt!AW114+Debt!AW110</f>
        <v/>
      </c>
      <c r="AX10" s="13">
        <f>Debt!AX114+Debt!AX110</f>
        <v/>
      </c>
      <c r="AY10" s="13">
        <f>Debt!AY114+Debt!AY110</f>
        <v/>
      </c>
      <c r="AZ10" s="13">
        <f>Debt!AZ114+Debt!AZ110</f>
        <v/>
      </c>
      <c r="BA10" s="13">
        <f>Debt!BA114+Debt!BA110</f>
        <v/>
      </c>
      <c r="BB10" s="13">
        <f>Debt!BB114+Debt!BB110</f>
        <v/>
      </c>
      <c r="BC10" s="13">
        <f>Debt!BC114+Debt!BC110</f>
        <v/>
      </c>
      <c r="BD10" s="13">
        <f>Debt!BD114+Debt!BD110</f>
        <v/>
      </c>
      <c r="BE10" s="13">
        <f>Debt!BE114+Debt!BE110</f>
        <v/>
      </c>
      <c r="BF10" s="13">
        <f>Debt!BF114+Debt!BF110</f>
        <v/>
      </c>
      <c r="BG10" s="13">
        <f>Debt!BG114+Debt!BG110</f>
        <v/>
      </c>
      <c r="BH10" s="13">
        <f>Debt!BH114+Debt!BH110</f>
        <v/>
      </c>
      <c r="BI10" s="13">
        <f>Debt!BI114+Debt!BI110</f>
        <v/>
      </c>
      <c r="BJ10" s="13">
        <f>Debt!BJ114+Debt!BJ110</f>
        <v/>
      </c>
      <c r="BK10" s="13">
        <f>Debt!BK114+Debt!BK110</f>
        <v/>
      </c>
      <c r="BL10" s="13">
        <f>Debt!BL114+Debt!BL110</f>
        <v/>
      </c>
      <c r="BM10" s="13">
        <f>Debt!BM114+Debt!BM110</f>
        <v/>
      </c>
      <c r="BN10" s="13">
        <f>Debt!BN114+Debt!BN110</f>
        <v/>
      </c>
    </row>
    <row r="11">
      <c r="D11" t="inlineStr">
        <is>
          <t>Shortfall before DSRA</t>
        </is>
      </c>
      <c r="E11" t="inlineStr">
        <is>
          <t>USD m</t>
        </is>
      </c>
      <c r="G11" s="13">
        <f>SUM(J11:BN11)</f>
        <v/>
      </c>
      <c r="J11" s="13">
        <f>MAX(0,J10-J9)</f>
        <v/>
      </c>
      <c r="K11" s="13">
        <f>MAX(0,K10-K9)</f>
        <v/>
      </c>
      <c r="L11" s="13">
        <f>MAX(0,L10-L9)</f>
        <v/>
      </c>
      <c r="M11" s="13">
        <f>MAX(0,M10-M9)</f>
        <v/>
      </c>
      <c r="N11" s="13">
        <f>MAX(0,N10-N9)</f>
        <v/>
      </c>
      <c r="O11" s="13">
        <f>MAX(0,O10-O9)</f>
        <v/>
      </c>
      <c r="P11" s="13">
        <f>MAX(0,P10-P9)</f>
        <v/>
      </c>
      <c r="Q11" s="13">
        <f>MAX(0,Q10-Q9)</f>
        <v/>
      </c>
      <c r="R11" s="13">
        <f>MAX(0,R10-R9)</f>
        <v/>
      </c>
      <c r="S11" s="13">
        <f>MAX(0,S10-S9)</f>
        <v/>
      </c>
      <c r="T11" s="13">
        <f>MAX(0,T10-T9)</f>
        <v/>
      </c>
      <c r="U11" s="13">
        <f>MAX(0,U10-U9)</f>
        <v/>
      </c>
      <c r="V11" s="13">
        <f>MAX(0,V10-V9)</f>
        <v/>
      </c>
      <c r="W11" s="13">
        <f>MAX(0,W10-W9)</f>
        <v/>
      </c>
      <c r="X11" s="13">
        <f>MAX(0,X10-X9)</f>
        <v/>
      </c>
      <c r="Y11" s="13">
        <f>MAX(0,Y10-Y9)</f>
        <v/>
      </c>
      <c r="Z11" s="13">
        <f>MAX(0,Z10-Z9)</f>
        <v/>
      </c>
      <c r="AA11" s="13">
        <f>MAX(0,AA10-AA9)</f>
        <v/>
      </c>
      <c r="AB11" s="13">
        <f>MAX(0,AB10-AB9)</f>
        <v/>
      </c>
      <c r="AC11" s="13">
        <f>MAX(0,AC10-AC9)</f>
        <v/>
      </c>
      <c r="AD11" s="13">
        <f>MAX(0,AD10-AD9)</f>
        <v/>
      </c>
      <c r="AE11" s="13">
        <f>MAX(0,AE10-AE9)</f>
        <v/>
      </c>
      <c r="AF11" s="13">
        <f>MAX(0,AF10-AF9)</f>
        <v/>
      </c>
      <c r="AG11" s="13">
        <f>MAX(0,AG10-AG9)</f>
        <v/>
      </c>
      <c r="AH11" s="13">
        <f>MAX(0,AH10-AH9)</f>
        <v/>
      </c>
      <c r="AI11" s="13">
        <f>MAX(0,AI10-AI9)</f>
        <v/>
      </c>
      <c r="AJ11" s="13">
        <f>MAX(0,AJ10-AJ9)</f>
        <v/>
      </c>
      <c r="AK11" s="13">
        <f>MAX(0,AK10-AK9)</f>
        <v/>
      </c>
      <c r="AL11" s="13">
        <f>MAX(0,AL10-AL9)</f>
        <v/>
      </c>
      <c r="AM11" s="13">
        <f>MAX(0,AM10-AM9)</f>
        <v/>
      </c>
      <c r="AN11" s="13">
        <f>MAX(0,AN10-AN9)</f>
        <v/>
      </c>
      <c r="AO11" s="13">
        <f>MAX(0,AO10-AO9)</f>
        <v/>
      </c>
      <c r="AP11" s="13">
        <f>MAX(0,AP10-AP9)</f>
        <v/>
      </c>
      <c r="AQ11" s="13">
        <f>MAX(0,AQ10-AQ9)</f>
        <v/>
      </c>
      <c r="AR11" s="13">
        <f>MAX(0,AR10-AR9)</f>
        <v/>
      </c>
      <c r="AS11" s="13">
        <f>MAX(0,AS10-AS9)</f>
        <v/>
      </c>
      <c r="AT11" s="13">
        <f>MAX(0,AT10-AT9)</f>
        <v/>
      </c>
      <c r="AU11" s="13">
        <f>MAX(0,AU10-AU9)</f>
        <v/>
      </c>
      <c r="AV11" s="13">
        <f>MAX(0,AV10-AV9)</f>
        <v/>
      </c>
      <c r="AW11" s="13">
        <f>MAX(0,AW10-AW9)</f>
        <v/>
      </c>
      <c r="AX11" s="13">
        <f>MAX(0,AX10-AX9)</f>
        <v/>
      </c>
      <c r="AY11" s="13">
        <f>MAX(0,AY10-AY9)</f>
        <v/>
      </c>
      <c r="AZ11" s="13">
        <f>MAX(0,AZ10-AZ9)</f>
        <v/>
      </c>
      <c r="BA11" s="13">
        <f>MAX(0,BA10-BA9)</f>
        <v/>
      </c>
      <c r="BB11" s="13">
        <f>MAX(0,BB10-BB9)</f>
        <v/>
      </c>
      <c r="BC11" s="13">
        <f>MAX(0,BC10-BC9)</f>
        <v/>
      </c>
      <c r="BD11" s="13">
        <f>MAX(0,BD10-BD9)</f>
        <v/>
      </c>
      <c r="BE11" s="13">
        <f>MAX(0,BE10-BE9)</f>
        <v/>
      </c>
      <c r="BF11" s="13">
        <f>MAX(0,BF10-BF9)</f>
        <v/>
      </c>
      <c r="BG11" s="13">
        <f>MAX(0,BG10-BG9)</f>
        <v/>
      </c>
      <c r="BH11" s="13">
        <f>MAX(0,BH10-BH9)</f>
        <v/>
      </c>
      <c r="BI11" s="13">
        <f>MAX(0,BI10-BI9)</f>
        <v/>
      </c>
      <c r="BJ11" s="13">
        <f>MAX(0,BJ10-BJ9)</f>
        <v/>
      </c>
      <c r="BK11" s="13">
        <f>MAX(0,BK10-BK9)</f>
        <v/>
      </c>
      <c r="BL11" s="13">
        <f>MAX(0,BL10-BL9)</f>
        <v/>
      </c>
      <c r="BM11" s="13">
        <f>MAX(0,BM10-BM9)</f>
        <v/>
      </c>
      <c r="BN11" s="13">
        <f>MAX(0,BN10-BN9)</f>
        <v/>
      </c>
    </row>
    <row r="12">
      <c r="D12" t="inlineStr">
        <is>
          <t>Shortfall after DSRA (must be zero)</t>
        </is>
      </c>
      <c r="E12" t="inlineStr">
        <is>
          <t>USD m</t>
        </is>
      </c>
      <c r="G12" s="13">
        <f>SUM(J12:BN12)</f>
        <v/>
      </c>
      <c r="J12" s="13">
        <f>J11-Reserves!J10</f>
        <v/>
      </c>
      <c r="K12" s="13">
        <f>K11-Reserves!K10</f>
        <v/>
      </c>
      <c r="L12" s="13">
        <f>L11-Reserves!L10</f>
        <v/>
      </c>
      <c r="M12" s="13">
        <f>M11-Reserves!M10</f>
        <v/>
      </c>
      <c r="N12" s="13">
        <f>N11-Reserves!N10</f>
        <v/>
      </c>
      <c r="O12" s="13">
        <f>O11-Reserves!O10</f>
        <v/>
      </c>
      <c r="P12" s="13">
        <f>P11-Reserves!P10</f>
        <v/>
      </c>
      <c r="Q12" s="13">
        <f>Q11-Reserves!Q10</f>
        <v/>
      </c>
      <c r="R12" s="13">
        <f>R11-Reserves!R10</f>
        <v/>
      </c>
      <c r="S12" s="13">
        <f>S11-Reserves!S10</f>
        <v/>
      </c>
      <c r="T12" s="13">
        <f>T11-Reserves!T10</f>
        <v/>
      </c>
      <c r="U12" s="13">
        <f>U11-Reserves!U10</f>
        <v/>
      </c>
      <c r="V12" s="13">
        <f>V11-Reserves!V10</f>
        <v/>
      </c>
      <c r="W12" s="13">
        <f>W11-Reserves!W10</f>
        <v/>
      </c>
      <c r="X12" s="13">
        <f>X11-Reserves!X10</f>
        <v/>
      </c>
      <c r="Y12" s="13">
        <f>Y11-Reserves!Y10</f>
        <v/>
      </c>
      <c r="Z12" s="13">
        <f>Z11-Reserves!Z10</f>
        <v/>
      </c>
      <c r="AA12" s="13">
        <f>AA11-Reserves!AA10</f>
        <v/>
      </c>
      <c r="AB12" s="13">
        <f>AB11-Reserves!AB10</f>
        <v/>
      </c>
      <c r="AC12" s="13">
        <f>AC11-Reserves!AC10</f>
        <v/>
      </c>
      <c r="AD12" s="13">
        <f>AD11-Reserves!AD10</f>
        <v/>
      </c>
      <c r="AE12" s="13">
        <f>AE11-Reserves!AE10</f>
        <v/>
      </c>
      <c r="AF12" s="13">
        <f>AF11-Reserves!AF10</f>
        <v/>
      </c>
      <c r="AG12" s="13">
        <f>AG11-Reserves!AG10</f>
        <v/>
      </c>
      <c r="AH12" s="13">
        <f>AH11-Reserves!AH10</f>
        <v/>
      </c>
      <c r="AI12" s="13">
        <f>AI11-Reserves!AI10</f>
        <v/>
      </c>
      <c r="AJ12" s="13">
        <f>AJ11-Reserves!AJ10</f>
        <v/>
      </c>
      <c r="AK12" s="13">
        <f>AK11-Reserves!AK10</f>
        <v/>
      </c>
      <c r="AL12" s="13">
        <f>AL11-Reserves!AL10</f>
        <v/>
      </c>
      <c r="AM12" s="13">
        <f>AM11-Reserves!AM10</f>
        <v/>
      </c>
      <c r="AN12" s="13">
        <f>AN11-Reserves!AN10</f>
        <v/>
      </c>
      <c r="AO12" s="13">
        <f>AO11-Reserves!AO10</f>
        <v/>
      </c>
      <c r="AP12" s="13">
        <f>AP11-Reserves!AP10</f>
        <v/>
      </c>
      <c r="AQ12" s="13">
        <f>AQ11-Reserves!AQ10</f>
        <v/>
      </c>
      <c r="AR12" s="13">
        <f>AR11-Reserves!AR10</f>
        <v/>
      </c>
      <c r="AS12" s="13">
        <f>AS11-Reserves!AS10</f>
        <v/>
      </c>
      <c r="AT12" s="13">
        <f>AT11-Reserves!AT10</f>
        <v/>
      </c>
      <c r="AU12" s="13">
        <f>AU11-Reserves!AU10</f>
        <v/>
      </c>
      <c r="AV12" s="13">
        <f>AV11-Reserves!AV10</f>
        <v/>
      </c>
      <c r="AW12" s="13">
        <f>AW11-Reserves!AW10</f>
        <v/>
      </c>
      <c r="AX12" s="13">
        <f>AX11-Reserves!AX10</f>
        <v/>
      </c>
      <c r="AY12" s="13">
        <f>AY11-Reserves!AY10</f>
        <v/>
      </c>
      <c r="AZ12" s="13">
        <f>AZ11-Reserves!AZ10</f>
        <v/>
      </c>
      <c r="BA12" s="13">
        <f>BA11-Reserves!BA10</f>
        <v/>
      </c>
      <c r="BB12" s="13">
        <f>BB11-Reserves!BB10</f>
        <v/>
      </c>
      <c r="BC12" s="13">
        <f>BC11-Reserves!BC10</f>
        <v/>
      </c>
      <c r="BD12" s="13">
        <f>BD11-Reserves!BD10</f>
        <v/>
      </c>
      <c r="BE12" s="13">
        <f>BE11-Reserves!BE10</f>
        <v/>
      </c>
      <c r="BF12" s="13">
        <f>BF11-Reserves!BF10</f>
        <v/>
      </c>
      <c r="BG12" s="13">
        <f>BG11-Reserves!BG10</f>
        <v/>
      </c>
      <c r="BH12" s="13">
        <f>BH11-Reserves!BH10</f>
        <v/>
      </c>
      <c r="BI12" s="13">
        <f>BI11-Reserves!BI10</f>
        <v/>
      </c>
      <c r="BJ12" s="13">
        <f>BJ11-Reserves!BJ10</f>
        <v/>
      </c>
      <c r="BK12" s="13">
        <f>BK11-Reserves!BK10</f>
        <v/>
      </c>
      <c r="BL12" s="13">
        <f>BL11-Reserves!BL10</f>
        <v/>
      </c>
      <c r="BM12" s="13">
        <f>BM11-Reserves!BM10</f>
        <v/>
      </c>
      <c r="BN12" s="13">
        <f>BN11-Reserves!BN10</f>
        <v/>
      </c>
    </row>
    <row r="13">
      <c r="D13" t="inlineStr">
        <is>
          <t>Cash after debt service</t>
        </is>
      </c>
      <c r="E13" t="inlineStr">
        <is>
          <t>USD m</t>
        </is>
      </c>
      <c r="J13" s="13">
        <f>MAX(0,J9-J10)</f>
        <v/>
      </c>
      <c r="K13" s="13">
        <f>MAX(0,K9-K10)</f>
        <v/>
      </c>
      <c r="L13" s="13">
        <f>MAX(0,L9-L10)</f>
        <v/>
      </c>
      <c r="M13" s="13">
        <f>MAX(0,M9-M10)</f>
        <v/>
      </c>
      <c r="N13" s="13">
        <f>MAX(0,N9-N10)</f>
        <v/>
      </c>
      <c r="O13" s="13">
        <f>MAX(0,O9-O10)</f>
        <v/>
      </c>
      <c r="P13" s="13">
        <f>MAX(0,P9-P10)</f>
        <v/>
      </c>
      <c r="Q13" s="13">
        <f>MAX(0,Q9-Q10)</f>
        <v/>
      </c>
      <c r="R13" s="13">
        <f>MAX(0,R9-R10)</f>
        <v/>
      </c>
      <c r="S13" s="13">
        <f>MAX(0,S9-S10)</f>
        <v/>
      </c>
      <c r="T13" s="13">
        <f>MAX(0,T9-T10)</f>
        <v/>
      </c>
      <c r="U13" s="13">
        <f>MAX(0,U9-U10)</f>
        <v/>
      </c>
      <c r="V13" s="13">
        <f>MAX(0,V9-V10)</f>
        <v/>
      </c>
      <c r="W13" s="13">
        <f>MAX(0,W9-W10)</f>
        <v/>
      </c>
      <c r="X13" s="13">
        <f>MAX(0,X9-X10)</f>
        <v/>
      </c>
      <c r="Y13" s="13">
        <f>MAX(0,Y9-Y10)</f>
        <v/>
      </c>
      <c r="Z13" s="13">
        <f>MAX(0,Z9-Z10)</f>
        <v/>
      </c>
      <c r="AA13" s="13">
        <f>MAX(0,AA9-AA10)</f>
        <v/>
      </c>
      <c r="AB13" s="13">
        <f>MAX(0,AB9-AB10)</f>
        <v/>
      </c>
      <c r="AC13" s="13">
        <f>MAX(0,AC9-AC10)</f>
        <v/>
      </c>
      <c r="AD13" s="13">
        <f>MAX(0,AD9-AD10)</f>
        <v/>
      </c>
      <c r="AE13" s="13">
        <f>MAX(0,AE9-AE10)</f>
        <v/>
      </c>
      <c r="AF13" s="13">
        <f>MAX(0,AF9-AF10)</f>
        <v/>
      </c>
      <c r="AG13" s="13">
        <f>MAX(0,AG9-AG10)</f>
        <v/>
      </c>
      <c r="AH13" s="13">
        <f>MAX(0,AH9-AH10)</f>
        <v/>
      </c>
      <c r="AI13" s="13">
        <f>MAX(0,AI9-AI10)</f>
        <v/>
      </c>
      <c r="AJ13" s="13">
        <f>MAX(0,AJ9-AJ10)</f>
        <v/>
      </c>
      <c r="AK13" s="13">
        <f>MAX(0,AK9-AK10)</f>
        <v/>
      </c>
      <c r="AL13" s="13">
        <f>MAX(0,AL9-AL10)</f>
        <v/>
      </c>
      <c r="AM13" s="13">
        <f>MAX(0,AM9-AM10)</f>
        <v/>
      </c>
      <c r="AN13" s="13">
        <f>MAX(0,AN9-AN10)</f>
        <v/>
      </c>
      <c r="AO13" s="13">
        <f>MAX(0,AO9-AO10)</f>
        <v/>
      </c>
      <c r="AP13" s="13">
        <f>MAX(0,AP9-AP10)</f>
        <v/>
      </c>
      <c r="AQ13" s="13">
        <f>MAX(0,AQ9-AQ10)</f>
        <v/>
      </c>
      <c r="AR13" s="13">
        <f>MAX(0,AR9-AR10)</f>
        <v/>
      </c>
      <c r="AS13" s="13">
        <f>MAX(0,AS9-AS10)</f>
        <v/>
      </c>
      <c r="AT13" s="13">
        <f>MAX(0,AT9-AT10)</f>
        <v/>
      </c>
      <c r="AU13" s="13">
        <f>MAX(0,AU9-AU10)</f>
        <v/>
      </c>
      <c r="AV13" s="13">
        <f>MAX(0,AV9-AV10)</f>
        <v/>
      </c>
      <c r="AW13" s="13">
        <f>MAX(0,AW9-AW10)</f>
        <v/>
      </c>
      <c r="AX13" s="13">
        <f>MAX(0,AX9-AX10)</f>
        <v/>
      </c>
      <c r="AY13" s="13">
        <f>MAX(0,AY9-AY10)</f>
        <v/>
      </c>
      <c r="AZ13" s="13">
        <f>MAX(0,AZ9-AZ10)</f>
        <v/>
      </c>
      <c r="BA13" s="13">
        <f>MAX(0,BA9-BA10)</f>
        <v/>
      </c>
      <c r="BB13" s="13">
        <f>MAX(0,BB9-BB10)</f>
        <v/>
      </c>
      <c r="BC13" s="13">
        <f>MAX(0,BC9-BC10)</f>
        <v/>
      </c>
      <c r="BD13" s="13">
        <f>MAX(0,BD9-BD10)</f>
        <v/>
      </c>
      <c r="BE13" s="13">
        <f>MAX(0,BE9-BE10)</f>
        <v/>
      </c>
      <c r="BF13" s="13">
        <f>MAX(0,BF9-BF10)</f>
        <v/>
      </c>
      <c r="BG13" s="13">
        <f>MAX(0,BG9-BG10)</f>
        <v/>
      </c>
      <c r="BH13" s="13">
        <f>MAX(0,BH9-BH10)</f>
        <v/>
      </c>
      <c r="BI13" s="13">
        <f>MAX(0,BI9-BI10)</f>
        <v/>
      </c>
      <c r="BJ13" s="13">
        <f>MAX(0,BJ9-BJ10)</f>
        <v/>
      </c>
      <c r="BK13" s="13">
        <f>MAX(0,BK9-BK10)</f>
        <v/>
      </c>
      <c r="BL13" s="13">
        <f>MAX(0,BL9-BL10)</f>
        <v/>
      </c>
      <c r="BM13" s="13">
        <f>MAX(0,BM9-BM10)</f>
        <v/>
      </c>
      <c r="BN13" s="13">
        <f>MAX(0,BN9-BN10)</f>
        <v/>
      </c>
    </row>
    <row r="14">
      <c r="D14" t="inlineStr">
        <is>
          <t>Cash after DSRA movements</t>
        </is>
      </c>
      <c r="E14" t="inlineStr">
        <is>
          <t>USD m</t>
        </is>
      </c>
      <c r="J14" s="13">
        <f>J13-Reserves!J11+Reserves!J12</f>
        <v/>
      </c>
      <c r="K14" s="13">
        <f>K13-Reserves!K11+Reserves!K12</f>
        <v/>
      </c>
      <c r="L14" s="13">
        <f>L13-Reserves!L11+Reserves!L12</f>
        <v/>
      </c>
      <c r="M14" s="13">
        <f>M13-Reserves!M11+Reserves!M12</f>
        <v/>
      </c>
      <c r="N14" s="13">
        <f>N13-Reserves!N11+Reserves!N12</f>
        <v/>
      </c>
      <c r="O14" s="13">
        <f>O13-Reserves!O11+Reserves!O12</f>
        <v/>
      </c>
      <c r="P14" s="13">
        <f>P13-Reserves!P11+Reserves!P12</f>
        <v/>
      </c>
      <c r="Q14" s="13">
        <f>Q13-Reserves!Q11+Reserves!Q12</f>
        <v/>
      </c>
      <c r="R14" s="13">
        <f>R13-Reserves!R11+Reserves!R12</f>
        <v/>
      </c>
      <c r="S14" s="13">
        <f>S13-Reserves!S11+Reserves!S12</f>
        <v/>
      </c>
      <c r="T14" s="13">
        <f>T13-Reserves!T11+Reserves!T12</f>
        <v/>
      </c>
      <c r="U14" s="13">
        <f>U13-Reserves!U11+Reserves!U12</f>
        <v/>
      </c>
      <c r="V14" s="13">
        <f>V13-Reserves!V11+Reserves!V12</f>
        <v/>
      </c>
      <c r="W14" s="13">
        <f>W13-Reserves!W11+Reserves!W12</f>
        <v/>
      </c>
      <c r="X14" s="13">
        <f>X13-Reserves!X11+Reserves!X12</f>
        <v/>
      </c>
      <c r="Y14" s="13">
        <f>Y13-Reserves!Y11+Reserves!Y12</f>
        <v/>
      </c>
      <c r="Z14" s="13">
        <f>Z13-Reserves!Z11+Reserves!Z12</f>
        <v/>
      </c>
      <c r="AA14" s="13">
        <f>AA13-Reserves!AA11+Reserves!AA12</f>
        <v/>
      </c>
      <c r="AB14" s="13">
        <f>AB13-Reserves!AB11+Reserves!AB12</f>
        <v/>
      </c>
      <c r="AC14" s="13">
        <f>AC13-Reserves!AC11+Reserves!AC12</f>
        <v/>
      </c>
      <c r="AD14" s="13">
        <f>AD13-Reserves!AD11+Reserves!AD12</f>
        <v/>
      </c>
      <c r="AE14" s="13">
        <f>AE13-Reserves!AE11+Reserves!AE12</f>
        <v/>
      </c>
      <c r="AF14" s="13">
        <f>AF13-Reserves!AF11+Reserves!AF12</f>
        <v/>
      </c>
      <c r="AG14" s="13">
        <f>AG13-Reserves!AG11+Reserves!AG12</f>
        <v/>
      </c>
      <c r="AH14" s="13">
        <f>AH13-Reserves!AH11+Reserves!AH12</f>
        <v/>
      </c>
      <c r="AI14" s="13">
        <f>AI13-Reserves!AI11+Reserves!AI12</f>
        <v/>
      </c>
      <c r="AJ14" s="13">
        <f>AJ13-Reserves!AJ11+Reserves!AJ12</f>
        <v/>
      </c>
      <c r="AK14" s="13">
        <f>AK13-Reserves!AK11+Reserves!AK12</f>
        <v/>
      </c>
      <c r="AL14" s="13">
        <f>AL13-Reserves!AL11+Reserves!AL12</f>
        <v/>
      </c>
      <c r="AM14" s="13">
        <f>AM13-Reserves!AM11+Reserves!AM12</f>
        <v/>
      </c>
      <c r="AN14" s="13">
        <f>AN13-Reserves!AN11+Reserves!AN12</f>
        <v/>
      </c>
      <c r="AO14" s="13">
        <f>AO13-Reserves!AO11+Reserves!AO12</f>
        <v/>
      </c>
      <c r="AP14" s="13">
        <f>AP13-Reserves!AP11+Reserves!AP12</f>
        <v/>
      </c>
      <c r="AQ14" s="13">
        <f>AQ13-Reserves!AQ11+Reserves!AQ12</f>
        <v/>
      </c>
      <c r="AR14" s="13">
        <f>AR13-Reserves!AR11+Reserves!AR12</f>
        <v/>
      </c>
      <c r="AS14" s="13">
        <f>AS13-Reserves!AS11+Reserves!AS12</f>
        <v/>
      </c>
      <c r="AT14" s="13">
        <f>AT13-Reserves!AT11+Reserves!AT12</f>
        <v/>
      </c>
      <c r="AU14" s="13">
        <f>AU13-Reserves!AU11+Reserves!AU12</f>
        <v/>
      </c>
      <c r="AV14" s="13">
        <f>AV13-Reserves!AV11+Reserves!AV12</f>
        <v/>
      </c>
      <c r="AW14" s="13">
        <f>AW13-Reserves!AW11+Reserves!AW12</f>
        <v/>
      </c>
      <c r="AX14" s="13">
        <f>AX13-Reserves!AX11+Reserves!AX12</f>
        <v/>
      </c>
      <c r="AY14" s="13">
        <f>AY13-Reserves!AY11+Reserves!AY12</f>
        <v/>
      </c>
      <c r="AZ14" s="13">
        <f>AZ13-Reserves!AZ11+Reserves!AZ12</f>
        <v/>
      </c>
      <c r="BA14" s="13">
        <f>BA13-Reserves!BA11+Reserves!BA12</f>
        <v/>
      </c>
      <c r="BB14" s="13">
        <f>BB13-Reserves!BB11+Reserves!BB12</f>
        <v/>
      </c>
      <c r="BC14" s="13">
        <f>BC13-Reserves!BC11+Reserves!BC12</f>
        <v/>
      </c>
      <c r="BD14" s="13">
        <f>BD13-Reserves!BD11+Reserves!BD12</f>
        <v/>
      </c>
      <c r="BE14" s="13">
        <f>BE13-Reserves!BE11+Reserves!BE12</f>
        <v/>
      </c>
      <c r="BF14" s="13">
        <f>BF13-Reserves!BF11+Reserves!BF12</f>
        <v/>
      </c>
      <c r="BG14" s="13">
        <f>BG13-Reserves!BG11+Reserves!BG12</f>
        <v/>
      </c>
      <c r="BH14" s="13">
        <f>BH13-Reserves!BH11+Reserves!BH12</f>
        <v/>
      </c>
      <c r="BI14" s="13">
        <f>BI13-Reserves!BI11+Reserves!BI12</f>
        <v/>
      </c>
      <c r="BJ14" s="13">
        <f>BJ13-Reserves!BJ11+Reserves!BJ12</f>
        <v/>
      </c>
      <c r="BK14" s="13">
        <f>BK13-Reserves!BK11+Reserves!BK12</f>
        <v/>
      </c>
      <c r="BL14" s="13">
        <f>BL13-Reserves!BL11+Reserves!BL12</f>
        <v/>
      </c>
      <c r="BM14" s="13">
        <f>BM13-Reserves!BM11+Reserves!BM12</f>
        <v/>
      </c>
      <c r="BN14" s="13">
        <f>BN13-Reserves!BN11+Reserves!BN12</f>
        <v/>
      </c>
    </row>
    <row r="15">
      <c r="D15" t="inlineStr">
        <is>
          <t>Cash available for distribution tests</t>
        </is>
      </c>
      <c r="E15" t="inlineStr">
        <is>
          <t>USD m</t>
        </is>
      </c>
      <c r="J15" s="13">
        <f>J14-Reserves!J14+Reserves!J15</f>
        <v/>
      </c>
      <c r="K15" s="13">
        <f>K14-Reserves!K14+Reserves!K15</f>
        <v/>
      </c>
      <c r="L15" s="13">
        <f>L14-Reserves!L14+Reserves!L15</f>
        <v/>
      </c>
      <c r="M15" s="13">
        <f>M14-Reserves!M14+Reserves!M15</f>
        <v/>
      </c>
      <c r="N15" s="13">
        <f>N14-Reserves!N14+Reserves!N15</f>
        <v/>
      </c>
      <c r="O15" s="13">
        <f>O14-Reserves!O14+Reserves!O15</f>
        <v/>
      </c>
      <c r="P15" s="13">
        <f>P14-Reserves!P14+Reserves!P15</f>
        <v/>
      </c>
      <c r="Q15" s="13">
        <f>Q14-Reserves!Q14+Reserves!Q15</f>
        <v/>
      </c>
      <c r="R15" s="13">
        <f>R14-Reserves!R14+Reserves!R15</f>
        <v/>
      </c>
      <c r="S15" s="13">
        <f>S14-Reserves!S14+Reserves!S15</f>
        <v/>
      </c>
      <c r="T15" s="13">
        <f>T14-Reserves!T14+Reserves!T15</f>
        <v/>
      </c>
      <c r="U15" s="13">
        <f>U14-Reserves!U14+Reserves!U15</f>
        <v/>
      </c>
      <c r="V15" s="13">
        <f>V14-Reserves!V14+Reserves!V15</f>
        <v/>
      </c>
      <c r="W15" s="13">
        <f>W14-Reserves!W14+Reserves!W15</f>
        <v/>
      </c>
      <c r="X15" s="13">
        <f>X14-Reserves!X14+Reserves!X15</f>
        <v/>
      </c>
      <c r="Y15" s="13">
        <f>Y14-Reserves!Y14+Reserves!Y15</f>
        <v/>
      </c>
      <c r="Z15" s="13">
        <f>Z14-Reserves!Z14+Reserves!Z15</f>
        <v/>
      </c>
      <c r="AA15" s="13">
        <f>AA14-Reserves!AA14+Reserves!AA15</f>
        <v/>
      </c>
      <c r="AB15" s="13">
        <f>AB14-Reserves!AB14+Reserves!AB15</f>
        <v/>
      </c>
      <c r="AC15" s="13">
        <f>AC14-Reserves!AC14+Reserves!AC15</f>
        <v/>
      </c>
      <c r="AD15" s="13">
        <f>AD14-Reserves!AD14+Reserves!AD15</f>
        <v/>
      </c>
      <c r="AE15" s="13">
        <f>AE14-Reserves!AE14+Reserves!AE15</f>
        <v/>
      </c>
      <c r="AF15" s="13">
        <f>AF14-Reserves!AF14+Reserves!AF15</f>
        <v/>
      </c>
      <c r="AG15" s="13">
        <f>AG14-Reserves!AG14+Reserves!AG15</f>
        <v/>
      </c>
      <c r="AH15" s="13">
        <f>AH14-Reserves!AH14+Reserves!AH15</f>
        <v/>
      </c>
      <c r="AI15" s="13">
        <f>AI14-Reserves!AI14+Reserves!AI15</f>
        <v/>
      </c>
      <c r="AJ15" s="13">
        <f>AJ14-Reserves!AJ14+Reserves!AJ15</f>
        <v/>
      </c>
      <c r="AK15" s="13">
        <f>AK14-Reserves!AK14+Reserves!AK15</f>
        <v/>
      </c>
      <c r="AL15" s="13">
        <f>AL14-Reserves!AL14+Reserves!AL15</f>
        <v/>
      </c>
      <c r="AM15" s="13">
        <f>AM14-Reserves!AM14+Reserves!AM15</f>
        <v/>
      </c>
      <c r="AN15" s="13">
        <f>AN14-Reserves!AN14+Reserves!AN15</f>
        <v/>
      </c>
      <c r="AO15" s="13">
        <f>AO14-Reserves!AO14+Reserves!AO15</f>
        <v/>
      </c>
      <c r="AP15" s="13">
        <f>AP14-Reserves!AP14+Reserves!AP15</f>
        <v/>
      </c>
      <c r="AQ15" s="13">
        <f>AQ14-Reserves!AQ14+Reserves!AQ15</f>
        <v/>
      </c>
      <c r="AR15" s="13">
        <f>AR14-Reserves!AR14+Reserves!AR15</f>
        <v/>
      </c>
      <c r="AS15" s="13">
        <f>AS14-Reserves!AS14+Reserves!AS15</f>
        <v/>
      </c>
      <c r="AT15" s="13">
        <f>AT14-Reserves!AT14+Reserves!AT15</f>
        <v/>
      </c>
      <c r="AU15" s="13">
        <f>AU14-Reserves!AU14+Reserves!AU15</f>
        <v/>
      </c>
      <c r="AV15" s="13">
        <f>AV14-Reserves!AV14+Reserves!AV15</f>
        <v/>
      </c>
      <c r="AW15" s="13">
        <f>AW14-Reserves!AW14+Reserves!AW15</f>
        <v/>
      </c>
      <c r="AX15" s="13">
        <f>AX14-Reserves!AX14+Reserves!AX15</f>
        <v/>
      </c>
      <c r="AY15" s="13">
        <f>AY14-Reserves!AY14+Reserves!AY15</f>
        <v/>
      </c>
      <c r="AZ15" s="13">
        <f>AZ14-Reserves!AZ14+Reserves!AZ15</f>
        <v/>
      </c>
      <c r="BA15" s="13">
        <f>BA14-Reserves!BA14+Reserves!BA15</f>
        <v/>
      </c>
      <c r="BB15" s="13">
        <f>BB14-Reserves!BB14+Reserves!BB15</f>
        <v/>
      </c>
      <c r="BC15" s="13">
        <f>BC14-Reserves!BC14+Reserves!BC15</f>
        <v/>
      </c>
      <c r="BD15" s="13">
        <f>BD14-Reserves!BD14+Reserves!BD15</f>
        <v/>
      </c>
      <c r="BE15" s="13">
        <f>BE14-Reserves!BE14+Reserves!BE15</f>
        <v/>
      </c>
      <c r="BF15" s="13">
        <f>BF14-Reserves!BF14+Reserves!BF15</f>
        <v/>
      </c>
      <c r="BG15" s="13">
        <f>BG14-Reserves!BG14+Reserves!BG15</f>
        <v/>
      </c>
      <c r="BH15" s="13">
        <f>BH14-Reserves!BH14+Reserves!BH15</f>
        <v/>
      </c>
      <c r="BI15" s="13">
        <f>BI14-Reserves!BI14+Reserves!BI15</f>
        <v/>
      </c>
      <c r="BJ15" s="13">
        <f>BJ14-Reserves!BJ14+Reserves!BJ15</f>
        <v/>
      </c>
      <c r="BK15" s="13">
        <f>BK14-Reserves!BK14+Reserves!BK15</f>
        <v/>
      </c>
      <c r="BL15" s="13">
        <f>BL14-Reserves!BL14+Reserves!BL15</f>
        <v/>
      </c>
      <c r="BM15" s="13">
        <f>BM14-Reserves!BM14+Reserves!BM15</f>
        <v/>
      </c>
      <c r="BN15" s="13">
        <f>BN14-Reserves!BN14+Reserves!BN15</f>
        <v/>
      </c>
    </row>
    <row r="16">
      <c r="B16" s="2" t="inlineStr">
        <is>
          <t>Ratios and tests</t>
        </is>
      </c>
    </row>
    <row r="17">
      <c r="D17" t="inlineStr">
        <is>
          <t>DSCR, period</t>
        </is>
      </c>
      <c r="E17" t="inlineStr">
        <is>
          <t>x</t>
        </is>
      </c>
      <c r="J17" s="3">
        <f>IF(Debt!J114&gt;Inputs!$F$253,J7/Debt!J114,0)</f>
        <v/>
      </c>
      <c r="K17" s="3">
        <f>IF(Debt!K114&gt;Inputs!$F$253,K7/Debt!K114,0)</f>
        <v/>
      </c>
      <c r="L17" s="3">
        <f>IF(Debt!L114&gt;Inputs!$F$253,L7/Debt!L114,0)</f>
        <v/>
      </c>
      <c r="M17" s="3">
        <f>IF(Debt!M114&gt;Inputs!$F$253,M7/Debt!M114,0)</f>
        <v/>
      </c>
      <c r="N17" s="3">
        <f>IF(Debt!N114&gt;Inputs!$F$253,N7/Debt!N114,0)</f>
        <v/>
      </c>
      <c r="O17" s="3">
        <f>IF(Debt!O114&gt;Inputs!$F$253,O7/Debt!O114,0)</f>
        <v/>
      </c>
      <c r="P17" s="3">
        <f>IF(Debt!P114&gt;Inputs!$F$253,P7/Debt!P114,0)</f>
        <v/>
      </c>
      <c r="Q17" s="3">
        <f>IF(Debt!Q114&gt;Inputs!$F$253,Q7/Debt!Q114,0)</f>
        <v/>
      </c>
      <c r="R17" s="3">
        <f>IF(Debt!R114&gt;Inputs!$F$253,R7/Debt!R114,0)</f>
        <v/>
      </c>
      <c r="S17" s="3">
        <f>IF(Debt!S114&gt;Inputs!$F$253,S7/Debt!S114,0)</f>
        <v/>
      </c>
      <c r="T17" s="3">
        <f>IF(Debt!T114&gt;Inputs!$F$253,T7/Debt!T114,0)</f>
        <v/>
      </c>
      <c r="U17" s="3">
        <f>IF(Debt!U114&gt;Inputs!$F$253,U7/Debt!U114,0)</f>
        <v/>
      </c>
      <c r="V17" s="3">
        <f>IF(Debt!V114&gt;Inputs!$F$253,V7/Debt!V114,0)</f>
        <v/>
      </c>
      <c r="W17" s="3">
        <f>IF(Debt!W114&gt;Inputs!$F$253,W7/Debt!W114,0)</f>
        <v/>
      </c>
      <c r="X17" s="3">
        <f>IF(Debt!X114&gt;Inputs!$F$253,X7/Debt!X114,0)</f>
        <v/>
      </c>
      <c r="Y17" s="3">
        <f>IF(Debt!Y114&gt;Inputs!$F$253,Y7/Debt!Y114,0)</f>
        <v/>
      </c>
      <c r="Z17" s="3">
        <f>IF(Debt!Z114&gt;Inputs!$F$253,Z7/Debt!Z114,0)</f>
        <v/>
      </c>
      <c r="AA17" s="3">
        <f>IF(Debt!AA114&gt;Inputs!$F$253,AA7/Debt!AA114,0)</f>
        <v/>
      </c>
      <c r="AB17" s="3">
        <f>IF(Debt!AB114&gt;Inputs!$F$253,AB7/Debt!AB114,0)</f>
        <v/>
      </c>
      <c r="AC17" s="3">
        <f>IF(Debt!AC114&gt;Inputs!$F$253,AC7/Debt!AC114,0)</f>
        <v/>
      </c>
      <c r="AD17" s="3">
        <f>IF(Debt!AD114&gt;Inputs!$F$253,AD7/Debt!AD114,0)</f>
        <v/>
      </c>
      <c r="AE17" s="3">
        <f>IF(Debt!AE114&gt;Inputs!$F$253,AE7/Debt!AE114,0)</f>
        <v/>
      </c>
      <c r="AF17" s="3">
        <f>IF(Debt!AF114&gt;Inputs!$F$253,AF7/Debt!AF114,0)</f>
        <v/>
      </c>
      <c r="AG17" s="3">
        <f>IF(Debt!AG114&gt;Inputs!$F$253,AG7/Debt!AG114,0)</f>
        <v/>
      </c>
      <c r="AH17" s="3">
        <f>IF(Debt!AH114&gt;Inputs!$F$253,AH7/Debt!AH114,0)</f>
        <v/>
      </c>
      <c r="AI17" s="3">
        <f>IF(Debt!AI114&gt;Inputs!$F$253,AI7/Debt!AI114,0)</f>
        <v/>
      </c>
      <c r="AJ17" s="3">
        <f>IF(Debt!AJ114&gt;Inputs!$F$253,AJ7/Debt!AJ114,0)</f>
        <v/>
      </c>
      <c r="AK17" s="3">
        <f>IF(Debt!AK114&gt;Inputs!$F$253,AK7/Debt!AK114,0)</f>
        <v/>
      </c>
      <c r="AL17" s="3">
        <f>IF(Debt!AL114&gt;Inputs!$F$253,AL7/Debt!AL114,0)</f>
        <v/>
      </c>
      <c r="AM17" s="3">
        <f>IF(Debt!AM114&gt;Inputs!$F$253,AM7/Debt!AM114,0)</f>
        <v/>
      </c>
      <c r="AN17" s="3">
        <f>IF(Debt!AN114&gt;Inputs!$F$253,AN7/Debt!AN114,0)</f>
        <v/>
      </c>
      <c r="AO17" s="3">
        <f>IF(Debt!AO114&gt;Inputs!$F$253,AO7/Debt!AO114,0)</f>
        <v/>
      </c>
      <c r="AP17" s="3">
        <f>IF(Debt!AP114&gt;Inputs!$F$253,AP7/Debt!AP114,0)</f>
        <v/>
      </c>
      <c r="AQ17" s="3">
        <f>IF(Debt!AQ114&gt;Inputs!$F$253,AQ7/Debt!AQ114,0)</f>
        <v/>
      </c>
      <c r="AR17" s="3">
        <f>IF(Debt!AR114&gt;Inputs!$F$253,AR7/Debt!AR114,0)</f>
        <v/>
      </c>
      <c r="AS17" s="3">
        <f>IF(Debt!AS114&gt;Inputs!$F$253,AS7/Debt!AS114,0)</f>
        <v/>
      </c>
      <c r="AT17" s="3">
        <f>IF(Debt!AT114&gt;Inputs!$F$253,AT7/Debt!AT114,0)</f>
        <v/>
      </c>
      <c r="AU17" s="3">
        <f>IF(Debt!AU114&gt;Inputs!$F$253,AU7/Debt!AU114,0)</f>
        <v/>
      </c>
      <c r="AV17" s="3">
        <f>IF(Debt!AV114&gt;Inputs!$F$253,AV7/Debt!AV114,0)</f>
        <v/>
      </c>
      <c r="AW17" s="3">
        <f>IF(Debt!AW114&gt;Inputs!$F$253,AW7/Debt!AW114,0)</f>
        <v/>
      </c>
      <c r="AX17" s="3">
        <f>IF(Debt!AX114&gt;Inputs!$F$253,AX7/Debt!AX114,0)</f>
        <v/>
      </c>
      <c r="AY17" s="3">
        <f>IF(Debt!AY114&gt;Inputs!$F$253,AY7/Debt!AY114,0)</f>
        <v/>
      </c>
      <c r="AZ17" s="3">
        <f>IF(Debt!AZ114&gt;Inputs!$F$253,AZ7/Debt!AZ114,0)</f>
        <v/>
      </c>
      <c r="BA17" s="3">
        <f>IF(Debt!BA114&gt;Inputs!$F$253,BA7/Debt!BA114,0)</f>
        <v/>
      </c>
      <c r="BB17" s="3">
        <f>IF(Debt!BB114&gt;Inputs!$F$253,BB7/Debt!BB114,0)</f>
        <v/>
      </c>
      <c r="BC17" s="3">
        <f>IF(Debt!BC114&gt;Inputs!$F$253,BC7/Debt!BC114,0)</f>
        <v/>
      </c>
      <c r="BD17" s="3">
        <f>IF(Debt!BD114&gt;Inputs!$F$253,BD7/Debt!BD114,0)</f>
        <v/>
      </c>
      <c r="BE17" s="3">
        <f>IF(Debt!BE114&gt;Inputs!$F$253,BE7/Debt!BE114,0)</f>
        <v/>
      </c>
      <c r="BF17" s="3">
        <f>IF(Debt!BF114&gt;Inputs!$F$253,BF7/Debt!BF114,0)</f>
        <v/>
      </c>
      <c r="BG17" s="3">
        <f>IF(Debt!BG114&gt;Inputs!$F$253,BG7/Debt!BG114,0)</f>
        <v/>
      </c>
      <c r="BH17" s="3">
        <f>IF(Debt!BH114&gt;Inputs!$F$253,BH7/Debt!BH114,0)</f>
        <v/>
      </c>
      <c r="BI17" s="3">
        <f>IF(Debt!BI114&gt;Inputs!$F$253,BI7/Debt!BI114,0)</f>
        <v/>
      </c>
      <c r="BJ17" s="3">
        <f>IF(Debt!BJ114&gt;Inputs!$F$253,BJ7/Debt!BJ114,0)</f>
        <v/>
      </c>
      <c r="BK17" s="3">
        <f>IF(Debt!BK114&gt;Inputs!$F$253,BK7/Debt!BK114,0)</f>
        <v/>
      </c>
      <c r="BL17" s="3">
        <f>IF(Debt!BL114&gt;Inputs!$F$253,BL7/Debt!BL114,0)</f>
        <v/>
      </c>
      <c r="BM17" s="3">
        <f>IF(Debt!BM114&gt;Inputs!$F$253,BM7/Debt!BM114,0)</f>
        <v/>
      </c>
      <c r="BN17" s="3">
        <f>IF(Debt!BN114&gt;Inputs!$F$253,BN7/Debt!BN114,0)</f>
        <v/>
      </c>
    </row>
    <row r="18">
      <c r="D18" t="inlineStr">
        <is>
          <t>DSCR, historic 12 months (cash basis)</t>
        </is>
      </c>
      <c r="E18" t="inlineStr">
        <is>
          <t>x</t>
        </is>
      </c>
      <c r="J18" s="3">
        <f>IF(Debt!J114&gt;Inputs!$F$253,IF(Debt!I114&gt;Inputs!$F$253,(J7+I7)/(Debt!J114+Debt!I114),J17),0)</f>
        <v/>
      </c>
      <c r="K18" s="3">
        <f>IF(Debt!K114&gt;Inputs!$F$253,IF(Debt!J114&gt;Inputs!$F$253,(K7+J7)/(Debt!K114+Debt!J114),K17),0)</f>
        <v/>
      </c>
      <c r="L18" s="3">
        <f>IF(Debt!L114&gt;Inputs!$F$253,IF(Debt!K114&gt;Inputs!$F$253,(L7+K7)/(Debt!L114+Debt!K114),L17),0)</f>
        <v/>
      </c>
      <c r="M18" s="3">
        <f>IF(Debt!M114&gt;Inputs!$F$253,IF(Debt!L114&gt;Inputs!$F$253,(M7+L7)/(Debt!M114+Debt!L114),M17),0)</f>
        <v/>
      </c>
      <c r="N18" s="3">
        <f>IF(Debt!N114&gt;Inputs!$F$253,IF(Debt!M114&gt;Inputs!$F$253,(N7+M7)/(Debt!N114+Debt!M114),N17),0)</f>
        <v/>
      </c>
      <c r="O18" s="3">
        <f>IF(Debt!O114&gt;Inputs!$F$253,IF(Debt!N114&gt;Inputs!$F$253,(O7+N7)/(Debt!O114+Debt!N114),O17),0)</f>
        <v/>
      </c>
      <c r="P18" s="3">
        <f>IF(Debt!P114&gt;Inputs!$F$253,IF(Debt!O114&gt;Inputs!$F$253,(P7+O7)/(Debt!P114+Debt!O114),P17),0)</f>
        <v/>
      </c>
      <c r="Q18" s="3">
        <f>IF(Debt!Q114&gt;Inputs!$F$253,IF(Debt!P114&gt;Inputs!$F$253,(Q7+P7)/(Debt!Q114+Debt!P114),Q17),0)</f>
        <v/>
      </c>
      <c r="R18" s="3">
        <f>IF(Debt!R114&gt;Inputs!$F$253,IF(Debt!Q114&gt;Inputs!$F$253,(R7+Q7)/(Debt!R114+Debt!Q114),R17),0)</f>
        <v/>
      </c>
      <c r="S18" s="3">
        <f>IF(Debt!S114&gt;Inputs!$F$253,IF(Debt!R114&gt;Inputs!$F$253,(S7+R7)/(Debt!S114+Debt!R114),S17),0)</f>
        <v/>
      </c>
      <c r="T18" s="3">
        <f>IF(Debt!T114&gt;Inputs!$F$253,IF(Debt!S114&gt;Inputs!$F$253,(T7+S7)/(Debt!T114+Debt!S114),T17),0)</f>
        <v/>
      </c>
      <c r="U18" s="3">
        <f>IF(Debt!U114&gt;Inputs!$F$253,IF(Debt!T114&gt;Inputs!$F$253,(U7+T7)/(Debt!U114+Debt!T114),U17),0)</f>
        <v/>
      </c>
      <c r="V18" s="3">
        <f>IF(Debt!V114&gt;Inputs!$F$253,IF(Debt!U114&gt;Inputs!$F$253,(V7+U7)/(Debt!V114+Debt!U114),V17),0)</f>
        <v/>
      </c>
      <c r="W18" s="3">
        <f>IF(Debt!W114&gt;Inputs!$F$253,IF(Debt!V114&gt;Inputs!$F$253,(W7+V7)/(Debt!W114+Debt!V114),W17),0)</f>
        <v/>
      </c>
      <c r="X18" s="3">
        <f>IF(Debt!X114&gt;Inputs!$F$253,IF(Debt!W114&gt;Inputs!$F$253,(X7+W7)/(Debt!X114+Debt!W114),X17),0)</f>
        <v/>
      </c>
      <c r="Y18" s="3">
        <f>IF(Debt!Y114&gt;Inputs!$F$253,IF(Debt!X114&gt;Inputs!$F$253,(Y7+X7)/(Debt!Y114+Debt!X114),Y17),0)</f>
        <v/>
      </c>
      <c r="Z18" s="3">
        <f>IF(Debt!Z114&gt;Inputs!$F$253,IF(Debt!Y114&gt;Inputs!$F$253,(Z7+Y7)/(Debt!Z114+Debt!Y114),Z17),0)</f>
        <v/>
      </c>
      <c r="AA18" s="3">
        <f>IF(Debt!AA114&gt;Inputs!$F$253,IF(Debt!Z114&gt;Inputs!$F$253,(AA7+Z7)/(Debt!AA114+Debt!Z114),AA17),0)</f>
        <v/>
      </c>
      <c r="AB18" s="3">
        <f>IF(Debt!AB114&gt;Inputs!$F$253,IF(Debt!AA114&gt;Inputs!$F$253,(AB7+AA7)/(Debt!AB114+Debt!AA114),AB17),0)</f>
        <v/>
      </c>
      <c r="AC18" s="3">
        <f>IF(Debt!AC114&gt;Inputs!$F$253,IF(Debt!AB114&gt;Inputs!$F$253,(AC7+AB7)/(Debt!AC114+Debt!AB114),AC17),0)</f>
        <v/>
      </c>
      <c r="AD18" s="3">
        <f>IF(Debt!AD114&gt;Inputs!$F$253,IF(Debt!AC114&gt;Inputs!$F$253,(AD7+AC7)/(Debt!AD114+Debt!AC114),AD17),0)</f>
        <v/>
      </c>
      <c r="AE18" s="3">
        <f>IF(Debt!AE114&gt;Inputs!$F$253,IF(Debt!AD114&gt;Inputs!$F$253,(AE7+AD7)/(Debt!AE114+Debt!AD114),AE17),0)</f>
        <v/>
      </c>
      <c r="AF18" s="3">
        <f>IF(Debt!AF114&gt;Inputs!$F$253,IF(Debt!AE114&gt;Inputs!$F$253,(AF7+AE7)/(Debt!AF114+Debt!AE114),AF17),0)</f>
        <v/>
      </c>
      <c r="AG18" s="3">
        <f>IF(Debt!AG114&gt;Inputs!$F$253,IF(Debt!AF114&gt;Inputs!$F$253,(AG7+AF7)/(Debt!AG114+Debt!AF114),AG17),0)</f>
        <v/>
      </c>
      <c r="AH18" s="3">
        <f>IF(Debt!AH114&gt;Inputs!$F$253,IF(Debt!AG114&gt;Inputs!$F$253,(AH7+AG7)/(Debt!AH114+Debt!AG114),AH17),0)</f>
        <v/>
      </c>
      <c r="AI18" s="3">
        <f>IF(Debt!AI114&gt;Inputs!$F$253,IF(Debt!AH114&gt;Inputs!$F$253,(AI7+AH7)/(Debt!AI114+Debt!AH114),AI17),0)</f>
        <v/>
      </c>
      <c r="AJ18" s="3">
        <f>IF(Debt!AJ114&gt;Inputs!$F$253,IF(Debt!AI114&gt;Inputs!$F$253,(AJ7+AI7)/(Debt!AJ114+Debt!AI114),AJ17),0)</f>
        <v/>
      </c>
      <c r="AK18" s="3">
        <f>IF(Debt!AK114&gt;Inputs!$F$253,IF(Debt!AJ114&gt;Inputs!$F$253,(AK7+AJ7)/(Debt!AK114+Debt!AJ114),AK17),0)</f>
        <v/>
      </c>
      <c r="AL18" s="3">
        <f>IF(Debt!AL114&gt;Inputs!$F$253,IF(Debt!AK114&gt;Inputs!$F$253,(AL7+AK7)/(Debt!AL114+Debt!AK114),AL17),0)</f>
        <v/>
      </c>
      <c r="AM18" s="3">
        <f>IF(Debt!AM114&gt;Inputs!$F$253,IF(Debt!AL114&gt;Inputs!$F$253,(AM7+AL7)/(Debt!AM114+Debt!AL114),AM17),0)</f>
        <v/>
      </c>
      <c r="AN18" s="3">
        <f>IF(Debt!AN114&gt;Inputs!$F$253,IF(Debt!AM114&gt;Inputs!$F$253,(AN7+AM7)/(Debt!AN114+Debt!AM114),AN17),0)</f>
        <v/>
      </c>
      <c r="AO18" s="3">
        <f>IF(Debt!AO114&gt;Inputs!$F$253,IF(Debt!AN114&gt;Inputs!$F$253,(AO7+AN7)/(Debt!AO114+Debt!AN114),AO17),0)</f>
        <v/>
      </c>
      <c r="AP18" s="3">
        <f>IF(Debt!AP114&gt;Inputs!$F$253,IF(Debt!AO114&gt;Inputs!$F$253,(AP7+AO7)/(Debt!AP114+Debt!AO114),AP17),0)</f>
        <v/>
      </c>
      <c r="AQ18" s="3">
        <f>IF(Debt!AQ114&gt;Inputs!$F$253,IF(Debt!AP114&gt;Inputs!$F$253,(AQ7+AP7)/(Debt!AQ114+Debt!AP114),AQ17),0)</f>
        <v/>
      </c>
      <c r="AR18" s="3">
        <f>IF(Debt!AR114&gt;Inputs!$F$253,IF(Debt!AQ114&gt;Inputs!$F$253,(AR7+AQ7)/(Debt!AR114+Debt!AQ114),AR17),0)</f>
        <v/>
      </c>
      <c r="AS18" s="3">
        <f>IF(Debt!AS114&gt;Inputs!$F$253,IF(Debt!AR114&gt;Inputs!$F$253,(AS7+AR7)/(Debt!AS114+Debt!AR114),AS17),0)</f>
        <v/>
      </c>
      <c r="AT18" s="3">
        <f>IF(Debt!AT114&gt;Inputs!$F$253,IF(Debt!AS114&gt;Inputs!$F$253,(AT7+AS7)/(Debt!AT114+Debt!AS114),AT17),0)</f>
        <v/>
      </c>
      <c r="AU18" s="3">
        <f>IF(Debt!AU114&gt;Inputs!$F$253,IF(Debt!AT114&gt;Inputs!$F$253,(AU7+AT7)/(Debt!AU114+Debt!AT114),AU17),0)</f>
        <v/>
      </c>
      <c r="AV18" s="3">
        <f>IF(Debt!AV114&gt;Inputs!$F$253,IF(Debt!AU114&gt;Inputs!$F$253,(AV7+AU7)/(Debt!AV114+Debt!AU114),AV17),0)</f>
        <v/>
      </c>
      <c r="AW18" s="3">
        <f>IF(Debt!AW114&gt;Inputs!$F$253,IF(Debt!AV114&gt;Inputs!$F$253,(AW7+AV7)/(Debt!AW114+Debt!AV114),AW17),0)</f>
        <v/>
      </c>
      <c r="AX18" s="3">
        <f>IF(Debt!AX114&gt;Inputs!$F$253,IF(Debt!AW114&gt;Inputs!$F$253,(AX7+AW7)/(Debt!AX114+Debt!AW114),AX17),0)</f>
        <v/>
      </c>
      <c r="AY18" s="3">
        <f>IF(Debt!AY114&gt;Inputs!$F$253,IF(Debt!AX114&gt;Inputs!$F$253,(AY7+AX7)/(Debt!AY114+Debt!AX114),AY17),0)</f>
        <v/>
      </c>
      <c r="AZ18" s="3">
        <f>IF(Debt!AZ114&gt;Inputs!$F$253,IF(Debt!AY114&gt;Inputs!$F$253,(AZ7+AY7)/(Debt!AZ114+Debt!AY114),AZ17),0)</f>
        <v/>
      </c>
      <c r="BA18" s="3">
        <f>IF(Debt!BA114&gt;Inputs!$F$253,IF(Debt!AZ114&gt;Inputs!$F$253,(BA7+AZ7)/(Debt!BA114+Debt!AZ114),BA17),0)</f>
        <v/>
      </c>
      <c r="BB18" s="3">
        <f>IF(Debt!BB114&gt;Inputs!$F$253,IF(Debt!BA114&gt;Inputs!$F$253,(BB7+BA7)/(Debt!BB114+Debt!BA114),BB17),0)</f>
        <v/>
      </c>
      <c r="BC18" s="3">
        <f>IF(Debt!BC114&gt;Inputs!$F$253,IF(Debt!BB114&gt;Inputs!$F$253,(BC7+BB7)/(Debt!BC114+Debt!BB114),BC17),0)</f>
        <v/>
      </c>
      <c r="BD18" s="3">
        <f>IF(Debt!BD114&gt;Inputs!$F$253,IF(Debt!BC114&gt;Inputs!$F$253,(BD7+BC7)/(Debt!BD114+Debt!BC114),BD17),0)</f>
        <v/>
      </c>
      <c r="BE18" s="3">
        <f>IF(Debt!BE114&gt;Inputs!$F$253,IF(Debt!BD114&gt;Inputs!$F$253,(BE7+BD7)/(Debt!BE114+Debt!BD114),BE17),0)</f>
        <v/>
      </c>
      <c r="BF18" s="3">
        <f>IF(Debt!BF114&gt;Inputs!$F$253,IF(Debt!BE114&gt;Inputs!$F$253,(BF7+BE7)/(Debt!BF114+Debt!BE114),BF17),0)</f>
        <v/>
      </c>
      <c r="BG18" s="3">
        <f>IF(Debt!BG114&gt;Inputs!$F$253,IF(Debt!BF114&gt;Inputs!$F$253,(BG7+BF7)/(Debt!BG114+Debt!BF114),BG17),0)</f>
        <v/>
      </c>
      <c r="BH18" s="3">
        <f>IF(Debt!BH114&gt;Inputs!$F$253,IF(Debt!BG114&gt;Inputs!$F$253,(BH7+BG7)/(Debt!BH114+Debt!BG114),BH17),0)</f>
        <v/>
      </c>
      <c r="BI18" s="3">
        <f>IF(Debt!BI114&gt;Inputs!$F$253,IF(Debt!BH114&gt;Inputs!$F$253,(BI7+BH7)/(Debt!BI114+Debt!BH114),BI17),0)</f>
        <v/>
      </c>
      <c r="BJ18" s="3">
        <f>IF(Debt!BJ114&gt;Inputs!$F$253,IF(Debt!BI114&gt;Inputs!$F$253,(BJ7+BI7)/(Debt!BJ114+Debt!BI114),BJ17),0)</f>
        <v/>
      </c>
      <c r="BK18" s="3">
        <f>IF(Debt!BK114&gt;Inputs!$F$253,IF(Debt!BJ114&gt;Inputs!$F$253,(BK7+BJ7)/(Debt!BK114+Debt!BJ114),BK17),0)</f>
        <v/>
      </c>
      <c r="BL18" s="3">
        <f>IF(Debt!BL114&gt;Inputs!$F$253,IF(Debt!BK114&gt;Inputs!$F$253,(BL7+BK7)/(Debt!BL114+Debt!BK114),BL17),0)</f>
        <v/>
      </c>
      <c r="BM18" s="3">
        <f>IF(Debt!BM114&gt;Inputs!$F$253,IF(Debt!BL114&gt;Inputs!$F$253,(BM7+BL7)/(Debt!BM114+Debt!BL114),BM17),0)</f>
        <v/>
      </c>
      <c r="BN18" s="3">
        <f>IF(Debt!BN114&gt;Inputs!$F$253,IF(Debt!BM114&gt;Inputs!$F$253,(BN7+BM7)/(Debt!BN114+Debt!BM114),BN17),0)</f>
        <v/>
      </c>
    </row>
    <row r="19">
      <c r="D19" t="inlineStr">
        <is>
          <t>First repayment made</t>
        </is>
      </c>
      <c r="E19" t="inlineStr">
        <is>
          <t>flag</t>
        </is>
      </c>
      <c r="J19" s="9">
        <f>IF(SUM(Debt!J$113:J$113)&gt;Inputs!$F$253,1,0)</f>
        <v/>
      </c>
      <c r="K19" s="9">
        <f>IF(SUM(Debt!$J$113:K$113)&gt;Inputs!$F$253,1,0)</f>
        <v/>
      </c>
      <c r="L19" s="9">
        <f>IF(SUM(Debt!$J$113:L$113)&gt;Inputs!$F$253,1,0)</f>
        <v/>
      </c>
      <c r="M19" s="9">
        <f>IF(SUM(Debt!$J$113:M$113)&gt;Inputs!$F$253,1,0)</f>
        <v/>
      </c>
      <c r="N19" s="9">
        <f>IF(SUM(Debt!$J$113:N$113)&gt;Inputs!$F$253,1,0)</f>
        <v/>
      </c>
      <c r="O19" s="9">
        <f>IF(SUM(Debt!$J$113:O$113)&gt;Inputs!$F$253,1,0)</f>
        <v/>
      </c>
      <c r="P19" s="9">
        <f>IF(SUM(Debt!$J$113:P$113)&gt;Inputs!$F$253,1,0)</f>
        <v/>
      </c>
      <c r="Q19" s="9">
        <f>IF(SUM(Debt!$J$113:Q$113)&gt;Inputs!$F$253,1,0)</f>
        <v/>
      </c>
      <c r="R19" s="9">
        <f>IF(SUM(Debt!$J$113:R$113)&gt;Inputs!$F$253,1,0)</f>
        <v/>
      </c>
      <c r="S19" s="9">
        <f>IF(SUM(Debt!$J$113:S$113)&gt;Inputs!$F$253,1,0)</f>
        <v/>
      </c>
      <c r="T19" s="9">
        <f>IF(SUM(Debt!$J$113:T$113)&gt;Inputs!$F$253,1,0)</f>
        <v/>
      </c>
      <c r="U19" s="9">
        <f>IF(SUM(Debt!$J$113:U$113)&gt;Inputs!$F$253,1,0)</f>
        <v/>
      </c>
      <c r="V19" s="9">
        <f>IF(SUM(Debt!$J$113:V$113)&gt;Inputs!$F$253,1,0)</f>
        <v/>
      </c>
      <c r="W19" s="9">
        <f>IF(SUM(Debt!$J$113:W$113)&gt;Inputs!$F$253,1,0)</f>
        <v/>
      </c>
      <c r="X19" s="9">
        <f>IF(SUM(Debt!$J$113:X$113)&gt;Inputs!$F$253,1,0)</f>
        <v/>
      </c>
      <c r="Y19" s="9">
        <f>IF(SUM(Debt!$J$113:Y$113)&gt;Inputs!$F$253,1,0)</f>
        <v/>
      </c>
      <c r="Z19" s="9">
        <f>IF(SUM(Debt!$J$113:Z$113)&gt;Inputs!$F$253,1,0)</f>
        <v/>
      </c>
      <c r="AA19" s="9">
        <f>IF(SUM(Debt!$J$113:AA$113)&gt;Inputs!$F$253,1,0)</f>
        <v/>
      </c>
      <c r="AB19" s="9">
        <f>IF(SUM(Debt!$J$113:AB$113)&gt;Inputs!$F$253,1,0)</f>
        <v/>
      </c>
      <c r="AC19" s="9">
        <f>IF(SUM(Debt!$J$113:AC$113)&gt;Inputs!$F$253,1,0)</f>
        <v/>
      </c>
      <c r="AD19" s="9">
        <f>IF(SUM(Debt!$J$113:AD$113)&gt;Inputs!$F$253,1,0)</f>
        <v/>
      </c>
      <c r="AE19" s="9">
        <f>IF(SUM(Debt!$J$113:AE$113)&gt;Inputs!$F$253,1,0)</f>
        <v/>
      </c>
      <c r="AF19" s="9">
        <f>IF(SUM(Debt!$J$113:AF$113)&gt;Inputs!$F$253,1,0)</f>
        <v/>
      </c>
      <c r="AG19" s="9">
        <f>IF(SUM(Debt!$J$113:AG$113)&gt;Inputs!$F$253,1,0)</f>
        <v/>
      </c>
      <c r="AH19" s="9">
        <f>IF(SUM(Debt!$J$113:AH$113)&gt;Inputs!$F$253,1,0)</f>
        <v/>
      </c>
      <c r="AI19" s="9">
        <f>IF(SUM(Debt!$J$113:AI$113)&gt;Inputs!$F$253,1,0)</f>
        <v/>
      </c>
      <c r="AJ19" s="9">
        <f>IF(SUM(Debt!$J$113:AJ$113)&gt;Inputs!$F$253,1,0)</f>
        <v/>
      </c>
      <c r="AK19" s="9">
        <f>IF(SUM(Debt!$J$113:AK$113)&gt;Inputs!$F$253,1,0)</f>
        <v/>
      </c>
      <c r="AL19" s="9">
        <f>IF(SUM(Debt!$J$113:AL$113)&gt;Inputs!$F$253,1,0)</f>
        <v/>
      </c>
      <c r="AM19" s="9">
        <f>IF(SUM(Debt!$J$113:AM$113)&gt;Inputs!$F$253,1,0)</f>
        <v/>
      </c>
      <c r="AN19" s="9">
        <f>IF(SUM(Debt!$J$113:AN$113)&gt;Inputs!$F$253,1,0)</f>
        <v/>
      </c>
      <c r="AO19" s="9">
        <f>IF(SUM(Debt!$J$113:AO$113)&gt;Inputs!$F$253,1,0)</f>
        <v/>
      </c>
      <c r="AP19" s="9">
        <f>IF(SUM(Debt!$J$113:AP$113)&gt;Inputs!$F$253,1,0)</f>
        <v/>
      </c>
      <c r="AQ19" s="9">
        <f>IF(SUM(Debt!$J$113:AQ$113)&gt;Inputs!$F$253,1,0)</f>
        <v/>
      </c>
      <c r="AR19" s="9">
        <f>IF(SUM(Debt!$J$113:AR$113)&gt;Inputs!$F$253,1,0)</f>
        <v/>
      </c>
      <c r="AS19" s="9">
        <f>IF(SUM(Debt!$J$113:AS$113)&gt;Inputs!$F$253,1,0)</f>
        <v/>
      </c>
      <c r="AT19" s="9">
        <f>IF(SUM(Debt!$J$113:AT$113)&gt;Inputs!$F$253,1,0)</f>
        <v/>
      </c>
      <c r="AU19" s="9">
        <f>IF(SUM(Debt!$J$113:AU$113)&gt;Inputs!$F$253,1,0)</f>
        <v/>
      </c>
      <c r="AV19" s="9">
        <f>IF(SUM(Debt!$J$113:AV$113)&gt;Inputs!$F$253,1,0)</f>
        <v/>
      </c>
      <c r="AW19" s="9">
        <f>IF(SUM(Debt!$J$113:AW$113)&gt;Inputs!$F$253,1,0)</f>
        <v/>
      </c>
      <c r="AX19" s="9">
        <f>IF(SUM(Debt!$J$113:AX$113)&gt;Inputs!$F$253,1,0)</f>
        <v/>
      </c>
      <c r="AY19" s="9">
        <f>IF(SUM(Debt!$J$113:AY$113)&gt;Inputs!$F$253,1,0)</f>
        <v/>
      </c>
      <c r="AZ19" s="9">
        <f>IF(SUM(Debt!$J$113:AZ$113)&gt;Inputs!$F$253,1,0)</f>
        <v/>
      </c>
      <c r="BA19" s="9">
        <f>IF(SUM(Debt!$J$113:BA$113)&gt;Inputs!$F$253,1,0)</f>
        <v/>
      </c>
      <c r="BB19" s="9">
        <f>IF(SUM(Debt!$J$113:BB$113)&gt;Inputs!$F$253,1,0)</f>
        <v/>
      </c>
      <c r="BC19" s="9">
        <f>IF(SUM(Debt!$J$113:BC$113)&gt;Inputs!$F$253,1,0)</f>
        <v/>
      </c>
      <c r="BD19" s="9">
        <f>IF(SUM(Debt!$J$113:BD$113)&gt;Inputs!$F$253,1,0)</f>
        <v/>
      </c>
      <c r="BE19" s="9">
        <f>IF(SUM(Debt!$J$113:BE$113)&gt;Inputs!$F$253,1,0)</f>
        <v/>
      </c>
      <c r="BF19" s="9">
        <f>IF(SUM(Debt!$J$113:BF$113)&gt;Inputs!$F$253,1,0)</f>
        <v/>
      </c>
      <c r="BG19" s="9">
        <f>IF(SUM(Debt!$J$113:BG$113)&gt;Inputs!$F$253,1,0)</f>
        <v/>
      </c>
      <c r="BH19" s="9">
        <f>IF(SUM(Debt!$J$113:BH$113)&gt;Inputs!$F$253,1,0)</f>
        <v/>
      </c>
      <c r="BI19" s="9">
        <f>IF(SUM(Debt!$J$113:BI$113)&gt;Inputs!$F$253,1,0)</f>
        <v/>
      </c>
      <c r="BJ19" s="9">
        <f>IF(SUM(Debt!$J$113:BJ$113)&gt;Inputs!$F$253,1,0)</f>
        <v/>
      </c>
      <c r="BK19" s="9">
        <f>IF(SUM(Debt!$J$113:BK$113)&gt;Inputs!$F$253,1,0)</f>
        <v/>
      </c>
      <c r="BL19" s="9">
        <f>IF(SUM(Debt!$J$113:BL$113)&gt;Inputs!$F$253,1,0)</f>
        <v/>
      </c>
      <c r="BM19" s="9">
        <f>IF(SUM(Debt!$J$113:BM$113)&gt;Inputs!$F$253,1,0)</f>
        <v/>
      </c>
      <c r="BN19" s="9">
        <f>IF(SUM(Debt!$J$113:BN$113)&gt;Inputs!$F$253,1,0)</f>
        <v/>
      </c>
    </row>
    <row r="20">
      <c r="D20" t="inlineStr">
        <is>
          <t>Event of default (historic DSCR &lt; 1.10x)</t>
        </is>
      </c>
      <c r="E20" t="inlineStr">
        <is>
          <t>flag</t>
        </is>
      </c>
      <c r="J20" s="9">
        <f>IF(AND(Debt!J114&gt;Inputs!$F$253,J18&lt;Inputs!$F$109),1,0)</f>
        <v/>
      </c>
      <c r="K20" s="9">
        <f>IF(AND(Debt!K114&gt;Inputs!$F$253,K18&lt;Inputs!$F$109),1,0)</f>
        <v/>
      </c>
      <c r="L20" s="9">
        <f>IF(AND(Debt!L114&gt;Inputs!$F$253,L18&lt;Inputs!$F$109),1,0)</f>
        <v/>
      </c>
      <c r="M20" s="9">
        <f>IF(AND(Debt!M114&gt;Inputs!$F$253,M18&lt;Inputs!$F$109),1,0)</f>
        <v/>
      </c>
      <c r="N20" s="9">
        <f>IF(AND(Debt!N114&gt;Inputs!$F$253,N18&lt;Inputs!$F$109),1,0)</f>
        <v/>
      </c>
      <c r="O20" s="9">
        <f>IF(AND(Debt!O114&gt;Inputs!$F$253,O18&lt;Inputs!$F$109),1,0)</f>
        <v/>
      </c>
      <c r="P20" s="9">
        <f>IF(AND(Debt!P114&gt;Inputs!$F$253,P18&lt;Inputs!$F$109),1,0)</f>
        <v/>
      </c>
      <c r="Q20" s="9">
        <f>IF(AND(Debt!Q114&gt;Inputs!$F$253,Q18&lt;Inputs!$F$109),1,0)</f>
        <v/>
      </c>
      <c r="R20" s="9">
        <f>IF(AND(Debt!R114&gt;Inputs!$F$253,R18&lt;Inputs!$F$109),1,0)</f>
        <v/>
      </c>
      <c r="S20" s="9">
        <f>IF(AND(Debt!S114&gt;Inputs!$F$253,S18&lt;Inputs!$F$109),1,0)</f>
        <v/>
      </c>
      <c r="T20" s="9">
        <f>IF(AND(Debt!T114&gt;Inputs!$F$253,T18&lt;Inputs!$F$109),1,0)</f>
        <v/>
      </c>
      <c r="U20" s="9">
        <f>IF(AND(Debt!U114&gt;Inputs!$F$253,U18&lt;Inputs!$F$109),1,0)</f>
        <v/>
      </c>
      <c r="V20" s="9">
        <f>IF(AND(Debt!V114&gt;Inputs!$F$253,V18&lt;Inputs!$F$109),1,0)</f>
        <v/>
      </c>
      <c r="W20" s="9">
        <f>IF(AND(Debt!W114&gt;Inputs!$F$253,W18&lt;Inputs!$F$109),1,0)</f>
        <v/>
      </c>
      <c r="X20" s="9">
        <f>IF(AND(Debt!X114&gt;Inputs!$F$253,X18&lt;Inputs!$F$109),1,0)</f>
        <v/>
      </c>
      <c r="Y20" s="9">
        <f>IF(AND(Debt!Y114&gt;Inputs!$F$253,Y18&lt;Inputs!$F$109),1,0)</f>
        <v/>
      </c>
      <c r="Z20" s="9">
        <f>IF(AND(Debt!Z114&gt;Inputs!$F$253,Z18&lt;Inputs!$F$109),1,0)</f>
        <v/>
      </c>
      <c r="AA20" s="9">
        <f>IF(AND(Debt!AA114&gt;Inputs!$F$253,AA18&lt;Inputs!$F$109),1,0)</f>
        <v/>
      </c>
      <c r="AB20" s="9">
        <f>IF(AND(Debt!AB114&gt;Inputs!$F$253,AB18&lt;Inputs!$F$109),1,0)</f>
        <v/>
      </c>
      <c r="AC20" s="9">
        <f>IF(AND(Debt!AC114&gt;Inputs!$F$253,AC18&lt;Inputs!$F$109),1,0)</f>
        <v/>
      </c>
      <c r="AD20" s="9">
        <f>IF(AND(Debt!AD114&gt;Inputs!$F$253,AD18&lt;Inputs!$F$109),1,0)</f>
        <v/>
      </c>
      <c r="AE20" s="9">
        <f>IF(AND(Debt!AE114&gt;Inputs!$F$253,AE18&lt;Inputs!$F$109),1,0)</f>
        <v/>
      </c>
      <c r="AF20" s="9">
        <f>IF(AND(Debt!AF114&gt;Inputs!$F$253,AF18&lt;Inputs!$F$109),1,0)</f>
        <v/>
      </c>
      <c r="AG20" s="9">
        <f>IF(AND(Debt!AG114&gt;Inputs!$F$253,AG18&lt;Inputs!$F$109),1,0)</f>
        <v/>
      </c>
      <c r="AH20" s="9">
        <f>IF(AND(Debt!AH114&gt;Inputs!$F$253,AH18&lt;Inputs!$F$109),1,0)</f>
        <v/>
      </c>
      <c r="AI20" s="9">
        <f>IF(AND(Debt!AI114&gt;Inputs!$F$253,AI18&lt;Inputs!$F$109),1,0)</f>
        <v/>
      </c>
      <c r="AJ20" s="9">
        <f>IF(AND(Debt!AJ114&gt;Inputs!$F$253,AJ18&lt;Inputs!$F$109),1,0)</f>
        <v/>
      </c>
      <c r="AK20" s="9">
        <f>IF(AND(Debt!AK114&gt;Inputs!$F$253,AK18&lt;Inputs!$F$109),1,0)</f>
        <v/>
      </c>
      <c r="AL20" s="9">
        <f>IF(AND(Debt!AL114&gt;Inputs!$F$253,AL18&lt;Inputs!$F$109),1,0)</f>
        <v/>
      </c>
      <c r="AM20" s="9">
        <f>IF(AND(Debt!AM114&gt;Inputs!$F$253,AM18&lt;Inputs!$F$109),1,0)</f>
        <v/>
      </c>
      <c r="AN20" s="9">
        <f>IF(AND(Debt!AN114&gt;Inputs!$F$253,AN18&lt;Inputs!$F$109),1,0)</f>
        <v/>
      </c>
      <c r="AO20" s="9">
        <f>IF(AND(Debt!AO114&gt;Inputs!$F$253,AO18&lt;Inputs!$F$109),1,0)</f>
        <v/>
      </c>
      <c r="AP20" s="9">
        <f>IF(AND(Debt!AP114&gt;Inputs!$F$253,AP18&lt;Inputs!$F$109),1,0)</f>
        <v/>
      </c>
      <c r="AQ20" s="9">
        <f>IF(AND(Debt!AQ114&gt;Inputs!$F$253,AQ18&lt;Inputs!$F$109),1,0)</f>
        <v/>
      </c>
      <c r="AR20" s="9">
        <f>IF(AND(Debt!AR114&gt;Inputs!$F$253,AR18&lt;Inputs!$F$109),1,0)</f>
        <v/>
      </c>
      <c r="AS20" s="9">
        <f>IF(AND(Debt!AS114&gt;Inputs!$F$253,AS18&lt;Inputs!$F$109),1,0)</f>
        <v/>
      </c>
      <c r="AT20" s="9">
        <f>IF(AND(Debt!AT114&gt;Inputs!$F$253,AT18&lt;Inputs!$F$109),1,0)</f>
        <v/>
      </c>
      <c r="AU20" s="9">
        <f>IF(AND(Debt!AU114&gt;Inputs!$F$253,AU18&lt;Inputs!$F$109),1,0)</f>
        <v/>
      </c>
      <c r="AV20" s="9">
        <f>IF(AND(Debt!AV114&gt;Inputs!$F$253,AV18&lt;Inputs!$F$109),1,0)</f>
        <v/>
      </c>
      <c r="AW20" s="9">
        <f>IF(AND(Debt!AW114&gt;Inputs!$F$253,AW18&lt;Inputs!$F$109),1,0)</f>
        <v/>
      </c>
      <c r="AX20" s="9">
        <f>IF(AND(Debt!AX114&gt;Inputs!$F$253,AX18&lt;Inputs!$F$109),1,0)</f>
        <v/>
      </c>
      <c r="AY20" s="9">
        <f>IF(AND(Debt!AY114&gt;Inputs!$F$253,AY18&lt;Inputs!$F$109),1,0)</f>
        <v/>
      </c>
      <c r="AZ20" s="9">
        <f>IF(AND(Debt!AZ114&gt;Inputs!$F$253,AZ18&lt;Inputs!$F$109),1,0)</f>
        <v/>
      </c>
      <c r="BA20" s="9">
        <f>IF(AND(Debt!BA114&gt;Inputs!$F$253,BA18&lt;Inputs!$F$109),1,0)</f>
        <v/>
      </c>
      <c r="BB20" s="9">
        <f>IF(AND(Debt!BB114&gt;Inputs!$F$253,BB18&lt;Inputs!$F$109),1,0)</f>
        <v/>
      </c>
      <c r="BC20" s="9">
        <f>IF(AND(Debt!BC114&gt;Inputs!$F$253,BC18&lt;Inputs!$F$109),1,0)</f>
        <v/>
      </c>
      <c r="BD20" s="9">
        <f>IF(AND(Debt!BD114&gt;Inputs!$F$253,BD18&lt;Inputs!$F$109),1,0)</f>
        <v/>
      </c>
      <c r="BE20" s="9">
        <f>IF(AND(Debt!BE114&gt;Inputs!$F$253,BE18&lt;Inputs!$F$109),1,0)</f>
        <v/>
      </c>
      <c r="BF20" s="9">
        <f>IF(AND(Debt!BF114&gt;Inputs!$F$253,BF18&lt;Inputs!$F$109),1,0)</f>
        <v/>
      </c>
      <c r="BG20" s="9">
        <f>IF(AND(Debt!BG114&gt;Inputs!$F$253,BG18&lt;Inputs!$F$109),1,0)</f>
        <v/>
      </c>
      <c r="BH20" s="9">
        <f>IF(AND(Debt!BH114&gt;Inputs!$F$253,BH18&lt;Inputs!$F$109),1,0)</f>
        <v/>
      </c>
      <c r="BI20" s="9">
        <f>IF(AND(Debt!BI114&gt;Inputs!$F$253,BI18&lt;Inputs!$F$109),1,0)</f>
        <v/>
      </c>
      <c r="BJ20" s="9">
        <f>IF(AND(Debt!BJ114&gt;Inputs!$F$253,BJ18&lt;Inputs!$F$109),1,0)</f>
        <v/>
      </c>
      <c r="BK20" s="9">
        <f>IF(AND(Debt!BK114&gt;Inputs!$F$253,BK18&lt;Inputs!$F$109),1,0)</f>
        <v/>
      </c>
      <c r="BL20" s="9">
        <f>IF(AND(Debt!BL114&gt;Inputs!$F$253,BL18&lt;Inputs!$F$109),1,0)</f>
        <v/>
      </c>
      <c r="BM20" s="9">
        <f>IF(AND(Debt!BM114&gt;Inputs!$F$253,BM18&lt;Inputs!$F$109),1,0)</f>
        <v/>
      </c>
      <c r="BN20" s="9">
        <f>IF(AND(Debt!BN114&gt;Inputs!$F$253,BN18&lt;Inputs!$F$109),1,0)</f>
        <v/>
      </c>
    </row>
    <row r="21">
      <c r="D21" t="inlineStr">
        <is>
          <t>Tests waived</t>
        </is>
      </c>
      <c r="E21" t="inlineStr">
        <is>
          <t>flag</t>
        </is>
      </c>
      <c r="J21" s="12">
        <f>Time!J49</f>
        <v/>
      </c>
      <c r="K21" s="12">
        <f>Time!K49</f>
        <v/>
      </c>
      <c r="L21" s="12">
        <f>Time!L49</f>
        <v/>
      </c>
      <c r="M21" s="12">
        <f>Time!M49</f>
        <v/>
      </c>
      <c r="N21" s="12">
        <f>Time!N49</f>
        <v/>
      </c>
      <c r="O21" s="12">
        <f>Time!O49</f>
        <v/>
      </c>
      <c r="P21" s="12">
        <f>Time!P49</f>
        <v/>
      </c>
      <c r="Q21" s="12">
        <f>Time!Q49</f>
        <v/>
      </c>
      <c r="R21" s="12">
        <f>Time!R49</f>
        <v/>
      </c>
      <c r="S21" s="12">
        <f>Time!S49</f>
        <v/>
      </c>
      <c r="T21" s="12">
        <f>Time!T49</f>
        <v/>
      </c>
      <c r="U21" s="12">
        <f>Time!U49</f>
        <v/>
      </c>
      <c r="V21" s="12">
        <f>Time!V49</f>
        <v/>
      </c>
      <c r="W21" s="12">
        <f>Time!W49</f>
        <v/>
      </c>
      <c r="X21" s="12">
        <f>Time!X49</f>
        <v/>
      </c>
      <c r="Y21" s="12">
        <f>Time!Y49</f>
        <v/>
      </c>
      <c r="Z21" s="12">
        <f>Time!Z49</f>
        <v/>
      </c>
      <c r="AA21" s="12">
        <f>Time!AA49</f>
        <v/>
      </c>
      <c r="AB21" s="12">
        <f>Time!AB49</f>
        <v/>
      </c>
      <c r="AC21" s="12">
        <f>Time!AC49</f>
        <v/>
      </c>
      <c r="AD21" s="12">
        <f>Time!AD49</f>
        <v/>
      </c>
      <c r="AE21" s="12">
        <f>Time!AE49</f>
        <v/>
      </c>
      <c r="AF21" s="12">
        <f>Time!AF49</f>
        <v/>
      </c>
      <c r="AG21" s="12">
        <f>Time!AG49</f>
        <v/>
      </c>
      <c r="AH21" s="12">
        <f>Time!AH49</f>
        <v/>
      </c>
      <c r="AI21" s="12">
        <f>Time!AI49</f>
        <v/>
      </c>
      <c r="AJ21" s="12">
        <f>Time!AJ49</f>
        <v/>
      </c>
      <c r="AK21" s="12">
        <f>Time!AK49</f>
        <v/>
      </c>
      <c r="AL21" s="12">
        <f>Time!AL49</f>
        <v/>
      </c>
      <c r="AM21" s="12">
        <f>Time!AM49</f>
        <v/>
      </c>
      <c r="AN21" s="12">
        <f>Time!AN49</f>
        <v/>
      </c>
      <c r="AO21" s="12">
        <f>Time!AO49</f>
        <v/>
      </c>
      <c r="AP21" s="12">
        <f>Time!AP49</f>
        <v/>
      </c>
      <c r="AQ21" s="12">
        <f>Time!AQ49</f>
        <v/>
      </c>
      <c r="AR21" s="12">
        <f>Time!AR49</f>
        <v/>
      </c>
      <c r="AS21" s="12">
        <f>Time!AS49</f>
        <v/>
      </c>
      <c r="AT21" s="12">
        <f>Time!AT49</f>
        <v/>
      </c>
      <c r="AU21" s="12">
        <f>Time!AU49</f>
        <v/>
      </c>
      <c r="AV21" s="12">
        <f>Time!AV49</f>
        <v/>
      </c>
      <c r="AW21" s="12">
        <f>Time!AW49</f>
        <v/>
      </c>
      <c r="AX21" s="12">
        <f>Time!AX49</f>
        <v/>
      </c>
      <c r="AY21" s="12">
        <f>Time!AY49</f>
        <v/>
      </c>
      <c r="AZ21" s="12">
        <f>Time!AZ49</f>
        <v/>
      </c>
      <c r="BA21" s="12">
        <f>Time!BA49</f>
        <v/>
      </c>
      <c r="BB21" s="12">
        <f>Time!BB49</f>
        <v/>
      </c>
      <c r="BC21" s="12">
        <f>Time!BC49</f>
        <v/>
      </c>
      <c r="BD21" s="12">
        <f>Time!BD49</f>
        <v/>
      </c>
      <c r="BE21" s="12">
        <f>Time!BE49</f>
        <v/>
      </c>
      <c r="BF21" s="12">
        <f>Time!BF49</f>
        <v/>
      </c>
      <c r="BG21" s="12">
        <f>Time!BG49</f>
        <v/>
      </c>
      <c r="BH21" s="12">
        <f>Time!BH49</f>
        <v/>
      </c>
      <c r="BI21" s="12">
        <f>Time!BI49</f>
        <v/>
      </c>
      <c r="BJ21" s="12">
        <f>Time!BJ49</f>
        <v/>
      </c>
      <c r="BK21" s="12">
        <f>Time!BK49</f>
        <v/>
      </c>
      <c r="BL21" s="12">
        <f>Time!BL49</f>
        <v/>
      </c>
      <c r="BM21" s="12">
        <f>Time!BM49</f>
        <v/>
      </c>
      <c r="BN21" s="12">
        <f>Time!BN49</f>
        <v/>
      </c>
    </row>
    <row r="22">
      <c r="D22" t="inlineStr">
        <is>
          <t>Waiver regime</t>
        </is>
      </c>
      <c r="E22" t="inlineStr">
        <is>
          <t>flag</t>
        </is>
      </c>
      <c r="J22" s="12">
        <f>Time!J50</f>
        <v/>
      </c>
      <c r="K22" s="12">
        <f>Time!K50</f>
        <v/>
      </c>
      <c r="L22" s="12">
        <f>Time!L50</f>
        <v/>
      </c>
      <c r="M22" s="12">
        <f>Time!M50</f>
        <v/>
      </c>
      <c r="N22" s="12">
        <f>Time!N50</f>
        <v/>
      </c>
      <c r="O22" s="12">
        <f>Time!O50</f>
        <v/>
      </c>
      <c r="P22" s="12">
        <f>Time!P50</f>
        <v/>
      </c>
      <c r="Q22" s="12">
        <f>Time!Q50</f>
        <v/>
      </c>
      <c r="R22" s="12">
        <f>Time!R50</f>
        <v/>
      </c>
      <c r="S22" s="12">
        <f>Time!S50</f>
        <v/>
      </c>
      <c r="T22" s="12">
        <f>Time!T50</f>
        <v/>
      </c>
      <c r="U22" s="12">
        <f>Time!U50</f>
        <v/>
      </c>
      <c r="V22" s="12">
        <f>Time!V50</f>
        <v/>
      </c>
      <c r="W22" s="12">
        <f>Time!W50</f>
        <v/>
      </c>
      <c r="X22" s="12">
        <f>Time!X50</f>
        <v/>
      </c>
      <c r="Y22" s="12">
        <f>Time!Y50</f>
        <v/>
      </c>
      <c r="Z22" s="12">
        <f>Time!Z50</f>
        <v/>
      </c>
      <c r="AA22" s="12">
        <f>Time!AA50</f>
        <v/>
      </c>
      <c r="AB22" s="12">
        <f>Time!AB50</f>
        <v/>
      </c>
      <c r="AC22" s="12">
        <f>Time!AC50</f>
        <v/>
      </c>
      <c r="AD22" s="12">
        <f>Time!AD50</f>
        <v/>
      </c>
      <c r="AE22" s="12">
        <f>Time!AE50</f>
        <v/>
      </c>
      <c r="AF22" s="12">
        <f>Time!AF50</f>
        <v/>
      </c>
      <c r="AG22" s="12">
        <f>Time!AG50</f>
        <v/>
      </c>
      <c r="AH22" s="12">
        <f>Time!AH50</f>
        <v/>
      </c>
      <c r="AI22" s="12">
        <f>Time!AI50</f>
        <v/>
      </c>
      <c r="AJ22" s="12">
        <f>Time!AJ50</f>
        <v/>
      </c>
      <c r="AK22" s="12">
        <f>Time!AK50</f>
        <v/>
      </c>
      <c r="AL22" s="12">
        <f>Time!AL50</f>
        <v/>
      </c>
      <c r="AM22" s="12">
        <f>Time!AM50</f>
        <v/>
      </c>
      <c r="AN22" s="12">
        <f>Time!AN50</f>
        <v/>
      </c>
      <c r="AO22" s="12">
        <f>Time!AO50</f>
        <v/>
      </c>
      <c r="AP22" s="12">
        <f>Time!AP50</f>
        <v/>
      </c>
      <c r="AQ22" s="12">
        <f>Time!AQ50</f>
        <v/>
      </c>
      <c r="AR22" s="12">
        <f>Time!AR50</f>
        <v/>
      </c>
      <c r="AS22" s="12">
        <f>Time!AS50</f>
        <v/>
      </c>
      <c r="AT22" s="12">
        <f>Time!AT50</f>
        <v/>
      </c>
      <c r="AU22" s="12">
        <f>Time!AU50</f>
        <v/>
      </c>
      <c r="AV22" s="12">
        <f>Time!AV50</f>
        <v/>
      </c>
      <c r="AW22" s="12">
        <f>Time!AW50</f>
        <v/>
      </c>
      <c r="AX22" s="12">
        <f>Time!AX50</f>
        <v/>
      </c>
      <c r="AY22" s="12">
        <f>Time!AY50</f>
        <v/>
      </c>
      <c r="AZ22" s="12">
        <f>Time!AZ50</f>
        <v/>
      </c>
      <c r="BA22" s="12">
        <f>Time!BA50</f>
        <v/>
      </c>
      <c r="BB22" s="12">
        <f>Time!BB50</f>
        <v/>
      </c>
      <c r="BC22" s="12">
        <f>Time!BC50</f>
        <v/>
      </c>
      <c r="BD22" s="12">
        <f>Time!BD50</f>
        <v/>
      </c>
      <c r="BE22" s="12">
        <f>Time!BE50</f>
        <v/>
      </c>
      <c r="BF22" s="12">
        <f>Time!BF50</f>
        <v/>
      </c>
      <c r="BG22" s="12">
        <f>Time!BG50</f>
        <v/>
      </c>
      <c r="BH22" s="12">
        <f>Time!BH50</f>
        <v/>
      </c>
      <c r="BI22" s="12">
        <f>Time!BI50</f>
        <v/>
      </c>
      <c r="BJ22" s="12">
        <f>Time!BJ50</f>
        <v/>
      </c>
      <c r="BK22" s="12">
        <f>Time!BK50</f>
        <v/>
      </c>
      <c r="BL22" s="12">
        <f>Time!BL50</f>
        <v/>
      </c>
      <c r="BM22" s="12">
        <f>Time!BM50</f>
        <v/>
      </c>
      <c r="BN22" s="12">
        <f>Time!BN50</f>
        <v/>
      </c>
    </row>
    <row r="23">
      <c r="D23" t="inlineStr">
        <is>
          <t>Lock-up released under the waiver</t>
        </is>
      </c>
      <c r="E23" t="inlineStr">
        <is>
          <t>flag</t>
        </is>
      </c>
      <c r="J23" s="9">
        <f>MAX(I23,IF(AND(J22=1,Time!J51=1,J18&gt;=Inputs!$F$110,Time!I51=1,I18&gt;=Inputs!$F$110,Reserves!J13&gt;=Debt!J125-Inputs!$F$254),1,0))</f>
        <v/>
      </c>
      <c r="K23" s="9">
        <f>MAX(J23,IF(AND(K22=1,Time!K51=1,K18&gt;=Inputs!$F$110,Time!J51=1,J18&gt;=Inputs!$F$110,Reserves!K13&gt;=Debt!K125-Inputs!$F$254),1,0))</f>
        <v/>
      </c>
      <c r="L23" s="9">
        <f>MAX(K23,IF(AND(L22=1,Time!L51=1,L18&gt;=Inputs!$F$110,Time!K51=1,K18&gt;=Inputs!$F$110,Reserves!L13&gt;=Debt!L125-Inputs!$F$254),1,0))</f>
        <v/>
      </c>
      <c r="M23" s="9">
        <f>MAX(L23,IF(AND(M22=1,Time!M51=1,M18&gt;=Inputs!$F$110,Time!L51=1,L18&gt;=Inputs!$F$110,Reserves!M13&gt;=Debt!M125-Inputs!$F$254),1,0))</f>
        <v/>
      </c>
      <c r="N23" s="9">
        <f>MAX(M23,IF(AND(N22=1,Time!N51=1,N18&gt;=Inputs!$F$110,Time!M51=1,M18&gt;=Inputs!$F$110,Reserves!N13&gt;=Debt!N125-Inputs!$F$254),1,0))</f>
        <v/>
      </c>
      <c r="O23" s="9">
        <f>MAX(N23,IF(AND(O22=1,Time!O51=1,O18&gt;=Inputs!$F$110,Time!N51=1,N18&gt;=Inputs!$F$110,Reserves!O13&gt;=Debt!O125-Inputs!$F$254),1,0))</f>
        <v/>
      </c>
      <c r="P23" s="9">
        <f>MAX(O23,IF(AND(P22=1,Time!P51=1,P18&gt;=Inputs!$F$110,Time!O51=1,O18&gt;=Inputs!$F$110,Reserves!P13&gt;=Debt!P125-Inputs!$F$254),1,0))</f>
        <v/>
      </c>
      <c r="Q23" s="9">
        <f>MAX(P23,IF(AND(Q22=1,Time!Q51=1,Q18&gt;=Inputs!$F$110,Time!P51=1,P18&gt;=Inputs!$F$110,Reserves!Q13&gt;=Debt!Q125-Inputs!$F$254),1,0))</f>
        <v/>
      </c>
      <c r="R23" s="9">
        <f>MAX(Q23,IF(AND(R22=1,Time!R51=1,R18&gt;=Inputs!$F$110,Time!Q51=1,Q18&gt;=Inputs!$F$110,Reserves!R13&gt;=Debt!R125-Inputs!$F$254),1,0))</f>
        <v/>
      </c>
      <c r="S23" s="9">
        <f>MAX(R23,IF(AND(S22=1,Time!S51=1,S18&gt;=Inputs!$F$110,Time!R51=1,R18&gt;=Inputs!$F$110,Reserves!S13&gt;=Debt!S125-Inputs!$F$254),1,0))</f>
        <v/>
      </c>
      <c r="T23" s="9">
        <f>MAX(S23,IF(AND(T22=1,Time!T51=1,T18&gt;=Inputs!$F$110,Time!S51=1,S18&gt;=Inputs!$F$110,Reserves!T13&gt;=Debt!T125-Inputs!$F$254),1,0))</f>
        <v/>
      </c>
      <c r="U23" s="9">
        <f>MAX(T23,IF(AND(U22=1,Time!U51=1,U18&gt;=Inputs!$F$110,Time!T51=1,T18&gt;=Inputs!$F$110,Reserves!U13&gt;=Debt!U125-Inputs!$F$254),1,0))</f>
        <v/>
      </c>
      <c r="V23" s="9">
        <f>MAX(U23,IF(AND(V22=1,Time!V51=1,V18&gt;=Inputs!$F$110,Time!U51=1,U18&gt;=Inputs!$F$110,Reserves!V13&gt;=Debt!V125-Inputs!$F$254),1,0))</f>
        <v/>
      </c>
      <c r="W23" s="9">
        <f>MAX(V23,IF(AND(W22=1,Time!W51=1,W18&gt;=Inputs!$F$110,Time!V51=1,V18&gt;=Inputs!$F$110,Reserves!W13&gt;=Debt!W125-Inputs!$F$254),1,0))</f>
        <v/>
      </c>
      <c r="X23" s="9">
        <f>MAX(W23,IF(AND(X22=1,Time!X51=1,X18&gt;=Inputs!$F$110,Time!W51=1,W18&gt;=Inputs!$F$110,Reserves!X13&gt;=Debt!X125-Inputs!$F$254),1,0))</f>
        <v/>
      </c>
      <c r="Y23" s="9">
        <f>MAX(X23,IF(AND(Y22=1,Time!Y51=1,Y18&gt;=Inputs!$F$110,Time!X51=1,X18&gt;=Inputs!$F$110,Reserves!Y13&gt;=Debt!Y125-Inputs!$F$254),1,0))</f>
        <v/>
      </c>
      <c r="Z23" s="9">
        <f>MAX(Y23,IF(AND(Z22=1,Time!Z51=1,Z18&gt;=Inputs!$F$110,Time!Y51=1,Y18&gt;=Inputs!$F$110,Reserves!Z13&gt;=Debt!Z125-Inputs!$F$254),1,0))</f>
        <v/>
      </c>
      <c r="AA23" s="9">
        <f>MAX(Z23,IF(AND(AA22=1,Time!AA51=1,AA18&gt;=Inputs!$F$110,Time!Z51=1,Z18&gt;=Inputs!$F$110,Reserves!AA13&gt;=Debt!AA125-Inputs!$F$254),1,0))</f>
        <v/>
      </c>
      <c r="AB23" s="9">
        <f>MAX(AA23,IF(AND(AB22=1,Time!AB51=1,AB18&gt;=Inputs!$F$110,Time!AA51=1,AA18&gt;=Inputs!$F$110,Reserves!AB13&gt;=Debt!AB125-Inputs!$F$254),1,0))</f>
        <v/>
      </c>
      <c r="AC23" s="9">
        <f>MAX(AB23,IF(AND(AC22=1,Time!AC51=1,AC18&gt;=Inputs!$F$110,Time!AB51=1,AB18&gt;=Inputs!$F$110,Reserves!AC13&gt;=Debt!AC125-Inputs!$F$254),1,0))</f>
        <v/>
      </c>
      <c r="AD23" s="9">
        <f>MAX(AC23,IF(AND(AD22=1,Time!AD51=1,AD18&gt;=Inputs!$F$110,Time!AC51=1,AC18&gt;=Inputs!$F$110,Reserves!AD13&gt;=Debt!AD125-Inputs!$F$254),1,0))</f>
        <v/>
      </c>
      <c r="AE23" s="9">
        <f>MAX(AD23,IF(AND(AE22=1,Time!AE51=1,AE18&gt;=Inputs!$F$110,Time!AD51=1,AD18&gt;=Inputs!$F$110,Reserves!AE13&gt;=Debt!AE125-Inputs!$F$254),1,0))</f>
        <v/>
      </c>
      <c r="AF23" s="9">
        <f>MAX(AE23,IF(AND(AF22=1,Time!AF51=1,AF18&gt;=Inputs!$F$110,Time!AE51=1,AE18&gt;=Inputs!$F$110,Reserves!AF13&gt;=Debt!AF125-Inputs!$F$254),1,0))</f>
        <v/>
      </c>
      <c r="AG23" s="9">
        <f>MAX(AF23,IF(AND(AG22=1,Time!AG51=1,AG18&gt;=Inputs!$F$110,Time!AF51=1,AF18&gt;=Inputs!$F$110,Reserves!AG13&gt;=Debt!AG125-Inputs!$F$254),1,0))</f>
        <v/>
      </c>
      <c r="AH23" s="9">
        <f>MAX(AG23,IF(AND(AH22=1,Time!AH51=1,AH18&gt;=Inputs!$F$110,Time!AG51=1,AG18&gt;=Inputs!$F$110,Reserves!AH13&gt;=Debt!AH125-Inputs!$F$254),1,0))</f>
        <v/>
      </c>
      <c r="AI23" s="9">
        <f>MAX(AH23,IF(AND(AI22=1,Time!AI51=1,AI18&gt;=Inputs!$F$110,Time!AH51=1,AH18&gt;=Inputs!$F$110,Reserves!AI13&gt;=Debt!AI125-Inputs!$F$254),1,0))</f>
        <v/>
      </c>
      <c r="AJ23" s="9">
        <f>MAX(AI23,IF(AND(AJ22=1,Time!AJ51=1,AJ18&gt;=Inputs!$F$110,Time!AI51=1,AI18&gt;=Inputs!$F$110,Reserves!AJ13&gt;=Debt!AJ125-Inputs!$F$254),1,0))</f>
        <v/>
      </c>
      <c r="AK23" s="9">
        <f>MAX(AJ23,IF(AND(AK22=1,Time!AK51=1,AK18&gt;=Inputs!$F$110,Time!AJ51=1,AJ18&gt;=Inputs!$F$110,Reserves!AK13&gt;=Debt!AK125-Inputs!$F$254),1,0))</f>
        <v/>
      </c>
      <c r="AL23" s="9">
        <f>MAX(AK23,IF(AND(AL22=1,Time!AL51=1,AL18&gt;=Inputs!$F$110,Time!AK51=1,AK18&gt;=Inputs!$F$110,Reserves!AL13&gt;=Debt!AL125-Inputs!$F$254),1,0))</f>
        <v/>
      </c>
      <c r="AM23" s="9">
        <f>MAX(AL23,IF(AND(AM22=1,Time!AM51=1,AM18&gt;=Inputs!$F$110,Time!AL51=1,AL18&gt;=Inputs!$F$110,Reserves!AM13&gt;=Debt!AM125-Inputs!$F$254),1,0))</f>
        <v/>
      </c>
      <c r="AN23" s="9">
        <f>MAX(AM23,IF(AND(AN22=1,Time!AN51=1,AN18&gt;=Inputs!$F$110,Time!AM51=1,AM18&gt;=Inputs!$F$110,Reserves!AN13&gt;=Debt!AN125-Inputs!$F$254),1,0))</f>
        <v/>
      </c>
      <c r="AO23" s="9">
        <f>MAX(AN23,IF(AND(AO22=1,Time!AO51=1,AO18&gt;=Inputs!$F$110,Time!AN51=1,AN18&gt;=Inputs!$F$110,Reserves!AO13&gt;=Debt!AO125-Inputs!$F$254),1,0))</f>
        <v/>
      </c>
      <c r="AP23" s="9">
        <f>MAX(AO23,IF(AND(AP22=1,Time!AP51=1,AP18&gt;=Inputs!$F$110,Time!AO51=1,AO18&gt;=Inputs!$F$110,Reserves!AP13&gt;=Debt!AP125-Inputs!$F$254),1,0))</f>
        <v/>
      </c>
      <c r="AQ23" s="9">
        <f>MAX(AP23,IF(AND(AQ22=1,Time!AQ51=1,AQ18&gt;=Inputs!$F$110,Time!AP51=1,AP18&gt;=Inputs!$F$110,Reserves!AQ13&gt;=Debt!AQ125-Inputs!$F$254),1,0))</f>
        <v/>
      </c>
      <c r="AR23" s="9">
        <f>MAX(AQ23,IF(AND(AR22=1,Time!AR51=1,AR18&gt;=Inputs!$F$110,Time!AQ51=1,AQ18&gt;=Inputs!$F$110,Reserves!AR13&gt;=Debt!AR125-Inputs!$F$254),1,0))</f>
        <v/>
      </c>
      <c r="AS23" s="9">
        <f>MAX(AR23,IF(AND(AS22=1,Time!AS51=1,AS18&gt;=Inputs!$F$110,Time!AR51=1,AR18&gt;=Inputs!$F$110,Reserves!AS13&gt;=Debt!AS125-Inputs!$F$254),1,0))</f>
        <v/>
      </c>
      <c r="AT23" s="9">
        <f>MAX(AS23,IF(AND(AT22=1,Time!AT51=1,AT18&gt;=Inputs!$F$110,Time!AS51=1,AS18&gt;=Inputs!$F$110,Reserves!AT13&gt;=Debt!AT125-Inputs!$F$254),1,0))</f>
        <v/>
      </c>
      <c r="AU23" s="9">
        <f>MAX(AT23,IF(AND(AU22=1,Time!AU51=1,AU18&gt;=Inputs!$F$110,Time!AT51=1,AT18&gt;=Inputs!$F$110,Reserves!AU13&gt;=Debt!AU125-Inputs!$F$254),1,0))</f>
        <v/>
      </c>
      <c r="AV23" s="9">
        <f>MAX(AU23,IF(AND(AV22=1,Time!AV51=1,AV18&gt;=Inputs!$F$110,Time!AU51=1,AU18&gt;=Inputs!$F$110,Reserves!AV13&gt;=Debt!AV125-Inputs!$F$254),1,0))</f>
        <v/>
      </c>
      <c r="AW23" s="9">
        <f>MAX(AV23,IF(AND(AW22=1,Time!AW51=1,AW18&gt;=Inputs!$F$110,Time!AV51=1,AV18&gt;=Inputs!$F$110,Reserves!AW13&gt;=Debt!AW125-Inputs!$F$254),1,0))</f>
        <v/>
      </c>
      <c r="AX23" s="9">
        <f>MAX(AW23,IF(AND(AX22=1,Time!AX51=1,AX18&gt;=Inputs!$F$110,Time!AW51=1,AW18&gt;=Inputs!$F$110,Reserves!AX13&gt;=Debt!AX125-Inputs!$F$254),1,0))</f>
        <v/>
      </c>
      <c r="AY23" s="9">
        <f>MAX(AX23,IF(AND(AY22=1,Time!AY51=1,AY18&gt;=Inputs!$F$110,Time!AX51=1,AX18&gt;=Inputs!$F$110,Reserves!AY13&gt;=Debt!AY125-Inputs!$F$254),1,0))</f>
        <v/>
      </c>
      <c r="AZ23" s="9">
        <f>MAX(AY23,IF(AND(AZ22=1,Time!AZ51=1,AZ18&gt;=Inputs!$F$110,Time!AY51=1,AY18&gt;=Inputs!$F$110,Reserves!AZ13&gt;=Debt!AZ125-Inputs!$F$254),1,0))</f>
        <v/>
      </c>
      <c r="BA23" s="9">
        <f>MAX(AZ23,IF(AND(BA22=1,Time!BA51=1,BA18&gt;=Inputs!$F$110,Time!AZ51=1,AZ18&gt;=Inputs!$F$110,Reserves!BA13&gt;=Debt!BA125-Inputs!$F$254),1,0))</f>
        <v/>
      </c>
      <c r="BB23" s="9">
        <f>MAX(BA23,IF(AND(BB22=1,Time!BB51=1,BB18&gt;=Inputs!$F$110,Time!BA51=1,BA18&gt;=Inputs!$F$110,Reserves!BB13&gt;=Debt!BB125-Inputs!$F$254),1,0))</f>
        <v/>
      </c>
      <c r="BC23" s="9">
        <f>MAX(BB23,IF(AND(BC22=1,Time!BC51=1,BC18&gt;=Inputs!$F$110,Time!BB51=1,BB18&gt;=Inputs!$F$110,Reserves!BC13&gt;=Debt!BC125-Inputs!$F$254),1,0))</f>
        <v/>
      </c>
      <c r="BD23" s="9">
        <f>MAX(BC23,IF(AND(BD22=1,Time!BD51=1,BD18&gt;=Inputs!$F$110,Time!BC51=1,BC18&gt;=Inputs!$F$110,Reserves!BD13&gt;=Debt!BD125-Inputs!$F$254),1,0))</f>
        <v/>
      </c>
      <c r="BE23" s="9">
        <f>MAX(BD23,IF(AND(BE22=1,Time!BE51=1,BE18&gt;=Inputs!$F$110,Time!BD51=1,BD18&gt;=Inputs!$F$110,Reserves!BE13&gt;=Debt!BE125-Inputs!$F$254),1,0))</f>
        <v/>
      </c>
      <c r="BF23" s="9">
        <f>MAX(BE23,IF(AND(BF22=1,Time!BF51=1,BF18&gt;=Inputs!$F$110,Time!BE51=1,BE18&gt;=Inputs!$F$110,Reserves!BF13&gt;=Debt!BF125-Inputs!$F$254),1,0))</f>
        <v/>
      </c>
      <c r="BG23" s="9">
        <f>MAX(BF23,IF(AND(BG22=1,Time!BG51=1,BG18&gt;=Inputs!$F$110,Time!BF51=1,BF18&gt;=Inputs!$F$110,Reserves!BG13&gt;=Debt!BG125-Inputs!$F$254),1,0))</f>
        <v/>
      </c>
      <c r="BH23" s="9">
        <f>MAX(BG23,IF(AND(BH22=1,Time!BH51=1,BH18&gt;=Inputs!$F$110,Time!BG51=1,BG18&gt;=Inputs!$F$110,Reserves!BH13&gt;=Debt!BH125-Inputs!$F$254),1,0))</f>
        <v/>
      </c>
      <c r="BI23" s="9">
        <f>MAX(BH23,IF(AND(BI22=1,Time!BI51=1,BI18&gt;=Inputs!$F$110,Time!BH51=1,BH18&gt;=Inputs!$F$110,Reserves!BI13&gt;=Debt!BI125-Inputs!$F$254),1,0))</f>
        <v/>
      </c>
      <c r="BJ23" s="9">
        <f>MAX(BI23,IF(AND(BJ22=1,Time!BJ51=1,BJ18&gt;=Inputs!$F$110,Time!BI51=1,BI18&gt;=Inputs!$F$110,Reserves!BJ13&gt;=Debt!BJ125-Inputs!$F$254),1,0))</f>
        <v/>
      </c>
      <c r="BK23" s="9">
        <f>MAX(BJ23,IF(AND(BK22=1,Time!BK51=1,BK18&gt;=Inputs!$F$110,Time!BJ51=1,BJ18&gt;=Inputs!$F$110,Reserves!BK13&gt;=Debt!BK125-Inputs!$F$254),1,0))</f>
        <v/>
      </c>
      <c r="BL23" s="9">
        <f>MAX(BK23,IF(AND(BL22=1,Time!BL51=1,BL18&gt;=Inputs!$F$110,Time!BK51=1,BK18&gt;=Inputs!$F$110,Reserves!BL13&gt;=Debt!BL125-Inputs!$F$254),1,0))</f>
        <v/>
      </c>
      <c r="BM23" s="9">
        <f>MAX(BL23,IF(AND(BM22=1,Time!BM51=1,BM18&gt;=Inputs!$F$110,Time!BL51=1,BL18&gt;=Inputs!$F$110,Reserves!BM13&gt;=Debt!BM125-Inputs!$F$254),1,0))</f>
        <v/>
      </c>
      <c r="BN23" s="9">
        <f>MAX(BM23,IF(AND(BN22=1,Time!BN51=1,BN18&gt;=Inputs!$F$110,Time!BM51=1,BM18&gt;=Inputs!$F$110,Reserves!BN13&gt;=Debt!BN125-Inputs!$F$254),1,0))</f>
        <v/>
      </c>
    </row>
    <row r="24">
      <c r="D24" t="inlineStr">
        <is>
          <t>Distributions permitted</t>
        </is>
      </c>
      <c r="E24" t="inlineStr">
        <is>
          <t>flag</t>
        </is>
      </c>
      <c r="J24" s="9">
        <f>IF(OR(AND(J19=1,J18&gt;=Inputs!$F$108,Reserves!J13&gt;=Debt!J125-Inputs!$F$254,OR(J20=0,J21=1),Debt!J114&gt;Inputs!$F$253,OR(J22=0,J23=1)),AND(Time!J37=1,Debt!J114&lt;=Inputs!$F$253),AND(Debt!J114&lt;=Inputs!$F$253,Time!J35=1,Debt!J115&lt;Inputs!$F$253)),1,0)</f>
        <v/>
      </c>
      <c r="K24" s="9">
        <f>IF(OR(AND(K19=1,K18&gt;=Inputs!$F$108,Reserves!K13&gt;=Debt!K125-Inputs!$F$254,OR(K20=0,K21=1),Debt!K114&gt;Inputs!$F$253,OR(K22=0,K23=1)),AND(Time!K37=1,Debt!K114&lt;=Inputs!$F$253),AND(Debt!K114&lt;=Inputs!$F$253,Time!K35=1,Debt!K115&lt;Inputs!$F$253)),1,0)</f>
        <v/>
      </c>
      <c r="L24" s="9">
        <f>IF(OR(AND(L19=1,L18&gt;=Inputs!$F$108,Reserves!L13&gt;=Debt!L125-Inputs!$F$254,OR(L20=0,L21=1),Debt!L114&gt;Inputs!$F$253,OR(L22=0,L23=1)),AND(Time!L37=1,Debt!L114&lt;=Inputs!$F$253),AND(Debt!L114&lt;=Inputs!$F$253,Time!L35=1,Debt!L115&lt;Inputs!$F$253)),1,0)</f>
        <v/>
      </c>
      <c r="M24" s="9">
        <f>IF(OR(AND(M19=1,M18&gt;=Inputs!$F$108,Reserves!M13&gt;=Debt!M125-Inputs!$F$254,OR(M20=0,M21=1),Debt!M114&gt;Inputs!$F$253,OR(M22=0,M23=1)),AND(Time!M37=1,Debt!M114&lt;=Inputs!$F$253),AND(Debt!M114&lt;=Inputs!$F$253,Time!M35=1,Debt!M115&lt;Inputs!$F$253)),1,0)</f>
        <v/>
      </c>
      <c r="N24" s="9">
        <f>IF(OR(AND(N19=1,N18&gt;=Inputs!$F$108,Reserves!N13&gt;=Debt!N125-Inputs!$F$254,OR(N20=0,N21=1),Debt!N114&gt;Inputs!$F$253,OR(N22=0,N23=1)),AND(Time!N37=1,Debt!N114&lt;=Inputs!$F$253),AND(Debt!N114&lt;=Inputs!$F$253,Time!N35=1,Debt!N115&lt;Inputs!$F$253)),1,0)</f>
        <v/>
      </c>
      <c r="O24" s="9">
        <f>IF(OR(AND(O19=1,O18&gt;=Inputs!$F$108,Reserves!O13&gt;=Debt!O125-Inputs!$F$254,OR(O20=0,O21=1),Debt!O114&gt;Inputs!$F$253,OR(O22=0,O23=1)),AND(Time!O37=1,Debt!O114&lt;=Inputs!$F$253),AND(Debt!O114&lt;=Inputs!$F$253,Time!O35=1,Debt!O115&lt;Inputs!$F$253)),1,0)</f>
        <v/>
      </c>
      <c r="P24" s="9">
        <f>IF(OR(AND(P19=1,P18&gt;=Inputs!$F$108,Reserves!P13&gt;=Debt!P125-Inputs!$F$254,OR(P20=0,P21=1),Debt!P114&gt;Inputs!$F$253,OR(P22=0,P23=1)),AND(Time!P37=1,Debt!P114&lt;=Inputs!$F$253),AND(Debt!P114&lt;=Inputs!$F$253,Time!P35=1,Debt!P115&lt;Inputs!$F$253)),1,0)</f>
        <v/>
      </c>
      <c r="Q24" s="9">
        <f>IF(OR(AND(Q19=1,Q18&gt;=Inputs!$F$108,Reserves!Q13&gt;=Debt!Q125-Inputs!$F$254,OR(Q20=0,Q21=1),Debt!Q114&gt;Inputs!$F$253,OR(Q22=0,Q23=1)),AND(Time!Q37=1,Debt!Q114&lt;=Inputs!$F$253),AND(Debt!Q114&lt;=Inputs!$F$253,Time!Q35=1,Debt!Q115&lt;Inputs!$F$253)),1,0)</f>
        <v/>
      </c>
      <c r="R24" s="9">
        <f>IF(OR(AND(R19=1,R18&gt;=Inputs!$F$108,Reserves!R13&gt;=Debt!R125-Inputs!$F$254,OR(R20=0,R21=1),Debt!R114&gt;Inputs!$F$253,OR(R22=0,R23=1)),AND(Time!R37=1,Debt!R114&lt;=Inputs!$F$253),AND(Debt!R114&lt;=Inputs!$F$253,Time!R35=1,Debt!R115&lt;Inputs!$F$253)),1,0)</f>
        <v/>
      </c>
      <c r="S24" s="9">
        <f>IF(OR(AND(S19=1,S18&gt;=Inputs!$F$108,Reserves!S13&gt;=Debt!S125-Inputs!$F$254,OR(S20=0,S21=1),Debt!S114&gt;Inputs!$F$253,OR(S22=0,S23=1)),AND(Time!S37=1,Debt!S114&lt;=Inputs!$F$253),AND(Debt!S114&lt;=Inputs!$F$253,Time!S35=1,Debt!S115&lt;Inputs!$F$253)),1,0)</f>
        <v/>
      </c>
      <c r="T24" s="9">
        <f>IF(OR(AND(T19=1,T18&gt;=Inputs!$F$108,Reserves!T13&gt;=Debt!T125-Inputs!$F$254,OR(T20=0,T21=1),Debt!T114&gt;Inputs!$F$253,OR(T22=0,T23=1)),AND(Time!T37=1,Debt!T114&lt;=Inputs!$F$253),AND(Debt!T114&lt;=Inputs!$F$253,Time!T35=1,Debt!T115&lt;Inputs!$F$253)),1,0)</f>
        <v/>
      </c>
      <c r="U24" s="9">
        <f>IF(OR(AND(U19=1,U18&gt;=Inputs!$F$108,Reserves!U13&gt;=Debt!U125-Inputs!$F$254,OR(U20=0,U21=1),Debt!U114&gt;Inputs!$F$253,OR(U22=0,U23=1)),AND(Time!U37=1,Debt!U114&lt;=Inputs!$F$253),AND(Debt!U114&lt;=Inputs!$F$253,Time!U35=1,Debt!U115&lt;Inputs!$F$253)),1,0)</f>
        <v/>
      </c>
      <c r="V24" s="9">
        <f>IF(OR(AND(V19=1,V18&gt;=Inputs!$F$108,Reserves!V13&gt;=Debt!V125-Inputs!$F$254,OR(V20=0,V21=1),Debt!V114&gt;Inputs!$F$253,OR(V22=0,V23=1)),AND(Time!V37=1,Debt!V114&lt;=Inputs!$F$253),AND(Debt!V114&lt;=Inputs!$F$253,Time!V35=1,Debt!V115&lt;Inputs!$F$253)),1,0)</f>
        <v/>
      </c>
      <c r="W24" s="9">
        <f>IF(OR(AND(W19=1,W18&gt;=Inputs!$F$108,Reserves!W13&gt;=Debt!W125-Inputs!$F$254,OR(W20=0,W21=1),Debt!W114&gt;Inputs!$F$253,OR(W22=0,W23=1)),AND(Time!W37=1,Debt!W114&lt;=Inputs!$F$253),AND(Debt!W114&lt;=Inputs!$F$253,Time!W35=1,Debt!W115&lt;Inputs!$F$253)),1,0)</f>
        <v/>
      </c>
      <c r="X24" s="9">
        <f>IF(OR(AND(X19=1,X18&gt;=Inputs!$F$108,Reserves!X13&gt;=Debt!X125-Inputs!$F$254,OR(X20=0,X21=1),Debt!X114&gt;Inputs!$F$253,OR(X22=0,X23=1)),AND(Time!X37=1,Debt!X114&lt;=Inputs!$F$253),AND(Debt!X114&lt;=Inputs!$F$253,Time!X35=1,Debt!X115&lt;Inputs!$F$253)),1,0)</f>
        <v/>
      </c>
      <c r="Y24" s="9">
        <f>IF(OR(AND(Y19=1,Y18&gt;=Inputs!$F$108,Reserves!Y13&gt;=Debt!Y125-Inputs!$F$254,OR(Y20=0,Y21=1),Debt!Y114&gt;Inputs!$F$253,OR(Y22=0,Y23=1)),AND(Time!Y37=1,Debt!Y114&lt;=Inputs!$F$253),AND(Debt!Y114&lt;=Inputs!$F$253,Time!Y35=1,Debt!Y115&lt;Inputs!$F$253)),1,0)</f>
        <v/>
      </c>
      <c r="Z24" s="9">
        <f>IF(OR(AND(Z19=1,Z18&gt;=Inputs!$F$108,Reserves!Z13&gt;=Debt!Z125-Inputs!$F$254,OR(Z20=0,Z21=1),Debt!Z114&gt;Inputs!$F$253,OR(Z22=0,Z23=1)),AND(Time!Z37=1,Debt!Z114&lt;=Inputs!$F$253),AND(Debt!Z114&lt;=Inputs!$F$253,Time!Z35=1,Debt!Z115&lt;Inputs!$F$253)),1,0)</f>
        <v/>
      </c>
      <c r="AA24" s="9">
        <f>IF(OR(AND(AA19=1,AA18&gt;=Inputs!$F$108,Reserves!AA13&gt;=Debt!AA125-Inputs!$F$254,OR(AA20=0,AA21=1),Debt!AA114&gt;Inputs!$F$253,OR(AA22=0,AA23=1)),AND(Time!AA37=1,Debt!AA114&lt;=Inputs!$F$253),AND(Debt!AA114&lt;=Inputs!$F$253,Time!AA35=1,Debt!AA115&lt;Inputs!$F$253)),1,0)</f>
        <v/>
      </c>
      <c r="AB24" s="9">
        <f>IF(OR(AND(AB19=1,AB18&gt;=Inputs!$F$108,Reserves!AB13&gt;=Debt!AB125-Inputs!$F$254,OR(AB20=0,AB21=1),Debt!AB114&gt;Inputs!$F$253,OR(AB22=0,AB23=1)),AND(Time!AB37=1,Debt!AB114&lt;=Inputs!$F$253),AND(Debt!AB114&lt;=Inputs!$F$253,Time!AB35=1,Debt!AB115&lt;Inputs!$F$253)),1,0)</f>
        <v/>
      </c>
      <c r="AC24" s="9">
        <f>IF(OR(AND(AC19=1,AC18&gt;=Inputs!$F$108,Reserves!AC13&gt;=Debt!AC125-Inputs!$F$254,OR(AC20=0,AC21=1),Debt!AC114&gt;Inputs!$F$253,OR(AC22=0,AC23=1)),AND(Time!AC37=1,Debt!AC114&lt;=Inputs!$F$253),AND(Debt!AC114&lt;=Inputs!$F$253,Time!AC35=1,Debt!AC115&lt;Inputs!$F$253)),1,0)</f>
        <v/>
      </c>
      <c r="AD24" s="9">
        <f>IF(OR(AND(AD19=1,AD18&gt;=Inputs!$F$108,Reserves!AD13&gt;=Debt!AD125-Inputs!$F$254,OR(AD20=0,AD21=1),Debt!AD114&gt;Inputs!$F$253,OR(AD22=0,AD23=1)),AND(Time!AD37=1,Debt!AD114&lt;=Inputs!$F$253),AND(Debt!AD114&lt;=Inputs!$F$253,Time!AD35=1,Debt!AD115&lt;Inputs!$F$253)),1,0)</f>
        <v/>
      </c>
      <c r="AE24" s="9">
        <f>IF(OR(AND(AE19=1,AE18&gt;=Inputs!$F$108,Reserves!AE13&gt;=Debt!AE125-Inputs!$F$254,OR(AE20=0,AE21=1),Debt!AE114&gt;Inputs!$F$253,OR(AE22=0,AE23=1)),AND(Time!AE37=1,Debt!AE114&lt;=Inputs!$F$253),AND(Debt!AE114&lt;=Inputs!$F$253,Time!AE35=1,Debt!AE115&lt;Inputs!$F$253)),1,0)</f>
        <v/>
      </c>
      <c r="AF24" s="9">
        <f>IF(OR(AND(AF19=1,AF18&gt;=Inputs!$F$108,Reserves!AF13&gt;=Debt!AF125-Inputs!$F$254,OR(AF20=0,AF21=1),Debt!AF114&gt;Inputs!$F$253,OR(AF22=0,AF23=1)),AND(Time!AF37=1,Debt!AF114&lt;=Inputs!$F$253),AND(Debt!AF114&lt;=Inputs!$F$253,Time!AF35=1,Debt!AF115&lt;Inputs!$F$253)),1,0)</f>
        <v/>
      </c>
      <c r="AG24" s="9">
        <f>IF(OR(AND(AG19=1,AG18&gt;=Inputs!$F$108,Reserves!AG13&gt;=Debt!AG125-Inputs!$F$254,OR(AG20=0,AG21=1),Debt!AG114&gt;Inputs!$F$253,OR(AG22=0,AG23=1)),AND(Time!AG37=1,Debt!AG114&lt;=Inputs!$F$253),AND(Debt!AG114&lt;=Inputs!$F$253,Time!AG35=1,Debt!AG115&lt;Inputs!$F$253)),1,0)</f>
        <v/>
      </c>
      <c r="AH24" s="9">
        <f>IF(OR(AND(AH19=1,AH18&gt;=Inputs!$F$108,Reserves!AH13&gt;=Debt!AH125-Inputs!$F$254,OR(AH20=0,AH21=1),Debt!AH114&gt;Inputs!$F$253,OR(AH22=0,AH23=1)),AND(Time!AH37=1,Debt!AH114&lt;=Inputs!$F$253),AND(Debt!AH114&lt;=Inputs!$F$253,Time!AH35=1,Debt!AH115&lt;Inputs!$F$253)),1,0)</f>
        <v/>
      </c>
      <c r="AI24" s="9">
        <f>IF(OR(AND(AI19=1,AI18&gt;=Inputs!$F$108,Reserves!AI13&gt;=Debt!AI125-Inputs!$F$254,OR(AI20=0,AI21=1),Debt!AI114&gt;Inputs!$F$253,OR(AI22=0,AI23=1)),AND(Time!AI37=1,Debt!AI114&lt;=Inputs!$F$253),AND(Debt!AI114&lt;=Inputs!$F$253,Time!AI35=1,Debt!AI115&lt;Inputs!$F$253)),1,0)</f>
        <v/>
      </c>
      <c r="AJ24" s="9">
        <f>IF(OR(AND(AJ19=1,AJ18&gt;=Inputs!$F$108,Reserves!AJ13&gt;=Debt!AJ125-Inputs!$F$254,OR(AJ20=0,AJ21=1),Debt!AJ114&gt;Inputs!$F$253,OR(AJ22=0,AJ23=1)),AND(Time!AJ37=1,Debt!AJ114&lt;=Inputs!$F$253),AND(Debt!AJ114&lt;=Inputs!$F$253,Time!AJ35=1,Debt!AJ115&lt;Inputs!$F$253)),1,0)</f>
        <v/>
      </c>
      <c r="AK24" s="9">
        <f>IF(OR(AND(AK19=1,AK18&gt;=Inputs!$F$108,Reserves!AK13&gt;=Debt!AK125-Inputs!$F$254,OR(AK20=0,AK21=1),Debt!AK114&gt;Inputs!$F$253,OR(AK22=0,AK23=1)),AND(Time!AK37=1,Debt!AK114&lt;=Inputs!$F$253),AND(Debt!AK114&lt;=Inputs!$F$253,Time!AK35=1,Debt!AK115&lt;Inputs!$F$253)),1,0)</f>
        <v/>
      </c>
      <c r="AL24" s="9">
        <f>IF(OR(AND(AL19=1,AL18&gt;=Inputs!$F$108,Reserves!AL13&gt;=Debt!AL125-Inputs!$F$254,OR(AL20=0,AL21=1),Debt!AL114&gt;Inputs!$F$253,OR(AL22=0,AL23=1)),AND(Time!AL37=1,Debt!AL114&lt;=Inputs!$F$253),AND(Debt!AL114&lt;=Inputs!$F$253,Time!AL35=1,Debt!AL115&lt;Inputs!$F$253)),1,0)</f>
        <v/>
      </c>
      <c r="AM24" s="9">
        <f>IF(OR(AND(AM19=1,AM18&gt;=Inputs!$F$108,Reserves!AM13&gt;=Debt!AM125-Inputs!$F$254,OR(AM20=0,AM21=1),Debt!AM114&gt;Inputs!$F$253,OR(AM22=0,AM23=1)),AND(Time!AM37=1,Debt!AM114&lt;=Inputs!$F$253),AND(Debt!AM114&lt;=Inputs!$F$253,Time!AM35=1,Debt!AM115&lt;Inputs!$F$253)),1,0)</f>
        <v/>
      </c>
      <c r="AN24" s="9">
        <f>IF(OR(AND(AN19=1,AN18&gt;=Inputs!$F$108,Reserves!AN13&gt;=Debt!AN125-Inputs!$F$254,OR(AN20=0,AN21=1),Debt!AN114&gt;Inputs!$F$253,OR(AN22=0,AN23=1)),AND(Time!AN37=1,Debt!AN114&lt;=Inputs!$F$253),AND(Debt!AN114&lt;=Inputs!$F$253,Time!AN35=1,Debt!AN115&lt;Inputs!$F$253)),1,0)</f>
        <v/>
      </c>
      <c r="AO24" s="9">
        <f>IF(OR(AND(AO19=1,AO18&gt;=Inputs!$F$108,Reserves!AO13&gt;=Debt!AO125-Inputs!$F$254,OR(AO20=0,AO21=1),Debt!AO114&gt;Inputs!$F$253,OR(AO22=0,AO23=1)),AND(Time!AO37=1,Debt!AO114&lt;=Inputs!$F$253),AND(Debt!AO114&lt;=Inputs!$F$253,Time!AO35=1,Debt!AO115&lt;Inputs!$F$253)),1,0)</f>
        <v/>
      </c>
      <c r="AP24" s="9">
        <f>IF(OR(AND(AP19=1,AP18&gt;=Inputs!$F$108,Reserves!AP13&gt;=Debt!AP125-Inputs!$F$254,OR(AP20=0,AP21=1),Debt!AP114&gt;Inputs!$F$253,OR(AP22=0,AP23=1)),AND(Time!AP37=1,Debt!AP114&lt;=Inputs!$F$253),AND(Debt!AP114&lt;=Inputs!$F$253,Time!AP35=1,Debt!AP115&lt;Inputs!$F$253)),1,0)</f>
        <v/>
      </c>
      <c r="AQ24" s="9">
        <f>IF(OR(AND(AQ19=1,AQ18&gt;=Inputs!$F$108,Reserves!AQ13&gt;=Debt!AQ125-Inputs!$F$254,OR(AQ20=0,AQ21=1),Debt!AQ114&gt;Inputs!$F$253,OR(AQ22=0,AQ23=1)),AND(Time!AQ37=1,Debt!AQ114&lt;=Inputs!$F$253),AND(Debt!AQ114&lt;=Inputs!$F$253,Time!AQ35=1,Debt!AQ115&lt;Inputs!$F$253)),1,0)</f>
        <v/>
      </c>
      <c r="AR24" s="9">
        <f>IF(OR(AND(AR19=1,AR18&gt;=Inputs!$F$108,Reserves!AR13&gt;=Debt!AR125-Inputs!$F$254,OR(AR20=0,AR21=1),Debt!AR114&gt;Inputs!$F$253,OR(AR22=0,AR23=1)),AND(Time!AR37=1,Debt!AR114&lt;=Inputs!$F$253),AND(Debt!AR114&lt;=Inputs!$F$253,Time!AR35=1,Debt!AR115&lt;Inputs!$F$253)),1,0)</f>
        <v/>
      </c>
      <c r="AS24" s="9">
        <f>IF(OR(AND(AS19=1,AS18&gt;=Inputs!$F$108,Reserves!AS13&gt;=Debt!AS125-Inputs!$F$254,OR(AS20=0,AS21=1),Debt!AS114&gt;Inputs!$F$253,OR(AS22=0,AS23=1)),AND(Time!AS37=1,Debt!AS114&lt;=Inputs!$F$253),AND(Debt!AS114&lt;=Inputs!$F$253,Time!AS35=1,Debt!AS115&lt;Inputs!$F$253)),1,0)</f>
        <v/>
      </c>
      <c r="AT24" s="9">
        <f>IF(OR(AND(AT19=1,AT18&gt;=Inputs!$F$108,Reserves!AT13&gt;=Debt!AT125-Inputs!$F$254,OR(AT20=0,AT21=1),Debt!AT114&gt;Inputs!$F$253,OR(AT22=0,AT23=1)),AND(Time!AT37=1,Debt!AT114&lt;=Inputs!$F$253),AND(Debt!AT114&lt;=Inputs!$F$253,Time!AT35=1,Debt!AT115&lt;Inputs!$F$253)),1,0)</f>
        <v/>
      </c>
      <c r="AU24" s="9">
        <f>IF(OR(AND(AU19=1,AU18&gt;=Inputs!$F$108,Reserves!AU13&gt;=Debt!AU125-Inputs!$F$254,OR(AU20=0,AU21=1),Debt!AU114&gt;Inputs!$F$253,OR(AU22=0,AU23=1)),AND(Time!AU37=1,Debt!AU114&lt;=Inputs!$F$253),AND(Debt!AU114&lt;=Inputs!$F$253,Time!AU35=1,Debt!AU115&lt;Inputs!$F$253)),1,0)</f>
        <v/>
      </c>
      <c r="AV24" s="9">
        <f>IF(OR(AND(AV19=1,AV18&gt;=Inputs!$F$108,Reserves!AV13&gt;=Debt!AV125-Inputs!$F$254,OR(AV20=0,AV21=1),Debt!AV114&gt;Inputs!$F$253,OR(AV22=0,AV23=1)),AND(Time!AV37=1,Debt!AV114&lt;=Inputs!$F$253),AND(Debt!AV114&lt;=Inputs!$F$253,Time!AV35=1,Debt!AV115&lt;Inputs!$F$253)),1,0)</f>
        <v/>
      </c>
      <c r="AW24" s="9">
        <f>IF(OR(AND(AW19=1,AW18&gt;=Inputs!$F$108,Reserves!AW13&gt;=Debt!AW125-Inputs!$F$254,OR(AW20=0,AW21=1),Debt!AW114&gt;Inputs!$F$253,OR(AW22=0,AW23=1)),AND(Time!AW37=1,Debt!AW114&lt;=Inputs!$F$253),AND(Debt!AW114&lt;=Inputs!$F$253,Time!AW35=1,Debt!AW115&lt;Inputs!$F$253)),1,0)</f>
        <v/>
      </c>
      <c r="AX24" s="9">
        <f>IF(OR(AND(AX19=1,AX18&gt;=Inputs!$F$108,Reserves!AX13&gt;=Debt!AX125-Inputs!$F$254,OR(AX20=0,AX21=1),Debt!AX114&gt;Inputs!$F$253,OR(AX22=0,AX23=1)),AND(Time!AX37=1,Debt!AX114&lt;=Inputs!$F$253),AND(Debt!AX114&lt;=Inputs!$F$253,Time!AX35=1,Debt!AX115&lt;Inputs!$F$253)),1,0)</f>
        <v/>
      </c>
      <c r="AY24" s="9">
        <f>IF(OR(AND(AY19=1,AY18&gt;=Inputs!$F$108,Reserves!AY13&gt;=Debt!AY125-Inputs!$F$254,OR(AY20=0,AY21=1),Debt!AY114&gt;Inputs!$F$253,OR(AY22=0,AY23=1)),AND(Time!AY37=1,Debt!AY114&lt;=Inputs!$F$253),AND(Debt!AY114&lt;=Inputs!$F$253,Time!AY35=1,Debt!AY115&lt;Inputs!$F$253)),1,0)</f>
        <v/>
      </c>
      <c r="AZ24" s="9">
        <f>IF(OR(AND(AZ19=1,AZ18&gt;=Inputs!$F$108,Reserves!AZ13&gt;=Debt!AZ125-Inputs!$F$254,OR(AZ20=0,AZ21=1),Debt!AZ114&gt;Inputs!$F$253,OR(AZ22=0,AZ23=1)),AND(Time!AZ37=1,Debt!AZ114&lt;=Inputs!$F$253),AND(Debt!AZ114&lt;=Inputs!$F$253,Time!AZ35=1,Debt!AZ115&lt;Inputs!$F$253)),1,0)</f>
        <v/>
      </c>
      <c r="BA24" s="9">
        <f>IF(OR(AND(BA19=1,BA18&gt;=Inputs!$F$108,Reserves!BA13&gt;=Debt!BA125-Inputs!$F$254,OR(BA20=0,BA21=1),Debt!BA114&gt;Inputs!$F$253,OR(BA22=0,BA23=1)),AND(Time!BA37=1,Debt!BA114&lt;=Inputs!$F$253),AND(Debt!BA114&lt;=Inputs!$F$253,Time!BA35=1,Debt!BA115&lt;Inputs!$F$253)),1,0)</f>
        <v/>
      </c>
      <c r="BB24" s="9">
        <f>IF(OR(AND(BB19=1,BB18&gt;=Inputs!$F$108,Reserves!BB13&gt;=Debt!BB125-Inputs!$F$254,OR(BB20=0,BB21=1),Debt!BB114&gt;Inputs!$F$253,OR(BB22=0,BB23=1)),AND(Time!BB37=1,Debt!BB114&lt;=Inputs!$F$253),AND(Debt!BB114&lt;=Inputs!$F$253,Time!BB35=1,Debt!BB115&lt;Inputs!$F$253)),1,0)</f>
        <v/>
      </c>
      <c r="BC24" s="9">
        <f>IF(OR(AND(BC19=1,BC18&gt;=Inputs!$F$108,Reserves!BC13&gt;=Debt!BC125-Inputs!$F$254,OR(BC20=0,BC21=1),Debt!BC114&gt;Inputs!$F$253,OR(BC22=0,BC23=1)),AND(Time!BC37=1,Debt!BC114&lt;=Inputs!$F$253),AND(Debt!BC114&lt;=Inputs!$F$253,Time!BC35=1,Debt!BC115&lt;Inputs!$F$253)),1,0)</f>
        <v/>
      </c>
      <c r="BD24" s="9">
        <f>IF(OR(AND(BD19=1,BD18&gt;=Inputs!$F$108,Reserves!BD13&gt;=Debt!BD125-Inputs!$F$254,OR(BD20=0,BD21=1),Debt!BD114&gt;Inputs!$F$253,OR(BD22=0,BD23=1)),AND(Time!BD37=1,Debt!BD114&lt;=Inputs!$F$253),AND(Debt!BD114&lt;=Inputs!$F$253,Time!BD35=1,Debt!BD115&lt;Inputs!$F$253)),1,0)</f>
        <v/>
      </c>
      <c r="BE24" s="9">
        <f>IF(OR(AND(BE19=1,BE18&gt;=Inputs!$F$108,Reserves!BE13&gt;=Debt!BE125-Inputs!$F$254,OR(BE20=0,BE21=1),Debt!BE114&gt;Inputs!$F$253,OR(BE22=0,BE23=1)),AND(Time!BE37=1,Debt!BE114&lt;=Inputs!$F$253),AND(Debt!BE114&lt;=Inputs!$F$253,Time!BE35=1,Debt!BE115&lt;Inputs!$F$253)),1,0)</f>
        <v/>
      </c>
      <c r="BF24" s="9">
        <f>IF(OR(AND(BF19=1,BF18&gt;=Inputs!$F$108,Reserves!BF13&gt;=Debt!BF125-Inputs!$F$254,OR(BF20=0,BF21=1),Debt!BF114&gt;Inputs!$F$253,OR(BF22=0,BF23=1)),AND(Time!BF37=1,Debt!BF114&lt;=Inputs!$F$253),AND(Debt!BF114&lt;=Inputs!$F$253,Time!BF35=1,Debt!BF115&lt;Inputs!$F$253)),1,0)</f>
        <v/>
      </c>
      <c r="BG24" s="9">
        <f>IF(OR(AND(BG19=1,BG18&gt;=Inputs!$F$108,Reserves!BG13&gt;=Debt!BG125-Inputs!$F$254,OR(BG20=0,BG21=1),Debt!BG114&gt;Inputs!$F$253,OR(BG22=0,BG23=1)),AND(Time!BG37=1,Debt!BG114&lt;=Inputs!$F$253),AND(Debt!BG114&lt;=Inputs!$F$253,Time!BG35=1,Debt!BG115&lt;Inputs!$F$253)),1,0)</f>
        <v/>
      </c>
      <c r="BH24" s="9">
        <f>IF(OR(AND(BH19=1,BH18&gt;=Inputs!$F$108,Reserves!BH13&gt;=Debt!BH125-Inputs!$F$254,OR(BH20=0,BH21=1),Debt!BH114&gt;Inputs!$F$253,OR(BH22=0,BH23=1)),AND(Time!BH37=1,Debt!BH114&lt;=Inputs!$F$253),AND(Debt!BH114&lt;=Inputs!$F$253,Time!BH35=1,Debt!BH115&lt;Inputs!$F$253)),1,0)</f>
        <v/>
      </c>
      <c r="BI24" s="9">
        <f>IF(OR(AND(BI19=1,BI18&gt;=Inputs!$F$108,Reserves!BI13&gt;=Debt!BI125-Inputs!$F$254,OR(BI20=0,BI21=1),Debt!BI114&gt;Inputs!$F$253,OR(BI22=0,BI23=1)),AND(Time!BI37=1,Debt!BI114&lt;=Inputs!$F$253),AND(Debt!BI114&lt;=Inputs!$F$253,Time!BI35=1,Debt!BI115&lt;Inputs!$F$253)),1,0)</f>
        <v/>
      </c>
      <c r="BJ24" s="9">
        <f>IF(OR(AND(BJ19=1,BJ18&gt;=Inputs!$F$108,Reserves!BJ13&gt;=Debt!BJ125-Inputs!$F$254,OR(BJ20=0,BJ21=1),Debt!BJ114&gt;Inputs!$F$253,OR(BJ22=0,BJ23=1)),AND(Time!BJ37=1,Debt!BJ114&lt;=Inputs!$F$253),AND(Debt!BJ114&lt;=Inputs!$F$253,Time!BJ35=1,Debt!BJ115&lt;Inputs!$F$253)),1,0)</f>
        <v/>
      </c>
      <c r="BK24" s="9">
        <f>IF(OR(AND(BK19=1,BK18&gt;=Inputs!$F$108,Reserves!BK13&gt;=Debt!BK125-Inputs!$F$254,OR(BK20=0,BK21=1),Debt!BK114&gt;Inputs!$F$253,OR(BK22=0,BK23=1)),AND(Time!BK37=1,Debt!BK114&lt;=Inputs!$F$253),AND(Debt!BK114&lt;=Inputs!$F$253,Time!BK35=1,Debt!BK115&lt;Inputs!$F$253)),1,0)</f>
        <v/>
      </c>
      <c r="BL24" s="9">
        <f>IF(OR(AND(BL19=1,BL18&gt;=Inputs!$F$108,Reserves!BL13&gt;=Debt!BL125-Inputs!$F$254,OR(BL20=0,BL21=1),Debt!BL114&gt;Inputs!$F$253,OR(BL22=0,BL23=1)),AND(Time!BL37=1,Debt!BL114&lt;=Inputs!$F$253),AND(Debt!BL114&lt;=Inputs!$F$253,Time!BL35=1,Debt!BL115&lt;Inputs!$F$253)),1,0)</f>
        <v/>
      </c>
      <c r="BM24" s="9">
        <f>IF(OR(AND(BM19=1,BM18&gt;=Inputs!$F$108,Reserves!BM13&gt;=Debt!BM125-Inputs!$F$254,OR(BM20=0,BM21=1),Debt!BM114&gt;Inputs!$F$253,OR(BM22=0,BM23=1)),AND(Time!BM37=1,Debt!BM114&lt;=Inputs!$F$253),AND(Debt!BM114&lt;=Inputs!$F$253,Time!BM35=1,Debt!BM115&lt;Inputs!$F$253)),1,0)</f>
        <v/>
      </c>
      <c r="BN24" s="9">
        <f>IF(OR(AND(BN19=1,BN18&gt;=Inputs!$F$108,Reserves!BN13&gt;=Debt!BN125-Inputs!$F$254,OR(BN20=0,BN21=1),Debt!BN114&gt;Inputs!$F$253,OR(BN22=0,BN23=1)),AND(Time!BN37=1,Debt!BN114&lt;=Inputs!$F$253),AND(Debt!BN114&lt;=Inputs!$F$253,Time!BN35=1,Debt!BN115&lt;Inputs!$F$253)),1,0)</f>
        <v/>
      </c>
    </row>
    <row r="25">
      <c r="D25" t="inlineStr">
        <is>
          <t>Lock-up</t>
        </is>
      </c>
      <c r="E25" t="inlineStr">
        <is>
          <t>flag</t>
        </is>
      </c>
      <c r="J25" s="9">
        <f>IF(AND(J24=0,J19=1,Debt!J114&gt;Inputs!$F$253),1,0)</f>
        <v/>
      </c>
      <c r="K25" s="9">
        <f>IF(AND(K24=0,K19=1,Debt!K114&gt;Inputs!$F$253),1,0)</f>
        <v/>
      </c>
      <c r="L25" s="9">
        <f>IF(AND(L24=0,L19=1,Debt!L114&gt;Inputs!$F$253),1,0)</f>
        <v/>
      </c>
      <c r="M25" s="9">
        <f>IF(AND(M24=0,M19=1,Debt!M114&gt;Inputs!$F$253),1,0)</f>
        <v/>
      </c>
      <c r="N25" s="9">
        <f>IF(AND(N24=0,N19=1,Debt!N114&gt;Inputs!$F$253),1,0)</f>
        <v/>
      </c>
      <c r="O25" s="9">
        <f>IF(AND(O24=0,O19=1,Debt!O114&gt;Inputs!$F$253),1,0)</f>
        <v/>
      </c>
      <c r="P25" s="9">
        <f>IF(AND(P24=0,P19=1,Debt!P114&gt;Inputs!$F$253),1,0)</f>
        <v/>
      </c>
      <c r="Q25" s="9">
        <f>IF(AND(Q24=0,Q19=1,Debt!Q114&gt;Inputs!$F$253),1,0)</f>
        <v/>
      </c>
      <c r="R25" s="9">
        <f>IF(AND(R24=0,R19=1,Debt!R114&gt;Inputs!$F$253),1,0)</f>
        <v/>
      </c>
      <c r="S25" s="9">
        <f>IF(AND(S24=0,S19=1,Debt!S114&gt;Inputs!$F$253),1,0)</f>
        <v/>
      </c>
      <c r="T25" s="9">
        <f>IF(AND(T24=0,T19=1,Debt!T114&gt;Inputs!$F$253),1,0)</f>
        <v/>
      </c>
      <c r="U25" s="9">
        <f>IF(AND(U24=0,U19=1,Debt!U114&gt;Inputs!$F$253),1,0)</f>
        <v/>
      </c>
      <c r="V25" s="9">
        <f>IF(AND(V24=0,V19=1,Debt!V114&gt;Inputs!$F$253),1,0)</f>
        <v/>
      </c>
      <c r="W25" s="9">
        <f>IF(AND(W24=0,W19=1,Debt!W114&gt;Inputs!$F$253),1,0)</f>
        <v/>
      </c>
      <c r="X25" s="9">
        <f>IF(AND(X24=0,X19=1,Debt!X114&gt;Inputs!$F$253),1,0)</f>
        <v/>
      </c>
      <c r="Y25" s="9">
        <f>IF(AND(Y24=0,Y19=1,Debt!Y114&gt;Inputs!$F$253),1,0)</f>
        <v/>
      </c>
      <c r="Z25" s="9">
        <f>IF(AND(Z24=0,Z19=1,Debt!Z114&gt;Inputs!$F$253),1,0)</f>
        <v/>
      </c>
      <c r="AA25" s="9">
        <f>IF(AND(AA24=0,AA19=1,Debt!AA114&gt;Inputs!$F$253),1,0)</f>
        <v/>
      </c>
      <c r="AB25" s="9">
        <f>IF(AND(AB24=0,AB19=1,Debt!AB114&gt;Inputs!$F$253),1,0)</f>
        <v/>
      </c>
      <c r="AC25" s="9">
        <f>IF(AND(AC24=0,AC19=1,Debt!AC114&gt;Inputs!$F$253),1,0)</f>
        <v/>
      </c>
      <c r="AD25" s="9">
        <f>IF(AND(AD24=0,AD19=1,Debt!AD114&gt;Inputs!$F$253),1,0)</f>
        <v/>
      </c>
      <c r="AE25" s="9">
        <f>IF(AND(AE24=0,AE19=1,Debt!AE114&gt;Inputs!$F$253),1,0)</f>
        <v/>
      </c>
      <c r="AF25" s="9">
        <f>IF(AND(AF24=0,AF19=1,Debt!AF114&gt;Inputs!$F$253),1,0)</f>
        <v/>
      </c>
      <c r="AG25" s="9">
        <f>IF(AND(AG24=0,AG19=1,Debt!AG114&gt;Inputs!$F$253),1,0)</f>
        <v/>
      </c>
      <c r="AH25" s="9">
        <f>IF(AND(AH24=0,AH19=1,Debt!AH114&gt;Inputs!$F$253),1,0)</f>
        <v/>
      </c>
      <c r="AI25" s="9">
        <f>IF(AND(AI24=0,AI19=1,Debt!AI114&gt;Inputs!$F$253),1,0)</f>
        <v/>
      </c>
      <c r="AJ25" s="9">
        <f>IF(AND(AJ24=0,AJ19=1,Debt!AJ114&gt;Inputs!$F$253),1,0)</f>
        <v/>
      </c>
      <c r="AK25" s="9">
        <f>IF(AND(AK24=0,AK19=1,Debt!AK114&gt;Inputs!$F$253),1,0)</f>
        <v/>
      </c>
      <c r="AL25" s="9">
        <f>IF(AND(AL24=0,AL19=1,Debt!AL114&gt;Inputs!$F$253),1,0)</f>
        <v/>
      </c>
      <c r="AM25" s="9">
        <f>IF(AND(AM24=0,AM19=1,Debt!AM114&gt;Inputs!$F$253),1,0)</f>
        <v/>
      </c>
      <c r="AN25" s="9">
        <f>IF(AND(AN24=0,AN19=1,Debt!AN114&gt;Inputs!$F$253),1,0)</f>
        <v/>
      </c>
      <c r="AO25" s="9">
        <f>IF(AND(AO24=0,AO19=1,Debt!AO114&gt;Inputs!$F$253),1,0)</f>
        <v/>
      </c>
      <c r="AP25" s="9">
        <f>IF(AND(AP24=0,AP19=1,Debt!AP114&gt;Inputs!$F$253),1,0)</f>
        <v/>
      </c>
      <c r="AQ25" s="9">
        <f>IF(AND(AQ24=0,AQ19=1,Debt!AQ114&gt;Inputs!$F$253),1,0)</f>
        <v/>
      </c>
      <c r="AR25" s="9">
        <f>IF(AND(AR24=0,AR19=1,Debt!AR114&gt;Inputs!$F$253),1,0)</f>
        <v/>
      </c>
      <c r="AS25" s="9">
        <f>IF(AND(AS24=0,AS19=1,Debt!AS114&gt;Inputs!$F$253),1,0)</f>
        <v/>
      </c>
      <c r="AT25" s="9">
        <f>IF(AND(AT24=0,AT19=1,Debt!AT114&gt;Inputs!$F$253),1,0)</f>
        <v/>
      </c>
      <c r="AU25" s="9">
        <f>IF(AND(AU24=0,AU19=1,Debt!AU114&gt;Inputs!$F$253),1,0)</f>
        <v/>
      </c>
      <c r="AV25" s="9">
        <f>IF(AND(AV24=0,AV19=1,Debt!AV114&gt;Inputs!$F$253),1,0)</f>
        <v/>
      </c>
      <c r="AW25" s="9">
        <f>IF(AND(AW24=0,AW19=1,Debt!AW114&gt;Inputs!$F$253),1,0)</f>
        <v/>
      </c>
      <c r="AX25" s="9">
        <f>IF(AND(AX24=0,AX19=1,Debt!AX114&gt;Inputs!$F$253),1,0)</f>
        <v/>
      </c>
      <c r="AY25" s="9">
        <f>IF(AND(AY24=0,AY19=1,Debt!AY114&gt;Inputs!$F$253),1,0)</f>
        <v/>
      </c>
      <c r="AZ25" s="9">
        <f>IF(AND(AZ24=0,AZ19=1,Debt!AZ114&gt;Inputs!$F$253),1,0)</f>
        <v/>
      </c>
      <c r="BA25" s="9">
        <f>IF(AND(BA24=0,BA19=1,Debt!BA114&gt;Inputs!$F$253),1,0)</f>
        <v/>
      </c>
      <c r="BB25" s="9">
        <f>IF(AND(BB24=0,BB19=1,Debt!BB114&gt;Inputs!$F$253),1,0)</f>
        <v/>
      </c>
      <c r="BC25" s="9">
        <f>IF(AND(BC24=0,BC19=1,Debt!BC114&gt;Inputs!$F$253),1,0)</f>
        <v/>
      </c>
      <c r="BD25" s="9">
        <f>IF(AND(BD24=0,BD19=1,Debt!BD114&gt;Inputs!$F$253),1,0)</f>
        <v/>
      </c>
      <c r="BE25" s="9">
        <f>IF(AND(BE24=0,BE19=1,Debt!BE114&gt;Inputs!$F$253),1,0)</f>
        <v/>
      </c>
      <c r="BF25" s="9">
        <f>IF(AND(BF24=0,BF19=1,Debt!BF114&gt;Inputs!$F$253),1,0)</f>
        <v/>
      </c>
      <c r="BG25" s="9">
        <f>IF(AND(BG24=0,BG19=1,Debt!BG114&gt;Inputs!$F$253),1,0)</f>
        <v/>
      </c>
      <c r="BH25" s="9">
        <f>IF(AND(BH24=0,BH19=1,Debt!BH114&gt;Inputs!$F$253),1,0)</f>
        <v/>
      </c>
      <c r="BI25" s="9">
        <f>IF(AND(BI24=0,BI19=1,Debt!BI114&gt;Inputs!$F$253),1,0)</f>
        <v/>
      </c>
      <c r="BJ25" s="9">
        <f>IF(AND(BJ24=0,BJ19=1,Debt!BJ114&gt;Inputs!$F$253),1,0)</f>
        <v/>
      </c>
      <c r="BK25" s="9">
        <f>IF(AND(BK24=0,BK19=1,Debt!BK114&gt;Inputs!$F$253),1,0)</f>
        <v/>
      </c>
      <c r="BL25" s="9">
        <f>IF(AND(BL24=0,BL19=1,Debt!BL114&gt;Inputs!$F$253),1,0)</f>
        <v/>
      </c>
      <c r="BM25" s="9">
        <f>IF(AND(BM24=0,BM19=1,Debt!BM114&gt;Inputs!$F$253),1,0)</f>
        <v/>
      </c>
      <c r="BN25" s="9">
        <f>IF(AND(BN24=0,BN19=1,Debt!BN114&gt;Inputs!$F$253),1,0)</f>
        <v/>
      </c>
    </row>
    <row r="26">
      <c r="D26" t="inlineStr">
        <is>
          <t>Consecutive lock-ups</t>
        </is>
      </c>
      <c r="E26" t="inlineStr">
        <is>
          <t>count</t>
        </is>
      </c>
      <c r="J26" s="9">
        <f>IF(J25=1,I26+1,0)</f>
        <v/>
      </c>
      <c r="K26" s="9">
        <f>IF(K25=1,J26+1,0)</f>
        <v/>
      </c>
      <c r="L26" s="9">
        <f>IF(L25=1,K26+1,0)</f>
        <v/>
      </c>
      <c r="M26" s="9">
        <f>IF(M25=1,L26+1,0)</f>
        <v/>
      </c>
      <c r="N26" s="9">
        <f>IF(N25=1,M26+1,0)</f>
        <v/>
      </c>
      <c r="O26" s="9">
        <f>IF(O25=1,N26+1,0)</f>
        <v/>
      </c>
      <c r="P26" s="9">
        <f>IF(P25=1,O26+1,0)</f>
        <v/>
      </c>
      <c r="Q26" s="9">
        <f>IF(Q25=1,P26+1,0)</f>
        <v/>
      </c>
      <c r="R26" s="9">
        <f>IF(R25=1,Q26+1,0)</f>
        <v/>
      </c>
      <c r="S26" s="9">
        <f>IF(S25=1,R26+1,0)</f>
        <v/>
      </c>
      <c r="T26" s="9">
        <f>IF(T25=1,S26+1,0)</f>
        <v/>
      </c>
      <c r="U26" s="9">
        <f>IF(U25=1,T26+1,0)</f>
        <v/>
      </c>
      <c r="V26" s="9">
        <f>IF(V25=1,U26+1,0)</f>
        <v/>
      </c>
      <c r="W26" s="9">
        <f>IF(W25=1,V26+1,0)</f>
        <v/>
      </c>
      <c r="X26" s="9">
        <f>IF(X25=1,W26+1,0)</f>
        <v/>
      </c>
      <c r="Y26" s="9">
        <f>IF(Y25=1,X26+1,0)</f>
        <v/>
      </c>
      <c r="Z26" s="9">
        <f>IF(Z25=1,Y26+1,0)</f>
        <v/>
      </c>
      <c r="AA26" s="9">
        <f>IF(AA25=1,Z26+1,0)</f>
        <v/>
      </c>
      <c r="AB26" s="9">
        <f>IF(AB25=1,AA26+1,0)</f>
        <v/>
      </c>
      <c r="AC26" s="9">
        <f>IF(AC25=1,AB26+1,0)</f>
        <v/>
      </c>
      <c r="AD26" s="9">
        <f>IF(AD25=1,AC26+1,0)</f>
        <v/>
      </c>
      <c r="AE26" s="9">
        <f>IF(AE25=1,AD26+1,0)</f>
        <v/>
      </c>
      <c r="AF26" s="9">
        <f>IF(AF25=1,AE26+1,0)</f>
        <v/>
      </c>
      <c r="AG26" s="9">
        <f>IF(AG25=1,AF26+1,0)</f>
        <v/>
      </c>
      <c r="AH26" s="9">
        <f>IF(AH25=1,AG26+1,0)</f>
        <v/>
      </c>
      <c r="AI26" s="9">
        <f>IF(AI25=1,AH26+1,0)</f>
        <v/>
      </c>
      <c r="AJ26" s="9">
        <f>IF(AJ25=1,AI26+1,0)</f>
        <v/>
      </c>
      <c r="AK26" s="9">
        <f>IF(AK25=1,AJ26+1,0)</f>
        <v/>
      </c>
      <c r="AL26" s="9">
        <f>IF(AL25=1,AK26+1,0)</f>
        <v/>
      </c>
      <c r="AM26" s="9">
        <f>IF(AM25=1,AL26+1,0)</f>
        <v/>
      </c>
      <c r="AN26" s="9">
        <f>IF(AN25=1,AM26+1,0)</f>
        <v/>
      </c>
      <c r="AO26" s="9">
        <f>IF(AO25=1,AN26+1,0)</f>
        <v/>
      </c>
      <c r="AP26" s="9">
        <f>IF(AP25=1,AO26+1,0)</f>
        <v/>
      </c>
      <c r="AQ26" s="9">
        <f>IF(AQ25=1,AP26+1,0)</f>
        <v/>
      </c>
      <c r="AR26" s="9">
        <f>IF(AR25=1,AQ26+1,0)</f>
        <v/>
      </c>
      <c r="AS26" s="9">
        <f>IF(AS25=1,AR26+1,0)</f>
        <v/>
      </c>
      <c r="AT26" s="9">
        <f>IF(AT25=1,AS26+1,0)</f>
        <v/>
      </c>
      <c r="AU26" s="9">
        <f>IF(AU25=1,AT26+1,0)</f>
        <v/>
      </c>
      <c r="AV26" s="9">
        <f>IF(AV25=1,AU26+1,0)</f>
        <v/>
      </c>
      <c r="AW26" s="9">
        <f>IF(AW25=1,AV26+1,0)</f>
        <v/>
      </c>
      <c r="AX26" s="9">
        <f>IF(AX25=1,AW26+1,0)</f>
        <v/>
      </c>
      <c r="AY26" s="9">
        <f>IF(AY25=1,AX26+1,0)</f>
        <v/>
      </c>
      <c r="AZ26" s="9">
        <f>IF(AZ25=1,AY26+1,0)</f>
        <v/>
      </c>
      <c r="BA26" s="9">
        <f>IF(BA25=1,AZ26+1,0)</f>
        <v/>
      </c>
      <c r="BB26" s="9">
        <f>IF(BB25=1,BA26+1,0)</f>
        <v/>
      </c>
      <c r="BC26" s="9">
        <f>IF(BC25=1,BB26+1,0)</f>
        <v/>
      </c>
      <c r="BD26" s="9">
        <f>IF(BD25=1,BC26+1,0)</f>
        <v/>
      </c>
      <c r="BE26" s="9">
        <f>IF(BE25=1,BD26+1,0)</f>
        <v/>
      </c>
      <c r="BF26" s="9">
        <f>IF(BF25=1,BE26+1,0)</f>
        <v/>
      </c>
      <c r="BG26" s="9">
        <f>IF(BG25=1,BF26+1,0)</f>
        <v/>
      </c>
      <c r="BH26" s="9">
        <f>IF(BH25=1,BG26+1,0)</f>
        <v/>
      </c>
      <c r="BI26" s="9">
        <f>IF(BI25=1,BH26+1,0)</f>
        <v/>
      </c>
      <c r="BJ26" s="9">
        <f>IF(BJ25=1,BI26+1,0)</f>
        <v/>
      </c>
      <c r="BK26" s="9">
        <f>IF(BK25=1,BJ26+1,0)</f>
        <v/>
      </c>
      <c r="BL26" s="9">
        <f>IF(BL25=1,BK26+1,0)</f>
        <v/>
      </c>
      <c r="BM26" s="9">
        <f>IF(BM25=1,BL26+1,0)</f>
        <v/>
      </c>
      <c r="BN26" s="9">
        <f>IF(BN25=1,BM26+1,0)</f>
        <v/>
      </c>
    </row>
    <row r="27">
      <c r="B27" s="2" t="inlineStr">
        <is>
          <t>Sweeps and distributions (USD m)</t>
        </is>
      </c>
    </row>
    <row r="28">
      <c r="D28" t="inlineStr">
        <is>
          <t>Lock-up cash sweep (after two consecutive lock-ups)</t>
        </is>
      </c>
      <c r="E28" t="inlineStr">
        <is>
          <t>USD m</t>
        </is>
      </c>
      <c r="G28" s="13">
        <f>SUM(J28:BN28)</f>
        <v/>
      </c>
      <c r="J28" s="13">
        <f>IF(AND(J24=0,J26&gt;=Inputs!$F$257,J22=0),MIN(J15,Debt!J31+Debt!J45+Debt!J59+Debt!J73+Debt!J87),0)</f>
        <v/>
      </c>
      <c r="K28" s="13">
        <f>IF(AND(K24=0,K26&gt;=Inputs!$F$257,K22=0),MIN(K15,Debt!K31+Debt!K45+Debt!K59+Debt!K73+Debt!K87),0)</f>
        <v/>
      </c>
      <c r="L28" s="13">
        <f>IF(AND(L24=0,L26&gt;=Inputs!$F$257,L22=0),MIN(L15,Debt!L31+Debt!L45+Debt!L59+Debt!L73+Debt!L87),0)</f>
        <v/>
      </c>
      <c r="M28" s="13">
        <f>IF(AND(M24=0,M26&gt;=Inputs!$F$257,M22=0),MIN(M15,Debt!M31+Debt!M45+Debt!M59+Debt!M73+Debt!M87),0)</f>
        <v/>
      </c>
      <c r="N28" s="13">
        <f>IF(AND(N24=0,N26&gt;=Inputs!$F$257,N22=0),MIN(N15,Debt!N31+Debt!N45+Debt!N59+Debt!N73+Debt!N87),0)</f>
        <v/>
      </c>
      <c r="O28" s="13">
        <f>IF(AND(O24=0,O26&gt;=Inputs!$F$257,O22=0),MIN(O15,Debt!O31+Debt!O45+Debt!O59+Debt!O73+Debt!O87),0)</f>
        <v/>
      </c>
      <c r="P28" s="13">
        <f>IF(AND(P24=0,P26&gt;=Inputs!$F$257,P22=0),MIN(P15,Debt!P31+Debt!P45+Debt!P59+Debt!P73+Debt!P87),0)</f>
        <v/>
      </c>
      <c r="Q28" s="13">
        <f>IF(AND(Q24=0,Q26&gt;=Inputs!$F$257,Q22=0),MIN(Q15,Debt!Q31+Debt!Q45+Debt!Q59+Debt!Q73+Debt!Q87),0)</f>
        <v/>
      </c>
      <c r="R28" s="13">
        <f>IF(AND(R24=0,R26&gt;=Inputs!$F$257,R22=0),MIN(R15,Debt!R31+Debt!R45+Debt!R59+Debt!R73+Debt!R87),0)</f>
        <v/>
      </c>
      <c r="S28" s="13">
        <f>IF(AND(S24=0,S26&gt;=Inputs!$F$257,S22=0),MIN(S15,Debt!S31+Debt!S45+Debt!S59+Debt!S73+Debt!S87),0)</f>
        <v/>
      </c>
      <c r="T28" s="13">
        <f>IF(AND(T24=0,T26&gt;=Inputs!$F$257,T22=0),MIN(T15,Debt!T31+Debt!T45+Debt!T59+Debt!T73+Debt!T87),0)</f>
        <v/>
      </c>
      <c r="U28" s="13">
        <f>IF(AND(U24=0,U26&gt;=Inputs!$F$257,U22=0),MIN(U15,Debt!U31+Debt!U45+Debt!U59+Debt!U73+Debt!U87),0)</f>
        <v/>
      </c>
      <c r="V28" s="13">
        <f>IF(AND(V24=0,V26&gt;=Inputs!$F$257,V22=0),MIN(V15,Debt!V31+Debt!V45+Debt!V59+Debt!V73+Debt!V87),0)</f>
        <v/>
      </c>
      <c r="W28" s="13">
        <f>IF(AND(W24=0,W26&gt;=Inputs!$F$257,W22=0),MIN(W15,Debt!W31+Debt!W45+Debt!W59+Debt!W73+Debt!W87),0)</f>
        <v/>
      </c>
      <c r="X28" s="13">
        <f>IF(AND(X24=0,X26&gt;=Inputs!$F$257,X22=0),MIN(X15,Debt!X31+Debt!X45+Debt!X59+Debt!X73+Debt!X87),0)</f>
        <v/>
      </c>
      <c r="Y28" s="13">
        <f>IF(AND(Y24=0,Y26&gt;=Inputs!$F$257,Y22=0),MIN(Y15,Debt!Y31+Debt!Y45+Debt!Y59+Debt!Y73+Debt!Y87),0)</f>
        <v/>
      </c>
      <c r="Z28" s="13">
        <f>IF(AND(Z24=0,Z26&gt;=Inputs!$F$257,Z22=0),MIN(Z15,Debt!Z31+Debt!Z45+Debt!Z59+Debt!Z73+Debt!Z87),0)</f>
        <v/>
      </c>
      <c r="AA28" s="13">
        <f>IF(AND(AA24=0,AA26&gt;=Inputs!$F$257,AA22=0),MIN(AA15,Debt!AA31+Debt!AA45+Debt!AA59+Debt!AA73+Debt!AA87),0)</f>
        <v/>
      </c>
      <c r="AB28" s="13">
        <f>IF(AND(AB24=0,AB26&gt;=Inputs!$F$257,AB22=0),MIN(AB15,Debt!AB31+Debt!AB45+Debt!AB59+Debt!AB73+Debt!AB87),0)</f>
        <v/>
      </c>
      <c r="AC28" s="13">
        <f>IF(AND(AC24=0,AC26&gt;=Inputs!$F$257,AC22=0),MIN(AC15,Debt!AC31+Debt!AC45+Debt!AC59+Debt!AC73+Debt!AC87),0)</f>
        <v/>
      </c>
      <c r="AD28" s="13">
        <f>IF(AND(AD24=0,AD26&gt;=Inputs!$F$257,AD22=0),MIN(AD15,Debt!AD31+Debt!AD45+Debt!AD59+Debt!AD73+Debt!AD87),0)</f>
        <v/>
      </c>
      <c r="AE28" s="13">
        <f>IF(AND(AE24=0,AE26&gt;=Inputs!$F$257,AE22=0),MIN(AE15,Debt!AE31+Debt!AE45+Debt!AE59+Debt!AE73+Debt!AE87),0)</f>
        <v/>
      </c>
      <c r="AF28" s="13">
        <f>IF(AND(AF24=0,AF26&gt;=Inputs!$F$257,AF22=0),MIN(AF15,Debt!AF31+Debt!AF45+Debt!AF59+Debt!AF73+Debt!AF87),0)</f>
        <v/>
      </c>
      <c r="AG28" s="13">
        <f>IF(AND(AG24=0,AG26&gt;=Inputs!$F$257,AG22=0),MIN(AG15,Debt!AG31+Debt!AG45+Debt!AG59+Debt!AG73+Debt!AG87),0)</f>
        <v/>
      </c>
      <c r="AH28" s="13">
        <f>IF(AND(AH24=0,AH26&gt;=Inputs!$F$257,AH22=0),MIN(AH15,Debt!AH31+Debt!AH45+Debt!AH59+Debt!AH73+Debt!AH87),0)</f>
        <v/>
      </c>
      <c r="AI28" s="13">
        <f>IF(AND(AI24=0,AI26&gt;=Inputs!$F$257,AI22=0),MIN(AI15,Debt!AI31+Debt!AI45+Debt!AI59+Debt!AI73+Debt!AI87),0)</f>
        <v/>
      </c>
      <c r="AJ28" s="13">
        <f>IF(AND(AJ24=0,AJ26&gt;=Inputs!$F$257,AJ22=0),MIN(AJ15,Debt!AJ31+Debt!AJ45+Debt!AJ59+Debt!AJ73+Debt!AJ87),0)</f>
        <v/>
      </c>
      <c r="AK28" s="13">
        <f>IF(AND(AK24=0,AK26&gt;=Inputs!$F$257,AK22=0),MIN(AK15,Debt!AK31+Debt!AK45+Debt!AK59+Debt!AK73+Debt!AK87),0)</f>
        <v/>
      </c>
      <c r="AL28" s="13">
        <f>IF(AND(AL24=0,AL26&gt;=Inputs!$F$257,AL22=0),MIN(AL15,Debt!AL31+Debt!AL45+Debt!AL59+Debt!AL73+Debt!AL87),0)</f>
        <v/>
      </c>
      <c r="AM28" s="13">
        <f>IF(AND(AM24=0,AM26&gt;=Inputs!$F$257,AM22=0),MIN(AM15,Debt!AM31+Debt!AM45+Debt!AM59+Debt!AM73+Debt!AM87),0)</f>
        <v/>
      </c>
      <c r="AN28" s="13">
        <f>IF(AND(AN24=0,AN26&gt;=Inputs!$F$257,AN22=0),MIN(AN15,Debt!AN31+Debt!AN45+Debt!AN59+Debt!AN73+Debt!AN87),0)</f>
        <v/>
      </c>
      <c r="AO28" s="13">
        <f>IF(AND(AO24=0,AO26&gt;=Inputs!$F$257,AO22=0),MIN(AO15,Debt!AO31+Debt!AO45+Debt!AO59+Debt!AO73+Debt!AO87),0)</f>
        <v/>
      </c>
      <c r="AP28" s="13">
        <f>IF(AND(AP24=0,AP26&gt;=Inputs!$F$257,AP22=0),MIN(AP15,Debt!AP31+Debt!AP45+Debt!AP59+Debt!AP73+Debt!AP87),0)</f>
        <v/>
      </c>
      <c r="AQ28" s="13">
        <f>IF(AND(AQ24=0,AQ26&gt;=Inputs!$F$257,AQ22=0),MIN(AQ15,Debt!AQ31+Debt!AQ45+Debt!AQ59+Debt!AQ73+Debt!AQ87),0)</f>
        <v/>
      </c>
      <c r="AR28" s="13">
        <f>IF(AND(AR24=0,AR26&gt;=Inputs!$F$257,AR22=0),MIN(AR15,Debt!AR31+Debt!AR45+Debt!AR59+Debt!AR73+Debt!AR87),0)</f>
        <v/>
      </c>
      <c r="AS28" s="13">
        <f>IF(AND(AS24=0,AS26&gt;=Inputs!$F$257,AS22=0),MIN(AS15,Debt!AS31+Debt!AS45+Debt!AS59+Debt!AS73+Debt!AS87),0)</f>
        <v/>
      </c>
      <c r="AT28" s="13">
        <f>IF(AND(AT24=0,AT26&gt;=Inputs!$F$257,AT22=0),MIN(AT15,Debt!AT31+Debt!AT45+Debt!AT59+Debt!AT73+Debt!AT87),0)</f>
        <v/>
      </c>
      <c r="AU28" s="13">
        <f>IF(AND(AU24=0,AU26&gt;=Inputs!$F$257,AU22=0),MIN(AU15,Debt!AU31+Debt!AU45+Debt!AU59+Debt!AU73+Debt!AU87),0)</f>
        <v/>
      </c>
      <c r="AV28" s="13">
        <f>IF(AND(AV24=0,AV26&gt;=Inputs!$F$257,AV22=0),MIN(AV15,Debt!AV31+Debt!AV45+Debt!AV59+Debt!AV73+Debt!AV87),0)</f>
        <v/>
      </c>
      <c r="AW28" s="13">
        <f>IF(AND(AW24=0,AW26&gt;=Inputs!$F$257,AW22=0),MIN(AW15,Debt!AW31+Debt!AW45+Debt!AW59+Debt!AW73+Debt!AW87),0)</f>
        <v/>
      </c>
      <c r="AX28" s="13">
        <f>IF(AND(AX24=0,AX26&gt;=Inputs!$F$257,AX22=0),MIN(AX15,Debt!AX31+Debt!AX45+Debt!AX59+Debt!AX73+Debt!AX87),0)</f>
        <v/>
      </c>
      <c r="AY28" s="13">
        <f>IF(AND(AY24=0,AY26&gt;=Inputs!$F$257,AY22=0),MIN(AY15,Debt!AY31+Debt!AY45+Debt!AY59+Debt!AY73+Debt!AY87),0)</f>
        <v/>
      </c>
      <c r="AZ28" s="13">
        <f>IF(AND(AZ24=0,AZ26&gt;=Inputs!$F$257,AZ22=0),MIN(AZ15,Debt!AZ31+Debt!AZ45+Debt!AZ59+Debt!AZ73+Debt!AZ87),0)</f>
        <v/>
      </c>
      <c r="BA28" s="13">
        <f>IF(AND(BA24=0,BA26&gt;=Inputs!$F$257,BA22=0),MIN(BA15,Debt!BA31+Debt!BA45+Debt!BA59+Debt!BA73+Debt!BA87),0)</f>
        <v/>
      </c>
      <c r="BB28" s="13">
        <f>IF(AND(BB24=0,BB26&gt;=Inputs!$F$257,BB22=0),MIN(BB15,Debt!BB31+Debt!BB45+Debt!BB59+Debt!BB73+Debt!BB87),0)</f>
        <v/>
      </c>
      <c r="BC28" s="13">
        <f>IF(AND(BC24=0,BC26&gt;=Inputs!$F$257,BC22=0),MIN(BC15,Debt!BC31+Debt!BC45+Debt!BC59+Debt!BC73+Debt!BC87),0)</f>
        <v/>
      </c>
      <c r="BD28" s="13">
        <f>IF(AND(BD24=0,BD26&gt;=Inputs!$F$257,BD22=0),MIN(BD15,Debt!BD31+Debt!BD45+Debt!BD59+Debt!BD73+Debt!BD87),0)</f>
        <v/>
      </c>
      <c r="BE28" s="13">
        <f>IF(AND(BE24=0,BE26&gt;=Inputs!$F$257,BE22=0),MIN(BE15,Debt!BE31+Debt!BE45+Debt!BE59+Debt!BE73+Debt!BE87),0)</f>
        <v/>
      </c>
      <c r="BF28" s="13">
        <f>IF(AND(BF24=0,BF26&gt;=Inputs!$F$257,BF22=0),MIN(BF15,Debt!BF31+Debt!BF45+Debt!BF59+Debt!BF73+Debt!BF87),0)</f>
        <v/>
      </c>
      <c r="BG28" s="13">
        <f>IF(AND(BG24=0,BG26&gt;=Inputs!$F$257,BG22=0),MIN(BG15,Debt!BG31+Debt!BG45+Debt!BG59+Debt!BG73+Debt!BG87),0)</f>
        <v/>
      </c>
      <c r="BH28" s="13">
        <f>IF(AND(BH24=0,BH26&gt;=Inputs!$F$257,BH22=0),MIN(BH15,Debt!BH31+Debt!BH45+Debt!BH59+Debt!BH73+Debt!BH87),0)</f>
        <v/>
      </c>
      <c r="BI28" s="13">
        <f>IF(AND(BI24=0,BI26&gt;=Inputs!$F$257,BI22=0),MIN(BI15,Debt!BI31+Debt!BI45+Debt!BI59+Debt!BI73+Debt!BI87),0)</f>
        <v/>
      </c>
      <c r="BJ28" s="13">
        <f>IF(AND(BJ24=0,BJ26&gt;=Inputs!$F$257,BJ22=0),MIN(BJ15,Debt!BJ31+Debt!BJ45+Debt!BJ59+Debt!BJ73+Debt!BJ87),0)</f>
        <v/>
      </c>
      <c r="BK28" s="13">
        <f>IF(AND(BK24=0,BK26&gt;=Inputs!$F$257,BK22=0),MIN(BK15,Debt!BK31+Debt!BK45+Debt!BK59+Debt!BK73+Debt!BK87),0)</f>
        <v/>
      </c>
      <c r="BL28" s="13">
        <f>IF(AND(BL24=0,BL26&gt;=Inputs!$F$257,BL22=0),MIN(BL15,Debt!BL31+Debt!BL45+Debt!BL59+Debt!BL73+Debt!BL87),0)</f>
        <v/>
      </c>
      <c r="BM28" s="13">
        <f>IF(AND(BM24=0,BM26&gt;=Inputs!$F$257,BM22=0),MIN(BM15,Debt!BM31+Debt!BM45+Debt!BM59+Debt!BM73+Debt!BM87),0)</f>
        <v/>
      </c>
      <c r="BN28" s="13">
        <f>IF(AND(BN24=0,BN26&gt;=Inputs!$F$257,BN22=0),MIN(BN15,Debt!BN31+Debt!BN45+Debt!BN59+Debt!BN73+Debt!BN87),0)</f>
        <v/>
      </c>
    </row>
    <row r="29">
      <c r="D29" t="inlineStr">
        <is>
          <t>Soft mini-perm sweep (50%, commercial tranche, from 2027)</t>
        </is>
      </c>
      <c r="E29" t="inlineStr">
        <is>
          <t>USD m</t>
        </is>
      </c>
      <c r="G29" s="13">
        <f>SUM(J29:BN29)</f>
        <v/>
      </c>
      <c r="J29" s="13">
        <f>IF(AND(J24=1,Time!J52=1,Inputs!$F$52=1),MIN(Inputs!$F$111*J15,Debt!J73),0)</f>
        <v/>
      </c>
      <c r="K29" s="13">
        <f>IF(AND(K24=1,Time!K52=1,Inputs!$F$52=1),MIN(Inputs!$F$111*K15,Debt!K73),0)</f>
        <v/>
      </c>
      <c r="L29" s="13">
        <f>IF(AND(L24=1,Time!L52=1,Inputs!$F$52=1),MIN(Inputs!$F$111*L15,Debt!L73),0)</f>
        <v/>
      </c>
      <c r="M29" s="13">
        <f>IF(AND(M24=1,Time!M52=1,Inputs!$F$52=1),MIN(Inputs!$F$111*M15,Debt!M73),0)</f>
        <v/>
      </c>
      <c r="N29" s="13">
        <f>IF(AND(N24=1,Time!N52=1,Inputs!$F$52=1),MIN(Inputs!$F$111*N15,Debt!N73),0)</f>
        <v/>
      </c>
      <c r="O29" s="13">
        <f>IF(AND(O24=1,Time!O52=1,Inputs!$F$52=1),MIN(Inputs!$F$111*O15,Debt!O73),0)</f>
        <v/>
      </c>
      <c r="P29" s="13">
        <f>IF(AND(P24=1,Time!P52=1,Inputs!$F$52=1),MIN(Inputs!$F$111*P15,Debt!P73),0)</f>
        <v/>
      </c>
      <c r="Q29" s="13">
        <f>IF(AND(Q24=1,Time!Q52=1,Inputs!$F$52=1),MIN(Inputs!$F$111*Q15,Debt!Q73),0)</f>
        <v/>
      </c>
      <c r="R29" s="13">
        <f>IF(AND(R24=1,Time!R52=1,Inputs!$F$52=1),MIN(Inputs!$F$111*R15,Debt!R73),0)</f>
        <v/>
      </c>
      <c r="S29" s="13">
        <f>IF(AND(S24=1,Time!S52=1,Inputs!$F$52=1),MIN(Inputs!$F$111*S15,Debt!S73),0)</f>
        <v/>
      </c>
      <c r="T29" s="13">
        <f>IF(AND(T24=1,Time!T52=1,Inputs!$F$52=1),MIN(Inputs!$F$111*T15,Debt!T73),0)</f>
        <v/>
      </c>
      <c r="U29" s="13">
        <f>IF(AND(U24=1,Time!U52=1,Inputs!$F$52=1),MIN(Inputs!$F$111*U15,Debt!U73),0)</f>
        <v/>
      </c>
      <c r="V29" s="13">
        <f>IF(AND(V24=1,Time!V52=1,Inputs!$F$52=1),MIN(Inputs!$F$111*V15,Debt!V73),0)</f>
        <v/>
      </c>
      <c r="W29" s="13">
        <f>IF(AND(W24=1,Time!W52=1,Inputs!$F$52=1),MIN(Inputs!$F$111*W15,Debt!W73),0)</f>
        <v/>
      </c>
      <c r="X29" s="13">
        <f>IF(AND(X24=1,Time!X52=1,Inputs!$F$52=1),MIN(Inputs!$F$111*X15,Debt!X73),0)</f>
        <v/>
      </c>
      <c r="Y29" s="13">
        <f>IF(AND(Y24=1,Time!Y52=1,Inputs!$F$52=1),MIN(Inputs!$F$111*Y15,Debt!Y73),0)</f>
        <v/>
      </c>
      <c r="Z29" s="13">
        <f>IF(AND(Z24=1,Time!Z52=1,Inputs!$F$52=1),MIN(Inputs!$F$111*Z15,Debt!Z73),0)</f>
        <v/>
      </c>
      <c r="AA29" s="13">
        <f>IF(AND(AA24=1,Time!AA52=1,Inputs!$F$52=1),MIN(Inputs!$F$111*AA15,Debt!AA73),0)</f>
        <v/>
      </c>
      <c r="AB29" s="13">
        <f>IF(AND(AB24=1,Time!AB52=1,Inputs!$F$52=1),MIN(Inputs!$F$111*AB15,Debt!AB73),0)</f>
        <v/>
      </c>
      <c r="AC29" s="13">
        <f>IF(AND(AC24=1,Time!AC52=1,Inputs!$F$52=1),MIN(Inputs!$F$111*AC15,Debt!AC73),0)</f>
        <v/>
      </c>
      <c r="AD29" s="13">
        <f>IF(AND(AD24=1,Time!AD52=1,Inputs!$F$52=1),MIN(Inputs!$F$111*AD15,Debt!AD73),0)</f>
        <v/>
      </c>
      <c r="AE29" s="13">
        <f>IF(AND(AE24=1,Time!AE52=1,Inputs!$F$52=1),MIN(Inputs!$F$111*AE15,Debt!AE73),0)</f>
        <v/>
      </c>
      <c r="AF29" s="13">
        <f>IF(AND(AF24=1,Time!AF52=1,Inputs!$F$52=1),MIN(Inputs!$F$111*AF15,Debt!AF73),0)</f>
        <v/>
      </c>
      <c r="AG29" s="13">
        <f>IF(AND(AG24=1,Time!AG52=1,Inputs!$F$52=1),MIN(Inputs!$F$111*AG15,Debt!AG73),0)</f>
        <v/>
      </c>
      <c r="AH29" s="13">
        <f>IF(AND(AH24=1,Time!AH52=1,Inputs!$F$52=1),MIN(Inputs!$F$111*AH15,Debt!AH73),0)</f>
        <v/>
      </c>
      <c r="AI29" s="13">
        <f>IF(AND(AI24=1,Time!AI52=1,Inputs!$F$52=1),MIN(Inputs!$F$111*AI15,Debt!AI73),0)</f>
        <v/>
      </c>
      <c r="AJ29" s="13">
        <f>IF(AND(AJ24=1,Time!AJ52=1,Inputs!$F$52=1),MIN(Inputs!$F$111*AJ15,Debt!AJ73),0)</f>
        <v/>
      </c>
      <c r="AK29" s="13">
        <f>IF(AND(AK24=1,Time!AK52=1,Inputs!$F$52=1),MIN(Inputs!$F$111*AK15,Debt!AK73),0)</f>
        <v/>
      </c>
      <c r="AL29" s="13">
        <f>IF(AND(AL24=1,Time!AL52=1,Inputs!$F$52=1),MIN(Inputs!$F$111*AL15,Debt!AL73),0)</f>
        <v/>
      </c>
      <c r="AM29" s="13">
        <f>IF(AND(AM24=1,Time!AM52=1,Inputs!$F$52=1),MIN(Inputs!$F$111*AM15,Debt!AM73),0)</f>
        <v/>
      </c>
      <c r="AN29" s="13">
        <f>IF(AND(AN24=1,Time!AN52=1,Inputs!$F$52=1),MIN(Inputs!$F$111*AN15,Debt!AN73),0)</f>
        <v/>
      </c>
      <c r="AO29" s="13">
        <f>IF(AND(AO24=1,Time!AO52=1,Inputs!$F$52=1),MIN(Inputs!$F$111*AO15,Debt!AO73),0)</f>
        <v/>
      </c>
      <c r="AP29" s="13">
        <f>IF(AND(AP24=1,Time!AP52=1,Inputs!$F$52=1),MIN(Inputs!$F$111*AP15,Debt!AP73),0)</f>
        <v/>
      </c>
      <c r="AQ29" s="13">
        <f>IF(AND(AQ24=1,Time!AQ52=1,Inputs!$F$52=1),MIN(Inputs!$F$111*AQ15,Debt!AQ73),0)</f>
        <v/>
      </c>
      <c r="AR29" s="13">
        <f>IF(AND(AR24=1,Time!AR52=1,Inputs!$F$52=1),MIN(Inputs!$F$111*AR15,Debt!AR73),0)</f>
        <v/>
      </c>
      <c r="AS29" s="13">
        <f>IF(AND(AS24=1,Time!AS52=1,Inputs!$F$52=1),MIN(Inputs!$F$111*AS15,Debt!AS73),0)</f>
        <v/>
      </c>
      <c r="AT29" s="13">
        <f>IF(AND(AT24=1,Time!AT52=1,Inputs!$F$52=1),MIN(Inputs!$F$111*AT15,Debt!AT73),0)</f>
        <v/>
      </c>
      <c r="AU29" s="13">
        <f>IF(AND(AU24=1,Time!AU52=1,Inputs!$F$52=1),MIN(Inputs!$F$111*AU15,Debt!AU73),0)</f>
        <v/>
      </c>
      <c r="AV29" s="13">
        <f>IF(AND(AV24=1,Time!AV52=1,Inputs!$F$52=1),MIN(Inputs!$F$111*AV15,Debt!AV73),0)</f>
        <v/>
      </c>
      <c r="AW29" s="13">
        <f>IF(AND(AW24=1,Time!AW52=1,Inputs!$F$52=1),MIN(Inputs!$F$111*AW15,Debt!AW73),0)</f>
        <v/>
      </c>
      <c r="AX29" s="13">
        <f>IF(AND(AX24=1,Time!AX52=1,Inputs!$F$52=1),MIN(Inputs!$F$111*AX15,Debt!AX73),0)</f>
        <v/>
      </c>
      <c r="AY29" s="13">
        <f>IF(AND(AY24=1,Time!AY52=1,Inputs!$F$52=1),MIN(Inputs!$F$111*AY15,Debt!AY73),0)</f>
        <v/>
      </c>
      <c r="AZ29" s="13">
        <f>IF(AND(AZ24=1,Time!AZ52=1,Inputs!$F$52=1),MIN(Inputs!$F$111*AZ15,Debt!AZ73),0)</f>
        <v/>
      </c>
      <c r="BA29" s="13">
        <f>IF(AND(BA24=1,Time!BA52=1,Inputs!$F$52=1),MIN(Inputs!$F$111*BA15,Debt!BA73),0)</f>
        <v/>
      </c>
      <c r="BB29" s="13">
        <f>IF(AND(BB24=1,Time!BB52=1,Inputs!$F$52=1),MIN(Inputs!$F$111*BB15,Debt!BB73),0)</f>
        <v/>
      </c>
      <c r="BC29" s="13">
        <f>IF(AND(BC24=1,Time!BC52=1,Inputs!$F$52=1),MIN(Inputs!$F$111*BC15,Debt!BC73),0)</f>
        <v/>
      </c>
      <c r="BD29" s="13">
        <f>IF(AND(BD24=1,Time!BD52=1,Inputs!$F$52=1),MIN(Inputs!$F$111*BD15,Debt!BD73),0)</f>
        <v/>
      </c>
      <c r="BE29" s="13">
        <f>IF(AND(BE24=1,Time!BE52=1,Inputs!$F$52=1),MIN(Inputs!$F$111*BE15,Debt!BE73),0)</f>
        <v/>
      </c>
      <c r="BF29" s="13">
        <f>IF(AND(BF24=1,Time!BF52=1,Inputs!$F$52=1),MIN(Inputs!$F$111*BF15,Debt!BF73),0)</f>
        <v/>
      </c>
      <c r="BG29" s="13">
        <f>IF(AND(BG24=1,Time!BG52=1,Inputs!$F$52=1),MIN(Inputs!$F$111*BG15,Debt!BG73),0)</f>
        <v/>
      </c>
      <c r="BH29" s="13">
        <f>IF(AND(BH24=1,Time!BH52=1,Inputs!$F$52=1),MIN(Inputs!$F$111*BH15,Debt!BH73),0)</f>
        <v/>
      </c>
      <c r="BI29" s="13">
        <f>IF(AND(BI24=1,Time!BI52=1,Inputs!$F$52=1),MIN(Inputs!$F$111*BI15,Debt!BI73),0)</f>
        <v/>
      </c>
      <c r="BJ29" s="13">
        <f>IF(AND(BJ24=1,Time!BJ52=1,Inputs!$F$52=1),MIN(Inputs!$F$111*BJ15,Debt!BJ73),0)</f>
        <v/>
      </c>
      <c r="BK29" s="13">
        <f>IF(AND(BK24=1,Time!BK52=1,Inputs!$F$52=1),MIN(Inputs!$F$111*BK15,Debt!BK73),0)</f>
        <v/>
      </c>
      <c r="BL29" s="13">
        <f>IF(AND(BL24=1,Time!BL52=1,Inputs!$F$52=1),MIN(Inputs!$F$111*BL15,Debt!BL73),0)</f>
        <v/>
      </c>
      <c r="BM29" s="13">
        <f>IF(AND(BM24=1,Time!BM52=1,Inputs!$F$52=1),MIN(Inputs!$F$111*BM15,Debt!BM73),0)</f>
        <v/>
      </c>
      <c r="BN29" s="13">
        <f>IF(AND(BN24=1,Time!BN52=1,Inputs!$F$52=1),MIN(Inputs!$F$111*BN15,Debt!BN73),0)</f>
        <v/>
      </c>
    </row>
    <row r="30">
      <c r="D30" t="inlineStr">
        <is>
          <t>Lock-up account, closing</t>
        </is>
      </c>
      <c r="E30" t="inlineStr">
        <is>
          <t>USD m</t>
        </is>
      </c>
      <c r="J30" s="13">
        <f>IF(J24=0,J15-J28,0)</f>
        <v/>
      </c>
      <c r="K30" s="13">
        <f>IF(K24=0,K15-K28,0)</f>
        <v/>
      </c>
      <c r="L30" s="13">
        <f>IF(L24=0,L15-L28,0)</f>
        <v/>
      </c>
      <c r="M30" s="13">
        <f>IF(M24=0,M15-M28,0)</f>
        <v/>
      </c>
      <c r="N30" s="13">
        <f>IF(N24=0,N15-N28,0)</f>
        <v/>
      </c>
      <c r="O30" s="13">
        <f>IF(O24=0,O15-O28,0)</f>
        <v/>
      </c>
      <c r="P30" s="13">
        <f>IF(P24=0,P15-P28,0)</f>
        <v/>
      </c>
      <c r="Q30" s="13">
        <f>IF(Q24=0,Q15-Q28,0)</f>
        <v/>
      </c>
      <c r="R30" s="13">
        <f>IF(R24=0,R15-R28,0)</f>
        <v/>
      </c>
      <c r="S30" s="13">
        <f>IF(S24=0,S15-S28,0)</f>
        <v/>
      </c>
      <c r="T30" s="13">
        <f>IF(T24=0,T15-T28,0)</f>
        <v/>
      </c>
      <c r="U30" s="13">
        <f>IF(U24=0,U15-U28,0)</f>
        <v/>
      </c>
      <c r="V30" s="13">
        <f>IF(V24=0,V15-V28,0)</f>
        <v/>
      </c>
      <c r="W30" s="13">
        <f>IF(W24=0,W15-W28,0)</f>
        <v/>
      </c>
      <c r="X30" s="13">
        <f>IF(X24=0,X15-X28,0)</f>
        <v/>
      </c>
      <c r="Y30" s="13">
        <f>IF(Y24=0,Y15-Y28,0)</f>
        <v/>
      </c>
      <c r="Z30" s="13">
        <f>IF(Z24=0,Z15-Z28,0)</f>
        <v/>
      </c>
      <c r="AA30" s="13">
        <f>IF(AA24=0,AA15-AA28,0)</f>
        <v/>
      </c>
      <c r="AB30" s="13">
        <f>IF(AB24=0,AB15-AB28,0)</f>
        <v/>
      </c>
      <c r="AC30" s="13">
        <f>IF(AC24=0,AC15-AC28,0)</f>
        <v/>
      </c>
      <c r="AD30" s="13">
        <f>IF(AD24=0,AD15-AD28,0)</f>
        <v/>
      </c>
      <c r="AE30" s="13">
        <f>IF(AE24=0,AE15-AE28,0)</f>
        <v/>
      </c>
      <c r="AF30" s="13">
        <f>IF(AF24=0,AF15-AF28,0)</f>
        <v/>
      </c>
      <c r="AG30" s="13">
        <f>IF(AG24=0,AG15-AG28,0)</f>
        <v/>
      </c>
      <c r="AH30" s="13">
        <f>IF(AH24=0,AH15-AH28,0)</f>
        <v/>
      </c>
      <c r="AI30" s="13">
        <f>IF(AI24=0,AI15-AI28,0)</f>
        <v/>
      </c>
      <c r="AJ30" s="13">
        <f>IF(AJ24=0,AJ15-AJ28,0)</f>
        <v/>
      </c>
      <c r="AK30" s="13">
        <f>IF(AK24=0,AK15-AK28,0)</f>
        <v/>
      </c>
      <c r="AL30" s="13">
        <f>IF(AL24=0,AL15-AL28,0)</f>
        <v/>
      </c>
      <c r="AM30" s="13">
        <f>IF(AM24=0,AM15-AM28,0)</f>
        <v/>
      </c>
      <c r="AN30" s="13">
        <f>IF(AN24=0,AN15-AN28,0)</f>
        <v/>
      </c>
      <c r="AO30" s="13">
        <f>IF(AO24=0,AO15-AO28,0)</f>
        <v/>
      </c>
      <c r="AP30" s="13">
        <f>IF(AP24=0,AP15-AP28,0)</f>
        <v/>
      </c>
      <c r="AQ30" s="13">
        <f>IF(AQ24=0,AQ15-AQ28,0)</f>
        <v/>
      </c>
      <c r="AR30" s="13">
        <f>IF(AR24=0,AR15-AR28,0)</f>
        <v/>
      </c>
      <c r="AS30" s="13">
        <f>IF(AS24=0,AS15-AS28,0)</f>
        <v/>
      </c>
      <c r="AT30" s="13">
        <f>IF(AT24=0,AT15-AT28,0)</f>
        <v/>
      </c>
      <c r="AU30" s="13">
        <f>IF(AU24=0,AU15-AU28,0)</f>
        <v/>
      </c>
      <c r="AV30" s="13">
        <f>IF(AV24=0,AV15-AV28,0)</f>
        <v/>
      </c>
      <c r="AW30" s="13">
        <f>IF(AW24=0,AW15-AW28,0)</f>
        <v/>
      </c>
      <c r="AX30" s="13">
        <f>IF(AX24=0,AX15-AX28,0)</f>
        <v/>
      </c>
      <c r="AY30" s="13">
        <f>IF(AY24=0,AY15-AY28,0)</f>
        <v/>
      </c>
      <c r="AZ30" s="13">
        <f>IF(AZ24=0,AZ15-AZ28,0)</f>
        <v/>
      </c>
      <c r="BA30" s="13">
        <f>IF(BA24=0,BA15-BA28,0)</f>
        <v/>
      </c>
      <c r="BB30" s="13">
        <f>IF(BB24=0,BB15-BB28,0)</f>
        <v/>
      </c>
      <c r="BC30" s="13">
        <f>IF(BC24=0,BC15-BC28,0)</f>
        <v/>
      </c>
      <c r="BD30" s="13">
        <f>IF(BD24=0,BD15-BD28,0)</f>
        <v/>
      </c>
      <c r="BE30" s="13">
        <f>IF(BE24=0,BE15-BE28,0)</f>
        <v/>
      </c>
      <c r="BF30" s="13">
        <f>IF(BF24=0,BF15-BF28,0)</f>
        <v/>
      </c>
      <c r="BG30" s="13">
        <f>IF(BG24=0,BG15-BG28,0)</f>
        <v/>
      </c>
      <c r="BH30" s="13">
        <f>IF(BH24=0,BH15-BH28,0)</f>
        <v/>
      </c>
      <c r="BI30" s="13">
        <f>IF(BI24=0,BI15-BI28,0)</f>
        <v/>
      </c>
      <c r="BJ30" s="13">
        <f>IF(BJ24=0,BJ15-BJ28,0)</f>
        <v/>
      </c>
      <c r="BK30" s="13">
        <f>IF(BK24=0,BK15-BK28,0)</f>
        <v/>
      </c>
      <c r="BL30" s="13">
        <f>IF(BL24=0,BL15-BL28,0)</f>
        <v/>
      </c>
      <c r="BM30" s="13">
        <f>IF(BM24=0,BM15-BM28,0)</f>
        <v/>
      </c>
      <c r="BN30" s="13">
        <f>IF(BN24=0,BN15-BN28,0)</f>
        <v/>
      </c>
    </row>
    <row r="31">
      <c r="D31" t="inlineStr">
        <is>
          <t>Cash available for distribution</t>
        </is>
      </c>
      <c r="E31" t="inlineStr">
        <is>
          <t>USD m</t>
        </is>
      </c>
      <c r="G31" s="13">
        <f>SUM(J31:BN31)</f>
        <v/>
      </c>
      <c r="J31" s="13">
        <f>IF(J24=1,J15-J29,0)</f>
        <v/>
      </c>
      <c r="K31" s="13">
        <f>IF(K24=1,K15-K29,0)</f>
        <v/>
      </c>
      <c r="L31" s="13">
        <f>IF(L24=1,L15-L29,0)</f>
        <v/>
      </c>
      <c r="M31" s="13">
        <f>IF(M24=1,M15-M29,0)</f>
        <v/>
      </c>
      <c r="N31" s="13">
        <f>IF(N24=1,N15-N29,0)</f>
        <v/>
      </c>
      <c r="O31" s="13">
        <f>IF(O24=1,O15-O29,0)</f>
        <v/>
      </c>
      <c r="P31" s="13">
        <f>IF(P24=1,P15-P29,0)</f>
        <v/>
      </c>
      <c r="Q31" s="13">
        <f>IF(Q24=1,Q15-Q29,0)</f>
        <v/>
      </c>
      <c r="R31" s="13">
        <f>IF(R24=1,R15-R29,0)</f>
        <v/>
      </c>
      <c r="S31" s="13">
        <f>IF(S24=1,S15-S29,0)</f>
        <v/>
      </c>
      <c r="T31" s="13">
        <f>IF(T24=1,T15-T29,0)</f>
        <v/>
      </c>
      <c r="U31" s="13">
        <f>IF(U24=1,U15-U29,0)</f>
        <v/>
      </c>
      <c r="V31" s="13">
        <f>IF(V24=1,V15-V29,0)</f>
        <v/>
      </c>
      <c r="W31" s="13">
        <f>IF(W24=1,W15-W29,0)</f>
        <v/>
      </c>
      <c r="X31" s="13">
        <f>IF(X24=1,X15-X29,0)</f>
        <v/>
      </c>
      <c r="Y31" s="13">
        <f>IF(Y24=1,Y15-Y29,0)</f>
        <v/>
      </c>
      <c r="Z31" s="13">
        <f>IF(Z24=1,Z15-Z29,0)</f>
        <v/>
      </c>
      <c r="AA31" s="13">
        <f>IF(AA24=1,AA15-AA29,0)</f>
        <v/>
      </c>
      <c r="AB31" s="13">
        <f>IF(AB24=1,AB15-AB29,0)</f>
        <v/>
      </c>
      <c r="AC31" s="13">
        <f>IF(AC24=1,AC15-AC29,0)</f>
        <v/>
      </c>
      <c r="AD31" s="13">
        <f>IF(AD24=1,AD15-AD29,0)</f>
        <v/>
      </c>
      <c r="AE31" s="13">
        <f>IF(AE24=1,AE15-AE29,0)</f>
        <v/>
      </c>
      <c r="AF31" s="13">
        <f>IF(AF24=1,AF15-AF29,0)</f>
        <v/>
      </c>
      <c r="AG31" s="13">
        <f>IF(AG24=1,AG15-AG29,0)</f>
        <v/>
      </c>
      <c r="AH31" s="13">
        <f>IF(AH24=1,AH15-AH29,0)</f>
        <v/>
      </c>
      <c r="AI31" s="13">
        <f>IF(AI24=1,AI15-AI29,0)</f>
        <v/>
      </c>
      <c r="AJ31" s="13">
        <f>IF(AJ24=1,AJ15-AJ29,0)</f>
        <v/>
      </c>
      <c r="AK31" s="13">
        <f>IF(AK24=1,AK15-AK29,0)</f>
        <v/>
      </c>
      <c r="AL31" s="13">
        <f>IF(AL24=1,AL15-AL29,0)</f>
        <v/>
      </c>
      <c r="AM31" s="13">
        <f>IF(AM24=1,AM15-AM29,0)</f>
        <v/>
      </c>
      <c r="AN31" s="13">
        <f>IF(AN24=1,AN15-AN29,0)</f>
        <v/>
      </c>
      <c r="AO31" s="13">
        <f>IF(AO24=1,AO15-AO29,0)</f>
        <v/>
      </c>
      <c r="AP31" s="13">
        <f>IF(AP24=1,AP15-AP29,0)</f>
        <v/>
      </c>
      <c r="AQ31" s="13">
        <f>IF(AQ24=1,AQ15-AQ29,0)</f>
        <v/>
      </c>
      <c r="AR31" s="13">
        <f>IF(AR24=1,AR15-AR29,0)</f>
        <v/>
      </c>
      <c r="AS31" s="13">
        <f>IF(AS24=1,AS15-AS29,0)</f>
        <v/>
      </c>
      <c r="AT31" s="13">
        <f>IF(AT24=1,AT15-AT29,0)</f>
        <v/>
      </c>
      <c r="AU31" s="13">
        <f>IF(AU24=1,AU15-AU29,0)</f>
        <v/>
      </c>
      <c r="AV31" s="13">
        <f>IF(AV24=1,AV15-AV29,0)</f>
        <v/>
      </c>
      <c r="AW31" s="13">
        <f>IF(AW24=1,AW15-AW29,0)</f>
        <v/>
      </c>
      <c r="AX31" s="13">
        <f>IF(AX24=1,AX15-AX29,0)</f>
        <v/>
      </c>
      <c r="AY31" s="13">
        <f>IF(AY24=1,AY15-AY29,0)</f>
        <v/>
      </c>
      <c r="AZ31" s="13">
        <f>IF(AZ24=1,AZ15-AZ29,0)</f>
        <v/>
      </c>
      <c r="BA31" s="13">
        <f>IF(BA24=1,BA15-BA29,0)</f>
        <v/>
      </c>
      <c r="BB31" s="13">
        <f>IF(BB24=1,BB15-BB29,0)</f>
        <v/>
      </c>
      <c r="BC31" s="13">
        <f>IF(BC24=1,BC15-BC29,0)</f>
        <v/>
      </c>
      <c r="BD31" s="13">
        <f>IF(BD24=1,BD15-BD29,0)</f>
        <v/>
      </c>
      <c r="BE31" s="13">
        <f>IF(BE24=1,BE15-BE29,0)</f>
        <v/>
      </c>
      <c r="BF31" s="13">
        <f>IF(BF24=1,BF15-BF29,0)</f>
        <v/>
      </c>
      <c r="BG31" s="13">
        <f>IF(BG24=1,BG15-BG29,0)</f>
        <v/>
      </c>
      <c r="BH31" s="13">
        <f>IF(BH24=1,BH15-BH29,0)</f>
        <v/>
      </c>
      <c r="BI31" s="13">
        <f>IF(BI24=1,BI15-BI29,0)</f>
        <v/>
      </c>
      <c r="BJ31" s="13">
        <f>IF(BJ24=1,BJ15-BJ29,0)</f>
        <v/>
      </c>
      <c r="BK31" s="13">
        <f>IF(BK24=1,BK15-BK29,0)</f>
        <v/>
      </c>
      <c r="BL31" s="13">
        <f>IF(BL24=1,BL15-BL29,0)</f>
        <v/>
      </c>
      <c r="BM31" s="13">
        <f>IF(BM24=1,BM15-BM29,0)</f>
        <v/>
      </c>
      <c r="BN31" s="13">
        <f>IF(BN24=1,BN15-BN29,0)</f>
        <v/>
      </c>
    </row>
    <row r="32">
      <c r="D32" t="inlineStr">
        <is>
          <t>Share capital contributed</t>
        </is>
      </c>
      <c r="E32" t="inlineStr">
        <is>
          <t>USD m</t>
        </is>
      </c>
      <c r="F32" s="17">
        <f>SUM(Funding!$J$69:$BJ$69)</f>
        <v/>
      </c>
    </row>
    <row r="33">
      <c r="D33" t="inlineStr">
        <is>
          <t>Shareholder loan balance, opening</t>
        </is>
      </c>
      <c r="E33" t="inlineStr">
        <is>
          <t>USD m</t>
        </is>
      </c>
      <c r="J33" s="13">
        <f>IF(Time!J20&lt;Time!$F$12,0,IF(Time!J34=1,INDEX(Funding!$J$72:$BJ$72,1,Time!$F$14),I36))</f>
        <v/>
      </c>
      <c r="K33" s="13">
        <f>IF(Time!K20&lt;Time!$F$12,0,IF(Time!K34=1,INDEX(Funding!$J$72:$BJ$72,1,Time!$F$14),J36))</f>
        <v/>
      </c>
      <c r="L33" s="13">
        <f>IF(Time!L20&lt;Time!$F$12,0,IF(Time!L34=1,INDEX(Funding!$J$72:$BJ$72,1,Time!$F$14),K36))</f>
        <v/>
      </c>
      <c r="M33" s="13">
        <f>IF(Time!M20&lt;Time!$F$12,0,IF(Time!M34=1,INDEX(Funding!$J$72:$BJ$72,1,Time!$F$14),L36))</f>
        <v/>
      </c>
      <c r="N33" s="13">
        <f>IF(Time!N20&lt;Time!$F$12,0,IF(Time!N34=1,INDEX(Funding!$J$72:$BJ$72,1,Time!$F$14),M36))</f>
        <v/>
      </c>
      <c r="O33" s="13">
        <f>IF(Time!O20&lt;Time!$F$12,0,IF(Time!O34=1,INDEX(Funding!$J$72:$BJ$72,1,Time!$F$14),N36))</f>
        <v/>
      </c>
      <c r="P33" s="13">
        <f>IF(Time!P20&lt;Time!$F$12,0,IF(Time!P34=1,INDEX(Funding!$J$72:$BJ$72,1,Time!$F$14),O36))</f>
        <v/>
      </c>
      <c r="Q33" s="13">
        <f>IF(Time!Q20&lt;Time!$F$12,0,IF(Time!Q34=1,INDEX(Funding!$J$72:$BJ$72,1,Time!$F$14),P36))</f>
        <v/>
      </c>
      <c r="R33" s="13">
        <f>IF(Time!R20&lt;Time!$F$12,0,IF(Time!R34=1,INDEX(Funding!$J$72:$BJ$72,1,Time!$F$14),Q36))</f>
        <v/>
      </c>
      <c r="S33" s="13">
        <f>IF(Time!S20&lt;Time!$F$12,0,IF(Time!S34=1,INDEX(Funding!$J$72:$BJ$72,1,Time!$F$14),R36))</f>
        <v/>
      </c>
      <c r="T33" s="13">
        <f>IF(Time!T20&lt;Time!$F$12,0,IF(Time!T34=1,INDEX(Funding!$J$72:$BJ$72,1,Time!$F$14),S36))</f>
        <v/>
      </c>
      <c r="U33" s="13">
        <f>IF(Time!U20&lt;Time!$F$12,0,IF(Time!U34=1,INDEX(Funding!$J$72:$BJ$72,1,Time!$F$14),T36))</f>
        <v/>
      </c>
      <c r="V33" s="13">
        <f>IF(Time!V20&lt;Time!$F$12,0,IF(Time!V34=1,INDEX(Funding!$J$72:$BJ$72,1,Time!$F$14),U36))</f>
        <v/>
      </c>
      <c r="W33" s="13">
        <f>IF(Time!W20&lt;Time!$F$12,0,IF(Time!W34=1,INDEX(Funding!$J$72:$BJ$72,1,Time!$F$14),V36))</f>
        <v/>
      </c>
      <c r="X33" s="13">
        <f>IF(Time!X20&lt;Time!$F$12,0,IF(Time!X34=1,INDEX(Funding!$J$72:$BJ$72,1,Time!$F$14),W36))</f>
        <v/>
      </c>
      <c r="Y33" s="13">
        <f>IF(Time!Y20&lt;Time!$F$12,0,IF(Time!Y34=1,INDEX(Funding!$J$72:$BJ$72,1,Time!$F$14),X36))</f>
        <v/>
      </c>
      <c r="Z33" s="13">
        <f>IF(Time!Z20&lt;Time!$F$12,0,IF(Time!Z34=1,INDEX(Funding!$J$72:$BJ$72,1,Time!$F$14),Y36))</f>
        <v/>
      </c>
      <c r="AA33" s="13">
        <f>IF(Time!AA20&lt;Time!$F$12,0,IF(Time!AA34=1,INDEX(Funding!$J$72:$BJ$72,1,Time!$F$14),Z36))</f>
        <v/>
      </c>
      <c r="AB33" s="13">
        <f>IF(Time!AB20&lt;Time!$F$12,0,IF(Time!AB34=1,INDEX(Funding!$J$72:$BJ$72,1,Time!$F$14),AA36))</f>
        <v/>
      </c>
      <c r="AC33" s="13">
        <f>IF(Time!AC20&lt;Time!$F$12,0,IF(Time!AC34=1,INDEX(Funding!$J$72:$BJ$72,1,Time!$F$14),AB36))</f>
        <v/>
      </c>
      <c r="AD33" s="13">
        <f>IF(Time!AD20&lt;Time!$F$12,0,IF(Time!AD34=1,INDEX(Funding!$J$72:$BJ$72,1,Time!$F$14),AC36))</f>
        <v/>
      </c>
      <c r="AE33" s="13">
        <f>IF(Time!AE20&lt;Time!$F$12,0,IF(Time!AE34=1,INDEX(Funding!$J$72:$BJ$72,1,Time!$F$14),AD36))</f>
        <v/>
      </c>
      <c r="AF33" s="13">
        <f>IF(Time!AF20&lt;Time!$F$12,0,IF(Time!AF34=1,INDEX(Funding!$J$72:$BJ$72,1,Time!$F$14),AE36))</f>
        <v/>
      </c>
      <c r="AG33" s="13">
        <f>IF(Time!AG20&lt;Time!$F$12,0,IF(Time!AG34=1,INDEX(Funding!$J$72:$BJ$72,1,Time!$F$14),AF36))</f>
        <v/>
      </c>
      <c r="AH33" s="13">
        <f>IF(Time!AH20&lt;Time!$F$12,0,IF(Time!AH34=1,INDEX(Funding!$J$72:$BJ$72,1,Time!$F$14),AG36))</f>
        <v/>
      </c>
      <c r="AI33" s="13">
        <f>IF(Time!AI20&lt;Time!$F$12,0,IF(Time!AI34=1,INDEX(Funding!$J$72:$BJ$72,1,Time!$F$14),AH36))</f>
        <v/>
      </c>
      <c r="AJ33" s="13">
        <f>IF(Time!AJ20&lt;Time!$F$12,0,IF(Time!AJ34=1,INDEX(Funding!$J$72:$BJ$72,1,Time!$F$14),AI36))</f>
        <v/>
      </c>
      <c r="AK33" s="13">
        <f>IF(Time!AK20&lt;Time!$F$12,0,IF(Time!AK34=1,INDEX(Funding!$J$72:$BJ$72,1,Time!$F$14),AJ36))</f>
        <v/>
      </c>
      <c r="AL33" s="13">
        <f>IF(Time!AL20&lt;Time!$F$12,0,IF(Time!AL34=1,INDEX(Funding!$J$72:$BJ$72,1,Time!$F$14),AK36))</f>
        <v/>
      </c>
      <c r="AM33" s="13">
        <f>IF(Time!AM20&lt;Time!$F$12,0,IF(Time!AM34=1,INDEX(Funding!$J$72:$BJ$72,1,Time!$F$14),AL36))</f>
        <v/>
      </c>
      <c r="AN33" s="13">
        <f>IF(Time!AN20&lt;Time!$F$12,0,IF(Time!AN34=1,INDEX(Funding!$J$72:$BJ$72,1,Time!$F$14),AM36))</f>
        <v/>
      </c>
      <c r="AO33" s="13">
        <f>IF(Time!AO20&lt;Time!$F$12,0,IF(Time!AO34=1,INDEX(Funding!$J$72:$BJ$72,1,Time!$F$14),AN36))</f>
        <v/>
      </c>
      <c r="AP33" s="13">
        <f>IF(Time!AP20&lt;Time!$F$12,0,IF(Time!AP34=1,INDEX(Funding!$J$72:$BJ$72,1,Time!$F$14),AO36))</f>
        <v/>
      </c>
      <c r="AQ33" s="13">
        <f>IF(Time!AQ20&lt;Time!$F$12,0,IF(Time!AQ34=1,INDEX(Funding!$J$72:$BJ$72,1,Time!$F$14),AP36))</f>
        <v/>
      </c>
      <c r="AR33" s="13">
        <f>IF(Time!AR20&lt;Time!$F$12,0,IF(Time!AR34=1,INDEX(Funding!$J$72:$BJ$72,1,Time!$F$14),AQ36))</f>
        <v/>
      </c>
      <c r="AS33" s="13">
        <f>IF(Time!AS20&lt;Time!$F$12,0,IF(Time!AS34=1,INDEX(Funding!$J$72:$BJ$72,1,Time!$F$14),AR36))</f>
        <v/>
      </c>
      <c r="AT33" s="13">
        <f>IF(Time!AT20&lt;Time!$F$12,0,IF(Time!AT34=1,INDEX(Funding!$J$72:$BJ$72,1,Time!$F$14),AS36))</f>
        <v/>
      </c>
      <c r="AU33" s="13">
        <f>IF(Time!AU20&lt;Time!$F$12,0,IF(Time!AU34=1,INDEX(Funding!$J$72:$BJ$72,1,Time!$F$14),AT36))</f>
        <v/>
      </c>
      <c r="AV33" s="13">
        <f>IF(Time!AV20&lt;Time!$F$12,0,IF(Time!AV34=1,INDEX(Funding!$J$72:$BJ$72,1,Time!$F$14),AU36))</f>
        <v/>
      </c>
      <c r="AW33" s="13">
        <f>IF(Time!AW20&lt;Time!$F$12,0,IF(Time!AW34=1,INDEX(Funding!$J$72:$BJ$72,1,Time!$F$14),AV36))</f>
        <v/>
      </c>
      <c r="AX33" s="13">
        <f>IF(Time!AX20&lt;Time!$F$12,0,IF(Time!AX34=1,INDEX(Funding!$J$72:$BJ$72,1,Time!$F$14),AW36))</f>
        <v/>
      </c>
      <c r="AY33" s="13">
        <f>IF(Time!AY20&lt;Time!$F$12,0,IF(Time!AY34=1,INDEX(Funding!$J$72:$BJ$72,1,Time!$F$14),AX36))</f>
        <v/>
      </c>
      <c r="AZ33" s="13">
        <f>IF(Time!AZ20&lt;Time!$F$12,0,IF(Time!AZ34=1,INDEX(Funding!$J$72:$BJ$72,1,Time!$F$14),AY36))</f>
        <v/>
      </c>
      <c r="BA33" s="13">
        <f>IF(Time!BA20&lt;Time!$F$12,0,IF(Time!BA34=1,INDEX(Funding!$J$72:$BJ$72,1,Time!$F$14),AZ36))</f>
        <v/>
      </c>
      <c r="BB33" s="13">
        <f>IF(Time!BB20&lt;Time!$F$12,0,IF(Time!BB34=1,INDEX(Funding!$J$72:$BJ$72,1,Time!$F$14),BA36))</f>
        <v/>
      </c>
      <c r="BC33" s="13">
        <f>IF(Time!BC20&lt;Time!$F$12,0,IF(Time!BC34=1,INDEX(Funding!$J$72:$BJ$72,1,Time!$F$14),BB36))</f>
        <v/>
      </c>
      <c r="BD33" s="13">
        <f>IF(Time!BD20&lt;Time!$F$12,0,IF(Time!BD34=1,INDEX(Funding!$J$72:$BJ$72,1,Time!$F$14),BC36))</f>
        <v/>
      </c>
      <c r="BE33" s="13">
        <f>IF(Time!BE20&lt;Time!$F$12,0,IF(Time!BE34=1,INDEX(Funding!$J$72:$BJ$72,1,Time!$F$14),BD36))</f>
        <v/>
      </c>
      <c r="BF33" s="13">
        <f>IF(Time!BF20&lt;Time!$F$12,0,IF(Time!BF34=1,INDEX(Funding!$J$72:$BJ$72,1,Time!$F$14),BE36))</f>
        <v/>
      </c>
      <c r="BG33" s="13">
        <f>IF(Time!BG20&lt;Time!$F$12,0,IF(Time!BG34=1,INDEX(Funding!$J$72:$BJ$72,1,Time!$F$14),BF36))</f>
        <v/>
      </c>
      <c r="BH33" s="13">
        <f>IF(Time!BH20&lt;Time!$F$12,0,IF(Time!BH34=1,INDEX(Funding!$J$72:$BJ$72,1,Time!$F$14),BG36))</f>
        <v/>
      </c>
      <c r="BI33" s="13">
        <f>IF(Time!BI20&lt;Time!$F$12,0,IF(Time!BI34=1,INDEX(Funding!$J$72:$BJ$72,1,Time!$F$14),BH36))</f>
        <v/>
      </c>
      <c r="BJ33" s="13">
        <f>IF(Time!BJ20&lt;Time!$F$12,0,IF(Time!BJ34=1,INDEX(Funding!$J$72:$BJ$72,1,Time!$F$14),BI36))</f>
        <v/>
      </c>
      <c r="BK33" s="13">
        <f>IF(Time!BK20&lt;Time!$F$12,0,IF(Time!BK34=1,INDEX(Funding!$J$72:$BJ$72,1,Time!$F$14),BJ36))</f>
        <v/>
      </c>
      <c r="BL33" s="13">
        <f>IF(Time!BL20&lt;Time!$F$12,0,IF(Time!BL34=1,INDEX(Funding!$J$72:$BJ$72,1,Time!$F$14),BK36))</f>
        <v/>
      </c>
      <c r="BM33" s="13">
        <f>IF(Time!BM20&lt;Time!$F$12,0,IF(Time!BM34=1,INDEX(Funding!$J$72:$BJ$72,1,Time!$F$14),BL36))</f>
        <v/>
      </c>
      <c r="BN33" s="13">
        <f>IF(Time!BN20&lt;Time!$F$12,0,IF(Time!BN34=1,INDEX(Funding!$J$72:$BJ$72,1,Time!$F$14),BM36))</f>
        <v/>
      </c>
    </row>
    <row r="34">
      <c r="D34" t="inlineStr">
        <is>
          <t>Shareholder loan interest paid</t>
        </is>
      </c>
      <c r="E34" t="inlineStr">
        <is>
          <t>USD m</t>
        </is>
      </c>
      <c r="G34" s="13">
        <f>SUM(J34:BN34)</f>
        <v/>
      </c>
      <c r="J34" s="13">
        <f>J24*MIN(J31,Tax!J13)</f>
        <v/>
      </c>
      <c r="K34" s="13">
        <f>K24*MIN(K31,Tax!K13)</f>
        <v/>
      </c>
      <c r="L34" s="13">
        <f>L24*MIN(L31,Tax!L13)</f>
        <v/>
      </c>
      <c r="M34" s="13">
        <f>M24*MIN(M31,Tax!M13)</f>
        <v/>
      </c>
      <c r="N34" s="13">
        <f>N24*MIN(N31,Tax!N13)</f>
        <v/>
      </c>
      <c r="O34" s="13">
        <f>O24*MIN(O31,Tax!O13)</f>
        <v/>
      </c>
      <c r="P34" s="13">
        <f>P24*MIN(P31,Tax!P13)</f>
        <v/>
      </c>
      <c r="Q34" s="13">
        <f>Q24*MIN(Q31,Tax!Q13)</f>
        <v/>
      </c>
      <c r="R34" s="13">
        <f>R24*MIN(R31,Tax!R13)</f>
        <v/>
      </c>
      <c r="S34" s="13">
        <f>S24*MIN(S31,Tax!S13)</f>
        <v/>
      </c>
      <c r="T34" s="13">
        <f>T24*MIN(T31,Tax!T13)</f>
        <v/>
      </c>
      <c r="U34" s="13">
        <f>U24*MIN(U31,Tax!U13)</f>
        <v/>
      </c>
      <c r="V34" s="13">
        <f>V24*MIN(V31,Tax!V13)</f>
        <v/>
      </c>
      <c r="W34" s="13">
        <f>W24*MIN(W31,Tax!W13)</f>
        <v/>
      </c>
      <c r="X34" s="13">
        <f>X24*MIN(X31,Tax!X13)</f>
        <v/>
      </c>
      <c r="Y34" s="13">
        <f>Y24*MIN(Y31,Tax!Y13)</f>
        <v/>
      </c>
      <c r="Z34" s="13">
        <f>Z24*MIN(Z31,Tax!Z13)</f>
        <v/>
      </c>
      <c r="AA34" s="13">
        <f>AA24*MIN(AA31,Tax!AA13)</f>
        <v/>
      </c>
      <c r="AB34" s="13">
        <f>AB24*MIN(AB31,Tax!AB13)</f>
        <v/>
      </c>
      <c r="AC34" s="13">
        <f>AC24*MIN(AC31,Tax!AC13)</f>
        <v/>
      </c>
      <c r="AD34" s="13">
        <f>AD24*MIN(AD31,Tax!AD13)</f>
        <v/>
      </c>
      <c r="AE34" s="13">
        <f>AE24*MIN(AE31,Tax!AE13)</f>
        <v/>
      </c>
      <c r="AF34" s="13">
        <f>AF24*MIN(AF31,Tax!AF13)</f>
        <v/>
      </c>
      <c r="AG34" s="13">
        <f>AG24*MIN(AG31,Tax!AG13)</f>
        <v/>
      </c>
      <c r="AH34" s="13">
        <f>AH24*MIN(AH31,Tax!AH13)</f>
        <v/>
      </c>
      <c r="AI34" s="13">
        <f>AI24*MIN(AI31,Tax!AI13)</f>
        <v/>
      </c>
      <c r="AJ34" s="13">
        <f>AJ24*MIN(AJ31,Tax!AJ13)</f>
        <v/>
      </c>
      <c r="AK34" s="13">
        <f>AK24*MIN(AK31,Tax!AK13)</f>
        <v/>
      </c>
      <c r="AL34" s="13">
        <f>AL24*MIN(AL31,Tax!AL13)</f>
        <v/>
      </c>
      <c r="AM34" s="13">
        <f>AM24*MIN(AM31,Tax!AM13)</f>
        <v/>
      </c>
      <c r="AN34" s="13">
        <f>AN24*MIN(AN31,Tax!AN13)</f>
        <v/>
      </c>
      <c r="AO34" s="13">
        <f>AO24*MIN(AO31,Tax!AO13)</f>
        <v/>
      </c>
      <c r="AP34" s="13">
        <f>AP24*MIN(AP31,Tax!AP13)</f>
        <v/>
      </c>
      <c r="AQ34" s="13">
        <f>AQ24*MIN(AQ31,Tax!AQ13)</f>
        <v/>
      </c>
      <c r="AR34" s="13">
        <f>AR24*MIN(AR31,Tax!AR13)</f>
        <v/>
      </c>
      <c r="AS34" s="13">
        <f>AS24*MIN(AS31,Tax!AS13)</f>
        <v/>
      </c>
      <c r="AT34" s="13">
        <f>AT24*MIN(AT31,Tax!AT13)</f>
        <v/>
      </c>
      <c r="AU34" s="13">
        <f>AU24*MIN(AU31,Tax!AU13)</f>
        <v/>
      </c>
      <c r="AV34" s="13">
        <f>AV24*MIN(AV31,Tax!AV13)</f>
        <v/>
      </c>
      <c r="AW34" s="13">
        <f>AW24*MIN(AW31,Tax!AW13)</f>
        <v/>
      </c>
      <c r="AX34" s="13">
        <f>AX24*MIN(AX31,Tax!AX13)</f>
        <v/>
      </c>
      <c r="AY34" s="13">
        <f>AY24*MIN(AY31,Tax!AY13)</f>
        <v/>
      </c>
      <c r="AZ34" s="13">
        <f>AZ24*MIN(AZ31,Tax!AZ13)</f>
        <v/>
      </c>
      <c r="BA34" s="13">
        <f>BA24*MIN(BA31,Tax!BA13)</f>
        <v/>
      </c>
      <c r="BB34" s="13">
        <f>BB24*MIN(BB31,Tax!BB13)</f>
        <v/>
      </c>
      <c r="BC34" s="13">
        <f>BC24*MIN(BC31,Tax!BC13)</f>
        <v/>
      </c>
      <c r="BD34" s="13">
        <f>BD24*MIN(BD31,Tax!BD13)</f>
        <v/>
      </c>
      <c r="BE34" s="13">
        <f>BE24*MIN(BE31,Tax!BE13)</f>
        <v/>
      </c>
      <c r="BF34" s="13">
        <f>BF24*MIN(BF31,Tax!BF13)</f>
        <v/>
      </c>
      <c r="BG34" s="13">
        <f>BG24*MIN(BG31,Tax!BG13)</f>
        <v/>
      </c>
      <c r="BH34" s="13">
        <f>BH24*MIN(BH31,Tax!BH13)</f>
        <v/>
      </c>
      <c r="BI34" s="13">
        <f>BI24*MIN(BI31,Tax!BI13)</f>
        <v/>
      </c>
      <c r="BJ34" s="13">
        <f>BJ24*MIN(BJ31,Tax!BJ13)</f>
        <v/>
      </c>
      <c r="BK34" s="13">
        <f>BK24*MIN(BK31,Tax!BK13)</f>
        <v/>
      </c>
      <c r="BL34" s="13">
        <f>BL24*MIN(BL31,Tax!BL13)</f>
        <v/>
      </c>
      <c r="BM34" s="13">
        <f>BM24*MIN(BM31,Tax!BM13)</f>
        <v/>
      </c>
      <c r="BN34" s="13">
        <f>BN24*MIN(BN31,Tax!BN13)</f>
        <v/>
      </c>
    </row>
    <row r="35">
      <c r="D35" t="inlineStr">
        <is>
          <t>Shareholder loan principal repaid</t>
        </is>
      </c>
      <c r="E35" t="inlineStr">
        <is>
          <t>USD m</t>
        </is>
      </c>
      <c r="G35" s="13">
        <f>SUM(J35:BN35)</f>
        <v/>
      </c>
      <c r="J35" s="13">
        <f>J24*MIN(J31-J34,J33+Tax!J13-J34)</f>
        <v/>
      </c>
      <c r="K35" s="13">
        <f>K24*MIN(K31-K34,K33+Tax!K13-K34)</f>
        <v/>
      </c>
      <c r="L35" s="13">
        <f>L24*MIN(L31-L34,L33+Tax!L13-L34)</f>
        <v/>
      </c>
      <c r="M35" s="13">
        <f>M24*MIN(M31-M34,M33+Tax!M13-M34)</f>
        <v/>
      </c>
      <c r="N35" s="13">
        <f>N24*MIN(N31-N34,N33+Tax!N13-N34)</f>
        <v/>
      </c>
      <c r="O35" s="13">
        <f>O24*MIN(O31-O34,O33+Tax!O13-O34)</f>
        <v/>
      </c>
      <c r="P35" s="13">
        <f>P24*MIN(P31-P34,P33+Tax!P13-P34)</f>
        <v/>
      </c>
      <c r="Q35" s="13">
        <f>Q24*MIN(Q31-Q34,Q33+Tax!Q13-Q34)</f>
        <v/>
      </c>
      <c r="R35" s="13">
        <f>R24*MIN(R31-R34,R33+Tax!R13-R34)</f>
        <v/>
      </c>
      <c r="S35" s="13">
        <f>S24*MIN(S31-S34,S33+Tax!S13-S34)</f>
        <v/>
      </c>
      <c r="T35" s="13">
        <f>T24*MIN(T31-T34,T33+Tax!T13-T34)</f>
        <v/>
      </c>
      <c r="U35" s="13">
        <f>U24*MIN(U31-U34,U33+Tax!U13-U34)</f>
        <v/>
      </c>
      <c r="V35" s="13">
        <f>V24*MIN(V31-V34,V33+Tax!V13-V34)</f>
        <v/>
      </c>
      <c r="W35" s="13">
        <f>W24*MIN(W31-W34,W33+Tax!W13-W34)</f>
        <v/>
      </c>
      <c r="X35" s="13">
        <f>X24*MIN(X31-X34,X33+Tax!X13-X34)</f>
        <v/>
      </c>
      <c r="Y35" s="13">
        <f>Y24*MIN(Y31-Y34,Y33+Tax!Y13-Y34)</f>
        <v/>
      </c>
      <c r="Z35" s="13">
        <f>Z24*MIN(Z31-Z34,Z33+Tax!Z13-Z34)</f>
        <v/>
      </c>
      <c r="AA35" s="13">
        <f>AA24*MIN(AA31-AA34,AA33+Tax!AA13-AA34)</f>
        <v/>
      </c>
      <c r="AB35" s="13">
        <f>AB24*MIN(AB31-AB34,AB33+Tax!AB13-AB34)</f>
        <v/>
      </c>
      <c r="AC35" s="13">
        <f>AC24*MIN(AC31-AC34,AC33+Tax!AC13-AC34)</f>
        <v/>
      </c>
      <c r="AD35" s="13">
        <f>AD24*MIN(AD31-AD34,AD33+Tax!AD13-AD34)</f>
        <v/>
      </c>
      <c r="AE35" s="13">
        <f>AE24*MIN(AE31-AE34,AE33+Tax!AE13-AE34)</f>
        <v/>
      </c>
      <c r="AF35" s="13">
        <f>AF24*MIN(AF31-AF34,AF33+Tax!AF13-AF34)</f>
        <v/>
      </c>
      <c r="AG35" s="13">
        <f>AG24*MIN(AG31-AG34,AG33+Tax!AG13-AG34)</f>
        <v/>
      </c>
      <c r="AH35" s="13">
        <f>AH24*MIN(AH31-AH34,AH33+Tax!AH13-AH34)</f>
        <v/>
      </c>
      <c r="AI35" s="13">
        <f>AI24*MIN(AI31-AI34,AI33+Tax!AI13-AI34)</f>
        <v/>
      </c>
      <c r="AJ35" s="13">
        <f>AJ24*MIN(AJ31-AJ34,AJ33+Tax!AJ13-AJ34)</f>
        <v/>
      </c>
      <c r="AK35" s="13">
        <f>AK24*MIN(AK31-AK34,AK33+Tax!AK13-AK34)</f>
        <v/>
      </c>
      <c r="AL35" s="13">
        <f>AL24*MIN(AL31-AL34,AL33+Tax!AL13-AL34)</f>
        <v/>
      </c>
      <c r="AM35" s="13">
        <f>AM24*MIN(AM31-AM34,AM33+Tax!AM13-AM34)</f>
        <v/>
      </c>
      <c r="AN35" s="13">
        <f>AN24*MIN(AN31-AN34,AN33+Tax!AN13-AN34)</f>
        <v/>
      </c>
      <c r="AO35" s="13">
        <f>AO24*MIN(AO31-AO34,AO33+Tax!AO13-AO34)</f>
        <v/>
      </c>
      <c r="AP35" s="13">
        <f>AP24*MIN(AP31-AP34,AP33+Tax!AP13-AP34)</f>
        <v/>
      </c>
      <c r="AQ35" s="13">
        <f>AQ24*MIN(AQ31-AQ34,AQ33+Tax!AQ13-AQ34)</f>
        <v/>
      </c>
      <c r="AR35" s="13">
        <f>AR24*MIN(AR31-AR34,AR33+Tax!AR13-AR34)</f>
        <v/>
      </c>
      <c r="AS35" s="13">
        <f>AS24*MIN(AS31-AS34,AS33+Tax!AS13-AS34)</f>
        <v/>
      </c>
      <c r="AT35" s="13">
        <f>AT24*MIN(AT31-AT34,AT33+Tax!AT13-AT34)</f>
        <v/>
      </c>
      <c r="AU35" s="13">
        <f>AU24*MIN(AU31-AU34,AU33+Tax!AU13-AU34)</f>
        <v/>
      </c>
      <c r="AV35" s="13">
        <f>AV24*MIN(AV31-AV34,AV33+Tax!AV13-AV34)</f>
        <v/>
      </c>
      <c r="AW35" s="13">
        <f>AW24*MIN(AW31-AW34,AW33+Tax!AW13-AW34)</f>
        <v/>
      </c>
      <c r="AX35" s="13">
        <f>AX24*MIN(AX31-AX34,AX33+Tax!AX13-AX34)</f>
        <v/>
      </c>
      <c r="AY35" s="13">
        <f>AY24*MIN(AY31-AY34,AY33+Tax!AY13-AY34)</f>
        <v/>
      </c>
      <c r="AZ35" s="13">
        <f>AZ24*MIN(AZ31-AZ34,AZ33+Tax!AZ13-AZ34)</f>
        <v/>
      </c>
      <c r="BA35" s="13">
        <f>BA24*MIN(BA31-BA34,BA33+Tax!BA13-BA34)</f>
        <v/>
      </c>
      <c r="BB35" s="13">
        <f>BB24*MIN(BB31-BB34,BB33+Tax!BB13-BB34)</f>
        <v/>
      </c>
      <c r="BC35" s="13">
        <f>BC24*MIN(BC31-BC34,BC33+Tax!BC13-BC34)</f>
        <v/>
      </c>
      <c r="BD35" s="13">
        <f>BD24*MIN(BD31-BD34,BD33+Tax!BD13-BD34)</f>
        <v/>
      </c>
      <c r="BE35" s="13">
        <f>BE24*MIN(BE31-BE34,BE33+Tax!BE13-BE34)</f>
        <v/>
      </c>
      <c r="BF35" s="13">
        <f>BF24*MIN(BF31-BF34,BF33+Tax!BF13-BF34)</f>
        <v/>
      </c>
      <c r="BG35" s="13">
        <f>BG24*MIN(BG31-BG34,BG33+Tax!BG13-BG34)</f>
        <v/>
      </c>
      <c r="BH35" s="13">
        <f>BH24*MIN(BH31-BH34,BH33+Tax!BH13-BH34)</f>
        <v/>
      </c>
      <c r="BI35" s="13">
        <f>BI24*MIN(BI31-BI34,BI33+Tax!BI13-BI34)</f>
        <v/>
      </c>
      <c r="BJ35" s="13">
        <f>BJ24*MIN(BJ31-BJ34,BJ33+Tax!BJ13-BJ34)</f>
        <v/>
      </c>
      <c r="BK35" s="13">
        <f>BK24*MIN(BK31-BK34,BK33+Tax!BK13-BK34)</f>
        <v/>
      </c>
      <c r="BL35" s="13">
        <f>BL24*MIN(BL31-BL34,BL33+Tax!BL13-BL34)</f>
        <v/>
      </c>
      <c r="BM35" s="13">
        <f>BM24*MIN(BM31-BM34,BM33+Tax!BM13-BM34)</f>
        <v/>
      </c>
      <c r="BN35" s="13">
        <f>BN24*MIN(BN31-BN34,BN33+Tax!BN13-BN34)</f>
        <v/>
      </c>
    </row>
    <row r="36">
      <c r="D36" t="inlineStr">
        <is>
          <t>Shareholder loan balance, closing</t>
        </is>
      </c>
      <c r="E36" t="inlineStr">
        <is>
          <t>USD m</t>
        </is>
      </c>
      <c r="J36" s="13">
        <f>J33+Tax!J13-J34-J35</f>
        <v/>
      </c>
      <c r="K36" s="13">
        <f>K33+Tax!K13-K34-K35</f>
        <v/>
      </c>
      <c r="L36" s="13">
        <f>L33+Tax!L13-L34-L35</f>
        <v/>
      </c>
      <c r="M36" s="13">
        <f>M33+Tax!M13-M34-M35</f>
        <v/>
      </c>
      <c r="N36" s="13">
        <f>N33+Tax!N13-N34-N35</f>
        <v/>
      </c>
      <c r="O36" s="13">
        <f>O33+Tax!O13-O34-O35</f>
        <v/>
      </c>
      <c r="P36" s="13">
        <f>P33+Tax!P13-P34-P35</f>
        <v/>
      </c>
      <c r="Q36" s="13">
        <f>Q33+Tax!Q13-Q34-Q35</f>
        <v/>
      </c>
      <c r="R36" s="13">
        <f>R33+Tax!R13-R34-R35</f>
        <v/>
      </c>
      <c r="S36" s="13">
        <f>S33+Tax!S13-S34-S35</f>
        <v/>
      </c>
      <c r="T36" s="13">
        <f>T33+Tax!T13-T34-T35</f>
        <v/>
      </c>
      <c r="U36" s="13">
        <f>U33+Tax!U13-U34-U35</f>
        <v/>
      </c>
      <c r="V36" s="13">
        <f>V33+Tax!V13-V34-V35</f>
        <v/>
      </c>
      <c r="W36" s="13">
        <f>W33+Tax!W13-W34-W35</f>
        <v/>
      </c>
      <c r="X36" s="13">
        <f>X33+Tax!X13-X34-X35</f>
        <v/>
      </c>
      <c r="Y36" s="13">
        <f>Y33+Tax!Y13-Y34-Y35</f>
        <v/>
      </c>
      <c r="Z36" s="13">
        <f>Z33+Tax!Z13-Z34-Z35</f>
        <v/>
      </c>
      <c r="AA36" s="13">
        <f>AA33+Tax!AA13-AA34-AA35</f>
        <v/>
      </c>
      <c r="AB36" s="13">
        <f>AB33+Tax!AB13-AB34-AB35</f>
        <v/>
      </c>
      <c r="AC36" s="13">
        <f>AC33+Tax!AC13-AC34-AC35</f>
        <v/>
      </c>
      <c r="AD36" s="13">
        <f>AD33+Tax!AD13-AD34-AD35</f>
        <v/>
      </c>
      <c r="AE36" s="13">
        <f>AE33+Tax!AE13-AE34-AE35</f>
        <v/>
      </c>
      <c r="AF36" s="13">
        <f>AF33+Tax!AF13-AF34-AF35</f>
        <v/>
      </c>
      <c r="AG36" s="13">
        <f>AG33+Tax!AG13-AG34-AG35</f>
        <v/>
      </c>
      <c r="AH36" s="13">
        <f>AH33+Tax!AH13-AH34-AH35</f>
        <v/>
      </c>
      <c r="AI36" s="13">
        <f>AI33+Tax!AI13-AI34-AI35</f>
        <v/>
      </c>
      <c r="AJ36" s="13">
        <f>AJ33+Tax!AJ13-AJ34-AJ35</f>
        <v/>
      </c>
      <c r="AK36" s="13">
        <f>AK33+Tax!AK13-AK34-AK35</f>
        <v/>
      </c>
      <c r="AL36" s="13">
        <f>AL33+Tax!AL13-AL34-AL35</f>
        <v/>
      </c>
      <c r="AM36" s="13">
        <f>AM33+Tax!AM13-AM34-AM35</f>
        <v/>
      </c>
      <c r="AN36" s="13">
        <f>AN33+Tax!AN13-AN34-AN35</f>
        <v/>
      </c>
      <c r="AO36" s="13">
        <f>AO33+Tax!AO13-AO34-AO35</f>
        <v/>
      </c>
      <c r="AP36" s="13">
        <f>AP33+Tax!AP13-AP34-AP35</f>
        <v/>
      </c>
      <c r="AQ36" s="13">
        <f>AQ33+Tax!AQ13-AQ34-AQ35</f>
        <v/>
      </c>
      <c r="AR36" s="13">
        <f>AR33+Tax!AR13-AR34-AR35</f>
        <v/>
      </c>
      <c r="AS36" s="13">
        <f>AS33+Tax!AS13-AS34-AS35</f>
        <v/>
      </c>
      <c r="AT36" s="13">
        <f>AT33+Tax!AT13-AT34-AT35</f>
        <v/>
      </c>
      <c r="AU36" s="13">
        <f>AU33+Tax!AU13-AU34-AU35</f>
        <v/>
      </c>
      <c r="AV36" s="13">
        <f>AV33+Tax!AV13-AV34-AV35</f>
        <v/>
      </c>
      <c r="AW36" s="13">
        <f>AW33+Tax!AW13-AW34-AW35</f>
        <v/>
      </c>
      <c r="AX36" s="13">
        <f>AX33+Tax!AX13-AX34-AX35</f>
        <v/>
      </c>
      <c r="AY36" s="13">
        <f>AY33+Tax!AY13-AY34-AY35</f>
        <v/>
      </c>
      <c r="AZ36" s="13">
        <f>AZ33+Tax!AZ13-AZ34-AZ35</f>
        <v/>
      </c>
      <c r="BA36" s="13">
        <f>BA33+Tax!BA13-BA34-BA35</f>
        <v/>
      </c>
      <c r="BB36" s="13">
        <f>BB33+Tax!BB13-BB34-BB35</f>
        <v/>
      </c>
      <c r="BC36" s="13">
        <f>BC33+Tax!BC13-BC34-BC35</f>
        <v/>
      </c>
      <c r="BD36" s="13">
        <f>BD33+Tax!BD13-BD34-BD35</f>
        <v/>
      </c>
      <c r="BE36" s="13">
        <f>BE33+Tax!BE13-BE34-BE35</f>
        <v/>
      </c>
      <c r="BF36" s="13">
        <f>BF33+Tax!BF13-BF34-BF35</f>
        <v/>
      </c>
      <c r="BG36" s="13">
        <f>BG33+Tax!BG13-BG34-BG35</f>
        <v/>
      </c>
      <c r="BH36" s="13">
        <f>BH33+Tax!BH13-BH34-BH35</f>
        <v/>
      </c>
      <c r="BI36" s="13">
        <f>BI33+Tax!BI13-BI34-BI35</f>
        <v/>
      </c>
      <c r="BJ36" s="13">
        <f>BJ33+Tax!BJ13-BJ34-BJ35</f>
        <v/>
      </c>
      <c r="BK36" s="13">
        <f>BK33+Tax!BK13-BK34-BK35</f>
        <v/>
      </c>
      <c r="BL36" s="13">
        <f>BL33+Tax!BL13-BL34-BL35</f>
        <v/>
      </c>
      <c r="BM36" s="13">
        <f>BM33+Tax!BM13-BM34-BM35</f>
        <v/>
      </c>
      <c r="BN36" s="13">
        <f>BN33+Tax!BN13-BN34-BN35</f>
        <v/>
      </c>
    </row>
    <row r="37">
      <c r="D37" t="inlineStr">
        <is>
          <t>Distributable reserves (retained earnings + current profit)</t>
        </is>
      </c>
      <c r="E37" t="inlineStr">
        <is>
          <t>USD m</t>
        </is>
      </c>
      <c r="J37" s="13">
        <f>MAX(0,I43+Financials!J14)</f>
        <v/>
      </c>
      <c r="K37" s="13">
        <f>MAX(0,J43+Financials!K14)</f>
        <v/>
      </c>
      <c r="L37" s="13">
        <f>MAX(0,K43+Financials!L14)</f>
        <v/>
      </c>
      <c r="M37" s="13">
        <f>MAX(0,L43+Financials!M14)</f>
        <v/>
      </c>
      <c r="N37" s="13">
        <f>MAX(0,M43+Financials!N14)</f>
        <v/>
      </c>
      <c r="O37" s="13">
        <f>MAX(0,N43+Financials!O14)</f>
        <v/>
      </c>
      <c r="P37" s="13">
        <f>MAX(0,O43+Financials!P14)</f>
        <v/>
      </c>
      <c r="Q37" s="13">
        <f>MAX(0,P43+Financials!Q14)</f>
        <v/>
      </c>
      <c r="R37" s="13">
        <f>MAX(0,Q43+Financials!R14)</f>
        <v/>
      </c>
      <c r="S37" s="13">
        <f>MAX(0,R43+Financials!S14)</f>
        <v/>
      </c>
      <c r="T37" s="13">
        <f>MAX(0,S43+Financials!T14)</f>
        <v/>
      </c>
      <c r="U37" s="13">
        <f>MAX(0,T43+Financials!U14)</f>
        <v/>
      </c>
      <c r="V37" s="13">
        <f>MAX(0,U43+Financials!V14)</f>
        <v/>
      </c>
      <c r="W37" s="13">
        <f>MAX(0,V43+Financials!W14)</f>
        <v/>
      </c>
      <c r="X37" s="13">
        <f>MAX(0,W43+Financials!X14)</f>
        <v/>
      </c>
      <c r="Y37" s="13">
        <f>MAX(0,X43+Financials!Y14)</f>
        <v/>
      </c>
      <c r="Z37" s="13">
        <f>MAX(0,Y43+Financials!Z14)</f>
        <v/>
      </c>
      <c r="AA37" s="13">
        <f>MAX(0,Z43+Financials!AA14)</f>
        <v/>
      </c>
      <c r="AB37" s="13">
        <f>MAX(0,AA43+Financials!AB14)</f>
        <v/>
      </c>
      <c r="AC37" s="13">
        <f>MAX(0,AB43+Financials!AC14)</f>
        <v/>
      </c>
      <c r="AD37" s="13">
        <f>MAX(0,AC43+Financials!AD14)</f>
        <v/>
      </c>
      <c r="AE37" s="13">
        <f>MAX(0,AD43+Financials!AE14)</f>
        <v/>
      </c>
      <c r="AF37" s="13">
        <f>MAX(0,AE43+Financials!AF14)</f>
        <v/>
      </c>
      <c r="AG37" s="13">
        <f>MAX(0,AF43+Financials!AG14)</f>
        <v/>
      </c>
      <c r="AH37" s="13">
        <f>MAX(0,AG43+Financials!AH14)</f>
        <v/>
      </c>
      <c r="AI37" s="13">
        <f>MAX(0,AH43+Financials!AI14)</f>
        <v/>
      </c>
      <c r="AJ37" s="13">
        <f>MAX(0,AI43+Financials!AJ14)</f>
        <v/>
      </c>
      <c r="AK37" s="13">
        <f>MAX(0,AJ43+Financials!AK14)</f>
        <v/>
      </c>
      <c r="AL37" s="13">
        <f>MAX(0,AK43+Financials!AL14)</f>
        <v/>
      </c>
      <c r="AM37" s="13">
        <f>MAX(0,AL43+Financials!AM14)</f>
        <v/>
      </c>
      <c r="AN37" s="13">
        <f>MAX(0,AM43+Financials!AN14)</f>
        <v/>
      </c>
      <c r="AO37" s="13">
        <f>MAX(0,AN43+Financials!AO14)</f>
        <v/>
      </c>
      <c r="AP37" s="13">
        <f>MAX(0,AO43+Financials!AP14)</f>
        <v/>
      </c>
      <c r="AQ37" s="13">
        <f>MAX(0,AP43+Financials!AQ14)</f>
        <v/>
      </c>
      <c r="AR37" s="13">
        <f>MAX(0,AQ43+Financials!AR14)</f>
        <v/>
      </c>
      <c r="AS37" s="13">
        <f>MAX(0,AR43+Financials!AS14)</f>
        <v/>
      </c>
      <c r="AT37" s="13">
        <f>MAX(0,AS43+Financials!AT14)</f>
        <v/>
      </c>
      <c r="AU37" s="13">
        <f>MAX(0,AT43+Financials!AU14)</f>
        <v/>
      </c>
      <c r="AV37" s="13">
        <f>MAX(0,AU43+Financials!AV14)</f>
        <v/>
      </c>
      <c r="AW37" s="13">
        <f>MAX(0,AV43+Financials!AW14)</f>
        <v/>
      </c>
      <c r="AX37" s="13">
        <f>MAX(0,AW43+Financials!AX14)</f>
        <v/>
      </c>
      <c r="AY37" s="13">
        <f>MAX(0,AX43+Financials!AY14)</f>
        <v/>
      </c>
      <c r="AZ37" s="13">
        <f>MAX(0,AY43+Financials!AZ14)</f>
        <v/>
      </c>
      <c r="BA37" s="13">
        <f>MAX(0,AZ43+Financials!BA14)</f>
        <v/>
      </c>
      <c r="BB37" s="13">
        <f>MAX(0,BA43+Financials!BB14)</f>
        <v/>
      </c>
      <c r="BC37" s="13">
        <f>MAX(0,BB43+Financials!BC14)</f>
        <v/>
      </c>
      <c r="BD37" s="13">
        <f>MAX(0,BC43+Financials!BD14)</f>
        <v/>
      </c>
      <c r="BE37" s="13">
        <f>MAX(0,BD43+Financials!BE14)</f>
        <v/>
      </c>
      <c r="BF37" s="13">
        <f>MAX(0,BE43+Financials!BF14)</f>
        <v/>
      </c>
      <c r="BG37" s="13">
        <f>MAX(0,BF43+Financials!BG14)</f>
        <v/>
      </c>
      <c r="BH37" s="13">
        <f>MAX(0,BG43+Financials!BH14)</f>
        <v/>
      </c>
      <c r="BI37" s="13">
        <f>MAX(0,BH43+Financials!BI14)</f>
        <v/>
      </c>
      <c r="BJ37" s="13">
        <f>MAX(0,BI43+Financials!BJ14)</f>
        <v/>
      </c>
      <c r="BK37" s="13">
        <f>MAX(0,BJ43+Financials!BK14)</f>
        <v/>
      </c>
      <c r="BL37" s="13">
        <f>MAX(0,BK43+Financials!BL14)</f>
        <v/>
      </c>
      <c r="BM37" s="13">
        <f>MAX(0,BL43+Financials!BM14)</f>
        <v/>
      </c>
      <c r="BN37" s="13">
        <f>MAX(0,BM43+Financials!BN14)</f>
        <v/>
      </c>
    </row>
    <row r="38">
      <c r="D38" t="inlineStr">
        <is>
          <t>Dividends within distributable reserves</t>
        </is>
      </c>
      <c r="E38" t="inlineStr">
        <is>
          <t>USD m</t>
        </is>
      </c>
      <c r="J38" s="13">
        <f>J24*MIN(J31-J34-J35,J37)</f>
        <v/>
      </c>
      <c r="K38" s="13">
        <f>K24*MIN(K31-K34-K35,K37)</f>
        <v/>
      </c>
      <c r="L38" s="13">
        <f>L24*MIN(L31-L34-L35,L37)</f>
        <v/>
      </c>
      <c r="M38" s="13">
        <f>M24*MIN(M31-M34-M35,M37)</f>
        <v/>
      </c>
      <c r="N38" s="13">
        <f>N24*MIN(N31-N34-N35,N37)</f>
        <v/>
      </c>
      <c r="O38" s="13">
        <f>O24*MIN(O31-O34-O35,O37)</f>
        <v/>
      </c>
      <c r="P38" s="13">
        <f>P24*MIN(P31-P34-P35,P37)</f>
        <v/>
      </c>
      <c r="Q38" s="13">
        <f>Q24*MIN(Q31-Q34-Q35,Q37)</f>
        <v/>
      </c>
      <c r="R38" s="13">
        <f>R24*MIN(R31-R34-R35,R37)</f>
        <v/>
      </c>
      <c r="S38" s="13">
        <f>S24*MIN(S31-S34-S35,S37)</f>
        <v/>
      </c>
      <c r="T38" s="13">
        <f>T24*MIN(T31-T34-T35,T37)</f>
        <v/>
      </c>
      <c r="U38" s="13">
        <f>U24*MIN(U31-U34-U35,U37)</f>
        <v/>
      </c>
      <c r="V38" s="13">
        <f>V24*MIN(V31-V34-V35,V37)</f>
        <v/>
      </c>
      <c r="W38" s="13">
        <f>W24*MIN(W31-W34-W35,W37)</f>
        <v/>
      </c>
      <c r="X38" s="13">
        <f>X24*MIN(X31-X34-X35,X37)</f>
        <v/>
      </c>
      <c r="Y38" s="13">
        <f>Y24*MIN(Y31-Y34-Y35,Y37)</f>
        <v/>
      </c>
      <c r="Z38" s="13">
        <f>Z24*MIN(Z31-Z34-Z35,Z37)</f>
        <v/>
      </c>
      <c r="AA38" s="13">
        <f>AA24*MIN(AA31-AA34-AA35,AA37)</f>
        <v/>
      </c>
      <c r="AB38" s="13">
        <f>AB24*MIN(AB31-AB34-AB35,AB37)</f>
        <v/>
      </c>
      <c r="AC38" s="13">
        <f>AC24*MIN(AC31-AC34-AC35,AC37)</f>
        <v/>
      </c>
      <c r="AD38" s="13">
        <f>AD24*MIN(AD31-AD34-AD35,AD37)</f>
        <v/>
      </c>
      <c r="AE38" s="13">
        <f>AE24*MIN(AE31-AE34-AE35,AE37)</f>
        <v/>
      </c>
      <c r="AF38" s="13">
        <f>AF24*MIN(AF31-AF34-AF35,AF37)</f>
        <v/>
      </c>
      <c r="AG38" s="13">
        <f>AG24*MIN(AG31-AG34-AG35,AG37)</f>
        <v/>
      </c>
      <c r="AH38" s="13">
        <f>AH24*MIN(AH31-AH34-AH35,AH37)</f>
        <v/>
      </c>
      <c r="AI38" s="13">
        <f>AI24*MIN(AI31-AI34-AI35,AI37)</f>
        <v/>
      </c>
      <c r="AJ38" s="13">
        <f>AJ24*MIN(AJ31-AJ34-AJ35,AJ37)</f>
        <v/>
      </c>
      <c r="AK38" s="13">
        <f>AK24*MIN(AK31-AK34-AK35,AK37)</f>
        <v/>
      </c>
      <c r="AL38" s="13">
        <f>AL24*MIN(AL31-AL34-AL35,AL37)</f>
        <v/>
      </c>
      <c r="AM38" s="13">
        <f>AM24*MIN(AM31-AM34-AM35,AM37)</f>
        <v/>
      </c>
      <c r="AN38" s="13">
        <f>AN24*MIN(AN31-AN34-AN35,AN37)</f>
        <v/>
      </c>
      <c r="AO38" s="13">
        <f>AO24*MIN(AO31-AO34-AO35,AO37)</f>
        <v/>
      </c>
      <c r="AP38" s="13">
        <f>AP24*MIN(AP31-AP34-AP35,AP37)</f>
        <v/>
      </c>
      <c r="AQ38" s="13">
        <f>AQ24*MIN(AQ31-AQ34-AQ35,AQ37)</f>
        <v/>
      </c>
      <c r="AR38" s="13">
        <f>AR24*MIN(AR31-AR34-AR35,AR37)</f>
        <v/>
      </c>
      <c r="AS38" s="13">
        <f>AS24*MIN(AS31-AS34-AS35,AS37)</f>
        <v/>
      </c>
      <c r="AT38" s="13">
        <f>AT24*MIN(AT31-AT34-AT35,AT37)</f>
        <v/>
      </c>
      <c r="AU38" s="13">
        <f>AU24*MIN(AU31-AU34-AU35,AU37)</f>
        <v/>
      </c>
      <c r="AV38" s="13">
        <f>AV24*MIN(AV31-AV34-AV35,AV37)</f>
        <v/>
      </c>
      <c r="AW38" s="13">
        <f>AW24*MIN(AW31-AW34-AW35,AW37)</f>
        <v/>
      </c>
      <c r="AX38" s="13">
        <f>AX24*MIN(AX31-AX34-AX35,AX37)</f>
        <v/>
      </c>
      <c r="AY38" s="13">
        <f>AY24*MIN(AY31-AY34-AY35,AY37)</f>
        <v/>
      </c>
      <c r="AZ38" s="13">
        <f>AZ24*MIN(AZ31-AZ34-AZ35,AZ37)</f>
        <v/>
      </c>
      <c r="BA38" s="13">
        <f>BA24*MIN(BA31-BA34-BA35,BA37)</f>
        <v/>
      </c>
      <c r="BB38" s="13">
        <f>BB24*MIN(BB31-BB34-BB35,BB37)</f>
        <v/>
      </c>
      <c r="BC38" s="13">
        <f>BC24*MIN(BC31-BC34-BC35,BC37)</f>
        <v/>
      </c>
      <c r="BD38" s="13">
        <f>BD24*MIN(BD31-BD34-BD35,BD37)</f>
        <v/>
      </c>
      <c r="BE38" s="13">
        <f>BE24*MIN(BE31-BE34-BE35,BE37)</f>
        <v/>
      </c>
      <c r="BF38" s="13">
        <f>BF24*MIN(BF31-BF34-BF35,BF37)</f>
        <v/>
      </c>
      <c r="BG38" s="13">
        <f>BG24*MIN(BG31-BG34-BG35,BG37)</f>
        <v/>
      </c>
      <c r="BH38" s="13">
        <f>BH24*MIN(BH31-BH34-BH35,BH37)</f>
        <v/>
      </c>
      <c r="BI38" s="13">
        <f>BI24*MIN(BI31-BI34-BI35,BI37)</f>
        <v/>
      </c>
      <c r="BJ38" s="13">
        <f>BJ24*MIN(BJ31-BJ34-BJ35,BJ37)</f>
        <v/>
      </c>
      <c r="BK38" s="13">
        <f>BK24*MIN(BK31-BK34-BK35,BK37)</f>
        <v/>
      </c>
      <c r="BL38" s="13">
        <f>BL24*MIN(BL31-BL34-BL35,BL37)</f>
        <v/>
      </c>
      <c r="BM38" s="13">
        <f>BM24*MIN(BM31-BM34-BM35,BM37)</f>
        <v/>
      </c>
      <c r="BN38" s="13">
        <f>BN24*MIN(BN31-BN34-BN35,BN37)</f>
        <v/>
      </c>
    </row>
    <row r="39">
      <c r="D39" t="inlineStr">
        <is>
          <t>Cash trapped by the dividend restriction</t>
        </is>
      </c>
      <c r="E39" t="inlineStr">
        <is>
          <t>USD m</t>
        </is>
      </c>
      <c r="J39" s="13">
        <f>J24*(J31-J34-J35-J38)</f>
        <v/>
      </c>
      <c r="K39" s="13">
        <f>K24*(K31-K34-K35-K38)</f>
        <v/>
      </c>
      <c r="L39" s="13">
        <f>L24*(L31-L34-L35-L38)</f>
        <v/>
      </c>
      <c r="M39" s="13">
        <f>M24*(M31-M34-M35-M38)</f>
        <v/>
      </c>
      <c r="N39" s="13">
        <f>N24*(N31-N34-N35-N38)</f>
        <v/>
      </c>
      <c r="O39" s="13">
        <f>O24*(O31-O34-O35-O38)</f>
        <v/>
      </c>
      <c r="P39" s="13">
        <f>P24*(P31-P34-P35-P38)</f>
        <v/>
      </c>
      <c r="Q39" s="13">
        <f>Q24*(Q31-Q34-Q35-Q38)</f>
        <v/>
      </c>
      <c r="R39" s="13">
        <f>R24*(R31-R34-R35-R38)</f>
        <v/>
      </c>
      <c r="S39" s="13">
        <f>S24*(S31-S34-S35-S38)</f>
        <v/>
      </c>
      <c r="T39" s="13">
        <f>T24*(T31-T34-T35-T38)</f>
        <v/>
      </c>
      <c r="U39" s="13">
        <f>U24*(U31-U34-U35-U38)</f>
        <v/>
      </c>
      <c r="V39" s="13">
        <f>V24*(V31-V34-V35-V38)</f>
        <v/>
      </c>
      <c r="W39" s="13">
        <f>W24*(W31-W34-W35-W38)</f>
        <v/>
      </c>
      <c r="X39" s="13">
        <f>X24*(X31-X34-X35-X38)</f>
        <v/>
      </c>
      <c r="Y39" s="13">
        <f>Y24*(Y31-Y34-Y35-Y38)</f>
        <v/>
      </c>
      <c r="Z39" s="13">
        <f>Z24*(Z31-Z34-Z35-Z38)</f>
        <v/>
      </c>
      <c r="AA39" s="13">
        <f>AA24*(AA31-AA34-AA35-AA38)</f>
        <v/>
      </c>
      <c r="AB39" s="13">
        <f>AB24*(AB31-AB34-AB35-AB38)</f>
        <v/>
      </c>
      <c r="AC39" s="13">
        <f>AC24*(AC31-AC34-AC35-AC38)</f>
        <v/>
      </c>
      <c r="AD39" s="13">
        <f>AD24*(AD31-AD34-AD35-AD38)</f>
        <v/>
      </c>
      <c r="AE39" s="13">
        <f>AE24*(AE31-AE34-AE35-AE38)</f>
        <v/>
      </c>
      <c r="AF39" s="13">
        <f>AF24*(AF31-AF34-AF35-AF38)</f>
        <v/>
      </c>
      <c r="AG39" s="13">
        <f>AG24*(AG31-AG34-AG35-AG38)</f>
        <v/>
      </c>
      <c r="AH39" s="13">
        <f>AH24*(AH31-AH34-AH35-AH38)</f>
        <v/>
      </c>
      <c r="AI39" s="13">
        <f>AI24*(AI31-AI34-AI35-AI38)</f>
        <v/>
      </c>
      <c r="AJ39" s="13">
        <f>AJ24*(AJ31-AJ34-AJ35-AJ38)</f>
        <v/>
      </c>
      <c r="AK39" s="13">
        <f>AK24*(AK31-AK34-AK35-AK38)</f>
        <v/>
      </c>
      <c r="AL39" s="13">
        <f>AL24*(AL31-AL34-AL35-AL38)</f>
        <v/>
      </c>
      <c r="AM39" s="13">
        <f>AM24*(AM31-AM34-AM35-AM38)</f>
        <v/>
      </c>
      <c r="AN39" s="13">
        <f>AN24*(AN31-AN34-AN35-AN38)</f>
        <v/>
      </c>
      <c r="AO39" s="13">
        <f>AO24*(AO31-AO34-AO35-AO38)</f>
        <v/>
      </c>
      <c r="AP39" s="13">
        <f>AP24*(AP31-AP34-AP35-AP38)</f>
        <v/>
      </c>
      <c r="AQ39" s="13">
        <f>AQ24*(AQ31-AQ34-AQ35-AQ38)</f>
        <v/>
      </c>
      <c r="AR39" s="13">
        <f>AR24*(AR31-AR34-AR35-AR38)</f>
        <v/>
      </c>
      <c r="AS39" s="13">
        <f>AS24*(AS31-AS34-AS35-AS38)</f>
        <v/>
      </c>
      <c r="AT39" s="13">
        <f>AT24*(AT31-AT34-AT35-AT38)</f>
        <v/>
      </c>
      <c r="AU39" s="13">
        <f>AU24*(AU31-AU34-AU35-AU38)</f>
        <v/>
      </c>
      <c r="AV39" s="13">
        <f>AV24*(AV31-AV34-AV35-AV38)</f>
        <v/>
      </c>
      <c r="AW39" s="13">
        <f>AW24*(AW31-AW34-AW35-AW38)</f>
        <v/>
      </c>
      <c r="AX39" s="13">
        <f>AX24*(AX31-AX34-AX35-AX38)</f>
        <v/>
      </c>
      <c r="AY39" s="13">
        <f>AY24*(AY31-AY34-AY35-AY38)</f>
        <v/>
      </c>
      <c r="AZ39" s="13">
        <f>AZ24*(AZ31-AZ34-AZ35-AZ38)</f>
        <v/>
      </c>
      <c r="BA39" s="13">
        <f>BA24*(BA31-BA34-BA35-BA38)</f>
        <v/>
      </c>
      <c r="BB39" s="13">
        <f>BB24*(BB31-BB34-BB35-BB38)</f>
        <v/>
      </c>
      <c r="BC39" s="13">
        <f>BC24*(BC31-BC34-BC35-BC38)</f>
        <v/>
      </c>
      <c r="BD39" s="13">
        <f>BD24*(BD31-BD34-BD35-BD38)</f>
        <v/>
      </c>
      <c r="BE39" s="13">
        <f>BE24*(BE31-BE34-BE35-BE38)</f>
        <v/>
      </c>
      <c r="BF39" s="13">
        <f>BF24*(BF31-BF34-BF35-BF38)</f>
        <v/>
      </c>
      <c r="BG39" s="13">
        <f>BG24*(BG31-BG34-BG35-BG38)</f>
        <v/>
      </c>
      <c r="BH39" s="13">
        <f>BH24*(BH31-BH34-BH35-BH38)</f>
        <v/>
      </c>
      <c r="BI39" s="13">
        <f>BI24*(BI31-BI34-BI35-BI38)</f>
        <v/>
      </c>
      <c r="BJ39" s="13">
        <f>BJ24*(BJ31-BJ34-BJ35-BJ38)</f>
        <v/>
      </c>
      <c r="BK39" s="13">
        <f>BK24*(BK31-BK34-BK35-BK38)</f>
        <v/>
      </c>
      <c r="BL39" s="13">
        <f>BL24*(BL31-BL34-BL35-BL38)</f>
        <v/>
      </c>
      <c r="BM39" s="13">
        <f>BM24*(BM31-BM34-BM35-BM38)</f>
        <v/>
      </c>
      <c r="BN39" s="13">
        <f>BN24*(BN31-BN34-BN35-BN38)</f>
        <v/>
      </c>
    </row>
    <row r="40">
      <c r="D40" t="inlineStr">
        <is>
          <t>Liquidation distribution at PPA expiry</t>
        </is>
      </c>
      <c r="E40" t="inlineStr">
        <is>
          <t>USD m</t>
        </is>
      </c>
      <c r="G40" s="13">
        <f>SUM(J40:BN40)</f>
        <v/>
      </c>
      <c r="J40" s="13">
        <f>Time!J37*(J39+J30+Reserves!J9-Reserves!J10+Reserves!J11-Reserves!J12)</f>
        <v/>
      </c>
      <c r="K40" s="13">
        <f>Time!K37*(K39+K30+Reserves!K9-Reserves!K10+Reserves!K11-Reserves!K12)</f>
        <v/>
      </c>
      <c r="L40" s="13">
        <f>Time!L37*(L39+L30+Reserves!L9-Reserves!L10+Reserves!L11-Reserves!L12)</f>
        <v/>
      </c>
      <c r="M40" s="13">
        <f>Time!M37*(M39+M30+Reserves!M9-Reserves!M10+Reserves!M11-Reserves!M12)</f>
        <v/>
      </c>
      <c r="N40" s="13">
        <f>Time!N37*(N39+N30+Reserves!N9-Reserves!N10+Reserves!N11-Reserves!N12)</f>
        <v/>
      </c>
      <c r="O40" s="13">
        <f>Time!O37*(O39+O30+Reserves!O9-Reserves!O10+Reserves!O11-Reserves!O12)</f>
        <v/>
      </c>
      <c r="P40" s="13">
        <f>Time!P37*(P39+P30+Reserves!P9-Reserves!P10+Reserves!P11-Reserves!P12)</f>
        <v/>
      </c>
      <c r="Q40" s="13">
        <f>Time!Q37*(Q39+Q30+Reserves!Q9-Reserves!Q10+Reserves!Q11-Reserves!Q12)</f>
        <v/>
      </c>
      <c r="R40" s="13">
        <f>Time!R37*(R39+R30+Reserves!R9-Reserves!R10+Reserves!R11-Reserves!R12)</f>
        <v/>
      </c>
      <c r="S40" s="13">
        <f>Time!S37*(S39+S30+Reserves!S9-Reserves!S10+Reserves!S11-Reserves!S12)</f>
        <v/>
      </c>
      <c r="T40" s="13">
        <f>Time!T37*(T39+T30+Reserves!T9-Reserves!T10+Reserves!T11-Reserves!T12)</f>
        <v/>
      </c>
      <c r="U40" s="13">
        <f>Time!U37*(U39+U30+Reserves!U9-Reserves!U10+Reserves!U11-Reserves!U12)</f>
        <v/>
      </c>
      <c r="V40" s="13">
        <f>Time!V37*(V39+V30+Reserves!V9-Reserves!V10+Reserves!V11-Reserves!V12)</f>
        <v/>
      </c>
      <c r="W40" s="13">
        <f>Time!W37*(W39+W30+Reserves!W9-Reserves!W10+Reserves!W11-Reserves!W12)</f>
        <v/>
      </c>
      <c r="X40" s="13">
        <f>Time!X37*(X39+X30+Reserves!X9-Reserves!X10+Reserves!X11-Reserves!X12)</f>
        <v/>
      </c>
      <c r="Y40" s="13">
        <f>Time!Y37*(Y39+Y30+Reserves!Y9-Reserves!Y10+Reserves!Y11-Reserves!Y12)</f>
        <v/>
      </c>
      <c r="Z40" s="13">
        <f>Time!Z37*(Z39+Z30+Reserves!Z9-Reserves!Z10+Reserves!Z11-Reserves!Z12)</f>
        <v/>
      </c>
      <c r="AA40" s="13">
        <f>Time!AA37*(AA39+AA30+Reserves!AA9-Reserves!AA10+Reserves!AA11-Reserves!AA12)</f>
        <v/>
      </c>
      <c r="AB40" s="13">
        <f>Time!AB37*(AB39+AB30+Reserves!AB9-Reserves!AB10+Reserves!AB11-Reserves!AB12)</f>
        <v/>
      </c>
      <c r="AC40" s="13">
        <f>Time!AC37*(AC39+AC30+Reserves!AC9-Reserves!AC10+Reserves!AC11-Reserves!AC12)</f>
        <v/>
      </c>
      <c r="AD40" s="13">
        <f>Time!AD37*(AD39+AD30+Reserves!AD9-Reserves!AD10+Reserves!AD11-Reserves!AD12)</f>
        <v/>
      </c>
      <c r="AE40" s="13">
        <f>Time!AE37*(AE39+AE30+Reserves!AE9-Reserves!AE10+Reserves!AE11-Reserves!AE12)</f>
        <v/>
      </c>
      <c r="AF40" s="13">
        <f>Time!AF37*(AF39+AF30+Reserves!AF9-Reserves!AF10+Reserves!AF11-Reserves!AF12)</f>
        <v/>
      </c>
      <c r="AG40" s="13">
        <f>Time!AG37*(AG39+AG30+Reserves!AG9-Reserves!AG10+Reserves!AG11-Reserves!AG12)</f>
        <v/>
      </c>
      <c r="AH40" s="13">
        <f>Time!AH37*(AH39+AH30+Reserves!AH9-Reserves!AH10+Reserves!AH11-Reserves!AH12)</f>
        <v/>
      </c>
      <c r="AI40" s="13">
        <f>Time!AI37*(AI39+AI30+Reserves!AI9-Reserves!AI10+Reserves!AI11-Reserves!AI12)</f>
        <v/>
      </c>
      <c r="AJ40" s="13">
        <f>Time!AJ37*(AJ39+AJ30+Reserves!AJ9-Reserves!AJ10+Reserves!AJ11-Reserves!AJ12)</f>
        <v/>
      </c>
      <c r="AK40" s="13">
        <f>Time!AK37*(AK39+AK30+Reserves!AK9-Reserves!AK10+Reserves!AK11-Reserves!AK12)</f>
        <v/>
      </c>
      <c r="AL40" s="13">
        <f>Time!AL37*(AL39+AL30+Reserves!AL9-Reserves!AL10+Reserves!AL11-Reserves!AL12)</f>
        <v/>
      </c>
      <c r="AM40" s="13">
        <f>Time!AM37*(AM39+AM30+Reserves!AM9-Reserves!AM10+Reserves!AM11-Reserves!AM12)</f>
        <v/>
      </c>
      <c r="AN40" s="13">
        <f>Time!AN37*(AN39+AN30+Reserves!AN9-Reserves!AN10+Reserves!AN11-Reserves!AN12)</f>
        <v/>
      </c>
      <c r="AO40" s="13">
        <f>Time!AO37*(AO39+AO30+Reserves!AO9-Reserves!AO10+Reserves!AO11-Reserves!AO12)</f>
        <v/>
      </c>
      <c r="AP40" s="13">
        <f>Time!AP37*(AP39+AP30+Reserves!AP9-Reserves!AP10+Reserves!AP11-Reserves!AP12)</f>
        <v/>
      </c>
      <c r="AQ40" s="13">
        <f>Time!AQ37*(AQ39+AQ30+Reserves!AQ9-Reserves!AQ10+Reserves!AQ11-Reserves!AQ12)</f>
        <v/>
      </c>
      <c r="AR40" s="13">
        <f>Time!AR37*(AR39+AR30+Reserves!AR9-Reserves!AR10+Reserves!AR11-Reserves!AR12)</f>
        <v/>
      </c>
      <c r="AS40" s="13">
        <f>Time!AS37*(AS39+AS30+Reserves!AS9-Reserves!AS10+Reserves!AS11-Reserves!AS12)</f>
        <v/>
      </c>
      <c r="AT40" s="13">
        <f>Time!AT37*(AT39+AT30+Reserves!AT9-Reserves!AT10+Reserves!AT11-Reserves!AT12)</f>
        <v/>
      </c>
      <c r="AU40" s="13">
        <f>Time!AU37*(AU39+AU30+Reserves!AU9-Reserves!AU10+Reserves!AU11-Reserves!AU12)</f>
        <v/>
      </c>
      <c r="AV40" s="13">
        <f>Time!AV37*(AV39+AV30+Reserves!AV9-Reserves!AV10+Reserves!AV11-Reserves!AV12)</f>
        <v/>
      </c>
      <c r="AW40" s="13">
        <f>Time!AW37*(AW39+AW30+Reserves!AW9-Reserves!AW10+Reserves!AW11-Reserves!AW12)</f>
        <v/>
      </c>
      <c r="AX40" s="13">
        <f>Time!AX37*(AX39+AX30+Reserves!AX9-Reserves!AX10+Reserves!AX11-Reserves!AX12)</f>
        <v/>
      </c>
      <c r="AY40" s="13">
        <f>Time!AY37*(AY39+AY30+Reserves!AY9-Reserves!AY10+Reserves!AY11-Reserves!AY12)</f>
        <v/>
      </c>
      <c r="AZ40" s="13">
        <f>Time!AZ37*(AZ39+AZ30+Reserves!AZ9-Reserves!AZ10+Reserves!AZ11-Reserves!AZ12)</f>
        <v/>
      </c>
      <c r="BA40" s="13">
        <f>Time!BA37*(BA39+BA30+Reserves!BA9-Reserves!BA10+Reserves!BA11-Reserves!BA12)</f>
        <v/>
      </c>
      <c r="BB40" s="13">
        <f>Time!BB37*(BB39+BB30+Reserves!BB9-Reserves!BB10+Reserves!BB11-Reserves!BB12)</f>
        <v/>
      </c>
      <c r="BC40" s="13">
        <f>Time!BC37*(BC39+BC30+Reserves!BC9-Reserves!BC10+Reserves!BC11-Reserves!BC12)</f>
        <v/>
      </c>
      <c r="BD40" s="13">
        <f>Time!BD37*(BD39+BD30+Reserves!BD9-Reserves!BD10+Reserves!BD11-Reserves!BD12)</f>
        <v/>
      </c>
      <c r="BE40" s="13">
        <f>Time!BE37*(BE39+BE30+Reserves!BE9-Reserves!BE10+Reserves!BE11-Reserves!BE12)</f>
        <v/>
      </c>
      <c r="BF40" s="13">
        <f>Time!BF37*(BF39+BF30+Reserves!BF9-Reserves!BF10+Reserves!BF11-Reserves!BF12)</f>
        <v/>
      </c>
      <c r="BG40" s="13">
        <f>Time!BG37*(BG39+BG30+Reserves!BG9-Reserves!BG10+Reserves!BG11-Reserves!BG12)</f>
        <v/>
      </c>
      <c r="BH40" s="13">
        <f>Time!BH37*(BH39+BH30+Reserves!BH9-Reserves!BH10+Reserves!BH11-Reserves!BH12)</f>
        <v/>
      </c>
      <c r="BI40" s="13">
        <f>Time!BI37*(BI39+BI30+Reserves!BI9-Reserves!BI10+Reserves!BI11-Reserves!BI12)</f>
        <v/>
      </c>
      <c r="BJ40" s="13">
        <f>Time!BJ37*(BJ39+BJ30+Reserves!BJ9-Reserves!BJ10+Reserves!BJ11-Reserves!BJ12)</f>
        <v/>
      </c>
      <c r="BK40" s="13">
        <f>Time!BK37*(BK39+BK30+Reserves!BK9-Reserves!BK10+Reserves!BK11-Reserves!BK12)</f>
        <v/>
      </c>
      <c r="BL40" s="13">
        <f>Time!BL37*(BL39+BL30+Reserves!BL9-Reserves!BL10+Reserves!BL11-Reserves!BL12)</f>
        <v/>
      </c>
      <c r="BM40" s="13">
        <f>Time!BM37*(BM39+BM30+Reserves!BM9-Reserves!BM10+Reserves!BM11-Reserves!BM12)</f>
        <v/>
      </c>
      <c r="BN40" s="13">
        <f>Time!BN37*(BN39+BN30+Reserves!BN9-Reserves!BN10+Reserves!BN11-Reserves!BN12)</f>
        <v/>
      </c>
    </row>
    <row r="41">
      <c r="D41" t="inlineStr">
        <is>
          <t>Dividends</t>
        </is>
      </c>
      <c r="E41" t="inlineStr">
        <is>
          <t>USD m</t>
        </is>
      </c>
      <c r="G41" s="13">
        <f>SUM(J41:BN41)</f>
        <v/>
      </c>
      <c r="J41" s="13">
        <f>J38+J40</f>
        <v/>
      </c>
      <c r="K41" s="13">
        <f>K38+K40</f>
        <v/>
      </c>
      <c r="L41" s="13">
        <f>L38+L40</f>
        <v/>
      </c>
      <c r="M41" s="13">
        <f>M38+M40</f>
        <v/>
      </c>
      <c r="N41" s="13">
        <f>N38+N40</f>
        <v/>
      </c>
      <c r="O41" s="13">
        <f>O38+O40</f>
        <v/>
      </c>
      <c r="P41" s="13">
        <f>P38+P40</f>
        <v/>
      </c>
      <c r="Q41" s="13">
        <f>Q38+Q40</f>
        <v/>
      </c>
      <c r="R41" s="13">
        <f>R38+R40</f>
        <v/>
      </c>
      <c r="S41" s="13">
        <f>S38+S40</f>
        <v/>
      </c>
      <c r="T41" s="13">
        <f>T38+T40</f>
        <v/>
      </c>
      <c r="U41" s="13">
        <f>U38+U40</f>
        <v/>
      </c>
      <c r="V41" s="13">
        <f>V38+V40</f>
        <v/>
      </c>
      <c r="W41" s="13">
        <f>W38+W40</f>
        <v/>
      </c>
      <c r="X41" s="13">
        <f>X38+X40</f>
        <v/>
      </c>
      <c r="Y41" s="13">
        <f>Y38+Y40</f>
        <v/>
      </c>
      <c r="Z41" s="13">
        <f>Z38+Z40</f>
        <v/>
      </c>
      <c r="AA41" s="13">
        <f>AA38+AA40</f>
        <v/>
      </c>
      <c r="AB41" s="13">
        <f>AB38+AB40</f>
        <v/>
      </c>
      <c r="AC41" s="13">
        <f>AC38+AC40</f>
        <v/>
      </c>
      <c r="AD41" s="13">
        <f>AD38+AD40</f>
        <v/>
      </c>
      <c r="AE41" s="13">
        <f>AE38+AE40</f>
        <v/>
      </c>
      <c r="AF41" s="13">
        <f>AF38+AF40</f>
        <v/>
      </c>
      <c r="AG41" s="13">
        <f>AG38+AG40</f>
        <v/>
      </c>
      <c r="AH41" s="13">
        <f>AH38+AH40</f>
        <v/>
      </c>
      <c r="AI41" s="13">
        <f>AI38+AI40</f>
        <v/>
      </c>
      <c r="AJ41" s="13">
        <f>AJ38+AJ40</f>
        <v/>
      </c>
      <c r="AK41" s="13">
        <f>AK38+AK40</f>
        <v/>
      </c>
      <c r="AL41" s="13">
        <f>AL38+AL40</f>
        <v/>
      </c>
      <c r="AM41" s="13">
        <f>AM38+AM40</f>
        <v/>
      </c>
      <c r="AN41" s="13">
        <f>AN38+AN40</f>
        <v/>
      </c>
      <c r="AO41" s="13">
        <f>AO38+AO40</f>
        <v/>
      </c>
      <c r="AP41" s="13">
        <f>AP38+AP40</f>
        <v/>
      </c>
      <c r="AQ41" s="13">
        <f>AQ38+AQ40</f>
        <v/>
      </c>
      <c r="AR41" s="13">
        <f>AR38+AR40</f>
        <v/>
      </c>
      <c r="AS41" s="13">
        <f>AS38+AS40</f>
        <v/>
      </c>
      <c r="AT41" s="13">
        <f>AT38+AT40</f>
        <v/>
      </c>
      <c r="AU41" s="13">
        <f>AU38+AU40</f>
        <v/>
      </c>
      <c r="AV41" s="13">
        <f>AV38+AV40</f>
        <v/>
      </c>
      <c r="AW41" s="13">
        <f>AW38+AW40</f>
        <v/>
      </c>
      <c r="AX41" s="13">
        <f>AX38+AX40</f>
        <v/>
      </c>
      <c r="AY41" s="13">
        <f>AY38+AY40</f>
        <v/>
      </c>
      <c r="AZ41" s="13">
        <f>AZ38+AZ40</f>
        <v/>
      </c>
      <c r="BA41" s="13">
        <f>BA38+BA40</f>
        <v/>
      </c>
      <c r="BB41" s="13">
        <f>BB38+BB40</f>
        <v/>
      </c>
      <c r="BC41" s="13">
        <f>BC38+BC40</f>
        <v/>
      </c>
      <c r="BD41" s="13">
        <f>BD38+BD40</f>
        <v/>
      </c>
      <c r="BE41" s="13">
        <f>BE38+BE40</f>
        <v/>
      </c>
      <c r="BF41" s="13">
        <f>BF38+BF40</f>
        <v/>
      </c>
      <c r="BG41" s="13">
        <f>BG38+BG40</f>
        <v/>
      </c>
      <c r="BH41" s="13">
        <f>BH38+BH40</f>
        <v/>
      </c>
      <c r="BI41" s="13">
        <f>BI38+BI40</f>
        <v/>
      </c>
      <c r="BJ41" s="13">
        <f>BJ38+BJ40</f>
        <v/>
      </c>
      <c r="BK41" s="13">
        <f>BK38+BK40</f>
        <v/>
      </c>
      <c r="BL41" s="13">
        <f>BL38+BL40</f>
        <v/>
      </c>
      <c r="BM41" s="13">
        <f>BM38+BM40</f>
        <v/>
      </c>
      <c r="BN41" s="13">
        <f>BN38+BN40</f>
        <v/>
      </c>
    </row>
    <row r="42">
      <c r="D42" t="inlineStr">
        <is>
          <t>Trapped cash, closing</t>
        </is>
      </c>
      <c r="E42" t="inlineStr">
        <is>
          <t>USD m</t>
        </is>
      </c>
      <c r="J42" s="13">
        <f>(1-Time!J37)*J39</f>
        <v/>
      </c>
      <c r="K42" s="13">
        <f>(1-Time!K37)*K39</f>
        <v/>
      </c>
      <c r="L42" s="13">
        <f>(1-Time!L37)*L39</f>
        <v/>
      </c>
      <c r="M42" s="13">
        <f>(1-Time!M37)*M39</f>
        <v/>
      </c>
      <c r="N42" s="13">
        <f>(1-Time!N37)*N39</f>
        <v/>
      </c>
      <c r="O42" s="13">
        <f>(1-Time!O37)*O39</f>
        <v/>
      </c>
      <c r="P42" s="13">
        <f>(1-Time!P37)*P39</f>
        <v/>
      </c>
      <c r="Q42" s="13">
        <f>(1-Time!Q37)*Q39</f>
        <v/>
      </c>
      <c r="R42" s="13">
        <f>(1-Time!R37)*R39</f>
        <v/>
      </c>
      <c r="S42" s="13">
        <f>(1-Time!S37)*S39</f>
        <v/>
      </c>
      <c r="T42" s="13">
        <f>(1-Time!T37)*T39</f>
        <v/>
      </c>
      <c r="U42" s="13">
        <f>(1-Time!U37)*U39</f>
        <v/>
      </c>
      <c r="V42" s="13">
        <f>(1-Time!V37)*V39</f>
        <v/>
      </c>
      <c r="W42" s="13">
        <f>(1-Time!W37)*W39</f>
        <v/>
      </c>
      <c r="X42" s="13">
        <f>(1-Time!X37)*X39</f>
        <v/>
      </c>
      <c r="Y42" s="13">
        <f>(1-Time!Y37)*Y39</f>
        <v/>
      </c>
      <c r="Z42" s="13">
        <f>(1-Time!Z37)*Z39</f>
        <v/>
      </c>
      <c r="AA42" s="13">
        <f>(1-Time!AA37)*AA39</f>
        <v/>
      </c>
      <c r="AB42" s="13">
        <f>(1-Time!AB37)*AB39</f>
        <v/>
      </c>
      <c r="AC42" s="13">
        <f>(1-Time!AC37)*AC39</f>
        <v/>
      </c>
      <c r="AD42" s="13">
        <f>(1-Time!AD37)*AD39</f>
        <v/>
      </c>
      <c r="AE42" s="13">
        <f>(1-Time!AE37)*AE39</f>
        <v/>
      </c>
      <c r="AF42" s="13">
        <f>(1-Time!AF37)*AF39</f>
        <v/>
      </c>
      <c r="AG42" s="13">
        <f>(1-Time!AG37)*AG39</f>
        <v/>
      </c>
      <c r="AH42" s="13">
        <f>(1-Time!AH37)*AH39</f>
        <v/>
      </c>
      <c r="AI42" s="13">
        <f>(1-Time!AI37)*AI39</f>
        <v/>
      </c>
      <c r="AJ42" s="13">
        <f>(1-Time!AJ37)*AJ39</f>
        <v/>
      </c>
      <c r="AK42" s="13">
        <f>(1-Time!AK37)*AK39</f>
        <v/>
      </c>
      <c r="AL42" s="13">
        <f>(1-Time!AL37)*AL39</f>
        <v/>
      </c>
      <c r="AM42" s="13">
        <f>(1-Time!AM37)*AM39</f>
        <v/>
      </c>
      <c r="AN42" s="13">
        <f>(1-Time!AN37)*AN39</f>
        <v/>
      </c>
      <c r="AO42" s="13">
        <f>(1-Time!AO37)*AO39</f>
        <v/>
      </c>
      <c r="AP42" s="13">
        <f>(1-Time!AP37)*AP39</f>
        <v/>
      </c>
      <c r="AQ42" s="13">
        <f>(1-Time!AQ37)*AQ39</f>
        <v/>
      </c>
      <c r="AR42" s="13">
        <f>(1-Time!AR37)*AR39</f>
        <v/>
      </c>
      <c r="AS42" s="13">
        <f>(1-Time!AS37)*AS39</f>
        <v/>
      </c>
      <c r="AT42" s="13">
        <f>(1-Time!AT37)*AT39</f>
        <v/>
      </c>
      <c r="AU42" s="13">
        <f>(1-Time!AU37)*AU39</f>
        <v/>
      </c>
      <c r="AV42" s="13">
        <f>(1-Time!AV37)*AV39</f>
        <v/>
      </c>
      <c r="AW42" s="13">
        <f>(1-Time!AW37)*AW39</f>
        <v/>
      </c>
      <c r="AX42" s="13">
        <f>(1-Time!AX37)*AX39</f>
        <v/>
      </c>
      <c r="AY42" s="13">
        <f>(1-Time!AY37)*AY39</f>
        <v/>
      </c>
      <c r="AZ42" s="13">
        <f>(1-Time!AZ37)*AZ39</f>
        <v/>
      </c>
      <c r="BA42" s="13">
        <f>(1-Time!BA37)*BA39</f>
        <v/>
      </c>
      <c r="BB42" s="13">
        <f>(1-Time!BB37)*BB39</f>
        <v/>
      </c>
      <c r="BC42" s="13">
        <f>(1-Time!BC37)*BC39</f>
        <v/>
      </c>
      <c r="BD42" s="13">
        <f>(1-Time!BD37)*BD39</f>
        <v/>
      </c>
      <c r="BE42" s="13">
        <f>(1-Time!BE37)*BE39</f>
        <v/>
      </c>
      <c r="BF42" s="13">
        <f>(1-Time!BF37)*BF39</f>
        <v/>
      </c>
      <c r="BG42" s="13">
        <f>(1-Time!BG37)*BG39</f>
        <v/>
      </c>
      <c r="BH42" s="13">
        <f>(1-Time!BH37)*BH39</f>
        <v/>
      </c>
      <c r="BI42" s="13">
        <f>(1-Time!BI37)*BI39</f>
        <v/>
      </c>
      <c r="BJ42" s="13">
        <f>(1-Time!BJ37)*BJ39</f>
        <v/>
      </c>
      <c r="BK42" s="13">
        <f>(1-Time!BK37)*BK39</f>
        <v/>
      </c>
      <c r="BL42" s="13">
        <f>(1-Time!BL37)*BL39</f>
        <v/>
      </c>
      <c r="BM42" s="13">
        <f>(1-Time!BM37)*BM39</f>
        <v/>
      </c>
      <c r="BN42" s="13">
        <f>(1-Time!BN37)*BN39</f>
        <v/>
      </c>
    </row>
    <row r="43">
      <c r="D43" t="inlineStr">
        <is>
          <t>Retained earnings, closing</t>
        </is>
      </c>
      <c r="E43" t="inlineStr">
        <is>
          <t>USD m</t>
        </is>
      </c>
      <c r="J43" s="13">
        <f>IF(Time!J20&lt;Time!$F$12,0,I43+Financials!J14-J41)</f>
        <v/>
      </c>
      <c r="K43" s="13">
        <f>IF(Time!K20&lt;Time!$F$12,0,J43+Financials!K14-K41)</f>
        <v/>
      </c>
      <c r="L43" s="13">
        <f>IF(Time!L20&lt;Time!$F$12,0,K43+Financials!L14-L41)</f>
        <v/>
      </c>
      <c r="M43" s="13">
        <f>IF(Time!M20&lt;Time!$F$12,0,L43+Financials!M14-M41)</f>
        <v/>
      </c>
      <c r="N43" s="13">
        <f>IF(Time!N20&lt;Time!$F$12,0,M43+Financials!N14-N41)</f>
        <v/>
      </c>
      <c r="O43" s="13">
        <f>IF(Time!O20&lt;Time!$F$12,0,N43+Financials!O14-O41)</f>
        <v/>
      </c>
      <c r="P43" s="13">
        <f>IF(Time!P20&lt;Time!$F$12,0,O43+Financials!P14-P41)</f>
        <v/>
      </c>
      <c r="Q43" s="13">
        <f>IF(Time!Q20&lt;Time!$F$12,0,P43+Financials!Q14-Q41)</f>
        <v/>
      </c>
      <c r="R43" s="13">
        <f>IF(Time!R20&lt;Time!$F$12,0,Q43+Financials!R14-R41)</f>
        <v/>
      </c>
      <c r="S43" s="13">
        <f>IF(Time!S20&lt;Time!$F$12,0,R43+Financials!S14-S41)</f>
        <v/>
      </c>
      <c r="T43" s="13">
        <f>IF(Time!T20&lt;Time!$F$12,0,S43+Financials!T14-T41)</f>
        <v/>
      </c>
      <c r="U43" s="13">
        <f>IF(Time!U20&lt;Time!$F$12,0,T43+Financials!U14-U41)</f>
        <v/>
      </c>
      <c r="V43" s="13">
        <f>IF(Time!V20&lt;Time!$F$12,0,U43+Financials!V14-V41)</f>
        <v/>
      </c>
      <c r="W43" s="13">
        <f>IF(Time!W20&lt;Time!$F$12,0,V43+Financials!W14-W41)</f>
        <v/>
      </c>
      <c r="X43" s="13">
        <f>IF(Time!X20&lt;Time!$F$12,0,W43+Financials!X14-X41)</f>
        <v/>
      </c>
      <c r="Y43" s="13">
        <f>IF(Time!Y20&lt;Time!$F$12,0,X43+Financials!Y14-Y41)</f>
        <v/>
      </c>
      <c r="Z43" s="13">
        <f>IF(Time!Z20&lt;Time!$F$12,0,Y43+Financials!Z14-Z41)</f>
        <v/>
      </c>
      <c r="AA43" s="13">
        <f>IF(Time!AA20&lt;Time!$F$12,0,Z43+Financials!AA14-AA41)</f>
        <v/>
      </c>
      <c r="AB43" s="13">
        <f>IF(Time!AB20&lt;Time!$F$12,0,AA43+Financials!AB14-AB41)</f>
        <v/>
      </c>
      <c r="AC43" s="13">
        <f>IF(Time!AC20&lt;Time!$F$12,0,AB43+Financials!AC14-AC41)</f>
        <v/>
      </c>
      <c r="AD43" s="13">
        <f>IF(Time!AD20&lt;Time!$F$12,0,AC43+Financials!AD14-AD41)</f>
        <v/>
      </c>
      <c r="AE43" s="13">
        <f>IF(Time!AE20&lt;Time!$F$12,0,AD43+Financials!AE14-AE41)</f>
        <v/>
      </c>
      <c r="AF43" s="13">
        <f>IF(Time!AF20&lt;Time!$F$12,0,AE43+Financials!AF14-AF41)</f>
        <v/>
      </c>
      <c r="AG43" s="13">
        <f>IF(Time!AG20&lt;Time!$F$12,0,AF43+Financials!AG14-AG41)</f>
        <v/>
      </c>
      <c r="AH43" s="13">
        <f>IF(Time!AH20&lt;Time!$F$12,0,AG43+Financials!AH14-AH41)</f>
        <v/>
      </c>
      <c r="AI43" s="13">
        <f>IF(Time!AI20&lt;Time!$F$12,0,AH43+Financials!AI14-AI41)</f>
        <v/>
      </c>
      <c r="AJ43" s="13">
        <f>IF(Time!AJ20&lt;Time!$F$12,0,AI43+Financials!AJ14-AJ41)</f>
        <v/>
      </c>
      <c r="AK43" s="13">
        <f>IF(Time!AK20&lt;Time!$F$12,0,AJ43+Financials!AK14-AK41)</f>
        <v/>
      </c>
      <c r="AL43" s="13">
        <f>IF(Time!AL20&lt;Time!$F$12,0,AK43+Financials!AL14-AL41)</f>
        <v/>
      </c>
      <c r="AM43" s="13">
        <f>IF(Time!AM20&lt;Time!$F$12,0,AL43+Financials!AM14-AM41)</f>
        <v/>
      </c>
      <c r="AN43" s="13">
        <f>IF(Time!AN20&lt;Time!$F$12,0,AM43+Financials!AN14-AN41)</f>
        <v/>
      </c>
      <c r="AO43" s="13">
        <f>IF(Time!AO20&lt;Time!$F$12,0,AN43+Financials!AO14-AO41)</f>
        <v/>
      </c>
      <c r="AP43" s="13">
        <f>IF(Time!AP20&lt;Time!$F$12,0,AO43+Financials!AP14-AP41)</f>
        <v/>
      </c>
      <c r="AQ43" s="13">
        <f>IF(Time!AQ20&lt;Time!$F$12,0,AP43+Financials!AQ14-AQ41)</f>
        <v/>
      </c>
      <c r="AR43" s="13">
        <f>IF(Time!AR20&lt;Time!$F$12,0,AQ43+Financials!AR14-AR41)</f>
        <v/>
      </c>
      <c r="AS43" s="13">
        <f>IF(Time!AS20&lt;Time!$F$12,0,AR43+Financials!AS14-AS41)</f>
        <v/>
      </c>
      <c r="AT43" s="13">
        <f>IF(Time!AT20&lt;Time!$F$12,0,AS43+Financials!AT14-AT41)</f>
        <v/>
      </c>
      <c r="AU43" s="13">
        <f>IF(Time!AU20&lt;Time!$F$12,0,AT43+Financials!AU14-AU41)</f>
        <v/>
      </c>
      <c r="AV43" s="13">
        <f>IF(Time!AV20&lt;Time!$F$12,0,AU43+Financials!AV14-AV41)</f>
        <v/>
      </c>
      <c r="AW43" s="13">
        <f>IF(Time!AW20&lt;Time!$F$12,0,AV43+Financials!AW14-AW41)</f>
        <v/>
      </c>
      <c r="AX43" s="13">
        <f>IF(Time!AX20&lt;Time!$F$12,0,AW43+Financials!AX14-AX41)</f>
        <v/>
      </c>
      <c r="AY43" s="13">
        <f>IF(Time!AY20&lt;Time!$F$12,0,AX43+Financials!AY14-AY41)</f>
        <v/>
      </c>
      <c r="AZ43" s="13">
        <f>IF(Time!AZ20&lt;Time!$F$12,0,AY43+Financials!AZ14-AZ41)</f>
        <v/>
      </c>
      <c r="BA43" s="13">
        <f>IF(Time!BA20&lt;Time!$F$12,0,AZ43+Financials!BA14-BA41)</f>
        <v/>
      </c>
      <c r="BB43" s="13">
        <f>IF(Time!BB20&lt;Time!$F$12,0,BA43+Financials!BB14-BB41)</f>
        <v/>
      </c>
      <c r="BC43" s="13">
        <f>IF(Time!BC20&lt;Time!$F$12,0,BB43+Financials!BC14-BC41)</f>
        <v/>
      </c>
      <c r="BD43" s="13">
        <f>IF(Time!BD20&lt;Time!$F$12,0,BC43+Financials!BD14-BD41)</f>
        <v/>
      </c>
      <c r="BE43" s="13">
        <f>IF(Time!BE20&lt;Time!$F$12,0,BD43+Financials!BE14-BE41)</f>
        <v/>
      </c>
      <c r="BF43" s="13">
        <f>IF(Time!BF20&lt;Time!$F$12,0,BE43+Financials!BF14-BF41)</f>
        <v/>
      </c>
      <c r="BG43" s="13">
        <f>IF(Time!BG20&lt;Time!$F$12,0,BF43+Financials!BG14-BG41)</f>
        <v/>
      </c>
      <c r="BH43" s="13">
        <f>IF(Time!BH20&lt;Time!$F$12,0,BG43+Financials!BH14-BH41)</f>
        <v/>
      </c>
      <c r="BI43" s="13">
        <f>IF(Time!BI20&lt;Time!$F$12,0,BH43+Financials!BI14-BI41)</f>
        <v/>
      </c>
      <c r="BJ43" s="13">
        <f>IF(Time!BJ20&lt;Time!$F$12,0,BI43+Financials!BJ14-BJ41)</f>
        <v/>
      </c>
      <c r="BK43" s="13">
        <f>IF(Time!BK20&lt;Time!$F$12,0,BJ43+Financials!BK14-BK41)</f>
        <v/>
      </c>
      <c r="BL43" s="13">
        <f>IF(Time!BL20&lt;Time!$F$12,0,BK43+Financials!BL14-BL41)</f>
        <v/>
      </c>
      <c r="BM43" s="13">
        <f>IF(Time!BM20&lt;Time!$F$12,0,BL43+Financials!BM14-BM41)</f>
        <v/>
      </c>
      <c r="BN43" s="13">
        <f>IF(Time!BN20&lt;Time!$F$12,0,BM43+Financials!BN14-BN41)</f>
        <v/>
      </c>
    </row>
    <row r="44">
      <c r="D44" t="inlineStr">
        <is>
          <t>Distributions to shareholders (SHL interest + principal + dividends)</t>
        </is>
      </c>
      <c r="E44" t="inlineStr">
        <is>
          <t>USD m</t>
        </is>
      </c>
      <c r="G44" s="13">
        <f>SUM(J44:BN44)</f>
        <v/>
      </c>
      <c r="J44" s="13">
        <f>J34+J35+J41</f>
        <v/>
      </c>
      <c r="K44" s="13">
        <f>K34+K35+K41</f>
        <v/>
      </c>
      <c r="L44" s="13">
        <f>L34+L35+L41</f>
        <v/>
      </c>
      <c r="M44" s="13">
        <f>M34+M35+M41</f>
        <v/>
      </c>
      <c r="N44" s="13">
        <f>N34+N35+N41</f>
        <v/>
      </c>
      <c r="O44" s="13">
        <f>O34+O35+O41</f>
        <v/>
      </c>
      <c r="P44" s="13">
        <f>P34+P35+P41</f>
        <v/>
      </c>
      <c r="Q44" s="13">
        <f>Q34+Q35+Q41</f>
        <v/>
      </c>
      <c r="R44" s="13">
        <f>R34+R35+R41</f>
        <v/>
      </c>
      <c r="S44" s="13">
        <f>S34+S35+S41</f>
        <v/>
      </c>
      <c r="T44" s="13">
        <f>T34+T35+T41</f>
        <v/>
      </c>
      <c r="U44" s="13">
        <f>U34+U35+U41</f>
        <v/>
      </c>
      <c r="V44" s="13">
        <f>V34+V35+V41</f>
        <v/>
      </c>
      <c r="W44" s="13">
        <f>W34+W35+W41</f>
        <v/>
      </c>
      <c r="X44" s="13">
        <f>X34+X35+X41</f>
        <v/>
      </c>
      <c r="Y44" s="13">
        <f>Y34+Y35+Y41</f>
        <v/>
      </c>
      <c r="Z44" s="13">
        <f>Z34+Z35+Z41</f>
        <v/>
      </c>
      <c r="AA44" s="13">
        <f>AA34+AA35+AA41</f>
        <v/>
      </c>
      <c r="AB44" s="13">
        <f>AB34+AB35+AB41</f>
        <v/>
      </c>
      <c r="AC44" s="13">
        <f>AC34+AC35+AC41</f>
        <v/>
      </c>
      <c r="AD44" s="13">
        <f>AD34+AD35+AD41</f>
        <v/>
      </c>
      <c r="AE44" s="13">
        <f>AE34+AE35+AE41</f>
        <v/>
      </c>
      <c r="AF44" s="13">
        <f>AF34+AF35+AF41</f>
        <v/>
      </c>
      <c r="AG44" s="13">
        <f>AG34+AG35+AG41</f>
        <v/>
      </c>
      <c r="AH44" s="13">
        <f>AH34+AH35+AH41</f>
        <v/>
      </c>
      <c r="AI44" s="13">
        <f>AI34+AI35+AI41</f>
        <v/>
      </c>
      <c r="AJ44" s="13">
        <f>AJ34+AJ35+AJ41</f>
        <v/>
      </c>
      <c r="AK44" s="13">
        <f>AK34+AK35+AK41</f>
        <v/>
      </c>
      <c r="AL44" s="13">
        <f>AL34+AL35+AL41</f>
        <v/>
      </c>
      <c r="AM44" s="13">
        <f>AM34+AM35+AM41</f>
        <v/>
      </c>
      <c r="AN44" s="13">
        <f>AN34+AN35+AN41</f>
        <v/>
      </c>
      <c r="AO44" s="13">
        <f>AO34+AO35+AO41</f>
        <v/>
      </c>
      <c r="AP44" s="13">
        <f>AP34+AP35+AP41</f>
        <v/>
      </c>
      <c r="AQ44" s="13">
        <f>AQ34+AQ35+AQ41</f>
        <v/>
      </c>
      <c r="AR44" s="13">
        <f>AR34+AR35+AR41</f>
        <v/>
      </c>
      <c r="AS44" s="13">
        <f>AS34+AS35+AS41</f>
        <v/>
      </c>
      <c r="AT44" s="13">
        <f>AT34+AT35+AT41</f>
        <v/>
      </c>
      <c r="AU44" s="13">
        <f>AU34+AU35+AU41</f>
        <v/>
      </c>
      <c r="AV44" s="13">
        <f>AV34+AV35+AV41</f>
        <v/>
      </c>
      <c r="AW44" s="13">
        <f>AW34+AW35+AW41</f>
        <v/>
      </c>
      <c r="AX44" s="13">
        <f>AX34+AX35+AX41</f>
        <v/>
      </c>
      <c r="AY44" s="13">
        <f>AY34+AY35+AY41</f>
        <v/>
      </c>
      <c r="AZ44" s="13">
        <f>AZ34+AZ35+AZ41</f>
        <v/>
      </c>
      <c r="BA44" s="13">
        <f>BA34+BA35+BA41</f>
        <v/>
      </c>
      <c r="BB44" s="13">
        <f>BB34+BB35+BB41</f>
        <v/>
      </c>
      <c r="BC44" s="13">
        <f>BC34+BC35+BC41</f>
        <v/>
      </c>
      <c r="BD44" s="13">
        <f>BD34+BD35+BD41</f>
        <v/>
      </c>
      <c r="BE44" s="13">
        <f>BE34+BE35+BE41</f>
        <v/>
      </c>
      <c r="BF44" s="13">
        <f>BF34+BF35+BF41</f>
        <v/>
      </c>
      <c r="BG44" s="13">
        <f>BG34+BG35+BG41</f>
        <v/>
      </c>
      <c r="BH44" s="13">
        <f>BH34+BH35+BH41</f>
        <v/>
      </c>
      <c r="BI44" s="13">
        <f>BI34+BI35+BI41</f>
        <v/>
      </c>
      <c r="BJ44" s="13">
        <f>BJ34+BJ35+BJ41</f>
        <v/>
      </c>
      <c r="BK44" s="13">
        <f>BK34+BK35+BK41</f>
        <v/>
      </c>
      <c r="BL44" s="13">
        <f>BL34+BL35+BL41</f>
        <v/>
      </c>
      <c r="BM44" s="13">
        <f>BM34+BM35+BM41</f>
        <v/>
      </c>
      <c r="BN44" s="13">
        <f>BN34+BN35+BN41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N52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Financials: income statement and balance sheet (IFRS basis, USD functional currency)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Income statement (USD m)</t>
        </is>
      </c>
    </row>
    <row r="8">
      <c r="D8" t="inlineStr">
        <is>
          <t>Book depreciation (straight line over the 25-year PPA term)</t>
        </is>
      </c>
      <c r="E8" t="inlineStr">
        <is>
          <t>USD m</t>
        </is>
      </c>
      <c r="G8" s="13">
        <f>SUM(J8:BN8)</f>
        <v/>
      </c>
      <c r="J8" s="13">
        <f>Funding!$F$76/Time!$F$9*Time!J30</f>
        <v/>
      </c>
      <c r="K8" s="13">
        <f>Funding!$F$76/Time!$F$9*Time!K30</f>
        <v/>
      </c>
      <c r="L8" s="13">
        <f>Funding!$F$76/Time!$F$9*Time!L30</f>
        <v/>
      </c>
      <c r="M8" s="13">
        <f>Funding!$F$76/Time!$F$9*Time!M30</f>
        <v/>
      </c>
      <c r="N8" s="13">
        <f>Funding!$F$76/Time!$F$9*Time!N30</f>
        <v/>
      </c>
      <c r="O8" s="13">
        <f>Funding!$F$76/Time!$F$9*Time!O30</f>
        <v/>
      </c>
      <c r="P8" s="13">
        <f>Funding!$F$76/Time!$F$9*Time!P30</f>
        <v/>
      </c>
      <c r="Q8" s="13">
        <f>Funding!$F$76/Time!$F$9*Time!Q30</f>
        <v/>
      </c>
      <c r="R8" s="13">
        <f>Funding!$F$76/Time!$F$9*Time!R30</f>
        <v/>
      </c>
      <c r="S8" s="13">
        <f>Funding!$F$76/Time!$F$9*Time!S30</f>
        <v/>
      </c>
      <c r="T8" s="13">
        <f>Funding!$F$76/Time!$F$9*Time!T30</f>
        <v/>
      </c>
      <c r="U8" s="13">
        <f>Funding!$F$76/Time!$F$9*Time!U30</f>
        <v/>
      </c>
      <c r="V8" s="13">
        <f>Funding!$F$76/Time!$F$9*Time!V30</f>
        <v/>
      </c>
      <c r="W8" s="13">
        <f>Funding!$F$76/Time!$F$9*Time!W30</f>
        <v/>
      </c>
      <c r="X8" s="13">
        <f>Funding!$F$76/Time!$F$9*Time!X30</f>
        <v/>
      </c>
      <c r="Y8" s="13">
        <f>Funding!$F$76/Time!$F$9*Time!Y30</f>
        <v/>
      </c>
      <c r="Z8" s="13">
        <f>Funding!$F$76/Time!$F$9*Time!Z30</f>
        <v/>
      </c>
      <c r="AA8" s="13">
        <f>Funding!$F$76/Time!$F$9*Time!AA30</f>
        <v/>
      </c>
      <c r="AB8" s="13">
        <f>Funding!$F$76/Time!$F$9*Time!AB30</f>
        <v/>
      </c>
      <c r="AC8" s="13">
        <f>Funding!$F$76/Time!$F$9*Time!AC30</f>
        <v/>
      </c>
      <c r="AD8" s="13">
        <f>Funding!$F$76/Time!$F$9*Time!AD30</f>
        <v/>
      </c>
      <c r="AE8" s="13">
        <f>Funding!$F$76/Time!$F$9*Time!AE30</f>
        <v/>
      </c>
      <c r="AF8" s="13">
        <f>Funding!$F$76/Time!$F$9*Time!AF30</f>
        <v/>
      </c>
      <c r="AG8" s="13">
        <f>Funding!$F$76/Time!$F$9*Time!AG30</f>
        <v/>
      </c>
      <c r="AH8" s="13">
        <f>Funding!$F$76/Time!$F$9*Time!AH30</f>
        <v/>
      </c>
      <c r="AI8" s="13">
        <f>Funding!$F$76/Time!$F$9*Time!AI30</f>
        <v/>
      </c>
      <c r="AJ8" s="13">
        <f>Funding!$F$76/Time!$F$9*Time!AJ30</f>
        <v/>
      </c>
      <c r="AK8" s="13">
        <f>Funding!$F$76/Time!$F$9*Time!AK30</f>
        <v/>
      </c>
      <c r="AL8" s="13">
        <f>Funding!$F$76/Time!$F$9*Time!AL30</f>
        <v/>
      </c>
      <c r="AM8" s="13">
        <f>Funding!$F$76/Time!$F$9*Time!AM30</f>
        <v/>
      </c>
      <c r="AN8" s="13">
        <f>Funding!$F$76/Time!$F$9*Time!AN30</f>
        <v/>
      </c>
      <c r="AO8" s="13">
        <f>Funding!$F$76/Time!$F$9*Time!AO30</f>
        <v/>
      </c>
      <c r="AP8" s="13">
        <f>Funding!$F$76/Time!$F$9*Time!AP30</f>
        <v/>
      </c>
      <c r="AQ8" s="13">
        <f>Funding!$F$76/Time!$F$9*Time!AQ30</f>
        <v/>
      </c>
      <c r="AR8" s="13">
        <f>Funding!$F$76/Time!$F$9*Time!AR30</f>
        <v/>
      </c>
      <c r="AS8" s="13">
        <f>Funding!$F$76/Time!$F$9*Time!AS30</f>
        <v/>
      </c>
      <c r="AT8" s="13">
        <f>Funding!$F$76/Time!$F$9*Time!AT30</f>
        <v/>
      </c>
      <c r="AU8" s="13">
        <f>Funding!$F$76/Time!$F$9*Time!AU30</f>
        <v/>
      </c>
      <c r="AV8" s="13">
        <f>Funding!$F$76/Time!$F$9*Time!AV30</f>
        <v/>
      </c>
      <c r="AW8" s="13">
        <f>Funding!$F$76/Time!$F$9*Time!AW30</f>
        <v/>
      </c>
      <c r="AX8" s="13">
        <f>Funding!$F$76/Time!$F$9*Time!AX30</f>
        <v/>
      </c>
      <c r="AY8" s="13">
        <f>Funding!$F$76/Time!$F$9*Time!AY30</f>
        <v/>
      </c>
      <c r="AZ8" s="13">
        <f>Funding!$F$76/Time!$F$9*Time!AZ30</f>
        <v/>
      </c>
      <c r="BA8" s="13">
        <f>Funding!$F$76/Time!$F$9*Time!BA30</f>
        <v/>
      </c>
      <c r="BB8" s="13">
        <f>Funding!$F$76/Time!$F$9*Time!BB30</f>
        <v/>
      </c>
      <c r="BC8" s="13">
        <f>Funding!$F$76/Time!$F$9*Time!BC30</f>
        <v/>
      </c>
      <c r="BD8" s="13">
        <f>Funding!$F$76/Time!$F$9*Time!BD30</f>
        <v/>
      </c>
      <c r="BE8" s="13">
        <f>Funding!$F$76/Time!$F$9*Time!BE30</f>
        <v/>
      </c>
      <c r="BF8" s="13">
        <f>Funding!$F$76/Time!$F$9*Time!BF30</f>
        <v/>
      </c>
      <c r="BG8" s="13">
        <f>Funding!$F$76/Time!$F$9*Time!BG30</f>
        <v/>
      </c>
      <c r="BH8" s="13">
        <f>Funding!$F$76/Time!$F$9*Time!BH30</f>
        <v/>
      </c>
      <c r="BI8" s="13">
        <f>Funding!$F$76/Time!$F$9*Time!BI30</f>
        <v/>
      </c>
      <c r="BJ8" s="13">
        <f>Funding!$F$76/Time!$F$9*Time!BJ30</f>
        <v/>
      </c>
      <c r="BK8" s="13">
        <f>Funding!$F$76/Time!$F$9*Time!BK30</f>
        <v/>
      </c>
      <c r="BL8" s="13">
        <f>Funding!$F$76/Time!$F$9*Time!BL30</f>
        <v/>
      </c>
      <c r="BM8" s="13">
        <f>Funding!$F$76/Time!$F$9*Time!BM30</f>
        <v/>
      </c>
      <c r="BN8" s="13">
        <f>Funding!$F$76/Time!$F$9*Time!BN30</f>
        <v/>
      </c>
    </row>
    <row r="9">
      <c r="D9" t="inlineStr">
        <is>
          <t>Finance costs (senior, swap, PRI, PCG, fees, SHL interest)</t>
        </is>
      </c>
      <c r="E9" t="inlineStr">
        <is>
          <t>USD m</t>
        </is>
      </c>
      <c r="G9" s="13">
        <f>SUM(J9:BN9)</f>
        <v/>
      </c>
      <c r="J9" s="13">
        <f>Debt!J112+Debt!J110+Debt!J104-Debt!J103+Tax!J13</f>
        <v/>
      </c>
      <c r="K9" s="13">
        <f>Debt!K112+Debt!K110+Debt!K104-Debt!K103+Tax!K13</f>
        <v/>
      </c>
      <c r="L9" s="13">
        <f>Debt!L112+Debt!L110+Debt!L104-Debt!L103+Tax!L13</f>
        <v/>
      </c>
      <c r="M9" s="13">
        <f>Debt!M112+Debt!M110+Debt!M104-Debt!M103+Tax!M13</f>
        <v/>
      </c>
      <c r="N9" s="13">
        <f>Debt!N112+Debt!N110+Debt!N104-Debt!N103+Tax!N13</f>
        <v/>
      </c>
      <c r="O9" s="13">
        <f>Debt!O112+Debt!O110+Debt!O104-Debt!O103+Tax!O13</f>
        <v/>
      </c>
      <c r="P9" s="13">
        <f>Debt!P112+Debt!P110+Debt!P104-Debt!P103+Tax!P13</f>
        <v/>
      </c>
      <c r="Q9" s="13">
        <f>Debt!Q112+Debt!Q110+Debt!Q104-Debt!Q103+Tax!Q13</f>
        <v/>
      </c>
      <c r="R9" s="13">
        <f>Debt!R112+Debt!R110+Debt!R104-Debt!R103+Tax!R13</f>
        <v/>
      </c>
      <c r="S9" s="13">
        <f>Debt!S112+Debt!S110+Debt!S104-Debt!S103+Tax!S13</f>
        <v/>
      </c>
      <c r="T9" s="13">
        <f>Debt!T112+Debt!T110+Debt!T104-Debt!T103+Tax!T13</f>
        <v/>
      </c>
      <c r="U9" s="13">
        <f>Debt!U112+Debt!U110+Debt!U104-Debt!U103+Tax!U13</f>
        <v/>
      </c>
      <c r="V9" s="13">
        <f>Debt!V112+Debt!V110+Debt!V104-Debt!V103+Tax!V13</f>
        <v/>
      </c>
      <c r="W9" s="13">
        <f>Debt!W112+Debt!W110+Debt!W104-Debt!W103+Tax!W13</f>
        <v/>
      </c>
      <c r="X9" s="13">
        <f>Debt!X112+Debt!X110+Debt!X104-Debt!X103+Tax!X13</f>
        <v/>
      </c>
      <c r="Y9" s="13">
        <f>Debt!Y112+Debt!Y110+Debt!Y104-Debt!Y103+Tax!Y13</f>
        <v/>
      </c>
      <c r="Z9" s="13">
        <f>Debt!Z112+Debt!Z110+Debt!Z104-Debt!Z103+Tax!Z13</f>
        <v/>
      </c>
      <c r="AA9" s="13">
        <f>Debt!AA112+Debt!AA110+Debt!AA104-Debt!AA103+Tax!AA13</f>
        <v/>
      </c>
      <c r="AB9" s="13">
        <f>Debt!AB112+Debt!AB110+Debt!AB104-Debt!AB103+Tax!AB13</f>
        <v/>
      </c>
      <c r="AC9" s="13">
        <f>Debt!AC112+Debt!AC110+Debt!AC104-Debt!AC103+Tax!AC13</f>
        <v/>
      </c>
      <c r="AD9" s="13">
        <f>Debt!AD112+Debt!AD110+Debt!AD104-Debt!AD103+Tax!AD13</f>
        <v/>
      </c>
      <c r="AE9" s="13">
        <f>Debt!AE112+Debt!AE110+Debt!AE104-Debt!AE103+Tax!AE13</f>
        <v/>
      </c>
      <c r="AF9" s="13">
        <f>Debt!AF112+Debt!AF110+Debt!AF104-Debt!AF103+Tax!AF13</f>
        <v/>
      </c>
      <c r="AG9" s="13">
        <f>Debt!AG112+Debt!AG110+Debt!AG104-Debt!AG103+Tax!AG13</f>
        <v/>
      </c>
      <c r="AH9" s="13">
        <f>Debt!AH112+Debt!AH110+Debt!AH104-Debt!AH103+Tax!AH13</f>
        <v/>
      </c>
      <c r="AI9" s="13">
        <f>Debt!AI112+Debt!AI110+Debt!AI104-Debt!AI103+Tax!AI13</f>
        <v/>
      </c>
      <c r="AJ9" s="13">
        <f>Debt!AJ112+Debt!AJ110+Debt!AJ104-Debt!AJ103+Tax!AJ13</f>
        <v/>
      </c>
      <c r="AK9" s="13">
        <f>Debt!AK112+Debt!AK110+Debt!AK104-Debt!AK103+Tax!AK13</f>
        <v/>
      </c>
      <c r="AL9" s="13">
        <f>Debt!AL112+Debt!AL110+Debt!AL104-Debt!AL103+Tax!AL13</f>
        <v/>
      </c>
      <c r="AM9" s="13">
        <f>Debt!AM112+Debt!AM110+Debt!AM104-Debt!AM103+Tax!AM13</f>
        <v/>
      </c>
      <c r="AN9" s="13">
        <f>Debt!AN112+Debt!AN110+Debt!AN104-Debt!AN103+Tax!AN13</f>
        <v/>
      </c>
      <c r="AO9" s="13">
        <f>Debt!AO112+Debt!AO110+Debt!AO104-Debt!AO103+Tax!AO13</f>
        <v/>
      </c>
      <c r="AP9" s="13">
        <f>Debt!AP112+Debt!AP110+Debt!AP104-Debt!AP103+Tax!AP13</f>
        <v/>
      </c>
      <c r="AQ9" s="13">
        <f>Debt!AQ112+Debt!AQ110+Debt!AQ104-Debt!AQ103+Tax!AQ13</f>
        <v/>
      </c>
      <c r="AR9" s="13">
        <f>Debt!AR112+Debt!AR110+Debt!AR104-Debt!AR103+Tax!AR13</f>
        <v/>
      </c>
      <c r="AS9" s="13">
        <f>Debt!AS112+Debt!AS110+Debt!AS104-Debt!AS103+Tax!AS13</f>
        <v/>
      </c>
      <c r="AT9" s="13">
        <f>Debt!AT112+Debt!AT110+Debt!AT104-Debt!AT103+Tax!AT13</f>
        <v/>
      </c>
      <c r="AU9" s="13">
        <f>Debt!AU112+Debt!AU110+Debt!AU104-Debt!AU103+Tax!AU13</f>
        <v/>
      </c>
      <c r="AV9" s="13">
        <f>Debt!AV112+Debt!AV110+Debt!AV104-Debt!AV103+Tax!AV13</f>
        <v/>
      </c>
      <c r="AW9" s="13">
        <f>Debt!AW112+Debt!AW110+Debt!AW104-Debt!AW103+Tax!AW13</f>
        <v/>
      </c>
      <c r="AX9" s="13">
        <f>Debt!AX112+Debt!AX110+Debt!AX104-Debt!AX103+Tax!AX13</f>
        <v/>
      </c>
      <c r="AY9" s="13">
        <f>Debt!AY112+Debt!AY110+Debt!AY104-Debt!AY103+Tax!AY13</f>
        <v/>
      </c>
      <c r="AZ9" s="13">
        <f>Debt!AZ112+Debt!AZ110+Debt!AZ104-Debt!AZ103+Tax!AZ13</f>
        <v/>
      </c>
      <c r="BA9" s="13">
        <f>Debt!BA112+Debt!BA110+Debt!BA104-Debt!BA103+Tax!BA13</f>
        <v/>
      </c>
      <c r="BB9" s="13">
        <f>Debt!BB112+Debt!BB110+Debt!BB104-Debt!BB103+Tax!BB13</f>
        <v/>
      </c>
      <c r="BC9" s="13">
        <f>Debt!BC112+Debt!BC110+Debt!BC104-Debt!BC103+Tax!BC13</f>
        <v/>
      </c>
      <c r="BD9" s="13">
        <f>Debt!BD112+Debt!BD110+Debt!BD104-Debt!BD103+Tax!BD13</f>
        <v/>
      </c>
      <c r="BE9" s="13">
        <f>Debt!BE112+Debt!BE110+Debt!BE104-Debt!BE103+Tax!BE13</f>
        <v/>
      </c>
      <c r="BF9" s="13">
        <f>Debt!BF112+Debt!BF110+Debt!BF104-Debt!BF103+Tax!BF13</f>
        <v/>
      </c>
      <c r="BG9" s="13">
        <f>Debt!BG112+Debt!BG110+Debt!BG104-Debt!BG103+Tax!BG13</f>
        <v/>
      </c>
      <c r="BH9" s="13">
        <f>Debt!BH112+Debt!BH110+Debt!BH104-Debt!BH103+Tax!BH13</f>
        <v/>
      </c>
      <c r="BI9" s="13">
        <f>Debt!BI112+Debt!BI110+Debt!BI104-Debt!BI103+Tax!BI13</f>
        <v/>
      </c>
      <c r="BJ9" s="13">
        <f>Debt!BJ112+Debt!BJ110+Debt!BJ104-Debt!BJ103+Tax!BJ13</f>
        <v/>
      </c>
      <c r="BK9" s="13">
        <f>Debt!BK112+Debt!BK110+Debt!BK104-Debt!BK103+Tax!BK13</f>
        <v/>
      </c>
      <c r="BL9" s="13">
        <f>Debt!BL112+Debt!BL110+Debt!BL104-Debt!BL103+Tax!BL13</f>
        <v/>
      </c>
      <c r="BM9" s="13">
        <f>Debt!BM112+Debt!BM110+Debt!BM104-Debt!BM103+Tax!BM13</f>
        <v/>
      </c>
      <c r="BN9" s="13">
        <f>Debt!BN112+Debt!BN110+Debt!BN104-Debt!BN103+Tax!BN13</f>
        <v/>
      </c>
    </row>
    <row r="10">
      <c r="D10" t="inlineStr">
        <is>
          <t>Tax written-down value</t>
        </is>
      </c>
      <c r="E10" t="inlineStr">
        <is>
          <t>USD m</t>
        </is>
      </c>
      <c r="J10" s="13">
        <f>Funding!$F$76-SUM(Tax!J$10:J$10)</f>
        <v/>
      </c>
      <c r="K10" s="13">
        <f>Funding!$F$76-SUM(Tax!$J$10:K$10)</f>
        <v/>
      </c>
      <c r="L10" s="13">
        <f>Funding!$F$76-SUM(Tax!$J$10:L$10)</f>
        <v/>
      </c>
      <c r="M10" s="13">
        <f>Funding!$F$76-SUM(Tax!$J$10:M$10)</f>
        <v/>
      </c>
      <c r="N10" s="13">
        <f>Funding!$F$76-SUM(Tax!$J$10:N$10)</f>
        <v/>
      </c>
      <c r="O10" s="13">
        <f>Funding!$F$76-SUM(Tax!$J$10:O$10)</f>
        <v/>
      </c>
      <c r="P10" s="13">
        <f>Funding!$F$76-SUM(Tax!$J$10:P$10)</f>
        <v/>
      </c>
      <c r="Q10" s="13">
        <f>Funding!$F$76-SUM(Tax!$J$10:Q$10)</f>
        <v/>
      </c>
      <c r="R10" s="13">
        <f>Funding!$F$76-SUM(Tax!$J$10:R$10)</f>
        <v/>
      </c>
      <c r="S10" s="13">
        <f>Funding!$F$76-SUM(Tax!$J$10:S$10)</f>
        <v/>
      </c>
      <c r="T10" s="13">
        <f>Funding!$F$76-SUM(Tax!$J$10:T$10)</f>
        <v/>
      </c>
      <c r="U10" s="13">
        <f>Funding!$F$76-SUM(Tax!$J$10:U$10)</f>
        <v/>
      </c>
      <c r="V10" s="13">
        <f>Funding!$F$76-SUM(Tax!$J$10:V$10)</f>
        <v/>
      </c>
      <c r="W10" s="13">
        <f>Funding!$F$76-SUM(Tax!$J$10:W$10)</f>
        <v/>
      </c>
      <c r="X10" s="13">
        <f>Funding!$F$76-SUM(Tax!$J$10:X$10)</f>
        <v/>
      </c>
      <c r="Y10" s="13">
        <f>Funding!$F$76-SUM(Tax!$J$10:Y$10)</f>
        <v/>
      </c>
      <c r="Z10" s="13">
        <f>Funding!$F$76-SUM(Tax!$J$10:Z$10)</f>
        <v/>
      </c>
      <c r="AA10" s="13">
        <f>Funding!$F$76-SUM(Tax!$J$10:AA$10)</f>
        <v/>
      </c>
      <c r="AB10" s="13">
        <f>Funding!$F$76-SUM(Tax!$J$10:AB$10)</f>
        <v/>
      </c>
      <c r="AC10" s="13">
        <f>Funding!$F$76-SUM(Tax!$J$10:AC$10)</f>
        <v/>
      </c>
      <c r="AD10" s="13">
        <f>Funding!$F$76-SUM(Tax!$J$10:AD$10)</f>
        <v/>
      </c>
      <c r="AE10" s="13">
        <f>Funding!$F$76-SUM(Tax!$J$10:AE$10)</f>
        <v/>
      </c>
      <c r="AF10" s="13">
        <f>Funding!$F$76-SUM(Tax!$J$10:AF$10)</f>
        <v/>
      </c>
      <c r="AG10" s="13">
        <f>Funding!$F$76-SUM(Tax!$J$10:AG$10)</f>
        <v/>
      </c>
      <c r="AH10" s="13">
        <f>Funding!$F$76-SUM(Tax!$J$10:AH$10)</f>
        <v/>
      </c>
      <c r="AI10" s="13">
        <f>Funding!$F$76-SUM(Tax!$J$10:AI$10)</f>
        <v/>
      </c>
      <c r="AJ10" s="13">
        <f>Funding!$F$76-SUM(Tax!$J$10:AJ$10)</f>
        <v/>
      </c>
      <c r="AK10" s="13">
        <f>Funding!$F$76-SUM(Tax!$J$10:AK$10)</f>
        <v/>
      </c>
      <c r="AL10" s="13">
        <f>Funding!$F$76-SUM(Tax!$J$10:AL$10)</f>
        <v/>
      </c>
      <c r="AM10" s="13">
        <f>Funding!$F$76-SUM(Tax!$J$10:AM$10)</f>
        <v/>
      </c>
      <c r="AN10" s="13">
        <f>Funding!$F$76-SUM(Tax!$J$10:AN$10)</f>
        <v/>
      </c>
      <c r="AO10" s="13">
        <f>Funding!$F$76-SUM(Tax!$J$10:AO$10)</f>
        <v/>
      </c>
      <c r="AP10" s="13">
        <f>Funding!$F$76-SUM(Tax!$J$10:AP$10)</f>
        <v/>
      </c>
      <c r="AQ10" s="13">
        <f>Funding!$F$76-SUM(Tax!$J$10:AQ$10)</f>
        <v/>
      </c>
      <c r="AR10" s="13">
        <f>Funding!$F$76-SUM(Tax!$J$10:AR$10)</f>
        <v/>
      </c>
      <c r="AS10" s="13">
        <f>Funding!$F$76-SUM(Tax!$J$10:AS$10)</f>
        <v/>
      </c>
      <c r="AT10" s="13">
        <f>Funding!$F$76-SUM(Tax!$J$10:AT$10)</f>
        <v/>
      </c>
      <c r="AU10" s="13">
        <f>Funding!$F$76-SUM(Tax!$J$10:AU$10)</f>
        <v/>
      </c>
      <c r="AV10" s="13">
        <f>Funding!$F$76-SUM(Tax!$J$10:AV$10)</f>
        <v/>
      </c>
      <c r="AW10" s="13">
        <f>Funding!$F$76-SUM(Tax!$J$10:AW$10)</f>
        <v/>
      </c>
      <c r="AX10" s="13">
        <f>Funding!$F$76-SUM(Tax!$J$10:AX$10)</f>
        <v/>
      </c>
      <c r="AY10" s="13">
        <f>Funding!$F$76-SUM(Tax!$J$10:AY$10)</f>
        <v/>
      </c>
      <c r="AZ10" s="13">
        <f>Funding!$F$76-SUM(Tax!$J$10:AZ$10)</f>
        <v/>
      </c>
      <c r="BA10" s="13">
        <f>Funding!$F$76-SUM(Tax!$J$10:BA$10)</f>
        <v/>
      </c>
      <c r="BB10" s="13">
        <f>Funding!$F$76-SUM(Tax!$J$10:BB$10)</f>
        <v/>
      </c>
      <c r="BC10" s="13">
        <f>Funding!$F$76-SUM(Tax!$J$10:BC$10)</f>
        <v/>
      </c>
      <c r="BD10" s="13">
        <f>Funding!$F$76-SUM(Tax!$J$10:BD$10)</f>
        <v/>
      </c>
      <c r="BE10" s="13">
        <f>Funding!$F$76-SUM(Tax!$J$10:BE$10)</f>
        <v/>
      </c>
      <c r="BF10" s="13">
        <f>Funding!$F$76-SUM(Tax!$J$10:BF$10)</f>
        <v/>
      </c>
      <c r="BG10" s="13">
        <f>Funding!$F$76-SUM(Tax!$J$10:BG$10)</f>
        <v/>
      </c>
      <c r="BH10" s="13">
        <f>Funding!$F$76-SUM(Tax!$J$10:BH$10)</f>
        <v/>
      </c>
      <c r="BI10" s="13">
        <f>Funding!$F$76-SUM(Tax!$J$10:BI$10)</f>
        <v/>
      </c>
      <c r="BJ10" s="13">
        <f>Funding!$F$76-SUM(Tax!$J$10:BJ$10)</f>
        <v/>
      </c>
      <c r="BK10" s="13">
        <f>Funding!$F$76-SUM(Tax!$J$10:BK$10)</f>
        <v/>
      </c>
      <c r="BL10" s="13">
        <f>Funding!$F$76-SUM(Tax!$J$10:BL$10)</f>
        <v/>
      </c>
      <c r="BM10" s="13">
        <f>Funding!$F$76-SUM(Tax!$J$10:BM$10)</f>
        <v/>
      </c>
      <c r="BN10" s="13">
        <f>Funding!$F$76-SUM(Tax!$J$10:BN$10)</f>
        <v/>
      </c>
    </row>
    <row r="11">
      <c r="D11" t="inlineStr">
        <is>
          <t>Book value of plant (from COD)</t>
        </is>
      </c>
      <c r="E11" t="inlineStr">
        <is>
          <t>USD m</t>
        </is>
      </c>
      <c r="J11" s="13">
        <f>Funding!$F$76-SUM(J$8:J$8)</f>
        <v/>
      </c>
      <c r="K11" s="13">
        <f>Funding!$F$76-SUM($J$8:K$8)</f>
        <v/>
      </c>
      <c r="L11" s="13">
        <f>Funding!$F$76-SUM($J$8:L$8)</f>
        <v/>
      </c>
      <c r="M11" s="13">
        <f>Funding!$F$76-SUM($J$8:M$8)</f>
        <v/>
      </c>
      <c r="N11" s="13">
        <f>Funding!$F$76-SUM($J$8:N$8)</f>
        <v/>
      </c>
      <c r="O11" s="13">
        <f>Funding!$F$76-SUM($J$8:O$8)</f>
        <v/>
      </c>
      <c r="P11" s="13">
        <f>Funding!$F$76-SUM($J$8:P$8)</f>
        <v/>
      </c>
      <c r="Q11" s="13">
        <f>Funding!$F$76-SUM($J$8:Q$8)</f>
        <v/>
      </c>
      <c r="R11" s="13">
        <f>Funding!$F$76-SUM($J$8:R$8)</f>
        <v/>
      </c>
      <c r="S11" s="13">
        <f>Funding!$F$76-SUM($J$8:S$8)</f>
        <v/>
      </c>
      <c r="T11" s="13">
        <f>Funding!$F$76-SUM($J$8:T$8)</f>
        <v/>
      </c>
      <c r="U11" s="13">
        <f>Funding!$F$76-SUM($J$8:U$8)</f>
        <v/>
      </c>
      <c r="V11" s="13">
        <f>Funding!$F$76-SUM($J$8:V$8)</f>
        <v/>
      </c>
      <c r="W11" s="13">
        <f>Funding!$F$76-SUM($J$8:W$8)</f>
        <v/>
      </c>
      <c r="X11" s="13">
        <f>Funding!$F$76-SUM($J$8:X$8)</f>
        <v/>
      </c>
      <c r="Y11" s="13">
        <f>Funding!$F$76-SUM($J$8:Y$8)</f>
        <v/>
      </c>
      <c r="Z11" s="13">
        <f>Funding!$F$76-SUM($J$8:Z$8)</f>
        <v/>
      </c>
      <c r="AA11" s="13">
        <f>Funding!$F$76-SUM($J$8:AA$8)</f>
        <v/>
      </c>
      <c r="AB11" s="13">
        <f>Funding!$F$76-SUM($J$8:AB$8)</f>
        <v/>
      </c>
      <c r="AC11" s="13">
        <f>Funding!$F$76-SUM($J$8:AC$8)</f>
        <v/>
      </c>
      <c r="AD11" s="13">
        <f>Funding!$F$76-SUM($J$8:AD$8)</f>
        <v/>
      </c>
      <c r="AE11" s="13">
        <f>Funding!$F$76-SUM($J$8:AE$8)</f>
        <v/>
      </c>
      <c r="AF11" s="13">
        <f>Funding!$F$76-SUM($J$8:AF$8)</f>
        <v/>
      </c>
      <c r="AG11" s="13">
        <f>Funding!$F$76-SUM($J$8:AG$8)</f>
        <v/>
      </c>
      <c r="AH11" s="13">
        <f>Funding!$F$76-SUM($J$8:AH$8)</f>
        <v/>
      </c>
      <c r="AI11" s="13">
        <f>Funding!$F$76-SUM($J$8:AI$8)</f>
        <v/>
      </c>
      <c r="AJ11" s="13">
        <f>Funding!$F$76-SUM($J$8:AJ$8)</f>
        <v/>
      </c>
      <c r="AK11" s="13">
        <f>Funding!$F$76-SUM($J$8:AK$8)</f>
        <v/>
      </c>
      <c r="AL11" s="13">
        <f>Funding!$F$76-SUM($J$8:AL$8)</f>
        <v/>
      </c>
      <c r="AM11" s="13">
        <f>Funding!$F$76-SUM($J$8:AM$8)</f>
        <v/>
      </c>
      <c r="AN11" s="13">
        <f>Funding!$F$76-SUM($J$8:AN$8)</f>
        <v/>
      </c>
      <c r="AO11" s="13">
        <f>Funding!$F$76-SUM($J$8:AO$8)</f>
        <v/>
      </c>
      <c r="AP11" s="13">
        <f>Funding!$F$76-SUM($J$8:AP$8)</f>
        <v/>
      </c>
      <c r="AQ11" s="13">
        <f>Funding!$F$76-SUM($J$8:AQ$8)</f>
        <v/>
      </c>
      <c r="AR11" s="13">
        <f>Funding!$F$76-SUM($J$8:AR$8)</f>
        <v/>
      </c>
      <c r="AS11" s="13">
        <f>Funding!$F$76-SUM($J$8:AS$8)</f>
        <v/>
      </c>
      <c r="AT11" s="13">
        <f>Funding!$F$76-SUM($J$8:AT$8)</f>
        <v/>
      </c>
      <c r="AU11" s="13">
        <f>Funding!$F$76-SUM($J$8:AU$8)</f>
        <v/>
      </c>
      <c r="AV11" s="13">
        <f>Funding!$F$76-SUM($J$8:AV$8)</f>
        <v/>
      </c>
      <c r="AW11" s="13">
        <f>Funding!$F$76-SUM($J$8:AW$8)</f>
        <v/>
      </c>
      <c r="AX11" s="13">
        <f>Funding!$F$76-SUM($J$8:AX$8)</f>
        <v/>
      </c>
      <c r="AY11" s="13">
        <f>Funding!$F$76-SUM($J$8:AY$8)</f>
        <v/>
      </c>
      <c r="AZ11" s="13">
        <f>Funding!$F$76-SUM($J$8:AZ$8)</f>
        <v/>
      </c>
      <c r="BA11" s="13">
        <f>Funding!$F$76-SUM($J$8:BA$8)</f>
        <v/>
      </c>
      <c r="BB11" s="13">
        <f>Funding!$F$76-SUM($J$8:BB$8)</f>
        <v/>
      </c>
      <c r="BC11" s="13">
        <f>Funding!$F$76-SUM($J$8:BC$8)</f>
        <v/>
      </c>
      <c r="BD11" s="13">
        <f>Funding!$F$76-SUM($J$8:BD$8)</f>
        <v/>
      </c>
      <c r="BE11" s="13">
        <f>Funding!$F$76-SUM($J$8:BE$8)</f>
        <v/>
      </c>
      <c r="BF11" s="13">
        <f>Funding!$F$76-SUM($J$8:BF$8)</f>
        <v/>
      </c>
      <c r="BG11" s="13">
        <f>Funding!$F$76-SUM($J$8:BG$8)</f>
        <v/>
      </c>
      <c r="BH11" s="13">
        <f>Funding!$F$76-SUM($J$8:BH$8)</f>
        <v/>
      </c>
      <c r="BI11" s="13">
        <f>Funding!$F$76-SUM($J$8:BI$8)</f>
        <v/>
      </c>
      <c r="BJ11" s="13">
        <f>Funding!$F$76-SUM($J$8:BJ$8)</f>
        <v/>
      </c>
      <c r="BK11" s="13">
        <f>Funding!$F$76-SUM($J$8:BK$8)</f>
        <v/>
      </c>
      <c r="BL11" s="13">
        <f>Funding!$F$76-SUM($J$8:BL$8)</f>
        <v/>
      </c>
      <c r="BM11" s="13">
        <f>Funding!$F$76-SUM($J$8:BM$8)</f>
        <v/>
      </c>
      <c r="BN11" s="13">
        <f>Funding!$F$76-SUM($J$8:BN$8)</f>
        <v/>
      </c>
    </row>
    <row r="12">
      <c r="D12" t="inlineStr">
        <is>
          <t>Deferred tax liability (asset if negative)</t>
        </is>
      </c>
      <c r="E12" t="inlineStr">
        <is>
          <t>USD m</t>
        </is>
      </c>
      <c r="J12" s="13">
        <f>IF(Time!J20&gt;=Time!$F$12,Inputs!$F$184/100*(J11-J10-Tax!J21),0)</f>
        <v/>
      </c>
      <c r="K12" s="13">
        <f>IF(Time!K20&gt;=Time!$F$12,Inputs!$F$184/100*(K11-K10-Tax!K21),0)</f>
        <v/>
      </c>
      <c r="L12" s="13">
        <f>IF(Time!L20&gt;=Time!$F$12,Inputs!$F$184/100*(L11-L10-Tax!L21),0)</f>
        <v/>
      </c>
      <c r="M12" s="13">
        <f>IF(Time!M20&gt;=Time!$F$12,Inputs!$F$184/100*(M11-M10-Tax!M21),0)</f>
        <v/>
      </c>
      <c r="N12" s="13">
        <f>IF(Time!N20&gt;=Time!$F$12,Inputs!$F$184/100*(N11-N10-Tax!N21),0)</f>
        <v/>
      </c>
      <c r="O12" s="13">
        <f>IF(Time!O20&gt;=Time!$F$12,Inputs!$F$184/100*(O11-O10-Tax!O21),0)</f>
        <v/>
      </c>
      <c r="P12" s="13">
        <f>IF(Time!P20&gt;=Time!$F$12,Inputs!$F$184/100*(P11-P10-Tax!P21),0)</f>
        <v/>
      </c>
      <c r="Q12" s="13">
        <f>IF(Time!Q20&gt;=Time!$F$12,Inputs!$F$184/100*(Q11-Q10-Tax!Q21),0)</f>
        <v/>
      </c>
      <c r="R12" s="13">
        <f>IF(Time!R20&gt;=Time!$F$12,Inputs!$F$184/100*(R11-R10-Tax!R21),0)</f>
        <v/>
      </c>
      <c r="S12" s="13">
        <f>IF(Time!S20&gt;=Time!$F$12,Inputs!$F$184/100*(S11-S10-Tax!S21),0)</f>
        <v/>
      </c>
      <c r="T12" s="13">
        <f>IF(Time!T20&gt;=Time!$F$12,Inputs!$F$184/100*(T11-T10-Tax!T21),0)</f>
        <v/>
      </c>
      <c r="U12" s="13">
        <f>IF(Time!U20&gt;=Time!$F$12,Inputs!$F$184/100*(U11-U10-Tax!U21),0)</f>
        <v/>
      </c>
      <c r="V12" s="13">
        <f>IF(Time!V20&gt;=Time!$F$12,Inputs!$F$184/100*(V11-V10-Tax!V21),0)</f>
        <v/>
      </c>
      <c r="W12" s="13">
        <f>IF(Time!W20&gt;=Time!$F$12,Inputs!$F$184/100*(W11-W10-Tax!W21),0)</f>
        <v/>
      </c>
      <c r="X12" s="13">
        <f>IF(Time!X20&gt;=Time!$F$12,Inputs!$F$184/100*(X11-X10-Tax!X21),0)</f>
        <v/>
      </c>
      <c r="Y12" s="13">
        <f>IF(Time!Y20&gt;=Time!$F$12,Inputs!$F$184/100*(Y11-Y10-Tax!Y21),0)</f>
        <v/>
      </c>
      <c r="Z12" s="13">
        <f>IF(Time!Z20&gt;=Time!$F$12,Inputs!$F$184/100*(Z11-Z10-Tax!Z21),0)</f>
        <v/>
      </c>
      <c r="AA12" s="13">
        <f>IF(Time!AA20&gt;=Time!$F$12,Inputs!$F$184/100*(AA11-AA10-Tax!AA21),0)</f>
        <v/>
      </c>
      <c r="AB12" s="13">
        <f>IF(Time!AB20&gt;=Time!$F$12,Inputs!$F$184/100*(AB11-AB10-Tax!AB21),0)</f>
        <v/>
      </c>
      <c r="AC12" s="13">
        <f>IF(Time!AC20&gt;=Time!$F$12,Inputs!$F$184/100*(AC11-AC10-Tax!AC21),0)</f>
        <v/>
      </c>
      <c r="AD12" s="13">
        <f>IF(Time!AD20&gt;=Time!$F$12,Inputs!$F$184/100*(AD11-AD10-Tax!AD21),0)</f>
        <v/>
      </c>
      <c r="AE12" s="13">
        <f>IF(Time!AE20&gt;=Time!$F$12,Inputs!$F$184/100*(AE11-AE10-Tax!AE21),0)</f>
        <v/>
      </c>
      <c r="AF12" s="13">
        <f>IF(Time!AF20&gt;=Time!$F$12,Inputs!$F$184/100*(AF11-AF10-Tax!AF21),0)</f>
        <v/>
      </c>
      <c r="AG12" s="13">
        <f>IF(Time!AG20&gt;=Time!$F$12,Inputs!$F$184/100*(AG11-AG10-Tax!AG21),0)</f>
        <v/>
      </c>
      <c r="AH12" s="13">
        <f>IF(Time!AH20&gt;=Time!$F$12,Inputs!$F$184/100*(AH11-AH10-Tax!AH21),0)</f>
        <v/>
      </c>
      <c r="AI12" s="13">
        <f>IF(Time!AI20&gt;=Time!$F$12,Inputs!$F$184/100*(AI11-AI10-Tax!AI21),0)</f>
        <v/>
      </c>
      <c r="AJ12" s="13">
        <f>IF(Time!AJ20&gt;=Time!$F$12,Inputs!$F$184/100*(AJ11-AJ10-Tax!AJ21),0)</f>
        <v/>
      </c>
      <c r="AK12" s="13">
        <f>IF(Time!AK20&gt;=Time!$F$12,Inputs!$F$184/100*(AK11-AK10-Tax!AK21),0)</f>
        <v/>
      </c>
      <c r="AL12" s="13">
        <f>IF(Time!AL20&gt;=Time!$F$12,Inputs!$F$184/100*(AL11-AL10-Tax!AL21),0)</f>
        <v/>
      </c>
      <c r="AM12" s="13">
        <f>IF(Time!AM20&gt;=Time!$F$12,Inputs!$F$184/100*(AM11-AM10-Tax!AM21),0)</f>
        <v/>
      </c>
      <c r="AN12" s="13">
        <f>IF(Time!AN20&gt;=Time!$F$12,Inputs!$F$184/100*(AN11-AN10-Tax!AN21),0)</f>
        <v/>
      </c>
      <c r="AO12" s="13">
        <f>IF(Time!AO20&gt;=Time!$F$12,Inputs!$F$184/100*(AO11-AO10-Tax!AO21),0)</f>
        <v/>
      </c>
      <c r="AP12" s="13">
        <f>IF(Time!AP20&gt;=Time!$F$12,Inputs!$F$184/100*(AP11-AP10-Tax!AP21),0)</f>
        <v/>
      </c>
      <c r="AQ12" s="13">
        <f>IF(Time!AQ20&gt;=Time!$F$12,Inputs!$F$184/100*(AQ11-AQ10-Tax!AQ21),0)</f>
        <v/>
      </c>
      <c r="AR12" s="13">
        <f>IF(Time!AR20&gt;=Time!$F$12,Inputs!$F$184/100*(AR11-AR10-Tax!AR21),0)</f>
        <v/>
      </c>
      <c r="AS12" s="13">
        <f>IF(Time!AS20&gt;=Time!$F$12,Inputs!$F$184/100*(AS11-AS10-Tax!AS21),0)</f>
        <v/>
      </c>
      <c r="AT12" s="13">
        <f>IF(Time!AT20&gt;=Time!$F$12,Inputs!$F$184/100*(AT11-AT10-Tax!AT21),0)</f>
        <v/>
      </c>
      <c r="AU12" s="13">
        <f>IF(Time!AU20&gt;=Time!$F$12,Inputs!$F$184/100*(AU11-AU10-Tax!AU21),0)</f>
        <v/>
      </c>
      <c r="AV12" s="13">
        <f>IF(Time!AV20&gt;=Time!$F$12,Inputs!$F$184/100*(AV11-AV10-Tax!AV21),0)</f>
        <v/>
      </c>
      <c r="AW12" s="13">
        <f>IF(Time!AW20&gt;=Time!$F$12,Inputs!$F$184/100*(AW11-AW10-Tax!AW21),0)</f>
        <v/>
      </c>
      <c r="AX12" s="13">
        <f>IF(Time!AX20&gt;=Time!$F$12,Inputs!$F$184/100*(AX11-AX10-Tax!AX21),0)</f>
        <v/>
      </c>
      <c r="AY12" s="13">
        <f>IF(Time!AY20&gt;=Time!$F$12,Inputs!$F$184/100*(AY11-AY10-Tax!AY21),0)</f>
        <v/>
      </c>
      <c r="AZ12" s="13">
        <f>IF(Time!AZ20&gt;=Time!$F$12,Inputs!$F$184/100*(AZ11-AZ10-Tax!AZ21),0)</f>
        <v/>
      </c>
      <c r="BA12" s="13">
        <f>IF(Time!BA20&gt;=Time!$F$12,Inputs!$F$184/100*(BA11-BA10-Tax!BA21),0)</f>
        <v/>
      </c>
      <c r="BB12" s="13">
        <f>IF(Time!BB20&gt;=Time!$F$12,Inputs!$F$184/100*(BB11-BB10-Tax!BB21),0)</f>
        <v/>
      </c>
      <c r="BC12" s="13">
        <f>IF(Time!BC20&gt;=Time!$F$12,Inputs!$F$184/100*(BC11-BC10-Tax!BC21),0)</f>
        <v/>
      </c>
      <c r="BD12" s="13">
        <f>IF(Time!BD20&gt;=Time!$F$12,Inputs!$F$184/100*(BD11-BD10-Tax!BD21),0)</f>
        <v/>
      </c>
      <c r="BE12" s="13">
        <f>IF(Time!BE20&gt;=Time!$F$12,Inputs!$F$184/100*(BE11-BE10-Tax!BE21),0)</f>
        <v/>
      </c>
      <c r="BF12" s="13">
        <f>IF(Time!BF20&gt;=Time!$F$12,Inputs!$F$184/100*(BF11-BF10-Tax!BF21),0)</f>
        <v/>
      </c>
      <c r="BG12" s="13">
        <f>IF(Time!BG20&gt;=Time!$F$12,Inputs!$F$184/100*(BG11-BG10-Tax!BG21),0)</f>
        <v/>
      </c>
      <c r="BH12" s="13">
        <f>IF(Time!BH20&gt;=Time!$F$12,Inputs!$F$184/100*(BH11-BH10-Tax!BH21),0)</f>
        <v/>
      </c>
      <c r="BI12" s="13">
        <f>IF(Time!BI20&gt;=Time!$F$12,Inputs!$F$184/100*(BI11-BI10-Tax!BI21),0)</f>
        <v/>
      </c>
      <c r="BJ12" s="13">
        <f>IF(Time!BJ20&gt;=Time!$F$12,Inputs!$F$184/100*(BJ11-BJ10-Tax!BJ21),0)</f>
        <v/>
      </c>
      <c r="BK12" s="13">
        <f>IF(Time!BK20&gt;=Time!$F$12,Inputs!$F$184/100*(BK11-BK10-Tax!BK21),0)</f>
        <v/>
      </c>
      <c r="BL12" s="13">
        <f>IF(Time!BL20&gt;=Time!$F$12,Inputs!$F$184/100*(BL11-BL10-Tax!BL21),0)</f>
        <v/>
      </c>
      <c r="BM12" s="13">
        <f>IF(Time!BM20&gt;=Time!$F$12,Inputs!$F$184/100*(BM11-BM10-Tax!BM21),0)</f>
        <v/>
      </c>
      <c r="BN12" s="13">
        <f>IF(Time!BN20&gt;=Time!$F$12,Inputs!$F$184/100*(BN11-BN10-Tax!BN21),0)</f>
        <v/>
      </c>
    </row>
    <row r="13">
      <c r="D13" t="inlineStr">
        <is>
          <t>Deferred tax expense</t>
        </is>
      </c>
      <c r="E13" t="inlineStr">
        <is>
          <t>USD m</t>
        </is>
      </c>
      <c r="G13" s="13">
        <f>SUM(J13:BN13)</f>
        <v/>
      </c>
      <c r="J13" s="13">
        <f>J12-I12</f>
        <v/>
      </c>
      <c r="K13" s="13">
        <f>K12-J12</f>
        <v/>
      </c>
      <c r="L13" s="13">
        <f>L12-K12</f>
        <v/>
      </c>
      <c r="M13" s="13">
        <f>M12-L12</f>
        <v/>
      </c>
      <c r="N13" s="13">
        <f>N12-M12</f>
        <v/>
      </c>
      <c r="O13" s="13">
        <f>O12-N12</f>
        <v/>
      </c>
      <c r="P13" s="13">
        <f>P12-O12</f>
        <v/>
      </c>
      <c r="Q13" s="13">
        <f>Q12-P12</f>
        <v/>
      </c>
      <c r="R13" s="13">
        <f>R12-Q12</f>
        <v/>
      </c>
      <c r="S13" s="13">
        <f>S12-R12</f>
        <v/>
      </c>
      <c r="T13" s="13">
        <f>T12-S12</f>
        <v/>
      </c>
      <c r="U13" s="13">
        <f>U12-T12</f>
        <v/>
      </c>
      <c r="V13" s="13">
        <f>V12-U12</f>
        <v/>
      </c>
      <c r="W13" s="13">
        <f>W12-V12</f>
        <v/>
      </c>
      <c r="X13" s="13">
        <f>X12-W12</f>
        <v/>
      </c>
      <c r="Y13" s="13">
        <f>Y12-X12</f>
        <v/>
      </c>
      <c r="Z13" s="13">
        <f>Z12-Y12</f>
        <v/>
      </c>
      <c r="AA13" s="13">
        <f>AA12-Z12</f>
        <v/>
      </c>
      <c r="AB13" s="13">
        <f>AB12-AA12</f>
        <v/>
      </c>
      <c r="AC13" s="13">
        <f>AC12-AB12</f>
        <v/>
      </c>
      <c r="AD13" s="13">
        <f>AD12-AC12</f>
        <v/>
      </c>
      <c r="AE13" s="13">
        <f>AE12-AD12</f>
        <v/>
      </c>
      <c r="AF13" s="13">
        <f>AF12-AE12</f>
        <v/>
      </c>
      <c r="AG13" s="13">
        <f>AG12-AF12</f>
        <v/>
      </c>
      <c r="AH13" s="13">
        <f>AH12-AG12</f>
        <v/>
      </c>
      <c r="AI13" s="13">
        <f>AI12-AH12</f>
        <v/>
      </c>
      <c r="AJ13" s="13">
        <f>AJ12-AI12</f>
        <v/>
      </c>
      <c r="AK13" s="13">
        <f>AK12-AJ12</f>
        <v/>
      </c>
      <c r="AL13" s="13">
        <f>AL12-AK12</f>
        <v/>
      </c>
      <c r="AM13" s="13">
        <f>AM12-AL12</f>
        <v/>
      </c>
      <c r="AN13" s="13">
        <f>AN12-AM12</f>
        <v/>
      </c>
      <c r="AO13" s="13">
        <f>AO12-AN12</f>
        <v/>
      </c>
      <c r="AP13" s="13">
        <f>AP12-AO12</f>
        <v/>
      </c>
      <c r="AQ13" s="13">
        <f>AQ12-AP12</f>
        <v/>
      </c>
      <c r="AR13" s="13">
        <f>AR12-AQ12</f>
        <v/>
      </c>
      <c r="AS13" s="13">
        <f>AS12-AR12</f>
        <v/>
      </c>
      <c r="AT13" s="13">
        <f>AT12-AS12</f>
        <v/>
      </c>
      <c r="AU13" s="13">
        <f>AU12-AT12</f>
        <v/>
      </c>
      <c r="AV13" s="13">
        <f>AV12-AU12</f>
        <v/>
      </c>
      <c r="AW13" s="13">
        <f>AW12-AV12</f>
        <v/>
      </c>
      <c r="AX13" s="13">
        <f>AX12-AW12</f>
        <v/>
      </c>
      <c r="AY13" s="13">
        <f>AY12-AX12</f>
        <v/>
      </c>
      <c r="AZ13" s="13">
        <f>AZ12-AY12</f>
        <v/>
      </c>
      <c r="BA13" s="13">
        <f>BA12-AZ12</f>
        <v/>
      </c>
      <c r="BB13" s="13">
        <f>BB12-BA12</f>
        <v/>
      </c>
      <c r="BC13" s="13">
        <f>BC12-BB12</f>
        <v/>
      </c>
      <c r="BD13" s="13">
        <f>BD12-BC12</f>
        <v/>
      </c>
      <c r="BE13" s="13">
        <f>BE12-BD12</f>
        <v/>
      </c>
      <c r="BF13" s="13">
        <f>BF12-BE12</f>
        <v/>
      </c>
      <c r="BG13" s="13">
        <f>BG12-BF12</f>
        <v/>
      </c>
      <c r="BH13" s="13">
        <f>BH12-BG12</f>
        <v/>
      </c>
      <c r="BI13" s="13">
        <f>BI12-BH12</f>
        <v/>
      </c>
      <c r="BJ13" s="13">
        <f>BJ12-BI12</f>
        <v/>
      </c>
      <c r="BK13" s="13">
        <f>BK12-BJ12</f>
        <v/>
      </c>
      <c r="BL13" s="13">
        <f>BL12-BK12</f>
        <v/>
      </c>
      <c r="BM13" s="13">
        <f>BM12-BL12</f>
        <v/>
      </c>
      <c r="BN13" s="13">
        <f>BN12-BM12</f>
        <v/>
      </c>
    </row>
    <row r="14">
      <c r="D14" t="inlineStr">
        <is>
          <t>Net income</t>
        </is>
      </c>
      <c r="E14" t="inlineStr">
        <is>
          <t>USD m</t>
        </is>
      </c>
      <c r="G14" s="13">
        <f>SUM(J14:BN14)</f>
        <v/>
      </c>
      <c r="J14" s="13">
        <f>Operations!J84-J8-J9-Tax!J27-J13</f>
        <v/>
      </c>
      <c r="K14" s="13">
        <f>Operations!K84-K8-K9-Tax!K27-K13</f>
        <v/>
      </c>
      <c r="L14" s="13">
        <f>Operations!L84-L8-L9-Tax!L27-L13</f>
        <v/>
      </c>
      <c r="M14" s="13">
        <f>Operations!M84-M8-M9-Tax!M27-M13</f>
        <v/>
      </c>
      <c r="N14" s="13">
        <f>Operations!N84-N8-N9-Tax!N27-N13</f>
        <v/>
      </c>
      <c r="O14" s="13">
        <f>Operations!O84-O8-O9-Tax!O27-O13</f>
        <v/>
      </c>
      <c r="P14" s="13">
        <f>Operations!P84-P8-P9-Tax!P27-P13</f>
        <v/>
      </c>
      <c r="Q14" s="13">
        <f>Operations!Q84-Q8-Q9-Tax!Q27-Q13</f>
        <v/>
      </c>
      <c r="R14" s="13">
        <f>Operations!R84-R8-R9-Tax!R27-R13</f>
        <v/>
      </c>
      <c r="S14" s="13">
        <f>Operations!S84-S8-S9-Tax!S27-S13</f>
        <v/>
      </c>
      <c r="T14" s="13">
        <f>Operations!T84-T8-T9-Tax!T27-T13</f>
        <v/>
      </c>
      <c r="U14" s="13">
        <f>Operations!U84-U8-U9-Tax!U27-U13</f>
        <v/>
      </c>
      <c r="V14" s="13">
        <f>Operations!V84-V8-V9-Tax!V27-V13</f>
        <v/>
      </c>
      <c r="W14" s="13">
        <f>Operations!W84-W8-W9-Tax!W27-W13</f>
        <v/>
      </c>
      <c r="X14" s="13">
        <f>Operations!X84-X8-X9-Tax!X27-X13</f>
        <v/>
      </c>
      <c r="Y14" s="13">
        <f>Operations!Y84-Y8-Y9-Tax!Y27-Y13</f>
        <v/>
      </c>
      <c r="Z14" s="13">
        <f>Operations!Z84-Z8-Z9-Tax!Z27-Z13</f>
        <v/>
      </c>
      <c r="AA14" s="13">
        <f>Operations!AA84-AA8-AA9-Tax!AA27-AA13</f>
        <v/>
      </c>
      <c r="AB14" s="13">
        <f>Operations!AB84-AB8-AB9-Tax!AB27-AB13</f>
        <v/>
      </c>
      <c r="AC14" s="13">
        <f>Operations!AC84-AC8-AC9-Tax!AC27-AC13</f>
        <v/>
      </c>
      <c r="AD14" s="13">
        <f>Operations!AD84-AD8-AD9-Tax!AD27-AD13</f>
        <v/>
      </c>
      <c r="AE14" s="13">
        <f>Operations!AE84-AE8-AE9-Tax!AE27-AE13</f>
        <v/>
      </c>
      <c r="AF14" s="13">
        <f>Operations!AF84-AF8-AF9-Tax!AF27-AF13</f>
        <v/>
      </c>
      <c r="AG14" s="13">
        <f>Operations!AG84-AG8-AG9-Tax!AG27-AG13</f>
        <v/>
      </c>
      <c r="AH14" s="13">
        <f>Operations!AH84-AH8-AH9-Tax!AH27-AH13</f>
        <v/>
      </c>
      <c r="AI14" s="13">
        <f>Operations!AI84-AI8-AI9-Tax!AI27-AI13</f>
        <v/>
      </c>
      <c r="AJ14" s="13">
        <f>Operations!AJ84-AJ8-AJ9-Tax!AJ27-AJ13</f>
        <v/>
      </c>
      <c r="AK14" s="13">
        <f>Operations!AK84-AK8-AK9-Tax!AK27-AK13</f>
        <v/>
      </c>
      <c r="AL14" s="13">
        <f>Operations!AL84-AL8-AL9-Tax!AL27-AL13</f>
        <v/>
      </c>
      <c r="AM14" s="13">
        <f>Operations!AM84-AM8-AM9-Tax!AM27-AM13</f>
        <v/>
      </c>
      <c r="AN14" s="13">
        <f>Operations!AN84-AN8-AN9-Tax!AN27-AN13</f>
        <v/>
      </c>
      <c r="AO14" s="13">
        <f>Operations!AO84-AO8-AO9-Tax!AO27-AO13</f>
        <v/>
      </c>
      <c r="AP14" s="13">
        <f>Operations!AP84-AP8-AP9-Tax!AP27-AP13</f>
        <v/>
      </c>
      <c r="AQ14" s="13">
        <f>Operations!AQ84-AQ8-AQ9-Tax!AQ27-AQ13</f>
        <v/>
      </c>
      <c r="AR14" s="13">
        <f>Operations!AR84-AR8-AR9-Tax!AR27-AR13</f>
        <v/>
      </c>
      <c r="AS14" s="13">
        <f>Operations!AS84-AS8-AS9-Tax!AS27-AS13</f>
        <v/>
      </c>
      <c r="AT14" s="13">
        <f>Operations!AT84-AT8-AT9-Tax!AT27-AT13</f>
        <v/>
      </c>
      <c r="AU14" s="13">
        <f>Operations!AU84-AU8-AU9-Tax!AU27-AU13</f>
        <v/>
      </c>
      <c r="AV14" s="13">
        <f>Operations!AV84-AV8-AV9-Tax!AV27-AV13</f>
        <v/>
      </c>
      <c r="AW14" s="13">
        <f>Operations!AW84-AW8-AW9-Tax!AW27-AW13</f>
        <v/>
      </c>
      <c r="AX14" s="13">
        <f>Operations!AX84-AX8-AX9-Tax!AX27-AX13</f>
        <v/>
      </c>
      <c r="AY14" s="13">
        <f>Operations!AY84-AY8-AY9-Tax!AY27-AY13</f>
        <v/>
      </c>
      <c r="AZ14" s="13">
        <f>Operations!AZ84-AZ8-AZ9-Tax!AZ27-AZ13</f>
        <v/>
      </c>
      <c r="BA14" s="13">
        <f>Operations!BA84-BA8-BA9-Tax!BA27-BA13</f>
        <v/>
      </c>
      <c r="BB14" s="13">
        <f>Operations!BB84-BB8-BB9-Tax!BB27-BB13</f>
        <v/>
      </c>
      <c r="BC14" s="13">
        <f>Operations!BC84-BC8-BC9-Tax!BC27-BC13</f>
        <v/>
      </c>
      <c r="BD14" s="13">
        <f>Operations!BD84-BD8-BD9-Tax!BD27-BD13</f>
        <v/>
      </c>
      <c r="BE14" s="13">
        <f>Operations!BE84-BE8-BE9-Tax!BE27-BE13</f>
        <v/>
      </c>
      <c r="BF14" s="13">
        <f>Operations!BF84-BF8-BF9-Tax!BF27-BF13</f>
        <v/>
      </c>
      <c r="BG14" s="13">
        <f>Operations!BG84-BG8-BG9-Tax!BG27-BG13</f>
        <v/>
      </c>
      <c r="BH14" s="13">
        <f>Operations!BH84-BH8-BH9-Tax!BH27-BH13</f>
        <v/>
      </c>
      <c r="BI14" s="13">
        <f>Operations!BI84-BI8-BI9-Tax!BI27-BI13</f>
        <v/>
      </c>
      <c r="BJ14" s="13">
        <f>Operations!BJ84-BJ8-BJ9-Tax!BJ27-BJ13</f>
        <v/>
      </c>
      <c r="BK14" s="13">
        <f>Operations!BK84-BK8-BK9-Tax!BK27-BK13</f>
        <v/>
      </c>
      <c r="BL14" s="13">
        <f>Operations!BL84-BL8-BL9-Tax!BL27-BL13</f>
        <v/>
      </c>
      <c r="BM14" s="13">
        <f>Operations!BM84-BM8-BM9-Tax!BM27-BM13</f>
        <v/>
      </c>
      <c r="BN14" s="13">
        <f>Operations!BN84-BN8-BN9-Tax!BN27-BN13</f>
        <v/>
      </c>
    </row>
    <row r="15">
      <c r="B15" s="2" t="inlineStr">
        <is>
          <t>Balance sheet (USD m, period end)</t>
        </is>
      </c>
    </row>
    <row r="16">
      <c r="D16" t="inlineStr">
        <is>
          <t>Plant (construction in progress before COD)</t>
        </is>
      </c>
      <c r="E16" t="inlineStr">
        <is>
          <t>USD m</t>
        </is>
      </c>
      <c r="J16" s="13">
        <f>IF(Time!J20&gt;=Time!$F$12,J11,SUMIFS(Funding!$J$49:$BJ$49,Construction!$J$12:$BJ$12,"&lt;="&amp;Time!J20)-SUMIFS(Funding!$J$44:$BJ$44,Construction!$J$12:$BJ$12,"&lt;="&amp;Time!J20)-SUMIFS(Construction!$J$28:$BJ$28,Construction!$J$12:$BJ$12,"&lt;="&amp;Time!J20)+SUMIFS(Funding!$J$71:$BJ$71,Construction!$J$12:$BJ$12,"&lt;="&amp;Time!J20)-SUMIFS(Funding!$J$52:$BJ$52,Construction!$J$12:$BJ$12,"&lt;="&amp;Time!J20))</f>
        <v/>
      </c>
      <c r="K16" s="13">
        <f>IF(Time!K20&gt;=Time!$F$12,K11,SUMIFS(Funding!$J$49:$BJ$49,Construction!$J$12:$BJ$12,"&lt;="&amp;Time!K20)-SUMIFS(Funding!$J$44:$BJ$44,Construction!$J$12:$BJ$12,"&lt;="&amp;Time!K20)-SUMIFS(Construction!$J$28:$BJ$28,Construction!$J$12:$BJ$12,"&lt;="&amp;Time!K20)+SUMIFS(Funding!$J$71:$BJ$71,Construction!$J$12:$BJ$12,"&lt;="&amp;Time!K20)-SUMIFS(Funding!$J$52:$BJ$52,Construction!$J$12:$BJ$12,"&lt;="&amp;Time!K20))</f>
        <v/>
      </c>
      <c r="L16" s="13">
        <f>IF(Time!L20&gt;=Time!$F$12,L11,SUMIFS(Funding!$J$49:$BJ$49,Construction!$J$12:$BJ$12,"&lt;="&amp;Time!L20)-SUMIFS(Funding!$J$44:$BJ$44,Construction!$J$12:$BJ$12,"&lt;="&amp;Time!L20)-SUMIFS(Construction!$J$28:$BJ$28,Construction!$J$12:$BJ$12,"&lt;="&amp;Time!L20)+SUMIFS(Funding!$J$71:$BJ$71,Construction!$J$12:$BJ$12,"&lt;="&amp;Time!L20)-SUMIFS(Funding!$J$52:$BJ$52,Construction!$J$12:$BJ$12,"&lt;="&amp;Time!L20))</f>
        <v/>
      </c>
      <c r="M16" s="13">
        <f>IF(Time!M20&gt;=Time!$F$12,M11,SUMIFS(Funding!$J$49:$BJ$49,Construction!$J$12:$BJ$12,"&lt;="&amp;Time!M20)-SUMIFS(Funding!$J$44:$BJ$44,Construction!$J$12:$BJ$12,"&lt;="&amp;Time!M20)-SUMIFS(Construction!$J$28:$BJ$28,Construction!$J$12:$BJ$12,"&lt;="&amp;Time!M20)+SUMIFS(Funding!$J$71:$BJ$71,Construction!$J$12:$BJ$12,"&lt;="&amp;Time!M20)-SUMIFS(Funding!$J$52:$BJ$52,Construction!$J$12:$BJ$12,"&lt;="&amp;Time!M20))</f>
        <v/>
      </c>
      <c r="N16" s="13">
        <f>IF(Time!N20&gt;=Time!$F$12,N11,SUMIFS(Funding!$J$49:$BJ$49,Construction!$J$12:$BJ$12,"&lt;="&amp;Time!N20)-SUMIFS(Funding!$J$44:$BJ$44,Construction!$J$12:$BJ$12,"&lt;="&amp;Time!N20)-SUMIFS(Construction!$J$28:$BJ$28,Construction!$J$12:$BJ$12,"&lt;="&amp;Time!N20)+SUMIFS(Funding!$J$71:$BJ$71,Construction!$J$12:$BJ$12,"&lt;="&amp;Time!N20)-SUMIFS(Funding!$J$52:$BJ$52,Construction!$J$12:$BJ$12,"&lt;="&amp;Time!N20))</f>
        <v/>
      </c>
      <c r="O16" s="13">
        <f>IF(Time!O20&gt;=Time!$F$12,O11,SUMIFS(Funding!$J$49:$BJ$49,Construction!$J$12:$BJ$12,"&lt;="&amp;Time!O20)-SUMIFS(Funding!$J$44:$BJ$44,Construction!$J$12:$BJ$12,"&lt;="&amp;Time!O20)-SUMIFS(Construction!$J$28:$BJ$28,Construction!$J$12:$BJ$12,"&lt;="&amp;Time!O20)+SUMIFS(Funding!$J$71:$BJ$71,Construction!$J$12:$BJ$12,"&lt;="&amp;Time!O20)-SUMIFS(Funding!$J$52:$BJ$52,Construction!$J$12:$BJ$12,"&lt;="&amp;Time!O20))</f>
        <v/>
      </c>
      <c r="P16" s="13">
        <f>IF(Time!P20&gt;=Time!$F$12,P11,SUMIFS(Funding!$J$49:$BJ$49,Construction!$J$12:$BJ$12,"&lt;="&amp;Time!P20)-SUMIFS(Funding!$J$44:$BJ$44,Construction!$J$12:$BJ$12,"&lt;="&amp;Time!P20)-SUMIFS(Construction!$J$28:$BJ$28,Construction!$J$12:$BJ$12,"&lt;="&amp;Time!P20)+SUMIFS(Funding!$J$71:$BJ$71,Construction!$J$12:$BJ$12,"&lt;="&amp;Time!P20)-SUMIFS(Funding!$J$52:$BJ$52,Construction!$J$12:$BJ$12,"&lt;="&amp;Time!P20))</f>
        <v/>
      </c>
      <c r="Q16" s="13">
        <f>IF(Time!Q20&gt;=Time!$F$12,Q11,SUMIFS(Funding!$J$49:$BJ$49,Construction!$J$12:$BJ$12,"&lt;="&amp;Time!Q20)-SUMIFS(Funding!$J$44:$BJ$44,Construction!$J$12:$BJ$12,"&lt;="&amp;Time!Q20)-SUMIFS(Construction!$J$28:$BJ$28,Construction!$J$12:$BJ$12,"&lt;="&amp;Time!Q20)+SUMIFS(Funding!$J$71:$BJ$71,Construction!$J$12:$BJ$12,"&lt;="&amp;Time!Q20)-SUMIFS(Funding!$J$52:$BJ$52,Construction!$J$12:$BJ$12,"&lt;="&amp;Time!Q20))</f>
        <v/>
      </c>
      <c r="R16" s="13">
        <f>IF(Time!R20&gt;=Time!$F$12,R11,SUMIFS(Funding!$J$49:$BJ$49,Construction!$J$12:$BJ$12,"&lt;="&amp;Time!R20)-SUMIFS(Funding!$J$44:$BJ$44,Construction!$J$12:$BJ$12,"&lt;="&amp;Time!R20)-SUMIFS(Construction!$J$28:$BJ$28,Construction!$J$12:$BJ$12,"&lt;="&amp;Time!R20)+SUMIFS(Funding!$J$71:$BJ$71,Construction!$J$12:$BJ$12,"&lt;="&amp;Time!R20)-SUMIFS(Funding!$J$52:$BJ$52,Construction!$J$12:$BJ$12,"&lt;="&amp;Time!R20))</f>
        <v/>
      </c>
      <c r="S16" s="13">
        <f>IF(Time!S20&gt;=Time!$F$12,S11,SUMIFS(Funding!$J$49:$BJ$49,Construction!$J$12:$BJ$12,"&lt;="&amp;Time!S20)-SUMIFS(Funding!$J$44:$BJ$44,Construction!$J$12:$BJ$12,"&lt;="&amp;Time!S20)-SUMIFS(Construction!$J$28:$BJ$28,Construction!$J$12:$BJ$12,"&lt;="&amp;Time!S20)+SUMIFS(Funding!$J$71:$BJ$71,Construction!$J$12:$BJ$12,"&lt;="&amp;Time!S20)-SUMIFS(Funding!$J$52:$BJ$52,Construction!$J$12:$BJ$12,"&lt;="&amp;Time!S20))</f>
        <v/>
      </c>
      <c r="T16" s="13">
        <f>IF(Time!T20&gt;=Time!$F$12,T11,SUMIFS(Funding!$J$49:$BJ$49,Construction!$J$12:$BJ$12,"&lt;="&amp;Time!T20)-SUMIFS(Funding!$J$44:$BJ$44,Construction!$J$12:$BJ$12,"&lt;="&amp;Time!T20)-SUMIFS(Construction!$J$28:$BJ$28,Construction!$J$12:$BJ$12,"&lt;="&amp;Time!T20)+SUMIFS(Funding!$J$71:$BJ$71,Construction!$J$12:$BJ$12,"&lt;="&amp;Time!T20)-SUMIFS(Funding!$J$52:$BJ$52,Construction!$J$12:$BJ$12,"&lt;="&amp;Time!T20))</f>
        <v/>
      </c>
      <c r="U16" s="13">
        <f>IF(Time!U20&gt;=Time!$F$12,U11,SUMIFS(Funding!$J$49:$BJ$49,Construction!$J$12:$BJ$12,"&lt;="&amp;Time!U20)-SUMIFS(Funding!$J$44:$BJ$44,Construction!$J$12:$BJ$12,"&lt;="&amp;Time!U20)-SUMIFS(Construction!$J$28:$BJ$28,Construction!$J$12:$BJ$12,"&lt;="&amp;Time!U20)+SUMIFS(Funding!$J$71:$BJ$71,Construction!$J$12:$BJ$12,"&lt;="&amp;Time!U20)-SUMIFS(Funding!$J$52:$BJ$52,Construction!$J$12:$BJ$12,"&lt;="&amp;Time!U20))</f>
        <v/>
      </c>
      <c r="V16" s="13">
        <f>IF(Time!V20&gt;=Time!$F$12,V11,SUMIFS(Funding!$J$49:$BJ$49,Construction!$J$12:$BJ$12,"&lt;="&amp;Time!V20)-SUMIFS(Funding!$J$44:$BJ$44,Construction!$J$12:$BJ$12,"&lt;="&amp;Time!V20)-SUMIFS(Construction!$J$28:$BJ$28,Construction!$J$12:$BJ$12,"&lt;="&amp;Time!V20)+SUMIFS(Funding!$J$71:$BJ$71,Construction!$J$12:$BJ$12,"&lt;="&amp;Time!V20)-SUMIFS(Funding!$J$52:$BJ$52,Construction!$J$12:$BJ$12,"&lt;="&amp;Time!V20))</f>
        <v/>
      </c>
      <c r="W16" s="13">
        <f>IF(Time!W20&gt;=Time!$F$12,W11,SUMIFS(Funding!$J$49:$BJ$49,Construction!$J$12:$BJ$12,"&lt;="&amp;Time!W20)-SUMIFS(Funding!$J$44:$BJ$44,Construction!$J$12:$BJ$12,"&lt;="&amp;Time!W20)-SUMIFS(Construction!$J$28:$BJ$28,Construction!$J$12:$BJ$12,"&lt;="&amp;Time!W20)+SUMIFS(Funding!$J$71:$BJ$71,Construction!$J$12:$BJ$12,"&lt;="&amp;Time!W20)-SUMIFS(Funding!$J$52:$BJ$52,Construction!$J$12:$BJ$12,"&lt;="&amp;Time!W20))</f>
        <v/>
      </c>
      <c r="X16" s="13">
        <f>IF(Time!X20&gt;=Time!$F$12,X11,SUMIFS(Funding!$J$49:$BJ$49,Construction!$J$12:$BJ$12,"&lt;="&amp;Time!X20)-SUMIFS(Funding!$J$44:$BJ$44,Construction!$J$12:$BJ$12,"&lt;="&amp;Time!X20)-SUMIFS(Construction!$J$28:$BJ$28,Construction!$J$12:$BJ$12,"&lt;="&amp;Time!X20)+SUMIFS(Funding!$J$71:$BJ$71,Construction!$J$12:$BJ$12,"&lt;="&amp;Time!X20)-SUMIFS(Funding!$J$52:$BJ$52,Construction!$J$12:$BJ$12,"&lt;="&amp;Time!X20))</f>
        <v/>
      </c>
      <c r="Y16" s="13">
        <f>IF(Time!Y20&gt;=Time!$F$12,Y11,SUMIFS(Funding!$J$49:$BJ$49,Construction!$J$12:$BJ$12,"&lt;="&amp;Time!Y20)-SUMIFS(Funding!$J$44:$BJ$44,Construction!$J$12:$BJ$12,"&lt;="&amp;Time!Y20)-SUMIFS(Construction!$J$28:$BJ$28,Construction!$J$12:$BJ$12,"&lt;="&amp;Time!Y20)+SUMIFS(Funding!$J$71:$BJ$71,Construction!$J$12:$BJ$12,"&lt;="&amp;Time!Y20)-SUMIFS(Funding!$J$52:$BJ$52,Construction!$J$12:$BJ$12,"&lt;="&amp;Time!Y20))</f>
        <v/>
      </c>
      <c r="Z16" s="13">
        <f>IF(Time!Z20&gt;=Time!$F$12,Z11,SUMIFS(Funding!$J$49:$BJ$49,Construction!$J$12:$BJ$12,"&lt;="&amp;Time!Z20)-SUMIFS(Funding!$J$44:$BJ$44,Construction!$J$12:$BJ$12,"&lt;="&amp;Time!Z20)-SUMIFS(Construction!$J$28:$BJ$28,Construction!$J$12:$BJ$12,"&lt;="&amp;Time!Z20)+SUMIFS(Funding!$J$71:$BJ$71,Construction!$J$12:$BJ$12,"&lt;="&amp;Time!Z20)-SUMIFS(Funding!$J$52:$BJ$52,Construction!$J$12:$BJ$12,"&lt;="&amp;Time!Z20))</f>
        <v/>
      </c>
      <c r="AA16" s="13">
        <f>IF(Time!AA20&gt;=Time!$F$12,AA11,SUMIFS(Funding!$J$49:$BJ$49,Construction!$J$12:$BJ$12,"&lt;="&amp;Time!AA20)-SUMIFS(Funding!$J$44:$BJ$44,Construction!$J$12:$BJ$12,"&lt;="&amp;Time!AA20)-SUMIFS(Construction!$J$28:$BJ$28,Construction!$J$12:$BJ$12,"&lt;="&amp;Time!AA20)+SUMIFS(Funding!$J$71:$BJ$71,Construction!$J$12:$BJ$12,"&lt;="&amp;Time!AA20)-SUMIFS(Funding!$J$52:$BJ$52,Construction!$J$12:$BJ$12,"&lt;="&amp;Time!AA20))</f>
        <v/>
      </c>
      <c r="AB16" s="13">
        <f>IF(Time!AB20&gt;=Time!$F$12,AB11,SUMIFS(Funding!$J$49:$BJ$49,Construction!$J$12:$BJ$12,"&lt;="&amp;Time!AB20)-SUMIFS(Funding!$J$44:$BJ$44,Construction!$J$12:$BJ$12,"&lt;="&amp;Time!AB20)-SUMIFS(Construction!$J$28:$BJ$28,Construction!$J$12:$BJ$12,"&lt;="&amp;Time!AB20)+SUMIFS(Funding!$J$71:$BJ$71,Construction!$J$12:$BJ$12,"&lt;="&amp;Time!AB20)-SUMIFS(Funding!$J$52:$BJ$52,Construction!$J$12:$BJ$12,"&lt;="&amp;Time!AB20))</f>
        <v/>
      </c>
      <c r="AC16" s="13">
        <f>IF(Time!AC20&gt;=Time!$F$12,AC11,SUMIFS(Funding!$J$49:$BJ$49,Construction!$J$12:$BJ$12,"&lt;="&amp;Time!AC20)-SUMIFS(Funding!$J$44:$BJ$44,Construction!$J$12:$BJ$12,"&lt;="&amp;Time!AC20)-SUMIFS(Construction!$J$28:$BJ$28,Construction!$J$12:$BJ$12,"&lt;="&amp;Time!AC20)+SUMIFS(Funding!$J$71:$BJ$71,Construction!$J$12:$BJ$12,"&lt;="&amp;Time!AC20)-SUMIFS(Funding!$J$52:$BJ$52,Construction!$J$12:$BJ$12,"&lt;="&amp;Time!AC20))</f>
        <v/>
      </c>
      <c r="AD16" s="13">
        <f>IF(Time!AD20&gt;=Time!$F$12,AD11,SUMIFS(Funding!$J$49:$BJ$49,Construction!$J$12:$BJ$12,"&lt;="&amp;Time!AD20)-SUMIFS(Funding!$J$44:$BJ$44,Construction!$J$12:$BJ$12,"&lt;="&amp;Time!AD20)-SUMIFS(Construction!$J$28:$BJ$28,Construction!$J$12:$BJ$12,"&lt;="&amp;Time!AD20)+SUMIFS(Funding!$J$71:$BJ$71,Construction!$J$12:$BJ$12,"&lt;="&amp;Time!AD20)-SUMIFS(Funding!$J$52:$BJ$52,Construction!$J$12:$BJ$12,"&lt;="&amp;Time!AD20))</f>
        <v/>
      </c>
      <c r="AE16" s="13">
        <f>IF(Time!AE20&gt;=Time!$F$12,AE11,SUMIFS(Funding!$J$49:$BJ$49,Construction!$J$12:$BJ$12,"&lt;="&amp;Time!AE20)-SUMIFS(Funding!$J$44:$BJ$44,Construction!$J$12:$BJ$12,"&lt;="&amp;Time!AE20)-SUMIFS(Construction!$J$28:$BJ$28,Construction!$J$12:$BJ$12,"&lt;="&amp;Time!AE20)+SUMIFS(Funding!$J$71:$BJ$71,Construction!$J$12:$BJ$12,"&lt;="&amp;Time!AE20)-SUMIFS(Funding!$J$52:$BJ$52,Construction!$J$12:$BJ$12,"&lt;="&amp;Time!AE20))</f>
        <v/>
      </c>
      <c r="AF16" s="13">
        <f>IF(Time!AF20&gt;=Time!$F$12,AF11,SUMIFS(Funding!$J$49:$BJ$49,Construction!$J$12:$BJ$12,"&lt;="&amp;Time!AF20)-SUMIFS(Funding!$J$44:$BJ$44,Construction!$J$12:$BJ$12,"&lt;="&amp;Time!AF20)-SUMIFS(Construction!$J$28:$BJ$28,Construction!$J$12:$BJ$12,"&lt;="&amp;Time!AF20)+SUMIFS(Funding!$J$71:$BJ$71,Construction!$J$12:$BJ$12,"&lt;="&amp;Time!AF20)-SUMIFS(Funding!$J$52:$BJ$52,Construction!$J$12:$BJ$12,"&lt;="&amp;Time!AF20))</f>
        <v/>
      </c>
      <c r="AG16" s="13">
        <f>IF(Time!AG20&gt;=Time!$F$12,AG11,SUMIFS(Funding!$J$49:$BJ$49,Construction!$J$12:$BJ$12,"&lt;="&amp;Time!AG20)-SUMIFS(Funding!$J$44:$BJ$44,Construction!$J$12:$BJ$12,"&lt;="&amp;Time!AG20)-SUMIFS(Construction!$J$28:$BJ$28,Construction!$J$12:$BJ$12,"&lt;="&amp;Time!AG20)+SUMIFS(Funding!$J$71:$BJ$71,Construction!$J$12:$BJ$12,"&lt;="&amp;Time!AG20)-SUMIFS(Funding!$J$52:$BJ$52,Construction!$J$12:$BJ$12,"&lt;="&amp;Time!AG20))</f>
        <v/>
      </c>
      <c r="AH16" s="13">
        <f>IF(Time!AH20&gt;=Time!$F$12,AH11,SUMIFS(Funding!$J$49:$BJ$49,Construction!$J$12:$BJ$12,"&lt;="&amp;Time!AH20)-SUMIFS(Funding!$J$44:$BJ$44,Construction!$J$12:$BJ$12,"&lt;="&amp;Time!AH20)-SUMIFS(Construction!$J$28:$BJ$28,Construction!$J$12:$BJ$12,"&lt;="&amp;Time!AH20)+SUMIFS(Funding!$J$71:$BJ$71,Construction!$J$12:$BJ$12,"&lt;="&amp;Time!AH20)-SUMIFS(Funding!$J$52:$BJ$52,Construction!$J$12:$BJ$12,"&lt;="&amp;Time!AH20))</f>
        <v/>
      </c>
      <c r="AI16" s="13">
        <f>IF(Time!AI20&gt;=Time!$F$12,AI11,SUMIFS(Funding!$J$49:$BJ$49,Construction!$J$12:$BJ$12,"&lt;="&amp;Time!AI20)-SUMIFS(Funding!$J$44:$BJ$44,Construction!$J$12:$BJ$12,"&lt;="&amp;Time!AI20)-SUMIFS(Construction!$J$28:$BJ$28,Construction!$J$12:$BJ$12,"&lt;="&amp;Time!AI20)+SUMIFS(Funding!$J$71:$BJ$71,Construction!$J$12:$BJ$12,"&lt;="&amp;Time!AI20)-SUMIFS(Funding!$J$52:$BJ$52,Construction!$J$12:$BJ$12,"&lt;="&amp;Time!AI20))</f>
        <v/>
      </c>
      <c r="AJ16" s="13">
        <f>IF(Time!AJ20&gt;=Time!$F$12,AJ11,SUMIFS(Funding!$J$49:$BJ$49,Construction!$J$12:$BJ$12,"&lt;="&amp;Time!AJ20)-SUMIFS(Funding!$J$44:$BJ$44,Construction!$J$12:$BJ$12,"&lt;="&amp;Time!AJ20)-SUMIFS(Construction!$J$28:$BJ$28,Construction!$J$12:$BJ$12,"&lt;="&amp;Time!AJ20)+SUMIFS(Funding!$J$71:$BJ$71,Construction!$J$12:$BJ$12,"&lt;="&amp;Time!AJ20)-SUMIFS(Funding!$J$52:$BJ$52,Construction!$J$12:$BJ$12,"&lt;="&amp;Time!AJ20))</f>
        <v/>
      </c>
      <c r="AK16" s="13">
        <f>IF(Time!AK20&gt;=Time!$F$12,AK11,SUMIFS(Funding!$J$49:$BJ$49,Construction!$J$12:$BJ$12,"&lt;="&amp;Time!AK20)-SUMIFS(Funding!$J$44:$BJ$44,Construction!$J$12:$BJ$12,"&lt;="&amp;Time!AK20)-SUMIFS(Construction!$J$28:$BJ$28,Construction!$J$12:$BJ$12,"&lt;="&amp;Time!AK20)+SUMIFS(Funding!$J$71:$BJ$71,Construction!$J$12:$BJ$12,"&lt;="&amp;Time!AK20)-SUMIFS(Funding!$J$52:$BJ$52,Construction!$J$12:$BJ$12,"&lt;="&amp;Time!AK20))</f>
        <v/>
      </c>
      <c r="AL16" s="13">
        <f>IF(Time!AL20&gt;=Time!$F$12,AL11,SUMIFS(Funding!$J$49:$BJ$49,Construction!$J$12:$BJ$12,"&lt;="&amp;Time!AL20)-SUMIFS(Funding!$J$44:$BJ$44,Construction!$J$12:$BJ$12,"&lt;="&amp;Time!AL20)-SUMIFS(Construction!$J$28:$BJ$28,Construction!$J$12:$BJ$12,"&lt;="&amp;Time!AL20)+SUMIFS(Funding!$J$71:$BJ$71,Construction!$J$12:$BJ$12,"&lt;="&amp;Time!AL20)-SUMIFS(Funding!$J$52:$BJ$52,Construction!$J$12:$BJ$12,"&lt;="&amp;Time!AL20))</f>
        <v/>
      </c>
      <c r="AM16" s="13">
        <f>IF(Time!AM20&gt;=Time!$F$12,AM11,SUMIFS(Funding!$J$49:$BJ$49,Construction!$J$12:$BJ$12,"&lt;="&amp;Time!AM20)-SUMIFS(Funding!$J$44:$BJ$44,Construction!$J$12:$BJ$12,"&lt;="&amp;Time!AM20)-SUMIFS(Construction!$J$28:$BJ$28,Construction!$J$12:$BJ$12,"&lt;="&amp;Time!AM20)+SUMIFS(Funding!$J$71:$BJ$71,Construction!$J$12:$BJ$12,"&lt;="&amp;Time!AM20)-SUMIFS(Funding!$J$52:$BJ$52,Construction!$J$12:$BJ$12,"&lt;="&amp;Time!AM20))</f>
        <v/>
      </c>
      <c r="AN16" s="13">
        <f>IF(Time!AN20&gt;=Time!$F$12,AN11,SUMIFS(Funding!$J$49:$BJ$49,Construction!$J$12:$BJ$12,"&lt;="&amp;Time!AN20)-SUMIFS(Funding!$J$44:$BJ$44,Construction!$J$12:$BJ$12,"&lt;="&amp;Time!AN20)-SUMIFS(Construction!$J$28:$BJ$28,Construction!$J$12:$BJ$12,"&lt;="&amp;Time!AN20)+SUMIFS(Funding!$J$71:$BJ$71,Construction!$J$12:$BJ$12,"&lt;="&amp;Time!AN20)-SUMIFS(Funding!$J$52:$BJ$52,Construction!$J$12:$BJ$12,"&lt;="&amp;Time!AN20))</f>
        <v/>
      </c>
      <c r="AO16" s="13">
        <f>IF(Time!AO20&gt;=Time!$F$12,AO11,SUMIFS(Funding!$J$49:$BJ$49,Construction!$J$12:$BJ$12,"&lt;="&amp;Time!AO20)-SUMIFS(Funding!$J$44:$BJ$44,Construction!$J$12:$BJ$12,"&lt;="&amp;Time!AO20)-SUMIFS(Construction!$J$28:$BJ$28,Construction!$J$12:$BJ$12,"&lt;="&amp;Time!AO20)+SUMIFS(Funding!$J$71:$BJ$71,Construction!$J$12:$BJ$12,"&lt;="&amp;Time!AO20)-SUMIFS(Funding!$J$52:$BJ$52,Construction!$J$12:$BJ$12,"&lt;="&amp;Time!AO20))</f>
        <v/>
      </c>
      <c r="AP16" s="13">
        <f>IF(Time!AP20&gt;=Time!$F$12,AP11,SUMIFS(Funding!$J$49:$BJ$49,Construction!$J$12:$BJ$12,"&lt;="&amp;Time!AP20)-SUMIFS(Funding!$J$44:$BJ$44,Construction!$J$12:$BJ$12,"&lt;="&amp;Time!AP20)-SUMIFS(Construction!$J$28:$BJ$28,Construction!$J$12:$BJ$12,"&lt;="&amp;Time!AP20)+SUMIFS(Funding!$J$71:$BJ$71,Construction!$J$12:$BJ$12,"&lt;="&amp;Time!AP20)-SUMIFS(Funding!$J$52:$BJ$52,Construction!$J$12:$BJ$12,"&lt;="&amp;Time!AP20))</f>
        <v/>
      </c>
      <c r="AQ16" s="13">
        <f>IF(Time!AQ20&gt;=Time!$F$12,AQ11,SUMIFS(Funding!$J$49:$BJ$49,Construction!$J$12:$BJ$12,"&lt;="&amp;Time!AQ20)-SUMIFS(Funding!$J$44:$BJ$44,Construction!$J$12:$BJ$12,"&lt;="&amp;Time!AQ20)-SUMIFS(Construction!$J$28:$BJ$28,Construction!$J$12:$BJ$12,"&lt;="&amp;Time!AQ20)+SUMIFS(Funding!$J$71:$BJ$71,Construction!$J$12:$BJ$12,"&lt;="&amp;Time!AQ20)-SUMIFS(Funding!$J$52:$BJ$52,Construction!$J$12:$BJ$12,"&lt;="&amp;Time!AQ20))</f>
        <v/>
      </c>
      <c r="AR16" s="13">
        <f>IF(Time!AR20&gt;=Time!$F$12,AR11,SUMIFS(Funding!$J$49:$BJ$49,Construction!$J$12:$BJ$12,"&lt;="&amp;Time!AR20)-SUMIFS(Funding!$J$44:$BJ$44,Construction!$J$12:$BJ$12,"&lt;="&amp;Time!AR20)-SUMIFS(Construction!$J$28:$BJ$28,Construction!$J$12:$BJ$12,"&lt;="&amp;Time!AR20)+SUMIFS(Funding!$J$71:$BJ$71,Construction!$J$12:$BJ$12,"&lt;="&amp;Time!AR20)-SUMIFS(Funding!$J$52:$BJ$52,Construction!$J$12:$BJ$12,"&lt;="&amp;Time!AR20))</f>
        <v/>
      </c>
      <c r="AS16" s="13">
        <f>IF(Time!AS20&gt;=Time!$F$12,AS11,SUMIFS(Funding!$J$49:$BJ$49,Construction!$J$12:$BJ$12,"&lt;="&amp;Time!AS20)-SUMIFS(Funding!$J$44:$BJ$44,Construction!$J$12:$BJ$12,"&lt;="&amp;Time!AS20)-SUMIFS(Construction!$J$28:$BJ$28,Construction!$J$12:$BJ$12,"&lt;="&amp;Time!AS20)+SUMIFS(Funding!$J$71:$BJ$71,Construction!$J$12:$BJ$12,"&lt;="&amp;Time!AS20)-SUMIFS(Funding!$J$52:$BJ$52,Construction!$J$12:$BJ$12,"&lt;="&amp;Time!AS20))</f>
        <v/>
      </c>
      <c r="AT16" s="13">
        <f>IF(Time!AT20&gt;=Time!$F$12,AT11,SUMIFS(Funding!$J$49:$BJ$49,Construction!$J$12:$BJ$12,"&lt;="&amp;Time!AT20)-SUMIFS(Funding!$J$44:$BJ$44,Construction!$J$12:$BJ$12,"&lt;="&amp;Time!AT20)-SUMIFS(Construction!$J$28:$BJ$28,Construction!$J$12:$BJ$12,"&lt;="&amp;Time!AT20)+SUMIFS(Funding!$J$71:$BJ$71,Construction!$J$12:$BJ$12,"&lt;="&amp;Time!AT20)-SUMIFS(Funding!$J$52:$BJ$52,Construction!$J$12:$BJ$12,"&lt;="&amp;Time!AT20))</f>
        <v/>
      </c>
      <c r="AU16" s="13">
        <f>IF(Time!AU20&gt;=Time!$F$12,AU11,SUMIFS(Funding!$J$49:$BJ$49,Construction!$J$12:$BJ$12,"&lt;="&amp;Time!AU20)-SUMIFS(Funding!$J$44:$BJ$44,Construction!$J$12:$BJ$12,"&lt;="&amp;Time!AU20)-SUMIFS(Construction!$J$28:$BJ$28,Construction!$J$12:$BJ$12,"&lt;="&amp;Time!AU20)+SUMIFS(Funding!$J$71:$BJ$71,Construction!$J$12:$BJ$12,"&lt;="&amp;Time!AU20)-SUMIFS(Funding!$J$52:$BJ$52,Construction!$J$12:$BJ$12,"&lt;="&amp;Time!AU20))</f>
        <v/>
      </c>
      <c r="AV16" s="13">
        <f>IF(Time!AV20&gt;=Time!$F$12,AV11,SUMIFS(Funding!$J$49:$BJ$49,Construction!$J$12:$BJ$12,"&lt;="&amp;Time!AV20)-SUMIFS(Funding!$J$44:$BJ$44,Construction!$J$12:$BJ$12,"&lt;="&amp;Time!AV20)-SUMIFS(Construction!$J$28:$BJ$28,Construction!$J$12:$BJ$12,"&lt;="&amp;Time!AV20)+SUMIFS(Funding!$J$71:$BJ$71,Construction!$J$12:$BJ$12,"&lt;="&amp;Time!AV20)-SUMIFS(Funding!$J$52:$BJ$52,Construction!$J$12:$BJ$12,"&lt;="&amp;Time!AV20))</f>
        <v/>
      </c>
      <c r="AW16" s="13">
        <f>IF(Time!AW20&gt;=Time!$F$12,AW11,SUMIFS(Funding!$J$49:$BJ$49,Construction!$J$12:$BJ$12,"&lt;="&amp;Time!AW20)-SUMIFS(Funding!$J$44:$BJ$44,Construction!$J$12:$BJ$12,"&lt;="&amp;Time!AW20)-SUMIFS(Construction!$J$28:$BJ$28,Construction!$J$12:$BJ$12,"&lt;="&amp;Time!AW20)+SUMIFS(Funding!$J$71:$BJ$71,Construction!$J$12:$BJ$12,"&lt;="&amp;Time!AW20)-SUMIFS(Funding!$J$52:$BJ$52,Construction!$J$12:$BJ$12,"&lt;="&amp;Time!AW20))</f>
        <v/>
      </c>
      <c r="AX16" s="13">
        <f>IF(Time!AX20&gt;=Time!$F$12,AX11,SUMIFS(Funding!$J$49:$BJ$49,Construction!$J$12:$BJ$12,"&lt;="&amp;Time!AX20)-SUMIFS(Funding!$J$44:$BJ$44,Construction!$J$12:$BJ$12,"&lt;="&amp;Time!AX20)-SUMIFS(Construction!$J$28:$BJ$28,Construction!$J$12:$BJ$12,"&lt;="&amp;Time!AX20)+SUMIFS(Funding!$J$71:$BJ$71,Construction!$J$12:$BJ$12,"&lt;="&amp;Time!AX20)-SUMIFS(Funding!$J$52:$BJ$52,Construction!$J$12:$BJ$12,"&lt;="&amp;Time!AX20))</f>
        <v/>
      </c>
      <c r="AY16" s="13">
        <f>IF(Time!AY20&gt;=Time!$F$12,AY11,SUMIFS(Funding!$J$49:$BJ$49,Construction!$J$12:$BJ$12,"&lt;="&amp;Time!AY20)-SUMIFS(Funding!$J$44:$BJ$44,Construction!$J$12:$BJ$12,"&lt;="&amp;Time!AY20)-SUMIFS(Construction!$J$28:$BJ$28,Construction!$J$12:$BJ$12,"&lt;="&amp;Time!AY20)+SUMIFS(Funding!$J$71:$BJ$71,Construction!$J$12:$BJ$12,"&lt;="&amp;Time!AY20)-SUMIFS(Funding!$J$52:$BJ$52,Construction!$J$12:$BJ$12,"&lt;="&amp;Time!AY20))</f>
        <v/>
      </c>
      <c r="AZ16" s="13">
        <f>IF(Time!AZ20&gt;=Time!$F$12,AZ11,SUMIFS(Funding!$J$49:$BJ$49,Construction!$J$12:$BJ$12,"&lt;="&amp;Time!AZ20)-SUMIFS(Funding!$J$44:$BJ$44,Construction!$J$12:$BJ$12,"&lt;="&amp;Time!AZ20)-SUMIFS(Construction!$J$28:$BJ$28,Construction!$J$12:$BJ$12,"&lt;="&amp;Time!AZ20)+SUMIFS(Funding!$J$71:$BJ$71,Construction!$J$12:$BJ$12,"&lt;="&amp;Time!AZ20)-SUMIFS(Funding!$J$52:$BJ$52,Construction!$J$12:$BJ$12,"&lt;="&amp;Time!AZ20))</f>
        <v/>
      </c>
      <c r="BA16" s="13">
        <f>IF(Time!BA20&gt;=Time!$F$12,BA11,SUMIFS(Funding!$J$49:$BJ$49,Construction!$J$12:$BJ$12,"&lt;="&amp;Time!BA20)-SUMIFS(Funding!$J$44:$BJ$44,Construction!$J$12:$BJ$12,"&lt;="&amp;Time!BA20)-SUMIFS(Construction!$J$28:$BJ$28,Construction!$J$12:$BJ$12,"&lt;="&amp;Time!BA20)+SUMIFS(Funding!$J$71:$BJ$71,Construction!$J$12:$BJ$12,"&lt;="&amp;Time!BA20)-SUMIFS(Funding!$J$52:$BJ$52,Construction!$J$12:$BJ$12,"&lt;="&amp;Time!BA20))</f>
        <v/>
      </c>
      <c r="BB16" s="13">
        <f>IF(Time!BB20&gt;=Time!$F$12,BB11,SUMIFS(Funding!$J$49:$BJ$49,Construction!$J$12:$BJ$12,"&lt;="&amp;Time!BB20)-SUMIFS(Funding!$J$44:$BJ$44,Construction!$J$12:$BJ$12,"&lt;="&amp;Time!BB20)-SUMIFS(Construction!$J$28:$BJ$28,Construction!$J$12:$BJ$12,"&lt;="&amp;Time!BB20)+SUMIFS(Funding!$J$71:$BJ$71,Construction!$J$12:$BJ$12,"&lt;="&amp;Time!BB20)-SUMIFS(Funding!$J$52:$BJ$52,Construction!$J$12:$BJ$12,"&lt;="&amp;Time!BB20))</f>
        <v/>
      </c>
      <c r="BC16" s="13">
        <f>IF(Time!BC20&gt;=Time!$F$12,BC11,SUMIFS(Funding!$J$49:$BJ$49,Construction!$J$12:$BJ$12,"&lt;="&amp;Time!BC20)-SUMIFS(Funding!$J$44:$BJ$44,Construction!$J$12:$BJ$12,"&lt;="&amp;Time!BC20)-SUMIFS(Construction!$J$28:$BJ$28,Construction!$J$12:$BJ$12,"&lt;="&amp;Time!BC20)+SUMIFS(Funding!$J$71:$BJ$71,Construction!$J$12:$BJ$12,"&lt;="&amp;Time!BC20)-SUMIFS(Funding!$J$52:$BJ$52,Construction!$J$12:$BJ$12,"&lt;="&amp;Time!BC20))</f>
        <v/>
      </c>
      <c r="BD16" s="13">
        <f>IF(Time!BD20&gt;=Time!$F$12,BD11,SUMIFS(Funding!$J$49:$BJ$49,Construction!$J$12:$BJ$12,"&lt;="&amp;Time!BD20)-SUMIFS(Funding!$J$44:$BJ$44,Construction!$J$12:$BJ$12,"&lt;="&amp;Time!BD20)-SUMIFS(Construction!$J$28:$BJ$28,Construction!$J$12:$BJ$12,"&lt;="&amp;Time!BD20)+SUMIFS(Funding!$J$71:$BJ$71,Construction!$J$12:$BJ$12,"&lt;="&amp;Time!BD20)-SUMIFS(Funding!$J$52:$BJ$52,Construction!$J$12:$BJ$12,"&lt;="&amp;Time!BD20))</f>
        <v/>
      </c>
      <c r="BE16" s="13">
        <f>IF(Time!BE20&gt;=Time!$F$12,BE11,SUMIFS(Funding!$J$49:$BJ$49,Construction!$J$12:$BJ$12,"&lt;="&amp;Time!BE20)-SUMIFS(Funding!$J$44:$BJ$44,Construction!$J$12:$BJ$12,"&lt;="&amp;Time!BE20)-SUMIFS(Construction!$J$28:$BJ$28,Construction!$J$12:$BJ$12,"&lt;="&amp;Time!BE20)+SUMIFS(Funding!$J$71:$BJ$71,Construction!$J$12:$BJ$12,"&lt;="&amp;Time!BE20)-SUMIFS(Funding!$J$52:$BJ$52,Construction!$J$12:$BJ$12,"&lt;="&amp;Time!BE20))</f>
        <v/>
      </c>
      <c r="BF16" s="13">
        <f>IF(Time!BF20&gt;=Time!$F$12,BF11,SUMIFS(Funding!$J$49:$BJ$49,Construction!$J$12:$BJ$12,"&lt;="&amp;Time!BF20)-SUMIFS(Funding!$J$44:$BJ$44,Construction!$J$12:$BJ$12,"&lt;="&amp;Time!BF20)-SUMIFS(Construction!$J$28:$BJ$28,Construction!$J$12:$BJ$12,"&lt;="&amp;Time!BF20)+SUMIFS(Funding!$J$71:$BJ$71,Construction!$J$12:$BJ$12,"&lt;="&amp;Time!BF20)-SUMIFS(Funding!$J$52:$BJ$52,Construction!$J$12:$BJ$12,"&lt;="&amp;Time!BF20))</f>
        <v/>
      </c>
      <c r="BG16" s="13">
        <f>IF(Time!BG20&gt;=Time!$F$12,BG11,SUMIFS(Funding!$J$49:$BJ$49,Construction!$J$12:$BJ$12,"&lt;="&amp;Time!BG20)-SUMIFS(Funding!$J$44:$BJ$44,Construction!$J$12:$BJ$12,"&lt;="&amp;Time!BG20)-SUMIFS(Construction!$J$28:$BJ$28,Construction!$J$12:$BJ$12,"&lt;="&amp;Time!BG20)+SUMIFS(Funding!$J$71:$BJ$71,Construction!$J$12:$BJ$12,"&lt;="&amp;Time!BG20)-SUMIFS(Funding!$J$52:$BJ$52,Construction!$J$12:$BJ$12,"&lt;="&amp;Time!BG20))</f>
        <v/>
      </c>
      <c r="BH16" s="13">
        <f>IF(Time!BH20&gt;=Time!$F$12,BH11,SUMIFS(Funding!$J$49:$BJ$49,Construction!$J$12:$BJ$12,"&lt;="&amp;Time!BH20)-SUMIFS(Funding!$J$44:$BJ$44,Construction!$J$12:$BJ$12,"&lt;="&amp;Time!BH20)-SUMIFS(Construction!$J$28:$BJ$28,Construction!$J$12:$BJ$12,"&lt;="&amp;Time!BH20)+SUMIFS(Funding!$J$71:$BJ$71,Construction!$J$12:$BJ$12,"&lt;="&amp;Time!BH20)-SUMIFS(Funding!$J$52:$BJ$52,Construction!$J$12:$BJ$12,"&lt;="&amp;Time!BH20))</f>
        <v/>
      </c>
      <c r="BI16" s="13">
        <f>IF(Time!BI20&gt;=Time!$F$12,BI11,SUMIFS(Funding!$J$49:$BJ$49,Construction!$J$12:$BJ$12,"&lt;="&amp;Time!BI20)-SUMIFS(Funding!$J$44:$BJ$44,Construction!$J$12:$BJ$12,"&lt;="&amp;Time!BI20)-SUMIFS(Construction!$J$28:$BJ$28,Construction!$J$12:$BJ$12,"&lt;="&amp;Time!BI20)+SUMIFS(Funding!$J$71:$BJ$71,Construction!$J$12:$BJ$12,"&lt;="&amp;Time!BI20)-SUMIFS(Funding!$J$52:$BJ$52,Construction!$J$12:$BJ$12,"&lt;="&amp;Time!BI20))</f>
        <v/>
      </c>
      <c r="BJ16" s="13">
        <f>IF(Time!BJ20&gt;=Time!$F$12,BJ11,SUMIFS(Funding!$J$49:$BJ$49,Construction!$J$12:$BJ$12,"&lt;="&amp;Time!BJ20)-SUMIFS(Funding!$J$44:$BJ$44,Construction!$J$12:$BJ$12,"&lt;="&amp;Time!BJ20)-SUMIFS(Construction!$J$28:$BJ$28,Construction!$J$12:$BJ$12,"&lt;="&amp;Time!BJ20)+SUMIFS(Funding!$J$71:$BJ$71,Construction!$J$12:$BJ$12,"&lt;="&amp;Time!BJ20)-SUMIFS(Funding!$J$52:$BJ$52,Construction!$J$12:$BJ$12,"&lt;="&amp;Time!BJ20))</f>
        <v/>
      </c>
      <c r="BK16" s="13">
        <f>IF(Time!BK20&gt;=Time!$F$12,BK11,SUMIFS(Funding!$J$49:$BJ$49,Construction!$J$12:$BJ$12,"&lt;="&amp;Time!BK20)-SUMIFS(Funding!$J$44:$BJ$44,Construction!$J$12:$BJ$12,"&lt;="&amp;Time!BK20)-SUMIFS(Construction!$J$28:$BJ$28,Construction!$J$12:$BJ$12,"&lt;="&amp;Time!BK20)+SUMIFS(Funding!$J$71:$BJ$71,Construction!$J$12:$BJ$12,"&lt;="&amp;Time!BK20)-SUMIFS(Funding!$J$52:$BJ$52,Construction!$J$12:$BJ$12,"&lt;="&amp;Time!BK20))</f>
        <v/>
      </c>
      <c r="BL16" s="13">
        <f>IF(Time!BL20&gt;=Time!$F$12,BL11,SUMIFS(Funding!$J$49:$BJ$49,Construction!$J$12:$BJ$12,"&lt;="&amp;Time!BL20)-SUMIFS(Funding!$J$44:$BJ$44,Construction!$J$12:$BJ$12,"&lt;="&amp;Time!BL20)-SUMIFS(Construction!$J$28:$BJ$28,Construction!$J$12:$BJ$12,"&lt;="&amp;Time!BL20)+SUMIFS(Funding!$J$71:$BJ$71,Construction!$J$12:$BJ$12,"&lt;="&amp;Time!BL20)-SUMIFS(Funding!$J$52:$BJ$52,Construction!$J$12:$BJ$12,"&lt;="&amp;Time!BL20))</f>
        <v/>
      </c>
      <c r="BM16" s="13">
        <f>IF(Time!BM20&gt;=Time!$F$12,BM11,SUMIFS(Funding!$J$49:$BJ$49,Construction!$J$12:$BJ$12,"&lt;="&amp;Time!BM20)-SUMIFS(Funding!$J$44:$BJ$44,Construction!$J$12:$BJ$12,"&lt;="&amp;Time!BM20)-SUMIFS(Construction!$J$28:$BJ$28,Construction!$J$12:$BJ$12,"&lt;="&amp;Time!BM20)+SUMIFS(Funding!$J$71:$BJ$71,Construction!$J$12:$BJ$12,"&lt;="&amp;Time!BM20)-SUMIFS(Funding!$J$52:$BJ$52,Construction!$J$12:$BJ$12,"&lt;="&amp;Time!BM20))</f>
        <v/>
      </c>
      <c r="BN16" s="13">
        <f>IF(Time!BN20&gt;=Time!$F$12,BN11,SUMIFS(Funding!$J$49:$BJ$49,Construction!$J$12:$BJ$12,"&lt;="&amp;Time!BN20)-SUMIFS(Funding!$J$44:$BJ$44,Construction!$J$12:$BJ$12,"&lt;="&amp;Time!BN20)-SUMIFS(Construction!$J$28:$BJ$28,Construction!$J$12:$BJ$12,"&lt;="&amp;Time!BN20)+SUMIFS(Funding!$J$71:$BJ$71,Construction!$J$12:$BJ$12,"&lt;="&amp;Time!BN20)-SUMIFS(Funding!$J$52:$BJ$52,Construction!$J$12:$BJ$12,"&lt;="&amp;Time!BN20))</f>
        <v/>
      </c>
    </row>
    <row r="17">
      <c r="D17" t="inlineStr">
        <is>
          <t>Cash in project accounts (DSRA, MMRA, handback, lock-up, trapped, compensation)</t>
        </is>
      </c>
      <c r="E17" t="inlineStr">
        <is>
          <t>USD m</t>
        </is>
      </c>
      <c r="J17" s="13">
        <f>Reserves!J13+Reserves!J8+Reserves!J16+Waterfall!J30+Waterfall!J42+Reserves!J17+IF(Time!J20&lt;Time!$F$12,SUMIFS(Funding!$J$52:$BJ$52,Construction!$J$12:$BJ$12,"&lt;="&amp;Time!J20)-SUMIFS(Funding!$J$53:$BJ$53,Construction!$J$12:$BJ$12,"&lt;="&amp;Time!J20),0)</f>
        <v/>
      </c>
      <c r="K17" s="13">
        <f>Reserves!K13+Reserves!K8+Reserves!K16+Waterfall!K30+Waterfall!K42+Reserves!K17+IF(Time!K20&lt;Time!$F$12,SUMIFS(Funding!$J$52:$BJ$52,Construction!$J$12:$BJ$12,"&lt;="&amp;Time!K20)-SUMIFS(Funding!$J$53:$BJ$53,Construction!$J$12:$BJ$12,"&lt;="&amp;Time!K20),0)</f>
        <v/>
      </c>
      <c r="L17" s="13">
        <f>Reserves!L13+Reserves!L8+Reserves!L16+Waterfall!L30+Waterfall!L42+Reserves!L17+IF(Time!L20&lt;Time!$F$12,SUMIFS(Funding!$J$52:$BJ$52,Construction!$J$12:$BJ$12,"&lt;="&amp;Time!L20)-SUMIFS(Funding!$J$53:$BJ$53,Construction!$J$12:$BJ$12,"&lt;="&amp;Time!L20),0)</f>
        <v/>
      </c>
      <c r="M17" s="13">
        <f>Reserves!M13+Reserves!M8+Reserves!M16+Waterfall!M30+Waterfall!M42+Reserves!M17+IF(Time!M20&lt;Time!$F$12,SUMIFS(Funding!$J$52:$BJ$52,Construction!$J$12:$BJ$12,"&lt;="&amp;Time!M20)-SUMIFS(Funding!$J$53:$BJ$53,Construction!$J$12:$BJ$12,"&lt;="&amp;Time!M20),0)</f>
        <v/>
      </c>
      <c r="N17" s="13">
        <f>Reserves!N13+Reserves!N8+Reserves!N16+Waterfall!N30+Waterfall!N42+Reserves!N17+IF(Time!N20&lt;Time!$F$12,SUMIFS(Funding!$J$52:$BJ$52,Construction!$J$12:$BJ$12,"&lt;="&amp;Time!N20)-SUMIFS(Funding!$J$53:$BJ$53,Construction!$J$12:$BJ$12,"&lt;="&amp;Time!N20),0)</f>
        <v/>
      </c>
      <c r="O17" s="13">
        <f>Reserves!O13+Reserves!O8+Reserves!O16+Waterfall!O30+Waterfall!O42+Reserves!O17+IF(Time!O20&lt;Time!$F$12,SUMIFS(Funding!$J$52:$BJ$52,Construction!$J$12:$BJ$12,"&lt;="&amp;Time!O20)-SUMIFS(Funding!$J$53:$BJ$53,Construction!$J$12:$BJ$12,"&lt;="&amp;Time!O20),0)</f>
        <v/>
      </c>
      <c r="P17" s="13">
        <f>Reserves!P13+Reserves!P8+Reserves!P16+Waterfall!P30+Waterfall!P42+Reserves!P17+IF(Time!P20&lt;Time!$F$12,SUMIFS(Funding!$J$52:$BJ$52,Construction!$J$12:$BJ$12,"&lt;="&amp;Time!P20)-SUMIFS(Funding!$J$53:$BJ$53,Construction!$J$12:$BJ$12,"&lt;="&amp;Time!P20),0)</f>
        <v/>
      </c>
      <c r="Q17" s="13">
        <f>Reserves!Q13+Reserves!Q8+Reserves!Q16+Waterfall!Q30+Waterfall!Q42+Reserves!Q17+IF(Time!Q20&lt;Time!$F$12,SUMIFS(Funding!$J$52:$BJ$52,Construction!$J$12:$BJ$12,"&lt;="&amp;Time!Q20)-SUMIFS(Funding!$J$53:$BJ$53,Construction!$J$12:$BJ$12,"&lt;="&amp;Time!Q20),0)</f>
        <v/>
      </c>
      <c r="R17" s="13">
        <f>Reserves!R13+Reserves!R8+Reserves!R16+Waterfall!R30+Waterfall!R42+Reserves!R17+IF(Time!R20&lt;Time!$F$12,SUMIFS(Funding!$J$52:$BJ$52,Construction!$J$12:$BJ$12,"&lt;="&amp;Time!R20)-SUMIFS(Funding!$J$53:$BJ$53,Construction!$J$12:$BJ$12,"&lt;="&amp;Time!R20),0)</f>
        <v/>
      </c>
      <c r="S17" s="13">
        <f>Reserves!S13+Reserves!S8+Reserves!S16+Waterfall!S30+Waterfall!S42+Reserves!S17+IF(Time!S20&lt;Time!$F$12,SUMIFS(Funding!$J$52:$BJ$52,Construction!$J$12:$BJ$12,"&lt;="&amp;Time!S20)-SUMIFS(Funding!$J$53:$BJ$53,Construction!$J$12:$BJ$12,"&lt;="&amp;Time!S20),0)</f>
        <v/>
      </c>
      <c r="T17" s="13">
        <f>Reserves!T13+Reserves!T8+Reserves!T16+Waterfall!T30+Waterfall!T42+Reserves!T17+IF(Time!T20&lt;Time!$F$12,SUMIFS(Funding!$J$52:$BJ$52,Construction!$J$12:$BJ$12,"&lt;="&amp;Time!T20)-SUMIFS(Funding!$J$53:$BJ$53,Construction!$J$12:$BJ$12,"&lt;="&amp;Time!T20),0)</f>
        <v/>
      </c>
      <c r="U17" s="13">
        <f>Reserves!U13+Reserves!U8+Reserves!U16+Waterfall!U30+Waterfall!U42+Reserves!U17+IF(Time!U20&lt;Time!$F$12,SUMIFS(Funding!$J$52:$BJ$52,Construction!$J$12:$BJ$12,"&lt;="&amp;Time!U20)-SUMIFS(Funding!$J$53:$BJ$53,Construction!$J$12:$BJ$12,"&lt;="&amp;Time!U20),0)</f>
        <v/>
      </c>
      <c r="V17" s="13">
        <f>Reserves!V13+Reserves!V8+Reserves!V16+Waterfall!V30+Waterfall!V42+Reserves!V17+IF(Time!V20&lt;Time!$F$12,SUMIFS(Funding!$J$52:$BJ$52,Construction!$J$12:$BJ$12,"&lt;="&amp;Time!V20)-SUMIFS(Funding!$J$53:$BJ$53,Construction!$J$12:$BJ$12,"&lt;="&amp;Time!V20),0)</f>
        <v/>
      </c>
      <c r="W17" s="13">
        <f>Reserves!W13+Reserves!W8+Reserves!W16+Waterfall!W30+Waterfall!W42+Reserves!W17+IF(Time!W20&lt;Time!$F$12,SUMIFS(Funding!$J$52:$BJ$52,Construction!$J$12:$BJ$12,"&lt;="&amp;Time!W20)-SUMIFS(Funding!$J$53:$BJ$53,Construction!$J$12:$BJ$12,"&lt;="&amp;Time!W20),0)</f>
        <v/>
      </c>
      <c r="X17" s="13">
        <f>Reserves!X13+Reserves!X8+Reserves!X16+Waterfall!X30+Waterfall!X42+Reserves!X17+IF(Time!X20&lt;Time!$F$12,SUMIFS(Funding!$J$52:$BJ$52,Construction!$J$12:$BJ$12,"&lt;="&amp;Time!X20)-SUMIFS(Funding!$J$53:$BJ$53,Construction!$J$12:$BJ$12,"&lt;="&amp;Time!X20),0)</f>
        <v/>
      </c>
      <c r="Y17" s="13">
        <f>Reserves!Y13+Reserves!Y8+Reserves!Y16+Waterfall!Y30+Waterfall!Y42+Reserves!Y17+IF(Time!Y20&lt;Time!$F$12,SUMIFS(Funding!$J$52:$BJ$52,Construction!$J$12:$BJ$12,"&lt;="&amp;Time!Y20)-SUMIFS(Funding!$J$53:$BJ$53,Construction!$J$12:$BJ$12,"&lt;="&amp;Time!Y20),0)</f>
        <v/>
      </c>
      <c r="Z17" s="13">
        <f>Reserves!Z13+Reserves!Z8+Reserves!Z16+Waterfall!Z30+Waterfall!Z42+Reserves!Z17+IF(Time!Z20&lt;Time!$F$12,SUMIFS(Funding!$J$52:$BJ$52,Construction!$J$12:$BJ$12,"&lt;="&amp;Time!Z20)-SUMIFS(Funding!$J$53:$BJ$53,Construction!$J$12:$BJ$12,"&lt;="&amp;Time!Z20),0)</f>
        <v/>
      </c>
      <c r="AA17" s="13">
        <f>Reserves!AA13+Reserves!AA8+Reserves!AA16+Waterfall!AA30+Waterfall!AA42+Reserves!AA17+IF(Time!AA20&lt;Time!$F$12,SUMIFS(Funding!$J$52:$BJ$52,Construction!$J$12:$BJ$12,"&lt;="&amp;Time!AA20)-SUMIFS(Funding!$J$53:$BJ$53,Construction!$J$12:$BJ$12,"&lt;="&amp;Time!AA20),0)</f>
        <v/>
      </c>
      <c r="AB17" s="13">
        <f>Reserves!AB13+Reserves!AB8+Reserves!AB16+Waterfall!AB30+Waterfall!AB42+Reserves!AB17+IF(Time!AB20&lt;Time!$F$12,SUMIFS(Funding!$J$52:$BJ$52,Construction!$J$12:$BJ$12,"&lt;="&amp;Time!AB20)-SUMIFS(Funding!$J$53:$BJ$53,Construction!$J$12:$BJ$12,"&lt;="&amp;Time!AB20),0)</f>
        <v/>
      </c>
      <c r="AC17" s="13">
        <f>Reserves!AC13+Reserves!AC8+Reserves!AC16+Waterfall!AC30+Waterfall!AC42+Reserves!AC17+IF(Time!AC20&lt;Time!$F$12,SUMIFS(Funding!$J$52:$BJ$52,Construction!$J$12:$BJ$12,"&lt;="&amp;Time!AC20)-SUMIFS(Funding!$J$53:$BJ$53,Construction!$J$12:$BJ$12,"&lt;="&amp;Time!AC20),0)</f>
        <v/>
      </c>
      <c r="AD17" s="13">
        <f>Reserves!AD13+Reserves!AD8+Reserves!AD16+Waterfall!AD30+Waterfall!AD42+Reserves!AD17+IF(Time!AD20&lt;Time!$F$12,SUMIFS(Funding!$J$52:$BJ$52,Construction!$J$12:$BJ$12,"&lt;="&amp;Time!AD20)-SUMIFS(Funding!$J$53:$BJ$53,Construction!$J$12:$BJ$12,"&lt;="&amp;Time!AD20),0)</f>
        <v/>
      </c>
      <c r="AE17" s="13">
        <f>Reserves!AE13+Reserves!AE8+Reserves!AE16+Waterfall!AE30+Waterfall!AE42+Reserves!AE17+IF(Time!AE20&lt;Time!$F$12,SUMIFS(Funding!$J$52:$BJ$52,Construction!$J$12:$BJ$12,"&lt;="&amp;Time!AE20)-SUMIFS(Funding!$J$53:$BJ$53,Construction!$J$12:$BJ$12,"&lt;="&amp;Time!AE20),0)</f>
        <v/>
      </c>
      <c r="AF17" s="13">
        <f>Reserves!AF13+Reserves!AF8+Reserves!AF16+Waterfall!AF30+Waterfall!AF42+Reserves!AF17+IF(Time!AF20&lt;Time!$F$12,SUMIFS(Funding!$J$52:$BJ$52,Construction!$J$12:$BJ$12,"&lt;="&amp;Time!AF20)-SUMIFS(Funding!$J$53:$BJ$53,Construction!$J$12:$BJ$12,"&lt;="&amp;Time!AF20),0)</f>
        <v/>
      </c>
      <c r="AG17" s="13">
        <f>Reserves!AG13+Reserves!AG8+Reserves!AG16+Waterfall!AG30+Waterfall!AG42+Reserves!AG17+IF(Time!AG20&lt;Time!$F$12,SUMIFS(Funding!$J$52:$BJ$52,Construction!$J$12:$BJ$12,"&lt;="&amp;Time!AG20)-SUMIFS(Funding!$J$53:$BJ$53,Construction!$J$12:$BJ$12,"&lt;="&amp;Time!AG20),0)</f>
        <v/>
      </c>
      <c r="AH17" s="13">
        <f>Reserves!AH13+Reserves!AH8+Reserves!AH16+Waterfall!AH30+Waterfall!AH42+Reserves!AH17+IF(Time!AH20&lt;Time!$F$12,SUMIFS(Funding!$J$52:$BJ$52,Construction!$J$12:$BJ$12,"&lt;="&amp;Time!AH20)-SUMIFS(Funding!$J$53:$BJ$53,Construction!$J$12:$BJ$12,"&lt;="&amp;Time!AH20),0)</f>
        <v/>
      </c>
      <c r="AI17" s="13">
        <f>Reserves!AI13+Reserves!AI8+Reserves!AI16+Waterfall!AI30+Waterfall!AI42+Reserves!AI17+IF(Time!AI20&lt;Time!$F$12,SUMIFS(Funding!$J$52:$BJ$52,Construction!$J$12:$BJ$12,"&lt;="&amp;Time!AI20)-SUMIFS(Funding!$J$53:$BJ$53,Construction!$J$12:$BJ$12,"&lt;="&amp;Time!AI20),0)</f>
        <v/>
      </c>
      <c r="AJ17" s="13">
        <f>Reserves!AJ13+Reserves!AJ8+Reserves!AJ16+Waterfall!AJ30+Waterfall!AJ42+Reserves!AJ17+IF(Time!AJ20&lt;Time!$F$12,SUMIFS(Funding!$J$52:$BJ$52,Construction!$J$12:$BJ$12,"&lt;="&amp;Time!AJ20)-SUMIFS(Funding!$J$53:$BJ$53,Construction!$J$12:$BJ$12,"&lt;="&amp;Time!AJ20),0)</f>
        <v/>
      </c>
      <c r="AK17" s="13">
        <f>Reserves!AK13+Reserves!AK8+Reserves!AK16+Waterfall!AK30+Waterfall!AK42+Reserves!AK17+IF(Time!AK20&lt;Time!$F$12,SUMIFS(Funding!$J$52:$BJ$52,Construction!$J$12:$BJ$12,"&lt;="&amp;Time!AK20)-SUMIFS(Funding!$J$53:$BJ$53,Construction!$J$12:$BJ$12,"&lt;="&amp;Time!AK20),0)</f>
        <v/>
      </c>
      <c r="AL17" s="13">
        <f>Reserves!AL13+Reserves!AL8+Reserves!AL16+Waterfall!AL30+Waterfall!AL42+Reserves!AL17+IF(Time!AL20&lt;Time!$F$12,SUMIFS(Funding!$J$52:$BJ$52,Construction!$J$12:$BJ$12,"&lt;="&amp;Time!AL20)-SUMIFS(Funding!$J$53:$BJ$53,Construction!$J$12:$BJ$12,"&lt;="&amp;Time!AL20),0)</f>
        <v/>
      </c>
      <c r="AM17" s="13">
        <f>Reserves!AM13+Reserves!AM8+Reserves!AM16+Waterfall!AM30+Waterfall!AM42+Reserves!AM17+IF(Time!AM20&lt;Time!$F$12,SUMIFS(Funding!$J$52:$BJ$52,Construction!$J$12:$BJ$12,"&lt;="&amp;Time!AM20)-SUMIFS(Funding!$J$53:$BJ$53,Construction!$J$12:$BJ$12,"&lt;="&amp;Time!AM20),0)</f>
        <v/>
      </c>
      <c r="AN17" s="13">
        <f>Reserves!AN13+Reserves!AN8+Reserves!AN16+Waterfall!AN30+Waterfall!AN42+Reserves!AN17+IF(Time!AN20&lt;Time!$F$12,SUMIFS(Funding!$J$52:$BJ$52,Construction!$J$12:$BJ$12,"&lt;="&amp;Time!AN20)-SUMIFS(Funding!$J$53:$BJ$53,Construction!$J$12:$BJ$12,"&lt;="&amp;Time!AN20),0)</f>
        <v/>
      </c>
      <c r="AO17" s="13">
        <f>Reserves!AO13+Reserves!AO8+Reserves!AO16+Waterfall!AO30+Waterfall!AO42+Reserves!AO17+IF(Time!AO20&lt;Time!$F$12,SUMIFS(Funding!$J$52:$BJ$52,Construction!$J$12:$BJ$12,"&lt;="&amp;Time!AO20)-SUMIFS(Funding!$J$53:$BJ$53,Construction!$J$12:$BJ$12,"&lt;="&amp;Time!AO20),0)</f>
        <v/>
      </c>
      <c r="AP17" s="13">
        <f>Reserves!AP13+Reserves!AP8+Reserves!AP16+Waterfall!AP30+Waterfall!AP42+Reserves!AP17+IF(Time!AP20&lt;Time!$F$12,SUMIFS(Funding!$J$52:$BJ$52,Construction!$J$12:$BJ$12,"&lt;="&amp;Time!AP20)-SUMIFS(Funding!$J$53:$BJ$53,Construction!$J$12:$BJ$12,"&lt;="&amp;Time!AP20),0)</f>
        <v/>
      </c>
      <c r="AQ17" s="13">
        <f>Reserves!AQ13+Reserves!AQ8+Reserves!AQ16+Waterfall!AQ30+Waterfall!AQ42+Reserves!AQ17+IF(Time!AQ20&lt;Time!$F$12,SUMIFS(Funding!$J$52:$BJ$52,Construction!$J$12:$BJ$12,"&lt;="&amp;Time!AQ20)-SUMIFS(Funding!$J$53:$BJ$53,Construction!$J$12:$BJ$12,"&lt;="&amp;Time!AQ20),0)</f>
        <v/>
      </c>
      <c r="AR17" s="13">
        <f>Reserves!AR13+Reserves!AR8+Reserves!AR16+Waterfall!AR30+Waterfall!AR42+Reserves!AR17+IF(Time!AR20&lt;Time!$F$12,SUMIFS(Funding!$J$52:$BJ$52,Construction!$J$12:$BJ$12,"&lt;="&amp;Time!AR20)-SUMIFS(Funding!$J$53:$BJ$53,Construction!$J$12:$BJ$12,"&lt;="&amp;Time!AR20),0)</f>
        <v/>
      </c>
      <c r="AS17" s="13">
        <f>Reserves!AS13+Reserves!AS8+Reserves!AS16+Waterfall!AS30+Waterfall!AS42+Reserves!AS17+IF(Time!AS20&lt;Time!$F$12,SUMIFS(Funding!$J$52:$BJ$52,Construction!$J$12:$BJ$12,"&lt;="&amp;Time!AS20)-SUMIFS(Funding!$J$53:$BJ$53,Construction!$J$12:$BJ$12,"&lt;="&amp;Time!AS20),0)</f>
        <v/>
      </c>
      <c r="AT17" s="13">
        <f>Reserves!AT13+Reserves!AT8+Reserves!AT16+Waterfall!AT30+Waterfall!AT42+Reserves!AT17+IF(Time!AT20&lt;Time!$F$12,SUMIFS(Funding!$J$52:$BJ$52,Construction!$J$12:$BJ$12,"&lt;="&amp;Time!AT20)-SUMIFS(Funding!$J$53:$BJ$53,Construction!$J$12:$BJ$12,"&lt;="&amp;Time!AT20),0)</f>
        <v/>
      </c>
      <c r="AU17" s="13">
        <f>Reserves!AU13+Reserves!AU8+Reserves!AU16+Waterfall!AU30+Waterfall!AU42+Reserves!AU17+IF(Time!AU20&lt;Time!$F$12,SUMIFS(Funding!$J$52:$BJ$52,Construction!$J$12:$BJ$12,"&lt;="&amp;Time!AU20)-SUMIFS(Funding!$J$53:$BJ$53,Construction!$J$12:$BJ$12,"&lt;="&amp;Time!AU20),0)</f>
        <v/>
      </c>
      <c r="AV17" s="13">
        <f>Reserves!AV13+Reserves!AV8+Reserves!AV16+Waterfall!AV30+Waterfall!AV42+Reserves!AV17+IF(Time!AV20&lt;Time!$F$12,SUMIFS(Funding!$J$52:$BJ$52,Construction!$J$12:$BJ$12,"&lt;="&amp;Time!AV20)-SUMIFS(Funding!$J$53:$BJ$53,Construction!$J$12:$BJ$12,"&lt;="&amp;Time!AV20),0)</f>
        <v/>
      </c>
      <c r="AW17" s="13">
        <f>Reserves!AW13+Reserves!AW8+Reserves!AW16+Waterfall!AW30+Waterfall!AW42+Reserves!AW17+IF(Time!AW20&lt;Time!$F$12,SUMIFS(Funding!$J$52:$BJ$52,Construction!$J$12:$BJ$12,"&lt;="&amp;Time!AW20)-SUMIFS(Funding!$J$53:$BJ$53,Construction!$J$12:$BJ$12,"&lt;="&amp;Time!AW20),0)</f>
        <v/>
      </c>
      <c r="AX17" s="13">
        <f>Reserves!AX13+Reserves!AX8+Reserves!AX16+Waterfall!AX30+Waterfall!AX42+Reserves!AX17+IF(Time!AX20&lt;Time!$F$12,SUMIFS(Funding!$J$52:$BJ$52,Construction!$J$12:$BJ$12,"&lt;="&amp;Time!AX20)-SUMIFS(Funding!$J$53:$BJ$53,Construction!$J$12:$BJ$12,"&lt;="&amp;Time!AX20),0)</f>
        <v/>
      </c>
      <c r="AY17" s="13">
        <f>Reserves!AY13+Reserves!AY8+Reserves!AY16+Waterfall!AY30+Waterfall!AY42+Reserves!AY17+IF(Time!AY20&lt;Time!$F$12,SUMIFS(Funding!$J$52:$BJ$52,Construction!$J$12:$BJ$12,"&lt;="&amp;Time!AY20)-SUMIFS(Funding!$J$53:$BJ$53,Construction!$J$12:$BJ$12,"&lt;="&amp;Time!AY20),0)</f>
        <v/>
      </c>
      <c r="AZ17" s="13">
        <f>Reserves!AZ13+Reserves!AZ8+Reserves!AZ16+Waterfall!AZ30+Waterfall!AZ42+Reserves!AZ17+IF(Time!AZ20&lt;Time!$F$12,SUMIFS(Funding!$J$52:$BJ$52,Construction!$J$12:$BJ$12,"&lt;="&amp;Time!AZ20)-SUMIFS(Funding!$J$53:$BJ$53,Construction!$J$12:$BJ$12,"&lt;="&amp;Time!AZ20),0)</f>
        <v/>
      </c>
      <c r="BA17" s="13">
        <f>Reserves!BA13+Reserves!BA8+Reserves!BA16+Waterfall!BA30+Waterfall!BA42+Reserves!BA17+IF(Time!BA20&lt;Time!$F$12,SUMIFS(Funding!$J$52:$BJ$52,Construction!$J$12:$BJ$12,"&lt;="&amp;Time!BA20)-SUMIFS(Funding!$J$53:$BJ$53,Construction!$J$12:$BJ$12,"&lt;="&amp;Time!BA20),0)</f>
        <v/>
      </c>
      <c r="BB17" s="13">
        <f>Reserves!BB13+Reserves!BB8+Reserves!BB16+Waterfall!BB30+Waterfall!BB42+Reserves!BB17+IF(Time!BB20&lt;Time!$F$12,SUMIFS(Funding!$J$52:$BJ$52,Construction!$J$12:$BJ$12,"&lt;="&amp;Time!BB20)-SUMIFS(Funding!$J$53:$BJ$53,Construction!$J$12:$BJ$12,"&lt;="&amp;Time!BB20),0)</f>
        <v/>
      </c>
      <c r="BC17" s="13">
        <f>Reserves!BC13+Reserves!BC8+Reserves!BC16+Waterfall!BC30+Waterfall!BC42+Reserves!BC17+IF(Time!BC20&lt;Time!$F$12,SUMIFS(Funding!$J$52:$BJ$52,Construction!$J$12:$BJ$12,"&lt;="&amp;Time!BC20)-SUMIFS(Funding!$J$53:$BJ$53,Construction!$J$12:$BJ$12,"&lt;="&amp;Time!BC20),0)</f>
        <v/>
      </c>
      <c r="BD17" s="13">
        <f>Reserves!BD13+Reserves!BD8+Reserves!BD16+Waterfall!BD30+Waterfall!BD42+Reserves!BD17+IF(Time!BD20&lt;Time!$F$12,SUMIFS(Funding!$J$52:$BJ$52,Construction!$J$12:$BJ$12,"&lt;="&amp;Time!BD20)-SUMIFS(Funding!$J$53:$BJ$53,Construction!$J$12:$BJ$12,"&lt;="&amp;Time!BD20),0)</f>
        <v/>
      </c>
      <c r="BE17" s="13">
        <f>Reserves!BE13+Reserves!BE8+Reserves!BE16+Waterfall!BE30+Waterfall!BE42+Reserves!BE17+IF(Time!BE20&lt;Time!$F$12,SUMIFS(Funding!$J$52:$BJ$52,Construction!$J$12:$BJ$12,"&lt;="&amp;Time!BE20)-SUMIFS(Funding!$J$53:$BJ$53,Construction!$J$12:$BJ$12,"&lt;="&amp;Time!BE20),0)</f>
        <v/>
      </c>
      <c r="BF17" s="13">
        <f>Reserves!BF13+Reserves!BF8+Reserves!BF16+Waterfall!BF30+Waterfall!BF42+Reserves!BF17+IF(Time!BF20&lt;Time!$F$12,SUMIFS(Funding!$J$52:$BJ$52,Construction!$J$12:$BJ$12,"&lt;="&amp;Time!BF20)-SUMIFS(Funding!$J$53:$BJ$53,Construction!$J$12:$BJ$12,"&lt;="&amp;Time!BF20),0)</f>
        <v/>
      </c>
      <c r="BG17" s="13">
        <f>Reserves!BG13+Reserves!BG8+Reserves!BG16+Waterfall!BG30+Waterfall!BG42+Reserves!BG17+IF(Time!BG20&lt;Time!$F$12,SUMIFS(Funding!$J$52:$BJ$52,Construction!$J$12:$BJ$12,"&lt;="&amp;Time!BG20)-SUMIFS(Funding!$J$53:$BJ$53,Construction!$J$12:$BJ$12,"&lt;="&amp;Time!BG20),0)</f>
        <v/>
      </c>
      <c r="BH17" s="13">
        <f>Reserves!BH13+Reserves!BH8+Reserves!BH16+Waterfall!BH30+Waterfall!BH42+Reserves!BH17+IF(Time!BH20&lt;Time!$F$12,SUMIFS(Funding!$J$52:$BJ$52,Construction!$J$12:$BJ$12,"&lt;="&amp;Time!BH20)-SUMIFS(Funding!$J$53:$BJ$53,Construction!$J$12:$BJ$12,"&lt;="&amp;Time!BH20),0)</f>
        <v/>
      </c>
      <c r="BI17" s="13">
        <f>Reserves!BI13+Reserves!BI8+Reserves!BI16+Waterfall!BI30+Waterfall!BI42+Reserves!BI17+IF(Time!BI20&lt;Time!$F$12,SUMIFS(Funding!$J$52:$BJ$52,Construction!$J$12:$BJ$12,"&lt;="&amp;Time!BI20)-SUMIFS(Funding!$J$53:$BJ$53,Construction!$J$12:$BJ$12,"&lt;="&amp;Time!BI20),0)</f>
        <v/>
      </c>
      <c r="BJ17" s="13">
        <f>Reserves!BJ13+Reserves!BJ8+Reserves!BJ16+Waterfall!BJ30+Waterfall!BJ42+Reserves!BJ17+IF(Time!BJ20&lt;Time!$F$12,SUMIFS(Funding!$J$52:$BJ$52,Construction!$J$12:$BJ$12,"&lt;="&amp;Time!BJ20)-SUMIFS(Funding!$J$53:$BJ$53,Construction!$J$12:$BJ$12,"&lt;="&amp;Time!BJ20),0)</f>
        <v/>
      </c>
      <c r="BK17" s="13">
        <f>Reserves!BK13+Reserves!BK8+Reserves!BK16+Waterfall!BK30+Waterfall!BK42+Reserves!BK17+IF(Time!BK20&lt;Time!$F$12,SUMIFS(Funding!$J$52:$BJ$52,Construction!$J$12:$BJ$12,"&lt;="&amp;Time!BK20)-SUMIFS(Funding!$J$53:$BJ$53,Construction!$J$12:$BJ$12,"&lt;="&amp;Time!BK20),0)</f>
        <v/>
      </c>
      <c r="BL17" s="13">
        <f>Reserves!BL13+Reserves!BL8+Reserves!BL16+Waterfall!BL30+Waterfall!BL42+Reserves!BL17+IF(Time!BL20&lt;Time!$F$12,SUMIFS(Funding!$J$52:$BJ$52,Construction!$J$12:$BJ$12,"&lt;="&amp;Time!BL20)-SUMIFS(Funding!$J$53:$BJ$53,Construction!$J$12:$BJ$12,"&lt;="&amp;Time!BL20),0)</f>
        <v/>
      </c>
      <c r="BM17" s="13">
        <f>Reserves!BM13+Reserves!BM8+Reserves!BM16+Waterfall!BM30+Waterfall!BM42+Reserves!BM17+IF(Time!BM20&lt;Time!$F$12,SUMIFS(Funding!$J$52:$BJ$52,Construction!$J$12:$BJ$12,"&lt;="&amp;Time!BM20)-SUMIFS(Funding!$J$53:$BJ$53,Construction!$J$12:$BJ$12,"&lt;="&amp;Time!BM20),0)</f>
        <v/>
      </c>
      <c r="BN17" s="13">
        <f>Reserves!BN13+Reserves!BN8+Reserves!BN16+Waterfall!BN30+Waterfall!BN42+Reserves!BN17+IF(Time!BN20&lt;Time!$F$12,SUMIFS(Funding!$J$52:$BJ$52,Construction!$J$12:$BJ$12,"&lt;="&amp;Time!BN20)-SUMIFS(Funding!$J$53:$BJ$53,Construction!$J$12:$BJ$12,"&lt;="&amp;Time!BN20),0)</f>
        <v/>
      </c>
    </row>
    <row r="18">
      <c r="D18" t="inlineStr">
        <is>
          <t>Receivables (incl. overdue)</t>
        </is>
      </c>
      <c r="E18" t="inlineStr">
        <is>
          <t>USD m</t>
        </is>
      </c>
      <c r="J18" s="13">
        <f>Operations!J88+Operations!J89</f>
        <v/>
      </c>
      <c r="K18" s="13">
        <f>Operations!K88+Operations!K89</f>
        <v/>
      </c>
      <c r="L18" s="13">
        <f>Operations!L88+Operations!L89</f>
        <v/>
      </c>
      <c r="M18" s="13">
        <f>Operations!M88+Operations!M89</f>
        <v/>
      </c>
      <c r="N18" s="13">
        <f>Operations!N88+Operations!N89</f>
        <v/>
      </c>
      <c r="O18" s="13">
        <f>Operations!O88+Operations!O89</f>
        <v/>
      </c>
      <c r="P18" s="13">
        <f>Operations!P88+Operations!P89</f>
        <v/>
      </c>
      <c r="Q18" s="13">
        <f>Operations!Q88+Operations!Q89</f>
        <v/>
      </c>
      <c r="R18" s="13">
        <f>Operations!R88+Operations!R89</f>
        <v/>
      </c>
      <c r="S18" s="13">
        <f>Operations!S88+Operations!S89</f>
        <v/>
      </c>
      <c r="T18" s="13">
        <f>Operations!T88+Operations!T89</f>
        <v/>
      </c>
      <c r="U18" s="13">
        <f>Operations!U88+Operations!U89</f>
        <v/>
      </c>
      <c r="V18" s="13">
        <f>Operations!V88+Operations!V89</f>
        <v/>
      </c>
      <c r="W18" s="13">
        <f>Operations!W88+Operations!W89</f>
        <v/>
      </c>
      <c r="X18" s="13">
        <f>Operations!X88+Operations!X89</f>
        <v/>
      </c>
      <c r="Y18" s="13">
        <f>Operations!Y88+Operations!Y89</f>
        <v/>
      </c>
      <c r="Z18" s="13">
        <f>Operations!Z88+Operations!Z89</f>
        <v/>
      </c>
      <c r="AA18" s="13">
        <f>Operations!AA88+Operations!AA89</f>
        <v/>
      </c>
      <c r="AB18" s="13">
        <f>Operations!AB88+Operations!AB89</f>
        <v/>
      </c>
      <c r="AC18" s="13">
        <f>Operations!AC88+Operations!AC89</f>
        <v/>
      </c>
      <c r="AD18" s="13">
        <f>Operations!AD88+Operations!AD89</f>
        <v/>
      </c>
      <c r="AE18" s="13">
        <f>Operations!AE88+Operations!AE89</f>
        <v/>
      </c>
      <c r="AF18" s="13">
        <f>Operations!AF88+Operations!AF89</f>
        <v/>
      </c>
      <c r="AG18" s="13">
        <f>Operations!AG88+Operations!AG89</f>
        <v/>
      </c>
      <c r="AH18" s="13">
        <f>Operations!AH88+Operations!AH89</f>
        <v/>
      </c>
      <c r="AI18" s="13">
        <f>Operations!AI88+Operations!AI89</f>
        <v/>
      </c>
      <c r="AJ18" s="13">
        <f>Operations!AJ88+Operations!AJ89</f>
        <v/>
      </c>
      <c r="AK18" s="13">
        <f>Operations!AK88+Operations!AK89</f>
        <v/>
      </c>
      <c r="AL18" s="13">
        <f>Operations!AL88+Operations!AL89</f>
        <v/>
      </c>
      <c r="AM18" s="13">
        <f>Operations!AM88+Operations!AM89</f>
        <v/>
      </c>
      <c r="AN18" s="13">
        <f>Operations!AN88+Operations!AN89</f>
        <v/>
      </c>
      <c r="AO18" s="13">
        <f>Operations!AO88+Operations!AO89</f>
        <v/>
      </c>
      <c r="AP18" s="13">
        <f>Operations!AP88+Operations!AP89</f>
        <v/>
      </c>
      <c r="AQ18" s="13">
        <f>Operations!AQ88+Operations!AQ89</f>
        <v/>
      </c>
      <c r="AR18" s="13">
        <f>Operations!AR88+Operations!AR89</f>
        <v/>
      </c>
      <c r="AS18" s="13">
        <f>Operations!AS88+Operations!AS89</f>
        <v/>
      </c>
      <c r="AT18" s="13">
        <f>Operations!AT88+Operations!AT89</f>
        <v/>
      </c>
      <c r="AU18" s="13">
        <f>Operations!AU88+Operations!AU89</f>
        <v/>
      </c>
      <c r="AV18" s="13">
        <f>Operations!AV88+Operations!AV89</f>
        <v/>
      </c>
      <c r="AW18" s="13">
        <f>Operations!AW88+Operations!AW89</f>
        <v/>
      </c>
      <c r="AX18" s="13">
        <f>Operations!AX88+Operations!AX89</f>
        <v/>
      </c>
      <c r="AY18" s="13">
        <f>Operations!AY88+Operations!AY89</f>
        <v/>
      </c>
      <c r="AZ18" s="13">
        <f>Operations!AZ88+Operations!AZ89</f>
        <v/>
      </c>
      <c r="BA18" s="13">
        <f>Operations!BA88+Operations!BA89</f>
        <v/>
      </c>
      <c r="BB18" s="13">
        <f>Operations!BB88+Operations!BB89</f>
        <v/>
      </c>
      <c r="BC18" s="13">
        <f>Operations!BC88+Operations!BC89</f>
        <v/>
      </c>
      <c r="BD18" s="13">
        <f>Operations!BD88+Operations!BD89</f>
        <v/>
      </c>
      <c r="BE18" s="13">
        <f>Operations!BE88+Operations!BE89</f>
        <v/>
      </c>
      <c r="BF18" s="13">
        <f>Operations!BF88+Operations!BF89</f>
        <v/>
      </c>
      <c r="BG18" s="13">
        <f>Operations!BG88+Operations!BG89</f>
        <v/>
      </c>
      <c r="BH18" s="13">
        <f>Operations!BH88+Operations!BH89</f>
        <v/>
      </c>
      <c r="BI18" s="13">
        <f>Operations!BI88+Operations!BI89</f>
        <v/>
      </c>
      <c r="BJ18" s="13">
        <f>Operations!BJ88+Operations!BJ89</f>
        <v/>
      </c>
      <c r="BK18" s="13">
        <f>Operations!BK88+Operations!BK89</f>
        <v/>
      </c>
      <c r="BL18" s="13">
        <f>Operations!BL88+Operations!BL89</f>
        <v/>
      </c>
      <c r="BM18" s="13">
        <f>Operations!BM88+Operations!BM89</f>
        <v/>
      </c>
      <c r="BN18" s="13">
        <f>Operations!BN88+Operations!BN89</f>
        <v/>
      </c>
    </row>
    <row r="19">
      <c r="D19" t="inlineStr">
        <is>
          <t>Spares inventory</t>
        </is>
      </c>
      <c r="E19" t="inlineStr">
        <is>
          <t>USD m</t>
        </is>
      </c>
      <c r="J19" s="13">
        <f>IF(Time!J20&lt;Time!$F$12,SUMIFS(Construction!$J$28:$BJ$28,Construction!$J$12:$BJ$12,"&lt;="&amp;Time!J20),IF(Time!J20&lt;Time!$F$15,Inputs!$F$67*Inputs!$F$36,0))</f>
        <v/>
      </c>
      <c r="K19" s="13">
        <f>IF(Time!K20&lt;Time!$F$12,SUMIFS(Construction!$J$28:$BJ$28,Construction!$J$12:$BJ$12,"&lt;="&amp;Time!K20),IF(Time!K20&lt;Time!$F$15,Inputs!$F$67*Inputs!$F$36,0))</f>
        <v/>
      </c>
      <c r="L19" s="13">
        <f>IF(Time!L20&lt;Time!$F$12,SUMIFS(Construction!$J$28:$BJ$28,Construction!$J$12:$BJ$12,"&lt;="&amp;Time!L20),IF(Time!L20&lt;Time!$F$15,Inputs!$F$67*Inputs!$F$36,0))</f>
        <v/>
      </c>
      <c r="M19" s="13">
        <f>IF(Time!M20&lt;Time!$F$12,SUMIFS(Construction!$J$28:$BJ$28,Construction!$J$12:$BJ$12,"&lt;="&amp;Time!M20),IF(Time!M20&lt;Time!$F$15,Inputs!$F$67*Inputs!$F$36,0))</f>
        <v/>
      </c>
      <c r="N19" s="13">
        <f>IF(Time!N20&lt;Time!$F$12,SUMIFS(Construction!$J$28:$BJ$28,Construction!$J$12:$BJ$12,"&lt;="&amp;Time!N20),IF(Time!N20&lt;Time!$F$15,Inputs!$F$67*Inputs!$F$36,0))</f>
        <v/>
      </c>
      <c r="O19" s="13">
        <f>IF(Time!O20&lt;Time!$F$12,SUMIFS(Construction!$J$28:$BJ$28,Construction!$J$12:$BJ$12,"&lt;="&amp;Time!O20),IF(Time!O20&lt;Time!$F$15,Inputs!$F$67*Inputs!$F$36,0))</f>
        <v/>
      </c>
      <c r="P19" s="13">
        <f>IF(Time!P20&lt;Time!$F$12,SUMIFS(Construction!$J$28:$BJ$28,Construction!$J$12:$BJ$12,"&lt;="&amp;Time!P20),IF(Time!P20&lt;Time!$F$15,Inputs!$F$67*Inputs!$F$36,0))</f>
        <v/>
      </c>
      <c r="Q19" s="13">
        <f>IF(Time!Q20&lt;Time!$F$12,SUMIFS(Construction!$J$28:$BJ$28,Construction!$J$12:$BJ$12,"&lt;="&amp;Time!Q20),IF(Time!Q20&lt;Time!$F$15,Inputs!$F$67*Inputs!$F$36,0))</f>
        <v/>
      </c>
      <c r="R19" s="13">
        <f>IF(Time!R20&lt;Time!$F$12,SUMIFS(Construction!$J$28:$BJ$28,Construction!$J$12:$BJ$12,"&lt;="&amp;Time!R20),IF(Time!R20&lt;Time!$F$15,Inputs!$F$67*Inputs!$F$36,0))</f>
        <v/>
      </c>
      <c r="S19" s="13">
        <f>IF(Time!S20&lt;Time!$F$12,SUMIFS(Construction!$J$28:$BJ$28,Construction!$J$12:$BJ$12,"&lt;="&amp;Time!S20),IF(Time!S20&lt;Time!$F$15,Inputs!$F$67*Inputs!$F$36,0))</f>
        <v/>
      </c>
      <c r="T19" s="13">
        <f>IF(Time!T20&lt;Time!$F$12,SUMIFS(Construction!$J$28:$BJ$28,Construction!$J$12:$BJ$12,"&lt;="&amp;Time!T20),IF(Time!T20&lt;Time!$F$15,Inputs!$F$67*Inputs!$F$36,0))</f>
        <v/>
      </c>
      <c r="U19" s="13">
        <f>IF(Time!U20&lt;Time!$F$12,SUMIFS(Construction!$J$28:$BJ$28,Construction!$J$12:$BJ$12,"&lt;="&amp;Time!U20),IF(Time!U20&lt;Time!$F$15,Inputs!$F$67*Inputs!$F$36,0))</f>
        <v/>
      </c>
      <c r="V19" s="13">
        <f>IF(Time!V20&lt;Time!$F$12,SUMIFS(Construction!$J$28:$BJ$28,Construction!$J$12:$BJ$12,"&lt;="&amp;Time!V20),IF(Time!V20&lt;Time!$F$15,Inputs!$F$67*Inputs!$F$36,0))</f>
        <v/>
      </c>
      <c r="W19" s="13">
        <f>IF(Time!W20&lt;Time!$F$12,SUMIFS(Construction!$J$28:$BJ$28,Construction!$J$12:$BJ$12,"&lt;="&amp;Time!W20),IF(Time!W20&lt;Time!$F$15,Inputs!$F$67*Inputs!$F$36,0))</f>
        <v/>
      </c>
      <c r="X19" s="13">
        <f>IF(Time!X20&lt;Time!$F$12,SUMIFS(Construction!$J$28:$BJ$28,Construction!$J$12:$BJ$12,"&lt;="&amp;Time!X20),IF(Time!X20&lt;Time!$F$15,Inputs!$F$67*Inputs!$F$36,0))</f>
        <v/>
      </c>
      <c r="Y19" s="13">
        <f>IF(Time!Y20&lt;Time!$F$12,SUMIFS(Construction!$J$28:$BJ$28,Construction!$J$12:$BJ$12,"&lt;="&amp;Time!Y20),IF(Time!Y20&lt;Time!$F$15,Inputs!$F$67*Inputs!$F$36,0))</f>
        <v/>
      </c>
      <c r="Z19" s="13">
        <f>IF(Time!Z20&lt;Time!$F$12,SUMIFS(Construction!$J$28:$BJ$28,Construction!$J$12:$BJ$12,"&lt;="&amp;Time!Z20),IF(Time!Z20&lt;Time!$F$15,Inputs!$F$67*Inputs!$F$36,0))</f>
        <v/>
      </c>
      <c r="AA19" s="13">
        <f>IF(Time!AA20&lt;Time!$F$12,SUMIFS(Construction!$J$28:$BJ$28,Construction!$J$12:$BJ$12,"&lt;="&amp;Time!AA20),IF(Time!AA20&lt;Time!$F$15,Inputs!$F$67*Inputs!$F$36,0))</f>
        <v/>
      </c>
      <c r="AB19" s="13">
        <f>IF(Time!AB20&lt;Time!$F$12,SUMIFS(Construction!$J$28:$BJ$28,Construction!$J$12:$BJ$12,"&lt;="&amp;Time!AB20),IF(Time!AB20&lt;Time!$F$15,Inputs!$F$67*Inputs!$F$36,0))</f>
        <v/>
      </c>
      <c r="AC19" s="13">
        <f>IF(Time!AC20&lt;Time!$F$12,SUMIFS(Construction!$J$28:$BJ$28,Construction!$J$12:$BJ$12,"&lt;="&amp;Time!AC20),IF(Time!AC20&lt;Time!$F$15,Inputs!$F$67*Inputs!$F$36,0))</f>
        <v/>
      </c>
      <c r="AD19" s="13">
        <f>IF(Time!AD20&lt;Time!$F$12,SUMIFS(Construction!$J$28:$BJ$28,Construction!$J$12:$BJ$12,"&lt;="&amp;Time!AD20),IF(Time!AD20&lt;Time!$F$15,Inputs!$F$67*Inputs!$F$36,0))</f>
        <v/>
      </c>
      <c r="AE19" s="13">
        <f>IF(Time!AE20&lt;Time!$F$12,SUMIFS(Construction!$J$28:$BJ$28,Construction!$J$12:$BJ$12,"&lt;="&amp;Time!AE20),IF(Time!AE20&lt;Time!$F$15,Inputs!$F$67*Inputs!$F$36,0))</f>
        <v/>
      </c>
      <c r="AF19" s="13">
        <f>IF(Time!AF20&lt;Time!$F$12,SUMIFS(Construction!$J$28:$BJ$28,Construction!$J$12:$BJ$12,"&lt;="&amp;Time!AF20),IF(Time!AF20&lt;Time!$F$15,Inputs!$F$67*Inputs!$F$36,0))</f>
        <v/>
      </c>
      <c r="AG19" s="13">
        <f>IF(Time!AG20&lt;Time!$F$12,SUMIFS(Construction!$J$28:$BJ$28,Construction!$J$12:$BJ$12,"&lt;="&amp;Time!AG20),IF(Time!AG20&lt;Time!$F$15,Inputs!$F$67*Inputs!$F$36,0))</f>
        <v/>
      </c>
      <c r="AH19" s="13">
        <f>IF(Time!AH20&lt;Time!$F$12,SUMIFS(Construction!$J$28:$BJ$28,Construction!$J$12:$BJ$12,"&lt;="&amp;Time!AH20),IF(Time!AH20&lt;Time!$F$15,Inputs!$F$67*Inputs!$F$36,0))</f>
        <v/>
      </c>
      <c r="AI19" s="13">
        <f>IF(Time!AI20&lt;Time!$F$12,SUMIFS(Construction!$J$28:$BJ$28,Construction!$J$12:$BJ$12,"&lt;="&amp;Time!AI20),IF(Time!AI20&lt;Time!$F$15,Inputs!$F$67*Inputs!$F$36,0))</f>
        <v/>
      </c>
      <c r="AJ19" s="13">
        <f>IF(Time!AJ20&lt;Time!$F$12,SUMIFS(Construction!$J$28:$BJ$28,Construction!$J$12:$BJ$12,"&lt;="&amp;Time!AJ20),IF(Time!AJ20&lt;Time!$F$15,Inputs!$F$67*Inputs!$F$36,0))</f>
        <v/>
      </c>
      <c r="AK19" s="13">
        <f>IF(Time!AK20&lt;Time!$F$12,SUMIFS(Construction!$J$28:$BJ$28,Construction!$J$12:$BJ$12,"&lt;="&amp;Time!AK20),IF(Time!AK20&lt;Time!$F$15,Inputs!$F$67*Inputs!$F$36,0))</f>
        <v/>
      </c>
      <c r="AL19" s="13">
        <f>IF(Time!AL20&lt;Time!$F$12,SUMIFS(Construction!$J$28:$BJ$28,Construction!$J$12:$BJ$12,"&lt;="&amp;Time!AL20),IF(Time!AL20&lt;Time!$F$15,Inputs!$F$67*Inputs!$F$36,0))</f>
        <v/>
      </c>
      <c r="AM19" s="13">
        <f>IF(Time!AM20&lt;Time!$F$12,SUMIFS(Construction!$J$28:$BJ$28,Construction!$J$12:$BJ$12,"&lt;="&amp;Time!AM20),IF(Time!AM20&lt;Time!$F$15,Inputs!$F$67*Inputs!$F$36,0))</f>
        <v/>
      </c>
      <c r="AN19" s="13">
        <f>IF(Time!AN20&lt;Time!$F$12,SUMIFS(Construction!$J$28:$BJ$28,Construction!$J$12:$BJ$12,"&lt;="&amp;Time!AN20),IF(Time!AN20&lt;Time!$F$15,Inputs!$F$67*Inputs!$F$36,0))</f>
        <v/>
      </c>
      <c r="AO19" s="13">
        <f>IF(Time!AO20&lt;Time!$F$12,SUMIFS(Construction!$J$28:$BJ$28,Construction!$J$12:$BJ$12,"&lt;="&amp;Time!AO20),IF(Time!AO20&lt;Time!$F$15,Inputs!$F$67*Inputs!$F$36,0))</f>
        <v/>
      </c>
      <c r="AP19" s="13">
        <f>IF(Time!AP20&lt;Time!$F$12,SUMIFS(Construction!$J$28:$BJ$28,Construction!$J$12:$BJ$12,"&lt;="&amp;Time!AP20),IF(Time!AP20&lt;Time!$F$15,Inputs!$F$67*Inputs!$F$36,0))</f>
        <v/>
      </c>
      <c r="AQ19" s="13">
        <f>IF(Time!AQ20&lt;Time!$F$12,SUMIFS(Construction!$J$28:$BJ$28,Construction!$J$12:$BJ$12,"&lt;="&amp;Time!AQ20),IF(Time!AQ20&lt;Time!$F$15,Inputs!$F$67*Inputs!$F$36,0))</f>
        <v/>
      </c>
      <c r="AR19" s="13">
        <f>IF(Time!AR20&lt;Time!$F$12,SUMIFS(Construction!$J$28:$BJ$28,Construction!$J$12:$BJ$12,"&lt;="&amp;Time!AR20),IF(Time!AR20&lt;Time!$F$15,Inputs!$F$67*Inputs!$F$36,0))</f>
        <v/>
      </c>
      <c r="AS19" s="13">
        <f>IF(Time!AS20&lt;Time!$F$12,SUMIFS(Construction!$J$28:$BJ$28,Construction!$J$12:$BJ$12,"&lt;="&amp;Time!AS20),IF(Time!AS20&lt;Time!$F$15,Inputs!$F$67*Inputs!$F$36,0))</f>
        <v/>
      </c>
      <c r="AT19" s="13">
        <f>IF(Time!AT20&lt;Time!$F$12,SUMIFS(Construction!$J$28:$BJ$28,Construction!$J$12:$BJ$12,"&lt;="&amp;Time!AT20),IF(Time!AT20&lt;Time!$F$15,Inputs!$F$67*Inputs!$F$36,0))</f>
        <v/>
      </c>
      <c r="AU19" s="13">
        <f>IF(Time!AU20&lt;Time!$F$12,SUMIFS(Construction!$J$28:$BJ$28,Construction!$J$12:$BJ$12,"&lt;="&amp;Time!AU20),IF(Time!AU20&lt;Time!$F$15,Inputs!$F$67*Inputs!$F$36,0))</f>
        <v/>
      </c>
      <c r="AV19" s="13">
        <f>IF(Time!AV20&lt;Time!$F$12,SUMIFS(Construction!$J$28:$BJ$28,Construction!$J$12:$BJ$12,"&lt;="&amp;Time!AV20),IF(Time!AV20&lt;Time!$F$15,Inputs!$F$67*Inputs!$F$36,0))</f>
        <v/>
      </c>
      <c r="AW19" s="13">
        <f>IF(Time!AW20&lt;Time!$F$12,SUMIFS(Construction!$J$28:$BJ$28,Construction!$J$12:$BJ$12,"&lt;="&amp;Time!AW20),IF(Time!AW20&lt;Time!$F$15,Inputs!$F$67*Inputs!$F$36,0))</f>
        <v/>
      </c>
      <c r="AX19" s="13">
        <f>IF(Time!AX20&lt;Time!$F$12,SUMIFS(Construction!$J$28:$BJ$28,Construction!$J$12:$BJ$12,"&lt;="&amp;Time!AX20),IF(Time!AX20&lt;Time!$F$15,Inputs!$F$67*Inputs!$F$36,0))</f>
        <v/>
      </c>
      <c r="AY19" s="13">
        <f>IF(Time!AY20&lt;Time!$F$12,SUMIFS(Construction!$J$28:$BJ$28,Construction!$J$12:$BJ$12,"&lt;="&amp;Time!AY20),IF(Time!AY20&lt;Time!$F$15,Inputs!$F$67*Inputs!$F$36,0))</f>
        <v/>
      </c>
      <c r="AZ19" s="13">
        <f>IF(Time!AZ20&lt;Time!$F$12,SUMIFS(Construction!$J$28:$BJ$28,Construction!$J$12:$BJ$12,"&lt;="&amp;Time!AZ20),IF(Time!AZ20&lt;Time!$F$15,Inputs!$F$67*Inputs!$F$36,0))</f>
        <v/>
      </c>
      <c r="BA19" s="13">
        <f>IF(Time!BA20&lt;Time!$F$12,SUMIFS(Construction!$J$28:$BJ$28,Construction!$J$12:$BJ$12,"&lt;="&amp;Time!BA20),IF(Time!BA20&lt;Time!$F$15,Inputs!$F$67*Inputs!$F$36,0))</f>
        <v/>
      </c>
      <c r="BB19" s="13">
        <f>IF(Time!BB20&lt;Time!$F$12,SUMIFS(Construction!$J$28:$BJ$28,Construction!$J$12:$BJ$12,"&lt;="&amp;Time!BB20),IF(Time!BB20&lt;Time!$F$15,Inputs!$F$67*Inputs!$F$36,0))</f>
        <v/>
      </c>
      <c r="BC19" s="13">
        <f>IF(Time!BC20&lt;Time!$F$12,SUMIFS(Construction!$J$28:$BJ$28,Construction!$J$12:$BJ$12,"&lt;="&amp;Time!BC20),IF(Time!BC20&lt;Time!$F$15,Inputs!$F$67*Inputs!$F$36,0))</f>
        <v/>
      </c>
      <c r="BD19" s="13">
        <f>IF(Time!BD20&lt;Time!$F$12,SUMIFS(Construction!$J$28:$BJ$28,Construction!$J$12:$BJ$12,"&lt;="&amp;Time!BD20),IF(Time!BD20&lt;Time!$F$15,Inputs!$F$67*Inputs!$F$36,0))</f>
        <v/>
      </c>
      <c r="BE19" s="13">
        <f>IF(Time!BE20&lt;Time!$F$12,SUMIFS(Construction!$J$28:$BJ$28,Construction!$J$12:$BJ$12,"&lt;="&amp;Time!BE20),IF(Time!BE20&lt;Time!$F$15,Inputs!$F$67*Inputs!$F$36,0))</f>
        <v/>
      </c>
      <c r="BF19" s="13">
        <f>IF(Time!BF20&lt;Time!$F$12,SUMIFS(Construction!$J$28:$BJ$28,Construction!$J$12:$BJ$12,"&lt;="&amp;Time!BF20),IF(Time!BF20&lt;Time!$F$15,Inputs!$F$67*Inputs!$F$36,0))</f>
        <v/>
      </c>
      <c r="BG19" s="13">
        <f>IF(Time!BG20&lt;Time!$F$12,SUMIFS(Construction!$J$28:$BJ$28,Construction!$J$12:$BJ$12,"&lt;="&amp;Time!BG20),IF(Time!BG20&lt;Time!$F$15,Inputs!$F$67*Inputs!$F$36,0))</f>
        <v/>
      </c>
      <c r="BH19" s="13">
        <f>IF(Time!BH20&lt;Time!$F$12,SUMIFS(Construction!$J$28:$BJ$28,Construction!$J$12:$BJ$12,"&lt;="&amp;Time!BH20),IF(Time!BH20&lt;Time!$F$15,Inputs!$F$67*Inputs!$F$36,0))</f>
        <v/>
      </c>
      <c r="BI19" s="13">
        <f>IF(Time!BI20&lt;Time!$F$12,SUMIFS(Construction!$J$28:$BJ$28,Construction!$J$12:$BJ$12,"&lt;="&amp;Time!BI20),IF(Time!BI20&lt;Time!$F$15,Inputs!$F$67*Inputs!$F$36,0))</f>
        <v/>
      </c>
      <c r="BJ19" s="13">
        <f>IF(Time!BJ20&lt;Time!$F$12,SUMIFS(Construction!$J$28:$BJ$28,Construction!$J$12:$BJ$12,"&lt;="&amp;Time!BJ20),IF(Time!BJ20&lt;Time!$F$15,Inputs!$F$67*Inputs!$F$36,0))</f>
        <v/>
      </c>
      <c r="BK19" s="13">
        <f>IF(Time!BK20&lt;Time!$F$12,SUMIFS(Construction!$J$28:$BJ$28,Construction!$J$12:$BJ$12,"&lt;="&amp;Time!BK20),IF(Time!BK20&lt;Time!$F$15,Inputs!$F$67*Inputs!$F$36,0))</f>
        <v/>
      </c>
      <c r="BL19" s="13">
        <f>IF(Time!BL20&lt;Time!$F$12,SUMIFS(Construction!$J$28:$BJ$28,Construction!$J$12:$BJ$12,"&lt;="&amp;Time!BL20),IF(Time!BL20&lt;Time!$F$15,Inputs!$F$67*Inputs!$F$36,0))</f>
        <v/>
      </c>
      <c r="BM19" s="13">
        <f>IF(Time!BM20&lt;Time!$F$12,SUMIFS(Construction!$J$28:$BJ$28,Construction!$J$12:$BJ$12,"&lt;="&amp;Time!BM20),IF(Time!BM20&lt;Time!$F$15,Inputs!$F$67*Inputs!$F$36,0))</f>
        <v/>
      </c>
      <c r="BN19" s="13">
        <f>IF(Time!BN20&lt;Time!$F$12,SUMIFS(Construction!$J$28:$BJ$28,Construction!$J$12:$BJ$12,"&lt;="&amp;Time!BN20),IF(Time!BN20&lt;Time!$F$15,Inputs!$F$67*Inputs!$F$36,0))</f>
        <v/>
      </c>
    </row>
    <row r="20">
      <c r="D20" t="inlineStr">
        <is>
          <t>Deferred tax asset</t>
        </is>
      </c>
      <c r="E20" t="inlineStr">
        <is>
          <t>USD m</t>
        </is>
      </c>
      <c r="J20" s="13">
        <f>MAX(0,-J12)</f>
        <v/>
      </c>
      <c r="K20" s="13">
        <f>MAX(0,-K12)</f>
        <v/>
      </c>
      <c r="L20" s="13">
        <f>MAX(0,-L12)</f>
        <v/>
      </c>
      <c r="M20" s="13">
        <f>MAX(0,-M12)</f>
        <v/>
      </c>
      <c r="N20" s="13">
        <f>MAX(0,-N12)</f>
        <v/>
      </c>
      <c r="O20" s="13">
        <f>MAX(0,-O12)</f>
        <v/>
      </c>
      <c r="P20" s="13">
        <f>MAX(0,-P12)</f>
        <v/>
      </c>
      <c r="Q20" s="13">
        <f>MAX(0,-Q12)</f>
        <v/>
      </c>
      <c r="R20" s="13">
        <f>MAX(0,-R12)</f>
        <v/>
      </c>
      <c r="S20" s="13">
        <f>MAX(0,-S12)</f>
        <v/>
      </c>
      <c r="T20" s="13">
        <f>MAX(0,-T12)</f>
        <v/>
      </c>
      <c r="U20" s="13">
        <f>MAX(0,-U12)</f>
        <v/>
      </c>
      <c r="V20" s="13">
        <f>MAX(0,-V12)</f>
        <v/>
      </c>
      <c r="W20" s="13">
        <f>MAX(0,-W12)</f>
        <v/>
      </c>
      <c r="X20" s="13">
        <f>MAX(0,-X12)</f>
        <v/>
      </c>
      <c r="Y20" s="13">
        <f>MAX(0,-Y12)</f>
        <v/>
      </c>
      <c r="Z20" s="13">
        <f>MAX(0,-Z12)</f>
        <v/>
      </c>
      <c r="AA20" s="13">
        <f>MAX(0,-AA12)</f>
        <v/>
      </c>
      <c r="AB20" s="13">
        <f>MAX(0,-AB12)</f>
        <v/>
      </c>
      <c r="AC20" s="13">
        <f>MAX(0,-AC12)</f>
        <v/>
      </c>
      <c r="AD20" s="13">
        <f>MAX(0,-AD12)</f>
        <v/>
      </c>
      <c r="AE20" s="13">
        <f>MAX(0,-AE12)</f>
        <v/>
      </c>
      <c r="AF20" s="13">
        <f>MAX(0,-AF12)</f>
        <v/>
      </c>
      <c r="AG20" s="13">
        <f>MAX(0,-AG12)</f>
        <v/>
      </c>
      <c r="AH20" s="13">
        <f>MAX(0,-AH12)</f>
        <v/>
      </c>
      <c r="AI20" s="13">
        <f>MAX(0,-AI12)</f>
        <v/>
      </c>
      <c r="AJ20" s="13">
        <f>MAX(0,-AJ12)</f>
        <v/>
      </c>
      <c r="AK20" s="13">
        <f>MAX(0,-AK12)</f>
        <v/>
      </c>
      <c r="AL20" s="13">
        <f>MAX(0,-AL12)</f>
        <v/>
      </c>
      <c r="AM20" s="13">
        <f>MAX(0,-AM12)</f>
        <v/>
      </c>
      <c r="AN20" s="13">
        <f>MAX(0,-AN12)</f>
        <v/>
      </c>
      <c r="AO20" s="13">
        <f>MAX(0,-AO12)</f>
        <v/>
      </c>
      <c r="AP20" s="13">
        <f>MAX(0,-AP12)</f>
        <v/>
      </c>
      <c r="AQ20" s="13">
        <f>MAX(0,-AQ12)</f>
        <v/>
      </c>
      <c r="AR20" s="13">
        <f>MAX(0,-AR12)</f>
        <v/>
      </c>
      <c r="AS20" s="13">
        <f>MAX(0,-AS12)</f>
        <v/>
      </c>
      <c r="AT20" s="13">
        <f>MAX(0,-AT12)</f>
        <v/>
      </c>
      <c r="AU20" s="13">
        <f>MAX(0,-AU12)</f>
        <v/>
      </c>
      <c r="AV20" s="13">
        <f>MAX(0,-AV12)</f>
        <v/>
      </c>
      <c r="AW20" s="13">
        <f>MAX(0,-AW12)</f>
        <v/>
      </c>
      <c r="AX20" s="13">
        <f>MAX(0,-AX12)</f>
        <v/>
      </c>
      <c r="AY20" s="13">
        <f>MAX(0,-AY12)</f>
        <v/>
      </c>
      <c r="AZ20" s="13">
        <f>MAX(0,-AZ12)</f>
        <v/>
      </c>
      <c r="BA20" s="13">
        <f>MAX(0,-BA12)</f>
        <v/>
      </c>
      <c r="BB20" s="13">
        <f>MAX(0,-BB12)</f>
        <v/>
      </c>
      <c r="BC20" s="13">
        <f>MAX(0,-BC12)</f>
        <v/>
      </c>
      <c r="BD20" s="13">
        <f>MAX(0,-BD12)</f>
        <v/>
      </c>
      <c r="BE20" s="13">
        <f>MAX(0,-BE12)</f>
        <v/>
      </c>
      <c r="BF20" s="13">
        <f>MAX(0,-BF12)</f>
        <v/>
      </c>
      <c r="BG20" s="13">
        <f>MAX(0,-BG12)</f>
        <v/>
      </c>
      <c r="BH20" s="13">
        <f>MAX(0,-BH12)</f>
        <v/>
      </c>
      <c r="BI20" s="13">
        <f>MAX(0,-BI12)</f>
        <v/>
      </c>
      <c r="BJ20" s="13">
        <f>MAX(0,-BJ12)</f>
        <v/>
      </c>
      <c r="BK20" s="13">
        <f>MAX(0,-BK12)</f>
        <v/>
      </c>
      <c r="BL20" s="13">
        <f>MAX(0,-BL12)</f>
        <v/>
      </c>
      <c r="BM20" s="13">
        <f>MAX(0,-BM12)</f>
        <v/>
      </c>
      <c r="BN20" s="13">
        <f>MAX(0,-BN12)</f>
        <v/>
      </c>
    </row>
    <row r="21">
      <c r="D21" t="inlineStr">
        <is>
          <t>Total assets</t>
        </is>
      </c>
      <c r="E21" t="inlineStr">
        <is>
          <t>USD m</t>
        </is>
      </c>
      <c r="J21" s="13">
        <f>J16+J17+J18+J19+J20</f>
        <v/>
      </c>
      <c r="K21" s="13">
        <f>K16+K17+K18+K19+K20</f>
        <v/>
      </c>
      <c r="L21" s="13">
        <f>L16+L17+L18+L19+L20</f>
        <v/>
      </c>
      <c r="M21" s="13">
        <f>M16+M17+M18+M19+M20</f>
        <v/>
      </c>
      <c r="N21" s="13">
        <f>N16+N17+N18+N19+N20</f>
        <v/>
      </c>
      <c r="O21" s="13">
        <f>O16+O17+O18+O19+O20</f>
        <v/>
      </c>
      <c r="P21" s="13">
        <f>P16+P17+P18+P19+P20</f>
        <v/>
      </c>
      <c r="Q21" s="13">
        <f>Q16+Q17+Q18+Q19+Q20</f>
        <v/>
      </c>
      <c r="R21" s="13">
        <f>R16+R17+R18+R19+R20</f>
        <v/>
      </c>
      <c r="S21" s="13">
        <f>S16+S17+S18+S19+S20</f>
        <v/>
      </c>
      <c r="T21" s="13">
        <f>T16+T17+T18+T19+T20</f>
        <v/>
      </c>
      <c r="U21" s="13">
        <f>U16+U17+U18+U19+U20</f>
        <v/>
      </c>
      <c r="V21" s="13">
        <f>V16+V17+V18+V19+V20</f>
        <v/>
      </c>
      <c r="W21" s="13">
        <f>W16+W17+W18+W19+W20</f>
        <v/>
      </c>
      <c r="X21" s="13">
        <f>X16+X17+X18+X19+X20</f>
        <v/>
      </c>
      <c r="Y21" s="13">
        <f>Y16+Y17+Y18+Y19+Y20</f>
        <v/>
      </c>
      <c r="Z21" s="13">
        <f>Z16+Z17+Z18+Z19+Z20</f>
        <v/>
      </c>
      <c r="AA21" s="13">
        <f>AA16+AA17+AA18+AA19+AA20</f>
        <v/>
      </c>
      <c r="AB21" s="13">
        <f>AB16+AB17+AB18+AB19+AB20</f>
        <v/>
      </c>
      <c r="AC21" s="13">
        <f>AC16+AC17+AC18+AC19+AC20</f>
        <v/>
      </c>
      <c r="AD21" s="13">
        <f>AD16+AD17+AD18+AD19+AD20</f>
        <v/>
      </c>
      <c r="AE21" s="13">
        <f>AE16+AE17+AE18+AE19+AE20</f>
        <v/>
      </c>
      <c r="AF21" s="13">
        <f>AF16+AF17+AF18+AF19+AF20</f>
        <v/>
      </c>
      <c r="AG21" s="13">
        <f>AG16+AG17+AG18+AG19+AG20</f>
        <v/>
      </c>
      <c r="AH21" s="13">
        <f>AH16+AH17+AH18+AH19+AH20</f>
        <v/>
      </c>
      <c r="AI21" s="13">
        <f>AI16+AI17+AI18+AI19+AI20</f>
        <v/>
      </c>
      <c r="AJ21" s="13">
        <f>AJ16+AJ17+AJ18+AJ19+AJ20</f>
        <v/>
      </c>
      <c r="AK21" s="13">
        <f>AK16+AK17+AK18+AK19+AK20</f>
        <v/>
      </c>
      <c r="AL21" s="13">
        <f>AL16+AL17+AL18+AL19+AL20</f>
        <v/>
      </c>
      <c r="AM21" s="13">
        <f>AM16+AM17+AM18+AM19+AM20</f>
        <v/>
      </c>
      <c r="AN21" s="13">
        <f>AN16+AN17+AN18+AN19+AN20</f>
        <v/>
      </c>
      <c r="AO21" s="13">
        <f>AO16+AO17+AO18+AO19+AO20</f>
        <v/>
      </c>
      <c r="AP21" s="13">
        <f>AP16+AP17+AP18+AP19+AP20</f>
        <v/>
      </c>
      <c r="AQ21" s="13">
        <f>AQ16+AQ17+AQ18+AQ19+AQ20</f>
        <v/>
      </c>
      <c r="AR21" s="13">
        <f>AR16+AR17+AR18+AR19+AR20</f>
        <v/>
      </c>
      <c r="AS21" s="13">
        <f>AS16+AS17+AS18+AS19+AS20</f>
        <v/>
      </c>
      <c r="AT21" s="13">
        <f>AT16+AT17+AT18+AT19+AT20</f>
        <v/>
      </c>
      <c r="AU21" s="13">
        <f>AU16+AU17+AU18+AU19+AU20</f>
        <v/>
      </c>
      <c r="AV21" s="13">
        <f>AV16+AV17+AV18+AV19+AV20</f>
        <v/>
      </c>
      <c r="AW21" s="13">
        <f>AW16+AW17+AW18+AW19+AW20</f>
        <v/>
      </c>
      <c r="AX21" s="13">
        <f>AX16+AX17+AX18+AX19+AX20</f>
        <v/>
      </c>
      <c r="AY21" s="13">
        <f>AY16+AY17+AY18+AY19+AY20</f>
        <v/>
      </c>
      <c r="AZ21" s="13">
        <f>AZ16+AZ17+AZ18+AZ19+AZ20</f>
        <v/>
      </c>
      <c r="BA21" s="13">
        <f>BA16+BA17+BA18+BA19+BA20</f>
        <v/>
      </c>
      <c r="BB21" s="13">
        <f>BB16+BB17+BB18+BB19+BB20</f>
        <v/>
      </c>
      <c r="BC21" s="13">
        <f>BC16+BC17+BC18+BC19+BC20</f>
        <v/>
      </c>
      <c r="BD21" s="13">
        <f>BD16+BD17+BD18+BD19+BD20</f>
        <v/>
      </c>
      <c r="BE21" s="13">
        <f>BE16+BE17+BE18+BE19+BE20</f>
        <v/>
      </c>
      <c r="BF21" s="13">
        <f>BF16+BF17+BF18+BF19+BF20</f>
        <v/>
      </c>
      <c r="BG21" s="13">
        <f>BG16+BG17+BG18+BG19+BG20</f>
        <v/>
      </c>
      <c r="BH21" s="13">
        <f>BH16+BH17+BH18+BH19+BH20</f>
        <v/>
      </c>
      <c r="BI21" s="13">
        <f>BI16+BI17+BI18+BI19+BI20</f>
        <v/>
      </c>
      <c r="BJ21" s="13">
        <f>BJ16+BJ17+BJ18+BJ19+BJ20</f>
        <v/>
      </c>
      <c r="BK21" s="13">
        <f>BK16+BK17+BK18+BK19+BK20</f>
        <v/>
      </c>
      <c r="BL21" s="13">
        <f>BL16+BL17+BL18+BL19+BL20</f>
        <v/>
      </c>
      <c r="BM21" s="13">
        <f>BM16+BM17+BM18+BM19+BM20</f>
        <v/>
      </c>
      <c r="BN21" s="13">
        <f>BN16+BN17+BN18+BN19+BN20</f>
        <v/>
      </c>
    </row>
    <row r="22">
      <c r="D22" t="inlineStr">
        <is>
          <t>Senior debt</t>
        </is>
      </c>
      <c r="E22" t="inlineStr">
        <is>
          <t>USD m</t>
        </is>
      </c>
      <c r="J22" s="13">
        <f>IF(Time!J20&lt;Time!$F$12,SUMIFS(Funding!$J$73:$BJ$73,Construction!$J$12:$BJ$12,"&lt;="&amp;Time!J20),Debt!J116)</f>
        <v/>
      </c>
      <c r="K22" s="13">
        <f>IF(Time!K20&lt;Time!$F$12,SUMIFS(Funding!$J$73:$BJ$73,Construction!$J$12:$BJ$12,"&lt;="&amp;Time!K20),Debt!K116)</f>
        <v/>
      </c>
      <c r="L22" s="13">
        <f>IF(Time!L20&lt;Time!$F$12,SUMIFS(Funding!$J$73:$BJ$73,Construction!$J$12:$BJ$12,"&lt;="&amp;Time!L20),Debt!L116)</f>
        <v/>
      </c>
      <c r="M22" s="13">
        <f>IF(Time!M20&lt;Time!$F$12,SUMIFS(Funding!$J$73:$BJ$73,Construction!$J$12:$BJ$12,"&lt;="&amp;Time!M20),Debt!M116)</f>
        <v/>
      </c>
      <c r="N22" s="13">
        <f>IF(Time!N20&lt;Time!$F$12,SUMIFS(Funding!$J$73:$BJ$73,Construction!$J$12:$BJ$12,"&lt;="&amp;Time!N20),Debt!N116)</f>
        <v/>
      </c>
      <c r="O22" s="13">
        <f>IF(Time!O20&lt;Time!$F$12,SUMIFS(Funding!$J$73:$BJ$73,Construction!$J$12:$BJ$12,"&lt;="&amp;Time!O20),Debt!O116)</f>
        <v/>
      </c>
      <c r="P22" s="13">
        <f>IF(Time!P20&lt;Time!$F$12,SUMIFS(Funding!$J$73:$BJ$73,Construction!$J$12:$BJ$12,"&lt;="&amp;Time!P20),Debt!P116)</f>
        <v/>
      </c>
      <c r="Q22" s="13">
        <f>IF(Time!Q20&lt;Time!$F$12,SUMIFS(Funding!$J$73:$BJ$73,Construction!$J$12:$BJ$12,"&lt;="&amp;Time!Q20),Debt!Q116)</f>
        <v/>
      </c>
      <c r="R22" s="13">
        <f>IF(Time!R20&lt;Time!$F$12,SUMIFS(Funding!$J$73:$BJ$73,Construction!$J$12:$BJ$12,"&lt;="&amp;Time!R20),Debt!R116)</f>
        <v/>
      </c>
      <c r="S22" s="13">
        <f>IF(Time!S20&lt;Time!$F$12,SUMIFS(Funding!$J$73:$BJ$73,Construction!$J$12:$BJ$12,"&lt;="&amp;Time!S20),Debt!S116)</f>
        <v/>
      </c>
      <c r="T22" s="13">
        <f>IF(Time!T20&lt;Time!$F$12,SUMIFS(Funding!$J$73:$BJ$73,Construction!$J$12:$BJ$12,"&lt;="&amp;Time!T20),Debt!T116)</f>
        <v/>
      </c>
      <c r="U22" s="13">
        <f>IF(Time!U20&lt;Time!$F$12,SUMIFS(Funding!$J$73:$BJ$73,Construction!$J$12:$BJ$12,"&lt;="&amp;Time!U20),Debt!U116)</f>
        <v/>
      </c>
      <c r="V22" s="13">
        <f>IF(Time!V20&lt;Time!$F$12,SUMIFS(Funding!$J$73:$BJ$73,Construction!$J$12:$BJ$12,"&lt;="&amp;Time!V20),Debt!V116)</f>
        <v/>
      </c>
      <c r="W22" s="13">
        <f>IF(Time!W20&lt;Time!$F$12,SUMIFS(Funding!$J$73:$BJ$73,Construction!$J$12:$BJ$12,"&lt;="&amp;Time!W20),Debt!W116)</f>
        <v/>
      </c>
      <c r="X22" s="13">
        <f>IF(Time!X20&lt;Time!$F$12,SUMIFS(Funding!$J$73:$BJ$73,Construction!$J$12:$BJ$12,"&lt;="&amp;Time!X20),Debt!X116)</f>
        <v/>
      </c>
      <c r="Y22" s="13">
        <f>IF(Time!Y20&lt;Time!$F$12,SUMIFS(Funding!$J$73:$BJ$73,Construction!$J$12:$BJ$12,"&lt;="&amp;Time!Y20),Debt!Y116)</f>
        <v/>
      </c>
      <c r="Z22" s="13">
        <f>IF(Time!Z20&lt;Time!$F$12,SUMIFS(Funding!$J$73:$BJ$73,Construction!$J$12:$BJ$12,"&lt;="&amp;Time!Z20),Debt!Z116)</f>
        <v/>
      </c>
      <c r="AA22" s="13">
        <f>IF(Time!AA20&lt;Time!$F$12,SUMIFS(Funding!$J$73:$BJ$73,Construction!$J$12:$BJ$12,"&lt;="&amp;Time!AA20),Debt!AA116)</f>
        <v/>
      </c>
      <c r="AB22" s="13">
        <f>IF(Time!AB20&lt;Time!$F$12,SUMIFS(Funding!$J$73:$BJ$73,Construction!$J$12:$BJ$12,"&lt;="&amp;Time!AB20),Debt!AB116)</f>
        <v/>
      </c>
      <c r="AC22" s="13">
        <f>IF(Time!AC20&lt;Time!$F$12,SUMIFS(Funding!$J$73:$BJ$73,Construction!$J$12:$BJ$12,"&lt;="&amp;Time!AC20),Debt!AC116)</f>
        <v/>
      </c>
      <c r="AD22" s="13">
        <f>IF(Time!AD20&lt;Time!$F$12,SUMIFS(Funding!$J$73:$BJ$73,Construction!$J$12:$BJ$12,"&lt;="&amp;Time!AD20),Debt!AD116)</f>
        <v/>
      </c>
      <c r="AE22" s="13">
        <f>IF(Time!AE20&lt;Time!$F$12,SUMIFS(Funding!$J$73:$BJ$73,Construction!$J$12:$BJ$12,"&lt;="&amp;Time!AE20),Debt!AE116)</f>
        <v/>
      </c>
      <c r="AF22" s="13">
        <f>IF(Time!AF20&lt;Time!$F$12,SUMIFS(Funding!$J$73:$BJ$73,Construction!$J$12:$BJ$12,"&lt;="&amp;Time!AF20),Debt!AF116)</f>
        <v/>
      </c>
      <c r="AG22" s="13">
        <f>IF(Time!AG20&lt;Time!$F$12,SUMIFS(Funding!$J$73:$BJ$73,Construction!$J$12:$BJ$12,"&lt;="&amp;Time!AG20),Debt!AG116)</f>
        <v/>
      </c>
      <c r="AH22" s="13">
        <f>IF(Time!AH20&lt;Time!$F$12,SUMIFS(Funding!$J$73:$BJ$73,Construction!$J$12:$BJ$12,"&lt;="&amp;Time!AH20),Debt!AH116)</f>
        <v/>
      </c>
      <c r="AI22" s="13">
        <f>IF(Time!AI20&lt;Time!$F$12,SUMIFS(Funding!$J$73:$BJ$73,Construction!$J$12:$BJ$12,"&lt;="&amp;Time!AI20),Debt!AI116)</f>
        <v/>
      </c>
      <c r="AJ22" s="13">
        <f>IF(Time!AJ20&lt;Time!$F$12,SUMIFS(Funding!$J$73:$BJ$73,Construction!$J$12:$BJ$12,"&lt;="&amp;Time!AJ20),Debt!AJ116)</f>
        <v/>
      </c>
      <c r="AK22" s="13">
        <f>IF(Time!AK20&lt;Time!$F$12,SUMIFS(Funding!$J$73:$BJ$73,Construction!$J$12:$BJ$12,"&lt;="&amp;Time!AK20),Debt!AK116)</f>
        <v/>
      </c>
      <c r="AL22" s="13">
        <f>IF(Time!AL20&lt;Time!$F$12,SUMIFS(Funding!$J$73:$BJ$73,Construction!$J$12:$BJ$12,"&lt;="&amp;Time!AL20),Debt!AL116)</f>
        <v/>
      </c>
      <c r="AM22" s="13">
        <f>IF(Time!AM20&lt;Time!$F$12,SUMIFS(Funding!$J$73:$BJ$73,Construction!$J$12:$BJ$12,"&lt;="&amp;Time!AM20),Debt!AM116)</f>
        <v/>
      </c>
      <c r="AN22" s="13">
        <f>IF(Time!AN20&lt;Time!$F$12,SUMIFS(Funding!$J$73:$BJ$73,Construction!$J$12:$BJ$12,"&lt;="&amp;Time!AN20),Debt!AN116)</f>
        <v/>
      </c>
      <c r="AO22" s="13">
        <f>IF(Time!AO20&lt;Time!$F$12,SUMIFS(Funding!$J$73:$BJ$73,Construction!$J$12:$BJ$12,"&lt;="&amp;Time!AO20),Debt!AO116)</f>
        <v/>
      </c>
      <c r="AP22" s="13">
        <f>IF(Time!AP20&lt;Time!$F$12,SUMIFS(Funding!$J$73:$BJ$73,Construction!$J$12:$BJ$12,"&lt;="&amp;Time!AP20),Debt!AP116)</f>
        <v/>
      </c>
      <c r="AQ22" s="13">
        <f>IF(Time!AQ20&lt;Time!$F$12,SUMIFS(Funding!$J$73:$BJ$73,Construction!$J$12:$BJ$12,"&lt;="&amp;Time!AQ20),Debt!AQ116)</f>
        <v/>
      </c>
      <c r="AR22" s="13">
        <f>IF(Time!AR20&lt;Time!$F$12,SUMIFS(Funding!$J$73:$BJ$73,Construction!$J$12:$BJ$12,"&lt;="&amp;Time!AR20),Debt!AR116)</f>
        <v/>
      </c>
      <c r="AS22" s="13">
        <f>IF(Time!AS20&lt;Time!$F$12,SUMIFS(Funding!$J$73:$BJ$73,Construction!$J$12:$BJ$12,"&lt;="&amp;Time!AS20),Debt!AS116)</f>
        <v/>
      </c>
      <c r="AT22" s="13">
        <f>IF(Time!AT20&lt;Time!$F$12,SUMIFS(Funding!$J$73:$BJ$73,Construction!$J$12:$BJ$12,"&lt;="&amp;Time!AT20),Debt!AT116)</f>
        <v/>
      </c>
      <c r="AU22" s="13">
        <f>IF(Time!AU20&lt;Time!$F$12,SUMIFS(Funding!$J$73:$BJ$73,Construction!$J$12:$BJ$12,"&lt;="&amp;Time!AU20),Debt!AU116)</f>
        <v/>
      </c>
      <c r="AV22" s="13">
        <f>IF(Time!AV20&lt;Time!$F$12,SUMIFS(Funding!$J$73:$BJ$73,Construction!$J$12:$BJ$12,"&lt;="&amp;Time!AV20),Debt!AV116)</f>
        <v/>
      </c>
      <c r="AW22" s="13">
        <f>IF(Time!AW20&lt;Time!$F$12,SUMIFS(Funding!$J$73:$BJ$73,Construction!$J$12:$BJ$12,"&lt;="&amp;Time!AW20),Debt!AW116)</f>
        <v/>
      </c>
      <c r="AX22" s="13">
        <f>IF(Time!AX20&lt;Time!$F$12,SUMIFS(Funding!$J$73:$BJ$73,Construction!$J$12:$BJ$12,"&lt;="&amp;Time!AX20),Debt!AX116)</f>
        <v/>
      </c>
      <c r="AY22" s="13">
        <f>IF(Time!AY20&lt;Time!$F$12,SUMIFS(Funding!$J$73:$BJ$73,Construction!$J$12:$BJ$12,"&lt;="&amp;Time!AY20),Debt!AY116)</f>
        <v/>
      </c>
      <c r="AZ22" s="13">
        <f>IF(Time!AZ20&lt;Time!$F$12,SUMIFS(Funding!$J$73:$BJ$73,Construction!$J$12:$BJ$12,"&lt;="&amp;Time!AZ20),Debt!AZ116)</f>
        <v/>
      </c>
      <c r="BA22" s="13">
        <f>IF(Time!BA20&lt;Time!$F$12,SUMIFS(Funding!$J$73:$BJ$73,Construction!$J$12:$BJ$12,"&lt;="&amp;Time!BA20),Debt!BA116)</f>
        <v/>
      </c>
      <c r="BB22" s="13">
        <f>IF(Time!BB20&lt;Time!$F$12,SUMIFS(Funding!$J$73:$BJ$73,Construction!$J$12:$BJ$12,"&lt;="&amp;Time!BB20),Debt!BB116)</f>
        <v/>
      </c>
      <c r="BC22" s="13">
        <f>IF(Time!BC20&lt;Time!$F$12,SUMIFS(Funding!$J$73:$BJ$73,Construction!$J$12:$BJ$12,"&lt;="&amp;Time!BC20),Debt!BC116)</f>
        <v/>
      </c>
      <c r="BD22" s="13">
        <f>IF(Time!BD20&lt;Time!$F$12,SUMIFS(Funding!$J$73:$BJ$73,Construction!$J$12:$BJ$12,"&lt;="&amp;Time!BD20),Debt!BD116)</f>
        <v/>
      </c>
      <c r="BE22" s="13">
        <f>IF(Time!BE20&lt;Time!$F$12,SUMIFS(Funding!$J$73:$BJ$73,Construction!$J$12:$BJ$12,"&lt;="&amp;Time!BE20),Debt!BE116)</f>
        <v/>
      </c>
      <c r="BF22" s="13">
        <f>IF(Time!BF20&lt;Time!$F$12,SUMIFS(Funding!$J$73:$BJ$73,Construction!$J$12:$BJ$12,"&lt;="&amp;Time!BF20),Debt!BF116)</f>
        <v/>
      </c>
      <c r="BG22" s="13">
        <f>IF(Time!BG20&lt;Time!$F$12,SUMIFS(Funding!$J$73:$BJ$73,Construction!$J$12:$BJ$12,"&lt;="&amp;Time!BG20),Debt!BG116)</f>
        <v/>
      </c>
      <c r="BH22" s="13">
        <f>IF(Time!BH20&lt;Time!$F$12,SUMIFS(Funding!$J$73:$BJ$73,Construction!$J$12:$BJ$12,"&lt;="&amp;Time!BH20),Debt!BH116)</f>
        <v/>
      </c>
      <c r="BI22" s="13">
        <f>IF(Time!BI20&lt;Time!$F$12,SUMIFS(Funding!$J$73:$BJ$73,Construction!$J$12:$BJ$12,"&lt;="&amp;Time!BI20),Debt!BI116)</f>
        <v/>
      </c>
      <c r="BJ22" s="13">
        <f>IF(Time!BJ20&lt;Time!$F$12,SUMIFS(Funding!$J$73:$BJ$73,Construction!$J$12:$BJ$12,"&lt;="&amp;Time!BJ20),Debt!BJ116)</f>
        <v/>
      </c>
      <c r="BK22" s="13">
        <f>IF(Time!BK20&lt;Time!$F$12,SUMIFS(Funding!$J$73:$BJ$73,Construction!$J$12:$BJ$12,"&lt;="&amp;Time!BK20),Debt!BK116)</f>
        <v/>
      </c>
      <c r="BL22" s="13">
        <f>IF(Time!BL20&lt;Time!$F$12,SUMIFS(Funding!$J$73:$BJ$73,Construction!$J$12:$BJ$12,"&lt;="&amp;Time!BL20),Debt!BL116)</f>
        <v/>
      </c>
      <c r="BM22" s="13">
        <f>IF(Time!BM20&lt;Time!$F$12,SUMIFS(Funding!$J$73:$BJ$73,Construction!$J$12:$BJ$12,"&lt;="&amp;Time!BM20),Debt!BM116)</f>
        <v/>
      </c>
      <c r="BN22" s="13">
        <f>IF(Time!BN20&lt;Time!$F$12,SUMIFS(Funding!$J$73:$BJ$73,Construction!$J$12:$BJ$12,"&lt;="&amp;Time!BN20),Debt!BN116)</f>
        <v/>
      </c>
    </row>
    <row r="23">
      <c r="D23" t="inlineStr">
        <is>
          <t>Shareholder loans (incl. capitalized interest)</t>
        </is>
      </c>
      <c r="E23" t="inlineStr">
        <is>
          <t>USD m</t>
        </is>
      </c>
      <c r="J23" s="13">
        <f>IF(Time!J20&lt;Time!$F$12,SUMIFS(Funding!$J$70:$BJ$70,Construction!$J$12:$BJ$12,"&lt;="&amp;Time!J20)+SUMIFS(Funding!$J$71:$BJ$71,Construction!$J$12:$BJ$12,"&lt;="&amp;Time!J20),Waterfall!J36)</f>
        <v/>
      </c>
      <c r="K23" s="13">
        <f>IF(Time!K20&lt;Time!$F$12,SUMIFS(Funding!$J$70:$BJ$70,Construction!$J$12:$BJ$12,"&lt;="&amp;Time!K20)+SUMIFS(Funding!$J$71:$BJ$71,Construction!$J$12:$BJ$12,"&lt;="&amp;Time!K20),Waterfall!K36)</f>
        <v/>
      </c>
      <c r="L23" s="13">
        <f>IF(Time!L20&lt;Time!$F$12,SUMIFS(Funding!$J$70:$BJ$70,Construction!$J$12:$BJ$12,"&lt;="&amp;Time!L20)+SUMIFS(Funding!$J$71:$BJ$71,Construction!$J$12:$BJ$12,"&lt;="&amp;Time!L20),Waterfall!L36)</f>
        <v/>
      </c>
      <c r="M23" s="13">
        <f>IF(Time!M20&lt;Time!$F$12,SUMIFS(Funding!$J$70:$BJ$70,Construction!$J$12:$BJ$12,"&lt;="&amp;Time!M20)+SUMIFS(Funding!$J$71:$BJ$71,Construction!$J$12:$BJ$12,"&lt;="&amp;Time!M20),Waterfall!M36)</f>
        <v/>
      </c>
      <c r="N23" s="13">
        <f>IF(Time!N20&lt;Time!$F$12,SUMIFS(Funding!$J$70:$BJ$70,Construction!$J$12:$BJ$12,"&lt;="&amp;Time!N20)+SUMIFS(Funding!$J$71:$BJ$71,Construction!$J$12:$BJ$12,"&lt;="&amp;Time!N20),Waterfall!N36)</f>
        <v/>
      </c>
      <c r="O23" s="13">
        <f>IF(Time!O20&lt;Time!$F$12,SUMIFS(Funding!$J$70:$BJ$70,Construction!$J$12:$BJ$12,"&lt;="&amp;Time!O20)+SUMIFS(Funding!$J$71:$BJ$71,Construction!$J$12:$BJ$12,"&lt;="&amp;Time!O20),Waterfall!O36)</f>
        <v/>
      </c>
      <c r="P23" s="13">
        <f>IF(Time!P20&lt;Time!$F$12,SUMIFS(Funding!$J$70:$BJ$70,Construction!$J$12:$BJ$12,"&lt;="&amp;Time!P20)+SUMIFS(Funding!$J$71:$BJ$71,Construction!$J$12:$BJ$12,"&lt;="&amp;Time!P20),Waterfall!P36)</f>
        <v/>
      </c>
      <c r="Q23" s="13">
        <f>IF(Time!Q20&lt;Time!$F$12,SUMIFS(Funding!$J$70:$BJ$70,Construction!$J$12:$BJ$12,"&lt;="&amp;Time!Q20)+SUMIFS(Funding!$J$71:$BJ$71,Construction!$J$12:$BJ$12,"&lt;="&amp;Time!Q20),Waterfall!Q36)</f>
        <v/>
      </c>
      <c r="R23" s="13">
        <f>IF(Time!R20&lt;Time!$F$12,SUMIFS(Funding!$J$70:$BJ$70,Construction!$J$12:$BJ$12,"&lt;="&amp;Time!R20)+SUMIFS(Funding!$J$71:$BJ$71,Construction!$J$12:$BJ$12,"&lt;="&amp;Time!R20),Waterfall!R36)</f>
        <v/>
      </c>
      <c r="S23" s="13">
        <f>IF(Time!S20&lt;Time!$F$12,SUMIFS(Funding!$J$70:$BJ$70,Construction!$J$12:$BJ$12,"&lt;="&amp;Time!S20)+SUMIFS(Funding!$J$71:$BJ$71,Construction!$J$12:$BJ$12,"&lt;="&amp;Time!S20),Waterfall!S36)</f>
        <v/>
      </c>
      <c r="T23" s="13">
        <f>IF(Time!T20&lt;Time!$F$12,SUMIFS(Funding!$J$70:$BJ$70,Construction!$J$12:$BJ$12,"&lt;="&amp;Time!T20)+SUMIFS(Funding!$J$71:$BJ$71,Construction!$J$12:$BJ$12,"&lt;="&amp;Time!T20),Waterfall!T36)</f>
        <v/>
      </c>
      <c r="U23" s="13">
        <f>IF(Time!U20&lt;Time!$F$12,SUMIFS(Funding!$J$70:$BJ$70,Construction!$J$12:$BJ$12,"&lt;="&amp;Time!U20)+SUMIFS(Funding!$J$71:$BJ$71,Construction!$J$12:$BJ$12,"&lt;="&amp;Time!U20),Waterfall!U36)</f>
        <v/>
      </c>
      <c r="V23" s="13">
        <f>IF(Time!V20&lt;Time!$F$12,SUMIFS(Funding!$J$70:$BJ$70,Construction!$J$12:$BJ$12,"&lt;="&amp;Time!V20)+SUMIFS(Funding!$J$71:$BJ$71,Construction!$J$12:$BJ$12,"&lt;="&amp;Time!V20),Waterfall!V36)</f>
        <v/>
      </c>
      <c r="W23" s="13">
        <f>IF(Time!W20&lt;Time!$F$12,SUMIFS(Funding!$J$70:$BJ$70,Construction!$J$12:$BJ$12,"&lt;="&amp;Time!W20)+SUMIFS(Funding!$J$71:$BJ$71,Construction!$J$12:$BJ$12,"&lt;="&amp;Time!W20),Waterfall!W36)</f>
        <v/>
      </c>
      <c r="X23" s="13">
        <f>IF(Time!X20&lt;Time!$F$12,SUMIFS(Funding!$J$70:$BJ$70,Construction!$J$12:$BJ$12,"&lt;="&amp;Time!X20)+SUMIFS(Funding!$J$71:$BJ$71,Construction!$J$12:$BJ$12,"&lt;="&amp;Time!X20),Waterfall!X36)</f>
        <v/>
      </c>
      <c r="Y23" s="13">
        <f>IF(Time!Y20&lt;Time!$F$12,SUMIFS(Funding!$J$70:$BJ$70,Construction!$J$12:$BJ$12,"&lt;="&amp;Time!Y20)+SUMIFS(Funding!$J$71:$BJ$71,Construction!$J$12:$BJ$12,"&lt;="&amp;Time!Y20),Waterfall!Y36)</f>
        <v/>
      </c>
      <c r="Z23" s="13">
        <f>IF(Time!Z20&lt;Time!$F$12,SUMIFS(Funding!$J$70:$BJ$70,Construction!$J$12:$BJ$12,"&lt;="&amp;Time!Z20)+SUMIFS(Funding!$J$71:$BJ$71,Construction!$J$12:$BJ$12,"&lt;="&amp;Time!Z20),Waterfall!Z36)</f>
        <v/>
      </c>
      <c r="AA23" s="13">
        <f>IF(Time!AA20&lt;Time!$F$12,SUMIFS(Funding!$J$70:$BJ$70,Construction!$J$12:$BJ$12,"&lt;="&amp;Time!AA20)+SUMIFS(Funding!$J$71:$BJ$71,Construction!$J$12:$BJ$12,"&lt;="&amp;Time!AA20),Waterfall!AA36)</f>
        <v/>
      </c>
      <c r="AB23" s="13">
        <f>IF(Time!AB20&lt;Time!$F$12,SUMIFS(Funding!$J$70:$BJ$70,Construction!$J$12:$BJ$12,"&lt;="&amp;Time!AB20)+SUMIFS(Funding!$J$71:$BJ$71,Construction!$J$12:$BJ$12,"&lt;="&amp;Time!AB20),Waterfall!AB36)</f>
        <v/>
      </c>
      <c r="AC23" s="13">
        <f>IF(Time!AC20&lt;Time!$F$12,SUMIFS(Funding!$J$70:$BJ$70,Construction!$J$12:$BJ$12,"&lt;="&amp;Time!AC20)+SUMIFS(Funding!$J$71:$BJ$71,Construction!$J$12:$BJ$12,"&lt;="&amp;Time!AC20),Waterfall!AC36)</f>
        <v/>
      </c>
      <c r="AD23" s="13">
        <f>IF(Time!AD20&lt;Time!$F$12,SUMIFS(Funding!$J$70:$BJ$70,Construction!$J$12:$BJ$12,"&lt;="&amp;Time!AD20)+SUMIFS(Funding!$J$71:$BJ$71,Construction!$J$12:$BJ$12,"&lt;="&amp;Time!AD20),Waterfall!AD36)</f>
        <v/>
      </c>
      <c r="AE23" s="13">
        <f>IF(Time!AE20&lt;Time!$F$12,SUMIFS(Funding!$J$70:$BJ$70,Construction!$J$12:$BJ$12,"&lt;="&amp;Time!AE20)+SUMIFS(Funding!$J$71:$BJ$71,Construction!$J$12:$BJ$12,"&lt;="&amp;Time!AE20),Waterfall!AE36)</f>
        <v/>
      </c>
      <c r="AF23" s="13">
        <f>IF(Time!AF20&lt;Time!$F$12,SUMIFS(Funding!$J$70:$BJ$70,Construction!$J$12:$BJ$12,"&lt;="&amp;Time!AF20)+SUMIFS(Funding!$J$71:$BJ$71,Construction!$J$12:$BJ$12,"&lt;="&amp;Time!AF20),Waterfall!AF36)</f>
        <v/>
      </c>
      <c r="AG23" s="13">
        <f>IF(Time!AG20&lt;Time!$F$12,SUMIFS(Funding!$J$70:$BJ$70,Construction!$J$12:$BJ$12,"&lt;="&amp;Time!AG20)+SUMIFS(Funding!$J$71:$BJ$71,Construction!$J$12:$BJ$12,"&lt;="&amp;Time!AG20),Waterfall!AG36)</f>
        <v/>
      </c>
      <c r="AH23" s="13">
        <f>IF(Time!AH20&lt;Time!$F$12,SUMIFS(Funding!$J$70:$BJ$70,Construction!$J$12:$BJ$12,"&lt;="&amp;Time!AH20)+SUMIFS(Funding!$J$71:$BJ$71,Construction!$J$12:$BJ$12,"&lt;="&amp;Time!AH20),Waterfall!AH36)</f>
        <v/>
      </c>
      <c r="AI23" s="13">
        <f>IF(Time!AI20&lt;Time!$F$12,SUMIFS(Funding!$J$70:$BJ$70,Construction!$J$12:$BJ$12,"&lt;="&amp;Time!AI20)+SUMIFS(Funding!$J$71:$BJ$71,Construction!$J$12:$BJ$12,"&lt;="&amp;Time!AI20),Waterfall!AI36)</f>
        <v/>
      </c>
      <c r="AJ23" s="13">
        <f>IF(Time!AJ20&lt;Time!$F$12,SUMIFS(Funding!$J$70:$BJ$70,Construction!$J$12:$BJ$12,"&lt;="&amp;Time!AJ20)+SUMIFS(Funding!$J$71:$BJ$71,Construction!$J$12:$BJ$12,"&lt;="&amp;Time!AJ20),Waterfall!AJ36)</f>
        <v/>
      </c>
      <c r="AK23" s="13">
        <f>IF(Time!AK20&lt;Time!$F$12,SUMIFS(Funding!$J$70:$BJ$70,Construction!$J$12:$BJ$12,"&lt;="&amp;Time!AK20)+SUMIFS(Funding!$J$71:$BJ$71,Construction!$J$12:$BJ$12,"&lt;="&amp;Time!AK20),Waterfall!AK36)</f>
        <v/>
      </c>
      <c r="AL23" s="13">
        <f>IF(Time!AL20&lt;Time!$F$12,SUMIFS(Funding!$J$70:$BJ$70,Construction!$J$12:$BJ$12,"&lt;="&amp;Time!AL20)+SUMIFS(Funding!$J$71:$BJ$71,Construction!$J$12:$BJ$12,"&lt;="&amp;Time!AL20),Waterfall!AL36)</f>
        <v/>
      </c>
      <c r="AM23" s="13">
        <f>IF(Time!AM20&lt;Time!$F$12,SUMIFS(Funding!$J$70:$BJ$70,Construction!$J$12:$BJ$12,"&lt;="&amp;Time!AM20)+SUMIFS(Funding!$J$71:$BJ$71,Construction!$J$12:$BJ$12,"&lt;="&amp;Time!AM20),Waterfall!AM36)</f>
        <v/>
      </c>
      <c r="AN23" s="13">
        <f>IF(Time!AN20&lt;Time!$F$12,SUMIFS(Funding!$J$70:$BJ$70,Construction!$J$12:$BJ$12,"&lt;="&amp;Time!AN20)+SUMIFS(Funding!$J$71:$BJ$71,Construction!$J$12:$BJ$12,"&lt;="&amp;Time!AN20),Waterfall!AN36)</f>
        <v/>
      </c>
      <c r="AO23" s="13">
        <f>IF(Time!AO20&lt;Time!$F$12,SUMIFS(Funding!$J$70:$BJ$70,Construction!$J$12:$BJ$12,"&lt;="&amp;Time!AO20)+SUMIFS(Funding!$J$71:$BJ$71,Construction!$J$12:$BJ$12,"&lt;="&amp;Time!AO20),Waterfall!AO36)</f>
        <v/>
      </c>
      <c r="AP23" s="13">
        <f>IF(Time!AP20&lt;Time!$F$12,SUMIFS(Funding!$J$70:$BJ$70,Construction!$J$12:$BJ$12,"&lt;="&amp;Time!AP20)+SUMIFS(Funding!$J$71:$BJ$71,Construction!$J$12:$BJ$12,"&lt;="&amp;Time!AP20),Waterfall!AP36)</f>
        <v/>
      </c>
      <c r="AQ23" s="13">
        <f>IF(Time!AQ20&lt;Time!$F$12,SUMIFS(Funding!$J$70:$BJ$70,Construction!$J$12:$BJ$12,"&lt;="&amp;Time!AQ20)+SUMIFS(Funding!$J$71:$BJ$71,Construction!$J$12:$BJ$12,"&lt;="&amp;Time!AQ20),Waterfall!AQ36)</f>
        <v/>
      </c>
      <c r="AR23" s="13">
        <f>IF(Time!AR20&lt;Time!$F$12,SUMIFS(Funding!$J$70:$BJ$70,Construction!$J$12:$BJ$12,"&lt;="&amp;Time!AR20)+SUMIFS(Funding!$J$71:$BJ$71,Construction!$J$12:$BJ$12,"&lt;="&amp;Time!AR20),Waterfall!AR36)</f>
        <v/>
      </c>
      <c r="AS23" s="13">
        <f>IF(Time!AS20&lt;Time!$F$12,SUMIFS(Funding!$J$70:$BJ$70,Construction!$J$12:$BJ$12,"&lt;="&amp;Time!AS20)+SUMIFS(Funding!$J$71:$BJ$71,Construction!$J$12:$BJ$12,"&lt;="&amp;Time!AS20),Waterfall!AS36)</f>
        <v/>
      </c>
      <c r="AT23" s="13">
        <f>IF(Time!AT20&lt;Time!$F$12,SUMIFS(Funding!$J$70:$BJ$70,Construction!$J$12:$BJ$12,"&lt;="&amp;Time!AT20)+SUMIFS(Funding!$J$71:$BJ$71,Construction!$J$12:$BJ$12,"&lt;="&amp;Time!AT20),Waterfall!AT36)</f>
        <v/>
      </c>
      <c r="AU23" s="13">
        <f>IF(Time!AU20&lt;Time!$F$12,SUMIFS(Funding!$J$70:$BJ$70,Construction!$J$12:$BJ$12,"&lt;="&amp;Time!AU20)+SUMIFS(Funding!$J$71:$BJ$71,Construction!$J$12:$BJ$12,"&lt;="&amp;Time!AU20),Waterfall!AU36)</f>
        <v/>
      </c>
      <c r="AV23" s="13">
        <f>IF(Time!AV20&lt;Time!$F$12,SUMIFS(Funding!$J$70:$BJ$70,Construction!$J$12:$BJ$12,"&lt;="&amp;Time!AV20)+SUMIFS(Funding!$J$71:$BJ$71,Construction!$J$12:$BJ$12,"&lt;="&amp;Time!AV20),Waterfall!AV36)</f>
        <v/>
      </c>
      <c r="AW23" s="13">
        <f>IF(Time!AW20&lt;Time!$F$12,SUMIFS(Funding!$J$70:$BJ$70,Construction!$J$12:$BJ$12,"&lt;="&amp;Time!AW20)+SUMIFS(Funding!$J$71:$BJ$71,Construction!$J$12:$BJ$12,"&lt;="&amp;Time!AW20),Waterfall!AW36)</f>
        <v/>
      </c>
      <c r="AX23" s="13">
        <f>IF(Time!AX20&lt;Time!$F$12,SUMIFS(Funding!$J$70:$BJ$70,Construction!$J$12:$BJ$12,"&lt;="&amp;Time!AX20)+SUMIFS(Funding!$J$71:$BJ$71,Construction!$J$12:$BJ$12,"&lt;="&amp;Time!AX20),Waterfall!AX36)</f>
        <v/>
      </c>
      <c r="AY23" s="13">
        <f>IF(Time!AY20&lt;Time!$F$12,SUMIFS(Funding!$J$70:$BJ$70,Construction!$J$12:$BJ$12,"&lt;="&amp;Time!AY20)+SUMIFS(Funding!$J$71:$BJ$71,Construction!$J$12:$BJ$12,"&lt;="&amp;Time!AY20),Waterfall!AY36)</f>
        <v/>
      </c>
      <c r="AZ23" s="13">
        <f>IF(Time!AZ20&lt;Time!$F$12,SUMIFS(Funding!$J$70:$BJ$70,Construction!$J$12:$BJ$12,"&lt;="&amp;Time!AZ20)+SUMIFS(Funding!$J$71:$BJ$71,Construction!$J$12:$BJ$12,"&lt;="&amp;Time!AZ20),Waterfall!AZ36)</f>
        <v/>
      </c>
      <c r="BA23" s="13">
        <f>IF(Time!BA20&lt;Time!$F$12,SUMIFS(Funding!$J$70:$BJ$70,Construction!$J$12:$BJ$12,"&lt;="&amp;Time!BA20)+SUMIFS(Funding!$J$71:$BJ$71,Construction!$J$12:$BJ$12,"&lt;="&amp;Time!BA20),Waterfall!BA36)</f>
        <v/>
      </c>
      <c r="BB23" s="13">
        <f>IF(Time!BB20&lt;Time!$F$12,SUMIFS(Funding!$J$70:$BJ$70,Construction!$J$12:$BJ$12,"&lt;="&amp;Time!BB20)+SUMIFS(Funding!$J$71:$BJ$71,Construction!$J$12:$BJ$12,"&lt;="&amp;Time!BB20),Waterfall!BB36)</f>
        <v/>
      </c>
      <c r="BC23" s="13">
        <f>IF(Time!BC20&lt;Time!$F$12,SUMIFS(Funding!$J$70:$BJ$70,Construction!$J$12:$BJ$12,"&lt;="&amp;Time!BC20)+SUMIFS(Funding!$J$71:$BJ$71,Construction!$J$12:$BJ$12,"&lt;="&amp;Time!BC20),Waterfall!BC36)</f>
        <v/>
      </c>
      <c r="BD23" s="13">
        <f>IF(Time!BD20&lt;Time!$F$12,SUMIFS(Funding!$J$70:$BJ$70,Construction!$J$12:$BJ$12,"&lt;="&amp;Time!BD20)+SUMIFS(Funding!$J$71:$BJ$71,Construction!$J$12:$BJ$12,"&lt;="&amp;Time!BD20),Waterfall!BD36)</f>
        <v/>
      </c>
      <c r="BE23" s="13">
        <f>IF(Time!BE20&lt;Time!$F$12,SUMIFS(Funding!$J$70:$BJ$70,Construction!$J$12:$BJ$12,"&lt;="&amp;Time!BE20)+SUMIFS(Funding!$J$71:$BJ$71,Construction!$J$12:$BJ$12,"&lt;="&amp;Time!BE20),Waterfall!BE36)</f>
        <v/>
      </c>
      <c r="BF23" s="13">
        <f>IF(Time!BF20&lt;Time!$F$12,SUMIFS(Funding!$J$70:$BJ$70,Construction!$J$12:$BJ$12,"&lt;="&amp;Time!BF20)+SUMIFS(Funding!$J$71:$BJ$71,Construction!$J$12:$BJ$12,"&lt;="&amp;Time!BF20),Waterfall!BF36)</f>
        <v/>
      </c>
      <c r="BG23" s="13">
        <f>IF(Time!BG20&lt;Time!$F$12,SUMIFS(Funding!$J$70:$BJ$70,Construction!$J$12:$BJ$12,"&lt;="&amp;Time!BG20)+SUMIFS(Funding!$J$71:$BJ$71,Construction!$J$12:$BJ$12,"&lt;="&amp;Time!BG20),Waterfall!BG36)</f>
        <v/>
      </c>
      <c r="BH23" s="13">
        <f>IF(Time!BH20&lt;Time!$F$12,SUMIFS(Funding!$J$70:$BJ$70,Construction!$J$12:$BJ$12,"&lt;="&amp;Time!BH20)+SUMIFS(Funding!$J$71:$BJ$71,Construction!$J$12:$BJ$12,"&lt;="&amp;Time!BH20),Waterfall!BH36)</f>
        <v/>
      </c>
      <c r="BI23" s="13">
        <f>IF(Time!BI20&lt;Time!$F$12,SUMIFS(Funding!$J$70:$BJ$70,Construction!$J$12:$BJ$12,"&lt;="&amp;Time!BI20)+SUMIFS(Funding!$J$71:$BJ$71,Construction!$J$12:$BJ$12,"&lt;="&amp;Time!BI20),Waterfall!BI36)</f>
        <v/>
      </c>
      <c r="BJ23" s="13">
        <f>IF(Time!BJ20&lt;Time!$F$12,SUMIFS(Funding!$J$70:$BJ$70,Construction!$J$12:$BJ$12,"&lt;="&amp;Time!BJ20)+SUMIFS(Funding!$J$71:$BJ$71,Construction!$J$12:$BJ$12,"&lt;="&amp;Time!BJ20),Waterfall!BJ36)</f>
        <v/>
      </c>
      <c r="BK23" s="13">
        <f>IF(Time!BK20&lt;Time!$F$12,SUMIFS(Funding!$J$70:$BJ$70,Construction!$J$12:$BJ$12,"&lt;="&amp;Time!BK20)+SUMIFS(Funding!$J$71:$BJ$71,Construction!$J$12:$BJ$12,"&lt;="&amp;Time!BK20),Waterfall!BK36)</f>
        <v/>
      </c>
      <c r="BL23" s="13">
        <f>IF(Time!BL20&lt;Time!$F$12,SUMIFS(Funding!$J$70:$BJ$70,Construction!$J$12:$BJ$12,"&lt;="&amp;Time!BL20)+SUMIFS(Funding!$J$71:$BJ$71,Construction!$J$12:$BJ$12,"&lt;="&amp;Time!BL20),Waterfall!BL36)</f>
        <v/>
      </c>
      <c r="BM23" s="13">
        <f>IF(Time!BM20&lt;Time!$F$12,SUMIFS(Funding!$J$70:$BJ$70,Construction!$J$12:$BJ$12,"&lt;="&amp;Time!BM20)+SUMIFS(Funding!$J$71:$BJ$71,Construction!$J$12:$BJ$12,"&lt;="&amp;Time!BM20),Waterfall!BM36)</f>
        <v/>
      </c>
      <c r="BN23" s="13">
        <f>IF(Time!BN20&lt;Time!$F$12,SUMIFS(Funding!$J$70:$BJ$70,Construction!$J$12:$BJ$12,"&lt;="&amp;Time!BN20)+SUMIFS(Funding!$J$71:$BJ$71,Construction!$J$12:$BJ$12,"&lt;="&amp;Time!BN20),Waterfall!BN36)</f>
        <v/>
      </c>
    </row>
    <row r="24">
      <c r="D24" t="inlineStr">
        <is>
          <t>Payables (incl. deferred SNHK/GCK payables)</t>
        </is>
      </c>
      <c r="E24" t="inlineStr">
        <is>
          <t>USD m</t>
        </is>
      </c>
      <c r="J24" s="13">
        <f>Operations!J90+Operations!J91+Operations!J92+Operations!J93+Operations!J94</f>
        <v/>
      </c>
      <c r="K24" s="13">
        <f>Operations!K90+Operations!K91+Operations!K92+Operations!K93+Operations!K94</f>
        <v/>
      </c>
      <c r="L24" s="13">
        <f>Operations!L90+Operations!L91+Operations!L92+Operations!L93+Operations!L94</f>
        <v/>
      </c>
      <c r="M24" s="13">
        <f>Operations!M90+Operations!M91+Operations!M92+Operations!M93+Operations!M94</f>
        <v/>
      </c>
      <c r="N24" s="13">
        <f>Operations!N90+Operations!N91+Operations!N92+Operations!N93+Operations!N94</f>
        <v/>
      </c>
      <c r="O24" s="13">
        <f>Operations!O90+Operations!O91+Operations!O92+Operations!O93+Operations!O94</f>
        <v/>
      </c>
      <c r="P24" s="13">
        <f>Operations!P90+Operations!P91+Operations!P92+Operations!P93+Operations!P94</f>
        <v/>
      </c>
      <c r="Q24" s="13">
        <f>Operations!Q90+Operations!Q91+Operations!Q92+Operations!Q93+Operations!Q94</f>
        <v/>
      </c>
      <c r="R24" s="13">
        <f>Operations!R90+Operations!R91+Operations!R92+Operations!R93+Operations!R94</f>
        <v/>
      </c>
      <c r="S24" s="13">
        <f>Operations!S90+Operations!S91+Operations!S92+Operations!S93+Operations!S94</f>
        <v/>
      </c>
      <c r="T24" s="13">
        <f>Operations!T90+Operations!T91+Operations!T92+Operations!T93+Operations!T94</f>
        <v/>
      </c>
      <c r="U24" s="13">
        <f>Operations!U90+Operations!U91+Operations!U92+Operations!U93+Operations!U94</f>
        <v/>
      </c>
      <c r="V24" s="13">
        <f>Operations!V90+Operations!V91+Operations!V92+Operations!V93+Operations!V94</f>
        <v/>
      </c>
      <c r="W24" s="13">
        <f>Operations!W90+Operations!W91+Operations!W92+Operations!W93+Operations!W94</f>
        <v/>
      </c>
      <c r="X24" s="13">
        <f>Operations!X90+Operations!X91+Operations!X92+Operations!X93+Operations!X94</f>
        <v/>
      </c>
      <c r="Y24" s="13">
        <f>Operations!Y90+Operations!Y91+Operations!Y92+Operations!Y93+Operations!Y94</f>
        <v/>
      </c>
      <c r="Z24" s="13">
        <f>Operations!Z90+Operations!Z91+Operations!Z92+Operations!Z93+Operations!Z94</f>
        <v/>
      </c>
      <c r="AA24" s="13">
        <f>Operations!AA90+Operations!AA91+Operations!AA92+Operations!AA93+Operations!AA94</f>
        <v/>
      </c>
      <c r="AB24" s="13">
        <f>Operations!AB90+Operations!AB91+Operations!AB92+Operations!AB93+Operations!AB94</f>
        <v/>
      </c>
      <c r="AC24" s="13">
        <f>Operations!AC90+Operations!AC91+Operations!AC92+Operations!AC93+Operations!AC94</f>
        <v/>
      </c>
      <c r="AD24" s="13">
        <f>Operations!AD90+Operations!AD91+Operations!AD92+Operations!AD93+Operations!AD94</f>
        <v/>
      </c>
      <c r="AE24" s="13">
        <f>Operations!AE90+Operations!AE91+Operations!AE92+Operations!AE93+Operations!AE94</f>
        <v/>
      </c>
      <c r="AF24" s="13">
        <f>Operations!AF90+Operations!AF91+Operations!AF92+Operations!AF93+Operations!AF94</f>
        <v/>
      </c>
      <c r="AG24" s="13">
        <f>Operations!AG90+Operations!AG91+Operations!AG92+Operations!AG93+Operations!AG94</f>
        <v/>
      </c>
      <c r="AH24" s="13">
        <f>Operations!AH90+Operations!AH91+Operations!AH92+Operations!AH93+Operations!AH94</f>
        <v/>
      </c>
      <c r="AI24" s="13">
        <f>Operations!AI90+Operations!AI91+Operations!AI92+Operations!AI93+Operations!AI94</f>
        <v/>
      </c>
      <c r="AJ24" s="13">
        <f>Operations!AJ90+Operations!AJ91+Operations!AJ92+Operations!AJ93+Operations!AJ94</f>
        <v/>
      </c>
      <c r="AK24" s="13">
        <f>Operations!AK90+Operations!AK91+Operations!AK92+Operations!AK93+Operations!AK94</f>
        <v/>
      </c>
      <c r="AL24" s="13">
        <f>Operations!AL90+Operations!AL91+Operations!AL92+Operations!AL93+Operations!AL94</f>
        <v/>
      </c>
      <c r="AM24" s="13">
        <f>Operations!AM90+Operations!AM91+Operations!AM92+Operations!AM93+Operations!AM94</f>
        <v/>
      </c>
      <c r="AN24" s="13">
        <f>Operations!AN90+Operations!AN91+Operations!AN92+Operations!AN93+Operations!AN94</f>
        <v/>
      </c>
      <c r="AO24" s="13">
        <f>Operations!AO90+Operations!AO91+Operations!AO92+Operations!AO93+Operations!AO94</f>
        <v/>
      </c>
      <c r="AP24" s="13">
        <f>Operations!AP90+Operations!AP91+Operations!AP92+Operations!AP93+Operations!AP94</f>
        <v/>
      </c>
      <c r="AQ24" s="13">
        <f>Operations!AQ90+Operations!AQ91+Operations!AQ92+Operations!AQ93+Operations!AQ94</f>
        <v/>
      </c>
      <c r="AR24" s="13">
        <f>Operations!AR90+Operations!AR91+Operations!AR92+Operations!AR93+Operations!AR94</f>
        <v/>
      </c>
      <c r="AS24" s="13">
        <f>Operations!AS90+Operations!AS91+Operations!AS92+Operations!AS93+Operations!AS94</f>
        <v/>
      </c>
      <c r="AT24" s="13">
        <f>Operations!AT90+Operations!AT91+Operations!AT92+Operations!AT93+Operations!AT94</f>
        <v/>
      </c>
      <c r="AU24" s="13">
        <f>Operations!AU90+Operations!AU91+Operations!AU92+Operations!AU93+Operations!AU94</f>
        <v/>
      </c>
      <c r="AV24" s="13">
        <f>Operations!AV90+Operations!AV91+Operations!AV92+Operations!AV93+Operations!AV94</f>
        <v/>
      </c>
      <c r="AW24" s="13">
        <f>Operations!AW90+Operations!AW91+Operations!AW92+Operations!AW93+Operations!AW94</f>
        <v/>
      </c>
      <c r="AX24" s="13">
        <f>Operations!AX90+Operations!AX91+Operations!AX92+Operations!AX93+Operations!AX94</f>
        <v/>
      </c>
      <c r="AY24" s="13">
        <f>Operations!AY90+Operations!AY91+Operations!AY92+Operations!AY93+Operations!AY94</f>
        <v/>
      </c>
      <c r="AZ24" s="13">
        <f>Operations!AZ90+Operations!AZ91+Operations!AZ92+Operations!AZ93+Operations!AZ94</f>
        <v/>
      </c>
      <c r="BA24" s="13">
        <f>Operations!BA90+Operations!BA91+Operations!BA92+Operations!BA93+Operations!BA94</f>
        <v/>
      </c>
      <c r="BB24" s="13">
        <f>Operations!BB90+Operations!BB91+Operations!BB92+Operations!BB93+Operations!BB94</f>
        <v/>
      </c>
      <c r="BC24" s="13">
        <f>Operations!BC90+Operations!BC91+Operations!BC92+Operations!BC93+Operations!BC94</f>
        <v/>
      </c>
      <c r="BD24" s="13">
        <f>Operations!BD90+Operations!BD91+Operations!BD92+Operations!BD93+Operations!BD94</f>
        <v/>
      </c>
      <c r="BE24" s="13">
        <f>Operations!BE90+Operations!BE91+Operations!BE92+Operations!BE93+Operations!BE94</f>
        <v/>
      </c>
      <c r="BF24" s="13">
        <f>Operations!BF90+Operations!BF91+Operations!BF92+Operations!BF93+Operations!BF94</f>
        <v/>
      </c>
      <c r="BG24" s="13">
        <f>Operations!BG90+Operations!BG91+Operations!BG92+Operations!BG93+Operations!BG94</f>
        <v/>
      </c>
      <c r="BH24" s="13">
        <f>Operations!BH90+Operations!BH91+Operations!BH92+Operations!BH93+Operations!BH94</f>
        <v/>
      </c>
      <c r="BI24" s="13">
        <f>Operations!BI90+Operations!BI91+Operations!BI92+Operations!BI93+Operations!BI94</f>
        <v/>
      </c>
      <c r="BJ24" s="13">
        <f>Operations!BJ90+Operations!BJ91+Operations!BJ92+Operations!BJ93+Operations!BJ94</f>
        <v/>
      </c>
      <c r="BK24" s="13">
        <f>Operations!BK90+Operations!BK91+Operations!BK92+Operations!BK93+Operations!BK94</f>
        <v/>
      </c>
      <c r="BL24" s="13">
        <f>Operations!BL90+Operations!BL91+Operations!BL92+Operations!BL93+Operations!BL94</f>
        <v/>
      </c>
      <c r="BM24" s="13">
        <f>Operations!BM90+Operations!BM91+Operations!BM92+Operations!BM93+Operations!BM94</f>
        <v/>
      </c>
      <c r="BN24" s="13">
        <f>Operations!BN90+Operations!BN91+Operations!BN92+Operations!BN93+Operations!BN94</f>
        <v/>
      </c>
    </row>
    <row r="25">
      <c r="D25" t="inlineStr">
        <is>
          <t>Deferred tax liability</t>
        </is>
      </c>
      <c r="E25" t="inlineStr">
        <is>
          <t>USD m</t>
        </is>
      </c>
      <c r="J25" s="13">
        <f>MAX(0,J12)</f>
        <v/>
      </c>
      <c r="K25" s="13">
        <f>MAX(0,K12)</f>
        <v/>
      </c>
      <c r="L25" s="13">
        <f>MAX(0,L12)</f>
        <v/>
      </c>
      <c r="M25" s="13">
        <f>MAX(0,M12)</f>
        <v/>
      </c>
      <c r="N25" s="13">
        <f>MAX(0,N12)</f>
        <v/>
      </c>
      <c r="O25" s="13">
        <f>MAX(0,O12)</f>
        <v/>
      </c>
      <c r="P25" s="13">
        <f>MAX(0,P12)</f>
        <v/>
      </c>
      <c r="Q25" s="13">
        <f>MAX(0,Q12)</f>
        <v/>
      </c>
      <c r="R25" s="13">
        <f>MAX(0,R12)</f>
        <v/>
      </c>
      <c r="S25" s="13">
        <f>MAX(0,S12)</f>
        <v/>
      </c>
      <c r="T25" s="13">
        <f>MAX(0,T12)</f>
        <v/>
      </c>
      <c r="U25" s="13">
        <f>MAX(0,U12)</f>
        <v/>
      </c>
      <c r="V25" s="13">
        <f>MAX(0,V12)</f>
        <v/>
      </c>
      <c r="W25" s="13">
        <f>MAX(0,W12)</f>
        <v/>
      </c>
      <c r="X25" s="13">
        <f>MAX(0,X12)</f>
        <v/>
      </c>
      <c r="Y25" s="13">
        <f>MAX(0,Y12)</f>
        <v/>
      </c>
      <c r="Z25" s="13">
        <f>MAX(0,Z12)</f>
        <v/>
      </c>
      <c r="AA25" s="13">
        <f>MAX(0,AA12)</f>
        <v/>
      </c>
      <c r="AB25" s="13">
        <f>MAX(0,AB12)</f>
        <v/>
      </c>
      <c r="AC25" s="13">
        <f>MAX(0,AC12)</f>
        <v/>
      </c>
      <c r="AD25" s="13">
        <f>MAX(0,AD12)</f>
        <v/>
      </c>
      <c r="AE25" s="13">
        <f>MAX(0,AE12)</f>
        <v/>
      </c>
      <c r="AF25" s="13">
        <f>MAX(0,AF12)</f>
        <v/>
      </c>
      <c r="AG25" s="13">
        <f>MAX(0,AG12)</f>
        <v/>
      </c>
      <c r="AH25" s="13">
        <f>MAX(0,AH12)</f>
        <v/>
      </c>
      <c r="AI25" s="13">
        <f>MAX(0,AI12)</f>
        <v/>
      </c>
      <c r="AJ25" s="13">
        <f>MAX(0,AJ12)</f>
        <v/>
      </c>
      <c r="AK25" s="13">
        <f>MAX(0,AK12)</f>
        <v/>
      </c>
      <c r="AL25" s="13">
        <f>MAX(0,AL12)</f>
        <v/>
      </c>
      <c r="AM25" s="13">
        <f>MAX(0,AM12)</f>
        <v/>
      </c>
      <c r="AN25" s="13">
        <f>MAX(0,AN12)</f>
        <v/>
      </c>
      <c r="AO25" s="13">
        <f>MAX(0,AO12)</f>
        <v/>
      </c>
      <c r="AP25" s="13">
        <f>MAX(0,AP12)</f>
        <v/>
      </c>
      <c r="AQ25" s="13">
        <f>MAX(0,AQ12)</f>
        <v/>
      </c>
      <c r="AR25" s="13">
        <f>MAX(0,AR12)</f>
        <v/>
      </c>
      <c r="AS25" s="13">
        <f>MAX(0,AS12)</f>
        <v/>
      </c>
      <c r="AT25" s="13">
        <f>MAX(0,AT12)</f>
        <v/>
      </c>
      <c r="AU25" s="13">
        <f>MAX(0,AU12)</f>
        <v/>
      </c>
      <c r="AV25" s="13">
        <f>MAX(0,AV12)</f>
        <v/>
      </c>
      <c r="AW25" s="13">
        <f>MAX(0,AW12)</f>
        <v/>
      </c>
      <c r="AX25" s="13">
        <f>MAX(0,AX12)</f>
        <v/>
      </c>
      <c r="AY25" s="13">
        <f>MAX(0,AY12)</f>
        <v/>
      </c>
      <c r="AZ25" s="13">
        <f>MAX(0,AZ12)</f>
        <v/>
      </c>
      <c r="BA25" s="13">
        <f>MAX(0,BA12)</f>
        <v/>
      </c>
      <c r="BB25" s="13">
        <f>MAX(0,BB12)</f>
        <v/>
      </c>
      <c r="BC25" s="13">
        <f>MAX(0,BC12)</f>
        <v/>
      </c>
      <c r="BD25" s="13">
        <f>MAX(0,BD12)</f>
        <v/>
      </c>
      <c r="BE25" s="13">
        <f>MAX(0,BE12)</f>
        <v/>
      </c>
      <c r="BF25" s="13">
        <f>MAX(0,BF12)</f>
        <v/>
      </c>
      <c r="BG25" s="13">
        <f>MAX(0,BG12)</f>
        <v/>
      </c>
      <c r="BH25" s="13">
        <f>MAX(0,BH12)</f>
        <v/>
      </c>
      <c r="BI25" s="13">
        <f>MAX(0,BI12)</f>
        <v/>
      </c>
      <c r="BJ25" s="13">
        <f>MAX(0,BJ12)</f>
        <v/>
      </c>
      <c r="BK25" s="13">
        <f>MAX(0,BK12)</f>
        <v/>
      </c>
      <c r="BL25" s="13">
        <f>MAX(0,BL12)</f>
        <v/>
      </c>
      <c r="BM25" s="13">
        <f>MAX(0,BM12)</f>
        <v/>
      </c>
      <c r="BN25" s="13">
        <f>MAX(0,BN12)</f>
        <v/>
      </c>
    </row>
    <row r="26">
      <c r="D26" t="inlineStr">
        <is>
          <t>Share capital</t>
        </is>
      </c>
      <c r="E26" t="inlineStr">
        <is>
          <t>USD m</t>
        </is>
      </c>
      <c r="J26" s="13">
        <f>SUMIFS(Funding!$J$69:$BJ$69,Construction!$J$12:$BJ$12,"&lt;="&amp;Time!J20)</f>
        <v/>
      </c>
      <c r="K26" s="13">
        <f>SUMIFS(Funding!$J$69:$BJ$69,Construction!$J$12:$BJ$12,"&lt;="&amp;Time!K20)</f>
        <v/>
      </c>
      <c r="L26" s="13">
        <f>SUMIFS(Funding!$J$69:$BJ$69,Construction!$J$12:$BJ$12,"&lt;="&amp;Time!L20)</f>
        <v/>
      </c>
      <c r="M26" s="13">
        <f>SUMIFS(Funding!$J$69:$BJ$69,Construction!$J$12:$BJ$12,"&lt;="&amp;Time!M20)</f>
        <v/>
      </c>
      <c r="N26" s="13">
        <f>SUMIFS(Funding!$J$69:$BJ$69,Construction!$J$12:$BJ$12,"&lt;="&amp;Time!N20)</f>
        <v/>
      </c>
      <c r="O26" s="13">
        <f>SUMIFS(Funding!$J$69:$BJ$69,Construction!$J$12:$BJ$12,"&lt;="&amp;Time!O20)</f>
        <v/>
      </c>
      <c r="P26" s="13">
        <f>SUMIFS(Funding!$J$69:$BJ$69,Construction!$J$12:$BJ$12,"&lt;="&amp;Time!P20)</f>
        <v/>
      </c>
      <c r="Q26" s="13">
        <f>SUMIFS(Funding!$J$69:$BJ$69,Construction!$J$12:$BJ$12,"&lt;="&amp;Time!Q20)</f>
        <v/>
      </c>
      <c r="R26" s="13">
        <f>SUMIFS(Funding!$J$69:$BJ$69,Construction!$J$12:$BJ$12,"&lt;="&amp;Time!R20)</f>
        <v/>
      </c>
      <c r="S26" s="13">
        <f>SUMIFS(Funding!$J$69:$BJ$69,Construction!$J$12:$BJ$12,"&lt;="&amp;Time!S20)</f>
        <v/>
      </c>
      <c r="T26" s="13">
        <f>SUMIFS(Funding!$J$69:$BJ$69,Construction!$J$12:$BJ$12,"&lt;="&amp;Time!T20)</f>
        <v/>
      </c>
      <c r="U26" s="13">
        <f>SUMIFS(Funding!$J$69:$BJ$69,Construction!$J$12:$BJ$12,"&lt;="&amp;Time!U20)</f>
        <v/>
      </c>
      <c r="V26" s="13">
        <f>SUMIFS(Funding!$J$69:$BJ$69,Construction!$J$12:$BJ$12,"&lt;="&amp;Time!V20)</f>
        <v/>
      </c>
      <c r="W26" s="13">
        <f>SUMIFS(Funding!$J$69:$BJ$69,Construction!$J$12:$BJ$12,"&lt;="&amp;Time!W20)</f>
        <v/>
      </c>
      <c r="X26" s="13">
        <f>SUMIFS(Funding!$J$69:$BJ$69,Construction!$J$12:$BJ$12,"&lt;="&amp;Time!X20)</f>
        <v/>
      </c>
      <c r="Y26" s="13">
        <f>SUMIFS(Funding!$J$69:$BJ$69,Construction!$J$12:$BJ$12,"&lt;="&amp;Time!Y20)</f>
        <v/>
      </c>
      <c r="Z26" s="13">
        <f>SUMIFS(Funding!$J$69:$BJ$69,Construction!$J$12:$BJ$12,"&lt;="&amp;Time!Z20)</f>
        <v/>
      </c>
      <c r="AA26" s="13">
        <f>SUMIFS(Funding!$J$69:$BJ$69,Construction!$J$12:$BJ$12,"&lt;="&amp;Time!AA20)</f>
        <v/>
      </c>
      <c r="AB26" s="13">
        <f>SUMIFS(Funding!$J$69:$BJ$69,Construction!$J$12:$BJ$12,"&lt;="&amp;Time!AB20)</f>
        <v/>
      </c>
      <c r="AC26" s="13">
        <f>SUMIFS(Funding!$J$69:$BJ$69,Construction!$J$12:$BJ$12,"&lt;="&amp;Time!AC20)</f>
        <v/>
      </c>
      <c r="AD26" s="13">
        <f>SUMIFS(Funding!$J$69:$BJ$69,Construction!$J$12:$BJ$12,"&lt;="&amp;Time!AD20)</f>
        <v/>
      </c>
      <c r="AE26" s="13">
        <f>SUMIFS(Funding!$J$69:$BJ$69,Construction!$J$12:$BJ$12,"&lt;="&amp;Time!AE20)</f>
        <v/>
      </c>
      <c r="AF26" s="13">
        <f>SUMIFS(Funding!$J$69:$BJ$69,Construction!$J$12:$BJ$12,"&lt;="&amp;Time!AF20)</f>
        <v/>
      </c>
      <c r="AG26" s="13">
        <f>SUMIFS(Funding!$J$69:$BJ$69,Construction!$J$12:$BJ$12,"&lt;="&amp;Time!AG20)</f>
        <v/>
      </c>
      <c r="AH26" s="13">
        <f>SUMIFS(Funding!$J$69:$BJ$69,Construction!$J$12:$BJ$12,"&lt;="&amp;Time!AH20)</f>
        <v/>
      </c>
      <c r="AI26" s="13">
        <f>SUMIFS(Funding!$J$69:$BJ$69,Construction!$J$12:$BJ$12,"&lt;="&amp;Time!AI20)</f>
        <v/>
      </c>
      <c r="AJ26" s="13">
        <f>SUMIFS(Funding!$J$69:$BJ$69,Construction!$J$12:$BJ$12,"&lt;="&amp;Time!AJ20)</f>
        <v/>
      </c>
      <c r="AK26" s="13">
        <f>SUMIFS(Funding!$J$69:$BJ$69,Construction!$J$12:$BJ$12,"&lt;="&amp;Time!AK20)</f>
        <v/>
      </c>
      <c r="AL26" s="13">
        <f>SUMIFS(Funding!$J$69:$BJ$69,Construction!$J$12:$BJ$12,"&lt;="&amp;Time!AL20)</f>
        <v/>
      </c>
      <c r="AM26" s="13">
        <f>SUMIFS(Funding!$J$69:$BJ$69,Construction!$J$12:$BJ$12,"&lt;="&amp;Time!AM20)</f>
        <v/>
      </c>
      <c r="AN26" s="13">
        <f>SUMIFS(Funding!$J$69:$BJ$69,Construction!$J$12:$BJ$12,"&lt;="&amp;Time!AN20)</f>
        <v/>
      </c>
      <c r="AO26" s="13">
        <f>SUMIFS(Funding!$J$69:$BJ$69,Construction!$J$12:$BJ$12,"&lt;="&amp;Time!AO20)</f>
        <v/>
      </c>
      <c r="AP26" s="13">
        <f>SUMIFS(Funding!$J$69:$BJ$69,Construction!$J$12:$BJ$12,"&lt;="&amp;Time!AP20)</f>
        <v/>
      </c>
      <c r="AQ26" s="13">
        <f>SUMIFS(Funding!$J$69:$BJ$69,Construction!$J$12:$BJ$12,"&lt;="&amp;Time!AQ20)</f>
        <v/>
      </c>
      <c r="AR26" s="13">
        <f>SUMIFS(Funding!$J$69:$BJ$69,Construction!$J$12:$BJ$12,"&lt;="&amp;Time!AR20)</f>
        <v/>
      </c>
      <c r="AS26" s="13">
        <f>SUMIFS(Funding!$J$69:$BJ$69,Construction!$J$12:$BJ$12,"&lt;="&amp;Time!AS20)</f>
        <v/>
      </c>
      <c r="AT26" s="13">
        <f>SUMIFS(Funding!$J$69:$BJ$69,Construction!$J$12:$BJ$12,"&lt;="&amp;Time!AT20)</f>
        <v/>
      </c>
      <c r="AU26" s="13">
        <f>SUMIFS(Funding!$J$69:$BJ$69,Construction!$J$12:$BJ$12,"&lt;="&amp;Time!AU20)</f>
        <v/>
      </c>
      <c r="AV26" s="13">
        <f>SUMIFS(Funding!$J$69:$BJ$69,Construction!$J$12:$BJ$12,"&lt;="&amp;Time!AV20)</f>
        <v/>
      </c>
      <c r="AW26" s="13">
        <f>SUMIFS(Funding!$J$69:$BJ$69,Construction!$J$12:$BJ$12,"&lt;="&amp;Time!AW20)</f>
        <v/>
      </c>
      <c r="AX26" s="13">
        <f>SUMIFS(Funding!$J$69:$BJ$69,Construction!$J$12:$BJ$12,"&lt;="&amp;Time!AX20)</f>
        <v/>
      </c>
      <c r="AY26" s="13">
        <f>SUMIFS(Funding!$J$69:$BJ$69,Construction!$J$12:$BJ$12,"&lt;="&amp;Time!AY20)</f>
        <v/>
      </c>
      <c r="AZ26" s="13">
        <f>SUMIFS(Funding!$J$69:$BJ$69,Construction!$J$12:$BJ$12,"&lt;="&amp;Time!AZ20)</f>
        <v/>
      </c>
      <c r="BA26" s="13">
        <f>SUMIFS(Funding!$J$69:$BJ$69,Construction!$J$12:$BJ$12,"&lt;="&amp;Time!BA20)</f>
        <v/>
      </c>
      <c r="BB26" s="13">
        <f>SUMIFS(Funding!$J$69:$BJ$69,Construction!$J$12:$BJ$12,"&lt;="&amp;Time!BB20)</f>
        <v/>
      </c>
      <c r="BC26" s="13">
        <f>SUMIFS(Funding!$J$69:$BJ$69,Construction!$J$12:$BJ$12,"&lt;="&amp;Time!BC20)</f>
        <v/>
      </c>
      <c r="BD26" s="13">
        <f>SUMIFS(Funding!$J$69:$BJ$69,Construction!$J$12:$BJ$12,"&lt;="&amp;Time!BD20)</f>
        <v/>
      </c>
      <c r="BE26" s="13">
        <f>SUMIFS(Funding!$J$69:$BJ$69,Construction!$J$12:$BJ$12,"&lt;="&amp;Time!BE20)</f>
        <v/>
      </c>
      <c r="BF26" s="13">
        <f>SUMIFS(Funding!$J$69:$BJ$69,Construction!$J$12:$BJ$12,"&lt;="&amp;Time!BF20)</f>
        <v/>
      </c>
      <c r="BG26" s="13">
        <f>SUMIFS(Funding!$J$69:$BJ$69,Construction!$J$12:$BJ$12,"&lt;="&amp;Time!BG20)</f>
        <v/>
      </c>
      <c r="BH26" s="13">
        <f>SUMIFS(Funding!$J$69:$BJ$69,Construction!$J$12:$BJ$12,"&lt;="&amp;Time!BH20)</f>
        <v/>
      </c>
      <c r="BI26" s="13">
        <f>SUMIFS(Funding!$J$69:$BJ$69,Construction!$J$12:$BJ$12,"&lt;="&amp;Time!BI20)</f>
        <v/>
      </c>
      <c r="BJ26" s="13">
        <f>SUMIFS(Funding!$J$69:$BJ$69,Construction!$J$12:$BJ$12,"&lt;="&amp;Time!BJ20)</f>
        <v/>
      </c>
      <c r="BK26" s="13">
        <f>SUMIFS(Funding!$J$69:$BJ$69,Construction!$J$12:$BJ$12,"&lt;="&amp;Time!BK20)</f>
        <v/>
      </c>
      <c r="BL26" s="13">
        <f>SUMIFS(Funding!$J$69:$BJ$69,Construction!$J$12:$BJ$12,"&lt;="&amp;Time!BL20)</f>
        <v/>
      </c>
      <c r="BM26" s="13">
        <f>SUMIFS(Funding!$J$69:$BJ$69,Construction!$J$12:$BJ$12,"&lt;="&amp;Time!BM20)</f>
        <v/>
      </c>
      <c r="BN26" s="13">
        <f>SUMIFS(Funding!$J$69:$BJ$69,Construction!$J$12:$BJ$12,"&lt;="&amp;Time!BN20)</f>
        <v/>
      </c>
    </row>
    <row r="27">
      <c r="D27" t="inlineStr">
        <is>
          <t>Retained earnings</t>
        </is>
      </c>
      <c r="E27" t="inlineStr">
        <is>
          <t>USD m</t>
        </is>
      </c>
      <c r="J27" s="18">
        <f>Waterfall!J43</f>
        <v/>
      </c>
      <c r="K27" s="18">
        <f>Waterfall!K43</f>
        <v/>
      </c>
      <c r="L27" s="18">
        <f>Waterfall!L43</f>
        <v/>
      </c>
      <c r="M27" s="18">
        <f>Waterfall!M43</f>
        <v/>
      </c>
      <c r="N27" s="18">
        <f>Waterfall!N43</f>
        <v/>
      </c>
      <c r="O27" s="18">
        <f>Waterfall!O43</f>
        <v/>
      </c>
      <c r="P27" s="18">
        <f>Waterfall!P43</f>
        <v/>
      </c>
      <c r="Q27" s="18">
        <f>Waterfall!Q43</f>
        <v/>
      </c>
      <c r="R27" s="18">
        <f>Waterfall!R43</f>
        <v/>
      </c>
      <c r="S27" s="18">
        <f>Waterfall!S43</f>
        <v/>
      </c>
      <c r="T27" s="18">
        <f>Waterfall!T43</f>
        <v/>
      </c>
      <c r="U27" s="18">
        <f>Waterfall!U43</f>
        <v/>
      </c>
      <c r="V27" s="18">
        <f>Waterfall!V43</f>
        <v/>
      </c>
      <c r="W27" s="18">
        <f>Waterfall!W43</f>
        <v/>
      </c>
      <c r="X27" s="18">
        <f>Waterfall!X43</f>
        <v/>
      </c>
      <c r="Y27" s="18">
        <f>Waterfall!Y43</f>
        <v/>
      </c>
      <c r="Z27" s="18">
        <f>Waterfall!Z43</f>
        <v/>
      </c>
      <c r="AA27" s="18">
        <f>Waterfall!AA43</f>
        <v/>
      </c>
      <c r="AB27" s="18">
        <f>Waterfall!AB43</f>
        <v/>
      </c>
      <c r="AC27" s="18">
        <f>Waterfall!AC43</f>
        <v/>
      </c>
      <c r="AD27" s="18">
        <f>Waterfall!AD43</f>
        <v/>
      </c>
      <c r="AE27" s="18">
        <f>Waterfall!AE43</f>
        <v/>
      </c>
      <c r="AF27" s="18">
        <f>Waterfall!AF43</f>
        <v/>
      </c>
      <c r="AG27" s="18">
        <f>Waterfall!AG43</f>
        <v/>
      </c>
      <c r="AH27" s="18">
        <f>Waterfall!AH43</f>
        <v/>
      </c>
      <c r="AI27" s="18">
        <f>Waterfall!AI43</f>
        <v/>
      </c>
      <c r="AJ27" s="18">
        <f>Waterfall!AJ43</f>
        <v/>
      </c>
      <c r="AK27" s="18">
        <f>Waterfall!AK43</f>
        <v/>
      </c>
      <c r="AL27" s="18">
        <f>Waterfall!AL43</f>
        <v/>
      </c>
      <c r="AM27" s="18">
        <f>Waterfall!AM43</f>
        <v/>
      </c>
      <c r="AN27" s="18">
        <f>Waterfall!AN43</f>
        <v/>
      </c>
      <c r="AO27" s="18">
        <f>Waterfall!AO43</f>
        <v/>
      </c>
      <c r="AP27" s="18">
        <f>Waterfall!AP43</f>
        <v/>
      </c>
      <c r="AQ27" s="18">
        <f>Waterfall!AQ43</f>
        <v/>
      </c>
      <c r="AR27" s="18">
        <f>Waterfall!AR43</f>
        <v/>
      </c>
      <c r="AS27" s="18">
        <f>Waterfall!AS43</f>
        <v/>
      </c>
      <c r="AT27" s="18">
        <f>Waterfall!AT43</f>
        <v/>
      </c>
      <c r="AU27" s="18">
        <f>Waterfall!AU43</f>
        <v/>
      </c>
      <c r="AV27" s="18">
        <f>Waterfall!AV43</f>
        <v/>
      </c>
      <c r="AW27" s="18">
        <f>Waterfall!AW43</f>
        <v/>
      </c>
      <c r="AX27" s="18">
        <f>Waterfall!AX43</f>
        <v/>
      </c>
      <c r="AY27" s="18">
        <f>Waterfall!AY43</f>
        <v/>
      </c>
      <c r="AZ27" s="18">
        <f>Waterfall!AZ43</f>
        <v/>
      </c>
      <c r="BA27" s="18">
        <f>Waterfall!BA43</f>
        <v/>
      </c>
      <c r="BB27" s="18">
        <f>Waterfall!BB43</f>
        <v/>
      </c>
      <c r="BC27" s="18">
        <f>Waterfall!BC43</f>
        <v/>
      </c>
      <c r="BD27" s="18">
        <f>Waterfall!BD43</f>
        <v/>
      </c>
      <c r="BE27" s="18">
        <f>Waterfall!BE43</f>
        <v/>
      </c>
      <c r="BF27" s="18">
        <f>Waterfall!BF43</f>
        <v/>
      </c>
      <c r="BG27" s="18">
        <f>Waterfall!BG43</f>
        <v/>
      </c>
      <c r="BH27" s="18">
        <f>Waterfall!BH43</f>
        <v/>
      </c>
      <c r="BI27" s="18">
        <f>Waterfall!BI43</f>
        <v/>
      </c>
      <c r="BJ27" s="18">
        <f>Waterfall!BJ43</f>
        <v/>
      </c>
      <c r="BK27" s="18">
        <f>Waterfall!BK43</f>
        <v/>
      </c>
      <c r="BL27" s="18">
        <f>Waterfall!BL43</f>
        <v/>
      </c>
      <c r="BM27" s="18">
        <f>Waterfall!BM43</f>
        <v/>
      </c>
      <c r="BN27" s="18">
        <f>Waterfall!BN43</f>
        <v/>
      </c>
    </row>
    <row r="28">
      <c r="D28" t="inlineStr">
        <is>
          <t>Total liabilities and equity</t>
        </is>
      </c>
      <c r="E28" t="inlineStr">
        <is>
          <t>USD m</t>
        </is>
      </c>
      <c r="J28" s="13">
        <f>J22+J23+J24+J25+J26+J27</f>
        <v/>
      </c>
      <c r="K28" s="13">
        <f>K22+K23+K24+K25+K26+K27</f>
        <v/>
      </c>
      <c r="L28" s="13">
        <f>L22+L23+L24+L25+L26+L27</f>
        <v/>
      </c>
      <c r="M28" s="13">
        <f>M22+M23+M24+M25+M26+M27</f>
        <v/>
      </c>
      <c r="N28" s="13">
        <f>N22+N23+N24+N25+N26+N27</f>
        <v/>
      </c>
      <c r="O28" s="13">
        <f>O22+O23+O24+O25+O26+O27</f>
        <v/>
      </c>
      <c r="P28" s="13">
        <f>P22+P23+P24+P25+P26+P27</f>
        <v/>
      </c>
      <c r="Q28" s="13">
        <f>Q22+Q23+Q24+Q25+Q26+Q27</f>
        <v/>
      </c>
      <c r="R28" s="13">
        <f>R22+R23+R24+R25+R26+R27</f>
        <v/>
      </c>
      <c r="S28" s="13">
        <f>S22+S23+S24+S25+S26+S27</f>
        <v/>
      </c>
      <c r="T28" s="13">
        <f>T22+T23+T24+T25+T26+T27</f>
        <v/>
      </c>
      <c r="U28" s="13">
        <f>U22+U23+U24+U25+U26+U27</f>
        <v/>
      </c>
      <c r="V28" s="13">
        <f>V22+V23+V24+V25+V26+V27</f>
        <v/>
      </c>
      <c r="W28" s="13">
        <f>W22+W23+W24+W25+W26+W27</f>
        <v/>
      </c>
      <c r="X28" s="13">
        <f>X22+X23+X24+X25+X26+X27</f>
        <v/>
      </c>
      <c r="Y28" s="13">
        <f>Y22+Y23+Y24+Y25+Y26+Y27</f>
        <v/>
      </c>
      <c r="Z28" s="13">
        <f>Z22+Z23+Z24+Z25+Z26+Z27</f>
        <v/>
      </c>
      <c r="AA28" s="13">
        <f>AA22+AA23+AA24+AA25+AA26+AA27</f>
        <v/>
      </c>
      <c r="AB28" s="13">
        <f>AB22+AB23+AB24+AB25+AB26+AB27</f>
        <v/>
      </c>
      <c r="AC28" s="13">
        <f>AC22+AC23+AC24+AC25+AC26+AC27</f>
        <v/>
      </c>
      <c r="AD28" s="13">
        <f>AD22+AD23+AD24+AD25+AD26+AD27</f>
        <v/>
      </c>
      <c r="AE28" s="13">
        <f>AE22+AE23+AE24+AE25+AE26+AE27</f>
        <v/>
      </c>
      <c r="AF28" s="13">
        <f>AF22+AF23+AF24+AF25+AF26+AF27</f>
        <v/>
      </c>
      <c r="AG28" s="13">
        <f>AG22+AG23+AG24+AG25+AG26+AG27</f>
        <v/>
      </c>
      <c r="AH28" s="13">
        <f>AH22+AH23+AH24+AH25+AH26+AH27</f>
        <v/>
      </c>
      <c r="AI28" s="13">
        <f>AI22+AI23+AI24+AI25+AI26+AI27</f>
        <v/>
      </c>
      <c r="AJ28" s="13">
        <f>AJ22+AJ23+AJ24+AJ25+AJ26+AJ27</f>
        <v/>
      </c>
      <c r="AK28" s="13">
        <f>AK22+AK23+AK24+AK25+AK26+AK27</f>
        <v/>
      </c>
      <c r="AL28" s="13">
        <f>AL22+AL23+AL24+AL25+AL26+AL27</f>
        <v/>
      </c>
      <c r="AM28" s="13">
        <f>AM22+AM23+AM24+AM25+AM26+AM27</f>
        <v/>
      </c>
      <c r="AN28" s="13">
        <f>AN22+AN23+AN24+AN25+AN26+AN27</f>
        <v/>
      </c>
      <c r="AO28" s="13">
        <f>AO22+AO23+AO24+AO25+AO26+AO27</f>
        <v/>
      </c>
      <c r="AP28" s="13">
        <f>AP22+AP23+AP24+AP25+AP26+AP27</f>
        <v/>
      </c>
      <c r="AQ28" s="13">
        <f>AQ22+AQ23+AQ24+AQ25+AQ26+AQ27</f>
        <v/>
      </c>
      <c r="AR28" s="13">
        <f>AR22+AR23+AR24+AR25+AR26+AR27</f>
        <v/>
      </c>
      <c r="AS28" s="13">
        <f>AS22+AS23+AS24+AS25+AS26+AS27</f>
        <v/>
      </c>
      <c r="AT28" s="13">
        <f>AT22+AT23+AT24+AT25+AT26+AT27</f>
        <v/>
      </c>
      <c r="AU28" s="13">
        <f>AU22+AU23+AU24+AU25+AU26+AU27</f>
        <v/>
      </c>
      <c r="AV28" s="13">
        <f>AV22+AV23+AV24+AV25+AV26+AV27</f>
        <v/>
      </c>
      <c r="AW28" s="13">
        <f>AW22+AW23+AW24+AW25+AW26+AW27</f>
        <v/>
      </c>
      <c r="AX28" s="13">
        <f>AX22+AX23+AX24+AX25+AX26+AX27</f>
        <v/>
      </c>
      <c r="AY28" s="13">
        <f>AY22+AY23+AY24+AY25+AY26+AY27</f>
        <v/>
      </c>
      <c r="AZ28" s="13">
        <f>AZ22+AZ23+AZ24+AZ25+AZ26+AZ27</f>
        <v/>
      </c>
      <c r="BA28" s="13">
        <f>BA22+BA23+BA24+BA25+BA26+BA27</f>
        <v/>
      </c>
      <c r="BB28" s="13">
        <f>BB22+BB23+BB24+BB25+BB26+BB27</f>
        <v/>
      </c>
      <c r="BC28" s="13">
        <f>BC22+BC23+BC24+BC25+BC26+BC27</f>
        <v/>
      </c>
      <c r="BD28" s="13">
        <f>BD22+BD23+BD24+BD25+BD26+BD27</f>
        <v/>
      </c>
      <c r="BE28" s="13">
        <f>BE22+BE23+BE24+BE25+BE26+BE27</f>
        <v/>
      </c>
      <c r="BF28" s="13">
        <f>BF22+BF23+BF24+BF25+BF26+BF27</f>
        <v/>
      </c>
      <c r="BG28" s="13">
        <f>BG22+BG23+BG24+BG25+BG26+BG27</f>
        <v/>
      </c>
      <c r="BH28" s="13">
        <f>BH22+BH23+BH24+BH25+BH26+BH27</f>
        <v/>
      </c>
      <c r="BI28" s="13">
        <f>BI22+BI23+BI24+BI25+BI26+BI27</f>
        <v/>
      </c>
      <c r="BJ28" s="13">
        <f>BJ22+BJ23+BJ24+BJ25+BJ26+BJ27</f>
        <v/>
      </c>
      <c r="BK28" s="13">
        <f>BK22+BK23+BK24+BK25+BK26+BK27</f>
        <v/>
      </c>
      <c r="BL28" s="13">
        <f>BL22+BL23+BL24+BL25+BL26+BL27</f>
        <v/>
      </c>
      <c r="BM28" s="13">
        <f>BM22+BM23+BM24+BM25+BM26+BM27</f>
        <v/>
      </c>
      <c r="BN28" s="13">
        <f>BN22+BN23+BN24+BN25+BN26+BN27</f>
        <v/>
      </c>
    </row>
    <row r="29">
      <c r="D29" t="inlineStr">
        <is>
          <t>Balance check (assets less liabilities and equity)</t>
        </is>
      </c>
      <c r="E29" t="inlineStr">
        <is>
          <t>USD m</t>
        </is>
      </c>
      <c r="J29" s="13">
        <f>J21-J28</f>
        <v/>
      </c>
      <c r="K29" s="13">
        <f>K21-K28</f>
        <v/>
      </c>
      <c r="L29" s="13">
        <f>L21-L28</f>
        <v/>
      </c>
      <c r="M29" s="13">
        <f>M21-M28</f>
        <v/>
      </c>
      <c r="N29" s="13">
        <f>N21-N28</f>
        <v/>
      </c>
      <c r="O29" s="13">
        <f>O21-O28</f>
        <v/>
      </c>
      <c r="P29" s="13">
        <f>P21-P28</f>
        <v/>
      </c>
      <c r="Q29" s="13">
        <f>Q21-Q28</f>
        <v/>
      </c>
      <c r="R29" s="13">
        <f>R21-R28</f>
        <v/>
      </c>
      <c r="S29" s="13">
        <f>S21-S28</f>
        <v/>
      </c>
      <c r="T29" s="13">
        <f>T21-T28</f>
        <v/>
      </c>
      <c r="U29" s="13">
        <f>U21-U28</f>
        <v/>
      </c>
      <c r="V29" s="13">
        <f>V21-V28</f>
        <v/>
      </c>
      <c r="W29" s="13">
        <f>W21-W28</f>
        <v/>
      </c>
      <c r="X29" s="13">
        <f>X21-X28</f>
        <v/>
      </c>
      <c r="Y29" s="13">
        <f>Y21-Y28</f>
        <v/>
      </c>
      <c r="Z29" s="13">
        <f>Z21-Z28</f>
        <v/>
      </c>
      <c r="AA29" s="13">
        <f>AA21-AA28</f>
        <v/>
      </c>
      <c r="AB29" s="13">
        <f>AB21-AB28</f>
        <v/>
      </c>
      <c r="AC29" s="13">
        <f>AC21-AC28</f>
        <v/>
      </c>
      <c r="AD29" s="13">
        <f>AD21-AD28</f>
        <v/>
      </c>
      <c r="AE29" s="13">
        <f>AE21-AE28</f>
        <v/>
      </c>
      <c r="AF29" s="13">
        <f>AF21-AF28</f>
        <v/>
      </c>
      <c r="AG29" s="13">
        <f>AG21-AG28</f>
        <v/>
      </c>
      <c r="AH29" s="13">
        <f>AH21-AH28</f>
        <v/>
      </c>
      <c r="AI29" s="13">
        <f>AI21-AI28</f>
        <v/>
      </c>
      <c r="AJ29" s="13">
        <f>AJ21-AJ28</f>
        <v/>
      </c>
      <c r="AK29" s="13">
        <f>AK21-AK28</f>
        <v/>
      </c>
      <c r="AL29" s="13">
        <f>AL21-AL28</f>
        <v/>
      </c>
      <c r="AM29" s="13">
        <f>AM21-AM28</f>
        <v/>
      </c>
      <c r="AN29" s="13">
        <f>AN21-AN28</f>
        <v/>
      </c>
      <c r="AO29" s="13">
        <f>AO21-AO28</f>
        <v/>
      </c>
      <c r="AP29" s="13">
        <f>AP21-AP28</f>
        <v/>
      </c>
      <c r="AQ29" s="13">
        <f>AQ21-AQ28</f>
        <v/>
      </c>
      <c r="AR29" s="13">
        <f>AR21-AR28</f>
        <v/>
      </c>
      <c r="AS29" s="13">
        <f>AS21-AS28</f>
        <v/>
      </c>
      <c r="AT29" s="13">
        <f>AT21-AT28</f>
        <v/>
      </c>
      <c r="AU29" s="13">
        <f>AU21-AU28</f>
        <v/>
      </c>
      <c r="AV29" s="13">
        <f>AV21-AV28</f>
        <v/>
      </c>
      <c r="AW29" s="13">
        <f>AW21-AW28</f>
        <v/>
      </c>
      <c r="AX29" s="13">
        <f>AX21-AX28</f>
        <v/>
      </c>
      <c r="AY29" s="13">
        <f>AY21-AY28</f>
        <v/>
      </c>
      <c r="AZ29" s="13">
        <f>AZ21-AZ28</f>
        <v/>
      </c>
      <c r="BA29" s="13">
        <f>BA21-BA28</f>
        <v/>
      </c>
      <c r="BB29" s="13">
        <f>BB21-BB28</f>
        <v/>
      </c>
      <c r="BC29" s="13">
        <f>BC21-BC28</f>
        <v/>
      </c>
      <c r="BD29" s="13">
        <f>BD21-BD28</f>
        <v/>
      </c>
      <c r="BE29" s="13">
        <f>BE21-BE28</f>
        <v/>
      </c>
      <c r="BF29" s="13">
        <f>BF21-BF28</f>
        <v/>
      </c>
      <c r="BG29" s="13">
        <f>BG21-BG28</f>
        <v/>
      </c>
      <c r="BH29" s="13">
        <f>BH21-BH28</f>
        <v/>
      </c>
      <c r="BI29" s="13">
        <f>BI21-BI28</f>
        <v/>
      </c>
      <c r="BJ29" s="13">
        <f>BJ21-BJ28</f>
        <v/>
      </c>
      <c r="BK29" s="13">
        <f>BK21-BK28</f>
        <v/>
      </c>
      <c r="BL29" s="13">
        <f>BL21-BL28</f>
        <v/>
      </c>
      <c r="BM29" s="13">
        <f>BM21-BM28</f>
        <v/>
      </c>
      <c r="BN29" s="13">
        <f>BN21-BN28</f>
        <v/>
      </c>
    </row>
    <row r="31">
      <c r="B31" s="2" t="inlineStr">
        <is>
          <t>Cash flow statement (USD m; project accounts as in the cash row above)</t>
        </is>
      </c>
    </row>
    <row r="32">
      <c r="D32" t="inlineStr">
        <is>
          <t>EBITDA</t>
        </is>
      </c>
      <c r="E32" t="inlineStr">
        <is>
          <t>USD m</t>
        </is>
      </c>
      <c r="G32" s="13">
        <f>SUM(J32:BN32)</f>
        <v/>
      </c>
      <c r="J32" s="18">
        <f>Operations!J84</f>
        <v/>
      </c>
      <c r="K32" s="18">
        <f>Operations!K84</f>
        <v/>
      </c>
      <c r="L32" s="18">
        <f>Operations!L84</f>
        <v/>
      </c>
      <c r="M32" s="18">
        <f>Operations!M84</f>
        <v/>
      </c>
      <c r="N32" s="18">
        <f>Operations!N84</f>
        <v/>
      </c>
      <c r="O32" s="18">
        <f>Operations!O84</f>
        <v/>
      </c>
      <c r="P32" s="18">
        <f>Operations!P84</f>
        <v/>
      </c>
      <c r="Q32" s="18">
        <f>Operations!Q84</f>
        <v/>
      </c>
      <c r="R32" s="18">
        <f>Operations!R84</f>
        <v/>
      </c>
      <c r="S32" s="18">
        <f>Operations!S84</f>
        <v/>
      </c>
      <c r="T32" s="18">
        <f>Operations!T84</f>
        <v/>
      </c>
      <c r="U32" s="18">
        <f>Operations!U84</f>
        <v/>
      </c>
      <c r="V32" s="18">
        <f>Operations!V84</f>
        <v/>
      </c>
      <c r="W32" s="18">
        <f>Operations!W84</f>
        <v/>
      </c>
      <c r="X32" s="18">
        <f>Operations!X84</f>
        <v/>
      </c>
      <c r="Y32" s="18">
        <f>Operations!Y84</f>
        <v/>
      </c>
      <c r="Z32" s="18">
        <f>Operations!Z84</f>
        <v/>
      </c>
      <c r="AA32" s="18">
        <f>Operations!AA84</f>
        <v/>
      </c>
      <c r="AB32" s="18">
        <f>Operations!AB84</f>
        <v/>
      </c>
      <c r="AC32" s="18">
        <f>Operations!AC84</f>
        <v/>
      </c>
      <c r="AD32" s="18">
        <f>Operations!AD84</f>
        <v/>
      </c>
      <c r="AE32" s="18">
        <f>Operations!AE84</f>
        <v/>
      </c>
      <c r="AF32" s="18">
        <f>Operations!AF84</f>
        <v/>
      </c>
      <c r="AG32" s="18">
        <f>Operations!AG84</f>
        <v/>
      </c>
      <c r="AH32" s="18">
        <f>Operations!AH84</f>
        <v/>
      </c>
      <c r="AI32" s="18">
        <f>Operations!AI84</f>
        <v/>
      </c>
      <c r="AJ32" s="18">
        <f>Operations!AJ84</f>
        <v/>
      </c>
      <c r="AK32" s="18">
        <f>Operations!AK84</f>
        <v/>
      </c>
      <c r="AL32" s="18">
        <f>Operations!AL84</f>
        <v/>
      </c>
      <c r="AM32" s="18">
        <f>Operations!AM84</f>
        <v/>
      </c>
      <c r="AN32" s="18">
        <f>Operations!AN84</f>
        <v/>
      </c>
      <c r="AO32" s="18">
        <f>Operations!AO84</f>
        <v/>
      </c>
      <c r="AP32" s="18">
        <f>Operations!AP84</f>
        <v/>
      </c>
      <c r="AQ32" s="18">
        <f>Operations!AQ84</f>
        <v/>
      </c>
      <c r="AR32" s="18">
        <f>Operations!AR84</f>
        <v/>
      </c>
      <c r="AS32" s="18">
        <f>Operations!AS84</f>
        <v/>
      </c>
      <c r="AT32" s="18">
        <f>Operations!AT84</f>
        <v/>
      </c>
      <c r="AU32" s="18">
        <f>Operations!AU84</f>
        <v/>
      </c>
      <c r="AV32" s="18">
        <f>Operations!AV84</f>
        <v/>
      </c>
      <c r="AW32" s="18">
        <f>Operations!AW84</f>
        <v/>
      </c>
      <c r="AX32" s="18">
        <f>Operations!AX84</f>
        <v/>
      </c>
      <c r="AY32" s="18">
        <f>Operations!AY84</f>
        <v/>
      </c>
      <c r="AZ32" s="18">
        <f>Operations!AZ84</f>
        <v/>
      </c>
      <c r="BA32" s="18">
        <f>Operations!BA84</f>
        <v/>
      </c>
      <c r="BB32" s="18">
        <f>Operations!BB84</f>
        <v/>
      </c>
      <c r="BC32" s="18">
        <f>Operations!BC84</f>
        <v/>
      </c>
      <c r="BD32" s="18">
        <f>Operations!BD84</f>
        <v/>
      </c>
      <c r="BE32" s="18">
        <f>Operations!BE84</f>
        <v/>
      </c>
      <c r="BF32" s="18">
        <f>Operations!BF84</f>
        <v/>
      </c>
      <c r="BG32" s="18">
        <f>Operations!BG84</f>
        <v/>
      </c>
      <c r="BH32" s="18">
        <f>Operations!BH84</f>
        <v/>
      </c>
      <c r="BI32" s="18">
        <f>Operations!BI84</f>
        <v/>
      </c>
      <c r="BJ32" s="18">
        <f>Operations!BJ84</f>
        <v/>
      </c>
      <c r="BK32" s="18">
        <f>Operations!BK84</f>
        <v/>
      </c>
      <c r="BL32" s="18">
        <f>Operations!BL84</f>
        <v/>
      </c>
      <c r="BM32" s="18">
        <f>Operations!BM84</f>
        <v/>
      </c>
      <c r="BN32" s="18">
        <f>Operations!BN84</f>
        <v/>
      </c>
    </row>
    <row r="33">
      <c r="D33" t="inlineStr">
        <is>
          <t>Tax paid</t>
        </is>
      </c>
      <c r="E33" t="inlineStr">
        <is>
          <t>USD m</t>
        </is>
      </c>
      <c r="G33" s="13">
        <f>SUM(J33:BN33)</f>
        <v/>
      </c>
      <c r="J33" s="13">
        <f>-Tax!J27</f>
        <v/>
      </c>
      <c r="K33" s="13">
        <f>-Tax!K27</f>
        <v/>
      </c>
      <c r="L33" s="13">
        <f>-Tax!L27</f>
        <v/>
      </c>
      <c r="M33" s="13">
        <f>-Tax!M27</f>
        <v/>
      </c>
      <c r="N33" s="13">
        <f>-Tax!N27</f>
        <v/>
      </c>
      <c r="O33" s="13">
        <f>-Tax!O27</f>
        <v/>
      </c>
      <c r="P33" s="13">
        <f>-Tax!P27</f>
        <v/>
      </c>
      <c r="Q33" s="13">
        <f>-Tax!Q27</f>
        <v/>
      </c>
      <c r="R33" s="13">
        <f>-Tax!R27</f>
        <v/>
      </c>
      <c r="S33" s="13">
        <f>-Tax!S27</f>
        <v/>
      </c>
      <c r="T33" s="13">
        <f>-Tax!T27</f>
        <v/>
      </c>
      <c r="U33" s="13">
        <f>-Tax!U27</f>
        <v/>
      </c>
      <c r="V33" s="13">
        <f>-Tax!V27</f>
        <v/>
      </c>
      <c r="W33" s="13">
        <f>-Tax!W27</f>
        <v/>
      </c>
      <c r="X33" s="13">
        <f>-Tax!X27</f>
        <v/>
      </c>
      <c r="Y33" s="13">
        <f>-Tax!Y27</f>
        <v/>
      </c>
      <c r="Z33" s="13">
        <f>-Tax!Z27</f>
        <v/>
      </c>
      <c r="AA33" s="13">
        <f>-Tax!AA27</f>
        <v/>
      </c>
      <c r="AB33" s="13">
        <f>-Tax!AB27</f>
        <v/>
      </c>
      <c r="AC33" s="13">
        <f>-Tax!AC27</f>
        <v/>
      </c>
      <c r="AD33" s="13">
        <f>-Tax!AD27</f>
        <v/>
      </c>
      <c r="AE33" s="13">
        <f>-Tax!AE27</f>
        <v/>
      </c>
      <c r="AF33" s="13">
        <f>-Tax!AF27</f>
        <v/>
      </c>
      <c r="AG33" s="13">
        <f>-Tax!AG27</f>
        <v/>
      </c>
      <c r="AH33" s="13">
        <f>-Tax!AH27</f>
        <v/>
      </c>
      <c r="AI33" s="13">
        <f>-Tax!AI27</f>
        <v/>
      </c>
      <c r="AJ33" s="13">
        <f>-Tax!AJ27</f>
        <v/>
      </c>
      <c r="AK33" s="13">
        <f>-Tax!AK27</f>
        <v/>
      </c>
      <c r="AL33" s="13">
        <f>-Tax!AL27</f>
        <v/>
      </c>
      <c r="AM33" s="13">
        <f>-Tax!AM27</f>
        <v/>
      </c>
      <c r="AN33" s="13">
        <f>-Tax!AN27</f>
        <v/>
      </c>
      <c r="AO33" s="13">
        <f>-Tax!AO27</f>
        <v/>
      </c>
      <c r="AP33" s="13">
        <f>-Tax!AP27</f>
        <v/>
      </c>
      <c r="AQ33" s="13">
        <f>-Tax!AQ27</f>
        <v/>
      </c>
      <c r="AR33" s="13">
        <f>-Tax!AR27</f>
        <v/>
      </c>
      <c r="AS33" s="13">
        <f>-Tax!AS27</f>
        <v/>
      </c>
      <c r="AT33" s="13">
        <f>-Tax!AT27</f>
        <v/>
      </c>
      <c r="AU33" s="13">
        <f>-Tax!AU27</f>
        <v/>
      </c>
      <c r="AV33" s="13">
        <f>-Tax!AV27</f>
        <v/>
      </c>
      <c r="AW33" s="13">
        <f>-Tax!AW27</f>
        <v/>
      </c>
      <c r="AX33" s="13">
        <f>-Tax!AX27</f>
        <v/>
      </c>
      <c r="AY33" s="13">
        <f>-Tax!AY27</f>
        <v/>
      </c>
      <c r="AZ33" s="13">
        <f>-Tax!AZ27</f>
        <v/>
      </c>
      <c r="BA33" s="13">
        <f>-Tax!BA27</f>
        <v/>
      </c>
      <c r="BB33" s="13">
        <f>-Tax!BB27</f>
        <v/>
      </c>
      <c r="BC33" s="13">
        <f>-Tax!BC27</f>
        <v/>
      </c>
      <c r="BD33" s="13">
        <f>-Tax!BD27</f>
        <v/>
      </c>
      <c r="BE33" s="13">
        <f>-Tax!BE27</f>
        <v/>
      </c>
      <c r="BF33" s="13">
        <f>-Tax!BF27</f>
        <v/>
      </c>
      <c r="BG33" s="13">
        <f>-Tax!BG27</f>
        <v/>
      </c>
      <c r="BH33" s="13">
        <f>-Tax!BH27</f>
        <v/>
      </c>
      <c r="BI33" s="13">
        <f>-Tax!BI27</f>
        <v/>
      </c>
      <c r="BJ33" s="13">
        <f>-Tax!BJ27</f>
        <v/>
      </c>
      <c r="BK33" s="13">
        <f>-Tax!BK27</f>
        <v/>
      </c>
      <c r="BL33" s="13">
        <f>-Tax!BL27</f>
        <v/>
      </c>
      <c r="BM33" s="13">
        <f>-Tax!BM27</f>
        <v/>
      </c>
      <c r="BN33" s="13">
        <f>-Tax!BN27</f>
        <v/>
      </c>
    </row>
    <row r="34">
      <c r="D34" t="inlineStr">
        <is>
          <t>Working capital: increase (negative) and spares release</t>
        </is>
      </c>
      <c r="E34" t="inlineStr">
        <is>
          <t>USD m</t>
        </is>
      </c>
      <c r="G34" s="13">
        <f>SUM(J34:BN34)</f>
        <v/>
      </c>
      <c r="J34" s="13">
        <f>-Operations!J96+Operations!J97</f>
        <v/>
      </c>
      <c r="K34" s="13">
        <f>-Operations!K96+Operations!K97</f>
        <v/>
      </c>
      <c r="L34" s="13">
        <f>-Operations!L96+Operations!L97</f>
        <v/>
      </c>
      <c r="M34" s="13">
        <f>-Operations!M96+Operations!M97</f>
        <v/>
      </c>
      <c r="N34" s="13">
        <f>-Operations!N96+Operations!N97</f>
        <v/>
      </c>
      <c r="O34" s="13">
        <f>-Operations!O96+Operations!O97</f>
        <v/>
      </c>
      <c r="P34" s="13">
        <f>-Operations!P96+Operations!P97</f>
        <v/>
      </c>
      <c r="Q34" s="13">
        <f>-Operations!Q96+Operations!Q97</f>
        <v/>
      </c>
      <c r="R34" s="13">
        <f>-Operations!R96+Operations!R97</f>
        <v/>
      </c>
      <c r="S34" s="13">
        <f>-Operations!S96+Operations!S97</f>
        <v/>
      </c>
      <c r="T34" s="13">
        <f>-Operations!T96+Operations!T97</f>
        <v/>
      </c>
      <c r="U34" s="13">
        <f>-Operations!U96+Operations!U97</f>
        <v/>
      </c>
      <c r="V34" s="13">
        <f>-Operations!V96+Operations!V97</f>
        <v/>
      </c>
      <c r="W34" s="13">
        <f>-Operations!W96+Operations!W97</f>
        <v/>
      </c>
      <c r="X34" s="13">
        <f>-Operations!X96+Operations!X97</f>
        <v/>
      </c>
      <c r="Y34" s="13">
        <f>-Operations!Y96+Operations!Y97</f>
        <v/>
      </c>
      <c r="Z34" s="13">
        <f>-Operations!Z96+Operations!Z97</f>
        <v/>
      </c>
      <c r="AA34" s="13">
        <f>-Operations!AA96+Operations!AA97</f>
        <v/>
      </c>
      <c r="AB34" s="13">
        <f>-Operations!AB96+Operations!AB97</f>
        <v/>
      </c>
      <c r="AC34" s="13">
        <f>-Operations!AC96+Operations!AC97</f>
        <v/>
      </c>
      <c r="AD34" s="13">
        <f>-Operations!AD96+Operations!AD97</f>
        <v/>
      </c>
      <c r="AE34" s="13">
        <f>-Operations!AE96+Operations!AE97</f>
        <v/>
      </c>
      <c r="AF34" s="13">
        <f>-Operations!AF96+Operations!AF97</f>
        <v/>
      </c>
      <c r="AG34" s="13">
        <f>-Operations!AG96+Operations!AG97</f>
        <v/>
      </c>
      <c r="AH34" s="13">
        <f>-Operations!AH96+Operations!AH97</f>
        <v/>
      </c>
      <c r="AI34" s="13">
        <f>-Operations!AI96+Operations!AI97</f>
        <v/>
      </c>
      <c r="AJ34" s="13">
        <f>-Operations!AJ96+Operations!AJ97</f>
        <v/>
      </c>
      <c r="AK34" s="13">
        <f>-Operations!AK96+Operations!AK97</f>
        <v/>
      </c>
      <c r="AL34" s="13">
        <f>-Operations!AL96+Operations!AL97</f>
        <v/>
      </c>
      <c r="AM34" s="13">
        <f>-Operations!AM96+Operations!AM97</f>
        <v/>
      </c>
      <c r="AN34" s="13">
        <f>-Operations!AN96+Operations!AN97</f>
        <v/>
      </c>
      <c r="AO34" s="13">
        <f>-Operations!AO96+Operations!AO97</f>
        <v/>
      </c>
      <c r="AP34" s="13">
        <f>-Operations!AP96+Operations!AP97</f>
        <v/>
      </c>
      <c r="AQ34" s="13">
        <f>-Operations!AQ96+Operations!AQ97</f>
        <v/>
      </c>
      <c r="AR34" s="13">
        <f>-Operations!AR96+Operations!AR97</f>
        <v/>
      </c>
      <c r="AS34" s="13">
        <f>-Operations!AS96+Operations!AS97</f>
        <v/>
      </c>
      <c r="AT34" s="13">
        <f>-Operations!AT96+Operations!AT97</f>
        <v/>
      </c>
      <c r="AU34" s="13">
        <f>-Operations!AU96+Operations!AU97</f>
        <v/>
      </c>
      <c r="AV34" s="13">
        <f>-Operations!AV96+Operations!AV97</f>
        <v/>
      </c>
      <c r="AW34" s="13">
        <f>-Operations!AW96+Operations!AW97</f>
        <v/>
      </c>
      <c r="AX34" s="13">
        <f>-Operations!AX96+Operations!AX97</f>
        <v/>
      </c>
      <c r="AY34" s="13">
        <f>-Operations!AY96+Operations!AY97</f>
        <v/>
      </c>
      <c r="AZ34" s="13">
        <f>-Operations!AZ96+Operations!AZ97</f>
        <v/>
      </c>
      <c r="BA34" s="13">
        <f>-Operations!BA96+Operations!BA97</f>
        <v/>
      </c>
      <c r="BB34" s="13">
        <f>-Operations!BB96+Operations!BB97</f>
        <v/>
      </c>
      <c r="BC34" s="13">
        <f>-Operations!BC96+Operations!BC97</f>
        <v/>
      </c>
      <c r="BD34" s="13">
        <f>-Operations!BD96+Operations!BD97</f>
        <v/>
      </c>
      <c r="BE34" s="13">
        <f>-Operations!BE96+Operations!BE97</f>
        <v/>
      </c>
      <c r="BF34" s="13">
        <f>-Operations!BF96+Operations!BF97</f>
        <v/>
      </c>
      <c r="BG34" s="13">
        <f>-Operations!BG96+Operations!BG97</f>
        <v/>
      </c>
      <c r="BH34" s="13">
        <f>-Operations!BH96+Operations!BH97</f>
        <v/>
      </c>
      <c r="BI34" s="13">
        <f>-Operations!BI96+Operations!BI97</f>
        <v/>
      </c>
      <c r="BJ34" s="13">
        <f>-Operations!BJ96+Operations!BJ97</f>
        <v/>
      </c>
      <c r="BK34" s="13">
        <f>-Operations!BK96+Operations!BK97</f>
        <v/>
      </c>
      <c r="BL34" s="13">
        <f>-Operations!BL96+Operations!BL97</f>
        <v/>
      </c>
      <c r="BM34" s="13">
        <f>-Operations!BM96+Operations!BM97</f>
        <v/>
      </c>
      <c r="BN34" s="13">
        <f>-Operations!BN96+Operations!BN97</f>
        <v/>
      </c>
    </row>
    <row r="35">
      <c r="D35" t="inlineStr">
        <is>
          <t>MMRA net: releases for outlays less contributions</t>
        </is>
      </c>
      <c r="E35" t="inlineStr">
        <is>
          <t>USD m</t>
        </is>
      </c>
      <c r="G35" s="13">
        <f>SUM(J35:BN35)</f>
        <v/>
      </c>
      <c r="J35" s="13">
        <f>Operations!J79-Reserves!J7</f>
        <v/>
      </c>
      <c r="K35" s="13">
        <f>Operations!K79-Reserves!K7</f>
        <v/>
      </c>
      <c r="L35" s="13">
        <f>Operations!L79-Reserves!L7</f>
        <v/>
      </c>
      <c r="M35" s="13">
        <f>Operations!M79-Reserves!M7</f>
        <v/>
      </c>
      <c r="N35" s="13">
        <f>Operations!N79-Reserves!N7</f>
        <v/>
      </c>
      <c r="O35" s="13">
        <f>Operations!O79-Reserves!O7</f>
        <v/>
      </c>
      <c r="P35" s="13">
        <f>Operations!P79-Reserves!P7</f>
        <v/>
      </c>
      <c r="Q35" s="13">
        <f>Operations!Q79-Reserves!Q7</f>
        <v/>
      </c>
      <c r="R35" s="13">
        <f>Operations!R79-Reserves!R7</f>
        <v/>
      </c>
      <c r="S35" s="13">
        <f>Operations!S79-Reserves!S7</f>
        <v/>
      </c>
      <c r="T35" s="13">
        <f>Operations!T79-Reserves!T7</f>
        <v/>
      </c>
      <c r="U35" s="13">
        <f>Operations!U79-Reserves!U7</f>
        <v/>
      </c>
      <c r="V35" s="13">
        <f>Operations!V79-Reserves!V7</f>
        <v/>
      </c>
      <c r="W35" s="13">
        <f>Operations!W79-Reserves!W7</f>
        <v/>
      </c>
      <c r="X35" s="13">
        <f>Operations!X79-Reserves!X7</f>
        <v/>
      </c>
      <c r="Y35" s="13">
        <f>Operations!Y79-Reserves!Y7</f>
        <v/>
      </c>
      <c r="Z35" s="13">
        <f>Operations!Z79-Reserves!Z7</f>
        <v/>
      </c>
      <c r="AA35" s="13">
        <f>Operations!AA79-Reserves!AA7</f>
        <v/>
      </c>
      <c r="AB35" s="13">
        <f>Operations!AB79-Reserves!AB7</f>
        <v/>
      </c>
      <c r="AC35" s="13">
        <f>Operations!AC79-Reserves!AC7</f>
        <v/>
      </c>
      <c r="AD35" s="13">
        <f>Operations!AD79-Reserves!AD7</f>
        <v/>
      </c>
      <c r="AE35" s="13">
        <f>Operations!AE79-Reserves!AE7</f>
        <v/>
      </c>
      <c r="AF35" s="13">
        <f>Operations!AF79-Reserves!AF7</f>
        <v/>
      </c>
      <c r="AG35" s="13">
        <f>Operations!AG79-Reserves!AG7</f>
        <v/>
      </c>
      <c r="AH35" s="13">
        <f>Operations!AH79-Reserves!AH7</f>
        <v/>
      </c>
      <c r="AI35" s="13">
        <f>Operations!AI79-Reserves!AI7</f>
        <v/>
      </c>
      <c r="AJ35" s="13">
        <f>Operations!AJ79-Reserves!AJ7</f>
        <v/>
      </c>
      <c r="AK35" s="13">
        <f>Operations!AK79-Reserves!AK7</f>
        <v/>
      </c>
      <c r="AL35" s="13">
        <f>Operations!AL79-Reserves!AL7</f>
        <v/>
      </c>
      <c r="AM35" s="13">
        <f>Operations!AM79-Reserves!AM7</f>
        <v/>
      </c>
      <c r="AN35" s="13">
        <f>Operations!AN79-Reserves!AN7</f>
        <v/>
      </c>
      <c r="AO35" s="13">
        <f>Operations!AO79-Reserves!AO7</f>
        <v/>
      </c>
      <c r="AP35" s="13">
        <f>Operations!AP79-Reserves!AP7</f>
        <v/>
      </c>
      <c r="AQ35" s="13">
        <f>Operations!AQ79-Reserves!AQ7</f>
        <v/>
      </c>
      <c r="AR35" s="13">
        <f>Operations!AR79-Reserves!AR7</f>
        <v/>
      </c>
      <c r="AS35" s="13">
        <f>Operations!AS79-Reserves!AS7</f>
        <v/>
      </c>
      <c r="AT35" s="13">
        <f>Operations!AT79-Reserves!AT7</f>
        <v/>
      </c>
      <c r="AU35" s="13">
        <f>Operations!AU79-Reserves!AU7</f>
        <v/>
      </c>
      <c r="AV35" s="13">
        <f>Operations!AV79-Reserves!AV7</f>
        <v/>
      </c>
      <c r="AW35" s="13">
        <f>Operations!AW79-Reserves!AW7</f>
        <v/>
      </c>
      <c r="AX35" s="13">
        <f>Operations!AX79-Reserves!AX7</f>
        <v/>
      </c>
      <c r="AY35" s="13">
        <f>Operations!AY79-Reserves!AY7</f>
        <v/>
      </c>
      <c r="AZ35" s="13">
        <f>Operations!AZ79-Reserves!AZ7</f>
        <v/>
      </c>
      <c r="BA35" s="13">
        <f>Operations!BA79-Reserves!BA7</f>
        <v/>
      </c>
      <c r="BB35" s="13">
        <f>Operations!BB79-Reserves!BB7</f>
        <v/>
      </c>
      <c r="BC35" s="13">
        <f>Operations!BC79-Reserves!BC7</f>
        <v/>
      </c>
      <c r="BD35" s="13">
        <f>Operations!BD79-Reserves!BD7</f>
        <v/>
      </c>
      <c r="BE35" s="13">
        <f>Operations!BE79-Reserves!BE7</f>
        <v/>
      </c>
      <c r="BF35" s="13">
        <f>Operations!BF79-Reserves!BF7</f>
        <v/>
      </c>
      <c r="BG35" s="13">
        <f>Operations!BG79-Reserves!BG7</f>
        <v/>
      </c>
      <c r="BH35" s="13">
        <f>Operations!BH79-Reserves!BH7</f>
        <v/>
      </c>
      <c r="BI35" s="13">
        <f>Operations!BI79-Reserves!BI7</f>
        <v/>
      </c>
      <c r="BJ35" s="13">
        <f>Operations!BJ79-Reserves!BJ7</f>
        <v/>
      </c>
      <c r="BK35" s="13">
        <f>Operations!BK79-Reserves!BK7</f>
        <v/>
      </c>
      <c r="BL35" s="13">
        <f>Operations!BL79-Reserves!BL7</f>
        <v/>
      </c>
      <c r="BM35" s="13">
        <f>Operations!BM79-Reserves!BM7</f>
        <v/>
      </c>
      <c r="BN35" s="13">
        <f>Operations!BN79-Reserves!BN7</f>
        <v/>
      </c>
    </row>
    <row r="36">
      <c r="D36" t="inlineStr">
        <is>
          <t>CFADS</t>
        </is>
      </c>
      <c r="E36" t="inlineStr">
        <is>
          <t>USD m</t>
        </is>
      </c>
      <c r="G36" s="13">
        <f>SUM(J36:BN36)</f>
        <v/>
      </c>
      <c r="J36" s="13">
        <f>J32+J33+J34+J35</f>
        <v/>
      </c>
      <c r="K36" s="13">
        <f>K32+K33+K34+K35</f>
        <v/>
      </c>
      <c r="L36" s="13">
        <f>L32+L33+L34+L35</f>
        <v/>
      </c>
      <c r="M36" s="13">
        <f>M32+M33+M34+M35</f>
        <v/>
      </c>
      <c r="N36" s="13">
        <f>N32+N33+N34+N35</f>
        <v/>
      </c>
      <c r="O36" s="13">
        <f>O32+O33+O34+O35</f>
        <v/>
      </c>
      <c r="P36" s="13">
        <f>P32+P33+P34+P35</f>
        <v/>
      </c>
      <c r="Q36" s="13">
        <f>Q32+Q33+Q34+Q35</f>
        <v/>
      </c>
      <c r="R36" s="13">
        <f>R32+R33+R34+R35</f>
        <v/>
      </c>
      <c r="S36" s="13">
        <f>S32+S33+S34+S35</f>
        <v/>
      </c>
      <c r="T36" s="13">
        <f>T32+T33+T34+T35</f>
        <v/>
      </c>
      <c r="U36" s="13">
        <f>U32+U33+U34+U35</f>
        <v/>
      </c>
      <c r="V36" s="13">
        <f>V32+V33+V34+V35</f>
        <v/>
      </c>
      <c r="W36" s="13">
        <f>W32+W33+W34+W35</f>
        <v/>
      </c>
      <c r="X36" s="13">
        <f>X32+X33+X34+X35</f>
        <v/>
      </c>
      <c r="Y36" s="13">
        <f>Y32+Y33+Y34+Y35</f>
        <v/>
      </c>
      <c r="Z36" s="13">
        <f>Z32+Z33+Z34+Z35</f>
        <v/>
      </c>
      <c r="AA36" s="13">
        <f>AA32+AA33+AA34+AA35</f>
        <v/>
      </c>
      <c r="AB36" s="13">
        <f>AB32+AB33+AB34+AB35</f>
        <v/>
      </c>
      <c r="AC36" s="13">
        <f>AC32+AC33+AC34+AC35</f>
        <v/>
      </c>
      <c r="AD36" s="13">
        <f>AD32+AD33+AD34+AD35</f>
        <v/>
      </c>
      <c r="AE36" s="13">
        <f>AE32+AE33+AE34+AE35</f>
        <v/>
      </c>
      <c r="AF36" s="13">
        <f>AF32+AF33+AF34+AF35</f>
        <v/>
      </c>
      <c r="AG36" s="13">
        <f>AG32+AG33+AG34+AG35</f>
        <v/>
      </c>
      <c r="AH36" s="13">
        <f>AH32+AH33+AH34+AH35</f>
        <v/>
      </c>
      <c r="AI36" s="13">
        <f>AI32+AI33+AI34+AI35</f>
        <v/>
      </c>
      <c r="AJ36" s="13">
        <f>AJ32+AJ33+AJ34+AJ35</f>
        <v/>
      </c>
      <c r="AK36" s="13">
        <f>AK32+AK33+AK34+AK35</f>
        <v/>
      </c>
      <c r="AL36" s="13">
        <f>AL32+AL33+AL34+AL35</f>
        <v/>
      </c>
      <c r="AM36" s="13">
        <f>AM32+AM33+AM34+AM35</f>
        <v/>
      </c>
      <c r="AN36" s="13">
        <f>AN32+AN33+AN34+AN35</f>
        <v/>
      </c>
      <c r="AO36" s="13">
        <f>AO32+AO33+AO34+AO35</f>
        <v/>
      </c>
      <c r="AP36" s="13">
        <f>AP32+AP33+AP34+AP35</f>
        <v/>
      </c>
      <c r="AQ36" s="13">
        <f>AQ32+AQ33+AQ34+AQ35</f>
        <v/>
      </c>
      <c r="AR36" s="13">
        <f>AR32+AR33+AR34+AR35</f>
        <v/>
      </c>
      <c r="AS36" s="13">
        <f>AS32+AS33+AS34+AS35</f>
        <v/>
      </c>
      <c r="AT36" s="13">
        <f>AT32+AT33+AT34+AT35</f>
        <v/>
      </c>
      <c r="AU36" s="13">
        <f>AU32+AU33+AU34+AU35</f>
        <v/>
      </c>
      <c r="AV36" s="13">
        <f>AV32+AV33+AV34+AV35</f>
        <v/>
      </c>
      <c r="AW36" s="13">
        <f>AW32+AW33+AW34+AW35</f>
        <v/>
      </c>
      <c r="AX36" s="13">
        <f>AX32+AX33+AX34+AX35</f>
        <v/>
      </c>
      <c r="AY36" s="13">
        <f>AY32+AY33+AY34+AY35</f>
        <v/>
      </c>
      <c r="AZ36" s="13">
        <f>AZ32+AZ33+AZ34+AZ35</f>
        <v/>
      </c>
      <c r="BA36" s="13">
        <f>BA32+BA33+BA34+BA35</f>
        <v/>
      </c>
      <c r="BB36" s="13">
        <f>BB32+BB33+BB34+BB35</f>
        <v/>
      </c>
      <c r="BC36" s="13">
        <f>BC32+BC33+BC34+BC35</f>
        <v/>
      </c>
      <c r="BD36" s="13">
        <f>BD32+BD33+BD34+BD35</f>
        <v/>
      </c>
      <c r="BE36" s="13">
        <f>BE32+BE33+BE34+BE35</f>
        <v/>
      </c>
      <c r="BF36" s="13">
        <f>BF32+BF33+BF34+BF35</f>
        <v/>
      </c>
      <c r="BG36" s="13">
        <f>BG32+BG33+BG34+BG35</f>
        <v/>
      </c>
      <c r="BH36" s="13">
        <f>BH32+BH33+BH34+BH35</f>
        <v/>
      </c>
      <c r="BI36" s="13">
        <f>BI32+BI33+BI34+BI35</f>
        <v/>
      </c>
      <c r="BJ36" s="13">
        <f>BJ32+BJ33+BJ34+BJ35</f>
        <v/>
      </c>
      <c r="BK36" s="13">
        <f>BK32+BK33+BK34+BK35</f>
        <v/>
      </c>
      <c r="BL36" s="13">
        <f>BL32+BL33+BL34+BL35</f>
        <v/>
      </c>
      <c r="BM36" s="13">
        <f>BM32+BM33+BM34+BM35</f>
        <v/>
      </c>
      <c r="BN36" s="13">
        <f>BN32+BN33+BN34+BN35</f>
        <v/>
      </c>
    </row>
    <row r="37">
      <c r="D37" t="inlineStr">
        <is>
          <t>Senior debt service and fees</t>
        </is>
      </c>
      <c r="E37" t="inlineStr">
        <is>
          <t>USD m</t>
        </is>
      </c>
      <c r="G37" s="13">
        <f>SUM(J37:BN37)</f>
        <v/>
      </c>
      <c r="J37" s="13">
        <f>-(Debt!J114+Debt!J110)</f>
        <v/>
      </c>
      <c r="K37" s="13">
        <f>-(Debt!K114+Debt!K110)</f>
        <v/>
      </c>
      <c r="L37" s="13">
        <f>-(Debt!L114+Debt!L110)</f>
        <v/>
      </c>
      <c r="M37" s="13">
        <f>-(Debt!M114+Debt!M110)</f>
        <v/>
      </c>
      <c r="N37" s="13">
        <f>-(Debt!N114+Debt!N110)</f>
        <v/>
      </c>
      <c r="O37" s="13">
        <f>-(Debt!O114+Debt!O110)</f>
        <v/>
      </c>
      <c r="P37" s="13">
        <f>-(Debt!P114+Debt!P110)</f>
        <v/>
      </c>
      <c r="Q37" s="13">
        <f>-(Debt!Q114+Debt!Q110)</f>
        <v/>
      </c>
      <c r="R37" s="13">
        <f>-(Debt!R114+Debt!R110)</f>
        <v/>
      </c>
      <c r="S37" s="13">
        <f>-(Debt!S114+Debt!S110)</f>
        <v/>
      </c>
      <c r="T37" s="13">
        <f>-(Debt!T114+Debt!T110)</f>
        <v/>
      </c>
      <c r="U37" s="13">
        <f>-(Debt!U114+Debt!U110)</f>
        <v/>
      </c>
      <c r="V37" s="13">
        <f>-(Debt!V114+Debt!V110)</f>
        <v/>
      </c>
      <c r="W37" s="13">
        <f>-(Debt!W114+Debt!W110)</f>
        <v/>
      </c>
      <c r="X37" s="13">
        <f>-(Debt!X114+Debt!X110)</f>
        <v/>
      </c>
      <c r="Y37" s="13">
        <f>-(Debt!Y114+Debt!Y110)</f>
        <v/>
      </c>
      <c r="Z37" s="13">
        <f>-(Debt!Z114+Debt!Z110)</f>
        <v/>
      </c>
      <c r="AA37" s="13">
        <f>-(Debt!AA114+Debt!AA110)</f>
        <v/>
      </c>
      <c r="AB37" s="13">
        <f>-(Debt!AB114+Debt!AB110)</f>
        <v/>
      </c>
      <c r="AC37" s="13">
        <f>-(Debt!AC114+Debt!AC110)</f>
        <v/>
      </c>
      <c r="AD37" s="13">
        <f>-(Debt!AD114+Debt!AD110)</f>
        <v/>
      </c>
      <c r="AE37" s="13">
        <f>-(Debt!AE114+Debt!AE110)</f>
        <v/>
      </c>
      <c r="AF37" s="13">
        <f>-(Debt!AF114+Debt!AF110)</f>
        <v/>
      </c>
      <c r="AG37" s="13">
        <f>-(Debt!AG114+Debt!AG110)</f>
        <v/>
      </c>
      <c r="AH37" s="13">
        <f>-(Debt!AH114+Debt!AH110)</f>
        <v/>
      </c>
      <c r="AI37" s="13">
        <f>-(Debt!AI114+Debt!AI110)</f>
        <v/>
      </c>
      <c r="AJ37" s="13">
        <f>-(Debt!AJ114+Debt!AJ110)</f>
        <v/>
      </c>
      <c r="AK37" s="13">
        <f>-(Debt!AK114+Debt!AK110)</f>
        <v/>
      </c>
      <c r="AL37" s="13">
        <f>-(Debt!AL114+Debt!AL110)</f>
        <v/>
      </c>
      <c r="AM37" s="13">
        <f>-(Debt!AM114+Debt!AM110)</f>
        <v/>
      </c>
      <c r="AN37" s="13">
        <f>-(Debt!AN114+Debt!AN110)</f>
        <v/>
      </c>
      <c r="AO37" s="13">
        <f>-(Debt!AO114+Debt!AO110)</f>
        <v/>
      </c>
      <c r="AP37" s="13">
        <f>-(Debt!AP114+Debt!AP110)</f>
        <v/>
      </c>
      <c r="AQ37" s="13">
        <f>-(Debt!AQ114+Debt!AQ110)</f>
        <v/>
      </c>
      <c r="AR37" s="13">
        <f>-(Debt!AR114+Debt!AR110)</f>
        <v/>
      </c>
      <c r="AS37" s="13">
        <f>-(Debt!AS114+Debt!AS110)</f>
        <v/>
      </c>
      <c r="AT37" s="13">
        <f>-(Debt!AT114+Debt!AT110)</f>
        <v/>
      </c>
      <c r="AU37" s="13">
        <f>-(Debt!AU114+Debt!AU110)</f>
        <v/>
      </c>
      <c r="AV37" s="13">
        <f>-(Debt!AV114+Debt!AV110)</f>
        <v/>
      </c>
      <c r="AW37" s="13">
        <f>-(Debt!AW114+Debt!AW110)</f>
        <v/>
      </c>
      <c r="AX37" s="13">
        <f>-(Debt!AX114+Debt!AX110)</f>
        <v/>
      </c>
      <c r="AY37" s="13">
        <f>-(Debt!AY114+Debt!AY110)</f>
        <v/>
      </c>
      <c r="AZ37" s="13">
        <f>-(Debt!AZ114+Debt!AZ110)</f>
        <v/>
      </c>
      <c r="BA37" s="13">
        <f>-(Debt!BA114+Debt!BA110)</f>
        <v/>
      </c>
      <c r="BB37" s="13">
        <f>-(Debt!BB114+Debt!BB110)</f>
        <v/>
      </c>
      <c r="BC37" s="13">
        <f>-(Debt!BC114+Debt!BC110)</f>
        <v/>
      </c>
      <c r="BD37" s="13">
        <f>-(Debt!BD114+Debt!BD110)</f>
        <v/>
      </c>
      <c r="BE37" s="13">
        <f>-(Debt!BE114+Debt!BE110)</f>
        <v/>
      </c>
      <c r="BF37" s="13">
        <f>-(Debt!BF114+Debt!BF110)</f>
        <v/>
      </c>
      <c r="BG37" s="13">
        <f>-(Debt!BG114+Debt!BG110)</f>
        <v/>
      </c>
      <c r="BH37" s="13">
        <f>-(Debt!BH114+Debt!BH110)</f>
        <v/>
      </c>
      <c r="BI37" s="13">
        <f>-(Debt!BI114+Debt!BI110)</f>
        <v/>
      </c>
      <c r="BJ37" s="13">
        <f>-(Debt!BJ114+Debt!BJ110)</f>
        <v/>
      </c>
      <c r="BK37" s="13">
        <f>-(Debt!BK114+Debt!BK110)</f>
        <v/>
      </c>
      <c r="BL37" s="13">
        <f>-(Debt!BL114+Debt!BL110)</f>
        <v/>
      </c>
      <c r="BM37" s="13">
        <f>-(Debt!BM114+Debt!BM110)</f>
        <v/>
      </c>
      <c r="BN37" s="13">
        <f>-(Debt!BN114+Debt!BN110)</f>
        <v/>
      </c>
    </row>
    <row r="38">
      <c r="D38" t="inlineStr">
        <is>
          <t>Performance LDs received (Compensation Account)</t>
        </is>
      </c>
      <c r="E38" t="inlineStr">
        <is>
          <t>USD m</t>
        </is>
      </c>
      <c r="G38" s="13">
        <f>SUM(J38:BN38)</f>
        <v/>
      </c>
      <c r="J38" s="13">
        <f>Reserves!J17-Reserves!I17+Debt!J28+Debt!J42+Debt!J56+Debt!J70+Debt!J84</f>
        <v/>
      </c>
      <c r="K38" s="13">
        <f>Reserves!K17-Reserves!J17+Debt!K28+Debt!K42+Debt!K56+Debt!K70+Debt!K84</f>
        <v/>
      </c>
      <c r="L38" s="13">
        <f>Reserves!L17-Reserves!K17+Debt!L28+Debt!L42+Debt!L56+Debt!L70+Debt!L84</f>
        <v/>
      </c>
      <c r="M38" s="13">
        <f>Reserves!M17-Reserves!L17+Debt!M28+Debt!M42+Debt!M56+Debt!M70+Debt!M84</f>
        <v/>
      </c>
      <c r="N38" s="13">
        <f>Reserves!N17-Reserves!M17+Debt!N28+Debt!N42+Debt!N56+Debt!N70+Debt!N84</f>
        <v/>
      </c>
      <c r="O38" s="13">
        <f>Reserves!O17-Reserves!N17+Debt!O28+Debt!O42+Debt!O56+Debt!O70+Debt!O84</f>
        <v/>
      </c>
      <c r="P38" s="13">
        <f>Reserves!P17-Reserves!O17+Debt!P28+Debt!P42+Debt!P56+Debt!P70+Debt!P84</f>
        <v/>
      </c>
      <c r="Q38" s="13">
        <f>Reserves!Q17-Reserves!P17+Debt!Q28+Debt!Q42+Debt!Q56+Debt!Q70+Debt!Q84</f>
        <v/>
      </c>
      <c r="R38" s="13">
        <f>Reserves!R17-Reserves!Q17+Debt!R28+Debt!R42+Debt!R56+Debt!R70+Debt!R84</f>
        <v/>
      </c>
      <c r="S38" s="13">
        <f>Reserves!S17-Reserves!R17+Debt!S28+Debt!S42+Debt!S56+Debt!S70+Debt!S84</f>
        <v/>
      </c>
      <c r="T38" s="13">
        <f>Reserves!T17-Reserves!S17+Debt!T28+Debt!T42+Debt!T56+Debt!T70+Debt!T84</f>
        <v/>
      </c>
      <c r="U38" s="13">
        <f>Reserves!U17-Reserves!T17+Debt!U28+Debt!U42+Debt!U56+Debt!U70+Debt!U84</f>
        <v/>
      </c>
      <c r="V38" s="13">
        <f>Reserves!V17-Reserves!U17+Debt!V28+Debt!V42+Debt!V56+Debt!V70+Debt!V84</f>
        <v/>
      </c>
      <c r="W38" s="13">
        <f>Reserves!W17-Reserves!V17+Debt!W28+Debt!W42+Debt!W56+Debt!W70+Debt!W84</f>
        <v/>
      </c>
      <c r="X38" s="13">
        <f>Reserves!X17-Reserves!W17+Debt!X28+Debt!X42+Debt!X56+Debt!X70+Debt!X84</f>
        <v/>
      </c>
      <c r="Y38" s="13">
        <f>Reserves!Y17-Reserves!X17+Debt!Y28+Debt!Y42+Debt!Y56+Debt!Y70+Debt!Y84</f>
        <v/>
      </c>
      <c r="Z38" s="13">
        <f>Reserves!Z17-Reserves!Y17+Debt!Z28+Debt!Z42+Debt!Z56+Debt!Z70+Debt!Z84</f>
        <v/>
      </c>
      <c r="AA38" s="13">
        <f>Reserves!AA17-Reserves!Z17+Debt!AA28+Debt!AA42+Debt!AA56+Debt!AA70+Debt!AA84</f>
        <v/>
      </c>
      <c r="AB38" s="13">
        <f>Reserves!AB17-Reserves!AA17+Debt!AB28+Debt!AB42+Debt!AB56+Debt!AB70+Debt!AB84</f>
        <v/>
      </c>
      <c r="AC38" s="13">
        <f>Reserves!AC17-Reserves!AB17+Debt!AC28+Debt!AC42+Debt!AC56+Debt!AC70+Debt!AC84</f>
        <v/>
      </c>
      <c r="AD38" s="13">
        <f>Reserves!AD17-Reserves!AC17+Debt!AD28+Debt!AD42+Debt!AD56+Debt!AD70+Debt!AD84</f>
        <v/>
      </c>
      <c r="AE38" s="13">
        <f>Reserves!AE17-Reserves!AD17+Debt!AE28+Debt!AE42+Debt!AE56+Debt!AE70+Debt!AE84</f>
        <v/>
      </c>
      <c r="AF38" s="13">
        <f>Reserves!AF17-Reserves!AE17+Debt!AF28+Debt!AF42+Debt!AF56+Debt!AF70+Debt!AF84</f>
        <v/>
      </c>
      <c r="AG38" s="13">
        <f>Reserves!AG17-Reserves!AF17+Debt!AG28+Debt!AG42+Debt!AG56+Debt!AG70+Debt!AG84</f>
        <v/>
      </c>
      <c r="AH38" s="13">
        <f>Reserves!AH17-Reserves!AG17+Debt!AH28+Debt!AH42+Debt!AH56+Debt!AH70+Debt!AH84</f>
        <v/>
      </c>
      <c r="AI38" s="13">
        <f>Reserves!AI17-Reserves!AH17+Debt!AI28+Debt!AI42+Debt!AI56+Debt!AI70+Debt!AI84</f>
        <v/>
      </c>
      <c r="AJ38" s="13">
        <f>Reserves!AJ17-Reserves!AI17+Debt!AJ28+Debt!AJ42+Debt!AJ56+Debt!AJ70+Debt!AJ84</f>
        <v/>
      </c>
      <c r="AK38" s="13">
        <f>Reserves!AK17-Reserves!AJ17+Debt!AK28+Debt!AK42+Debt!AK56+Debt!AK70+Debt!AK84</f>
        <v/>
      </c>
      <c r="AL38" s="13">
        <f>Reserves!AL17-Reserves!AK17+Debt!AL28+Debt!AL42+Debt!AL56+Debt!AL70+Debt!AL84</f>
        <v/>
      </c>
      <c r="AM38" s="13">
        <f>Reserves!AM17-Reserves!AL17+Debt!AM28+Debt!AM42+Debt!AM56+Debt!AM70+Debt!AM84</f>
        <v/>
      </c>
      <c r="AN38" s="13">
        <f>Reserves!AN17-Reserves!AM17+Debt!AN28+Debt!AN42+Debt!AN56+Debt!AN70+Debt!AN84</f>
        <v/>
      </c>
      <c r="AO38" s="13">
        <f>Reserves!AO17-Reserves!AN17+Debt!AO28+Debt!AO42+Debt!AO56+Debt!AO70+Debt!AO84</f>
        <v/>
      </c>
      <c r="AP38" s="13">
        <f>Reserves!AP17-Reserves!AO17+Debt!AP28+Debt!AP42+Debt!AP56+Debt!AP70+Debt!AP84</f>
        <v/>
      </c>
      <c r="AQ38" s="13">
        <f>Reserves!AQ17-Reserves!AP17+Debt!AQ28+Debt!AQ42+Debt!AQ56+Debt!AQ70+Debt!AQ84</f>
        <v/>
      </c>
      <c r="AR38" s="13">
        <f>Reserves!AR17-Reserves!AQ17+Debt!AR28+Debt!AR42+Debt!AR56+Debt!AR70+Debt!AR84</f>
        <v/>
      </c>
      <c r="AS38" s="13">
        <f>Reserves!AS17-Reserves!AR17+Debt!AS28+Debt!AS42+Debt!AS56+Debt!AS70+Debt!AS84</f>
        <v/>
      </c>
      <c r="AT38" s="13">
        <f>Reserves!AT17-Reserves!AS17+Debt!AT28+Debt!AT42+Debt!AT56+Debt!AT70+Debt!AT84</f>
        <v/>
      </c>
      <c r="AU38" s="13">
        <f>Reserves!AU17-Reserves!AT17+Debt!AU28+Debt!AU42+Debt!AU56+Debt!AU70+Debt!AU84</f>
        <v/>
      </c>
      <c r="AV38" s="13">
        <f>Reserves!AV17-Reserves!AU17+Debt!AV28+Debt!AV42+Debt!AV56+Debt!AV70+Debt!AV84</f>
        <v/>
      </c>
      <c r="AW38" s="13">
        <f>Reserves!AW17-Reserves!AV17+Debt!AW28+Debt!AW42+Debt!AW56+Debt!AW70+Debt!AW84</f>
        <v/>
      </c>
      <c r="AX38" s="13">
        <f>Reserves!AX17-Reserves!AW17+Debt!AX28+Debt!AX42+Debt!AX56+Debt!AX70+Debt!AX84</f>
        <v/>
      </c>
      <c r="AY38" s="13">
        <f>Reserves!AY17-Reserves!AX17+Debt!AY28+Debt!AY42+Debt!AY56+Debt!AY70+Debt!AY84</f>
        <v/>
      </c>
      <c r="AZ38" s="13">
        <f>Reserves!AZ17-Reserves!AY17+Debt!AZ28+Debt!AZ42+Debt!AZ56+Debt!AZ70+Debt!AZ84</f>
        <v/>
      </c>
      <c r="BA38" s="13">
        <f>Reserves!BA17-Reserves!AZ17+Debt!BA28+Debt!BA42+Debt!BA56+Debt!BA70+Debt!BA84</f>
        <v/>
      </c>
      <c r="BB38" s="13">
        <f>Reserves!BB17-Reserves!BA17+Debt!BB28+Debt!BB42+Debt!BB56+Debt!BB70+Debt!BB84</f>
        <v/>
      </c>
      <c r="BC38" s="13">
        <f>Reserves!BC17-Reserves!BB17+Debt!BC28+Debt!BC42+Debt!BC56+Debt!BC70+Debt!BC84</f>
        <v/>
      </c>
      <c r="BD38" s="13">
        <f>Reserves!BD17-Reserves!BC17+Debt!BD28+Debt!BD42+Debt!BD56+Debt!BD70+Debt!BD84</f>
        <v/>
      </c>
      <c r="BE38" s="13">
        <f>Reserves!BE17-Reserves!BD17+Debt!BE28+Debt!BE42+Debt!BE56+Debt!BE70+Debt!BE84</f>
        <v/>
      </c>
      <c r="BF38" s="13">
        <f>Reserves!BF17-Reserves!BE17+Debt!BF28+Debt!BF42+Debt!BF56+Debt!BF70+Debt!BF84</f>
        <v/>
      </c>
      <c r="BG38" s="13">
        <f>Reserves!BG17-Reserves!BF17+Debt!BG28+Debt!BG42+Debt!BG56+Debt!BG70+Debt!BG84</f>
        <v/>
      </c>
      <c r="BH38" s="13">
        <f>Reserves!BH17-Reserves!BG17+Debt!BH28+Debt!BH42+Debt!BH56+Debt!BH70+Debt!BH84</f>
        <v/>
      </c>
      <c r="BI38" s="13">
        <f>Reserves!BI17-Reserves!BH17+Debt!BI28+Debt!BI42+Debt!BI56+Debt!BI70+Debt!BI84</f>
        <v/>
      </c>
      <c r="BJ38" s="13">
        <f>Reserves!BJ17-Reserves!BI17+Debt!BJ28+Debt!BJ42+Debt!BJ56+Debt!BJ70+Debt!BJ84</f>
        <v/>
      </c>
      <c r="BK38" s="13">
        <f>Reserves!BK17-Reserves!BJ17+Debt!BK28+Debt!BK42+Debt!BK56+Debt!BK70+Debt!BK84</f>
        <v/>
      </c>
      <c r="BL38" s="13">
        <f>Reserves!BL17-Reserves!BK17+Debt!BL28+Debt!BL42+Debt!BL56+Debt!BL70+Debt!BL84</f>
        <v/>
      </c>
      <c r="BM38" s="13">
        <f>Reserves!BM17-Reserves!BL17+Debt!BM28+Debt!BM42+Debt!BM56+Debt!BM70+Debt!BM84</f>
        <v/>
      </c>
      <c r="BN38" s="13">
        <f>Reserves!BN17-Reserves!BM17+Debt!BN28+Debt!BN42+Debt!BN56+Debt!BN70+Debt!BN84</f>
        <v/>
      </c>
    </row>
    <row r="39">
      <c r="D39" t="inlineStr">
        <is>
          <t>Performance LD prepayment of senior debt</t>
        </is>
      </c>
      <c r="E39" t="inlineStr">
        <is>
          <t>USD m</t>
        </is>
      </c>
      <c r="G39" s="13">
        <f>SUM(J39:BN39)</f>
        <v/>
      </c>
      <c r="J39" s="13">
        <f>-(Debt!J28+Debt!J42+Debt!J56+Debt!J70+Debt!J84)</f>
        <v/>
      </c>
      <c r="K39" s="13">
        <f>-(Debt!K28+Debt!K42+Debt!K56+Debt!K70+Debt!K84)</f>
        <v/>
      </c>
      <c r="L39" s="13">
        <f>-(Debt!L28+Debt!L42+Debt!L56+Debt!L70+Debt!L84)</f>
        <v/>
      </c>
      <c r="M39" s="13">
        <f>-(Debt!M28+Debt!M42+Debt!M56+Debt!M70+Debt!M84)</f>
        <v/>
      </c>
      <c r="N39" s="13">
        <f>-(Debt!N28+Debt!N42+Debt!N56+Debt!N70+Debt!N84)</f>
        <v/>
      </c>
      <c r="O39" s="13">
        <f>-(Debt!O28+Debt!O42+Debt!O56+Debt!O70+Debt!O84)</f>
        <v/>
      </c>
      <c r="P39" s="13">
        <f>-(Debt!P28+Debt!P42+Debt!P56+Debt!P70+Debt!P84)</f>
        <v/>
      </c>
      <c r="Q39" s="13">
        <f>-(Debt!Q28+Debt!Q42+Debt!Q56+Debt!Q70+Debt!Q84)</f>
        <v/>
      </c>
      <c r="R39" s="13">
        <f>-(Debt!R28+Debt!R42+Debt!R56+Debt!R70+Debt!R84)</f>
        <v/>
      </c>
      <c r="S39" s="13">
        <f>-(Debt!S28+Debt!S42+Debt!S56+Debt!S70+Debt!S84)</f>
        <v/>
      </c>
      <c r="T39" s="13">
        <f>-(Debt!T28+Debt!T42+Debt!T56+Debt!T70+Debt!T84)</f>
        <v/>
      </c>
      <c r="U39" s="13">
        <f>-(Debt!U28+Debt!U42+Debt!U56+Debt!U70+Debt!U84)</f>
        <v/>
      </c>
      <c r="V39" s="13">
        <f>-(Debt!V28+Debt!V42+Debt!V56+Debt!V70+Debt!V84)</f>
        <v/>
      </c>
      <c r="W39" s="13">
        <f>-(Debt!W28+Debt!W42+Debt!W56+Debt!W70+Debt!W84)</f>
        <v/>
      </c>
      <c r="X39" s="13">
        <f>-(Debt!X28+Debt!X42+Debt!X56+Debt!X70+Debt!X84)</f>
        <v/>
      </c>
      <c r="Y39" s="13">
        <f>-(Debt!Y28+Debt!Y42+Debt!Y56+Debt!Y70+Debt!Y84)</f>
        <v/>
      </c>
      <c r="Z39" s="13">
        <f>-(Debt!Z28+Debt!Z42+Debt!Z56+Debt!Z70+Debt!Z84)</f>
        <v/>
      </c>
      <c r="AA39" s="13">
        <f>-(Debt!AA28+Debt!AA42+Debt!AA56+Debt!AA70+Debt!AA84)</f>
        <v/>
      </c>
      <c r="AB39" s="13">
        <f>-(Debt!AB28+Debt!AB42+Debt!AB56+Debt!AB70+Debt!AB84)</f>
        <v/>
      </c>
      <c r="AC39" s="13">
        <f>-(Debt!AC28+Debt!AC42+Debt!AC56+Debt!AC70+Debt!AC84)</f>
        <v/>
      </c>
      <c r="AD39" s="13">
        <f>-(Debt!AD28+Debt!AD42+Debt!AD56+Debt!AD70+Debt!AD84)</f>
        <v/>
      </c>
      <c r="AE39" s="13">
        <f>-(Debt!AE28+Debt!AE42+Debt!AE56+Debt!AE70+Debt!AE84)</f>
        <v/>
      </c>
      <c r="AF39" s="13">
        <f>-(Debt!AF28+Debt!AF42+Debt!AF56+Debt!AF70+Debt!AF84)</f>
        <v/>
      </c>
      <c r="AG39" s="13">
        <f>-(Debt!AG28+Debt!AG42+Debt!AG56+Debt!AG70+Debt!AG84)</f>
        <v/>
      </c>
      <c r="AH39" s="13">
        <f>-(Debt!AH28+Debt!AH42+Debt!AH56+Debt!AH70+Debt!AH84)</f>
        <v/>
      </c>
      <c r="AI39" s="13">
        <f>-(Debt!AI28+Debt!AI42+Debt!AI56+Debt!AI70+Debt!AI84)</f>
        <v/>
      </c>
      <c r="AJ39" s="13">
        <f>-(Debt!AJ28+Debt!AJ42+Debt!AJ56+Debt!AJ70+Debt!AJ84)</f>
        <v/>
      </c>
      <c r="AK39" s="13">
        <f>-(Debt!AK28+Debt!AK42+Debt!AK56+Debt!AK70+Debt!AK84)</f>
        <v/>
      </c>
      <c r="AL39" s="13">
        <f>-(Debt!AL28+Debt!AL42+Debt!AL56+Debt!AL70+Debt!AL84)</f>
        <v/>
      </c>
      <c r="AM39" s="13">
        <f>-(Debt!AM28+Debt!AM42+Debt!AM56+Debt!AM70+Debt!AM84)</f>
        <v/>
      </c>
      <c r="AN39" s="13">
        <f>-(Debt!AN28+Debt!AN42+Debt!AN56+Debt!AN70+Debt!AN84)</f>
        <v/>
      </c>
      <c r="AO39" s="13">
        <f>-(Debt!AO28+Debt!AO42+Debt!AO56+Debt!AO70+Debt!AO84)</f>
        <v/>
      </c>
      <c r="AP39" s="13">
        <f>-(Debt!AP28+Debt!AP42+Debt!AP56+Debt!AP70+Debt!AP84)</f>
        <v/>
      </c>
      <c r="AQ39" s="13">
        <f>-(Debt!AQ28+Debt!AQ42+Debt!AQ56+Debt!AQ70+Debt!AQ84)</f>
        <v/>
      </c>
      <c r="AR39" s="13">
        <f>-(Debt!AR28+Debt!AR42+Debt!AR56+Debt!AR70+Debt!AR84)</f>
        <v/>
      </c>
      <c r="AS39" s="13">
        <f>-(Debt!AS28+Debt!AS42+Debt!AS56+Debt!AS70+Debt!AS84)</f>
        <v/>
      </c>
      <c r="AT39" s="13">
        <f>-(Debt!AT28+Debt!AT42+Debt!AT56+Debt!AT70+Debt!AT84)</f>
        <v/>
      </c>
      <c r="AU39" s="13">
        <f>-(Debt!AU28+Debt!AU42+Debt!AU56+Debt!AU70+Debt!AU84)</f>
        <v/>
      </c>
      <c r="AV39" s="13">
        <f>-(Debt!AV28+Debt!AV42+Debt!AV56+Debt!AV70+Debt!AV84)</f>
        <v/>
      </c>
      <c r="AW39" s="13">
        <f>-(Debt!AW28+Debt!AW42+Debt!AW56+Debt!AW70+Debt!AW84)</f>
        <v/>
      </c>
      <c r="AX39" s="13">
        <f>-(Debt!AX28+Debt!AX42+Debt!AX56+Debt!AX70+Debt!AX84)</f>
        <v/>
      </c>
      <c r="AY39" s="13">
        <f>-(Debt!AY28+Debt!AY42+Debt!AY56+Debt!AY70+Debt!AY84)</f>
        <v/>
      </c>
      <c r="AZ39" s="13">
        <f>-(Debt!AZ28+Debt!AZ42+Debt!AZ56+Debt!AZ70+Debt!AZ84)</f>
        <v/>
      </c>
      <c r="BA39" s="13">
        <f>-(Debt!BA28+Debt!BA42+Debt!BA56+Debt!BA70+Debt!BA84)</f>
        <v/>
      </c>
      <c r="BB39" s="13">
        <f>-(Debt!BB28+Debt!BB42+Debt!BB56+Debt!BB70+Debt!BB84)</f>
        <v/>
      </c>
      <c r="BC39" s="13">
        <f>-(Debt!BC28+Debt!BC42+Debt!BC56+Debt!BC70+Debt!BC84)</f>
        <v/>
      </c>
      <c r="BD39" s="13">
        <f>-(Debt!BD28+Debt!BD42+Debt!BD56+Debt!BD70+Debt!BD84)</f>
        <v/>
      </c>
      <c r="BE39" s="13">
        <f>-(Debt!BE28+Debt!BE42+Debt!BE56+Debt!BE70+Debt!BE84)</f>
        <v/>
      </c>
      <c r="BF39" s="13">
        <f>-(Debt!BF28+Debt!BF42+Debt!BF56+Debt!BF70+Debt!BF84)</f>
        <v/>
      </c>
      <c r="BG39" s="13">
        <f>-(Debt!BG28+Debt!BG42+Debt!BG56+Debt!BG70+Debt!BG84)</f>
        <v/>
      </c>
      <c r="BH39" s="13">
        <f>-(Debt!BH28+Debt!BH42+Debt!BH56+Debt!BH70+Debt!BH84)</f>
        <v/>
      </c>
      <c r="BI39" s="13">
        <f>-(Debt!BI28+Debt!BI42+Debt!BI56+Debt!BI70+Debt!BI84)</f>
        <v/>
      </c>
      <c r="BJ39" s="13">
        <f>-(Debt!BJ28+Debt!BJ42+Debt!BJ56+Debt!BJ70+Debt!BJ84)</f>
        <v/>
      </c>
      <c r="BK39" s="13">
        <f>-(Debt!BK28+Debt!BK42+Debt!BK56+Debt!BK70+Debt!BK84)</f>
        <v/>
      </c>
      <c r="BL39" s="13">
        <f>-(Debt!BL28+Debt!BL42+Debt!BL56+Debt!BL70+Debt!BL84)</f>
        <v/>
      </c>
      <c r="BM39" s="13">
        <f>-(Debt!BM28+Debt!BM42+Debt!BM56+Debt!BM70+Debt!BM84)</f>
        <v/>
      </c>
      <c r="BN39" s="13">
        <f>-(Debt!BN28+Debt!BN42+Debt!BN56+Debt!BN70+Debt!BN84)</f>
        <v/>
      </c>
    </row>
    <row r="40">
      <c r="D40" t="inlineStr">
        <is>
          <t>Bond issued, net of refinancing costs</t>
        </is>
      </c>
      <c r="E40" t="inlineStr">
        <is>
          <t>USD m</t>
        </is>
      </c>
      <c r="G40" s="13">
        <f>SUM(J40:BN40)</f>
        <v/>
      </c>
      <c r="J40" s="13">
        <f>Debt!J100-Debt!J104</f>
        <v/>
      </c>
      <c r="K40" s="13">
        <f>Debt!K100-Debt!K104</f>
        <v/>
      </c>
      <c r="L40" s="13">
        <f>Debt!L100-Debt!L104</f>
        <v/>
      </c>
      <c r="M40" s="13">
        <f>Debt!M100-Debt!M104</f>
        <v/>
      </c>
      <c r="N40" s="13">
        <f>Debt!N100-Debt!N104</f>
        <v/>
      </c>
      <c r="O40" s="13">
        <f>Debt!O100-Debt!O104</f>
        <v/>
      </c>
      <c r="P40" s="13">
        <f>Debt!P100-Debt!P104</f>
        <v/>
      </c>
      <c r="Q40" s="13">
        <f>Debt!Q100-Debt!Q104</f>
        <v/>
      </c>
      <c r="R40" s="13">
        <f>Debt!R100-Debt!R104</f>
        <v/>
      </c>
      <c r="S40" s="13">
        <f>Debt!S100-Debt!S104</f>
        <v/>
      </c>
      <c r="T40" s="13">
        <f>Debt!T100-Debt!T104</f>
        <v/>
      </c>
      <c r="U40" s="13">
        <f>Debt!U100-Debt!U104</f>
        <v/>
      </c>
      <c r="V40" s="13">
        <f>Debt!V100-Debt!V104</f>
        <v/>
      </c>
      <c r="W40" s="13">
        <f>Debt!W100-Debt!W104</f>
        <v/>
      </c>
      <c r="X40" s="13">
        <f>Debt!X100-Debt!X104</f>
        <v/>
      </c>
      <c r="Y40" s="13">
        <f>Debt!Y100-Debt!Y104</f>
        <v/>
      </c>
      <c r="Z40" s="13">
        <f>Debt!Z100-Debt!Z104</f>
        <v/>
      </c>
      <c r="AA40" s="13">
        <f>Debt!AA100-Debt!AA104</f>
        <v/>
      </c>
      <c r="AB40" s="13">
        <f>Debt!AB100-Debt!AB104</f>
        <v/>
      </c>
      <c r="AC40" s="13">
        <f>Debt!AC100-Debt!AC104</f>
        <v/>
      </c>
      <c r="AD40" s="13">
        <f>Debt!AD100-Debt!AD104</f>
        <v/>
      </c>
      <c r="AE40" s="13">
        <f>Debt!AE100-Debt!AE104</f>
        <v/>
      </c>
      <c r="AF40" s="13">
        <f>Debt!AF100-Debt!AF104</f>
        <v/>
      </c>
      <c r="AG40" s="13">
        <f>Debt!AG100-Debt!AG104</f>
        <v/>
      </c>
      <c r="AH40" s="13">
        <f>Debt!AH100-Debt!AH104</f>
        <v/>
      </c>
      <c r="AI40" s="13">
        <f>Debt!AI100-Debt!AI104</f>
        <v/>
      </c>
      <c r="AJ40" s="13">
        <f>Debt!AJ100-Debt!AJ104</f>
        <v/>
      </c>
      <c r="AK40" s="13">
        <f>Debt!AK100-Debt!AK104</f>
        <v/>
      </c>
      <c r="AL40" s="13">
        <f>Debt!AL100-Debt!AL104</f>
        <v/>
      </c>
      <c r="AM40" s="13">
        <f>Debt!AM100-Debt!AM104</f>
        <v/>
      </c>
      <c r="AN40" s="13">
        <f>Debt!AN100-Debt!AN104</f>
        <v/>
      </c>
      <c r="AO40" s="13">
        <f>Debt!AO100-Debt!AO104</f>
        <v/>
      </c>
      <c r="AP40" s="13">
        <f>Debt!AP100-Debt!AP104</f>
        <v/>
      </c>
      <c r="AQ40" s="13">
        <f>Debt!AQ100-Debt!AQ104</f>
        <v/>
      </c>
      <c r="AR40" s="13">
        <f>Debt!AR100-Debt!AR104</f>
        <v/>
      </c>
      <c r="AS40" s="13">
        <f>Debt!AS100-Debt!AS104</f>
        <v/>
      </c>
      <c r="AT40" s="13">
        <f>Debt!AT100-Debt!AT104</f>
        <v/>
      </c>
      <c r="AU40" s="13">
        <f>Debt!AU100-Debt!AU104</f>
        <v/>
      </c>
      <c r="AV40" s="13">
        <f>Debt!AV100-Debt!AV104</f>
        <v/>
      </c>
      <c r="AW40" s="13">
        <f>Debt!AW100-Debt!AW104</f>
        <v/>
      </c>
      <c r="AX40" s="13">
        <f>Debt!AX100-Debt!AX104</f>
        <v/>
      </c>
      <c r="AY40" s="13">
        <f>Debt!AY100-Debt!AY104</f>
        <v/>
      </c>
      <c r="AZ40" s="13">
        <f>Debt!AZ100-Debt!AZ104</f>
        <v/>
      </c>
      <c r="BA40" s="13">
        <f>Debt!BA100-Debt!BA104</f>
        <v/>
      </c>
      <c r="BB40" s="13">
        <f>Debt!BB100-Debt!BB104</f>
        <v/>
      </c>
      <c r="BC40" s="13">
        <f>Debt!BC100-Debt!BC104</f>
        <v/>
      </c>
      <c r="BD40" s="13">
        <f>Debt!BD100-Debt!BD104</f>
        <v/>
      </c>
      <c r="BE40" s="13">
        <f>Debt!BE100-Debt!BE104</f>
        <v/>
      </c>
      <c r="BF40" s="13">
        <f>Debt!BF100-Debt!BF104</f>
        <v/>
      </c>
      <c r="BG40" s="13">
        <f>Debt!BG100-Debt!BG104</f>
        <v/>
      </c>
      <c r="BH40" s="13">
        <f>Debt!BH100-Debt!BH104</f>
        <v/>
      </c>
      <c r="BI40" s="13">
        <f>Debt!BI100-Debt!BI104</f>
        <v/>
      </c>
      <c r="BJ40" s="13">
        <f>Debt!BJ100-Debt!BJ104</f>
        <v/>
      </c>
      <c r="BK40" s="13">
        <f>Debt!BK100-Debt!BK104</f>
        <v/>
      </c>
      <c r="BL40" s="13">
        <f>Debt!BL100-Debt!BL104</f>
        <v/>
      </c>
      <c r="BM40" s="13">
        <f>Debt!BM100-Debt!BM104</f>
        <v/>
      </c>
      <c r="BN40" s="13">
        <f>Debt!BN100-Debt!BN104</f>
        <v/>
      </c>
    </row>
    <row r="41">
      <c r="D41" t="inlineStr">
        <is>
          <t>Senior debt prepaid from bond proceeds</t>
        </is>
      </c>
      <c r="E41" t="inlineStr">
        <is>
          <t>USD m</t>
        </is>
      </c>
      <c r="G41" s="13">
        <f>SUM(J41:BN41)</f>
        <v/>
      </c>
      <c r="J41" s="13">
        <f>-Debt!J99</f>
        <v/>
      </c>
      <c r="K41" s="13">
        <f>-Debt!K99</f>
        <v/>
      </c>
      <c r="L41" s="13">
        <f>-Debt!L99</f>
        <v/>
      </c>
      <c r="M41" s="13">
        <f>-Debt!M99</f>
        <v/>
      </c>
      <c r="N41" s="13">
        <f>-Debt!N99</f>
        <v/>
      </c>
      <c r="O41" s="13">
        <f>-Debt!O99</f>
        <v/>
      </c>
      <c r="P41" s="13">
        <f>-Debt!P99</f>
        <v/>
      </c>
      <c r="Q41" s="13">
        <f>-Debt!Q99</f>
        <v/>
      </c>
      <c r="R41" s="13">
        <f>-Debt!R99</f>
        <v/>
      </c>
      <c r="S41" s="13">
        <f>-Debt!S99</f>
        <v/>
      </c>
      <c r="T41" s="13">
        <f>-Debt!T99</f>
        <v/>
      </c>
      <c r="U41" s="13">
        <f>-Debt!U99</f>
        <v/>
      </c>
      <c r="V41" s="13">
        <f>-Debt!V99</f>
        <v/>
      </c>
      <c r="W41" s="13">
        <f>-Debt!W99</f>
        <v/>
      </c>
      <c r="X41" s="13">
        <f>-Debt!X99</f>
        <v/>
      </c>
      <c r="Y41" s="13">
        <f>-Debt!Y99</f>
        <v/>
      </c>
      <c r="Z41" s="13">
        <f>-Debt!Z99</f>
        <v/>
      </c>
      <c r="AA41" s="13">
        <f>-Debt!AA99</f>
        <v/>
      </c>
      <c r="AB41" s="13">
        <f>-Debt!AB99</f>
        <v/>
      </c>
      <c r="AC41" s="13">
        <f>-Debt!AC99</f>
        <v/>
      </c>
      <c r="AD41" s="13">
        <f>-Debt!AD99</f>
        <v/>
      </c>
      <c r="AE41" s="13">
        <f>-Debt!AE99</f>
        <v/>
      </c>
      <c r="AF41" s="13">
        <f>-Debt!AF99</f>
        <v/>
      </c>
      <c r="AG41" s="13">
        <f>-Debt!AG99</f>
        <v/>
      </c>
      <c r="AH41" s="13">
        <f>-Debt!AH99</f>
        <v/>
      </c>
      <c r="AI41" s="13">
        <f>-Debt!AI99</f>
        <v/>
      </c>
      <c r="AJ41" s="13">
        <f>-Debt!AJ99</f>
        <v/>
      </c>
      <c r="AK41" s="13">
        <f>-Debt!AK99</f>
        <v/>
      </c>
      <c r="AL41" s="13">
        <f>-Debt!AL99</f>
        <v/>
      </c>
      <c r="AM41" s="13">
        <f>-Debt!AM99</f>
        <v/>
      </c>
      <c r="AN41" s="13">
        <f>-Debt!AN99</f>
        <v/>
      </c>
      <c r="AO41" s="13">
        <f>-Debt!AO99</f>
        <v/>
      </c>
      <c r="AP41" s="13">
        <f>-Debt!AP99</f>
        <v/>
      </c>
      <c r="AQ41" s="13">
        <f>-Debt!AQ99</f>
        <v/>
      </c>
      <c r="AR41" s="13">
        <f>-Debt!AR99</f>
        <v/>
      </c>
      <c r="AS41" s="13">
        <f>-Debt!AS99</f>
        <v/>
      </c>
      <c r="AT41" s="13">
        <f>-Debt!AT99</f>
        <v/>
      </c>
      <c r="AU41" s="13">
        <f>-Debt!AU99</f>
        <v/>
      </c>
      <c r="AV41" s="13">
        <f>-Debt!AV99</f>
        <v/>
      </c>
      <c r="AW41" s="13">
        <f>-Debt!AW99</f>
        <v/>
      </c>
      <c r="AX41" s="13">
        <f>-Debt!AX99</f>
        <v/>
      </c>
      <c r="AY41" s="13">
        <f>-Debt!AY99</f>
        <v/>
      </c>
      <c r="AZ41" s="13">
        <f>-Debt!AZ99</f>
        <v/>
      </c>
      <c r="BA41" s="13">
        <f>-Debt!BA99</f>
        <v/>
      </c>
      <c r="BB41" s="13">
        <f>-Debt!BB99</f>
        <v/>
      </c>
      <c r="BC41" s="13">
        <f>-Debt!BC99</f>
        <v/>
      </c>
      <c r="BD41" s="13">
        <f>-Debt!BD99</f>
        <v/>
      </c>
      <c r="BE41" s="13">
        <f>-Debt!BE99</f>
        <v/>
      </c>
      <c r="BF41" s="13">
        <f>-Debt!BF99</f>
        <v/>
      </c>
      <c r="BG41" s="13">
        <f>-Debt!BG99</f>
        <v/>
      </c>
      <c r="BH41" s="13">
        <f>-Debt!BH99</f>
        <v/>
      </c>
      <c r="BI41" s="13">
        <f>-Debt!BI99</f>
        <v/>
      </c>
      <c r="BJ41" s="13">
        <f>-Debt!BJ99</f>
        <v/>
      </c>
      <c r="BK41" s="13">
        <f>-Debt!BK99</f>
        <v/>
      </c>
      <c r="BL41" s="13">
        <f>-Debt!BL99</f>
        <v/>
      </c>
      <c r="BM41" s="13">
        <f>-Debt!BM99</f>
        <v/>
      </c>
      <c r="BN41" s="13">
        <f>-Debt!BN99</f>
        <v/>
      </c>
    </row>
    <row r="42">
      <c r="D42" t="inlineStr">
        <is>
          <t>Swap unwind receipt</t>
        </is>
      </c>
      <c r="E42" t="inlineStr">
        <is>
          <t>USD m</t>
        </is>
      </c>
      <c r="G42" s="13">
        <f>SUM(J42:BN42)</f>
        <v/>
      </c>
      <c r="J42" s="18">
        <f>Debt!J103</f>
        <v/>
      </c>
      <c r="K42" s="18">
        <f>Debt!K103</f>
        <v/>
      </c>
      <c r="L42" s="18">
        <f>Debt!L103</f>
        <v/>
      </c>
      <c r="M42" s="18">
        <f>Debt!M103</f>
        <v/>
      </c>
      <c r="N42" s="18">
        <f>Debt!N103</f>
        <v/>
      </c>
      <c r="O42" s="18">
        <f>Debt!O103</f>
        <v/>
      </c>
      <c r="P42" s="18">
        <f>Debt!P103</f>
        <v/>
      </c>
      <c r="Q42" s="18">
        <f>Debt!Q103</f>
        <v/>
      </c>
      <c r="R42" s="18">
        <f>Debt!R103</f>
        <v/>
      </c>
      <c r="S42" s="18">
        <f>Debt!S103</f>
        <v/>
      </c>
      <c r="T42" s="18">
        <f>Debt!T103</f>
        <v/>
      </c>
      <c r="U42" s="18">
        <f>Debt!U103</f>
        <v/>
      </c>
      <c r="V42" s="18">
        <f>Debt!V103</f>
        <v/>
      </c>
      <c r="W42" s="18">
        <f>Debt!W103</f>
        <v/>
      </c>
      <c r="X42" s="18">
        <f>Debt!X103</f>
        <v/>
      </c>
      <c r="Y42" s="18">
        <f>Debt!Y103</f>
        <v/>
      </c>
      <c r="Z42" s="18">
        <f>Debt!Z103</f>
        <v/>
      </c>
      <c r="AA42" s="18">
        <f>Debt!AA103</f>
        <v/>
      </c>
      <c r="AB42" s="18">
        <f>Debt!AB103</f>
        <v/>
      </c>
      <c r="AC42" s="18">
        <f>Debt!AC103</f>
        <v/>
      </c>
      <c r="AD42" s="18">
        <f>Debt!AD103</f>
        <v/>
      </c>
      <c r="AE42" s="18">
        <f>Debt!AE103</f>
        <v/>
      </c>
      <c r="AF42" s="18">
        <f>Debt!AF103</f>
        <v/>
      </c>
      <c r="AG42" s="18">
        <f>Debt!AG103</f>
        <v/>
      </c>
      <c r="AH42" s="18">
        <f>Debt!AH103</f>
        <v/>
      </c>
      <c r="AI42" s="18">
        <f>Debt!AI103</f>
        <v/>
      </c>
      <c r="AJ42" s="18">
        <f>Debt!AJ103</f>
        <v/>
      </c>
      <c r="AK42" s="18">
        <f>Debt!AK103</f>
        <v/>
      </c>
      <c r="AL42" s="18">
        <f>Debt!AL103</f>
        <v/>
      </c>
      <c r="AM42" s="18">
        <f>Debt!AM103</f>
        <v/>
      </c>
      <c r="AN42" s="18">
        <f>Debt!AN103</f>
        <v/>
      </c>
      <c r="AO42" s="18">
        <f>Debt!AO103</f>
        <v/>
      </c>
      <c r="AP42" s="18">
        <f>Debt!AP103</f>
        <v/>
      </c>
      <c r="AQ42" s="18">
        <f>Debt!AQ103</f>
        <v/>
      </c>
      <c r="AR42" s="18">
        <f>Debt!AR103</f>
        <v/>
      </c>
      <c r="AS42" s="18">
        <f>Debt!AS103</f>
        <v/>
      </c>
      <c r="AT42" s="18">
        <f>Debt!AT103</f>
        <v/>
      </c>
      <c r="AU42" s="18">
        <f>Debt!AU103</f>
        <v/>
      </c>
      <c r="AV42" s="18">
        <f>Debt!AV103</f>
        <v/>
      </c>
      <c r="AW42" s="18">
        <f>Debt!AW103</f>
        <v/>
      </c>
      <c r="AX42" s="18">
        <f>Debt!AX103</f>
        <v/>
      </c>
      <c r="AY42" s="18">
        <f>Debt!AY103</f>
        <v/>
      </c>
      <c r="AZ42" s="18">
        <f>Debt!AZ103</f>
        <v/>
      </c>
      <c r="BA42" s="18">
        <f>Debt!BA103</f>
        <v/>
      </c>
      <c r="BB42" s="18">
        <f>Debt!BB103</f>
        <v/>
      </c>
      <c r="BC42" s="18">
        <f>Debt!BC103</f>
        <v/>
      </c>
      <c r="BD42" s="18">
        <f>Debt!BD103</f>
        <v/>
      </c>
      <c r="BE42" s="18">
        <f>Debt!BE103</f>
        <v/>
      </c>
      <c r="BF42" s="18">
        <f>Debt!BF103</f>
        <v/>
      </c>
      <c r="BG42" s="18">
        <f>Debt!BG103</f>
        <v/>
      </c>
      <c r="BH42" s="18">
        <f>Debt!BH103</f>
        <v/>
      </c>
      <c r="BI42" s="18">
        <f>Debt!BI103</f>
        <v/>
      </c>
      <c r="BJ42" s="18">
        <f>Debt!BJ103</f>
        <v/>
      </c>
      <c r="BK42" s="18">
        <f>Debt!BK103</f>
        <v/>
      </c>
      <c r="BL42" s="18">
        <f>Debt!BL103</f>
        <v/>
      </c>
      <c r="BM42" s="18">
        <f>Debt!BM103</f>
        <v/>
      </c>
      <c r="BN42" s="18">
        <f>Debt!BN103</f>
        <v/>
      </c>
    </row>
    <row r="43">
      <c r="D43" t="inlineStr">
        <is>
          <t>Cash sweeps (lock-up and soft mini-perm)</t>
        </is>
      </c>
      <c r="E43" t="inlineStr">
        <is>
          <t>USD m</t>
        </is>
      </c>
      <c r="G43" s="13">
        <f>SUM(J43:BN43)</f>
        <v/>
      </c>
      <c r="J43" s="13">
        <f>-(Waterfall!J28+Waterfall!J29)</f>
        <v/>
      </c>
      <c r="K43" s="13">
        <f>-(Waterfall!K28+Waterfall!K29)</f>
        <v/>
      </c>
      <c r="L43" s="13">
        <f>-(Waterfall!L28+Waterfall!L29)</f>
        <v/>
      </c>
      <c r="M43" s="13">
        <f>-(Waterfall!M28+Waterfall!M29)</f>
        <v/>
      </c>
      <c r="N43" s="13">
        <f>-(Waterfall!N28+Waterfall!N29)</f>
        <v/>
      </c>
      <c r="O43" s="13">
        <f>-(Waterfall!O28+Waterfall!O29)</f>
        <v/>
      </c>
      <c r="P43" s="13">
        <f>-(Waterfall!P28+Waterfall!P29)</f>
        <v/>
      </c>
      <c r="Q43" s="13">
        <f>-(Waterfall!Q28+Waterfall!Q29)</f>
        <v/>
      </c>
      <c r="R43" s="13">
        <f>-(Waterfall!R28+Waterfall!R29)</f>
        <v/>
      </c>
      <c r="S43" s="13">
        <f>-(Waterfall!S28+Waterfall!S29)</f>
        <v/>
      </c>
      <c r="T43" s="13">
        <f>-(Waterfall!T28+Waterfall!T29)</f>
        <v/>
      </c>
      <c r="U43" s="13">
        <f>-(Waterfall!U28+Waterfall!U29)</f>
        <v/>
      </c>
      <c r="V43" s="13">
        <f>-(Waterfall!V28+Waterfall!V29)</f>
        <v/>
      </c>
      <c r="W43" s="13">
        <f>-(Waterfall!W28+Waterfall!W29)</f>
        <v/>
      </c>
      <c r="X43" s="13">
        <f>-(Waterfall!X28+Waterfall!X29)</f>
        <v/>
      </c>
      <c r="Y43" s="13">
        <f>-(Waterfall!Y28+Waterfall!Y29)</f>
        <v/>
      </c>
      <c r="Z43" s="13">
        <f>-(Waterfall!Z28+Waterfall!Z29)</f>
        <v/>
      </c>
      <c r="AA43" s="13">
        <f>-(Waterfall!AA28+Waterfall!AA29)</f>
        <v/>
      </c>
      <c r="AB43" s="13">
        <f>-(Waterfall!AB28+Waterfall!AB29)</f>
        <v/>
      </c>
      <c r="AC43" s="13">
        <f>-(Waterfall!AC28+Waterfall!AC29)</f>
        <v/>
      </c>
      <c r="AD43" s="13">
        <f>-(Waterfall!AD28+Waterfall!AD29)</f>
        <v/>
      </c>
      <c r="AE43" s="13">
        <f>-(Waterfall!AE28+Waterfall!AE29)</f>
        <v/>
      </c>
      <c r="AF43" s="13">
        <f>-(Waterfall!AF28+Waterfall!AF29)</f>
        <v/>
      </c>
      <c r="AG43" s="13">
        <f>-(Waterfall!AG28+Waterfall!AG29)</f>
        <v/>
      </c>
      <c r="AH43" s="13">
        <f>-(Waterfall!AH28+Waterfall!AH29)</f>
        <v/>
      </c>
      <c r="AI43" s="13">
        <f>-(Waterfall!AI28+Waterfall!AI29)</f>
        <v/>
      </c>
      <c r="AJ43" s="13">
        <f>-(Waterfall!AJ28+Waterfall!AJ29)</f>
        <v/>
      </c>
      <c r="AK43" s="13">
        <f>-(Waterfall!AK28+Waterfall!AK29)</f>
        <v/>
      </c>
      <c r="AL43" s="13">
        <f>-(Waterfall!AL28+Waterfall!AL29)</f>
        <v/>
      </c>
      <c r="AM43" s="13">
        <f>-(Waterfall!AM28+Waterfall!AM29)</f>
        <v/>
      </c>
      <c r="AN43" s="13">
        <f>-(Waterfall!AN28+Waterfall!AN29)</f>
        <v/>
      </c>
      <c r="AO43" s="13">
        <f>-(Waterfall!AO28+Waterfall!AO29)</f>
        <v/>
      </c>
      <c r="AP43" s="13">
        <f>-(Waterfall!AP28+Waterfall!AP29)</f>
        <v/>
      </c>
      <c r="AQ43" s="13">
        <f>-(Waterfall!AQ28+Waterfall!AQ29)</f>
        <v/>
      </c>
      <c r="AR43" s="13">
        <f>-(Waterfall!AR28+Waterfall!AR29)</f>
        <v/>
      </c>
      <c r="AS43" s="13">
        <f>-(Waterfall!AS28+Waterfall!AS29)</f>
        <v/>
      </c>
      <c r="AT43" s="13">
        <f>-(Waterfall!AT28+Waterfall!AT29)</f>
        <v/>
      </c>
      <c r="AU43" s="13">
        <f>-(Waterfall!AU28+Waterfall!AU29)</f>
        <v/>
      </c>
      <c r="AV43" s="13">
        <f>-(Waterfall!AV28+Waterfall!AV29)</f>
        <v/>
      </c>
      <c r="AW43" s="13">
        <f>-(Waterfall!AW28+Waterfall!AW29)</f>
        <v/>
      </c>
      <c r="AX43" s="13">
        <f>-(Waterfall!AX28+Waterfall!AX29)</f>
        <v/>
      </c>
      <c r="AY43" s="13">
        <f>-(Waterfall!AY28+Waterfall!AY29)</f>
        <v/>
      </c>
      <c r="AZ43" s="13">
        <f>-(Waterfall!AZ28+Waterfall!AZ29)</f>
        <v/>
      </c>
      <c r="BA43" s="13">
        <f>-(Waterfall!BA28+Waterfall!BA29)</f>
        <v/>
      </c>
      <c r="BB43" s="13">
        <f>-(Waterfall!BB28+Waterfall!BB29)</f>
        <v/>
      </c>
      <c r="BC43" s="13">
        <f>-(Waterfall!BC28+Waterfall!BC29)</f>
        <v/>
      </c>
      <c r="BD43" s="13">
        <f>-(Waterfall!BD28+Waterfall!BD29)</f>
        <v/>
      </c>
      <c r="BE43" s="13">
        <f>-(Waterfall!BE28+Waterfall!BE29)</f>
        <v/>
      </c>
      <c r="BF43" s="13">
        <f>-(Waterfall!BF28+Waterfall!BF29)</f>
        <v/>
      </c>
      <c r="BG43" s="13">
        <f>-(Waterfall!BG28+Waterfall!BG29)</f>
        <v/>
      </c>
      <c r="BH43" s="13">
        <f>-(Waterfall!BH28+Waterfall!BH29)</f>
        <v/>
      </c>
      <c r="BI43" s="13">
        <f>-(Waterfall!BI28+Waterfall!BI29)</f>
        <v/>
      </c>
      <c r="BJ43" s="13">
        <f>-(Waterfall!BJ28+Waterfall!BJ29)</f>
        <v/>
      </c>
      <c r="BK43" s="13">
        <f>-(Waterfall!BK28+Waterfall!BK29)</f>
        <v/>
      </c>
      <c r="BL43" s="13">
        <f>-(Waterfall!BL28+Waterfall!BL29)</f>
        <v/>
      </c>
      <c r="BM43" s="13">
        <f>-(Waterfall!BM28+Waterfall!BM29)</f>
        <v/>
      </c>
      <c r="BN43" s="13">
        <f>-(Waterfall!BN28+Waterfall!BN29)</f>
        <v/>
      </c>
    </row>
    <row r="44">
      <c r="D44" t="inlineStr">
        <is>
          <t>Shareholder loan interest and principal paid</t>
        </is>
      </c>
      <c r="E44" t="inlineStr">
        <is>
          <t>USD m</t>
        </is>
      </c>
      <c r="G44" s="13">
        <f>SUM(J44:BN44)</f>
        <v/>
      </c>
      <c r="J44" s="13">
        <f>-(Waterfall!J34+Waterfall!J35)</f>
        <v/>
      </c>
      <c r="K44" s="13">
        <f>-(Waterfall!K34+Waterfall!K35)</f>
        <v/>
      </c>
      <c r="L44" s="13">
        <f>-(Waterfall!L34+Waterfall!L35)</f>
        <v/>
      </c>
      <c r="M44" s="13">
        <f>-(Waterfall!M34+Waterfall!M35)</f>
        <v/>
      </c>
      <c r="N44" s="13">
        <f>-(Waterfall!N34+Waterfall!N35)</f>
        <v/>
      </c>
      <c r="O44" s="13">
        <f>-(Waterfall!O34+Waterfall!O35)</f>
        <v/>
      </c>
      <c r="P44" s="13">
        <f>-(Waterfall!P34+Waterfall!P35)</f>
        <v/>
      </c>
      <c r="Q44" s="13">
        <f>-(Waterfall!Q34+Waterfall!Q35)</f>
        <v/>
      </c>
      <c r="R44" s="13">
        <f>-(Waterfall!R34+Waterfall!R35)</f>
        <v/>
      </c>
      <c r="S44" s="13">
        <f>-(Waterfall!S34+Waterfall!S35)</f>
        <v/>
      </c>
      <c r="T44" s="13">
        <f>-(Waterfall!T34+Waterfall!T35)</f>
        <v/>
      </c>
      <c r="U44" s="13">
        <f>-(Waterfall!U34+Waterfall!U35)</f>
        <v/>
      </c>
      <c r="V44" s="13">
        <f>-(Waterfall!V34+Waterfall!V35)</f>
        <v/>
      </c>
      <c r="W44" s="13">
        <f>-(Waterfall!W34+Waterfall!W35)</f>
        <v/>
      </c>
      <c r="X44" s="13">
        <f>-(Waterfall!X34+Waterfall!X35)</f>
        <v/>
      </c>
      <c r="Y44" s="13">
        <f>-(Waterfall!Y34+Waterfall!Y35)</f>
        <v/>
      </c>
      <c r="Z44" s="13">
        <f>-(Waterfall!Z34+Waterfall!Z35)</f>
        <v/>
      </c>
      <c r="AA44" s="13">
        <f>-(Waterfall!AA34+Waterfall!AA35)</f>
        <v/>
      </c>
      <c r="AB44" s="13">
        <f>-(Waterfall!AB34+Waterfall!AB35)</f>
        <v/>
      </c>
      <c r="AC44" s="13">
        <f>-(Waterfall!AC34+Waterfall!AC35)</f>
        <v/>
      </c>
      <c r="AD44" s="13">
        <f>-(Waterfall!AD34+Waterfall!AD35)</f>
        <v/>
      </c>
      <c r="AE44" s="13">
        <f>-(Waterfall!AE34+Waterfall!AE35)</f>
        <v/>
      </c>
      <c r="AF44" s="13">
        <f>-(Waterfall!AF34+Waterfall!AF35)</f>
        <v/>
      </c>
      <c r="AG44" s="13">
        <f>-(Waterfall!AG34+Waterfall!AG35)</f>
        <v/>
      </c>
      <c r="AH44" s="13">
        <f>-(Waterfall!AH34+Waterfall!AH35)</f>
        <v/>
      </c>
      <c r="AI44" s="13">
        <f>-(Waterfall!AI34+Waterfall!AI35)</f>
        <v/>
      </c>
      <c r="AJ44" s="13">
        <f>-(Waterfall!AJ34+Waterfall!AJ35)</f>
        <v/>
      </c>
      <c r="AK44" s="13">
        <f>-(Waterfall!AK34+Waterfall!AK35)</f>
        <v/>
      </c>
      <c r="AL44" s="13">
        <f>-(Waterfall!AL34+Waterfall!AL35)</f>
        <v/>
      </c>
      <c r="AM44" s="13">
        <f>-(Waterfall!AM34+Waterfall!AM35)</f>
        <v/>
      </c>
      <c r="AN44" s="13">
        <f>-(Waterfall!AN34+Waterfall!AN35)</f>
        <v/>
      </c>
      <c r="AO44" s="13">
        <f>-(Waterfall!AO34+Waterfall!AO35)</f>
        <v/>
      </c>
      <c r="AP44" s="13">
        <f>-(Waterfall!AP34+Waterfall!AP35)</f>
        <v/>
      </c>
      <c r="AQ44" s="13">
        <f>-(Waterfall!AQ34+Waterfall!AQ35)</f>
        <v/>
      </c>
      <c r="AR44" s="13">
        <f>-(Waterfall!AR34+Waterfall!AR35)</f>
        <v/>
      </c>
      <c r="AS44" s="13">
        <f>-(Waterfall!AS34+Waterfall!AS35)</f>
        <v/>
      </c>
      <c r="AT44" s="13">
        <f>-(Waterfall!AT34+Waterfall!AT35)</f>
        <v/>
      </c>
      <c r="AU44" s="13">
        <f>-(Waterfall!AU34+Waterfall!AU35)</f>
        <v/>
      </c>
      <c r="AV44" s="13">
        <f>-(Waterfall!AV34+Waterfall!AV35)</f>
        <v/>
      </c>
      <c r="AW44" s="13">
        <f>-(Waterfall!AW34+Waterfall!AW35)</f>
        <v/>
      </c>
      <c r="AX44" s="13">
        <f>-(Waterfall!AX34+Waterfall!AX35)</f>
        <v/>
      </c>
      <c r="AY44" s="13">
        <f>-(Waterfall!AY34+Waterfall!AY35)</f>
        <v/>
      </c>
      <c r="AZ44" s="13">
        <f>-(Waterfall!AZ34+Waterfall!AZ35)</f>
        <v/>
      </c>
      <c r="BA44" s="13">
        <f>-(Waterfall!BA34+Waterfall!BA35)</f>
        <v/>
      </c>
      <c r="BB44" s="13">
        <f>-(Waterfall!BB34+Waterfall!BB35)</f>
        <v/>
      </c>
      <c r="BC44" s="13">
        <f>-(Waterfall!BC34+Waterfall!BC35)</f>
        <v/>
      </c>
      <c r="BD44" s="13">
        <f>-(Waterfall!BD34+Waterfall!BD35)</f>
        <v/>
      </c>
      <c r="BE44" s="13">
        <f>-(Waterfall!BE34+Waterfall!BE35)</f>
        <v/>
      </c>
      <c r="BF44" s="13">
        <f>-(Waterfall!BF34+Waterfall!BF35)</f>
        <v/>
      </c>
      <c r="BG44" s="13">
        <f>-(Waterfall!BG34+Waterfall!BG35)</f>
        <v/>
      </c>
      <c r="BH44" s="13">
        <f>-(Waterfall!BH34+Waterfall!BH35)</f>
        <v/>
      </c>
      <c r="BI44" s="13">
        <f>-(Waterfall!BI34+Waterfall!BI35)</f>
        <v/>
      </c>
      <c r="BJ44" s="13">
        <f>-(Waterfall!BJ34+Waterfall!BJ35)</f>
        <v/>
      </c>
      <c r="BK44" s="13">
        <f>-(Waterfall!BK34+Waterfall!BK35)</f>
        <v/>
      </c>
      <c r="BL44" s="13">
        <f>-(Waterfall!BL34+Waterfall!BL35)</f>
        <v/>
      </c>
      <c r="BM44" s="13">
        <f>-(Waterfall!BM34+Waterfall!BM35)</f>
        <v/>
      </c>
      <c r="BN44" s="13">
        <f>-(Waterfall!BN34+Waterfall!BN35)</f>
        <v/>
      </c>
    </row>
    <row r="45">
      <c r="D45" t="inlineStr">
        <is>
          <t>Dividends</t>
        </is>
      </c>
      <c r="E45" t="inlineStr">
        <is>
          <t>USD m</t>
        </is>
      </c>
      <c r="G45" s="13">
        <f>SUM(J45:BN45)</f>
        <v/>
      </c>
      <c r="J45" s="13">
        <f>-Waterfall!J41</f>
        <v/>
      </c>
      <c r="K45" s="13">
        <f>-Waterfall!K41</f>
        <v/>
      </c>
      <c r="L45" s="13">
        <f>-Waterfall!L41</f>
        <v/>
      </c>
      <c r="M45" s="13">
        <f>-Waterfall!M41</f>
        <v/>
      </c>
      <c r="N45" s="13">
        <f>-Waterfall!N41</f>
        <v/>
      </c>
      <c r="O45" s="13">
        <f>-Waterfall!O41</f>
        <v/>
      </c>
      <c r="P45" s="13">
        <f>-Waterfall!P41</f>
        <v/>
      </c>
      <c r="Q45" s="13">
        <f>-Waterfall!Q41</f>
        <v/>
      </c>
      <c r="R45" s="13">
        <f>-Waterfall!R41</f>
        <v/>
      </c>
      <c r="S45" s="13">
        <f>-Waterfall!S41</f>
        <v/>
      </c>
      <c r="T45" s="13">
        <f>-Waterfall!T41</f>
        <v/>
      </c>
      <c r="U45" s="13">
        <f>-Waterfall!U41</f>
        <v/>
      </c>
      <c r="V45" s="13">
        <f>-Waterfall!V41</f>
        <v/>
      </c>
      <c r="W45" s="13">
        <f>-Waterfall!W41</f>
        <v/>
      </c>
      <c r="X45" s="13">
        <f>-Waterfall!X41</f>
        <v/>
      </c>
      <c r="Y45" s="13">
        <f>-Waterfall!Y41</f>
        <v/>
      </c>
      <c r="Z45" s="13">
        <f>-Waterfall!Z41</f>
        <v/>
      </c>
      <c r="AA45" s="13">
        <f>-Waterfall!AA41</f>
        <v/>
      </c>
      <c r="AB45" s="13">
        <f>-Waterfall!AB41</f>
        <v/>
      </c>
      <c r="AC45" s="13">
        <f>-Waterfall!AC41</f>
        <v/>
      </c>
      <c r="AD45" s="13">
        <f>-Waterfall!AD41</f>
        <v/>
      </c>
      <c r="AE45" s="13">
        <f>-Waterfall!AE41</f>
        <v/>
      </c>
      <c r="AF45" s="13">
        <f>-Waterfall!AF41</f>
        <v/>
      </c>
      <c r="AG45" s="13">
        <f>-Waterfall!AG41</f>
        <v/>
      </c>
      <c r="AH45" s="13">
        <f>-Waterfall!AH41</f>
        <v/>
      </c>
      <c r="AI45" s="13">
        <f>-Waterfall!AI41</f>
        <v/>
      </c>
      <c r="AJ45" s="13">
        <f>-Waterfall!AJ41</f>
        <v/>
      </c>
      <c r="AK45" s="13">
        <f>-Waterfall!AK41</f>
        <v/>
      </c>
      <c r="AL45" s="13">
        <f>-Waterfall!AL41</f>
        <v/>
      </c>
      <c r="AM45" s="13">
        <f>-Waterfall!AM41</f>
        <v/>
      </c>
      <c r="AN45" s="13">
        <f>-Waterfall!AN41</f>
        <v/>
      </c>
      <c r="AO45" s="13">
        <f>-Waterfall!AO41</f>
        <v/>
      </c>
      <c r="AP45" s="13">
        <f>-Waterfall!AP41</f>
        <v/>
      </c>
      <c r="AQ45" s="13">
        <f>-Waterfall!AQ41</f>
        <v/>
      </c>
      <c r="AR45" s="13">
        <f>-Waterfall!AR41</f>
        <v/>
      </c>
      <c r="AS45" s="13">
        <f>-Waterfall!AS41</f>
        <v/>
      </c>
      <c r="AT45" s="13">
        <f>-Waterfall!AT41</f>
        <v/>
      </c>
      <c r="AU45" s="13">
        <f>-Waterfall!AU41</f>
        <v/>
      </c>
      <c r="AV45" s="13">
        <f>-Waterfall!AV41</f>
        <v/>
      </c>
      <c r="AW45" s="13">
        <f>-Waterfall!AW41</f>
        <v/>
      </c>
      <c r="AX45" s="13">
        <f>-Waterfall!AX41</f>
        <v/>
      </c>
      <c r="AY45" s="13">
        <f>-Waterfall!AY41</f>
        <v/>
      </c>
      <c r="AZ45" s="13">
        <f>-Waterfall!AZ41</f>
        <v/>
      </c>
      <c r="BA45" s="13">
        <f>-Waterfall!BA41</f>
        <v/>
      </c>
      <c r="BB45" s="13">
        <f>-Waterfall!BB41</f>
        <v/>
      </c>
      <c r="BC45" s="13">
        <f>-Waterfall!BC41</f>
        <v/>
      </c>
      <c r="BD45" s="13">
        <f>-Waterfall!BD41</f>
        <v/>
      </c>
      <c r="BE45" s="13">
        <f>-Waterfall!BE41</f>
        <v/>
      </c>
      <c r="BF45" s="13">
        <f>-Waterfall!BF41</f>
        <v/>
      </c>
      <c r="BG45" s="13">
        <f>-Waterfall!BG41</f>
        <v/>
      </c>
      <c r="BH45" s="13">
        <f>-Waterfall!BH41</f>
        <v/>
      </c>
      <c r="BI45" s="13">
        <f>-Waterfall!BI41</f>
        <v/>
      </c>
      <c r="BJ45" s="13">
        <f>-Waterfall!BJ41</f>
        <v/>
      </c>
      <c r="BK45" s="13">
        <f>-Waterfall!BK41</f>
        <v/>
      </c>
      <c r="BL45" s="13">
        <f>-Waterfall!BL41</f>
        <v/>
      </c>
      <c r="BM45" s="13">
        <f>-Waterfall!BM41</f>
        <v/>
      </c>
      <c r="BN45" s="13">
        <f>-Waterfall!BN41</f>
        <v/>
      </c>
    </row>
    <row r="46">
      <c r="D46" t="inlineStr">
        <is>
          <t>DSRA initial funding from the construction budget (COD period)</t>
        </is>
      </c>
      <c r="E46" t="inlineStr">
        <is>
          <t>USD m</t>
        </is>
      </c>
      <c r="G46" s="13">
        <f>SUM(J46:BN46)</f>
        <v/>
      </c>
      <c r="J46" s="13">
        <f>Time!J34*SUM(Funding!$J$44:$BJ$44)</f>
        <v/>
      </c>
      <c r="K46" s="13">
        <f>Time!K34*SUM(Funding!$J$44:$BJ$44)</f>
        <v/>
      </c>
      <c r="L46" s="13">
        <f>Time!L34*SUM(Funding!$J$44:$BJ$44)</f>
        <v/>
      </c>
      <c r="M46" s="13">
        <f>Time!M34*SUM(Funding!$J$44:$BJ$44)</f>
        <v/>
      </c>
      <c r="N46" s="13">
        <f>Time!N34*SUM(Funding!$J$44:$BJ$44)</f>
        <v/>
      </c>
      <c r="O46" s="13">
        <f>Time!O34*SUM(Funding!$J$44:$BJ$44)</f>
        <v/>
      </c>
      <c r="P46" s="13">
        <f>Time!P34*SUM(Funding!$J$44:$BJ$44)</f>
        <v/>
      </c>
      <c r="Q46" s="13">
        <f>Time!Q34*SUM(Funding!$J$44:$BJ$44)</f>
        <v/>
      </c>
      <c r="R46" s="13">
        <f>Time!R34*SUM(Funding!$J$44:$BJ$44)</f>
        <v/>
      </c>
      <c r="S46" s="13">
        <f>Time!S34*SUM(Funding!$J$44:$BJ$44)</f>
        <v/>
      </c>
      <c r="T46" s="13">
        <f>Time!T34*SUM(Funding!$J$44:$BJ$44)</f>
        <v/>
      </c>
      <c r="U46" s="13">
        <f>Time!U34*SUM(Funding!$J$44:$BJ$44)</f>
        <v/>
      </c>
      <c r="V46" s="13">
        <f>Time!V34*SUM(Funding!$J$44:$BJ$44)</f>
        <v/>
      </c>
      <c r="W46" s="13">
        <f>Time!W34*SUM(Funding!$J$44:$BJ$44)</f>
        <v/>
      </c>
      <c r="X46" s="13">
        <f>Time!X34*SUM(Funding!$J$44:$BJ$44)</f>
        <v/>
      </c>
      <c r="Y46" s="13">
        <f>Time!Y34*SUM(Funding!$J$44:$BJ$44)</f>
        <v/>
      </c>
      <c r="Z46" s="13">
        <f>Time!Z34*SUM(Funding!$J$44:$BJ$44)</f>
        <v/>
      </c>
      <c r="AA46" s="13">
        <f>Time!AA34*SUM(Funding!$J$44:$BJ$44)</f>
        <v/>
      </c>
      <c r="AB46" s="13">
        <f>Time!AB34*SUM(Funding!$J$44:$BJ$44)</f>
        <v/>
      </c>
      <c r="AC46" s="13">
        <f>Time!AC34*SUM(Funding!$J$44:$BJ$44)</f>
        <v/>
      </c>
      <c r="AD46" s="13">
        <f>Time!AD34*SUM(Funding!$J$44:$BJ$44)</f>
        <v/>
      </c>
      <c r="AE46" s="13">
        <f>Time!AE34*SUM(Funding!$J$44:$BJ$44)</f>
        <v/>
      </c>
      <c r="AF46" s="13">
        <f>Time!AF34*SUM(Funding!$J$44:$BJ$44)</f>
        <v/>
      </c>
      <c r="AG46" s="13">
        <f>Time!AG34*SUM(Funding!$J$44:$BJ$44)</f>
        <v/>
      </c>
      <c r="AH46" s="13">
        <f>Time!AH34*SUM(Funding!$J$44:$BJ$44)</f>
        <v/>
      </c>
      <c r="AI46" s="13">
        <f>Time!AI34*SUM(Funding!$J$44:$BJ$44)</f>
        <v/>
      </c>
      <c r="AJ46" s="13">
        <f>Time!AJ34*SUM(Funding!$J$44:$BJ$44)</f>
        <v/>
      </c>
      <c r="AK46" s="13">
        <f>Time!AK34*SUM(Funding!$J$44:$BJ$44)</f>
        <v/>
      </c>
      <c r="AL46" s="13">
        <f>Time!AL34*SUM(Funding!$J$44:$BJ$44)</f>
        <v/>
      </c>
      <c r="AM46" s="13">
        <f>Time!AM34*SUM(Funding!$J$44:$BJ$44)</f>
        <v/>
      </c>
      <c r="AN46" s="13">
        <f>Time!AN34*SUM(Funding!$J$44:$BJ$44)</f>
        <v/>
      </c>
      <c r="AO46" s="13">
        <f>Time!AO34*SUM(Funding!$J$44:$BJ$44)</f>
        <v/>
      </c>
      <c r="AP46" s="13">
        <f>Time!AP34*SUM(Funding!$J$44:$BJ$44)</f>
        <v/>
      </c>
      <c r="AQ46" s="13">
        <f>Time!AQ34*SUM(Funding!$J$44:$BJ$44)</f>
        <v/>
      </c>
      <c r="AR46" s="13">
        <f>Time!AR34*SUM(Funding!$J$44:$BJ$44)</f>
        <v/>
      </c>
      <c r="AS46" s="13">
        <f>Time!AS34*SUM(Funding!$J$44:$BJ$44)</f>
        <v/>
      </c>
      <c r="AT46" s="13">
        <f>Time!AT34*SUM(Funding!$J$44:$BJ$44)</f>
        <v/>
      </c>
      <c r="AU46" s="13">
        <f>Time!AU34*SUM(Funding!$J$44:$BJ$44)</f>
        <v/>
      </c>
      <c r="AV46" s="13">
        <f>Time!AV34*SUM(Funding!$J$44:$BJ$44)</f>
        <v/>
      </c>
      <c r="AW46" s="13">
        <f>Time!AW34*SUM(Funding!$J$44:$BJ$44)</f>
        <v/>
      </c>
      <c r="AX46" s="13">
        <f>Time!AX34*SUM(Funding!$J$44:$BJ$44)</f>
        <v/>
      </c>
      <c r="AY46" s="13">
        <f>Time!AY34*SUM(Funding!$J$44:$BJ$44)</f>
        <v/>
      </c>
      <c r="AZ46" s="13">
        <f>Time!AZ34*SUM(Funding!$J$44:$BJ$44)</f>
        <v/>
      </c>
      <c r="BA46" s="13">
        <f>Time!BA34*SUM(Funding!$J$44:$BJ$44)</f>
        <v/>
      </c>
      <c r="BB46" s="13">
        <f>Time!BB34*SUM(Funding!$J$44:$BJ$44)</f>
        <v/>
      </c>
      <c r="BC46" s="13">
        <f>Time!BC34*SUM(Funding!$J$44:$BJ$44)</f>
        <v/>
      </c>
      <c r="BD46" s="13">
        <f>Time!BD34*SUM(Funding!$J$44:$BJ$44)</f>
        <v/>
      </c>
      <c r="BE46" s="13">
        <f>Time!BE34*SUM(Funding!$J$44:$BJ$44)</f>
        <v/>
      </c>
      <c r="BF46" s="13">
        <f>Time!BF34*SUM(Funding!$J$44:$BJ$44)</f>
        <v/>
      </c>
      <c r="BG46" s="13">
        <f>Time!BG34*SUM(Funding!$J$44:$BJ$44)</f>
        <v/>
      </c>
      <c r="BH46" s="13">
        <f>Time!BH34*SUM(Funding!$J$44:$BJ$44)</f>
        <v/>
      </c>
      <c r="BI46" s="13">
        <f>Time!BI34*SUM(Funding!$J$44:$BJ$44)</f>
        <v/>
      </c>
      <c r="BJ46" s="13">
        <f>Time!BJ34*SUM(Funding!$J$44:$BJ$44)</f>
        <v/>
      </c>
      <c r="BK46" s="13">
        <f>Time!BK34*SUM(Funding!$J$44:$BJ$44)</f>
        <v/>
      </c>
      <c r="BL46" s="13">
        <f>Time!BL34*SUM(Funding!$J$44:$BJ$44)</f>
        <v/>
      </c>
      <c r="BM46" s="13">
        <f>Time!BM34*SUM(Funding!$J$44:$BJ$44)</f>
        <v/>
      </c>
      <c r="BN46" s="13">
        <f>Time!BN34*SUM(Funding!$J$44:$BJ$44)</f>
        <v/>
      </c>
    </row>
    <row r="47">
      <c r="D47" t="inlineStr">
        <is>
          <t>Construction: delay LDs and DSU received less applied to uses</t>
        </is>
      </c>
      <c r="E47" t="inlineStr">
        <is>
          <t>USD m</t>
        </is>
      </c>
      <c r="G47" s="13">
        <f>SUM(J47:BN47)</f>
        <v/>
      </c>
      <c r="J47" s="13">
        <f>SUMIFS(Funding!$J$52:$BJ$52,Construction!$J$12:$BJ$12,Time!J20)-SUMIFS(Funding!$J$53:$BJ$53,Construction!$J$12:$BJ$12,Time!J20)</f>
        <v/>
      </c>
      <c r="K47" s="13">
        <f>SUMIFS(Funding!$J$52:$BJ$52,Construction!$J$12:$BJ$12,Time!K20)-SUMIFS(Funding!$J$53:$BJ$53,Construction!$J$12:$BJ$12,Time!K20)</f>
        <v/>
      </c>
      <c r="L47" s="13">
        <f>SUMIFS(Funding!$J$52:$BJ$52,Construction!$J$12:$BJ$12,Time!L20)-SUMIFS(Funding!$J$53:$BJ$53,Construction!$J$12:$BJ$12,Time!L20)</f>
        <v/>
      </c>
      <c r="M47" s="13">
        <f>SUMIFS(Funding!$J$52:$BJ$52,Construction!$J$12:$BJ$12,Time!M20)-SUMIFS(Funding!$J$53:$BJ$53,Construction!$J$12:$BJ$12,Time!M20)</f>
        <v/>
      </c>
      <c r="N47" s="13">
        <f>SUMIFS(Funding!$J$52:$BJ$52,Construction!$J$12:$BJ$12,Time!N20)-SUMIFS(Funding!$J$53:$BJ$53,Construction!$J$12:$BJ$12,Time!N20)</f>
        <v/>
      </c>
      <c r="O47" s="13">
        <f>SUMIFS(Funding!$J$52:$BJ$52,Construction!$J$12:$BJ$12,Time!O20)-SUMIFS(Funding!$J$53:$BJ$53,Construction!$J$12:$BJ$12,Time!O20)</f>
        <v/>
      </c>
      <c r="P47" s="13">
        <f>SUMIFS(Funding!$J$52:$BJ$52,Construction!$J$12:$BJ$12,Time!P20)-SUMIFS(Funding!$J$53:$BJ$53,Construction!$J$12:$BJ$12,Time!P20)</f>
        <v/>
      </c>
      <c r="Q47" s="13">
        <f>SUMIFS(Funding!$J$52:$BJ$52,Construction!$J$12:$BJ$12,Time!Q20)-SUMIFS(Funding!$J$53:$BJ$53,Construction!$J$12:$BJ$12,Time!Q20)</f>
        <v/>
      </c>
      <c r="R47" s="13">
        <f>SUMIFS(Funding!$J$52:$BJ$52,Construction!$J$12:$BJ$12,Time!R20)-SUMIFS(Funding!$J$53:$BJ$53,Construction!$J$12:$BJ$12,Time!R20)</f>
        <v/>
      </c>
      <c r="S47" s="13">
        <f>SUMIFS(Funding!$J$52:$BJ$52,Construction!$J$12:$BJ$12,Time!S20)-SUMIFS(Funding!$J$53:$BJ$53,Construction!$J$12:$BJ$12,Time!S20)</f>
        <v/>
      </c>
      <c r="T47" s="13">
        <f>SUMIFS(Funding!$J$52:$BJ$52,Construction!$J$12:$BJ$12,Time!T20)-SUMIFS(Funding!$J$53:$BJ$53,Construction!$J$12:$BJ$12,Time!T20)</f>
        <v/>
      </c>
      <c r="U47" s="13">
        <f>SUMIFS(Funding!$J$52:$BJ$52,Construction!$J$12:$BJ$12,Time!U20)-SUMIFS(Funding!$J$53:$BJ$53,Construction!$J$12:$BJ$12,Time!U20)</f>
        <v/>
      </c>
      <c r="V47" s="13">
        <f>SUMIFS(Funding!$J$52:$BJ$52,Construction!$J$12:$BJ$12,Time!V20)-SUMIFS(Funding!$J$53:$BJ$53,Construction!$J$12:$BJ$12,Time!V20)</f>
        <v/>
      </c>
      <c r="W47" s="13">
        <f>SUMIFS(Funding!$J$52:$BJ$52,Construction!$J$12:$BJ$12,Time!W20)-SUMIFS(Funding!$J$53:$BJ$53,Construction!$J$12:$BJ$12,Time!W20)</f>
        <v/>
      </c>
      <c r="X47" s="13">
        <f>SUMIFS(Funding!$J$52:$BJ$52,Construction!$J$12:$BJ$12,Time!X20)-SUMIFS(Funding!$J$53:$BJ$53,Construction!$J$12:$BJ$12,Time!X20)</f>
        <v/>
      </c>
      <c r="Y47" s="13">
        <f>SUMIFS(Funding!$J$52:$BJ$52,Construction!$J$12:$BJ$12,Time!Y20)-SUMIFS(Funding!$J$53:$BJ$53,Construction!$J$12:$BJ$12,Time!Y20)</f>
        <v/>
      </c>
      <c r="Z47" s="13">
        <f>SUMIFS(Funding!$J$52:$BJ$52,Construction!$J$12:$BJ$12,Time!Z20)-SUMIFS(Funding!$J$53:$BJ$53,Construction!$J$12:$BJ$12,Time!Z20)</f>
        <v/>
      </c>
      <c r="AA47" s="13">
        <f>SUMIFS(Funding!$J$52:$BJ$52,Construction!$J$12:$BJ$12,Time!AA20)-SUMIFS(Funding!$J$53:$BJ$53,Construction!$J$12:$BJ$12,Time!AA20)</f>
        <v/>
      </c>
      <c r="AB47" s="13">
        <f>SUMIFS(Funding!$J$52:$BJ$52,Construction!$J$12:$BJ$12,Time!AB20)-SUMIFS(Funding!$J$53:$BJ$53,Construction!$J$12:$BJ$12,Time!AB20)</f>
        <v/>
      </c>
      <c r="AC47" s="13">
        <f>SUMIFS(Funding!$J$52:$BJ$52,Construction!$J$12:$BJ$12,Time!AC20)-SUMIFS(Funding!$J$53:$BJ$53,Construction!$J$12:$BJ$12,Time!AC20)</f>
        <v/>
      </c>
      <c r="AD47" s="13">
        <f>SUMIFS(Funding!$J$52:$BJ$52,Construction!$J$12:$BJ$12,Time!AD20)-SUMIFS(Funding!$J$53:$BJ$53,Construction!$J$12:$BJ$12,Time!AD20)</f>
        <v/>
      </c>
      <c r="AE47" s="13">
        <f>SUMIFS(Funding!$J$52:$BJ$52,Construction!$J$12:$BJ$12,Time!AE20)-SUMIFS(Funding!$J$53:$BJ$53,Construction!$J$12:$BJ$12,Time!AE20)</f>
        <v/>
      </c>
      <c r="AF47" s="13">
        <f>SUMIFS(Funding!$J$52:$BJ$52,Construction!$J$12:$BJ$12,Time!AF20)-SUMIFS(Funding!$J$53:$BJ$53,Construction!$J$12:$BJ$12,Time!AF20)</f>
        <v/>
      </c>
      <c r="AG47" s="13">
        <f>SUMIFS(Funding!$J$52:$BJ$52,Construction!$J$12:$BJ$12,Time!AG20)-SUMIFS(Funding!$J$53:$BJ$53,Construction!$J$12:$BJ$12,Time!AG20)</f>
        <v/>
      </c>
      <c r="AH47" s="13">
        <f>SUMIFS(Funding!$J$52:$BJ$52,Construction!$J$12:$BJ$12,Time!AH20)-SUMIFS(Funding!$J$53:$BJ$53,Construction!$J$12:$BJ$12,Time!AH20)</f>
        <v/>
      </c>
      <c r="AI47" s="13">
        <f>SUMIFS(Funding!$J$52:$BJ$52,Construction!$J$12:$BJ$12,Time!AI20)-SUMIFS(Funding!$J$53:$BJ$53,Construction!$J$12:$BJ$12,Time!AI20)</f>
        <v/>
      </c>
      <c r="AJ47" s="13">
        <f>SUMIFS(Funding!$J$52:$BJ$52,Construction!$J$12:$BJ$12,Time!AJ20)-SUMIFS(Funding!$J$53:$BJ$53,Construction!$J$12:$BJ$12,Time!AJ20)</f>
        <v/>
      </c>
      <c r="AK47" s="13">
        <f>SUMIFS(Funding!$J$52:$BJ$52,Construction!$J$12:$BJ$12,Time!AK20)-SUMIFS(Funding!$J$53:$BJ$53,Construction!$J$12:$BJ$12,Time!AK20)</f>
        <v/>
      </c>
      <c r="AL47" s="13">
        <f>SUMIFS(Funding!$J$52:$BJ$52,Construction!$J$12:$BJ$12,Time!AL20)-SUMIFS(Funding!$J$53:$BJ$53,Construction!$J$12:$BJ$12,Time!AL20)</f>
        <v/>
      </c>
      <c r="AM47" s="13">
        <f>SUMIFS(Funding!$J$52:$BJ$52,Construction!$J$12:$BJ$12,Time!AM20)-SUMIFS(Funding!$J$53:$BJ$53,Construction!$J$12:$BJ$12,Time!AM20)</f>
        <v/>
      </c>
      <c r="AN47" s="13">
        <f>SUMIFS(Funding!$J$52:$BJ$52,Construction!$J$12:$BJ$12,Time!AN20)-SUMIFS(Funding!$J$53:$BJ$53,Construction!$J$12:$BJ$12,Time!AN20)</f>
        <v/>
      </c>
      <c r="AO47" s="13">
        <f>SUMIFS(Funding!$J$52:$BJ$52,Construction!$J$12:$BJ$12,Time!AO20)-SUMIFS(Funding!$J$53:$BJ$53,Construction!$J$12:$BJ$12,Time!AO20)</f>
        <v/>
      </c>
      <c r="AP47" s="13">
        <f>SUMIFS(Funding!$J$52:$BJ$52,Construction!$J$12:$BJ$12,Time!AP20)-SUMIFS(Funding!$J$53:$BJ$53,Construction!$J$12:$BJ$12,Time!AP20)</f>
        <v/>
      </c>
      <c r="AQ47" s="13">
        <f>SUMIFS(Funding!$J$52:$BJ$52,Construction!$J$12:$BJ$12,Time!AQ20)-SUMIFS(Funding!$J$53:$BJ$53,Construction!$J$12:$BJ$12,Time!AQ20)</f>
        <v/>
      </c>
      <c r="AR47" s="13">
        <f>SUMIFS(Funding!$J$52:$BJ$52,Construction!$J$12:$BJ$12,Time!AR20)-SUMIFS(Funding!$J$53:$BJ$53,Construction!$J$12:$BJ$12,Time!AR20)</f>
        <v/>
      </c>
      <c r="AS47" s="13">
        <f>SUMIFS(Funding!$J$52:$BJ$52,Construction!$J$12:$BJ$12,Time!AS20)-SUMIFS(Funding!$J$53:$BJ$53,Construction!$J$12:$BJ$12,Time!AS20)</f>
        <v/>
      </c>
      <c r="AT47" s="13">
        <f>SUMIFS(Funding!$J$52:$BJ$52,Construction!$J$12:$BJ$12,Time!AT20)-SUMIFS(Funding!$J$53:$BJ$53,Construction!$J$12:$BJ$12,Time!AT20)</f>
        <v/>
      </c>
      <c r="AU47" s="13">
        <f>SUMIFS(Funding!$J$52:$BJ$52,Construction!$J$12:$BJ$12,Time!AU20)-SUMIFS(Funding!$J$53:$BJ$53,Construction!$J$12:$BJ$12,Time!AU20)</f>
        <v/>
      </c>
      <c r="AV47" s="13">
        <f>SUMIFS(Funding!$J$52:$BJ$52,Construction!$J$12:$BJ$12,Time!AV20)-SUMIFS(Funding!$J$53:$BJ$53,Construction!$J$12:$BJ$12,Time!AV20)</f>
        <v/>
      </c>
      <c r="AW47" s="13">
        <f>SUMIFS(Funding!$J$52:$BJ$52,Construction!$J$12:$BJ$12,Time!AW20)-SUMIFS(Funding!$J$53:$BJ$53,Construction!$J$12:$BJ$12,Time!AW20)</f>
        <v/>
      </c>
      <c r="AX47" s="13">
        <f>SUMIFS(Funding!$J$52:$BJ$52,Construction!$J$12:$BJ$12,Time!AX20)-SUMIFS(Funding!$J$53:$BJ$53,Construction!$J$12:$BJ$12,Time!AX20)</f>
        <v/>
      </c>
      <c r="AY47" s="13">
        <f>SUMIFS(Funding!$J$52:$BJ$52,Construction!$J$12:$BJ$12,Time!AY20)-SUMIFS(Funding!$J$53:$BJ$53,Construction!$J$12:$BJ$12,Time!AY20)</f>
        <v/>
      </c>
      <c r="AZ47" s="13">
        <f>SUMIFS(Funding!$J$52:$BJ$52,Construction!$J$12:$BJ$12,Time!AZ20)-SUMIFS(Funding!$J$53:$BJ$53,Construction!$J$12:$BJ$12,Time!AZ20)</f>
        <v/>
      </c>
      <c r="BA47" s="13">
        <f>SUMIFS(Funding!$J$52:$BJ$52,Construction!$J$12:$BJ$12,Time!BA20)-SUMIFS(Funding!$J$53:$BJ$53,Construction!$J$12:$BJ$12,Time!BA20)</f>
        <v/>
      </c>
      <c r="BB47" s="13">
        <f>SUMIFS(Funding!$J$52:$BJ$52,Construction!$J$12:$BJ$12,Time!BB20)-SUMIFS(Funding!$J$53:$BJ$53,Construction!$J$12:$BJ$12,Time!BB20)</f>
        <v/>
      </c>
      <c r="BC47" s="13">
        <f>SUMIFS(Funding!$J$52:$BJ$52,Construction!$J$12:$BJ$12,Time!BC20)-SUMIFS(Funding!$J$53:$BJ$53,Construction!$J$12:$BJ$12,Time!BC20)</f>
        <v/>
      </c>
      <c r="BD47" s="13">
        <f>SUMIFS(Funding!$J$52:$BJ$52,Construction!$J$12:$BJ$12,Time!BD20)-SUMIFS(Funding!$J$53:$BJ$53,Construction!$J$12:$BJ$12,Time!BD20)</f>
        <v/>
      </c>
      <c r="BE47" s="13">
        <f>SUMIFS(Funding!$J$52:$BJ$52,Construction!$J$12:$BJ$12,Time!BE20)-SUMIFS(Funding!$J$53:$BJ$53,Construction!$J$12:$BJ$12,Time!BE20)</f>
        <v/>
      </c>
      <c r="BF47" s="13">
        <f>SUMIFS(Funding!$J$52:$BJ$52,Construction!$J$12:$BJ$12,Time!BF20)-SUMIFS(Funding!$J$53:$BJ$53,Construction!$J$12:$BJ$12,Time!BF20)</f>
        <v/>
      </c>
      <c r="BG47" s="13">
        <f>SUMIFS(Funding!$J$52:$BJ$52,Construction!$J$12:$BJ$12,Time!BG20)-SUMIFS(Funding!$J$53:$BJ$53,Construction!$J$12:$BJ$12,Time!BG20)</f>
        <v/>
      </c>
      <c r="BH47" s="13">
        <f>SUMIFS(Funding!$J$52:$BJ$52,Construction!$J$12:$BJ$12,Time!BH20)-SUMIFS(Funding!$J$53:$BJ$53,Construction!$J$12:$BJ$12,Time!BH20)</f>
        <v/>
      </c>
      <c r="BI47" s="13">
        <f>SUMIFS(Funding!$J$52:$BJ$52,Construction!$J$12:$BJ$12,Time!BI20)-SUMIFS(Funding!$J$53:$BJ$53,Construction!$J$12:$BJ$12,Time!BI20)</f>
        <v/>
      </c>
      <c r="BJ47" s="13">
        <f>SUMIFS(Funding!$J$52:$BJ$52,Construction!$J$12:$BJ$12,Time!BJ20)-SUMIFS(Funding!$J$53:$BJ$53,Construction!$J$12:$BJ$12,Time!BJ20)</f>
        <v/>
      </c>
      <c r="BK47" s="13">
        <f>SUMIFS(Funding!$J$52:$BJ$52,Construction!$J$12:$BJ$12,Time!BK20)-SUMIFS(Funding!$J$53:$BJ$53,Construction!$J$12:$BJ$12,Time!BK20)</f>
        <v/>
      </c>
      <c r="BL47" s="13">
        <f>SUMIFS(Funding!$J$52:$BJ$52,Construction!$J$12:$BJ$12,Time!BL20)-SUMIFS(Funding!$J$53:$BJ$53,Construction!$J$12:$BJ$12,Time!BL20)</f>
        <v/>
      </c>
      <c r="BM47" s="13">
        <f>SUMIFS(Funding!$J$52:$BJ$52,Construction!$J$12:$BJ$12,Time!BM20)-SUMIFS(Funding!$J$53:$BJ$53,Construction!$J$12:$BJ$12,Time!BM20)</f>
        <v/>
      </c>
      <c r="BN47" s="13">
        <f>SUMIFS(Funding!$J$52:$BJ$52,Construction!$J$12:$BJ$12,Time!BN20)-SUMIFS(Funding!$J$53:$BJ$53,Construction!$J$12:$BJ$12,Time!BN20)</f>
        <v/>
      </c>
    </row>
    <row r="48">
      <c r="D48" t="inlineStr">
        <is>
          <t>MMRA contributions less releases (held in the project accounts)</t>
        </is>
      </c>
      <c r="E48" t="inlineStr">
        <is>
          <t>USD m</t>
        </is>
      </c>
      <c r="G48" s="13">
        <f>SUM(J48:BN48)</f>
        <v/>
      </c>
      <c r="J48" s="13">
        <f>Reserves!J7-Operations!J79</f>
        <v/>
      </c>
      <c r="K48" s="13">
        <f>Reserves!K7-Operations!K79</f>
        <v/>
      </c>
      <c r="L48" s="13">
        <f>Reserves!L7-Operations!L79</f>
        <v/>
      </c>
      <c r="M48" s="13">
        <f>Reserves!M7-Operations!M79</f>
        <v/>
      </c>
      <c r="N48" s="13">
        <f>Reserves!N7-Operations!N79</f>
        <v/>
      </c>
      <c r="O48" s="13">
        <f>Reserves!O7-Operations!O79</f>
        <v/>
      </c>
      <c r="P48" s="13">
        <f>Reserves!P7-Operations!P79</f>
        <v/>
      </c>
      <c r="Q48" s="13">
        <f>Reserves!Q7-Operations!Q79</f>
        <v/>
      </c>
      <c r="R48" s="13">
        <f>Reserves!R7-Operations!R79</f>
        <v/>
      </c>
      <c r="S48" s="13">
        <f>Reserves!S7-Operations!S79</f>
        <v/>
      </c>
      <c r="T48" s="13">
        <f>Reserves!T7-Operations!T79</f>
        <v/>
      </c>
      <c r="U48" s="13">
        <f>Reserves!U7-Operations!U79</f>
        <v/>
      </c>
      <c r="V48" s="13">
        <f>Reserves!V7-Operations!V79</f>
        <v/>
      </c>
      <c r="W48" s="13">
        <f>Reserves!W7-Operations!W79</f>
        <v/>
      </c>
      <c r="X48" s="13">
        <f>Reserves!X7-Operations!X79</f>
        <v/>
      </c>
      <c r="Y48" s="13">
        <f>Reserves!Y7-Operations!Y79</f>
        <v/>
      </c>
      <c r="Z48" s="13">
        <f>Reserves!Z7-Operations!Z79</f>
        <v/>
      </c>
      <c r="AA48" s="13">
        <f>Reserves!AA7-Operations!AA79</f>
        <v/>
      </c>
      <c r="AB48" s="13">
        <f>Reserves!AB7-Operations!AB79</f>
        <v/>
      </c>
      <c r="AC48" s="13">
        <f>Reserves!AC7-Operations!AC79</f>
        <v/>
      </c>
      <c r="AD48" s="13">
        <f>Reserves!AD7-Operations!AD79</f>
        <v/>
      </c>
      <c r="AE48" s="13">
        <f>Reserves!AE7-Operations!AE79</f>
        <v/>
      </c>
      <c r="AF48" s="13">
        <f>Reserves!AF7-Operations!AF79</f>
        <v/>
      </c>
      <c r="AG48" s="13">
        <f>Reserves!AG7-Operations!AG79</f>
        <v/>
      </c>
      <c r="AH48" s="13">
        <f>Reserves!AH7-Operations!AH79</f>
        <v/>
      </c>
      <c r="AI48" s="13">
        <f>Reserves!AI7-Operations!AI79</f>
        <v/>
      </c>
      <c r="AJ48" s="13">
        <f>Reserves!AJ7-Operations!AJ79</f>
        <v/>
      </c>
      <c r="AK48" s="13">
        <f>Reserves!AK7-Operations!AK79</f>
        <v/>
      </c>
      <c r="AL48" s="13">
        <f>Reserves!AL7-Operations!AL79</f>
        <v/>
      </c>
      <c r="AM48" s="13">
        <f>Reserves!AM7-Operations!AM79</f>
        <v/>
      </c>
      <c r="AN48" s="13">
        <f>Reserves!AN7-Operations!AN79</f>
        <v/>
      </c>
      <c r="AO48" s="13">
        <f>Reserves!AO7-Operations!AO79</f>
        <v/>
      </c>
      <c r="AP48" s="13">
        <f>Reserves!AP7-Operations!AP79</f>
        <v/>
      </c>
      <c r="AQ48" s="13">
        <f>Reserves!AQ7-Operations!AQ79</f>
        <v/>
      </c>
      <c r="AR48" s="13">
        <f>Reserves!AR7-Operations!AR79</f>
        <v/>
      </c>
      <c r="AS48" s="13">
        <f>Reserves!AS7-Operations!AS79</f>
        <v/>
      </c>
      <c r="AT48" s="13">
        <f>Reserves!AT7-Operations!AT79</f>
        <v/>
      </c>
      <c r="AU48" s="13">
        <f>Reserves!AU7-Operations!AU79</f>
        <v/>
      </c>
      <c r="AV48" s="13">
        <f>Reserves!AV7-Operations!AV79</f>
        <v/>
      </c>
      <c r="AW48" s="13">
        <f>Reserves!AW7-Operations!AW79</f>
        <v/>
      </c>
      <c r="AX48" s="13">
        <f>Reserves!AX7-Operations!AX79</f>
        <v/>
      </c>
      <c r="AY48" s="13">
        <f>Reserves!AY7-Operations!AY79</f>
        <v/>
      </c>
      <c r="AZ48" s="13">
        <f>Reserves!AZ7-Operations!AZ79</f>
        <v/>
      </c>
      <c r="BA48" s="13">
        <f>Reserves!BA7-Operations!BA79</f>
        <v/>
      </c>
      <c r="BB48" s="13">
        <f>Reserves!BB7-Operations!BB79</f>
        <v/>
      </c>
      <c r="BC48" s="13">
        <f>Reserves!BC7-Operations!BC79</f>
        <v/>
      </c>
      <c r="BD48" s="13">
        <f>Reserves!BD7-Operations!BD79</f>
        <v/>
      </c>
      <c r="BE48" s="13">
        <f>Reserves!BE7-Operations!BE79</f>
        <v/>
      </c>
      <c r="BF48" s="13">
        <f>Reserves!BF7-Operations!BF79</f>
        <v/>
      </c>
      <c r="BG48" s="13">
        <f>Reserves!BG7-Operations!BG79</f>
        <v/>
      </c>
      <c r="BH48" s="13">
        <f>Reserves!BH7-Operations!BH79</f>
        <v/>
      </c>
      <c r="BI48" s="13">
        <f>Reserves!BI7-Operations!BI79</f>
        <v/>
      </c>
      <c r="BJ48" s="13">
        <f>Reserves!BJ7-Operations!BJ79</f>
        <v/>
      </c>
      <c r="BK48" s="13">
        <f>Reserves!BK7-Operations!BK79</f>
        <v/>
      </c>
      <c r="BL48" s="13">
        <f>Reserves!BL7-Operations!BL79</f>
        <v/>
      </c>
      <c r="BM48" s="13">
        <f>Reserves!BM7-Operations!BM79</f>
        <v/>
      </c>
      <c r="BN48" s="13">
        <f>Reserves!BN7-Operations!BN79</f>
        <v/>
      </c>
    </row>
    <row r="49">
      <c r="D49" t="inlineStr">
        <is>
          <t>Net cash flow</t>
        </is>
      </c>
      <c r="E49" t="inlineStr">
        <is>
          <t>USD m</t>
        </is>
      </c>
      <c r="G49" s="13">
        <f>SUM(J49:BN49)</f>
        <v/>
      </c>
      <c r="J49" s="13">
        <f>J36+J37+J38+J39+J40+J41+J42+J43+J44+J45+J46+J47+J48</f>
        <v/>
      </c>
      <c r="K49" s="13">
        <f>K36+K37+K38+K39+K40+K41+K42+K43+K44+K45+K46+K47+K48</f>
        <v/>
      </c>
      <c r="L49" s="13">
        <f>L36+L37+L38+L39+L40+L41+L42+L43+L44+L45+L46+L47+L48</f>
        <v/>
      </c>
      <c r="M49" s="13">
        <f>M36+M37+M38+M39+M40+M41+M42+M43+M44+M45+M46+M47+M48</f>
        <v/>
      </c>
      <c r="N49" s="13">
        <f>N36+N37+N38+N39+N40+N41+N42+N43+N44+N45+N46+N47+N48</f>
        <v/>
      </c>
      <c r="O49" s="13">
        <f>O36+O37+O38+O39+O40+O41+O42+O43+O44+O45+O46+O47+O48</f>
        <v/>
      </c>
      <c r="P49" s="13">
        <f>P36+P37+P38+P39+P40+P41+P42+P43+P44+P45+P46+P47+P48</f>
        <v/>
      </c>
      <c r="Q49" s="13">
        <f>Q36+Q37+Q38+Q39+Q40+Q41+Q42+Q43+Q44+Q45+Q46+Q47+Q48</f>
        <v/>
      </c>
      <c r="R49" s="13">
        <f>R36+R37+R38+R39+R40+R41+R42+R43+R44+R45+R46+R47+R48</f>
        <v/>
      </c>
      <c r="S49" s="13">
        <f>S36+S37+S38+S39+S40+S41+S42+S43+S44+S45+S46+S47+S48</f>
        <v/>
      </c>
      <c r="T49" s="13">
        <f>T36+T37+T38+T39+T40+T41+T42+T43+T44+T45+T46+T47+T48</f>
        <v/>
      </c>
      <c r="U49" s="13">
        <f>U36+U37+U38+U39+U40+U41+U42+U43+U44+U45+U46+U47+U48</f>
        <v/>
      </c>
      <c r="V49" s="13">
        <f>V36+V37+V38+V39+V40+V41+V42+V43+V44+V45+V46+V47+V48</f>
        <v/>
      </c>
      <c r="W49" s="13">
        <f>W36+W37+W38+W39+W40+W41+W42+W43+W44+W45+W46+W47+W48</f>
        <v/>
      </c>
      <c r="X49" s="13">
        <f>X36+X37+X38+X39+X40+X41+X42+X43+X44+X45+X46+X47+X48</f>
        <v/>
      </c>
      <c r="Y49" s="13">
        <f>Y36+Y37+Y38+Y39+Y40+Y41+Y42+Y43+Y44+Y45+Y46+Y47+Y48</f>
        <v/>
      </c>
      <c r="Z49" s="13">
        <f>Z36+Z37+Z38+Z39+Z40+Z41+Z42+Z43+Z44+Z45+Z46+Z47+Z48</f>
        <v/>
      </c>
      <c r="AA49" s="13">
        <f>AA36+AA37+AA38+AA39+AA40+AA41+AA42+AA43+AA44+AA45+AA46+AA47+AA48</f>
        <v/>
      </c>
      <c r="AB49" s="13">
        <f>AB36+AB37+AB38+AB39+AB40+AB41+AB42+AB43+AB44+AB45+AB46+AB47+AB48</f>
        <v/>
      </c>
      <c r="AC49" s="13">
        <f>AC36+AC37+AC38+AC39+AC40+AC41+AC42+AC43+AC44+AC45+AC46+AC47+AC48</f>
        <v/>
      </c>
      <c r="AD49" s="13">
        <f>AD36+AD37+AD38+AD39+AD40+AD41+AD42+AD43+AD44+AD45+AD46+AD47+AD48</f>
        <v/>
      </c>
      <c r="AE49" s="13">
        <f>AE36+AE37+AE38+AE39+AE40+AE41+AE42+AE43+AE44+AE45+AE46+AE47+AE48</f>
        <v/>
      </c>
      <c r="AF49" s="13">
        <f>AF36+AF37+AF38+AF39+AF40+AF41+AF42+AF43+AF44+AF45+AF46+AF47+AF48</f>
        <v/>
      </c>
      <c r="AG49" s="13">
        <f>AG36+AG37+AG38+AG39+AG40+AG41+AG42+AG43+AG44+AG45+AG46+AG47+AG48</f>
        <v/>
      </c>
      <c r="AH49" s="13">
        <f>AH36+AH37+AH38+AH39+AH40+AH41+AH42+AH43+AH44+AH45+AH46+AH47+AH48</f>
        <v/>
      </c>
      <c r="AI49" s="13">
        <f>AI36+AI37+AI38+AI39+AI40+AI41+AI42+AI43+AI44+AI45+AI46+AI47+AI48</f>
        <v/>
      </c>
      <c r="AJ49" s="13">
        <f>AJ36+AJ37+AJ38+AJ39+AJ40+AJ41+AJ42+AJ43+AJ44+AJ45+AJ46+AJ47+AJ48</f>
        <v/>
      </c>
      <c r="AK49" s="13">
        <f>AK36+AK37+AK38+AK39+AK40+AK41+AK42+AK43+AK44+AK45+AK46+AK47+AK48</f>
        <v/>
      </c>
      <c r="AL49" s="13">
        <f>AL36+AL37+AL38+AL39+AL40+AL41+AL42+AL43+AL44+AL45+AL46+AL47+AL48</f>
        <v/>
      </c>
      <c r="AM49" s="13">
        <f>AM36+AM37+AM38+AM39+AM40+AM41+AM42+AM43+AM44+AM45+AM46+AM47+AM48</f>
        <v/>
      </c>
      <c r="AN49" s="13">
        <f>AN36+AN37+AN38+AN39+AN40+AN41+AN42+AN43+AN44+AN45+AN46+AN47+AN48</f>
        <v/>
      </c>
      <c r="AO49" s="13">
        <f>AO36+AO37+AO38+AO39+AO40+AO41+AO42+AO43+AO44+AO45+AO46+AO47+AO48</f>
        <v/>
      </c>
      <c r="AP49" s="13">
        <f>AP36+AP37+AP38+AP39+AP40+AP41+AP42+AP43+AP44+AP45+AP46+AP47+AP48</f>
        <v/>
      </c>
      <c r="AQ49" s="13">
        <f>AQ36+AQ37+AQ38+AQ39+AQ40+AQ41+AQ42+AQ43+AQ44+AQ45+AQ46+AQ47+AQ48</f>
        <v/>
      </c>
      <c r="AR49" s="13">
        <f>AR36+AR37+AR38+AR39+AR40+AR41+AR42+AR43+AR44+AR45+AR46+AR47+AR48</f>
        <v/>
      </c>
      <c r="AS49" s="13">
        <f>AS36+AS37+AS38+AS39+AS40+AS41+AS42+AS43+AS44+AS45+AS46+AS47+AS48</f>
        <v/>
      </c>
      <c r="AT49" s="13">
        <f>AT36+AT37+AT38+AT39+AT40+AT41+AT42+AT43+AT44+AT45+AT46+AT47+AT48</f>
        <v/>
      </c>
      <c r="AU49" s="13">
        <f>AU36+AU37+AU38+AU39+AU40+AU41+AU42+AU43+AU44+AU45+AU46+AU47+AU48</f>
        <v/>
      </c>
      <c r="AV49" s="13">
        <f>AV36+AV37+AV38+AV39+AV40+AV41+AV42+AV43+AV44+AV45+AV46+AV47+AV48</f>
        <v/>
      </c>
      <c r="AW49" s="13">
        <f>AW36+AW37+AW38+AW39+AW40+AW41+AW42+AW43+AW44+AW45+AW46+AW47+AW48</f>
        <v/>
      </c>
      <c r="AX49" s="13">
        <f>AX36+AX37+AX38+AX39+AX40+AX41+AX42+AX43+AX44+AX45+AX46+AX47+AX48</f>
        <v/>
      </c>
      <c r="AY49" s="13">
        <f>AY36+AY37+AY38+AY39+AY40+AY41+AY42+AY43+AY44+AY45+AY46+AY47+AY48</f>
        <v/>
      </c>
      <c r="AZ49" s="13">
        <f>AZ36+AZ37+AZ38+AZ39+AZ40+AZ41+AZ42+AZ43+AZ44+AZ45+AZ46+AZ47+AZ48</f>
        <v/>
      </c>
      <c r="BA49" s="13">
        <f>BA36+BA37+BA38+BA39+BA40+BA41+BA42+BA43+BA44+BA45+BA46+BA47+BA48</f>
        <v/>
      </c>
      <c r="BB49" s="13">
        <f>BB36+BB37+BB38+BB39+BB40+BB41+BB42+BB43+BB44+BB45+BB46+BB47+BB48</f>
        <v/>
      </c>
      <c r="BC49" s="13">
        <f>BC36+BC37+BC38+BC39+BC40+BC41+BC42+BC43+BC44+BC45+BC46+BC47+BC48</f>
        <v/>
      </c>
      <c r="BD49" s="13">
        <f>BD36+BD37+BD38+BD39+BD40+BD41+BD42+BD43+BD44+BD45+BD46+BD47+BD48</f>
        <v/>
      </c>
      <c r="BE49" s="13">
        <f>BE36+BE37+BE38+BE39+BE40+BE41+BE42+BE43+BE44+BE45+BE46+BE47+BE48</f>
        <v/>
      </c>
      <c r="BF49" s="13">
        <f>BF36+BF37+BF38+BF39+BF40+BF41+BF42+BF43+BF44+BF45+BF46+BF47+BF48</f>
        <v/>
      </c>
      <c r="BG49" s="13">
        <f>BG36+BG37+BG38+BG39+BG40+BG41+BG42+BG43+BG44+BG45+BG46+BG47+BG48</f>
        <v/>
      </c>
      <c r="BH49" s="13">
        <f>BH36+BH37+BH38+BH39+BH40+BH41+BH42+BH43+BH44+BH45+BH46+BH47+BH48</f>
        <v/>
      </c>
      <c r="BI49" s="13">
        <f>BI36+BI37+BI38+BI39+BI40+BI41+BI42+BI43+BI44+BI45+BI46+BI47+BI48</f>
        <v/>
      </c>
      <c r="BJ49" s="13">
        <f>BJ36+BJ37+BJ38+BJ39+BJ40+BJ41+BJ42+BJ43+BJ44+BJ45+BJ46+BJ47+BJ48</f>
        <v/>
      </c>
      <c r="BK49" s="13">
        <f>BK36+BK37+BK38+BK39+BK40+BK41+BK42+BK43+BK44+BK45+BK46+BK47+BK48</f>
        <v/>
      </c>
      <c r="BL49" s="13">
        <f>BL36+BL37+BL38+BL39+BL40+BL41+BL42+BL43+BL44+BL45+BL46+BL47+BL48</f>
        <v/>
      </c>
      <c r="BM49" s="13">
        <f>BM36+BM37+BM38+BM39+BM40+BM41+BM42+BM43+BM44+BM45+BM46+BM47+BM48</f>
        <v/>
      </c>
      <c r="BN49" s="13">
        <f>BN36+BN37+BN38+BN39+BN40+BN41+BN42+BN43+BN44+BN45+BN46+BN47+BN48</f>
        <v/>
      </c>
    </row>
    <row r="50">
      <c r="D50" t="inlineStr">
        <is>
          <t>Memo: DSRA top-ups less drawings and releases (transfers within the project accounts)</t>
        </is>
      </c>
      <c r="E50" t="inlineStr">
        <is>
          <t>USD m</t>
        </is>
      </c>
      <c r="G50" s="13">
        <f>SUM(J50:BN50)</f>
        <v/>
      </c>
      <c r="J50" s="13">
        <f>Reserves!J11-Reserves!J10-Reserves!J12</f>
        <v/>
      </c>
      <c r="K50" s="13">
        <f>Reserves!K11-Reserves!K10-Reserves!K12</f>
        <v/>
      </c>
      <c r="L50" s="13">
        <f>Reserves!L11-Reserves!L10-Reserves!L12</f>
        <v/>
      </c>
      <c r="M50" s="13">
        <f>Reserves!M11-Reserves!M10-Reserves!M12</f>
        <v/>
      </c>
      <c r="N50" s="13">
        <f>Reserves!N11-Reserves!N10-Reserves!N12</f>
        <v/>
      </c>
      <c r="O50" s="13">
        <f>Reserves!O11-Reserves!O10-Reserves!O12</f>
        <v/>
      </c>
      <c r="P50" s="13">
        <f>Reserves!P11-Reserves!P10-Reserves!P12</f>
        <v/>
      </c>
      <c r="Q50" s="13">
        <f>Reserves!Q11-Reserves!Q10-Reserves!Q12</f>
        <v/>
      </c>
      <c r="R50" s="13">
        <f>Reserves!R11-Reserves!R10-Reserves!R12</f>
        <v/>
      </c>
      <c r="S50" s="13">
        <f>Reserves!S11-Reserves!S10-Reserves!S12</f>
        <v/>
      </c>
      <c r="T50" s="13">
        <f>Reserves!T11-Reserves!T10-Reserves!T12</f>
        <v/>
      </c>
      <c r="U50" s="13">
        <f>Reserves!U11-Reserves!U10-Reserves!U12</f>
        <v/>
      </c>
      <c r="V50" s="13">
        <f>Reserves!V11-Reserves!V10-Reserves!V12</f>
        <v/>
      </c>
      <c r="W50" s="13">
        <f>Reserves!W11-Reserves!W10-Reserves!W12</f>
        <v/>
      </c>
      <c r="X50" s="13">
        <f>Reserves!X11-Reserves!X10-Reserves!X12</f>
        <v/>
      </c>
      <c r="Y50" s="13">
        <f>Reserves!Y11-Reserves!Y10-Reserves!Y12</f>
        <v/>
      </c>
      <c r="Z50" s="13">
        <f>Reserves!Z11-Reserves!Z10-Reserves!Z12</f>
        <v/>
      </c>
      <c r="AA50" s="13">
        <f>Reserves!AA11-Reserves!AA10-Reserves!AA12</f>
        <v/>
      </c>
      <c r="AB50" s="13">
        <f>Reserves!AB11-Reserves!AB10-Reserves!AB12</f>
        <v/>
      </c>
      <c r="AC50" s="13">
        <f>Reserves!AC11-Reserves!AC10-Reserves!AC12</f>
        <v/>
      </c>
      <c r="AD50" s="13">
        <f>Reserves!AD11-Reserves!AD10-Reserves!AD12</f>
        <v/>
      </c>
      <c r="AE50" s="13">
        <f>Reserves!AE11-Reserves!AE10-Reserves!AE12</f>
        <v/>
      </c>
      <c r="AF50" s="13">
        <f>Reserves!AF11-Reserves!AF10-Reserves!AF12</f>
        <v/>
      </c>
      <c r="AG50" s="13">
        <f>Reserves!AG11-Reserves!AG10-Reserves!AG12</f>
        <v/>
      </c>
      <c r="AH50" s="13">
        <f>Reserves!AH11-Reserves!AH10-Reserves!AH12</f>
        <v/>
      </c>
      <c r="AI50" s="13">
        <f>Reserves!AI11-Reserves!AI10-Reserves!AI12</f>
        <v/>
      </c>
      <c r="AJ50" s="13">
        <f>Reserves!AJ11-Reserves!AJ10-Reserves!AJ12</f>
        <v/>
      </c>
      <c r="AK50" s="13">
        <f>Reserves!AK11-Reserves!AK10-Reserves!AK12</f>
        <v/>
      </c>
      <c r="AL50" s="13">
        <f>Reserves!AL11-Reserves!AL10-Reserves!AL12</f>
        <v/>
      </c>
      <c r="AM50" s="13">
        <f>Reserves!AM11-Reserves!AM10-Reserves!AM12</f>
        <v/>
      </c>
      <c r="AN50" s="13">
        <f>Reserves!AN11-Reserves!AN10-Reserves!AN12</f>
        <v/>
      </c>
      <c r="AO50" s="13">
        <f>Reserves!AO11-Reserves!AO10-Reserves!AO12</f>
        <v/>
      </c>
      <c r="AP50" s="13">
        <f>Reserves!AP11-Reserves!AP10-Reserves!AP12</f>
        <v/>
      </c>
      <c r="AQ50" s="13">
        <f>Reserves!AQ11-Reserves!AQ10-Reserves!AQ12</f>
        <v/>
      </c>
      <c r="AR50" s="13">
        <f>Reserves!AR11-Reserves!AR10-Reserves!AR12</f>
        <v/>
      </c>
      <c r="AS50" s="13">
        <f>Reserves!AS11-Reserves!AS10-Reserves!AS12</f>
        <v/>
      </c>
      <c r="AT50" s="13">
        <f>Reserves!AT11-Reserves!AT10-Reserves!AT12</f>
        <v/>
      </c>
      <c r="AU50" s="13">
        <f>Reserves!AU11-Reserves!AU10-Reserves!AU12</f>
        <v/>
      </c>
      <c r="AV50" s="13">
        <f>Reserves!AV11-Reserves!AV10-Reserves!AV12</f>
        <v/>
      </c>
      <c r="AW50" s="13">
        <f>Reserves!AW11-Reserves!AW10-Reserves!AW12</f>
        <v/>
      </c>
      <c r="AX50" s="13">
        <f>Reserves!AX11-Reserves!AX10-Reserves!AX12</f>
        <v/>
      </c>
      <c r="AY50" s="13">
        <f>Reserves!AY11-Reserves!AY10-Reserves!AY12</f>
        <v/>
      </c>
      <c r="AZ50" s="13">
        <f>Reserves!AZ11-Reserves!AZ10-Reserves!AZ12</f>
        <v/>
      </c>
      <c r="BA50" s="13">
        <f>Reserves!BA11-Reserves!BA10-Reserves!BA12</f>
        <v/>
      </c>
      <c r="BB50" s="13">
        <f>Reserves!BB11-Reserves!BB10-Reserves!BB12</f>
        <v/>
      </c>
      <c r="BC50" s="13">
        <f>Reserves!BC11-Reserves!BC10-Reserves!BC12</f>
        <v/>
      </c>
      <c r="BD50" s="13">
        <f>Reserves!BD11-Reserves!BD10-Reserves!BD12</f>
        <v/>
      </c>
      <c r="BE50" s="13">
        <f>Reserves!BE11-Reserves!BE10-Reserves!BE12</f>
        <v/>
      </c>
      <c r="BF50" s="13">
        <f>Reserves!BF11-Reserves!BF10-Reserves!BF12</f>
        <v/>
      </c>
      <c r="BG50" s="13">
        <f>Reserves!BG11-Reserves!BG10-Reserves!BG12</f>
        <v/>
      </c>
      <c r="BH50" s="13">
        <f>Reserves!BH11-Reserves!BH10-Reserves!BH12</f>
        <v/>
      </c>
      <c r="BI50" s="13">
        <f>Reserves!BI11-Reserves!BI10-Reserves!BI12</f>
        <v/>
      </c>
      <c r="BJ50" s="13">
        <f>Reserves!BJ11-Reserves!BJ10-Reserves!BJ12</f>
        <v/>
      </c>
      <c r="BK50" s="13">
        <f>Reserves!BK11-Reserves!BK10-Reserves!BK12</f>
        <v/>
      </c>
      <c r="BL50" s="13">
        <f>Reserves!BL11-Reserves!BL10-Reserves!BL12</f>
        <v/>
      </c>
      <c r="BM50" s="13">
        <f>Reserves!BM11-Reserves!BM10-Reserves!BM12</f>
        <v/>
      </c>
      <c r="BN50" s="13">
        <f>Reserves!BN11-Reserves!BN10-Reserves!BN12</f>
        <v/>
      </c>
    </row>
    <row r="51">
      <c r="D51" t="inlineStr">
        <is>
          <t>Change in project-account cash</t>
        </is>
      </c>
      <c r="E51" t="inlineStr">
        <is>
          <t>USD m</t>
        </is>
      </c>
      <c r="G51" s="13">
        <f>SUM(J51:BN51)</f>
        <v/>
      </c>
      <c r="J51" s="13">
        <f>J17-I17</f>
        <v/>
      </c>
      <c r="K51" s="13">
        <f>K17-J17</f>
        <v/>
      </c>
      <c r="L51" s="13">
        <f>L17-K17</f>
        <v/>
      </c>
      <c r="M51" s="13">
        <f>M17-L17</f>
        <v/>
      </c>
      <c r="N51" s="13">
        <f>N17-M17</f>
        <v/>
      </c>
      <c r="O51" s="13">
        <f>O17-N17</f>
        <v/>
      </c>
      <c r="P51" s="13">
        <f>P17-O17</f>
        <v/>
      </c>
      <c r="Q51" s="13">
        <f>Q17-P17</f>
        <v/>
      </c>
      <c r="R51" s="13">
        <f>R17-Q17</f>
        <v/>
      </c>
      <c r="S51" s="13">
        <f>S17-R17</f>
        <v/>
      </c>
      <c r="T51" s="13">
        <f>T17-S17</f>
        <v/>
      </c>
      <c r="U51" s="13">
        <f>U17-T17</f>
        <v/>
      </c>
      <c r="V51" s="13">
        <f>V17-U17</f>
        <v/>
      </c>
      <c r="W51" s="13">
        <f>W17-V17</f>
        <v/>
      </c>
      <c r="X51" s="13">
        <f>X17-W17</f>
        <v/>
      </c>
      <c r="Y51" s="13">
        <f>Y17-X17</f>
        <v/>
      </c>
      <c r="Z51" s="13">
        <f>Z17-Y17</f>
        <v/>
      </c>
      <c r="AA51" s="13">
        <f>AA17-Z17</f>
        <v/>
      </c>
      <c r="AB51" s="13">
        <f>AB17-AA17</f>
        <v/>
      </c>
      <c r="AC51" s="13">
        <f>AC17-AB17</f>
        <v/>
      </c>
      <c r="AD51" s="13">
        <f>AD17-AC17</f>
        <v/>
      </c>
      <c r="AE51" s="13">
        <f>AE17-AD17</f>
        <v/>
      </c>
      <c r="AF51" s="13">
        <f>AF17-AE17</f>
        <v/>
      </c>
      <c r="AG51" s="13">
        <f>AG17-AF17</f>
        <v/>
      </c>
      <c r="AH51" s="13">
        <f>AH17-AG17</f>
        <v/>
      </c>
      <c r="AI51" s="13">
        <f>AI17-AH17</f>
        <v/>
      </c>
      <c r="AJ51" s="13">
        <f>AJ17-AI17</f>
        <v/>
      </c>
      <c r="AK51" s="13">
        <f>AK17-AJ17</f>
        <v/>
      </c>
      <c r="AL51" s="13">
        <f>AL17-AK17</f>
        <v/>
      </c>
      <c r="AM51" s="13">
        <f>AM17-AL17</f>
        <v/>
      </c>
      <c r="AN51" s="13">
        <f>AN17-AM17</f>
        <v/>
      </c>
      <c r="AO51" s="13">
        <f>AO17-AN17</f>
        <v/>
      </c>
      <c r="AP51" s="13">
        <f>AP17-AO17</f>
        <v/>
      </c>
      <c r="AQ51" s="13">
        <f>AQ17-AP17</f>
        <v/>
      </c>
      <c r="AR51" s="13">
        <f>AR17-AQ17</f>
        <v/>
      </c>
      <c r="AS51" s="13">
        <f>AS17-AR17</f>
        <v/>
      </c>
      <c r="AT51" s="13">
        <f>AT17-AS17</f>
        <v/>
      </c>
      <c r="AU51" s="13">
        <f>AU17-AT17</f>
        <v/>
      </c>
      <c r="AV51" s="13">
        <f>AV17-AU17</f>
        <v/>
      </c>
      <c r="AW51" s="13">
        <f>AW17-AV17</f>
        <v/>
      </c>
      <c r="AX51" s="13">
        <f>AX17-AW17</f>
        <v/>
      </c>
      <c r="AY51" s="13">
        <f>AY17-AX17</f>
        <v/>
      </c>
      <c r="AZ51" s="13">
        <f>AZ17-AY17</f>
        <v/>
      </c>
      <c r="BA51" s="13">
        <f>BA17-AZ17</f>
        <v/>
      </c>
      <c r="BB51" s="13">
        <f>BB17-BA17</f>
        <v/>
      </c>
      <c r="BC51" s="13">
        <f>BC17-BB17</f>
        <v/>
      </c>
      <c r="BD51" s="13">
        <f>BD17-BC17</f>
        <v/>
      </c>
      <c r="BE51" s="13">
        <f>BE17-BD17</f>
        <v/>
      </c>
      <c r="BF51" s="13">
        <f>BF17-BE17</f>
        <v/>
      </c>
      <c r="BG51" s="13">
        <f>BG17-BF17</f>
        <v/>
      </c>
      <c r="BH51" s="13">
        <f>BH17-BG17</f>
        <v/>
      </c>
      <c r="BI51" s="13">
        <f>BI17-BH17</f>
        <v/>
      </c>
      <c r="BJ51" s="13">
        <f>BJ17-BI17</f>
        <v/>
      </c>
      <c r="BK51" s="13">
        <f>BK17-BJ17</f>
        <v/>
      </c>
      <c r="BL51" s="13">
        <f>BL17-BK17</f>
        <v/>
      </c>
      <c r="BM51" s="13">
        <f>BM17-BL17</f>
        <v/>
      </c>
      <c r="BN51" s="13">
        <f>BN17-BM17</f>
        <v/>
      </c>
    </row>
    <row r="52">
      <c r="D52" t="inlineStr">
        <is>
          <t>Cash check: change in cash less net cash flow (0)</t>
        </is>
      </c>
      <c r="E52" t="inlineStr">
        <is>
          <t>USD m</t>
        </is>
      </c>
      <c r="J52" s="13">
        <f>J51-J49</f>
        <v/>
      </c>
      <c r="K52" s="13">
        <f>K51-K49</f>
        <v/>
      </c>
      <c r="L52" s="13">
        <f>L51-L49</f>
        <v/>
      </c>
      <c r="M52" s="13">
        <f>M51-M49</f>
        <v/>
      </c>
      <c r="N52" s="13">
        <f>N51-N49</f>
        <v/>
      </c>
      <c r="O52" s="13">
        <f>O51-O49</f>
        <v/>
      </c>
      <c r="P52" s="13">
        <f>P51-P49</f>
        <v/>
      </c>
      <c r="Q52" s="13">
        <f>Q51-Q49</f>
        <v/>
      </c>
      <c r="R52" s="13">
        <f>R51-R49</f>
        <v/>
      </c>
      <c r="S52" s="13">
        <f>S51-S49</f>
        <v/>
      </c>
      <c r="T52" s="13">
        <f>T51-T49</f>
        <v/>
      </c>
      <c r="U52" s="13">
        <f>U51-U49</f>
        <v/>
      </c>
      <c r="V52" s="13">
        <f>V51-V49</f>
        <v/>
      </c>
      <c r="W52" s="13">
        <f>W51-W49</f>
        <v/>
      </c>
      <c r="X52" s="13">
        <f>X51-X49</f>
        <v/>
      </c>
      <c r="Y52" s="13">
        <f>Y51-Y49</f>
        <v/>
      </c>
      <c r="Z52" s="13">
        <f>Z51-Z49</f>
        <v/>
      </c>
      <c r="AA52" s="13">
        <f>AA51-AA49</f>
        <v/>
      </c>
      <c r="AB52" s="13">
        <f>AB51-AB49</f>
        <v/>
      </c>
      <c r="AC52" s="13">
        <f>AC51-AC49</f>
        <v/>
      </c>
      <c r="AD52" s="13">
        <f>AD51-AD49</f>
        <v/>
      </c>
      <c r="AE52" s="13">
        <f>AE51-AE49</f>
        <v/>
      </c>
      <c r="AF52" s="13">
        <f>AF51-AF49</f>
        <v/>
      </c>
      <c r="AG52" s="13">
        <f>AG51-AG49</f>
        <v/>
      </c>
      <c r="AH52" s="13">
        <f>AH51-AH49</f>
        <v/>
      </c>
      <c r="AI52" s="13">
        <f>AI51-AI49</f>
        <v/>
      </c>
      <c r="AJ52" s="13">
        <f>AJ51-AJ49</f>
        <v/>
      </c>
      <c r="AK52" s="13">
        <f>AK51-AK49</f>
        <v/>
      </c>
      <c r="AL52" s="13">
        <f>AL51-AL49</f>
        <v/>
      </c>
      <c r="AM52" s="13">
        <f>AM51-AM49</f>
        <v/>
      </c>
      <c r="AN52" s="13">
        <f>AN51-AN49</f>
        <v/>
      </c>
      <c r="AO52" s="13">
        <f>AO51-AO49</f>
        <v/>
      </c>
      <c r="AP52" s="13">
        <f>AP51-AP49</f>
        <v/>
      </c>
      <c r="AQ52" s="13">
        <f>AQ51-AQ49</f>
        <v/>
      </c>
      <c r="AR52" s="13">
        <f>AR51-AR49</f>
        <v/>
      </c>
      <c r="AS52" s="13">
        <f>AS51-AS49</f>
        <v/>
      </c>
      <c r="AT52" s="13">
        <f>AT51-AT49</f>
        <v/>
      </c>
      <c r="AU52" s="13">
        <f>AU51-AU49</f>
        <v/>
      </c>
      <c r="AV52" s="13">
        <f>AV51-AV49</f>
        <v/>
      </c>
      <c r="AW52" s="13">
        <f>AW51-AW49</f>
        <v/>
      </c>
      <c r="AX52" s="13">
        <f>AX51-AX49</f>
        <v/>
      </c>
      <c r="AY52" s="13">
        <f>AY51-AY49</f>
        <v/>
      </c>
      <c r="AZ52" s="13">
        <f>AZ51-AZ49</f>
        <v/>
      </c>
      <c r="BA52" s="13">
        <f>BA51-BA49</f>
        <v/>
      </c>
      <c r="BB52" s="13">
        <f>BB51-BB49</f>
        <v/>
      </c>
      <c r="BC52" s="13">
        <f>BC51-BC49</f>
        <v/>
      </c>
      <c r="BD52" s="13">
        <f>BD51-BD49</f>
        <v/>
      </c>
      <c r="BE52" s="13">
        <f>BE51-BE49</f>
        <v/>
      </c>
      <c r="BF52" s="13">
        <f>BF51-BF49</f>
        <v/>
      </c>
      <c r="BG52" s="13">
        <f>BG51-BG49</f>
        <v/>
      </c>
      <c r="BH52" s="13">
        <f>BH51-BH49</f>
        <v/>
      </c>
      <c r="BI52" s="13">
        <f>BI51-BI49</f>
        <v/>
      </c>
      <c r="BJ52" s="13">
        <f>BJ51-BJ49</f>
        <v/>
      </c>
      <c r="BK52" s="13">
        <f>BK51-BK49</f>
        <v/>
      </c>
      <c r="BL52" s="13">
        <f>BL51-BL49</f>
        <v/>
      </c>
      <c r="BM52" s="13">
        <f>BM51-BM49</f>
        <v/>
      </c>
      <c r="BN52" s="13">
        <f>BN51-BN49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Ratios: DSCR, LLCR, PLCR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All-in senior cost per period (financing costs / opening debt)</t>
        </is>
      </c>
      <c r="E7" t="inlineStr">
        <is>
          <t>factor</t>
        </is>
      </c>
      <c r="J7" s="16">
        <f>IF(Debt!J115&gt;Inputs!$F$253,Debt!J112/Debt!J115,0)</f>
        <v/>
      </c>
      <c r="K7" s="16">
        <f>IF(Debt!K115&gt;Inputs!$F$253,Debt!K112/Debt!K115,0)</f>
        <v/>
      </c>
      <c r="L7" s="16">
        <f>IF(Debt!L115&gt;Inputs!$F$253,Debt!L112/Debt!L115,0)</f>
        <v/>
      </c>
      <c r="M7" s="16">
        <f>IF(Debt!M115&gt;Inputs!$F$253,Debt!M112/Debt!M115,0)</f>
        <v/>
      </c>
      <c r="N7" s="16">
        <f>IF(Debt!N115&gt;Inputs!$F$253,Debt!N112/Debt!N115,0)</f>
        <v/>
      </c>
      <c r="O7" s="16">
        <f>IF(Debt!O115&gt;Inputs!$F$253,Debt!O112/Debt!O115,0)</f>
        <v/>
      </c>
      <c r="P7" s="16">
        <f>IF(Debt!P115&gt;Inputs!$F$253,Debt!P112/Debt!P115,0)</f>
        <v/>
      </c>
      <c r="Q7" s="16">
        <f>IF(Debt!Q115&gt;Inputs!$F$253,Debt!Q112/Debt!Q115,0)</f>
        <v/>
      </c>
      <c r="R7" s="16">
        <f>IF(Debt!R115&gt;Inputs!$F$253,Debt!R112/Debt!R115,0)</f>
        <v/>
      </c>
      <c r="S7" s="16">
        <f>IF(Debt!S115&gt;Inputs!$F$253,Debt!S112/Debt!S115,0)</f>
        <v/>
      </c>
      <c r="T7" s="16">
        <f>IF(Debt!T115&gt;Inputs!$F$253,Debt!T112/Debt!T115,0)</f>
        <v/>
      </c>
      <c r="U7" s="16">
        <f>IF(Debt!U115&gt;Inputs!$F$253,Debt!U112/Debt!U115,0)</f>
        <v/>
      </c>
      <c r="V7" s="16">
        <f>IF(Debt!V115&gt;Inputs!$F$253,Debt!V112/Debt!V115,0)</f>
        <v/>
      </c>
      <c r="W7" s="16">
        <f>IF(Debt!W115&gt;Inputs!$F$253,Debt!W112/Debt!W115,0)</f>
        <v/>
      </c>
      <c r="X7" s="16">
        <f>IF(Debt!X115&gt;Inputs!$F$253,Debt!X112/Debt!X115,0)</f>
        <v/>
      </c>
      <c r="Y7" s="16">
        <f>IF(Debt!Y115&gt;Inputs!$F$253,Debt!Y112/Debt!Y115,0)</f>
        <v/>
      </c>
      <c r="Z7" s="16">
        <f>IF(Debt!Z115&gt;Inputs!$F$253,Debt!Z112/Debt!Z115,0)</f>
        <v/>
      </c>
      <c r="AA7" s="16">
        <f>IF(Debt!AA115&gt;Inputs!$F$253,Debt!AA112/Debt!AA115,0)</f>
        <v/>
      </c>
      <c r="AB7" s="16">
        <f>IF(Debt!AB115&gt;Inputs!$F$253,Debt!AB112/Debt!AB115,0)</f>
        <v/>
      </c>
      <c r="AC7" s="16">
        <f>IF(Debt!AC115&gt;Inputs!$F$253,Debt!AC112/Debt!AC115,0)</f>
        <v/>
      </c>
      <c r="AD7" s="16">
        <f>IF(Debt!AD115&gt;Inputs!$F$253,Debt!AD112/Debt!AD115,0)</f>
        <v/>
      </c>
      <c r="AE7" s="16">
        <f>IF(Debt!AE115&gt;Inputs!$F$253,Debt!AE112/Debt!AE115,0)</f>
        <v/>
      </c>
      <c r="AF7" s="16">
        <f>IF(Debt!AF115&gt;Inputs!$F$253,Debt!AF112/Debt!AF115,0)</f>
        <v/>
      </c>
      <c r="AG7" s="16">
        <f>IF(Debt!AG115&gt;Inputs!$F$253,Debt!AG112/Debt!AG115,0)</f>
        <v/>
      </c>
      <c r="AH7" s="16">
        <f>IF(Debt!AH115&gt;Inputs!$F$253,Debt!AH112/Debt!AH115,0)</f>
        <v/>
      </c>
      <c r="AI7" s="16">
        <f>IF(Debt!AI115&gt;Inputs!$F$253,Debt!AI112/Debt!AI115,0)</f>
        <v/>
      </c>
      <c r="AJ7" s="16">
        <f>IF(Debt!AJ115&gt;Inputs!$F$253,Debt!AJ112/Debt!AJ115,0)</f>
        <v/>
      </c>
      <c r="AK7" s="16">
        <f>IF(Debt!AK115&gt;Inputs!$F$253,Debt!AK112/Debt!AK115,0)</f>
        <v/>
      </c>
      <c r="AL7" s="16">
        <f>IF(Debt!AL115&gt;Inputs!$F$253,Debt!AL112/Debt!AL115,0)</f>
        <v/>
      </c>
      <c r="AM7" s="16">
        <f>IF(Debt!AM115&gt;Inputs!$F$253,Debt!AM112/Debt!AM115,0)</f>
        <v/>
      </c>
      <c r="AN7" s="16">
        <f>IF(Debt!AN115&gt;Inputs!$F$253,Debt!AN112/Debt!AN115,0)</f>
        <v/>
      </c>
      <c r="AO7" s="16">
        <f>IF(Debt!AO115&gt;Inputs!$F$253,Debt!AO112/Debt!AO115,0)</f>
        <v/>
      </c>
      <c r="AP7" s="16">
        <f>IF(Debt!AP115&gt;Inputs!$F$253,Debt!AP112/Debt!AP115,0)</f>
        <v/>
      </c>
      <c r="AQ7" s="16">
        <f>IF(Debt!AQ115&gt;Inputs!$F$253,Debt!AQ112/Debt!AQ115,0)</f>
        <v/>
      </c>
      <c r="AR7" s="16">
        <f>IF(Debt!AR115&gt;Inputs!$F$253,Debt!AR112/Debt!AR115,0)</f>
        <v/>
      </c>
      <c r="AS7" s="16">
        <f>IF(Debt!AS115&gt;Inputs!$F$253,Debt!AS112/Debt!AS115,0)</f>
        <v/>
      </c>
      <c r="AT7" s="16">
        <f>IF(Debt!AT115&gt;Inputs!$F$253,Debt!AT112/Debt!AT115,0)</f>
        <v/>
      </c>
      <c r="AU7" s="16">
        <f>IF(Debt!AU115&gt;Inputs!$F$253,Debt!AU112/Debt!AU115,0)</f>
        <v/>
      </c>
      <c r="AV7" s="16">
        <f>IF(Debt!AV115&gt;Inputs!$F$253,Debt!AV112/Debt!AV115,0)</f>
        <v/>
      </c>
      <c r="AW7" s="16">
        <f>IF(Debt!AW115&gt;Inputs!$F$253,Debt!AW112/Debt!AW115,0)</f>
        <v/>
      </c>
      <c r="AX7" s="16">
        <f>IF(Debt!AX115&gt;Inputs!$F$253,Debt!AX112/Debt!AX115,0)</f>
        <v/>
      </c>
      <c r="AY7" s="16">
        <f>IF(Debt!AY115&gt;Inputs!$F$253,Debt!AY112/Debt!AY115,0)</f>
        <v/>
      </c>
      <c r="AZ7" s="16">
        <f>IF(Debt!AZ115&gt;Inputs!$F$253,Debt!AZ112/Debt!AZ115,0)</f>
        <v/>
      </c>
      <c r="BA7" s="16">
        <f>IF(Debt!BA115&gt;Inputs!$F$253,Debt!BA112/Debt!BA115,0)</f>
        <v/>
      </c>
      <c r="BB7" s="16">
        <f>IF(Debt!BB115&gt;Inputs!$F$253,Debt!BB112/Debt!BB115,0)</f>
        <v/>
      </c>
      <c r="BC7" s="16">
        <f>IF(Debt!BC115&gt;Inputs!$F$253,Debt!BC112/Debt!BC115,0)</f>
        <v/>
      </c>
      <c r="BD7" s="16">
        <f>IF(Debt!BD115&gt;Inputs!$F$253,Debt!BD112/Debt!BD115,0)</f>
        <v/>
      </c>
      <c r="BE7" s="16">
        <f>IF(Debt!BE115&gt;Inputs!$F$253,Debt!BE112/Debt!BE115,0)</f>
        <v/>
      </c>
      <c r="BF7" s="16">
        <f>IF(Debt!BF115&gt;Inputs!$F$253,Debt!BF112/Debt!BF115,0)</f>
        <v/>
      </c>
      <c r="BG7" s="16">
        <f>IF(Debt!BG115&gt;Inputs!$F$253,Debt!BG112/Debt!BG115,0)</f>
        <v/>
      </c>
      <c r="BH7" s="16">
        <f>IF(Debt!BH115&gt;Inputs!$F$253,Debt!BH112/Debt!BH115,0)</f>
        <v/>
      </c>
      <c r="BI7" s="16">
        <f>IF(Debt!BI115&gt;Inputs!$F$253,Debt!BI112/Debt!BI115,0)</f>
        <v/>
      </c>
      <c r="BJ7" s="16">
        <f>IF(Debt!BJ115&gt;Inputs!$F$253,Debt!BJ112/Debt!BJ115,0)</f>
        <v/>
      </c>
      <c r="BK7" s="16">
        <f>IF(Debt!BK115&gt;Inputs!$F$253,Debt!BK112/Debt!BK115,0)</f>
        <v/>
      </c>
      <c r="BL7" s="16">
        <f>IF(Debt!BL115&gt;Inputs!$F$253,Debt!BL112/Debt!BL115,0)</f>
        <v/>
      </c>
      <c r="BM7" s="16">
        <f>IF(Debt!BM115&gt;Inputs!$F$253,Debt!BM112/Debt!BM115,0)</f>
        <v/>
      </c>
      <c r="BN7" s="16">
        <f>IF(Debt!BN115&gt;Inputs!$F$253,Debt!BN112/Debt!BN115,0)</f>
        <v/>
      </c>
    </row>
    <row r="8">
      <c r="D8" t="inlineStr">
        <is>
          <t>Final maturity period</t>
        </is>
      </c>
      <c r="E8" t="inlineStr">
        <is>
          <t>index</t>
        </is>
      </c>
      <c r="F8" s="9">
        <f>SUMPRODUCT(MAX((Debt!$J$115:$BN$115&gt;Inputs!$F$253)*Time!$J$20:$BN$20))</f>
        <v/>
      </c>
    </row>
    <row r="9">
      <c r="D9" t="inlineStr">
        <is>
          <t>Rate in final maturity period</t>
        </is>
      </c>
      <c r="E9" t="inlineStr">
        <is>
          <t>factor</t>
        </is>
      </c>
      <c r="F9" s="16">
        <f>INDEX(Ratios!$J$7:$BN$7,1,Ratios!$F$8)</f>
        <v/>
      </c>
    </row>
    <row r="10">
      <c r="D10" t="inlineStr">
        <is>
          <t>Discount rate used</t>
        </is>
      </c>
      <c r="E10" t="inlineStr">
        <is>
          <t>factor</t>
        </is>
      </c>
      <c r="J10" s="16">
        <f>IF(J7&gt;0,J7,$F$9)</f>
        <v/>
      </c>
      <c r="K10" s="16">
        <f>IF(K7&gt;0,K7,$F$9)</f>
        <v/>
      </c>
      <c r="L10" s="16">
        <f>IF(L7&gt;0,L7,$F$9)</f>
        <v/>
      </c>
      <c r="M10" s="16">
        <f>IF(M7&gt;0,M7,$F$9)</f>
        <v/>
      </c>
      <c r="N10" s="16">
        <f>IF(N7&gt;0,N7,$F$9)</f>
        <v/>
      </c>
      <c r="O10" s="16">
        <f>IF(O7&gt;0,O7,$F$9)</f>
        <v/>
      </c>
      <c r="P10" s="16">
        <f>IF(P7&gt;0,P7,$F$9)</f>
        <v/>
      </c>
      <c r="Q10" s="16">
        <f>IF(Q7&gt;0,Q7,$F$9)</f>
        <v/>
      </c>
      <c r="R10" s="16">
        <f>IF(R7&gt;0,R7,$F$9)</f>
        <v/>
      </c>
      <c r="S10" s="16">
        <f>IF(S7&gt;0,S7,$F$9)</f>
        <v/>
      </c>
      <c r="T10" s="16">
        <f>IF(T7&gt;0,T7,$F$9)</f>
        <v/>
      </c>
      <c r="U10" s="16">
        <f>IF(U7&gt;0,U7,$F$9)</f>
        <v/>
      </c>
      <c r="V10" s="16">
        <f>IF(V7&gt;0,V7,$F$9)</f>
        <v/>
      </c>
      <c r="W10" s="16">
        <f>IF(W7&gt;0,W7,$F$9)</f>
        <v/>
      </c>
      <c r="X10" s="16">
        <f>IF(X7&gt;0,X7,$F$9)</f>
        <v/>
      </c>
      <c r="Y10" s="16">
        <f>IF(Y7&gt;0,Y7,$F$9)</f>
        <v/>
      </c>
      <c r="Z10" s="16">
        <f>IF(Z7&gt;0,Z7,$F$9)</f>
        <v/>
      </c>
      <c r="AA10" s="16">
        <f>IF(AA7&gt;0,AA7,$F$9)</f>
        <v/>
      </c>
      <c r="AB10" s="16">
        <f>IF(AB7&gt;0,AB7,$F$9)</f>
        <v/>
      </c>
      <c r="AC10" s="16">
        <f>IF(AC7&gt;0,AC7,$F$9)</f>
        <v/>
      </c>
      <c r="AD10" s="16">
        <f>IF(AD7&gt;0,AD7,$F$9)</f>
        <v/>
      </c>
      <c r="AE10" s="16">
        <f>IF(AE7&gt;0,AE7,$F$9)</f>
        <v/>
      </c>
      <c r="AF10" s="16">
        <f>IF(AF7&gt;0,AF7,$F$9)</f>
        <v/>
      </c>
      <c r="AG10" s="16">
        <f>IF(AG7&gt;0,AG7,$F$9)</f>
        <v/>
      </c>
      <c r="AH10" s="16">
        <f>IF(AH7&gt;0,AH7,$F$9)</f>
        <v/>
      </c>
      <c r="AI10" s="16">
        <f>IF(AI7&gt;0,AI7,$F$9)</f>
        <v/>
      </c>
      <c r="AJ10" s="16">
        <f>IF(AJ7&gt;0,AJ7,$F$9)</f>
        <v/>
      </c>
      <c r="AK10" s="16">
        <f>IF(AK7&gt;0,AK7,$F$9)</f>
        <v/>
      </c>
      <c r="AL10" s="16">
        <f>IF(AL7&gt;0,AL7,$F$9)</f>
        <v/>
      </c>
      <c r="AM10" s="16">
        <f>IF(AM7&gt;0,AM7,$F$9)</f>
        <v/>
      </c>
      <c r="AN10" s="16">
        <f>IF(AN7&gt;0,AN7,$F$9)</f>
        <v/>
      </c>
      <c r="AO10" s="16">
        <f>IF(AO7&gt;0,AO7,$F$9)</f>
        <v/>
      </c>
      <c r="AP10" s="16">
        <f>IF(AP7&gt;0,AP7,$F$9)</f>
        <v/>
      </c>
      <c r="AQ10" s="16">
        <f>IF(AQ7&gt;0,AQ7,$F$9)</f>
        <v/>
      </c>
      <c r="AR10" s="16">
        <f>IF(AR7&gt;0,AR7,$F$9)</f>
        <v/>
      </c>
      <c r="AS10" s="16">
        <f>IF(AS7&gt;0,AS7,$F$9)</f>
        <v/>
      </c>
      <c r="AT10" s="16">
        <f>IF(AT7&gt;0,AT7,$F$9)</f>
        <v/>
      </c>
      <c r="AU10" s="16">
        <f>IF(AU7&gt;0,AU7,$F$9)</f>
        <v/>
      </c>
      <c r="AV10" s="16">
        <f>IF(AV7&gt;0,AV7,$F$9)</f>
        <v/>
      </c>
      <c r="AW10" s="16">
        <f>IF(AW7&gt;0,AW7,$F$9)</f>
        <v/>
      </c>
      <c r="AX10" s="16">
        <f>IF(AX7&gt;0,AX7,$F$9)</f>
        <v/>
      </c>
      <c r="AY10" s="16">
        <f>IF(AY7&gt;0,AY7,$F$9)</f>
        <v/>
      </c>
      <c r="AZ10" s="16">
        <f>IF(AZ7&gt;0,AZ7,$F$9)</f>
        <v/>
      </c>
      <c r="BA10" s="16">
        <f>IF(BA7&gt;0,BA7,$F$9)</f>
        <v/>
      </c>
      <c r="BB10" s="16">
        <f>IF(BB7&gt;0,BB7,$F$9)</f>
        <v/>
      </c>
      <c r="BC10" s="16">
        <f>IF(BC7&gt;0,BC7,$F$9)</f>
        <v/>
      </c>
      <c r="BD10" s="16">
        <f>IF(BD7&gt;0,BD7,$F$9)</f>
        <v/>
      </c>
      <c r="BE10" s="16">
        <f>IF(BE7&gt;0,BE7,$F$9)</f>
        <v/>
      </c>
      <c r="BF10" s="16">
        <f>IF(BF7&gt;0,BF7,$F$9)</f>
        <v/>
      </c>
      <c r="BG10" s="16">
        <f>IF(BG7&gt;0,BG7,$F$9)</f>
        <v/>
      </c>
      <c r="BH10" s="16">
        <f>IF(BH7&gt;0,BH7,$F$9)</f>
        <v/>
      </c>
      <c r="BI10" s="16">
        <f>IF(BI7&gt;0,BI7,$F$9)</f>
        <v/>
      </c>
      <c r="BJ10" s="16">
        <f>IF(BJ7&gt;0,BJ7,$F$9)</f>
        <v/>
      </c>
      <c r="BK10" s="16">
        <f>IF(BK7&gt;0,BK7,$F$9)</f>
        <v/>
      </c>
      <c r="BL10" s="16">
        <f>IF(BL7&gt;0,BL7,$F$9)</f>
        <v/>
      </c>
      <c r="BM10" s="16">
        <f>IF(BM7&gt;0,BM7,$F$9)</f>
        <v/>
      </c>
      <c r="BN10" s="16">
        <f>IF(BN7&gt;0,BN7,$F$9)</f>
        <v/>
      </c>
    </row>
    <row r="11">
      <c r="D11" t="inlineStr">
        <is>
          <t>PV of CFADS to final maturity</t>
        </is>
      </c>
      <c r="E11" t="inlineStr">
        <is>
          <t>USD m</t>
        </is>
      </c>
      <c r="J11" s="13">
        <f>IF(Time!J20&lt;=$F$8,(Waterfall!J7+K11)/(1+J10),0)</f>
        <v/>
      </c>
      <c r="K11" s="13">
        <f>IF(Time!K20&lt;=$F$8,(Waterfall!K7+L11)/(1+K10),0)</f>
        <v/>
      </c>
      <c r="L11" s="13">
        <f>IF(Time!L20&lt;=$F$8,(Waterfall!L7+M11)/(1+L10),0)</f>
        <v/>
      </c>
      <c r="M11" s="13">
        <f>IF(Time!M20&lt;=$F$8,(Waterfall!M7+N11)/(1+M10),0)</f>
        <v/>
      </c>
      <c r="N11" s="13">
        <f>IF(Time!N20&lt;=$F$8,(Waterfall!N7+O11)/(1+N10),0)</f>
        <v/>
      </c>
      <c r="O11" s="13">
        <f>IF(Time!O20&lt;=$F$8,(Waterfall!O7+P11)/(1+O10),0)</f>
        <v/>
      </c>
      <c r="P11" s="13">
        <f>IF(Time!P20&lt;=$F$8,(Waterfall!P7+Q11)/(1+P10),0)</f>
        <v/>
      </c>
      <c r="Q11" s="13">
        <f>IF(Time!Q20&lt;=$F$8,(Waterfall!Q7+R11)/(1+Q10),0)</f>
        <v/>
      </c>
      <c r="R11" s="13">
        <f>IF(Time!R20&lt;=$F$8,(Waterfall!R7+S11)/(1+R10),0)</f>
        <v/>
      </c>
      <c r="S11" s="13">
        <f>IF(Time!S20&lt;=$F$8,(Waterfall!S7+T11)/(1+S10),0)</f>
        <v/>
      </c>
      <c r="T11" s="13">
        <f>IF(Time!T20&lt;=$F$8,(Waterfall!T7+U11)/(1+T10),0)</f>
        <v/>
      </c>
      <c r="U11" s="13">
        <f>IF(Time!U20&lt;=$F$8,(Waterfall!U7+V11)/(1+U10),0)</f>
        <v/>
      </c>
      <c r="V11" s="13">
        <f>IF(Time!V20&lt;=$F$8,(Waterfall!V7+W11)/(1+V10),0)</f>
        <v/>
      </c>
      <c r="W11" s="13">
        <f>IF(Time!W20&lt;=$F$8,(Waterfall!W7+X11)/(1+W10),0)</f>
        <v/>
      </c>
      <c r="X11" s="13">
        <f>IF(Time!X20&lt;=$F$8,(Waterfall!X7+Y11)/(1+X10),0)</f>
        <v/>
      </c>
      <c r="Y11" s="13">
        <f>IF(Time!Y20&lt;=$F$8,(Waterfall!Y7+Z11)/(1+Y10),0)</f>
        <v/>
      </c>
      <c r="Z11" s="13">
        <f>IF(Time!Z20&lt;=$F$8,(Waterfall!Z7+AA11)/(1+Z10),0)</f>
        <v/>
      </c>
      <c r="AA11" s="13">
        <f>IF(Time!AA20&lt;=$F$8,(Waterfall!AA7+AB11)/(1+AA10),0)</f>
        <v/>
      </c>
      <c r="AB11" s="13">
        <f>IF(Time!AB20&lt;=$F$8,(Waterfall!AB7+AC11)/(1+AB10),0)</f>
        <v/>
      </c>
      <c r="AC11" s="13">
        <f>IF(Time!AC20&lt;=$F$8,(Waterfall!AC7+AD11)/(1+AC10),0)</f>
        <v/>
      </c>
      <c r="AD11" s="13">
        <f>IF(Time!AD20&lt;=$F$8,(Waterfall!AD7+AE11)/(1+AD10),0)</f>
        <v/>
      </c>
      <c r="AE11" s="13">
        <f>IF(Time!AE20&lt;=$F$8,(Waterfall!AE7+AF11)/(1+AE10),0)</f>
        <v/>
      </c>
      <c r="AF11" s="13">
        <f>IF(Time!AF20&lt;=$F$8,(Waterfall!AF7+AG11)/(1+AF10),0)</f>
        <v/>
      </c>
      <c r="AG11" s="13">
        <f>IF(Time!AG20&lt;=$F$8,(Waterfall!AG7+AH11)/(1+AG10),0)</f>
        <v/>
      </c>
      <c r="AH11" s="13">
        <f>IF(Time!AH20&lt;=$F$8,(Waterfall!AH7+AI11)/(1+AH10),0)</f>
        <v/>
      </c>
      <c r="AI11" s="13">
        <f>IF(Time!AI20&lt;=$F$8,(Waterfall!AI7+AJ11)/(1+AI10),0)</f>
        <v/>
      </c>
      <c r="AJ11" s="13">
        <f>IF(Time!AJ20&lt;=$F$8,(Waterfall!AJ7+AK11)/(1+AJ10),0)</f>
        <v/>
      </c>
      <c r="AK11" s="13">
        <f>IF(Time!AK20&lt;=$F$8,(Waterfall!AK7+AL11)/(1+AK10),0)</f>
        <v/>
      </c>
      <c r="AL11" s="13">
        <f>IF(Time!AL20&lt;=$F$8,(Waterfall!AL7+AM11)/(1+AL10),0)</f>
        <v/>
      </c>
      <c r="AM11" s="13">
        <f>IF(Time!AM20&lt;=$F$8,(Waterfall!AM7+AN11)/(1+AM10),0)</f>
        <v/>
      </c>
      <c r="AN11" s="13">
        <f>IF(Time!AN20&lt;=$F$8,(Waterfall!AN7+AO11)/(1+AN10),0)</f>
        <v/>
      </c>
      <c r="AO11" s="13">
        <f>IF(Time!AO20&lt;=$F$8,(Waterfall!AO7+AP11)/(1+AO10),0)</f>
        <v/>
      </c>
      <c r="AP11" s="13">
        <f>IF(Time!AP20&lt;=$F$8,(Waterfall!AP7+AQ11)/(1+AP10),0)</f>
        <v/>
      </c>
      <c r="AQ11" s="13">
        <f>IF(Time!AQ20&lt;=$F$8,(Waterfall!AQ7+AR11)/(1+AQ10),0)</f>
        <v/>
      </c>
      <c r="AR11" s="13">
        <f>IF(Time!AR20&lt;=$F$8,(Waterfall!AR7+AS11)/(1+AR10),0)</f>
        <v/>
      </c>
      <c r="AS11" s="13">
        <f>IF(Time!AS20&lt;=$F$8,(Waterfall!AS7+AT11)/(1+AS10),0)</f>
        <v/>
      </c>
      <c r="AT11" s="13">
        <f>IF(Time!AT20&lt;=$F$8,(Waterfall!AT7+AU11)/(1+AT10),0)</f>
        <v/>
      </c>
      <c r="AU11" s="13">
        <f>IF(Time!AU20&lt;=$F$8,(Waterfall!AU7+AV11)/(1+AU10),0)</f>
        <v/>
      </c>
      <c r="AV11" s="13">
        <f>IF(Time!AV20&lt;=$F$8,(Waterfall!AV7+AW11)/(1+AV10),0)</f>
        <v/>
      </c>
      <c r="AW11" s="13">
        <f>IF(Time!AW20&lt;=$F$8,(Waterfall!AW7+AX11)/(1+AW10),0)</f>
        <v/>
      </c>
      <c r="AX11" s="13">
        <f>IF(Time!AX20&lt;=$F$8,(Waterfall!AX7+AY11)/(1+AX10),0)</f>
        <v/>
      </c>
      <c r="AY11" s="13">
        <f>IF(Time!AY20&lt;=$F$8,(Waterfall!AY7+AZ11)/(1+AY10),0)</f>
        <v/>
      </c>
      <c r="AZ11" s="13">
        <f>IF(Time!AZ20&lt;=$F$8,(Waterfall!AZ7+BA11)/(1+AZ10),0)</f>
        <v/>
      </c>
      <c r="BA11" s="13">
        <f>IF(Time!BA20&lt;=$F$8,(Waterfall!BA7+BB11)/(1+BA10),0)</f>
        <v/>
      </c>
      <c r="BB11" s="13">
        <f>IF(Time!BB20&lt;=$F$8,(Waterfall!BB7+BC11)/(1+BB10),0)</f>
        <v/>
      </c>
      <c r="BC11" s="13">
        <f>IF(Time!BC20&lt;=$F$8,(Waterfall!BC7+BD11)/(1+BC10),0)</f>
        <v/>
      </c>
      <c r="BD11" s="13">
        <f>IF(Time!BD20&lt;=$F$8,(Waterfall!BD7+BE11)/(1+BD10),0)</f>
        <v/>
      </c>
      <c r="BE11" s="13">
        <f>IF(Time!BE20&lt;=$F$8,(Waterfall!BE7+BF11)/(1+BE10),0)</f>
        <v/>
      </c>
      <c r="BF11" s="13">
        <f>IF(Time!BF20&lt;=$F$8,(Waterfall!BF7+BG11)/(1+BF10),0)</f>
        <v/>
      </c>
      <c r="BG11" s="13">
        <f>IF(Time!BG20&lt;=$F$8,(Waterfall!BG7+BH11)/(1+BG10),0)</f>
        <v/>
      </c>
      <c r="BH11" s="13">
        <f>IF(Time!BH20&lt;=$F$8,(Waterfall!BH7+BI11)/(1+BH10),0)</f>
        <v/>
      </c>
      <c r="BI11" s="13">
        <f>IF(Time!BI20&lt;=$F$8,(Waterfall!BI7+BJ11)/(1+BI10),0)</f>
        <v/>
      </c>
      <c r="BJ11" s="13">
        <f>IF(Time!BJ20&lt;=$F$8,(Waterfall!BJ7+BK11)/(1+BJ10),0)</f>
        <v/>
      </c>
      <c r="BK11" s="13">
        <f>IF(Time!BK20&lt;=$F$8,(Waterfall!BK7+BL11)/(1+BK10),0)</f>
        <v/>
      </c>
      <c r="BL11" s="13">
        <f>IF(Time!BL20&lt;=$F$8,(Waterfall!BL7+BM11)/(1+BL10),0)</f>
        <v/>
      </c>
      <c r="BM11" s="13">
        <f>IF(Time!BM20&lt;=$F$8,(Waterfall!BM7+BN11)/(1+BM10),0)</f>
        <v/>
      </c>
      <c r="BN11" s="13">
        <f>IF(Time!BN20&lt;=$F$8,(Waterfall!BN7+BO11)/(1+BN10),0)</f>
        <v/>
      </c>
    </row>
    <row r="12">
      <c r="D12" t="inlineStr">
        <is>
          <t>PV of CFADS to PPA expiry</t>
        </is>
      </c>
      <c r="E12" t="inlineStr">
        <is>
          <t>USD m</t>
        </is>
      </c>
      <c r="J12" s="13">
        <f>IF(Time!J20&lt;=Time!$F$15,(Waterfall!J7+K12)/(1+J10),0)</f>
        <v/>
      </c>
      <c r="K12" s="13">
        <f>IF(Time!K20&lt;=Time!$F$15,(Waterfall!K7+L12)/(1+K10),0)</f>
        <v/>
      </c>
      <c r="L12" s="13">
        <f>IF(Time!L20&lt;=Time!$F$15,(Waterfall!L7+M12)/(1+L10),0)</f>
        <v/>
      </c>
      <c r="M12" s="13">
        <f>IF(Time!M20&lt;=Time!$F$15,(Waterfall!M7+N12)/(1+M10),0)</f>
        <v/>
      </c>
      <c r="N12" s="13">
        <f>IF(Time!N20&lt;=Time!$F$15,(Waterfall!N7+O12)/(1+N10),0)</f>
        <v/>
      </c>
      <c r="O12" s="13">
        <f>IF(Time!O20&lt;=Time!$F$15,(Waterfall!O7+P12)/(1+O10),0)</f>
        <v/>
      </c>
      <c r="P12" s="13">
        <f>IF(Time!P20&lt;=Time!$F$15,(Waterfall!P7+Q12)/(1+P10),0)</f>
        <v/>
      </c>
      <c r="Q12" s="13">
        <f>IF(Time!Q20&lt;=Time!$F$15,(Waterfall!Q7+R12)/(1+Q10),0)</f>
        <v/>
      </c>
      <c r="R12" s="13">
        <f>IF(Time!R20&lt;=Time!$F$15,(Waterfall!R7+S12)/(1+R10),0)</f>
        <v/>
      </c>
      <c r="S12" s="13">
        <f>IF(Time!S20&lt;=Time!$F$15,(Waterfall!S7+T12)/(1+S10),0)</f>
        <v/>
      </c>
      <c r="T12" s="13">
        <f>IF(Time!T20&lt;=Time!$F$15,(Waterfall!T7+U12)/(1+T10),0)</f>
        <v/>
      </c>
      <c r="U12" s="13">
        <f>IF(Time!U20&lt;=Time!$F$15,(Waterfall!U7+V12)/(1+U10),0)</f>
        <v/>
      </c>
      <c r="V12" s="13">
        <f>IF(Time!V20&lt;=Time!$F$15,(Waterfall!V7+W12)/(1+V10),0)</f>
        <v/>
      </c>
      <c r="W12" s="13">
        <f>IF(Time!W20&lt;=Time!$F$15,(Waterfall!W7+X12)/(1+W10),0)</f>
        <v/>
      </c>
      <c r="X12" s="13">
        <f>IF(Time!X20&lt;=Time!$F$15,(Waterfall!X7+Y12)/(1+X10),0)</f>
        <v/>
      </c>
      <c r="Y12" s="13">
        <f>IF(Time!Y20&lt;=Time!$F$15,(Waterfall!Y7+Z12)/(1+Y10),0)</f>
        <v/>
      </c>
      <c r="Z12" s="13">
        <f>IF(Time!Z20&lt;=Time!$F$15,(Waterfall!Z7+AA12)/(1+Z10),0)</f>
        <v/>
      </c>
      <c r="AA12" s="13">
        <f>IF(Time!AA20&lt;=Time!$F$15,(Waterfall!AA7+AB12)/(1+AA10),0)</f>
        <v/>
      </c>
      <c r="AB12" s="13">
        <f>IF(Time!AB20&lt;=Time!$F$15,(Waterfall!AB7+AC12)/(1+AB10),0)</f>
        <v/>
      </c>
      <c r="AC12" s="13">
        <f>IF(Time!AC20&lt;=Time!$F$15,(Waterfall!AC7+AD12)/(1+AC10),0)</f>
        <v/>
      </c>
      <c r="AD12" s="13">
        <f>IF(Time!AD20&lt;=Time!$F$15,(Waterfall!AD7+AE12)/(1+AD10),0)</f>
        <v/>
      </c>
      <c r="AE12" s="13">
        <f>IF(Time!AE20&lt;=Time!$F$15,(Waterfall!AE7+AF12)/(1+AE10),0)</f>
        <v/>
      </c>
      <c r="AF12" s="13">
        <f>IF(Time!AF20&lt;=Time!$F$15,(Waterfall!AF7+AG12)/(1+AF10),0)</f>
        <v/>
      </c>
      <c r="AG12" s="13">
        <f>IF(Time!AG20&lt;=Time!$F$15,(Waterfall!AG7+AH12)/(1+AG10),0)</f>
        <v/>
      </c>
      <c r="AH12" s="13">
        <f>IF(Time!AH20&lt;=Time!$F$15,(Waterfall!AH7+AI12)/(1+AH10),0)</f>
        <v/>
      </c>
      <c r="AI12" s="13">
        <f>IF(Time!AI20&lt;=Time!$F$15,(Waterfall!AI7+AJ12)/(1+AI10),0)</f>
        <v/>
      </c>
      <c r="AJ12" s="13">
        <f>IF(Time!AJ20&lt;=Time!$F$15,(Waterfall!AJ7+AK12)/(1+AJ10),0)</f>
        <v/>
      </c>
      <c r="AK12" s="13">
        <f>IF(Time!AK20&lt;=Time!$F$15,(Waterfall!AK7+AL12)/(1+AK10),0)</f>
        <v/>
      </c>
      <c r="AL12" s="13">
        <f>IF(Time!AL20&lt;=Time!$F$15,(Waterfall!AL7+AM12)/(1+AL10),0)</f>
        <v/>
      </c>
      <c r="AM12" s="13">
        <f>IF(Time!AM20&lt;=Time!$F$15,(Waterfall!AM7+AN12)/(1+AM10),0)</f>
        <v/>
      </c>
      <c r="AN12" s="13">
        <f>IF(Time!AN20&lt;=Time!$F$15,(Waterfall!AN7+AO12)/(1+AN10),0)</f>
        <v/>
      </c>
      <c r="AO12" s="13">
        <f>IF(Time!AO20&lt;=Time!$F$15,(Waterfall!AO7+AP12)/(1+AO10),0)</f>
        <v/>
      </c>
      <c r="AP12" s="13">
        <f>IF(Time!AP20&lt;=Time!$F$15,(Waterfall!AP7+AQ12)/(1+AP10),0)</f>
        <v/>
      </c>
      <c r="AQ12" s="13">
        <f>IF(Time!AQ20&lt;=Time!$F$15,(Waterfall!AQ7+AR12)/(1+AQ10),0)</f>
        <v/>
      </c>
      <c r="AR12" s="13">
        <f>IF(Time!AR20&lt;=Time!$F$15,(Waterfall!AR7+AS12)/(1+AR10),0)</f>
        <v/>
      </c>
      <c r="AS12" s="13">
        <f>IF(Time!AS20&lt;=Time!$F$15,(Waterfall!AS7+AT12)/(1+AS10),0)</f>
        <v/>
      </c>
      <c r="AT12" s="13">
        <f>IF(Time!AT20&lt;=Time!$F$15,(Waterfall!AT7+AU12)/(1+AT10),0)</f>
        <v/>
      </c>
      <c r="AU12" s="13">
        <f>IF(Time!AU20&lt;=Time!$F$15,(Waterfall!AU7+AV12)/(1+AU10),0)</f>
        <v/>
      </c>
      <c r="AV12" s="13">
        <f>IF(Time!AV20&lt;=Time!$F$15,(Waterfall!AV7+AW12)/(1+AV10),0)</f>
        <v/>
      </c>
      <c r="AW12" s="13">
        <f>IF(Time!AW20&lt;=Time!$F$15,(Waterfall!AW7+AX12)/(1+AW10),0)</f>
        <v/>
      </c>
      <c r="AX12" s="13">
        <f>IF(Time!AX20&lt;=Time!$F$15,(Waterfall!AX7+AY12)/(1+AX10),0)</f>
        <v/>
      </c>
      <c r="AY12" s="13">
        <f>IF(Time!AY20&lt;=Time!$F$15,(Waterfall!AY7+AZ12)/(1+AY10),0)</f>
        <v/>
      </c>
      <c r="AZ12" s="13">
        <f>IF(Time!AZ20&lt;=Time!$F$15,(Waterfall!AZ7+BA12)/(1+AZ10),0)</f>
        <v/>
      </c>
      <c r="BA12" s="13">
        <f>IF(Time!BA20&lt;=Time!$F$15,(Waterfall!BA7+BB12)/(1+BA10),0)</f>
        <v/>
      </c>
      <c r="BB12" s="13">
        <f>IF(Time!BB20&lt;=Time!$F$15,(Waterfall!BB7+BC12)/(1+BB10),0)</f>
        <v/>
      </c>
      <c r="BC12" s="13">
        <f>IF(Time!BC20&lt;=Time!$F$15,(Waterfall!BC7+BD12)/(1+BC10),0)</f>
        <v/>
      </c>
      <c r="BD12" s="13">
        <f>IF(Time!BD20&lt;=Time!$F$15,(Waterfall!BD7+BE12)/(1+BD10),0)</f>
        <v/>
      </c>
      <c r="BE12" s="13">
        <f>IF(Time!BE20&lt;=Time!$F$15,(Waterfall!BE7+BF12)/(1+BE10),0)</f>
        <v/>
      </c>
      <c r="BF12" s="13">
        <f>IF(Time!BF20&lt;=Time!$F$15,(Waterfall!BF7+BG12)/(1+BF10),0)</f>
        <v/>
      </c>
      <c r="BG12" s="13">
        <f>IF(Time!BG20&lt;=Time!$F$15,(Waterfall!BG7+BH12)/(1+BG10),0)</f>
        <v/>
      </c>
      <c r="BH12" s="13">
        <f>IF(Time!BH20&lt;=Time!$F$15,(Waterfall!BH7+BI12)/(1+BH10),0)</f>
        <v/>
      </c>
      <c r="BI12" s="13">
        <f>IF(Time!BI20&lt;=Time!$F$15,(Waterfall!BI7+BJ12)/(1+BI10),0)</f>
        <v/>
      </c>
      <c r="BJ12" s="13">
        <f>IF(Time!BJ20&lt;=Time!$F$15,(Waterfall!BJ7+BK12)/(1+BJ10),0)</f>
        <v/>
      </c>
      <c r="BK12" s="13">
        <f>IF(Time!BK20&lt;=Time!$F$15,(Waterfall!BK7+BL12)/(1+BK10),0)</f>
        <v/>
      </c>
      <c r="BL12" s="13">
        <f>IF(Time!BL20&lt;=Time!$F$15,(Waterfall!BL7+BM12)/(1+BL10),0)</f>
        <v/>
      </c>
      <c r="BM12" s="13">
        <f>IF(Time!BM20&lt;=Time!$F$15,(Waterfall!BM7+BN12)/(1+BM10),0)</f>
        <v/>
      </c>
      <c r="BN12" s="13">
        <f>IF(Time!BN20&lt;=Time!$F$15,(Waterfall!BN7+BO12)/(1+BN10),0)</f>
        <v/>
      </c>
    </row>
    <row r="13">
      <c r="D13" t="inlineStr">
        <is>
          <t>LLCR = (PV CFADS + DSRA) / debt</t>
        </is>
      </c>
      <c r="E13" t="inlineStr">
        <is>
          <t>x</t>
        </is>
      </c>
      <c r="J13" s="3">
        <f>IF(Debt!J115&gt;Inputs!$F$253,(J11+Reserves!J9)/Debt!J115,0)</f>
        <v/>
      </c>
      <c r="K13" s="3">
        <f>IF(Debt!K115&gt;Inputs!$F$253,(K11+Reserves!K9)/Debt!K115,0)</f>
        <v/>
      </c>
      <c r="L13" s="3">
        <f>IF(Debt!L115&gt;Inputs!$F$253,(L11+Reserves!L9)/Debt!L115,0)</f>
        <v/>
      </c>
      <c r="M13" s="3">
        <f>IF(Debt!M115&gt;Inputs!$F$253,(M11+Reserves!M9)/Debt!M115,0)</f>
        <v/>
      </c>
      <c r="N13" s="3">
        <f>IF(Debt!N115&gt;Inputs!$F$253,(N11+Reserves!N9)/Debt!N115,0)</f>
        <v/>
      </c>
      <c r="O13" s="3">
        <f>IF(Debt!O115&gt;Inputs!$F$253,(O11+Reserves!O9)/Debt!O115,0)</f>
        <v/>
      </c>
      <c r="P13" s="3">
        <f>IF(Debt!P115&gt;Inputs!$F$253,(P11+Reserves!P9)/Debt!P115,0)</f>
        <v/>
      </c>
      <c r="Q13" s="3">
        <f>IF(Debt!Q115&gt;Inputs!$F$253,(Q11+Reserves!Q9)/Debt!Q115,0)</f>
        <v/>
      </c>
      <c r="R13" s="3">
        <f>IF(Debt!R115&gt;Inputs!$F$253,(R11+Reserves!R9)/Debt!R115,0)</f>
        <v/>
      </c>
      <c r="S13" s="3">
        <f>IF(Debt!S115&gt;Inputs!$F$253,(S11+Reserves!S9)/Debt!S115,0)</f>
        <v/>
      </c>
      <c r="T13" s="3">
        <f>IF(Debt!T115&gt;Inputs!$F$253,(T11+Reserves!T9)/Debt!T115,0)</f>
        <v/>
      </c>
      <c r="U13" s="3">
        <f>IF(Debt!U115&gt;Inputs!$F$253,(U11+Reserves!U9)/Debt!U115,0)</f>
        <v/>
      </c>
      <c r="V13" s="3">
        <f>IF(Debt!V115&gt;Inputs!$F$253,(V11+Reserves!V9)/Debt!V115,0)</f>
        <v/>
      </c>
      <c r="W13" s="3">
        <f>IF(Debt!W115&gt;Inputs!$F$253,(W11+Reserves!W9)/Debt!W115,0)</f>
        <v/>
      </c>
      <c r="X13" s="3">
        <f>IF(Debt!X115&gt;Inputs!$F$253,(X11+Reserves!X9)/Debt!X115,0)</f>
        <v/>
      </c>
      <c r="Y13" s="3">
        <f>IF(Debt!Y115&gt;Inputs!$F$253,(Y11+Reserves!Y9)/Debt!Y115,0)</f>
        <v/>
      </c>
      <c r="Z13" s="3">
        <f>IF(Debt!Z115&gt;Inputs!$F$253,(Z11+Reserves!Z9)/Debt!Z115,0)</f>
        <v/>
      </c>
      <c r="AA13" s="3">
        <f>IF(Debt!AA115&gt;Inputs!$F$253,(AA11+Reserves!AA9)/Debt!AA115,0)</f>
        <v/>
      </c>
      <c r="AB13" s="3">
        <f>IF(Debt!AB115&gt;Inputs!$F$253,(AB11+Reserves!AB9)/Debt!AB115,0)</f>
        <v/>
      </c>
      <c r="AC13" s="3">
        <f>IF(Debt!AC115&gt;Inputs!$F$253,(AC11+Reserves!AC9)/Debt!AC115,0)</f>
        <v/>
      </c>
      <c r="AD13" s="3">
        <f>IF(Debt!AD115&gt;Inputs!$F$253,(AD11+Reserves!AD9)/Debt!AD115,0)</f>
        <v/>
      </c>
      <c r="AE13" s="3">
        <f>IF(Debt!AE115&gt;Inputs!$F$253,(AE11+Reserves!AE9)/Debt!AE115,0)</f>
        <v/>
      </c>
      <c r="AF13" s="3">
        <f>IF(Debt!AF115&gt;Inputs!$F$253,(AF11+Reserves!AF9)/Debt!AF115,0)</f>
        <v/>
      </c>
      <c r="AG13" s="3">
        <f>IF(Debt!AG115&gt;Inputs!$F$253,(AG11+Reserves!AG9)/Debt!AG115,0)</f>
        <v/>
      </c>
      <c r="AH13" s="3">
        <f>IF(Debt!AH115&gt;Inputs!$F$253,(AH11+Reserves!AH9)/Debt!AH115,0)</f>
        <v/>
      </c>
      <c r="AI13" s="3">
        <f>IF(Debt!AI115&gt;Inputs!$F$253,(AI11+Reserves!AI9)/Debt!AI115,0)</f>
        <v/>
      </c>
      <c r="AJ13" s="3">
        <f>IF(Debt!AJ115&gt;Inputs!$F$253,(AJ11+Reserves!AJ9)/Debt!AJ115,0)</f>
        <v/>
      </c>
      <c r="AK13" s="3">
        <f>IF(Debt!AK115&gt;Inputs!$F$253,(AK11+Reserves!AK9)/Debt!AK115,0)</f>
        <v/>
      </c>
      <c r="AL13" s="3">
        <f>IF(Debt!AL115&gt;Inputs!$F$253,(AL11+Reserves!AL9)/Debt!AL115,0)</f>
        <v/>
      </c>
      <c r="AM13" s="3">
        <f>IF(Debt!AM115&gt;Inputs!$F$253,(AM11+Reserves!AM9)/Debt!AM115,0)</f>
        <v/>
      </c>
      <c r="AN13" s="3">
        <f>IF(Debt!AN115&gt;Inputs!$F$253,(AN11+Reserves!AN9)/Debt!AN115,0)</f>
        <v/>
      </c>
      <c r="AO13" s="3">
        <f>IF(Debt!AO115&gt;Inputs!$F$253,(AO11+Reserves!AO9)/Debt!AO115,0)</f>
        <v/>
      </c>
      <c r="AP13" s="3">
        <f>IF(Debt!AP115&gt;Inputs!$F$253,(AP11+Reserves!AP9)/Debt!AP115,0)</f>
        <v/>
      </c>
      <c r="AQ13" s="3">
        <f>IF(Debt!AQ115&gt;Inputs!$F$253,(AQ11+Reserves!AQ9)/Debt!AQ115,0)</f>
        <v/>
      </c>
      <c r="AR13" s="3">
        <f>IF(Debt!AR115&gt;Inputs!$F$253,(AR11+Reserves!AR9)/Debt!AR115,0)</f>
        <v/>
      </c>
      <c r="AS13" s="3">
        <f>IF(Debt!AS115&gt;Inputs!$F$253,(AS11+Reserves!AS9)/Debt!AS115,0)</f>
        <v/>
      </c>
      <c r="AT13" s="3">
        <f>IF(Debt!AT115&gt;Inputs!$F$253,(AT11+Reserves!AT9)/Debt!AT115,0)</f>
        <v/>
      </c>
      <c r="AU13" s="3">
        <f>IF(Debt!AU115&gt;Inputs!$F$253,(AU11+Reserves!AU9)/Debt!AU115,0)</f>
        <v/>
      </c>
      <c r="AV13" s="3">
        <f>IF(Debt!AV115&gt;Inputs!$F$253,(AV11+Reserves!AV9)/Debt!AV115,0)</f>
        <v/>
      </c>
      <c r="AW13" s="3">
        <f>IF(Debt!AW115&gt;Inputs!$F$253,(AW11+Reserves!AW9)/Debt!AW115,0)</f>
        <v/>
      </c>
      <c r="AX13" s="3">
        <f>IF(Debt!AX115&gt;Inputs!$F$253,(AX11+Reserves!AX9)/Debt!AX115,0)</f>
        <v/>
      </c>
      <c r="AY13" s="3">
        <f>IF(Debt!AY115&gt;Inputs!$F$253,(AY11+Reserves!AY9)/Debt!AY115,0)</f>
        <v/>
      </c>
      <c r="AZ13" s="3">
        <f>IF(Debt!AZ115&gt;Inputs!$F$253,(AZ11+Reserves!AZ9)/Debt!AZ115,0)</f>
        <v/>
      </c>
      <c r="BA13" s="3">
        <f>IF(Debt!BA115&gt;Inputs!$F$253,(BA11+Reserves!BA9)/Debt!BA115,0)</f>
        <v/>
      </c>
      <c r="BB13" s="3">
        <f>IF(Debt!BB115&gt;Inputs!$F$253,(BB11+Reserves!BB9)/Debt!BB115,0)</f>
        <v/>
      </c>
      <c r="BC13" s="3">
        <f>IF(Debt!BC115&gt;Inputs!$F$253,(BC11+Reserves!BC9)/Debt!BC115,0)</f>
        <v/>
      </c>
      <c r="BD13" s="3">
        <f>IF(Debt!BD115&gt;Inputs!$F$253,(BD11+Reserves!BD9)/Debt!BD115,0)</f>
        <v/>
      </c>
      <c r="BE13" s="3">
        <f>IF(Debt!BE115&gt;Inputs!$F$253,(BE11+Reserves!BE9)/Debt!BE115,0)</f>
        <v/>
      </c>
      <c r="BF13" s="3">
        <f>IF(Debt!BF115&gt;Inputs!$F$253,(BF11+Reserves!BF9)/Debt!BF115,0)</f>
        <v/>
      </c>
      <c r="BG13" s="3">
        <f>IF(Debt!BG115&gt;Inputs!$F$253,(BG11+Reserves!BG9)/Debt!BG115,0)</f>
        <v/>
      </c>
      <c r="BH13" s="3">
        <f>IF(Debt!BH115&gt;Inputs!$F$253,(BH11+Reserves!BH9)/Debt!BH115,0)</f>
        <v/>
      </c>
      <c r="BI13" s="3">
        <f>IF(Debt!BI115&gt;Inputs!$F$253,(BI11+Reserves!BI9)/Debt!BI115,0)</f>
        <v/>
      </c>
      <c r="BJ13" s="3">
        <f>IF(Debt!BJ115&gt;Inputs!$F$253,(BJ11+Reserves!BJ9)/Debt!BJ115,0)</f>
        <v/>
      </c>
      <c r="BK13" s="3">
        <f>IF(Debt!BK115&gt;Inputs!$F$253,(BK11+Reserves!BK9)/Debt!BK115,0)</f>
        <v/>
      </c>
      <c r="BL13" s="3">
        <f>IF(Debt!BL115&gt;Inputs!$F$253,(BL11+Reserves!BL9)/Debt!BL115,0)</f>
        <v/>
      </c>
      <c r="BM13" s="3">
        <f>IF(Debt!BM115&gt;Inputs!$F$253,(BM11+Reserves!BM9)/Debt!BM115,0)</f>
        <v/>
      </c>
      <c r="BN13" s="3">
        <f>IF(Debt!BN115&gt;Inputs!$F$253,(BN11+Reserves!BN9)/Debt!BN115,0)</f>
        <v/>
      </c>
    </row>
    <row r="14">
      <c r="D14" t="inlineStr">
        <is>
          <t>LLCR excluding DSRA</t>
        </is>
      </c>
      <c r="E14" t="inlineStr">
        <is>
          <t>x</t>
        </is>
      </c>
      <c r="J14" s="3">
        <f>IF(Debt!J115&gt;Inputs!$F$253,J11/Debt!J115,0)</f>
        <v/>
      </c>
      <c r="K14" s="3">
        <f>IF(Debt!K115&gt;Inputs!$F$253,K11/Debt!K115,0)</f>
        <v/>
      </c>
      <c r="L14" s="3">
        <f>IF(Debt!L115&gt;Inputs!$F$253,L11/Debt!L115,0)</f>
        <v/>
      </c>
      <c r="M14" s="3">
        <f>IF(Debt!M115&gt;Inputs!$F$253,M11/Debt!M115,0)</f>
        <v/>
      </c>
      <c r="N14" s="3">
        <f>IF(Debt!N115&gt;Inputs!$F$253,N11/Debt!N115,0)</f>
        <v/>
      </c>
      <c r="O14" s="3">
        <f>IF(Debt!O115&gt;Inputs!$F$253,O11/Debt!O115,0)</f>
        <v/>
      </c>
      <c r="P14" s="3">
        <f>IF(Debt!P115&gt;Inputs!$F$253,P11/Debt!P115,0)</f>
        <v/>
      </c>
      <c r="Q14" s="3">
        <f>IF(Debt!Q115&gt;Inputs!$F$253,Q11/Debt!Q115,0)</f>
        <v/>
      </c>
      <c r="R14" s="3">
        <f>IF(Debt!R115&gt;Inputs!$F$253,R11/Debt!R115,0)</f>
        <v/>
      </c>
      <c r="S14" s="3">
        <f>IF(Debt!S115&gt;Inputs!$F$253,S11/Debt!S115,0)</f>
        <v/>
      </c>
      <c r="T14" s="3">
        <f>IF(Debt!T115&gt;Inputs!$F$253,T11/Debt!T115,0)</f>
        <v/>
      </c>
      <c r="U14" s="3">
        <f>IF(Debt!U115&gt;Inputs!$F$253,U11/Debt!U115,0)</f>
        <v/>
      </c>
      <c r="V14" s="3">
        <f>IF(Debt!V115&gt;Inputs!$F$253,V11/Debt!V115,0)</f>
        <v/>
      </c>
      <c r="W14" s="3">
        <f>IF(Debt!W115&gt;Inputs!$F$253,W11/Debt!W115,0)</f>
        <v/>
      </c>
      <c r="X14" s="3">
        <f>IF(Debt!X115&gt;Inputs!$F$253,X11/Debt!X115,0)</f>
        <v/>
      </c>
      <c r="Y14" s="3">
        <f>IF(Debt!Y115&gt;Inputs!$F$253,Y11/Debt!Y115,0)</f>
        <v/>
      </c>
      <c r="Z14" s="3">
        <f>IF(Debt!Z115&gt;Inputs!$F$253,Z11/Debt!Z115,0)</f>
        <v/>
      </c>
      <c r="AA14" s="3">
        <f>IF(Debt!AA115&gt;Inputs!$F$253,AA11/Debt!AA115,0)</f>
        <v/>
      </c>
      <c r="AB14" s="3">
        <f>IF(Debt!AB115&gt;Inputs!$F$253,AB11/Debt!AB115,0)</f>
        <v/>
      </c>
      <c r="AC14" s="3">
        <f>IF(Debt!AC115&gt;Inputs!$F$253,AC11/Debt!AC115,0)</f>
        <v/>
      </c>
      <c r="AD14" s="3">
        <f>IF(Debt!AD115&gt;Inputs!$F$253,AD11/Debt!AD115,0)</f>
        <v/>
      </c>
      <c r="AE14" s="3">
        <f>IF(Debt!AE115&gt;Inputs!$F$253,AE11/Debt!AE115,0)</f>
        <v/>
      </c>
      <c r="AF14" s="3">
        <f>IF(Debt!AF115&gt;Inputs!$F$253,AF11/Debt!AF115,0)</f>
        <v/>
      </c>
      <c r="AG14" s="3">
        <f>IF(Debt!AG115&gt;Inputs!$F$253,AG11/Debt!AG115,0)</f>
        <v/>
      </c>
      <c r="AH14" s="3">
        <f>IF(Debt!AH115&gt;Inputs!$F$253,AH11/Debt!AH115,0)</f>
        <v/>
      </c>
      <c r="AI14" s="3">
        <f>IF(Debt!AI115&gt;Inputs!$F$253,AI11/Debt!AI115,0)</f>
        <v/>
      </c>
      <c r="AJ14" s="3">
        <f>IF(Debt!AJ115&gt;Inputs!$F$253,AJ11/Debt!AJ115,0)</f>
        <v/>
      </c>
      <c r="AK14" s="3">
        <f>IF(Debt!AK115&gt;Inputs!$F$253,AK11/Debt!AK115,0)</f>
        <v/>
      </c>
      <c r="AL14" s="3">
        <f>IF(Debt!AL115&gt;Inputs!$F$253,AL11/Debt!AL115,0)</f>
        <v/>
      </c>
      <c r="AM14" s="3">
        <f>IF(Debt!AM115&gt;Inputs!$F$253,AM11/Debt!AM115,0)</f>
        <v/>
      </c>
      <c r="AN14" s="3">
        <f>IF(Debt!AN115&gt;Inputs!$F$253,AN11/Debt!AN115,0)</f>
        <v/>
      </c>
      <c r="AO14" s="3">
        <f>IF(Debt!AO115&gt;Inputs!$F$253,AO11/Debt!AO115,0)</f>
        <v/>
      </c>
      <c r="AP14" s="3">
        <f>IF(Debt!AP115&gt;Inputs!$F$253,AP11/Debt!AP115,0)</f>
        <v/>
      </c>
      <c r="AQ14" s="3">
        <f>IF(Debt!AQ115&gt;Inputs!$F$253,AQ11/Debt!AQ115,0)</f>
        <v/>
      </c>
      <c r="AR14" s="3">
        <f>IF(Debt!AR115&gt;Inputs!$F$253,AR11/Debt!AR115,0)</f>
        <v/>
      </c>
      <c r="AS14" s="3">
        <f>IF(Debt!AS115&gt;Inputs!$F$253,AS11/Debt!AS115,0)</f>
        <v/>
      </c>
      <c r="AT14" s="3">
        <f>IF(Debt!AT115&gt;Inputs!$F$253,AT11/Debt!AT115,0)</f>
        <v/>
      </c>
      <c r="AU14" s="3">
        <f>IF(Debt!AU115&gt;Inputs!$F$253,AU11/Debt!AU115,0)</f>
        <v/>
      </c>
      <c r="AV14" s="3">
        <f>IF(Debt!AV115&gt;Inputs!$F$253,AV11/Debt!AV115,0)</f>
        <v/>
      </c>
      <c r="AW14" s="3">
        <f>IF(Debt!AW115&gt;Inputs!$F$253,AW11/Debt!AW115,0)</f>
        <v/>
      </c>
      <c r="AX14" s="3">
        <f>IF(Debt!AX115&gt;Inputs!$F$253,AX11/Debt!AX115,0)</f>
        <v/>
      </c>
      <c r="AY14" s="3">
        <f>IF(Debt!AY115&gt;Inputs!$F$253,AY11/Debt!AY115,0)</f>
        <v/>
      </c>
      <c r="AZ14" s="3">
        <f>IF(Debt!AZ115&gt;Inputs!$F$253,AZ11/Debt!AZ115,0)</f>
        <v/>
      </c>
      <c r="BA14" s="3">
        <f>IF(Debt!BA115&gt;Inputs!$F$253,BA11/Debt!BA115,0)</f>
        <v/>
      </c>
      <c r="BB14" s="3">
        <f>IF(Debt!BB115&gt;Inputs!$F$253,BB11/Debt!BB115,0)</f>
        <v/>
      </c>
      <c r="BC14" s="3">
        <f>IF(Debt!BC115&gt;Inputs!$F$253,BC11/Debt!BC115,0)</f>
        <v/>
      </c>
      <c r="BD14" s="3">
        <f>IF(Debt!BD115&gt;Inputs!$F$253,BD11/Debt!BD115,0)</f>
        <v/>
      </c>
      <c r="BE14" s="3">
        <f>IF(Debt!BE115&gt;Inputs!$F$253,BE11/Debt!BE115,0)</f>
        <v/>
      </c>
      <c r="BF14" s="3">
        <f>IF(Debt!BF115&gt;Inputs!$F$253,BF11/Debt!BF115,0)</f>
        <v/>
      </c>
      <c r="BG14" s="3">
        <f>IF(Debt!BG115&gt;Inputs!$F$253,BG11/Debt!BG115,0)</f>
        <v/>
      </c>
      <c r="BH14" s="3">
        <f>IF(Debt!BH115&gt;Inputs!$F$253,BH11/Debt!BH115,0)</f>
        <v/>
      </c>
      <c r="BI14" s="3">
        <f>IF(Debt!BI115&gt;Inputs!$F$253,BI11/Debt!BI115,0)</f>
        <v/>
      </c>
      <c r="BJ14" s="3">
        <f>IF(Debt!BJ115&gt;Inputs!$F$253,BJ11/Debt!BJ115,0)</f>
        <v/>
      </c>
      <c r="BK14" s="3">
        <f>IF(Debt!BK115&gt;Inputs!$F$253,BK11/Debt!BK115,0)</f>
        <v/>
      </c>
      <c r="BL14" s="3">
        <f>IF(Debt!BL115&gt;Inputs!$F$253,BL11/Debt!BL115,0)</f>
        <v/>
      </c>
      <c r="BM14" s="3">
        <f>IF(Debt!BM115&gt;Inputs!$F$253,BM11/Debt!BM115,0)</f>
        <v/>
      </c>
      <c r="BN14" s="3">
        <f>IF(Debt!BN115&gt;Inputs!$F$253,BN11/Debt!BN115,0)</f>
        <v/>
      </c>
    </row>
    <row r="15">
      <c r="D15" t="inlineStr">
        <is>
          <t>PLCR = PV CFADS to expiry / debt</t>
        </is>
      </c>
      <c r="E15" t="inlineStr">
        <is>
          <t>x</t>
        </is>
      </c>
      <c r="J15" s="3">
        <f>IF(Debt!J115&gt;Inputs!$F$253,J12/Debt!J115,0)</f>
        <v/>
      </c>
      <c r="K15" s="3">
        <f>IF(Debt!K115&gt;Inputs!$F$253,K12/Debt!K115,0)</f>
        <v/>
      </c>
      <c r="L15" s="3">
        <f>IF(Debt!L115&gt;Inputs!$F$253,L12/Debt!L115,0)</f>
        <v/>
      </c>
      <c r="M15" s="3">
        <f>IF(Debt!M115&gt;Inputs!$F$253,M12/Debt!M115,0)</f>
        <v/>
      </c>
      <c r="N15" s="3">
        <f>IF(Debt!N115&gt;Inputs!$F$253,N12/Debt!N115,0)</f>
        <v/>
      </c>
      <c r="O15" s="3">
        <f>IF(Debt!O115&gt;Inputs!$F$253,O12/Debt!O115,0)</f>
        <v/>
      </c>
      <c r="P15" s="3">
        <f>IF(Debt!P115&gt;Inputs!$F$253,P12/Debt!P115,0)</f>
        <v/>
      </c>
      <c r="Q15" s="3">
        <f>IF(Debt!Q115&gt;Inputs!$F$253,Q12/Debt!Q115,0)</f>
        <v/>
      </c>
      <c r="R15" s="3">
        <f>IF(Debt!R115&gt;Inputs!$F$253,R12/Debt!R115,0)</f>
        <v/>
      </c>
      <c r="S15" s="3">
        <f>IF(Debt!S115&gt;Inputs!$F$253,S12/Debt!S115,0)</f>
        <v/>
      </c>
      <c r="T15" s="3">
        <f>IF(Debt!T115&gt;Inputs!$F$253,T12/Debt!T115,0)</f>
        <v/>
      </c>
      <c r="U15" s="3">
        <f>IF(Debt!U115&gt;Inputs!$F$253,U12/Debt!U115,0)</f>
        <v/>
      </c>
      <c r="V15" s="3">
        <f>IF(Debt!V115&gt;Inputs!$F$253,V12/Debt!V115,0)</f>
        <v/>
      </c>
      <c r="W15" s="3">
        <f>IF(Debt!W115&gt;Inputs!$F$253,W12/Debt!W115,0)</f>
        <v/>
      </c>
      <c r="X15" s="3">
        <f>IF(Debt!X115&gt;Inputs!$F$253,X12/Debt!X115,0)</f>
        <v/>
      </c>
      <c r="Y15" s="3">
        <f>IF(Debt!Y115&gt;Inputs!$F$253,Y12/Debt!Y115,0)</f>
        <v/>
      </c>
      <c r="Z15" s="3">
        <f>IF(Debt!Z115&gt;Inputs!$F$253,Z12/Debt!Z115,0)</f>
        <v/>
      </c>
      <c r="AA15" s="3">
        <f>IF(Debt!AA115&gt;Inputs!$F$253,AA12/Debt!AA115,0)</f>
        <v/>
      </c>
      <c r="AB15" s="3">
        <f>IF(Debt!AB115&gt;Inputs!$F$253,AB12/Debt!AB115,0)</f>
        <v/>
      </c>
      <c r="AC15" s="3">
        <f>IF(Debt!AC115&gt;Inputs!$F$253,AC12/Debt!AC115,0)</f>
        <v/>
      </c>
      <c r="AD15" s="3">
        <f>IF(Debt!AD115&gt;Inputs!$F$253,AD12/Debt!AD115,0)</f>
        <v/>
      </c>
      <c r="AE15" s="3">
        <f>IF(Debt!AE115&gt;Inputs!$F$253,AE12/Debt!AE115,0)</f>
        <v/>
      </c>
      <c r="AF15" s="3">
        <f>IF(Debt!AF115&gt;Inputs!$F$253,AF12/Debt!AF115,0)</f>
        <v/>
      </c>
      <c r="AG15" s="3">
        <f>IF(Debt!AG115&gt;Inputs!$F$253,AG12/Debt!AG115,0)</f>
        <v/>
      </c>
      <c r="AH15" s="3">
        <f>IF(Debt!AH115&gt;Inputs!$F$253,AH12/Debt!AH115,0)</f>
        <v/>
      </c>
      <c r="AI15" s="3">
        <f>IF(Debt!AI115&gt;Inputs!$F$253,AI12/Debt!AI115,0)</f>
        <v/>
      </c>
      <c r="AJ15" s="3">
        <f>IF(Debt!AJ115&gt;Inputs!$F$253,AJ12/Debt!AJ115,0)</f>
        <v/>
      </c>
      <c r="AK15" s="3">
        <f>IF(Debt!AK115&gt;Inputs!$F$253,AK12/Debt!AK115,0)</f>
        <v/>
      </c>
      <c r="AL15" s="3">
        <f>IF(Debt!AL115&gt;Inputs!$F$253,AL12/Debt!AL115,0)</f>
        <v/>
      </c>
      <c r="AM15" s="3">
        <f>IF(Debt!AM115&gt;Inputs!$F$253,AM12/Debt!AM115,0)</f>
        <v/>
      </c>
      <c r="AN15" s="3">
        <f>IF(Debt!AN115&gt;Inputs!$F$253,AN12/Debt!AN115,0)</f>
        <v/>
      </c>
      <c r="AO15" s="3">
        <f>IF(Debt!AO115&gt;Inputs!$F$253,AO12/Debt!AO115,0)</f>
        <v/>
      </c>
      <c r="AP15" s="3">
        <f>IF(Debt!AP115&gt;Inputs!$F$253,AP12/Debt!AP115,0)</f>
        <v/>
      </c>
      <c r="AQ15" s="3">
        <f>IF(Debt!AQ115&gt;Inputs!$F$253,AQ12/Debt!AQ115,0)</f>
        <v/>
      </c>
      <c r="AR15" s="3">
        <f>IF(Debt!AR115&gt;Inputs!$F$253,AR12/Debt!AR115,0)</f>
        <v/>
      </c>
      <c r="AS15" s="3">
        <f>IF(Debt!AS115&gt;Inputs!$F$253,AS12/Debt!AS115,0)</f>
        <v/>
      </c>
      <c r="AT15" s="3">
        <f>IF(Debt!AT115&gt;Inputs!$F$253,AT12/Debt!AT115,0)</f>
        <v/>
      </c>
      <c r="AU15" s="3">
        <f>IF(Debt!AU115&gt;Inputs!$F$253,AU12/Debt!AU115,0)</f>
        <v/>
      </c>
      <c r="AV15" s="3">
        <f>IF(Debt!AV115&gt;Inputs!$F$253,AV12/Debt!AV115,0)</f>
        <v/>
      </c>
      <c r="AW15" s="3">
        <f>IF(Debt!AW115&gt;Inputs!$F$253,AW12/Debt!AW115,0)</f>
        <v/>
      </c>
      <c r="AX15" s="3">
        <f>IF(Debt!AX115&gt;Inputs!$F$253,AX12/Debt!AX115,0)</f>
        <v/>
      </c>
      <c r="AY15" s="3">
        <f>IF(Debt!AY115&gt;Inputs!$F$253,AY12/Debt!AY115,0)</f>
        <v/>
      </c>
      <c r="AZ15" s="3">
        <f>IF(Debt!AZ115&gt;Inputs!$F$253,AZ12/Debt!AZ115,0)</f>
        <v/>
      </c>
      <c r="BA15" s="3">
        <f>IF(Debt!BA115&gt;Inputs!$F$253,BA12/Debt!BA115,0)</f>
        <v/>
      </c>
      <c r="BB15" s="3">
        <f>IF(Debt!BB115&gt;Inputs!$F$253,BB12/Debt!BB115,0)</f>
        <v/>
      </c>
      <c r="BC15" s="3">
        <f>IF(Debt!BC115&gt;Inputs!$F$253,BC12/Debt!BC115,0)</f>
        <v/>
      </c>
      <c r="BD15" s="3">
        <f>IF(Debt!BD115&gt;Inputs!$F$253,BD12/Debt!BD115,0)</f>
        <v/>
      </c>
      <c r="BE15" s="3">
        <f>IF(Debt!BE115&gt;Inputs!$F$253,BE12/Debt!BE115,0)</f>
        <v/>
      </c>
      <c r="BF15" s="3">
        <f>IF(Debt!BF115&gt;Inputs!$F$253,BF12/Debt!BF115,0)</f>
        <v/>
      </c>
      <c r="BG15" s="3">
        <f>IF(Debt!BG115&gt;Inputs!$F$253,BG12/Debt!BG115,0)</f>
        <v/>
      </c>
      <c r="BH15" s="3">
        <f>IF(Debt!BH115&gt;Inputs!$F$253,BH12/Debt!BH115,0)</f>
        <v/>
      </c>
      <c r="BI15" s="3">
        <f>IF(Debt!BI115&gt;Inputs!$F$253,BI12/Debt!BI115,0)</f>
        <v/>
      </c>
      <c r="BJ15" s="3">
        <f>IF(Debt!BJ115&gt;Inputs!$F$253,BJ12/Debt!BJ115,0)</f>
        <v/>
      </c>
      <c r="BK15" s="3">
        <f>IF(Debt!BK115&gt;Inputs!$F$253,BK12/Debt!BK115,0)</f>
        <v/>
      </c>
      <c r="BL15" s="3">
        <f>IF(Debt!BL115&gt;Inputs!$F$253,BL12/Debt!BL115,0)</f>
        <v/>
      </c>
      <c r="BM15" s="3">
        <f>IF(Debt!BM115&gt;Inputs!$F$253,BM12/Debt!BM115,0)</f>
        <v/>
      </c>
      <c r="BN15" s="3">
        <f>IF(Debt!BN115&gt;Inputs!$F$253,BN12/Debt!BN115,0)</f>
        <v/>
      </c>
    </row>
    <row r="16">
      <c r="D16" t="inlineStr">
        <is>
          <t>Minimum DSCR</t>
        </is>
      </c>
      <c r="E16" t="inlineStr">
        <is>
          <t>x</t>
        </is>
      </c>
      <c r="F16" s="3">
        <f>_xlfn.MINIFS(Waterfall!$J$17:$BN$17,Debt!$J$114:$BN$114,"&gt;"&amp;Inputs!$F$253)</f>
        <v/>
      </c>
    </row>
    <row r="17">
      <c r="D17" t="inlineStr">
        <is>
          <t>Average DSCR (debt-service weighted)</t>
        </is>
      </c>
      <c r="E17" t="inlineStr">
        <is>
          <t>x</t>
        </is>
      </c>
      <c r="F17" s="3">
        <f>SUMIFS(Waterfall!$J$7:$BN$7,Debt!$J$114:$BN$114,"&gt;"&amp;Inputs!$F$253)/SUM(Debt!$J$114:$BN$114)</f>
        <v/>
      </c>
    </row>
    <row r="18">
      <c r="D18" t="inlineStr">
        <is>
          <t>LLCR at first debt service period</t>
        </is>
      </c>
      <c r="E18" t="inlineStr">
        <is>
          <t>x</t>
        </is>
      </c>
      <c r="F18" s="3">
        <f>INDEX(Ratios!$J$13:$BN$13,1,Time!$F$13)</f>
        <v/>
      </c>
    </row>
    <row r="19">
      <c r="D19" t="inlineStr">
        <is>
          <t>PLCR at first debt service period</t>
        </is>
      </c>
      <c r="E19" t="inlineStr">
        <is>
          <t>x</t>
        </is>
      </c>
      <c r="F19" s="3">
        <f>INDEX(Ratios!$J$15:$BN$15,1,Time!$F$13)</f>
        <v/>
      </c>
    </row>
    <row r="20">
      <c r="D20" t="inlineStr">
        <is>
          <t>Projected 12-month DSCR, next two periods (report only)</t>
        </is>
      </c>
      <c r="E20" t="inlineStr">
        <is>
          <t>x</t>
        </is>
      </c>
      <c r="J20" s="3">
        <f>IF(Debt!K114&gt;Inputs!$F$253,(Waterfall!K7+IF(Debt!L114&gt;Inputs!$F$253,Waterfall!L7,0))/(Debt!K114+Debt!L114),0)</f>
        <v/>
      </c>
      <c r="K20" s="3">
        <f>IF(Debt!L114&gt;Inputs!$F$253,(Waterfall!L7+IF(Debt!M114&gt;Inputs!$F$253,Waterfall!M7,0))/(Debt!L114+Debt!M114),0)</f>
        <v/>
      </c>
      <c r="L20" s="3">
        <f>IF(Debt!M114&gt;Inputs!$F$253,(Waterfall!M7+IF(Debt!N114&gt;Inputs!$F$253,Waterfall!N7,0))/(Debt!M114+Debt!N114),0)</f>
        <v/>
      </c>
      <c r="M20" s="3">
        <f>IF(Debt!N114&gt;Inputs!$F$253,(Waterfall!N7+IF(Debt!O114&gt;Inputs!$F$253,Waterfall!O7,0))/(Debt!N114+Debt!O114),0)</f>
        <v/>
      </c>
      <c r="N20" s="3">
        <f>IF(Debt!O114&gt;Inputs!$F$253,(Waterfall!O7+IF(Debt!P114&gt;Inputs!$F$253,Waterfall!P7,0))/(Debt!O114+Debt!P114),0)</f>
        <v/>
      </c>
      <c r="O20" s="3">
        <f>IF(Debt!P114&gt;Inputs!$F$253,(Waterfall!P7+IF(Debt!Q114&gt;Inputs!$F$253,Waterfall!Q7,0))/(Debt!P114+Debt!Q114),0)</f>
        <v/>
      </c>
      <c r="P20" s="3">
        <f>IF(Debt!Q114&gt;Inputs!$F$253,(Waterfall!Q7+IF(Debt!R114&gt;Inputs!$F$253,Waterfall!R7,0))/(Debt!Q114+Debt!R114),0)</f>
        <v/>
      </c>
      <c r="Q20" s="3">
        <f>IF(Debt!R114&gt;Inputs!$F$253,(Waterfall!R7+IF(Debt!S114&gt;Inputs!$F$253,Waterfall!S7,0))/(Debt!R114+Debt!S114),0)</f>
        <v/>
      </c>
      <c r="R20" s="3">
        <f>IF(Debt!S114&gt;Inputs!$F$253,(Waterfall!S7+IF(Debt!T114&gt;Inputs!$F$253,Waterfall!T7,0))/(Debt!S114+Debt!T114),0)</f>
        <v/>
      </c>
      <c r="S20" s="3">
        <f>IF(Debt!T114&gt;Inputs!$F$253,(Waterfall!T7+IF(Debt!U114&gt;Inputs!$F$253,Waterfall!U7,0))/(Debt!T114+Debt!U114),0)</f>
        <v/>
      </c>
      <c r="T20" s="3">
        <f>IF(Debt!U114&gt;Inputs!$F$253,(Waterfall!U7+IF(Debt!V114&gt;Inputs!$F$253,Waterfall!V7,0))/(Debt!U114+Debt!V114),0)</f>
        <v/>
      </c>
      <c r="U20" s="3">
        <f>IF(Debt!V114&gt;Inputs!$F$253,(Waterfall!V7+IF(Debt!W114&gt;Inputs!$F$253,Waterfall!W7,0))/(Debt!V114+Debt!W114),0)</f>
        <v/>
      </c>
      <c r="V20" s="3">
        <f>IF(Debt!W114&gt;Inputs!$F$253,(Waterfall!W7+IF(Debt!X114&gt;Inputs!$F$253,Waterfall!X7,0))/(Debt!W114+Debt!X114),0)</f>
        <v/>
      </c>
      <c r="W20" s="3">
        <f>IF(Debt!X114&gt;Inputs!$F$253,(Waterfall!X7+IF(Debt!Y114&gt;Inputs!$F$253,Waterfall!Y7,0))/(Debt!X114+Debt!Y114),0)</f>
        <v/>
      </c>
      <c r="X20" s="3">
        <f>IF(Debt!Y114&gt;Inputs!$F$253,(Waterfall!Y7+IF(Debt!Z114&gt;Inputs!$F$253,Waterfall!Z7,0))/(Debt!Y114+Debt!Z114),0)</f>
        <v/>
      </c>
      <c r="Y20" s="3">
        <f>IF(Debt!Z114&gt;Inputs!$F$253,(Waterfall!Z7+IF(Debt!AA114&gt;Inputs!$F$253,Waterfall!AA7,0))/(Debt!Z114+Debt!AA114),0)</f>
        <v/>
      </c>
      <c r="Z20" s="3">
        <f>IF(Debt!AA114&gt;Inputs!$F$253,(Waterfall!AA7+IF(Debt!AB114&gt;Inputs!$F$253,Waterfall!AB7,0))/(Debt!AA114+Debt!AB114),0)</f>
        <v/>
      </c>
      <c r="AA20" s="3">
        <f>IF(Debt!AB114&gt;Inputs!$F$253,(Waterfall!AB7+IF(Debt!AC114&gt;Inputs!$F$253,Waterfall!AC7,0))/(Debt!AB114+Debt!AC114),0)</f>
        <v/>
      </c>
      <c r="AB20" s="3">
        <f>IF(Debt!AC114&gt;Inputs!$F$253,(Waterfall!AC7+IF(Debt!AD114&gt;Inputs!$F$253,Waterfall!AD7,0))/(Debt!AC114+Debt!AD114),0)</f>
        <v/>
      </c>
      <c r="AC20" s="3">
        <f>IF(Debt!AD114&gt;Inputs!$F$253,(Waterfall!AD7+IF(Debt!AE114&gt;Inputs!$F$253,Waterfall!AE7,0))/(Debt!AD114+Debt!AE114),0)</f>
        <v/>
      </c>
      <c r="AD20" s="3">
        <f>IF(Debt!AE114&gt;Inputs!$F$253,(Waterfall!AE7+IF(Debt!AF114&gt;Inputs!$F$253,Waterfall!AF7,0))/(Debt!AE114+Debt!AF114),0)</f>
        <v/>
      </c>
      <c r="AE20" s="3">
        <f>IF(Debt!AF114&gt;Inputs!$F$253,(Waterfall!AF7+IF(Debt!AG114&gt;Inputs!$F$253,Waterfall!AG7,0))/(Debt!AF114+Debt!AG114),0)</f>
        <v/>
      </c>
      <c r="AF20" s="3">
        <f>IF(Debt!AG114&gt;Inputs!$F$253,(Waterfall!AG7+IF(Debt!AH114&gt;Inputs!$F$253,Waterfall!AH7,0))/(Debt!AG114+Debt!AH114),0)</f>
        <v/>
      </c>
      <c r="AG20" s="3">
        <f>IF(Debt!AH114&gt;Inputs!$F$253,(Waterfall!AH7+IF(Debt!AI114&gt;Inputs!$F$253,Waterfall!AI7,0))/(Debt!AH114+Debt!AI114),0)</f>
        <v/>
      </c>
      <c r="AH20" s="3">
        <f>IF(Debt!AI114&gt;Inputs!$F$253,(Waterfall!AI7+IF(Debt!AJ114&gt;Inputs!$F$253,Waterfall!AJ7,0))/(Debt!AI114+Debt!AJ114),0)</f>
        <v/>
      </c>
      <c r="AI20" s="3">
        <f>IF(Debt!AJ114&gt;Inputs!$F$253,(Waterfall!AJ7+IF(Debt!AK114&gt;Inputs!$F$253,Waterfall!AK7,0))/(Debt!AJ114+Debt!AK114),0)</f>
        <v/>
      </c>
      <c r="AJ20" s="3">
        <f>IF(Debt!AK114&gt;Inputs!$F$253,(Waterfall!AK7+IF(Debt!AL114&gt;Inputs!$F$253,Waterfall!AL7,0))/(Debt!AK114+Debt!AL114),0)</f>
        <v/>
      </c>
      <c r="AK20" s="3">
        <f>IF(Debt!AL114&gt;Inputs!$F$253,(Waterfall!AL7+IF(Debt!AM114&gt;Inputs!$F$253,Waterfall!AM7,0))/(Debt!AL114+Debt!AM114),0)</f>
        <v/>
      </c>
      <c r="AL20" s="3">
        <f>IF(Debt!AM114&gt;Inputs!$F$253,(Waterfall!AM7+IF(Debt!AN114&gt;Inputs!$F$253,Waterfall!AN7,0))/(Debt!AM114+Debt!AN114),0)</f>
        <v/>
      </c>
      <c r="AM20" s="3">
        <f>IF(Debt!AN114&gt;Inputs!$F$253,(Waterfall!AN7+IF(Debt!AO114&gt;Inputs!$F$253,Waterfall!AO7,0))/(Debt!AN114+Debt!AO114),0)</f>
        <v/>
      </c>
      <c r="AN20" s="3">
        <f>IF(Debt!AO114&gt;Inputs!$F$253,(Waterfall!AO7+IF(Debt!AP114&gt;Inputs!$F$253,Waterfall!AP7,0))/(Debt!AO114+Debt!AP114),0)</f>
        <v/>
      </c>
      <c r="AO20" s="3">
        <f>IF(Debt!AP114&gt;Inputs!$F$253,(Waterfall!AP7+IF(Debt!AQ114&gt;Inputs!$F$253,Waterfall!AQ7,0))/(Debt!AP114+Debt!AQ114),0)</f>
        <v/>
      </c>
      <c r="AP20" s="3">
        <f>IF(Debt!AQ114&gt;Inputs!$F$253,(Waterfall!AQ7+IF(Debt!AR114&gt;Inputs!$F$253,Waterfall!AR7,0))/(Debt!AQ114+Debt!AR114),0)</f>
        <v/>
      </c>
      <c r="AQ20" s="3">
        <f>IF(Debt!AR114&gt;Inputs!$F$253,(Waterfall!AR7+IF(Debt!AS114&gt;Inputs!$F$253,Waterfall!AS7,0))/(Debt!AR114+Debt!AS114),0)</f>
        <v/>
      </c>
      <c r="AR20" s="3">
        <f>IF(Debt!AS114&gt;Inputs!$F$253,(Waterfall!AS7+IF(Debt!AT114&gt;Inputs!$F$253,Waterfall!AT7,0))/(Debt!AS114+Debt!AT114),0)</f>
        <v/>
      </c>
      <c r="AS20" s="3">
        <f>IF(Debt!AT114&gt;Inputs!$F$253,(Waterfall!AT7+IF(Debt!AU114&gt;Inputs!$F$253,Waterfall!AU7,0))/(Debt!AT114+Debt!AU114),0)</f>
        <v/>
      </c>
      <c r="AT20" s="3">
        <f>IF(Debt!AU114&gt;Inputs!$F$253,(Waterfall!AU7+IF(Debt!AV114&gt;Inputs!$F$253,Waterfall!AV7,0))/(Debt!AU114+Debt!AV114),0)</f>
        <v/>
      </c>
      <c r="AU20" s="3">
        <f>IF(Debt!AV114&gt;Inputs!$F$253,(Waterfall!AV7+IF(Debt!AW114&gt;Inputs!$F$253,Waterfall!AW7,0))/(Debt!AV114+Debt!AW114),0)</f>
        <v/>
      </c>
      <c r="AV20" s="3">
        <f>IF(Debt!AW114&gt;Inputs!$F$253,(Waterfall!AW7+IF(Debt!AX114&gt;Inputs!$F$253,Waterfall!AX7,0))/(Debt!AW114+Debt!AX114),0)</f>
        <v/>
      </c>
      <c r="AW20" s="3">
        <f>IF(Debt!AX114&gt;Inputs!$F$253,(Waterfall!AX7+IF(Debt!AY114&gt;Inputs!$F$253,Waterfall!AY7,0))/(Debt!AX114+Debt!AY114),0)</f>
        <v/>
      </c>
      <c r="AX20" s="3">
        <f>IF(Debt!AY114&gt;Inputs!$F$253,(Waterfall!AY7+IF(Debt!AZ114&gt;Inputs!$F$253,Waterfall!AZ7,0))/(Debt!AY114+Debt!AZ114),0)</f>
        <v/>
      </c>
      <c r="AY20" s="3">
        <f>IF(Debt!AZ114&gt;Inputs!$F$253,(Waterfall!AZ7+IF(Debt!BA114&gt;Inputs!$F$253,Waterfall!BA7,0))/(Debt!AZ114+Debt!BA114),0)</f>
        <v/>
      </c>
      <c r="AZ20" s="3">
        <f>IF(Debt!BA114&gt;Inputs!$F$253,(Waterfall!BA7+IF(Debt!BB114&gt;Inputs!$F$253,Waterfall!BB7,0))/(Debt!BA114+Debt!BB114),0)</f>
        <v/>
      </c>
      <c r="BA20" s="3">
        <f>IF(Debt!BB114&gt;Inputs!$F$253,(Waterfall!BB7+IF(Debt!BC114&gt;Inputs!$F$253,Waterfall!BC7,0))/(Debt!BB114+Debt!BC114),0)</f>
        <v/>
      </c>
      <c r="BB20" s="3">
        <f>IF(Debt!BC114&gt;Inputs!$F$253,(Waterfall!BC7+IF(Debt!BD114&gt;Inputs!$F$253,Waterfall!BD7,0))/(Debt!BC114+Debt!BD114),0)</f>
        <v/>
      </c>
      <c r="BC20" s="3">
        <f>IF(Debt!BD114&gt;Inputs!$F$253,(Waterfall!BD7+IF(Debt!BE114&gt;Inputs!$F$253,Waterfall!BE7,0))/(Debt!BD114+Debt!BE114),0)</f>
        <v/>
      </c>
      <c r="BD20" s="3">
        <f>IF(Debt!BE114&gt;Inputs!$F$253,(Waterfall!BE7+IF(Debt!BF114&gt;Inputs!$F$253,Waterfall!BF7,0))/(Debt!BE114+Debt!BF114),0)</f>
        <v/>
      </c>
      <c r="BE20" s="3">
        <f>IF(Debt!BF114&gt;Inputs!$F$253,(Waterfall!BF7+IF(Debt!BG114&gt;Inputs!$F$253,Waterfall!BG7,0))/(Debt!BF114+Debt!BG114),0)</f>
        <v/>
      </c>
      <c r="BF20" s="3">
        <f>IF(Debt!BG114&gt;Inputs!$F$253,(Waterfall!BG7+IF(Debt!BH114&gt;Inputs!$F$253,Waterfall!BH7,0))/(Debt!BG114+Debt!BH114),0)</f>
        <v/>
      </c>
      <c r="BG20" s="3">
        <f>IF(Debt!BH114&gt;Inputs!$F$253,(Waterfall!BH7+IF(Debt!BI114&gt;Inputs!$F$253,Waterfall!BI7,0))/(Debt!BH114+Debt!BI114),0)</f>
        <v/>
      </c>
      <c r="BH20" s="3">
        <f>IF(Debt!BI114&gt;Inputs!$F$253,(Waterfall!BI7+IF(Debt!BJ114&gt;Inputs!$F$253,Waterfall!BJ7,0))/(Debt!BI114+Debt!BJ114),0)</f>
        <v/>
      </c>
      <c r="BI20" s="3">
        <f>IF(Debt!BJ114&gt;Inputs!$F$253,(Waterfall!BJ7+IF(Debt!BK114&gt;Inputs!$F$253,Waterfall!BK7,0))/(Debt!BJ114+Debt!BK114),0)</f>
        <v/>
      </c>
      <c r="BJ20" s="3">
        <f>IF(Debt!BK114&gt;Inputs!$F$253,(Waterfall!BK7+IF(Debt!BL114&gt;Inputs!$F$253,Waterfall!BL7,0))/(Debt!BK114+Debt!BL114),0)</f>
        <v/>
      </c>
      <c r="BK20" s="3">
        <f>IF(Debt!BL114&gt;Inputs!$F$253,(Waterfall!BL7+IF(Debt!BM114&gt;Inputs!$F$253,Waterfall!BM7,0))/(Debt!BL114+Debt!BM114),0)</f>
        <v/>
      </c>
      <c r="BL20" s="3">
        <f>IF(Debt!BM114&gt;Inputs!$F$253,(Waterfall!BM7+IF(Debt!BN114&gt;Inputs!$F$253,Waterfall!BN7,0))/(Debt!BM114+Debt!BN114),0)</f>
        <v/>
      </c>
      <c r="BM20" s="3">
        <f>IF(Debt!BN114&gt;Inputs!$F$253,(Waterfall!BN7+IF(Debt!BO114&gt;Inputs!$F$253,Waterfall!BO7,0))/(Debt!BN114+Debt!BO114),0)</f>
        <v/>
      </c>
      <c r="BN20" s="3">
        <f>IF(Debt!BO114&gt;Inputs!$F$253,(Waterfall!BO7+IF(Debt!BP114&gt;Inputs!$F$253,Waterfall!BP7,0))/(Debt!BO114+Debt!BP114),0)</f>
        <v/>
      </c>
    </row>
    <row r="21">
      <c r="D21" t="inlineStr">
        <is>
          <t>Projected 12-month DSCR below the lock-up level (flag)</t>
        </is>
      </c>
      <c r="E21" t="inlineStr">
        <is>
          <t>flag</t>
        </is>
      </c>
      <c r="J21" s="9">
        <f>IF(AND(J20&gt;0,J20&lt;Inputs!$F$108),1,0)</f>
        <v/>
      </c>
      <c r="K21" s="9">
        <f>IF(AND(K20&gt;0,K20&lt;Inputs!$F$108),1,0)</f>
        <v/>
      </c>
      <c r="L21" s="9">
        <f>IF(AND(L20&gt;0,L20&lt;Inputs!$F$108),1,0)</f>
        <v/>
      </c>
      <c r="M21" s="9">
        <f>IF(AND(M20&gt;0,M20&lt;Inputs!$F$108),1,0)</f>
        <v/>
      </c>
      <c r="N21" s="9">
        <f>IF(AND(N20&gt;0,N20&lt;Inputs!$F$108),1,0)</f>
        <v/>
      </c>
      <c r="O21" s="9">
        <f>IF(AND(O20&gt;0,O20&lt;Inputs!$F$108),1,0)</f>
        <v/>
      </c>
      <c r="P21" s="9">
        <f>IF(AND(P20&gt;0,P20&lt;Inputs!$F$108),1,0)</f>
        <v/>
      </c>
      <c r="Q21" s="9">
        <f>IF(AND(Q20&gt;0,Q20&lt;Inputs!$F$108),1,0)</f>
        <v/>
      </c>
      <c r="R21" s="9">
        <f>IF(AND(R20&gt;0,R20&lt;Inputs!$F$108),1,0)</f>
        <v/>
      </c>
      <c r="S21" s="9">
        <f>IF(AND(S20&gt;0,S20&lt;Inputs!$F$108),1,0)</f>
        <v/>
      </c>
      <c r="T21" s="9">
        <f>IF(AND(T20&gt;0,T20&lt;Inputs!$F$108),1,0)</f>
        <v/>
      </c>
      <c r="U21" s="9">
        <f>IF(AND(U20&gt;0,U20&lt;Inputs!$F$108),1,0)</f>
        <v/>
      </c>
      <c r="V21" s="9">
        <f>IF(AND(V20&gt;0,V20&lt;Inputs!$F$108),1,0)</f>
        <v/>
      </c>
      <c r="W21" s="9">
        <f>IF(AND(W20&gt;0,W20&lt;Inputs!$F$108),1,0)</f>
        <v/>
      </c>
      <c r="X21" s="9">
        <f>IF(AND(X20&gt;0,X20&lt;Inputs!$F$108),1,0)</f>
        <v/>
      </c>
      <c r="Y21" s="9">
        <f>IF(AND(Y20&gt;0,Y20&lt;Inputs!$F$108),1,0)</f>
        <v/>
      </c>
      <c r="Z21" s="9">
        <f>IF(AND(Z20&gt;0,Z20&lt;Inputs!$F$108),1,0)</f>
        <v/>
      </c>
      <c r="AA21" s="9">
        <f>IF(AND(AA20&gt;0,AA20&lt;Inputs!$F$108),1,0)</f>
        <v/>
      </c>
      <c r="AB21" s="9">
        <f>IF(AND(AB20&gt;0,AB20&lt;Inputs!$F$108),1,0)</f>
        <v/>
      </c>
      <c r="AC21" s="9">
        <f>IF(AND(AC20&gt;0,AC20&lt;Inputs!$F$108),1,0)</f>
        <v/>
      </c>
      <c r="AD21" s="9">
        <f>IF(AND(AD20&gt;0,AD20&lt;Inputs!$F$108),1,0)</f>
        <v/>
      </c>
      <c r="AE21" s="9">
        <f>IF(AND(AE20&gt;0,AE20&lt;Inputs!$F$108),1,0)</f>
        <v/>
      </c>
      <c r="AF21" s="9">
        <f>IF(AND(AF20&gt;0,AF20&lt;Inputs!$F$108),1,0)</f>
        <v/>
      </c>
      <c r="AG21" s="9">
        <f>IF(AND(AG20&gt;0,AG20&lt;Inputs!$F$108),1,0)</f>
        <v/>
      </c>
      <c r="AH21" s="9">
        <f>IF(AND(AH20&gt;0,AH20&lt;Inputs!$F$108),1,0)</f>
        <v/>
      </c>
      <c r="AI21" s="9">
        <f>IF(AND(AI20&gt;0,AI20&lt;Inputs!$F$108),1,0)</f>
        <v/>
      </c>
      <c r="AJ21" s="9">
        <f>IF(AND(AJ20&gt;0,AJ20&lt;Inputs!$F$108),1,0)</f>
        <v/>
      </c>
      <c r="AK21" s="9">
        <f>IF(AND(AK20&gt;0,AK20&lt;Inputs!$F$108),1,0)</f>
        <v/>
      </c>
      <c r="AL21" s="9">
        <f>IF(AND(AL20&gt;0,AL20&lt;Inputs!$F$108),1,0)</f>
        <v/>
      </c>
      <c r="AM21" s="9">
        <f>IF(AND(AM20&gt;0,AM20&lt;Inputs!$F$108),1,0)</f>
        <v/>
      </c>
      <c r="AN21" s="9">
        <f>IF(AND(AN20&gt;0,AN20&lt;Inputs!$F$108),1,0)</f>
        <v/>
      </c>
      <c r="AO21" s="9">
        <f>IF(AND(AO20&gt;0,AO20&lt;Inputs!$F$108),1,0)</f>
        <v/>
      </c>
      <c r="AP21" s="9">
        <f>IF(AND(AP20&gt;0,AP20&lt;Inputs!$F$108),1,0)</f>
        <v/>
      </c>
      <c r="AQ21" s="9">
        <f>IF(AND(AQ20&gt;0,AQ20&lt;Inputs!$F$108),1,0)</f>
        <v/>
      </c>
      <c r="AR21" s="9">
        <f>IF(AND(AR20&gt;0,AR20&lt;Inputs!$F$108),1,0)</f>
        <v/>
      </c>
      <c r="AS21" s="9">
        <f>IF(AND(AS20&gt;0,AS20&lt;Inputs!$F$108),1,0)</f>
        <v/>
      </c>
      <c r="AT21" s="9">
        <f>IF(AND(AT20&gt;0,AT20&lt;Inputs!$F$108),1,0)</f>
        <v/>
      </c>
      <c r="AU21" s="9">
        <f>IF(AND(AU20&gt;0,AU20&lt;Inputs!$F$108),1,0)</f>
        <v/>
      </c>
      <c r="AV21" s="9">
        <f>IF(AND(AV20&gt;0,AV20&lt;Inputs!$F$108),1,0)</f>
        <v/>
      </c>
      <c r="AW21" s="9">
        <f>IF(AND(AW20&gt;0,AW20&lt;Inputs!$F$108),1,0)</f>
        <v/>
      </c>
      <c r="AX21" s="9">
        <f>IF(AND(AX20&gt;0,AX20&lt;Inputs!$F$108),1,0)</f>
        <v/>
      </c>
      <c r="AY21" s="9">
        <f>IF(AND(AY20&gt;0,AY20&lt;Inputs!$F$108),1,0)</f>
        <v/>
      </c>
      <c r="AZ21" s="9">
        <f>IF(AND(AZ20&gt;0,AZ20&lt;Inputs!$F$108),1,0)</f>
        <v/>
      </c>
      <c r="BA21" s="9">
        <f>IF(AND(BA20&gt;0,BA20&lt;Inputs!$F$108),1,0)</f>
        <v/>
      </c>
      <c r="BB21" s="9">
        <f>IF(AND(BB20&gt;0,BB20&lt;Inputs!$F$108),1,0)</f>
        <v/>
      </c>
      <c r="BC21" s="9">
        <f>IF(AND(BC20&gt;0,BC20&lt;Inputs!$F$108),1,0)</f>
        <v/>
      </c>
      <c r="BD21" s="9">
        <f>IF(AND(BD20&gt;0,BD20&lt;Inputs!$F$108),1,0)</f>
        <v/>
      </c>
      <c r="BE21" s="9">
        <f>IF(AND(BE20&gt;0,BE20&lt;Inputs!$F$108),1,0)</f>
        <v/>
      </c>
      <c r="BF21" s="9">
        <f>IF(AND(BF20&gt;0,BF20&lt;Inputs!$F$108),1,0)</f>
        <v/>
      </c>
      <c r="BG21" s="9">
        <f>IF(AND(BG20&gt;0,BG20&lt;Inputs!$F$108),1,0)</f>
        <v/>
      </c>
      <c r="BH21" s="9">
        <f>IF(AND(BH20&gt;0,BH20&lt;Inputs!$F$108),1,0)</f>
        <v/>
      </c>
      <c r="BI21" s="9">
        <f>IF(AND(BI20&gt;0,BI20&lt;Inputs!$F$108),1,0)</f>
        <v/>
      </c>
      <c r="BJ21" s="9">
        <f>IF(AND(BJ20&gt;0,BJ20&lt;Inputs!$F$108),1,0)</f>
        <v/>
      </c>
      <c r="BK21" s="9">
        <f>IF(AND(BK20&gt;0,BK20&lt;Inputs!$F$108),1,0)</f>
        <v/>
      </c>
      <c r="BL21" s="9">
        <f>IF(AND(BL20&gt;0,BL20&lt;Inputs!$F$108),1,0)</f>
        <v/>
      </c>
      <c r="BM21" s="9">
        <f>IF(AND(BM20&gt;0,BM20&lt;Inputs!$F$108),1,0)</f>
        <v/>
      </c>
      <c r="BN21" s="9">
        <f>IF(AND(BN20&gt;0,BN20&lt;Inputs!$F$108),1,0)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P1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Returns: dated cash flows for XIRR (column J = LNTP 2018-02-05, then months, then half-years)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Flow</t>
        </is>
      </c>
      <c r="J5" s="4" t="inlineStr">
        <is>
          <t>LNTP</t>
        </is>
      </c>
      <c r="K5" s="4" t="inlineStr">
        <is>
          <t>2018-08</t>
        </is>
      </c>
      <c r="L5" s="4" t="inlineStr">
        <is>
          <t>2018-09</t>
        </is>
      </c>
      <c r="M5" s="4" t="inlineStr">
        <is>
          <t>2018-10</t>
        </is>
      </c>
      <c r="N5" s="4" t="inlineStr">
        <is>
          <t>2018-11</t>
        </is>
      </c>
      <c r="O5" s="4" t="inlineStr">
        <is>
          <t>2018-12</t>
        </is>
      </c>
      <c r="P5" s="4" t="inlineStr">
        <is>
          <t>2019-01</t>
        </is>
      </c>
      <c r="Q5" s="4" t="inlineStr">
        <is>
          <t>2019-02</t>
        </is>
      </c>
      <c r="R5" s="4" t="inlineStr">
        <is>
          <t>2019-03</t>
        </is>
      </c>
      <c r="S5" s="4" t="inlineStr">
        <is>
          <t>2019-04</t>
        </is>
      </c>
      <c r="T5" s="4" t="inlineStr">
        <is>
          <t>2019-05</t>
        </is>
      </c>
      <c r="U5" s="4" t="inlineStr">
        <is>
          <t>2019-06</t>
        </is>
      </c>
      <c r="V5" s="4" t="inlineStr">
        <is>
          <t>2019-07</t>
        </is>
      </c>
      <c r="W5" s="4" t="inlineStr">
        <is>
          <t>2019-08</t>
        </is>
      </c>
      <c r="X5" s="4" t="inlineStr">
        <is>
          <t>2019-09</t>
        </is>
      </c>
      <c r="Y5" s="4" t="inlineStr">
        <is>
          <t>2019-10</t>
        </is>
      </c>
      <c r="Z5" s="4" t="inlineStr">
        <is>
          <t>2019-11</t>
        </is>
      </c>
      <c r="AA5" s="4" t="inlineStr">
        <is>
          <t>2019-12</t>
        </is>
      </c>
      <c r="AB5" s="4" t="inlineStr">
        <is>
          <t>2020-01</t>
        </is>
      </c>
      <c r="AC5" s="4" t="inlineStr">
        <is>
          <t>2020-02</t>
        </is>
      </c>
      <c r="AD5" s="4" t="inlineStr">
        <is>
          <t>2020-03</t>
        </is>
      </c>
      <c r="AE5" s="4" t="inlineStr">
        <is>
          <t>2020-04</t>
        </is>
      </c>
      <c r="AF5" s="4" t="inlineStr">
        <is>
          <t>2020-05</t>
        </is>
      </c>
      <c r="AG5" s="4" t="inlineStr">
        <is>
          <t>2020-06</t>
        </is>
      </c>
      <c r="AH5" s="4" t="inlineStr">
        <is>
          <t>2020-07</t>
        </is>
      </c>
      <c r="AI5" s="4" t="inlineStr">
        <is>
          <t>2020-08</t>
        </is>
      </c>
      <c r="AJ5" s="4" t="inlineStr">
        <is>
          <t>2020-09</t>
        </is>
      </c>
      <c r="AK5" s="4" t="inlineStr">
        <is>
          <t>2020-10</t>
        </is>
      </c>
      <c r="AL5" s="4" t="inlineStr">
        <is>
          <t>2020-11</t>
        </is>
      </c>
      <c r="AM5" s="4" t="inlineStr">
        <is>
          <t>2020-12</t>
        </is>
      </c>
      <c r="AN5" s="4" t="inlineStr">
        <is>
          <t>2021-01</t>
        </is>
      </c>
      <c r="AO5" s="4" t="inlineStr">
        <is>
          <t>2021-02</t>
        </is>
      </c>
      <c r="AP5" s="4" t="inlineStr">
        <is>
          <t>2021-03</t>
        </is>
      </c>
      <c r="AQ5" s="4" t="inlineStr">
        <is>
          <t>2021-04</t>
        </is>
      </c>
      <c r="AR5" s="4" t="inlineStr">
        <is>
          <t>2021-05</t>
        </is>
      </c>
      <c r="AS5" s="4" t="inlineStr">
        <is>
          <t>2021-06</t>
        </is>
      </c>
      <c r="AT5" s="4" t="inlineStr">
        <is>
          <t>2021-07</t>
        </is>
      </c>
      <c r="AU5" s="4" t="inlineStr">
        <is>
          <t>2021-08</t>
        </is>
      </c>
      <c r="AV5" s="4" t="inlineStr">
        <is>
          <t>2021-09</t>
        </is>
      </c>
      <c r="AW5" s="4" t="inlineStr">
        <is>
          <t>2021-10</t>
        </is>
      </c>
      <c r="AX5" s="4" t="inlineStr">
        <is>
          <t>2021-11</t>
        </is>
      </c>
      <c r="AY5" s="4" t="inlineStr">
        <is>
          <t>2021-12</t>
        </is>
      </c>
      <c r="AZ5" s="4" t="inlineStr">
        <is>
          <t>2022-01</t>
        </is>
      </c>
      <c r="BA5" s="4" t="inlineStr">
        <is>
          <t>2022-02</t>
        </is>
      </c>
      <c r="BB5" s="4" t="inlineStr">
        <is>
          <t>2022-03</t>
        </is>
      </c>
      <c r="BC5" s="4" t="inlineStr">
        <is>
          <t>2022-04</t>
        </is>
      </c>
      <c r="BD5" s="4" t="inlineStr">
        <is>
          <t>2022-05</t>
        </is>
      </c>
      <c r="BE5" s="4" t="inlineStr">
        <is>
          <t>2022-06</t>
        </is>
      </c>
      <c r="BF5" s="4" t="inlineStr">
        <is>
          <t>2022-07</t>
        </is>
      </c>
      <c r="BG5" s="4" t="inlineStr">
        <is>
          <t>2022-08</t>
        </is>
      </c>
      <c r="BH5" s="4" t="inlineStr">
        <is>
          <t>2022-09</t>
        </is>
      </c>
      <c r="BI5" s="4" t="inlineStr">
        <is>
          <t>2022-10</t>
        </is>
      </c>
      <c r="BJ5" s="4" t="inlineStr">
        <is>
          <t>2022-11</t>
        </is>
      </c>
      <c r="BK5" s="4" t="inlineStr">
        <is>
          <t>2022-12</t>
        </is>
      </c>
      <c r="BL5" s="4" t="inlineStr">
        <is>
          <t>2018H2</t>
        </is>
      </c>
      <c r="BM5" s="4" t="inlineStr">
        <is>
          <t>2019H1</t>
        </is>
      </c>
      <c r="BN5" s="4" t="inlineStr">
        <is>
          <t>2019H2</t>
        </is>
      </c>
      <c r="BO5" s="4" t="inlineStr">
        <is>
          <t>2020H1</t>
        </is>
      </c>
      <c r="BP5" s="4" t="inlineStr">
        <is>
          <t>2020H2</t>
        </is>
      </c>
      <c r="BQ5" s="4" t="inlineStr">
        <is>
          <t>2021H1</t>
        </is>
      </c>
      <c r="BR5" s="4" t="inlineStr">
        <is>
          <t>2021H2</t>
        </is>
      </c>
      <c r="BS5" s="4" t="inlineStr">
        <is>
          <t>2022H1</t>
        </is>
      </c>
      <c r="BT5" s="4" t="inlineStr">
        <is>
          <t>2022H2</t>
        </is>
      </c>
      <c r="BU5" s="4" t="inlineStr">
        <is>
          <t>2023H1</t>
        </is>
      </c>
      <c r="BV5" s="4" t="inlineStr">
        <is>
          <t>2023H2</t>
        </is>
      </c>
      <c r="BW5" s="4" t="inlineStr">
        <is>
          <t>2024H1</t>
        </is>
      </c>
      <c r="BX5" s="4" t="inlineStr">
        <is>
          <t>2024H2</t>
        </is>
      </c>
      <c r="BY5" s="4" t="inlineStr">
        <is>
          <t>2025H1</t>
        </is>
      </c>
      <c r="BZ5" s="4" t="inlineStr">
        <is>
          <t>2025H2</t>
        </is>
      </c>
      <c r="CA5" s="4" t="inlineStr">
        <is>
          <t>2026H1</t>
        </is>
      </c>
      <c r="CB5" s="4" t="inlineStr">
        <is>
          <t>2026H2</t>
        </is>
      </c>
      <c r="CC5" s="4" t="inlineStr">
        <is>
          <t>2027H1</t>
        </is>
      </c>
      <c r="CD5" s="4" t="inlineStr">
        <is>
          <t>2027H2</t>
        </is>
      </c>
      <c r="CE5" s="4" t="inlineStr">
        <is>
          <t>2028H1</t>
        </is>
      </c>
      <c r="CF5" s="4" t="inlineStr">
        <is>
          <t>2028H2</t>
        </is>
      </c>
      <c r="CG5" s="4" t="inlineStr">
        <is>
          <t>2029H1</t>
        </is>
      </c>
      <c r="CH5" s="4" t="inlineStr">
        <is>
          <t>2029H2</t>
        </is>
      </c>
      <c r="CI5" s="4" t="inlineStr">
        <is>
          <t>2030H1</t>
        </is>
      </c>
      <c r="CJ5" s="4" t="inlineStr">
        <is>
          <t>2030H2</t>
        </is>
      </c>
      <c r="CK5" s="4" t="inlineStr">
        <is>
          <t>2031H1</t>
        </is>
      </c>
      <c r="CL5" s="4" t="inlineStr">
        <is>
          <t>2031H2</t>
        </is>
      </c>
      <c r="CM5" s="4" t="inlineStr">
        <is>
          <t>2032H1</t>
        </is>
      </c>
      <c r="CN5" s="4" t="inlineStr">
        <is>
          <t>2032H2</t>
        </is>
      </c>
      <c r="CO5" s="4" t="inlineStr">
        <is>
          <t>2033H1</t>
        </is>
      </c>
      <c r="CP5" s="4" t="inlineStr">
        <is>
          <t>2033H2</t>
        </is>
      </c>
      <c r="CQ5" s="4" t="inlineStr">
        <is>
          <t>2034H1</t>
        </is>
      </c>
      <c r="CR5" s="4" t="inlineStr">
        <is>
          <t>2034H2</t>
        </is>
      </c>
      <c r="CS5" s="4" t="inlineStr">
        <is>
          <t>2035H1</t>
        </is>
      </c>
      <c r="CT5" s="4" t="inlineStr">
        <is>
          <t>2035H2</t>
        </is>
      </c>
      <c r="CU5" s="4" t="inlineStr">
        <is>
          <t>2036H1</t>
        </is>
      </c>
      <c r="CV5" s="4" t="inlineStr">
        <is>
          <t>2036H2</t>
        </is>
      </c>
      <c r="CW5" s="4" t="inlineStr">
        <is>
          <t>2037H1</t>
        </is>
      </c>
      <c r="CX5" s="4" t="inlineStr">
        <is>
          <t>2037H2</t>
        </is>
      </c>
      <c r="CY5" s="4" t="inlineStr">
        <is>
          <t>2038H1</t>
        </is>
      </c>
      <c r="CZ5" s="4" t="inlineStr">
        <is>
          <t>2038H2</t>
        </is>
      </c>
      <c r="DA5" s="4" t="inlineStr">
        <is>
          <t>2039H1</t>
        </is>
      </c>
      <c r="DB5" s="4" t="inlineStr">
        <is>
          <t>2039H2</t>
        </is>
      </c>
      <c r="DC5" s="4" t="inlineStr">
        <is>
          <t>2040H1</t>
        </is>
      </c>
      <c r="DD5" s="4" t="inlineStr">
        <is>
          <t>2040H2</t>
        </is>
      </c>
      <c r="DE5" s="4" t="inlineStr">
        <is>
          <t>2041H1</t>
        </is>
      </c>
      <c r="DF5" s="4" t="inlineStr">
        <is>
          <t>2041H2</t>
        </is>
      </c>
      <c r="DG5" s="4" t="inlineStr">
        <is>
          <t>2042H1</t>
        </is>
      </c>
      <c r="DH5" s="4" t="inlineStr">
        <is>
          <t>2042H2</t>
        </is>
      </c>
      <c r="DI5" s="4" t="inlineStr">
        <is>
          <t>2043H1</t>
        </is>
      </c>
      <c r="DJ5" s="4" t="inlineStr">
        <is>
          <t>2043H2</t>
        </is>
      </c>
      <c r="DK5" s="4" t="inlineStr">
        <is>
          <t>2044H1</t>
        </is>
      </c>
      <c r="DL5" s="4" t="inlineStr">
        <is>
          <t>2044H2</t>
        </is>
      </c>
      <c r="DM5" s="4" t="inlineStr">
        <is>
          <t>2045H1</t>
        </is>
      </c>
      <c r="DN5" s="4" t="inlineStr">
        <is>
          <t>2045H2</t>
        </is>
      </c>
      <c r="DO5" s="4" t="inlineStr">
        <is>
          <t>2046H1</t>
        </is>
      </c>
      <c r="DP5" s="4" t="inlineStr">
        <is>
          <t>2046H2</t>
        </is>
      </c>
    </row>
    <row r="7">
      <c r="D7" t="inlineStr">
        <is>
          <t>Cash flow date</t>
        </is>
      </c>
      <c r="E7" t="inlineStr">
        <is>
          <t>date</t>
        </is>
      </c>
      <c r="J7" s="19">
        <f>Inputs!$F$186</f>
        <v/>
      </c>
      <c r="K7" s="19">
        <f>Construction!J9</f>
        <v/>
      </c>
      <c r="L7" s="19">
        <f>Construction!K9</f>
        <v/>
      </c>
      <c r="M7" s="19">
        <f>Construction!L9</f>
        <v/>
      </c>
      <c r="N7" s="19">
        <f>Construction!M9</f>
        <v/>
      </c>
      <c r="O7" s="19">
        <f>Construction!N9</f>
        <v/>
      </c>
      <c r="P7" s="19">
        <f>Construction!O9</f>
        <v/>
      </c>
      <c r="Q7" s="19">
        <f>Construction!P9</f>
        <v/>
      </c>
      <c r="R7" s="19">
        <f>Construction!Q9</f>
        <v/>
      </c>
      <c r="S7" s="19">
        <f>Construction!R9</f>
        <v/>
      </c>
      <c r="T7" s="19">
        <f>Construction!S9</f>
        <v/>
      </c>
      <c r="U7" s="19">
        <f>Construction!T9</f>
        <v/>
      </c>
      <c r="V7" s="19">
        <f>Construction!U9</f>
        <v/>
      </c>
      <c r="W7" s="19">
        <f>Construction!V9</f>
        <v/>
      </c>
      <c r="X7" s="19">
        <f>Construction!W9</f>
        <v/>
      </c>
      <c r="Y7" s="19">
        <f>Construction!X9</f>
        <v/>
      </c>
      <c r="Z7" s="19">
        <f>Construction!Y9</f>
        <v/>
      </c>
      <c r="AA7" s="19">
        <f>Construction!Z9</f>
        <v/>
      </c>
      <c r="AB7" s="19">
        <f>Construction!AA9</f>
        <v/>
      </c>
      <c r="AC7" s="19">
        <f>Construction!AB9</f>
        <v/>
      </c>
      <c r="AD7" s="19">
        <f>Construction!AC9</f>
        <v/>
      </c>
      <c r="AE7" s="19">
        <f>Construction!AD9</f>
        <v/>
      </c>
      <c r="AF7" s="19">
        <f>Construction!AE9</f>
        <v/>
      </c>
      <c r="AG7" s="19">
        <f>Construction!AF9</f>
        <v/>
      </c>
      <c r="AH7" s="19">
        <f>Construction!AG9</f>
        <v/>
      </c>
      <c r="AI7" s="19">
        <f>Construction!AH9</f>
        <v/>
      </c>
      <c r="AJ7" s="19">
        <f>Construction!AI9</f>
        <v/>
      </c>
      <c r="AK7" s="19">
        <f>Construction!AJ9</f>
        <v/>
      </c>
      <c r="AL7" s="19">
        <f>Construction!AK9</f>
        <v/>
      </c>
      <c r="AM7" s="19">
        <f>Construction!AL9</f>
        <v/>
      </c>
      <c r="AN7" s="19">
        <f>Construction!AM9</f>
        <v/>
      </c>
      <c r="AO7" s="19">
        <f>Construction!AN9</f>
        <v/>
      </c>
      <c r="AP7" s="19">
        <f>Construction!AO9</f>
        <v/>
      </c>
      <c r="AQ7" s="19">
        <f>Construction!AP9</f>
        <v/>
      </c>
      <c r="AR7" s="19">
        <f>Construction!AQ9</f>
        <v/>
      </c>
      <c r="AS7" s="19">
        <f>Construction!AR9</f>
        <v/>
      </c>
      <c r="AT7" s="19">
        <f>Construction!AS9</f>
        <v/>
      </c>
      <c r="AU7" s="19">
        <f>Construction!AT9</f>
        <v/>
      </c>
      <c r="AV7" s="19">
        <f>Construction!AU9</f>
        <v/>
      </c>
      <c r="AW7" s="19">
        <f>Construction!AV9</f>
        <v/>
      </c>
      <c r="AX7" s="19">
        <f>Construction!AW9</f>
        <v/>
      </c>
      <c r="AY7" s="19">
        <f>Construction!AX9</f>
        <v/>
      </c>
      <c r="AZ7" s="19">
        <f>Construction!AY9</f>
        <v/>
      </c>
      <c r="BA7" s="19">
        <f>Construction!AZ9</f>
        <v/>
      </c>
      <c r="BB7" s="19">
        <f>Construction!BA9</f>
        <v/>
      </c>
      <c r="BC7" s="19">
        <f>Construction!BB9</f>
        <v/>
      </c>
      <c r="BD7" s="19">
        <f>Construction!BC9</f>
        <v/>
      </c>
      <c r="BE7" s="19">
        <f>Construction!BD9</f>
        <v/>
      </c>
      <c r="BF7" s="19">
        <f>Construction!BE9</f>
        <v/>
      </c>
      <c r="BG7" s="19">
        <f>Construction!BF9</f>
        <v/>
      </c>
      <c r="BH7" s="19">
        <f>Construction!BG9</f>
        <v/>
      </c>
      <c r="BI7" s="19">
        <f>Construction!BH9</f>
        <v/>
      </c>
      <c r="BJ7" s="19">
        <f>Construction!BI9</f>
        <v/>
      </c>
      <c r="BK7" s="19">
        <f>Construction!BJ9</f>
        <v/>
      </c>
      <c r="BL7" s="19">
        <f>Time!J23</f>
        <v/>
      </c>
      <c r="BM7" s="19">
        <f>Time!K23</f>
        <v/>
      </c>
      <c r="BN7" s="19">
        <f>Time!L23</f>
        <v/>
      </c>
      <c r="BO7" s="19">
        <f>Time!M23</f>
        <v/>
      </c>
      <c r="BP7" s="19">
        <f>Time!N23</f>
        <v/>
      </c>
      <c r="BQ7" s="19">
        <f>Time!O23</f>
        <v/>
      </c>
      <c r="BR7" s="19">
        <f>Time!P23</f>
        <v/>
      </c>
      <c r="BS7" s="19">
        <f>Time!Q23</f>
        <v/>
      </c>
      <c r="BT7" s="19">
        <f>Time!R23</f>
        <v/>
      </c>
      <c r="BU7" s="19">
        <f>Time!S23</f>
        <v/>
      </c>
      <c r="BV7" s="19">
        <f>Time!T23</f>
        <v/>
      </c>
      <c r="BW7" s="19">
        <f>Time!U23</f>
        <v/>
      </c>
      <c r="BX7" s="19">
        <f>Time!V23</f>
        <v/>
      </c>
      <c r="BY7" s="19">
        <f>Time!W23</f>
        <v/>
      </c>
      <c r="BZ7" s="19">
        <f>Time!X23</f>
        <v/>
      </c>
      <c r="CA7" s="19">
        <f>Time!Y23</f>
        <v/>
      </c>
      <c r="CB7" s="19">
        <f>Time!Z23</f>
        <v/>
      </c>
      <c r="CC7" s="19">
        <f>Time!AA23</f>
        <v/>
      </c>
      <c r="CD7" s="19">
        <f>Time!AB23</f>
        <v/>
      </c>
      <c r="CE7" s="19">
        <f>Time!AC23</f>
        <v/>
      </c>
      <c r="CF7" s="19">
        <f>Time!AD23</f>
        <v/>
      </c>
      <c r="CG7" s="19">
        <f>Time!AE23</f>
        <v/>
      </c>
      <c r="CH7" s="19">
        <f>Time!AF23</f>
        <v/>
      </c>
      <c r="CI7" s="19">
        <f>Time!AG23</f>
        <v/>
      </c>
      <c r="CJ7" s="19">
        <f>Time!AH23</f>
        <v/>
      </c>
      <c r="CK7" s="19">
        <f>Time!AI23</f>
        <v/>
      </c>
      <c r="CL7" s="19">
        <f>Time!AJ23</f>
        <v/>
      </c>
      <c r="CM7" s="19">
        <f>Time!AK23</f>
        <v/>
      </c>
      <c r="CN7" s="19">
        <f>Time!AL23</f>
        <v/>
      </c>
      <c r="CO7" s="19">
        <f>Time!AM23</f>
        <v/>
      </c>
      <c r="CP7" s="19">
        <f>Time!AN23</f>
        <v/>
      </c>
      <c r="CQ7" s="19">
        <f>Time!AO23</f>
        <v/>
      </c>
      <c r="CR7" s="19">
        <f>Time!AP23</f>
        <v/>
      </c>
      <c r="CS7" s="19">
        <f>Time!AQ23</f>
        <v/>
      </c>
      <c r="CT7" s="19">
        <f>Time!AR23</f>
        <v/>
      </c>
      <c r="CU7" s="19">
        <f>Time!AS23</f>
        <v/>
      </c>
      <c r="CV7" s="19">
        <f>Time!AT23</f>
        <v/>
      </c>
      <c r="CW7" s="19">
        <f>Time!AU23</f>
        <v/>
      </c>
      <c r="CX7" s="19">
        <f>Time!AV23</f>
        <v/>
      </c>
      <c r="CY7" s="19">
        <f>Time!AW23</f>
        <v/>
      </c>
      <c r="CZ7" s="19">
        <f>Time!AX23</f>
        <v/>
      </c>
      <c r="DA7" s="19">
        <f>Time!AY23</f>
        <v/>
      </c>
      <c r="DB7" s="19">
        <f>Time!AZ23</f>
        <v/>
      </c>
      <c r="DC7" s="19">
        <f>Time!BA23</f>
        <v/>
      </c>
      <c r="DD7" s="19">
        <f>Time!BB23</f>
        <v/>
      </c>
      <c r="DE7" s="19">
        <f>Time!BC23</f>
        <v/>
      </c>
      <c r="DF7" s="19">
        <f>Time!BD23</f>
        <v/>
      </c>
      <c r="DG7" s="19">
        <f>Time!BE23</f>
        <v/>
      </c>
      <c r="DH7" s="19">
        <f>Time!BF23</f>
        <v/>
      </c>
      <c r="DI7" s="19">
        <f>Time!BG23</f>
        <v/>
      </c>
      <c r="DJ7" s="19">
        <f>Time!BH23</f>
        <v/>
      </c>
      <c r="DK7" s="19">
        <f>Time!BI23</f>
        <v/>
      </c>
      <c r="DL7" s="19">
        <f>Time!BJ23</f>
        <v/>
      </c>
      <c r="DM7" s="19">
        <f>Time!BK23</f>
        <v/>
      </c>
      <c r="DN7" s="19">
        <f>Time!BL23</f>
        <v/>
      </c>
      <c r="DO7" s="19">
        <f>Time!BM23</f>
        <v/>
      </c>
      <c r="DP7" s="19">
        <f>Time!BN23</f>
        <v/>
      </c>
    </row>
    <row r="8">
      <c r="D8" t="inlineStr">
        <is>
          <t>Equity cash flow (contributions negative)</t>
        </is>
      </c>
      <c r="E8" t="inlineStr">
        <is>
          <t>USD m</t>
        </is>
      </c>
      <c r="G8" s="13">
        <f>SUM(J8:DP8)</f>
        <v/>
      </c>
      <c r="J8" s="13">
        <f>-Inputs!$F$68</f>
        <v/>
      </c>
      <c r="K8" s="13">
        <f>-Funding!J68</f>
        <v/>
      </c>
      <c r="L8" s="13">
        <f>-Funding!K68</f>
        <v/>
      </c>
      <c r="M8" s="13">
        <f>-Funding!L68</f>
        <v/>
      </c>
      <c r="N8" s="13">
        <f>-Funding!M68</f>
        <v/>
      </c>
      <c r="O8" s="13">
        <f>-Funding!N68</f>
        <v/>
      </c>
      <c r="P8" s="13">
        <f>-Funding!O68</f>
        <v/>
      </c>
      <c r="Q8" s="13">
        <f>-Funding!P68</f>
        <v/>
      </c>
      <c r="R8" s="13">
        <f>-Funding!Q68</f>
        <v/>
      </c>
      <c r="S8" s="13">
        <f>-Funding!R68</f>
        <v/>
      </c>
      <c r="T8" s="13">
        <f>-Funding!S68</f>
        <v/>
      </c>
      <c r="U8" s="13">
        <f>-Funding!T68</f>
        <v/>
      </c>
      <c r="V8" s="13">
        <f>-Funding!U68</f>
        <v/>
      </c>
      <c r="W8" s="13">
        <f>-Funding!V68</f>
        <v/>
      </c>
      <c r="X8" s="13">
        <f>-Funding!W68</f>
        <v/>
      </c>
      <c r="Y8" s="13">
        <f>-Funding!X68</f>
        <v/>
      </c>
      <c r="Z8" s="13">
        <f>-Funding!Y68</f>
        <v/>
      </c>
      <c r="AA8" s="13">
        <f>-Funding!Z68</f>
        <v/>
      </c>
      <c r="AB8" s="13">
        <f>-Funding!AA68</f>
        <v/>
      </c>
      <c r="AC8" s="13">
        <f>-Funding!AB68</f>
        <v/>
      </c>
      <c r="AD8" s="13">
        <f>-Funding!AC68</f>
        <v/>
      </c>
      <c r="AE8" s="13">
        <f>-Funding!AD68</f>
        <v/>
      </c>
      <c r="AF8" s="13">
        <f>-Funding!AE68</f>
        <v/>
      </c>
      <c r="AG8" s="13">
        <f>-Funding!AF68</f>
        <v/>
      </c>
      <c r="AH8" s="13">
        <f>-Funding!AG68</f>
        <v/>
      </c>
      <c r="AI8" s="13">
        <f>-Funding!AH68</f>
        <v/>
      </c>
      <c r="AJ8" s="13">
        <f>-Funding!AI68</f>
        <v/>
      </c>
      <c r="AK8" s="13">
        <f>-Funding!AJ68</f>
        <v/>
      </c>
      <c r="AL8" s="13">
        <f>-Funding!AK68</f>
        <v/>
      </c>
      <c r="AM8" s="13">
        <f>-Funding!AL68</f>
        <v/>
      </c>
      <c r="AN8" s="13">
        <f>-Funding!AM68</f>
        <v/>
      </c>
      <c r="AO8" s="13">
        <f>-Funding!AN68</f>
        <v/>
      </c>
      <c r="AP8" s="13">
        <f>-Funding!AO68</f>
        <v/>
      </c>
      <c r="AQ8" s="13">
        <f>-Funding!AP68</f>
        <v/>
      </c>
      <c r="AR8" s="13">
        <f>-Funding!AQ68</f>
        <v/>
      </c>
      <c r="AS8" s="13">
        <f>-Funding!AR68</f>
        <v/>
      </c>
      <c r="AT8" s="13">
        <f>-Funding!AS68</f>
        <v/>
      </c>
      <c r="AU8" s="13">
        <f>-Funding!AT68</f>
        <v/>
      </c>
      <c r="AV8" s="13">
        <f>-Funding!AU68</f>
        <v/>
      </c>
      <c r="AW8" s="13">
        <f>-Funding!AV68</f>
        <v/>
      </c>
      <c r="AX8" s="13">
        <f>-Funding!AW68</f>
        <v/>
      </c>
      <c r="AY8" s="13">
        <f>-Funding!AX68</f>
        <v/>
      </c>
      <c r="AZ8" s="13">
        <f>-Funding!AY68</f>
        <v/>
      </c>
      <c r="BA8" s="13">
        <f>-Funding!AZ68</f>
        <v/>
      </c>
      <c r="BB8" s="13">
        <f>-Funding!BA68</f>
        <v/>
      </c>
      <c r="BC8" s="13">
        <f>-Funding!BB68</f>
        <v/>
      </c>
      <c r="BD8" s="13">
        <f>-Funding!BC68</f>
        <v/>
      </c>
      <c r="BE8" s="13">
        <f>-Funding!BD68</f>
        <v/>
      </c>
      <c r="BF8" s="13">
        <f>-Funding!BE68</f>
        <v/>
      </c>
      <c r="BG8" s="13">
        <f>-Funding!BF68</f>
        <v/>
      </c>
      <c r="BH8" s="13">
        <f>-Funding!BG68</f>
        <v/>
      </c>
      <c r="BI8" s="13">
        <f>-Funding!BH68</f>
        <v/>
      </c>
      <c r="BJ8" s="13">
        <f>-Funding!BI68</f>
        <v/>
      </c>
      <c r="BK8" s="13">
        <f>-Funding!BJ68</f>
        <v/>
      </c>
      <c r="BL8" s="18">
        <f>Waterfall!J44</f>
        <v/>
      </c>
      <c r="BM8" s="18">
        <f>Waterfall!K44</f>
        <v/>
      </c>
      <c r="BN8" s="18">
        <f>Waterfall!L44</f>
        <v/>
      </c>
      <c r="BO8" s="18">
        <f>Waterfall!M44</f>
        <v/>
      </c>
      <c r="BP8" s="18">
        <f>Waterfall!N44</f>
        <v/>
      </c>
      <c r="BQ8" s="18">
        <f>Waterfall!O44</f>
        <v/>
      </c>
      <c r="BR8" s="18">
        <f>Waterfall!P44</f>
        <v/>
      </c>
      <c r="BS8" s="18">
        <f>Waterfall!Q44</f>
        <v/>
      </c>
      <c r="BT8" s="18">
        <f>Waterfall!R44</f>
        <v/>
      </c>
      <c r="BU8" s="18">
        <f>Waterfall!S44</f>
        <v/>
      </c>
      <c r="BV8" s="18">
        <f>Waterfall!T44</f>
        <v/>
      </c>
      <c r="BW8" s="18">
        <f>Waterfall!U44</f>
        <v/>
      </c>
      <c r="BX8" s="18">
        <f>Waterfall!V44</f>
        <v/>
      </c>
      <c r="BY8" s="18">
        <f>Waterfall!W44</f>
        <v/>
      </c>
      <c r="BZ8" s="18">
        <f>Waterfall!X44</f>
        <v/>
      </c>
      <c r="CA8" s="18">
        <f>Waterfall!Y44</f>
        <v/>
      </c>
      <c r="CB8" s="18">
        <f>Waterfall!Z44</f>
        <v/>
      </c>
      <c r="CC8" s="18">
        <f>Waterfall!AA44</f>
        <v/>
      </c>
      <c r="CD8" s="18">
        <f>Waterfall!AB44</f>
        <v/>
      </c>
      <c r="CE8" s="18">
        <f>Waterfall!AC44</f>
        <v/>
      </c>
      <c r="CF8" s="18">
        <f>Waterfall!AD44</f>
        <v/>
      </c>
      <c r="CG8" s="18">
        <f>Waterfall!AE44</f>
        <v/>
      </c>
      <c r="CH8" s="18">
        <f>Waterfall!AF44</f>
        <v/>
      </c>
      <c r="CI8" s="18">
        <f>Waterfall!AG44</f>
        <v/>
      </c>
      <c r="CJ8" s="18">
        <f>Waterfall!AH44</f>
        <v/>
      </c>
      <c r="CK8" s="18">
        <f>Waterfall!AI44</f>
        <v/>
      </c>
      <c r="CL8" s="18">
        <f>Waterfall!AJ44</f>
        <v/>
      </c>
      <c r="CM8" s="18">
        <f>Waterfall!AK44</f>
        <v/>
      </c>
      <c r="CN8" s="18">
        <f>Waterfall!AL44</f>
        <v/>
      </c>
      <c r="CO8" s="18">
        <f>Waterfall!AM44</f>
        <v/>
      </c>
      <c r="CP8" s="18">
        <f>Waterfall!AN44</f>
        <v/>
      </c>
      <c r="CQ8" s="18">
        <f>Waterfall!AO44</f>
        <v/>
      </c>
      <c r="CR8" s="18">
        <f>Waterfall!AP44</f>
        <v/>
      </c>
      <c r="CS8" s="18">
        <f>Waterfall!AQ44</f>
        <v/>
      </c>
      <c r="CT8" s="18">
        <f>Waterfall!AR44</f>
        <v/>
      </c>
      <c r="CU8" s="18">
        <f>Waterfall!AS44</f>
        <v/>
      </c>
      <c r="CV8" s="18">
        <f>Waterfall!AT44</f>
        <v/>
      </c>
      <c r="CW8" s="18">
        <f>Waterfall!AU44</f>
        <v/>
      </c>
      <c r="CX8" s="18">
        <f>Waterfall!AV44</f>
        <v/>
      </c>
      <c r="CY8" s="18">
        <f>Waterfall!AW44</f>
        <v/>
      </c>
      <c r="CZ8" s="18">
        <f>Waterfall!AX44</f>
        <v/>
      </c>
      <c r="DA8" s="18">
        <f>Waterfall!AY44</f>
        <v/>
      </c>
      <c r="DB8" s="18">
        <f>Waterfall!AZ44</f>
        <v/>
      </c>
      <c r="DC8" s="18">
        <f>Waterfall!BA44</f>
        <v/>
      </c>
      <c r="DD8" s="18">
        <f>Waterfall!BB44</f>
        <v/>
      </c>
      <c r="DE8" s="18">
        <f>Waterfall!BC44</f>
        <v/>
      </c>
      <c r="DF8" s="18">
        <f>Waterfall!BD44</f>
        <v/>
      </c>
      <c r="DG8" s="18">
        <f>Waterfall!BE44</f>
        <v/>
      </c>
      <c r="DH8" s="18">
        <f>Waterfall!BF44</f>
        <v/>
      </c>
      <c r="DI8" s="18">
        <f>Waterfall!BG44</f>
        <v/>
      </c>
      <c r="DJ8" s="18">
        <f>Waterfall!BH44</f>
        <v/>
      </c>
      <c r="DK8" s="18">
        <f>Waterfall!BI44</f>
        <v/>
      </c>
      <c r="DL8" s="18">
        <f>Waterfall!BJ44</f>
        <v/>
      </c>
      <c r="DM8" s="18">
        <f>Waterfall!BK44</f>
        <v/>
      </c>
      <c r="DN8" s="18">
        <f>Waterfall!BL44</f>
        <v/>
      </c>
      <c r="DO8" s="18">
        <f>Waterfall!BM44</f>
        <v/>
      </c>
      <c r="DP8" s="18">
        <f>Waterfall!BN44</f>
        <v/>
      </c>
    </row>
    <row r="9">
      <c r="D9" t="inlineStr">
        <is>
          <t>Project cash flow, post-tax (uses before financing; CFADS)</t>
        </is>
      </c>
      <c r="E9" t="inlineStr">
        <is>
          <t>USD m</t>
        </is>
      </c>
      <c r="G9" s="13">
        <f>SUM(J9:DP9)</f>
        <v/>
      </c>
      <c r="J9" s="13">
        <f>0</f>
        <v/>
      </c>
      <c r="K9" s="13">
        <f>-Construction!J32</f>
        <v/>
      </c>
      <c r="L9" s="13">
        <f>-Construction!K32</f>
        <v/>
      </c>
      <c r="M9" s="13">
        <f>-Construction!L32</f>
        <v/>
      </c>
      <c r="N9" s="13">
        <f>-Construction!M32</f>
        <v/>
      </c>
      <c r="O9" s="13">
        <f>-Construction!N32</f>
        <v/>
      </c>
      <c r="P9" s="13">
        <f>-Construction!O32</f>
        <v/>
      </c>
      <c r="Q9" s="13">
        <f>-Construction!P32</f>
        <v/>
      </c>
      <c r="R9" s="13">
        <f>-Construction!Q32</f>
        <v/>
      </c>
      <c r="S9" s="13">
        <f>-Construction!R32</f>
        <v/>
      </c>
      <c r="T9" s="13">
        <f>-Construction!S32</f>
        <v/>
      </c>
      <c r="U9" s="13">
        <f>-Construction!T32</f>
        <v/>
      </c>
      <c r="V9" s="13">
        <f>-Construction!U32</f>
        <v/>
      </c>
      <c r="W9" s="13">
        <f>-Construction!V32</f>
        <v/>
      </c>
      <c r="X9" s="13">
        <f>-Construction!W32</f>
        <v/>
      </c>
      <c r="Y9" s="13">
        <f>-Construction!X32</f>
        <v/>
      </c>
      <c r="Z9" s="13">
        <f>-Construction!Y32</f>
        <v/>
      </c>
      <c r="AA9" s="13">
        <f>-Construction!Z32</f>
        <v/>
      </c>
      <c r="AB9" s="13">
        <f>-Construction!AA32</f>
        <v/>
      </c>
      <c r="AC9" s="13">
        <f>-Construction!AB32</f>
        <v/>
      </c>
      <c r="AD9" s="13">
        <f>-Construction!AC32</f>
        <v/>
      </c>
      <c r="AE9" s="13">
        <f>-Construction!AD32</f>
        <v/>
      </c>
      <c r="AF9" s="13">
        <f>-Construction!AE32</f>
        <v/>
      </c>
      <c r="AG9" s="13">
        <f>-Construction!AF32</f>
        <v/>
      </c>
      <c r="AH9" s="13">
        <f>-Construction!AG32</f>
        <v/>
      </c>
      <c r="AI9" s="13">
        <f>-Construction!AH32</f>
        <v/>
      </c>
      <c r="AJ9" s="13">
        <f>-Construction!AI32</f>
        <v/>
      </c>
      <c r="AK9" s="13">
        <f>-Construction!AJ32</f>
        <v/>
      </c>
      <c r="AL9" s="13">
        <f>-Construction!AK32</f>
        <v/>
      </c>
      <c r="AM9" s="13">
        <f>-Construction!AL32</f>
        <v/>
      </c>
      <c r="AN9" s="13">
        <f>-Construction!AM32</f>
        <v/>
      </c>
      <c r="AO9" s="13">
        <f>-Construction!AN32</f>
        <v/>
      </c>
      <c r="AP9" s="13">
        <f>-Construction!AO32</f>
        <v/>
      </c>
      <c r="AQ9" s="13">
        <f>-Construction!AP32</f>
        <v/>
      </c>
      <c r="AR9" s="13">
        <f>-Construction!AQ32</f>
        <v/>
      </c>
      <c r="AS9" s="13">
        <f>-Construction!AR32</f>
        <v/>
      </c>
      <c r="AT9" s="13">
        <f>-Construction!AS32</f>
        <v/>
      </c>
      <c r="AU9" s="13">
        <f>-Construction!AT32</f>
        <v/>
      </c>
      <c r="AV9" s="13">
        <f>-Construction!AU32</f>
        <v/>
      </c>
      <c r="AW9" s="13">
        <f>-Construction!AV32</f>
        <v/>
      </c>
      <c r="AX9" s="13">
        <f>-Construction!AW32</f>
        <v/>
      </c>
      <c r="AY9" s="13">
        <f>-Construction!AX32</f>
        <v/>
      </c>
      <c r="AZ9" s="13">
        <f>-Construction!AY32</f>
        <v/>
      </c>
      <c r="BA9" s="13">
        <f>-Construction!AZ32</f>
        <v/>
      </c>
      <c r="BB9" s="13">
        <f>-Construction!BA32</f>
        <v/>
      </c>
      <c r="BC9" s="13">
        <f>-Construction!BB32</f>
        <v/>
      </c>
      <c r="BD9" s="13">
        <f>-Construction!BC32</f>
        <v/>
      </c>
      <c r="BE9" s="13">
        <f>-Construction!BD32</f>
        <v/>
      </c>
      <c r="BF9" s="13">
        <f>-Construction!BE32</f>
        <v/>
      </c>
      <c r="BG9" s="13">
        <f>-Construction!BF32</f>
        <v/>
      </c>
      <c r="BH9" s="13">
        <f>-Construction!BG32</f>
        <v/>
      </c>
      <c r="BI9" s="13">
        <f>-Construction!BH32</f>
        <v/>
      </c>
      <c r="BJ9" s="13">
        <f>-Construction!BI32</f>
        <v/>
      </c>
      <c r="BK9" s="13">
        <f>-Construction!BJ32</f>
        <v/>
      </c>
      <c r="BL9" s="18">
        <f>Waterfall!J7</f>
        <v/>
      </c>
      <c r="BM9" s="18">
        <f>Waterfall!K7</f>
        <v/>
      </c>
      <c r="BN9" s="18">
        <f>Waterfall!L7</f>
        <v/>
      </c>
      <c r="BO9" s="18">
        <f>Waterfall!M7</f>
        <v/>
      </c>
      <c r="BP9" s="18">
        <f>Waterfall!N7</f>
        <v/>
      </c>
      <c r="BQ9" s="18">
        <f>Waterfall!O7</f>
        <v/>
      </c>
      <c r="BR9" s="18">
        <f>Waterfall!P7</f>
        <v/>
      </c>
      <c r="BS9" s="18">
        <f>Waterfall!Q7</f>
        <v/>
      </c>
      <c r="BT9" s="18">
        <f>Waterfall!R7</f>
        <v/>
      </c>
      <c r="BU9" s="18">
        <f>Waterfall!S7</f>
        <v/>
      </c>
      <c r="BV9" s="18">
        <f>Waterfall!T7</f>
        <v/>
      </c>
      <c r="BW9" s="18">
        <f>Waterfall!U7</f>
        <v/>
      </c>
      <c r="BX9" s="18">
        <f>Waterfall!V7</f>
        <v/>
      </c>
      <c r="BY9" s="18">
        <f>Waterfall!W7</f>
        <v/>
      </c>
      <c r="BZ9" s="18">
        <f>Waterfall!X7</f>
        <v/>
      </c>
      <c r="CA9" s="18">
        <f>Waterfall!Y7</f>
        <v/>
      </c>
      <c r="CB9" s="18">
        <f>Waterfall!Z7</f>
        <v/>
      </c>
      <c r="CC9" s="18">
        <f>Waterfall!AA7</f>
        <v/>
      </c>
      <c r="CD9" s="18">
        <f>Waterfall!AB7</f>
        <v/>
      </c>
      <c r="CE9" s="18">
        <f>Waterfall!AC7</f>
        <v/>
      </c>
      <c r="CF9" s="18">
        <f>Waterfall!AD7</f>
        <v/>
      </c>
      <c r="CG9" s="18">
        <f>Waterfall!AE7</f>
        <v/>
      </c>
      <c r="CH9" s="18">
        <f>Waterfall!AF7</f>
        <v/>
      </c>
      <c r="CI9" s="18">
        <f>Waterfall!AG7</f>
        <v/>
      </c>
      <c r="CJ9" s="18">
        <f>Waterfall!AH7</f>
        <v/>
      </c>
      <c r="CK9" s="18">
        <f>Waterfall!AI7</f>
        <v/>
      </c>
      <c r="CL9" s="18">
        <f>Waterfall!AJ7</f>
        <v/>
      </c>
      <c r="CM9" s="18">
        <f>Waterfall!AK7</f>
        <v/>
      </c>
      <c r="CN9" s="18">
        <f>Waterfall!AL7</f>
        <v/>
      </c>
      <c r="CO9" s="18">
        <f>Waterfall!AM7</f>
        <v/>
      </c>
      <c r="CP9" s="18">
        <f>Waterfall!AN7</f>
        <v/>
      </c>
      <c r="CQ9" s="18">
        <f>Waterfall!AO7</f>
        <v/>
      </c>
      <c r="CR9" s="18">
        <f>Waterfall!AP7</f>
        <v/>
      </c>
      <c r="CS9" s="18">
        <f>Waterfall!AQ7</f>
        <v/>
      </c>
      <c r="CT9" s="18">
        <f>Waterfall!AR7</f>
        <v/>
      </c>
      <c r="CU9" s="18">
        <f>Waterfall!AS7</f>
        <v/>
      </c>
      <c r="CV9" s="18">
        <f>Waterfall!AT7</f>
        <v/>
      </c>
      <c r="CW9" s="18">
        <f>Waterfall!AU7</f>
        <v/>
      </c>
      <c r="CX9" s="18">
        <f>Waterfall!AV7</f>
        <v/>
      </c>
      <c r="CY9" s="18">
        <f>Waterfall!AW7</f>
        <v/>
      </c>
      <c r="CZ9" s="18">
        <f>Waterfall!AX7</f>
        <v/>
      </c>
      <c r="DA9" s="18">
        <f>Waterfall!AY7</f>
        <v/>
      </c>
      <c r="DB9" s="18">
        <f>Waterfall!AZ7</f>
        <v/>
      </c>
      <c r="DC9" s="18">
        <f>Waterfall!BA7</f>
        <v/>
      </c>
      <c r="DD9" s="18">
        <f>Waterfall!BB7</f>
        <v/>
      </c>
      <c r="DE9" s="18">
        <f>Waterfall!BC7</f>
        <v/>
      </c>
      <c r="DF9" s="18">
        <f>Waterfall!BD7</f>
        <v/>
      </c>
      <c r="DG9" s="18">
        <f>Waterfall!BE7</f>
        <v/>
      </c>
      <c r="DH9" s="18">
        <f>Waterfall!BF7</f>
        <v/>
      </c>
      <c r="DI9" s="18">
        <f>Waterfall!BG7</f>
        <v/>
      </c>
      <c r="DJ9" s="18">
        <f>Waterfall!BH7</f>
        <v/>
      </c>
      <c r="DK9" s="18">
        <f>Waterfall!BI7</f>
        <v/>
      </c>
      <c r="DL9" s="18">
        <f>Waterfall!BJ7</f>
        <v/>
      </c>
      <c r="DM9" s="18">
        <f>Waterfall!BK7</f>
        <v/>
      </c>
      <c r="DN9" s="18">
        <f>Waterfall!BL7</f>
        <v/>
      </c>
      <c r="DO9" s="18">
        <f>Waterfall!BM7</f>
        <v/>
      </c>
      <c r="DP9" s="18">
        <f>Waterfall!BN7</f>
        <v/>
      </c>
    </row>
    <row r="10">
      <c r="D10" t="inlineStr">
        <is>
          <t>Project cash flow, pre-tax</t>
        </is>
      </c>
      <c r="E10" t="inlineStr">
        <is>
          <t>USD m</t>
        </is>
      </c>
      <c r="G10" s="13">
        <f>SUM(J10:DP10)</f>
        <v/>
      </c>
      <c r="J10" s="13">
        <f>0</f>
        <v/>
      </c>
      <c r="K10" s="13">
        <f>-Construction!J32</f>
        <v/>
      </c>
      <c r="L10" s="13">
        <f>-Construction!K32</f>
        <v/>
      </c>
      <c r="M10" s="13">
        <f>-Construction!L32</f>
        <v/>
      </c>
      <c r="N10" s="13">
        <f>-Construction!M32</f>
        <v/>
      </c>
      <c r="O10" s="13">
        <f>-Construction!N32</f>
        <v/>
      </c>
      <c r="P10" s="13">
        <f>-Construction!O32</f>
        <v/>
      </c>
      <c r="Q10" s="13">
        <f>-Construction!P32</f>
        <v/>
      </c>
      <c r="R10" s="13">
        <f>-Construction!Q32</f>
        <v/>
      </c>
      <c r="S10" s="13">
        <f>-Construction!R32</f>
        <v/>
      </c>
      <c r="T10" s="13">
        <f>-Construction!S32</f>
        <v/>
      </c>
      <c r="U10" s="13">
        <f>-Construction!T32</f>
        <v/>
      </c>
      <c r="V10" s="13">
        <f>-Construction!U32</f>
        <v/>
      </c>
      <c r="W10" s="13">
        <f>-Construction!V32</f>
        <v/>
      </c>
      <c r="X10" s="13">
        <f>-Construction!W32</f>
        <v/>
      </c>
      <c r="Y10" s="13">
        <f>-Construction!X32</f>
        <v/>
      </c>
      <c r="Z10" s="13">
        <f>-Construction!Y32</f>
        <v/>
      </c>
      <c r="AA10" s="13">
        <f>-Construction!Z32</f>
        <v/>
      </c>
      <c r="AB10" s="13">
        <f>-Construction!AA32</f>
        <v/>
      </c>
      <c r="AC10" s="13">
        <f>-Construction!AB32</f>
        <v/>
      </c>
      <c r="AD10" s="13">
        <f>-Construction!AC32</f>
        <v/>
      </c>
      <c r="AE10" s="13">
        <f>-Construction!AD32</f>
        <v/>
      </c>
      <c r="AF10" s="13">
        <f>-Construction!AE32</f>
        <v/>
      </c>
      <c r="AG10" s="13">
        <f>-Construction!AF32</f>
        <v/>
      </c>
      <c r="AH10" s="13">
        <f>-Construction!AG32</f>
        <v/>
      </c>
      <c r="AI10" s="13">
        <f>-Construction!AH32</f>
        <v/>
      </c>
      <c r="AJ10" s="13">
        <f>-Construction!AI32</f>
        <v/>
      </c>
      <c r="AK10" s="13">
        <f>-Construction!AJ32</f>
        <v/>
      </c>
      <c r="AL10" s="13">
        <f>-Construction!AK32</f>
        <v/>
      </c>
      <c r="AM10" s="13">
        <f>-Construction!AL32</f>
        <v/>
      </c>
      <c r="AN10" s="13">
        <f>-Construction!AM32</f>
        <v/>
      </c>
      <c r="AO10" s="13">
        <f>-Construction!AN32</f>
        <v/>
      </c>
      <c r="AP10" s="13">
        <f>-Construction!AO32</f>
        <v/>
      </c>
      <c r="AQ10" s="13">
        <f>-Construction!AP32</f>
        <v/>
      </c>
      <c r="AR10" s="13">
        <f>-Construction!AQ32</f>
        <v/>
      </c>
      <c r="AS10" s="13">
        <f>-Construction!AR32</f>
        <v/>
      </c>
      <c r="AT10" s="13">
        <f>-Construction!AS32</f>
        <v/>
      </c>
      <c r="AU10" s="13">
        <f>-Construction!AT32</f>
        <v/>
      </c>
      <c r="AV10" s="13">
        <f>-Construction!AU32</f>
        <v/>
      </c>
      <c r="AW10" s="13">
        <f>-Construction!AV32</f>
        <v/>
      </c>
      <c r="AX10" s="13">
        <f>-Construction!AW32</f>
        <v/>
      </c>
      <c r="AY10" s="13">
        <f>-Construction!AX32</f>
        <v/>
      </c>
      <c r="AZ10" s="13">
        <f>-Construction!AY32</f>
        <v/>
      </c>
      <c r="BA10" s="13">
        <f>-Construction!AZ32</f>
        <v/>
      </c>
      <c r="BB10" s="13">
        <f>-Construction!BA32</f>
        <v/>
      </c>
      <c r="BC10" s="13">
        <f>-Construction!BB32</f>
        <v/>
      </c>
      <c r="BD10" s="13">
        <f>-Construction!BC32</f>
        <v/>
      </c>
      <c r="BE10" s="13">
        <f>-Construction!BD32</f>
        <v/>
      </c>
      <c r="BF10" s="13">
        <f>-Construction!BE32</f>
        <v/>
      </c>
      <c r="BG10" s="13">
        <f>-Construction!BF32</f>
        <v/>
      </c>
      <c r="BH10" s="13">
        <f>-Construction!BG32</f>
        <v/>
      </c>
      <c r="BI10" s="13">
        <f>-Construction!BH32</f>
        <v/>
      </c>
      <c r="BJ10" s="13">
        <f>-Construction!BI32</f>
        <v/>
      </c>
      <c r="BK10" s="13">
        <f>-Construction!BJ32</f>
        <v/>
      </c>
      <c r="BL10" s="13">
        <f>Waterfall!J7+Tax!J27</f>
        <v/>
      </c>
      <c r="BM10" s="13">
        <f>Waterfall!K7+Tax!K27</f>
        <v/>
      </c>
      <c r="BN10" s="13">
        <f>Waterfall!L7+Tax!L27</f>
        <v/>
      </c>
      <c r="BO10" s="13">
        <f>Waterfall!M7+Tax!M27</f>
        <v/>
      </c>
      <c r="BP10" s="13">
        <f>Waterfall!N7+Tax!N27</f>
        <v/>
      </c>
      <c r="BQ10" s="13">
        <f>Waterfall!O7+Tax!O27</f>
        <v/>
      </c>
      <c r="BR10" s="13">
        <f>Waterfall!P7+Tax!P27</f>
        <v/>
      </c>
      <c r="BS10" s="13">
        <f>Waterfall!Q7+Tax!Q27</f>
        <v/>
      </c>
      <c r="BT10" s="13">
        <f>Waterfall!R7+Tax!R27</f>
        <v/>
      </c>
      <c r="BU10" s="13">
        <f>Waterfall!S7+Tax!S27</f>
        <v/>
      </c>
      <c r="BV10" s="13">
        <f>Waterfall!T7+Tax!T27</f>
        <v/>
      </c>
      <c r="BW10" s="13">
        <f>Waterfall!U7+Tax!U27</f>
        <v/>
      </c>
      <c r="BX10" s="13">
        <f>Waterfall!V7+Tax!V27</f>
        <v/>
      </c>
      <c r="BY10" s="13">
        <f>Waterfall!W7+Tax!W27</f>
        <v/>
      </c>
      <c r="BZ10" s="13">
        <f>Waterfall!X7+Tax!X27</f>
        <v/>
      </c>
      <c r="CA10" s="13">
        <f>Waterfall!Y7+Tax!Y27</f>
        <v/>
      </c>
      <c r="CB10" s="13">
        <f>Waterfall!Z7+Tax!Z27</f>
        <v/>
      </c>
      <c r="CC10" s="13">
        <f>Waterfall!AA7+Tax!AA27</f>
        <v/>
      </c>
      <c r="CD10" s="13">
        <f>Waterfall!AB7+Tax!AB27</f>
        <v/>
      </c>
      <c r="CE10" s="13">
        <f>Waterfall!AC7+Tax!AC27</f>
        <v/>
      </c>
      <c r="CF10" s="13">
        <f>Waterfall!AD7+Tax!AD27</f>
        <v/>
      </c>
      <c r="CG10" s="13">
        <f>Waterfall!AE7+Tax!AE27</f>
        <v/>
      </c>
      <c r="CH10" s="13">
        <f>Waterfall!AF7+Tax!AF27</f>
        <v/>
      </c>
      <c r="CI10" s="13">
        <f>Waterfall!AG7+Tax!AG27</f>
        <v/>
      </c>
      <c r="CJ10" s="13">
        <f>Waterfall!AH7+Tax!AH27</f>
        <v/>
      </c>
      <c r="CK10" s="13">
        <f>Waterfall!AI7+Tax!AI27</f>
        <v/>
      </c>
      <c r="CL10" s="13">
        <f>Waterfall!AJ7+Tax!AJ27</f>
        <v/>
      </c>
      <c r="CM10" s="13">
        <f>Waterfall!AK7+Tax!AK27</f>
        <v/>
      </c>
      <c r="CN10" s="13">
        <f>Waterfall!AL7+Tax!AL27</f>
        <v/>
      </c>
      <c r="CO10" s="13">
        <f>Waterfall!AM7+Tax!AM27</f>
        <v/>
      </c>
      <c r="CP10" s="13">
        <f>Waterfall!AN7+Tax!AN27</f>
        <v/>
      </c>
      <c r="CQ10" s="13">
        <f>Waterfall!AO7+Tax!AO27</f>
        <v/>
      </c>
      <c r="CR10" s="13">
        <f>Waterfall!AP7+Tax!AP27</f>
        <v/>
      </c>
      <c r="CS10" s="13">
        <f>Waterfall!AQ7+Tax!AQ27</f>
        <v/>
      </c>
      <c r="CT10" s="13">
        <f>Waterfall!AR7+Tax!AR27</f>
        <v/>
      </c>
      <c r="CU10" s="13">
        <f>Waterfall!AS7+Tax!AS27</f>
        <v/>
      </c>
      <c r="CV10" s="13">
        <f>Waterfall!AT7+Tax!AT27</f>
        <v/>
      </c>
      <c r="CW10" s="13">
        <f>Waterfall!AU7+Tax!AU27</f>
        <v/>
      </c>
      <c r="CX10" s="13">
        <f>Waterfall!AV7+Tax!AV27</f>
        <v/>
      </c>
      <c r="CY10" s="13">
        <f>Waterfall!AW7+Tax!AW27</f>
        <v/>
      </c>
      <c r="CZ10" s="13">
        <f>Waterfall!AX7+Tax!AX27</f>
        <v/>
      </c>
      <c r="DA10" s="13">
        <f>Waterfall!AY7+Tax!AY27</f>
        <v/>
      </c>
      <c r="DB10" s="13">
        <f>Waterfall!AZ7+Tax!AZ27</f>
        <v/>
      </c>
      <c r="DC10" s="13">
        <f>Waterfall!BA7+Tax!BA27</f>
        <v/>
      </c>
      <c r="DD10" s="13">
        <f>Waterfall!BB7+Tax!BB27</f>
        <v/>
      </c>
      <c r="DE10" s="13">
        <f>Waterfall!BC7+Tax!BC27</f>
        <v/>
      </c>
      <c r="DF10" s="13">
        <f>Waterfall!BD7+Tax!BD27</f>
        <v/>
      </c>
      <c r="DG10" s="13">
        <f>Waterfall!BE7+Tax!BE27</f>
        <v/>
      </c>
      <c r="DH10" s="13">
        <f>Waterfall!BF7+Tax!BF27</f>
        <v/>
      </c>
      <c r="DI10" s="13">
        <f>Waterfall!BG7+Tax!BG27</f>
        <v/>
      </c>
      <c r="DJ10" s="13">
        <f>Waterfall!BH7+Tax!BH27</f>
        <v/>
      </c>
      <c r="DK10" s="13">
        <f>Waterfall!BI7+Tax!BI27</f>
        <v/>
      </c>
      <c r="DL10" s="13">
        <f>Waterfall!BJ7+Tax!BJ27</f>
        <v/>
      </c>
      <c r="DM10" s="13">
        <f>Waterfall!BK7+Tax!BK27</f>
        <v/>
      </c>
      <c r="DN10" s="13">
        <f>Waterfall!BL7+Tax!BL27</f>
        <v/>
      </c>
      <c r="DO10" s="13">
        <f>Waterfall!BM7+Tax!BM27</f>
        <v/>
      </c>
      <c r="DP10" s="13">
        <f>Waterfall!BN7+Tax!BN27</f>
        <v/>
      </c>
    </row>
    <row r="11">
      <c r="D11" t="inlineStr">
        <is>
          <t>Cumulative equity cash flow</t>
        </is>
      </c>
      <c r="E11" t="inlineStr">
        <is>
          <t>USD m</t>
        </is>
      </c>
      <c r="J11" s="13">
        <f>=J8</f>
        <v/>
      </c>
      <c r="K11" s="13">
        <f>J11+K8</f>
        <v/>
      </c>
      <c r="L11" s="13">
        <f>K11+L8</f>
        <v/>
      </c>
      <c r="M11" s="13">
        <f>L11+M8</f>
        <v/>
      </c>
      <c r="N11" s="13">
        <f>M11+N8</f>
        <v/>
      </c>
      <c r="O11" s="13">
        <f>N11+O8</f>
        <v/>
      </c>
      <c r="P11" s="13">
        <f>O11+P8</f>
        <v/>
      </c>
      <c r="Q11" s="13">
        <f>P11+Q8</f>
        <v/>
      </c>
      <c r="R11" s="13">
        <f>Q11+R8</f>
        <v/>
      </c>
      <c r="S11" s="13">
        <f>R11+S8</f>
        <v/>
      </c>
      <c r="T11" s="13">
        <f>S11+T8</f>
        <v/>
      </c>
      <c r="U11" s="13">
        <f>T11+U8</f>
        <v/>
      </c>
      <c r="V11" s="13">
        <f>U11+V8</f>
        <v/>
      </c>
      <c r="W11" s="13">
        <f>V11+W8</f>
        <v/>
      </c>
      <c r="X11" s="13">
        <f>W11+X8</f>
        <v/>
      </c>
      <c r="Y11" s="13">
        <f>X11+Y8</f>
        <v/>
      </c>
      <c r="Z11" s="13">
        <f>Y11+Z8</f>
        <v/>
      </c>
      <c r="AA11" s="13">
        <f>Z11+AA8</f>
        <v/>
      </c>
      <c r="AB11" s="13">
        <f>AA11+AB8</f>
        <v/>
      </c>
      <c r="AC11" s="13">
        <f>AB11+AC8</f>
        <v/>
      </c>
      <c r="AD11" s="13">
        <f>AC11+AD8</f>
        <v/>
      </c>
      <c r="AE11" s="13">
        <f>AD11+AE8</f>
        <v/>
      </c>
      <c r="AF11" s="13">
        <f>AE11+AF8</f>
        <v/>
      </c>
      <c r="AG11" s="13">
        <f>AF11+AG8</f>
        <v/>
      </c>
      <c r="AH11" s="13">
        <f>AG11+AH8</f>
        <v/>
      </c>
      <c r="AI11" s="13">
        <f>AH11+AI8</f>
        <v/>
      </c>
      <c r="AJ11" s="13">
        <f>AI11+AJ8</f>
        <v/>
      </c>
      <c r="AK11" s="13">
        <f>AJ11+AK8</f>
        <v/>
      </c>
      <c r="AL11" s="13">
        <f>AK11+AL8</f>
        <v/>
      </c>
      <c r="AM11" s="13">
        <f>AL11+AM8</f>
        <v/>
      </c>
      <c r="AN11" s="13">
        <f>AM11+AN8</f>
        <v/>
      </c>
      <c r="AO11" s="13">
        <f>AN11+AO8</f>
        <v/>
      </c>
      <c r="AP11" s="13">
        <f>AO11+AP8</f>
        <v/>
      </c>
      <c r="AQ11" s="13">
        <f>AP11+AQ8</f>
        <v/>
      </c>
      <c r="AR11" s="13">
        <f>AQ11+AR8</f>
        <v/>
      </c>
      <c r="AS11" s="13">
        <f>AR11+AS8</f>
        <v/>
      </c>
      <c r="AT11" s="13">
        <f>AS11+AT8</f>
        <v/>
      </c>
      <c r="AU11" s="13">
        <f>AT11+AU8</f>
        <v/>
      </c>
      <c r="AV11" s="13">
        <f>AU11+AV8</f>
        <v/>
      </c>
      <c r="AW11" s="13">
        <f>AV11+AW8</f>
        <v/>
      </c>
      <c r="AX11" s="13">
        <f>AW11+AX8</f>
        <v/>
      </c>
      <c r="AY11" s="13">
        <f>AX11+AY8</f>
        <v/>
      </c>
      <c r="AZ11" s="13">
        <f>AY11+AZ8</f>
        <v/>
      </c>
      <c r="BA11" s="13">
        <f>AZ11+BA8</f>
        <v/>
      </c>
      <c r="BB11" s="13">
        <f>BA11+BB8</f>
        <v/>
      </c>
      <c r="BC11" s="13">
        <f>BB11+BC8</f>
        <v/>
      </c>
      <c r="BD11" s="13">
        <f>BC11+BD8</f>
        <v/>
      </c>
      <c r="BE11" s="13">
        <f>BD11+BE8</f>
        <v/>
      </c>
      <c r="BF11" s="13">
        <f>BE11+BF8</f>
        <v/>
      </c>
      <c r="BG11" s="13">
        <f>BF11+BG8</f>
        <v/>
      </c>
      <c r="BH11" s="13">
        <f>BG11+BH8</f>
        <v/>
      </c>
      <c r="BI11" s="13">
        <f>BH11+BI8</f>
        <v/>
      </c>
      <c r="BJ11" s="13">
        <f>BI11+BJ8</f>
        <v/>
      </c>
      <c r="BK11" s="13">
        <f>BJ11+BK8</f>
        <v/>
      </c>
      <c r="BL11" s="13">
        <f>BK11+BL8</f>
        <v/>
      </c>
      <c r="BM11" s="13">
        <f>BL11+BM8</f>
        <v/>
      </c>
      <c r="BN11" s="13">
        <f>BM11+BN8</f>
        <v/>
      </c>
      <c r="BO11" s="13">
        <f>BN11+BO8</f>
        <v/>
      </c>
      <c r="BP11" s="13">
        <f>BO11+BP8</f>
        <v/>
      </c>
      <c r="BQ11" s="13">
        <f>BP11+BQ8</f>
        <v/>
      </c>
      <c r="BR11" s="13">
        <f>BQ11+BR8</f>
        <v/>
      </c>
      <c r="BS11" s="13">
        <f>BR11+BS8</f>
        <v/>
      </c>
      <c r="BT11" s="13">
        <f>BS11+BT8</f>
        <v/>
      </c>
      <c r="BU11" s="13">
        <f>BT11+BU8</f>
        <v/>
      </c>
      <c r="BV11" s="13">
        <f>BU11+BV8</f>
        <v/>
      </c>
      <c r="BW11" s="13">
        <f>BV11+BW8</f>
        <v/>
      </c>
      <c r="BX11" s="13">
        <f>BW11+BX8</f>
        <v/>
      </c>
      <c r="BY11" s="13">
        <f>BX11+BY8</f>
        <v/>
      </c>
      <c r="BZ11" s="13">
        <f>BY11+BZ8</f>
        <v/>
      </c>
      <c r="CA11" s="13">
        <f>BZ11+CA8</f>
        <v/>
      </c>
      <c r="CB11" s="13">
        <f>CA11+CB8</f>
        <v/>
      </c>
      <c r="CC11" s="13">
        <f>CB11+CC8</f>
        <v/>
      </c>
      <c r="CD11" s="13">
        <f>CC11+CD8</f>
        <v/>
      </c>
      <c r="CE11" s="13">
        <f>CD11+CE8</f>
        <v/>
      </c>
      <c r="CF11" s="13">
        <f>CE11+CF8</f>
        <v/>
      </c>
      <c r="CG11" s="13">
        <f>CF11+CG8</f>
        <v/>
      </c>
      <c r="CH11" s="13">
        <f>CG11+CH8</f>
        <v/>
      </c>
      <c r="CI11" s="13">
        <f>CH11+CI8</f>
        <v/>
      </c>
      <c r="CJ11" s="13">
        <f>CI11+CJ8</f>
        <v/>
      </c>
      <c r="CK11" s="13">
        <f>CJ11+CK8</f>
        <v/>
      </c>
      <c r="CL11" s="13">
        <f>CK11+CL8</f>
        <v/>
      </c>
      <c r="CM11" s="13">
        <f>CL11+CM8</f>
        <v/>
      </c>
      <c r="CN11" s="13">
        <f>CM11+CN8</f>
        <v/>
      </c>
      <c r="CO11" s="13">
        <f>CN11+CO8</f>
        <v/>
      </c>
      <c r="CP11" s="13">
        <f>CO11+CP8</f>
        <v/>
      </c>
      <c r="CQ11" s="13">
        <f>CP11+CQ8</f>
        <v/>
      </c>
      <c r="CR11" s="13">
        <f>CQ11+CR8</f>
        <v/>
      </c>
      <c r="CS11" s="13">
        <f>CR11+CS8</f>
        <v/>
      </c>
      <c r="CT11" s="13">
        <f>CS11+CT8</f>
        <v/>
      </c>
      <c r="CU11" s="13">
        <f>CT11+CU8</f>
        <v/>
      </c>
      <c r="CV11" s="13">
        <f>CU11+CV8</f>
        <v/>
      </c>
      <c r="CW11" s="13">
        <f>CV11+CW8</f>
        <v/>
      </c>
      <c r="CX11" s="13">
        <f>CW11+CX8</f>
        <v/>
      </c>
      <c r="CY11" s="13">
        <f>CX11+CY8</f>
        <v/>
      </c>
      <c r="CZ11" s="13">
        <f>CY11+CZ8</f>
        <v/>
      </c>
      <c r="DA11" s="13">
        <f>CZ11+DA8</f>
        <v/>
      </c>
      <c r="DB11" s="13">
        <f>DA11+DB8</f>
        <v/>
      </c>
      <c r="DC11" s="13">
        <f>DB11+DC8</f>
        <v/>
      </c>
      <c r="DD11" s="13">
        <f>DC11+DD8</f>
        <v/>
      </c>
      <c r="DE11" s="13">
        <f>DD11+DE8</f>
        <v/>
      </c>
      <c r="DF11" s="13">
        <f>DE11+DF8</f>
        <v/>
      </c>
      <c r="DG11" s="13">
        <f>DF11+DG8</f>
        <v/>
      </c>
      <c r="DH11" s="13">
        <f>DG11+DH8</f>
        <v/>
      </c>
      <c r="DI11" s="13">
        <f>DH11+DI8</f>
        <v/>
      </c>
      <c r="DJ11" s="13">
        <f>DI11+DJ8</f>
        <v/>
      </c>
      <c r="DK11" s="13">
        <f>DJ11+DK8</f>
        <v/>
      </c>
      <c r="DL11" s="13">
        <f>DK11+DL8</f>
        <v/>
      </c>
      <c r="DM11" s="13">
        <f>DL11+DM8</f>
        <v/>
      </c>
      <c r="DN11" s="13">
        <f>DM11+DN8</f>
        <v/>
      </c>
      <c r="DO11" s="13">
        <f>DN11+DO8</f>
        <v/>
      </c>
      <c r="DP11" s="13">
        <f>DO11+DP8</f>
        <v/>
      </c>
    </row>
    <row r="12">
      <c r="D12" t="inlineStr">
        <is>
          <t>Equity IRR (XIRR)</t>
        </is>
      </c>
      <c r="E12" t="inlineStr">
        <is>
          <t>%</t>
        </is>
      </c>
      <c r="F12" s="20">
        <f>XIRR(Returns!$J$8:$DP$8,Returns!$J$7:$DP$7)</f>
        <v/>
      </c>
    </row>
    <row r="13">
      <c r="D13" t="inlineStr">
        <is>
          <t>Project IRR, post-tax (XIRR)</t>
        </is>
      </c>
      <c r="E13" t="inlineStr">
        <is>
          <t>%</t>
        </is>
      </c>
      <c r="F13" s="20">
        <f>XIRR(Returns!$J$9:$DP$9,Returns!$J$7:$DP$7,Inputs!$F$255)</f>
        <v/>
      </c>
    </row>
    <row r="14">
      <c r="D14" t="inlineStr">
        <is>
          <t>Project IRR, pre-tax (XIRR)</t>
        </is>
      </c>
      <c r="E14" t="inlineStr">
        <is>
          <t>%</t>
        </is>
      </c>
      <c r="F14" s="20">
        <f>XIRR(Returns!$J$10:$DP$10,Returns!$J$7:$DP$7,Inputs!$F$255)</f>
        <v/>
      </c>
    </row>
    <row r="15">
      <c r="D15" t="inlineStr">
        <is>
          <t>Equity NPV at 16.0%, at financial close (2018-07-17)</t>
        </is>
      </c>
      <c r="E15" t="inlineStr">
        <is>
          <t>USD m</t>
        </is>
      </c>
      <c r="F15" s="21">
        <f>XNPV(Inputs!$F$252/100,Returns!$J$8:$DP$8,Returns!$J$7:$DP$7)*(1+Inputs!$F$252/100)^((Inputs!$F$187-Inputs!$F$186)/Inputs!$F$248)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Checks: every check shows 0 when passing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Sources less uses (construction)</t>
        </is>
      </c>
      <c r="E7" t="inlineStr">
        <is>
          <t>check</t>
        </is>
      </c>
      <c r="F7" s="3">
        <f>IF(ABS(SUM(Funding!$J$73:$BJ$73)+SUM(Funding!$J$67:$BJ$67)+SUM(Funding!$J$53:$BJ$53)-SUM(Funding!$J$49:$BJ$49))&lt;=Inputs!$F$254,0,SUM(Funding!$J$73:$BJ$73)+SUM(Funding!$J$67:$BJ$67)+SUM(Funding!$J$53:$BJ$53)-SUM(Funding!$J$49:$BJ$49))</f>
        <v/>
      </c>
    </row>
    <row r="8">
      <c r="D8" t="inlineStr">
        <is>
          <t>Committed debt drawn in full (FC-type, Monte Carlo off), USD m</t>
        </is>
      </c>
      <c r="E8" t="inlineStr">
        <is>
          <t>check</t>
        </is>
      </c>
      <c r="F8" s="3">
        <f>IF(AND(Inputs!$F$34=1,Inputs!$F$312=0),IF(ABS(SUM(Funding!$J$47:$BJ$47)-Funding!$F$25)&lt;=Inputs!$F$254,0,SUM(Funding!$J$47:$BJ$47)-Funding!$F$25),0)</f>
        <v/>
      </c>
    </row>
    <row r="9">
      <c r="D9" t="inlineStr">
        <is>
          <t>Closed-form T less live T (re-grossed cases), USD m</t>
        </is>
      </c>
      <c r="E9" t="inlineStr">
        <is>
          <t>check</t>
        </is>
      </c>
      <c r="F9" s="3">
        <f>IF(Inputs!$F$51&lt;&gt;1,IF(ABS(Funding!$F$24-Funding!$F$75)&lt;=Inputs!$F$254,0,Funding!$F$24-Funding!$F$75),0)</f>
        <v/>
      </c>
    </row>
    <row r="10">
      <c r="D10" t="inlineStr">
        <is>
          <t>Balance sheet balances (max abs difference)</t>
        </is>
      </c>
      <c r="E10" t="inlineStr">
        <is>
          <t>check</t>
        </is>
      </c>
      <c r="F10" s="3">
        <f>IF(MAX(MAX(Financials!$J$29:$BN$29),-MIN(Financials!$J$29:$BN$29))&lt;=Inputs!$F$254,0,MAX(MAX(Financials!$J$29:$BN$29),-MIN(Financials!$J$29:$BN$29)))</f>
        <v/>
      </c>
    </row>
    <row r="11">
      <c r="D11" t="inlineStr">
        <is>
          <t>No unpaid debt service after DSRA</t>
        </is>
      </c>
      <c r="E11" t="inlineStr">
        <is>
          <t>check</t>
        </is>
      </c>
      <c r="F11" s="3">
        <f>IF(ABS(SUM(Waterfall!$J$12:$BN$12))&lt;=Inputs!$F$254,0,SUM(Waterfall!$J$12:$BN$12))</f>
        <v/>
      </c>
    </row>
    <row r="12">
      <c r="D12" t="inlineStr">
        <is>
          <t>Debt repaid by final maturity</t>
        </is>
      </c>
      <c r="E12" t="inlineStr">
        <is>
          <t>check</t>
        </is>
      </c>
      <c r="F12" s="3">
        <f>IF(ABS(INDEX(Debt!$J$116:$BN$116,1,COLUMNS(Debt!$J$116:$BN$116)))&lt;=Inputs!$F$254,0,INDEX(Debt!$J$116:$BN$116,1,COLUMNS(Debt!$J$116:$BN$116)))</f>
        <v/>
      </c>
    </row>
    <row r="13">
      <c r="D13" t="inlineStr">
        <is>
          <t>FC base: live sculpting equals contract profile (max abs, USD m)</t>
        </is>
      </c>
      <c r="E13" t="inlineStr">
        <is>
          <t>check</t>
        </is>
      </c>
      <c r="F13" s="3">
        <f>IF(Inputs!$F$312=1,0,IF(MAX(MAX(Debt!$J$135:$BN$135),-MIN(Debt!$J$135:$BN$135))&lt;=Inputs!$F$260,0,MAX(MAX(Debt!$J$135:$BN$135),-MIN(Debt!$J$135:$BN$135))))</f>
        <v/>
      </c>
    </row>
    <row r="14">
      <c r="D14" t="inlineStr">
        <is>
          <t>FC base: debt not above DSCR capacity or gearing cap</t>
        </is>
      </c>
      <c r="E14" t="inlineStr">
        <is>
          <t>check</t>
        </is>
      </c>
      <c r="F14" s="3">
        <f>IF(AND(Inputs!$F$8=1,Inputs!$F$312=0),IF(Funding!$F$25&lt;=MIN(Debt!$F$130,Debt!$F$131)+Inputs!$F$254,0,1),0)</f>
        <v/>
      </c>
    </row>
    <row r="15">
      <c r="D15" t="inlineStr">
        <is>
          <t>VAT facility within limit</t>
        </is>
      </c>
      <c r="E15" t="inlineStr">
        <is>
          <t>check</t>
        </is>
      </c>
      <c r="F15" s="3">
        <f>IF(MAX(Construction!$J$37:$BJ$37)&lt;=Inputs!$F$72,0,1)</f>
        <v/>
      </c>
    </row>
    <row r="16">
      <c r="D16" t="inlineStr">
        <is>
          <t>Standby and contingent equity within commitments</t>
        </is>
      </c>
      <c r="E16" t="inlineStr">
        <is>
          <t>check</t>
        </is>
      </c>
      <c r="F16" s="3">
        <f>IF(AND(SUM(Funding!$J$55:$BJ$55)&lt;=Inputs!$F$99+Inputs!$F$254,SUM(Funding!$J$56:$BJ$56)&lt;=Inputs!$F$103+Inputs!$F$254),0,1)</f>
        <v/>
      </c>
    </row>
    <row r="17">
      <c r="D17" t="inlineStr">
        <is>
          <t>ECA tranche within cap</t>
        </is>
      </c>
      <c r="E17" t="inlineStr">
        <is>
          <t>check</t>
        </is>
      </c>
      <c r="F17" s="3">
        <f>IF(Inputs!$F$75*Funding!$F$25&lt;=Inputs!$F$251,0,1)</f>
        <v/>
      </c>
    </row>
    <row r="18">
      <c r="D18" t="inlineStr">
        <is>
          <t>MMRA never negative</t>
        </is>
      </c>
      <c r="E18" t="inlineStr">
        <is>
          <t>check</t>
        </is>
      </c>
      <c r="F18" s="3">
        <f>IF(MIN(Reserves!$J$8:$BN$8)&gt;=-Inputs!$F$254,0,1)</f>
        <v/>
      </c>
    </row>
    <row r="19">
      <c r="D19" t="inlineStr">
        <is>
          <t>Sum of checks (0 = all pass)</t>
        </is>
      </c>
      <c r="E19" t="inlineStr">
        <is>
          <t>check</t>
        </is>
      </c>
      <c r="F19" s="3">
        <f>ABS($F$7)+ABS($F$8)+ABS($F$9)+ABS($F$10)+ABS($F$11)+ABS($F$12)+ABS($F$13)+ABS($F$14)+ABS($F$15)+ABS($F$16)+ABS($F$17)+ABS($F$18)+ABS($F$20)+ABS($F$21)+ABS($F$22)+ABS($F$23)+ABS($F$24)+ABS($F$25)</f>
        <v/>
      </c>
    </row>
    <row r="20">
      <c r="D20" t="inlineStr">
        <is>
          <t>Time: operating months sum to the PPA term</t>
        </is>
      </c>
      <c r="E20" t="inlineStr">
        <is>
          <t>check</t>
        </is>
      </c>
      <c r="F20" s="3">
        <f>SUM(Time!$J$30:$BN$30)-Time!$F$9</f>
        <v/>
      </c>
    </row>
    <row r="21">
      <c r="D21" t="inlineStr">
        <is>
          <t>Construction flags sum to construction months</t>
        </is>
      </c>
      <c r="E21" t="inlineStr">
        <is>
          <t>check</t>
        </is>
      </c>
      <c r="F21" s="3">
        <f>SUM(Construction!$J$13:$BJ$13)-Time!$F$11</f>
        <v/>
      </c>
    </row>
    <row r="22">
      <c r="D22" t="inlineStr">
        <is>
          <t>Cash flow statement reconciles to project-account cash (max abs, USD m)</t>
        </is>
      </c>
      <c r="E22" t="inlineStr">
        <is>
          <t>check</t>
        </is>
      </c>
      <c r="F22" s="3">
        <f>IF(MAX(MAX(Financials!$J$52:$BN$52),-MIN(Financials!$J$52:$BN$52))&lt;=Inputs!$F$254,0,MAX(MAX(Financials!$J$52:$BN$52),-MIN(Financials!$J$52:$BN$52)))</f>
        <v/>
      </c>
    </row>
    <row r="23">
      <c r="D23" t="inlineStr">
        <is>
          <t>ECA tests pass on the FC base (Scenario 1; number of failed tests)</t>
        </is>
      </c>
      <c r="E23" t="inlineStr">
        <is>
          <t>check</t>
        </is>
      </c>
      <c r="F23" s="3">
        <f>IF(AND(Inputs!$F$8=1,Inputs!$F$312=0),(Debt!$F$140&gt;Inputs!$F$1315)+(Debt!$F$138&gt;Inputs!$F$1316)+(Debt!$F$139&gt;Inputs!$F$1317/100)+(Debt!$F$141&gt;Inputs!$F$1318)+(Debt!$F$142&lt;Inputs!$F$1319/100),0)</f>
        <v/>
      </c>
    </row>
    <row r="24">
      <c r="D24" t="inlineStr">
        <is>
          <t>MMRA window equals the input number of periods</t>
        </is>
      </c>
      <c r="E24" t="inlineStr">
        <is>
          <t>check</t>
        </is>
      </c>
      <c r="F24" s="3">
        <f>COLUMNS(Operations!$K$79:$P$79)-Inputs!$F$225</f>
        <v/>
      </c>
    </row>
    <row r="25">
      <c r="D25" t="inlineStr">
        <is>
          <t>Outputs: live dashboard equals the pasted row of the selected scenario</t>
        </is>
      </c>
      <c r="E25" t="inlineStr">
        <is>
          <t>check</t>
        </is>
      </c>
      <c r="F25" s="3">
        <f>Outputs!$F$44</f>
        <v/>
      </c>
    </row>
  </sheetData>
  <conditionalFormatting sqref="F7:F26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Outputs: dashboard for the selected scenario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Total funding requirement</t>
        </is>
      </c>
      <c r="E7" t="inlineStr">
        <is>
          <t>USD m</t>
        </is>
      </c>
      <c r="F7" s="22">
        <f>Funding!$F$75</f>
        <v/>
      </c>
    </row>
    <row r="8">
      <c r="D8" t="inlineStr">
        <is>
          <t>Senior debt (four tranches)</t>
        </is>
      </c>
      <c r="E8" t="inlineStr">
        <is>
          <t>USD m</t>
        </is>
      </c>
      <c r="F8" s="22">
        <f>Funding!$F$25</f>
        <v/>
      </c>
    </row>
    <row r="9">
      <c r="D9" t="inlineStr">
        <is>
          <t>Equity (incl. LNTP)</t>
        </is>
      </c>
      <c r="E9" t="inlineStr">
        <is>
          <t>USD m</t>
        </is>
      </c>
      <c r="F9" s="22">
        <f>SUM(Funding!$J$67:$BJ$67)</f>
        <v/>
      </c>
    </row>
    <row r="10">
      <c r="D10" t="inlineStr">
        <is>
          <t>Gearing (debt incl. standby / total funding)</t>
        </is>
      </c>
      <c r="E10" t="inlineStr">
        <is>
          <t>%</t>
        </is>
      </c>
      <c r="F10" s="20">
        <f>SUM(Funding!$J$73:$BJ$73)/Funding!$F$75</f>
        <v/>
      </c>
    </row>
    <row r="11">
      <c r="D11" t="inlineStr">
        <is>
          <t>Interest during construction incl. swap and PRI</t>
        </is>
      </c>
      <c r="E11" t="inlineStr">
        <is>
          <t>USD m</t>
        </is>
      </c>
      <c r="F11" s="22">
        <f>SUM(Funding!$J$33:$BJ$33)+SUM(Funding!$J$34:$BJ$34)+SUM(Funding!$J$35:$BJ$35)+SUM(Funding!$J$36:$BJ$36)+SUM(Funding!$J$37:$BJ$37)+SUM(Funding!$J$39:$BJ$39)+SUM(Funding!$J$38:$BJ$38)</f>
        <v/>
      </c>
    </row>
    <row r="12">
      <c r="D12" t="inlineStr">
        <is>
          <t>Commitment, upfront and agency fees</t>
        </is>
      </c>
      <c r="E12" t="inlineStr">
        <is>
          <t>USD m</t>
        </is>
      </c>
      <c r="F12" s="22">
        <f>SUM(Funding!$J$40:$BJ$40)+SUM(Funding!$J$41:$BJ$41)+SUM(Funding!$J$42:$BJ$42)+SUM(Funding!$J$43:$BJ$43)</f>
        <v/>
      </c>
    </row>
    <row r="13">
      <c r="D13" t="inlineStr">
        <is>
          <t>ECA premium</t>
        </is>
      </c>
      <c r="E13" t="inlineStr">
        <is>
          <t>USD m</t>
        </is>
      </c>
      <c r="F13" s="22">
        <f>SUM(Funding!$J$48:$BJ$48)</f>
        <v/>
      </c>
    </row>
    <row r="14">
      <c r="D14" t="inlineStr">
        <is>
          <t>DSRA initial funding</t>
        </is>
      </c>
      <c r="E14" t="inlineStr">
        <is>
          <t>USD m</t>
        </is>
      </c>
      <c r="F14" s="22">
        <f>SUM(Funding!$J$44:$BJ$44)</f>
        <v/>
      </c>
    </row>
    <row r="15">
      <c r="D15" t="inlineStr">
        <is>
          <t>Standby drawn</t>
        </is>
      </c>
      <c r="E15" t="inlineStr">
        <is>
          <t>USD m</t>
        </is>
      </c>
      <c r="F15" s="22">
        <f>SUM(Funding!$J$55:$BJ$55)</f>
        <v/>
      </c>
    </row>
    <row r="16">
      <c r="D16" t="inlineStr">
        <is>
          <t>Contingent equity drawn</t>
        </is>
      </c>
      <c r="E16" t="inlineStr">
        <is>
          <t>USD m</t>
        </is>
      </c>
      <c r="F16" s="22">
        <f>SUM(Funding!$J$56:$BJ$56)</f>
        <v/>
      </c>
    </row>
    <row r="17">
      <c r="D17" t="inlineStr">
        <is>
          <t>Minimum DSCR</t>
        </is>
      </c>
      <c r="E17" t="inlineStr">
        <is>
          <t>x</t>
        </is>
      </c>
      <c r="F17" s="22">
        <f>Ratios!$F$16</f>
        <v/>
      </c>
    </row>
    <row r="18">
      <c r="D18" t="inlineStr">
        <is>
          <t>Average DSCR</t>
        </is>
      </c>
      <c r="E18" t="inlineStr">
        <is>
          <t>x</t>
        </is>
      </c>
      <c r="F18" s="22">
        <f>Ratios!$F$17</f>
        <v/>
      </c>
    </row>
    <row r="19">
      <c r="D19" t="inlineStr">
        <is>
          <t>LLCR at first debt service period (incl. DSRA)</t>
        </is>
      </c>
      <c r="E19" t="inlineStr">
        <is>
          <t>x</t>
        </is>
      </c>
      <c r="F19" s="22">
        <f>Ratios!$F$18</f>
        <v/>
      </c>
    </row>
    <row r="20">
      <c r="D20" t="inlineStr">
        <is>
          <t>PLCR at first debt service period</t>
        </is>
      </c>
      <c r="E20" t="inlineStr">
        <is>
          <t>x</t>
        </is>
      </c>
      <c r="F20" s="22">
        <f>Ratios!$F$19</f>
        <v/>
      </c>
    </row>
    <row r="21">
      <c r="D21" t="inlineStr">
        <is>
          <t>Equity IRR</t>
        </is>
      </c>
      <c r="E21" t="inlineStr">
        <is>
          <t>%</t>
        </is>
      </c>
      <c r="F21" s="20">
        <f>Returns!$F$12</f>
        <v/>
      </c>
    </row>
    <row r="22">
      <c r="D22" t="inlineStr">
        <is>
          <t>Project IRR, post-tax</t>
        </is>
      </c>
      <c r="E22" t="inlineStr">
        <is>
          <t>%</t>
        </is>
      </c>
      <c r="F22" s="20">
        <f>Returns!$F$13</f>
        <v/>
      </c>
    </row>
    <row r="23">
      <c r="D23" t="inlineStr">
        <is>
          <t>Equity NPV at 16.0% (at FC)</t>
        </is>
      </c>
      <c r="E23" t="inlineStr">
        <is>
          <t>USD m</t>
        </is>
      </c>
      <c r="F23" s="22">
        <f>Returns!$F$15</f>
        <v/>
      </c>
    </row>
    <row r="24">
      <c r="D24" t="inlineStr">
        <is>
          <t>All checks</t>
        </is>
      </c>
      <c r="E24" t="inlineStr">
        <is>
          <t>check</t>
        </is>
      </c>
      <c r="F24" s="22">
        <f>Checks!$F$19</f>
        <v/>
      </c>
    </row>
    <row r="26">
      <c r="D26" s="2" t="inlineStr">
        <is>
          <t>Fifteen-scenario results pasted from case_p.py (model version 1.4, run 2026-10-03); compare row below and Checks row 25</t>
        </is>
      </c>
    </row>
    <row r="27">
      <c r="D27" s="2" t="inlineStr">
        <is>
          <t>Scenario</t>
        </is>
      </c>
      <c r="J27" s="2" t="inlineStr">
        <is>
          <t>Total funding requirement</t>
        </is>
      </c>
      <c r="K27" s="2" t="inlineStr">
        <is>
          <t>Senior debt (four tranches)</t>
        </is>
      </c>
      <c r="L27" s="2" t="inlineStr">
        <is>
          <t>Equity (incl. LNTP)</t>
        </is>
      </c>
      <c r="M27" s="2" t="inlineStr">
        <is>
          <t>Gearing (debt incl. standby / total funding)</t>
        </is>
      </c>
      <c r="N27" s="2" t="inlineStr">
        <is>
          <t>Interest during construction incl. swap and PRI</t>
        </is>
      </c>
      <c r="O27" s="2" t="inlineStr">
        <is>
          <t>Commitment, upfront and agency fees</t>
        </is>
      </c>
      <c r="P27" s="2" t="inlineStr">
        <is>
          <t>ECA premium</t>
        </is>
      </c>
      <c r="Q27" s="2" t="inlineStr">
        <is>
          <t>DSRA initial funding</t>
        </is>
      </c>
      <c r="R27" s="2" t="inlineStr">
        <is>
          <t>Standby drawn</t>
        </is>
      </c>
      <c r="S27" s="2" t="inlineStr">
        <is>
          <t>Contingent equity drawn</t>
        </is>
      </c>
      <c r="T27" s="2" t="inlineStr">
        <is>
          <t>Minimum DSCR</t>
        </is>
      </c>
      <c r="U27" s="2" t="inlineStr">
        <is>
          <t>Average DSCR</t>
        </is>
      </c>
      <c r="V27" s="2" t="inlineStr">
        <is>
          <t>LLCR at first debt service period (incl. DSRA)</t>
        </is>
      </c>
      <c r="W27" s="2" t="inlineStr">
        <is>
          <t>PLCR at first debt service period</t>
        </is>
      </c>
      <c r="X27" s="2" t="inlineStr">
        <is>
          <t>Equity IRR</t>
        </is>
      </c>
      <c r="Y27" s="2" t="inlineStr">
        <is>
          <t>Project IRR, post-tax</t>
        </is>
      </c>
      <c r="Z27" s="2" t="inlineStr">
        <is>
          <t>Equity NPV at 16.0% (at FC)</t>
        </is>
      </c>
    </row>
    <row r="28">
      <c r="D28" t="inlineStr">
        <is>
          <t>1: FC base</t>
        </is>
      </c>
      <c r="J28" s="23" t="n">
        <v>855.0897431268495</v>
      </c>
      <c r="K28" s="23" t="n">
        <v>633.2559755427742</v>
      </c>
      <c r="L28" s="23" t="n">
        <v>221.8337675840575</v>
      </c>
      <c r="M28" s="24" t="n">
        <v>0.7405725312844159</v>
      </c>
      <c r="N28" s="23" t="n">
        <v>63.89914785518233</v>
      </c>
      <c r="O28" s="23" t="n">
        <v>20.81874789879248</v>
      </c>
      <c r="P28" s="23" t="n">
        <v>20.61248200391787</v>
      </c>
      <c r="Q28" s="23" t="n">
        <v>37.24589543709537</v>
      </c>
      <c r="R28" s="23" t="n">
        <v>0</v>
      </c>
      <c r="S28" s="23" t="n">
        <v>0</v>
      </c>
      <c r="T28" s="23" t="n">
        <v>1.350000000074913</v>
      </c>
      <c r="U28" s="23" t="n">
        <v>1.538228122361783</v>
      </c>
      <c r="V28" s="23" t="n">
        <v>1.419119201204615</v>
      </c>
      <c r="W28" s="23" t="n">
        <v>1.859728189600505</v>
      </c>
      <c r="X28" s="24" t="n">
        <v>0.1326622039878538</v>
      </c>
      <c r="Y28" s="24" t="n">
        <v>0.1096102282380841</v>
      </c>
      <c r="Z28" s="23" t="n">
        <v>-43.06743582255664</v>
      </c>
    </row>
    <row r="29">
      <c r="D29" t="inlineStr">
        <is>
          <t>2: FC banking</t>
        </is>
      </c>
      <c r="J29" s="23" t="n">
        <v>855.0897431268495</v>
      </c>
      <c r="K29" s="23" t="n">
        <v>633.2559755427742</v>
      </c>
      <c r="L29" s="23" t="n">
        <v>221.8337675840575</v>
      </c>
      <c r="M29" s="24" t="n">
        <v>0.7405725312844159</v>
      </c>
      <c r="N29" s="23" t="n">
        <v>63.89914785518233</v>
      </c>
      <c r="O29" s="23" t="n">
        <v>20.81874789879248</v>
      </c>
      <c r="P29" s="23" t="n">
        <v>20.61248200391787</v>
      </c>
      <c r="Q29" s="23" t="n">
        <v>37.24589543709537</v>
      </c>
      <c r="R29" s="23" t="n">
        <v>0</v>
      </c>
      <c r="S29" s="23" t="n">
        <v>0</v>
      </c>
      <c r="T29" s="23" t="n">
        <v>1.34777442930408</v>
      </c>
      <c r="U29" s="23" t="n">
        <v>1.535978324296253</v>
      </c>
      <c r="V29" s="23" t="n">
        <v>1.417353876376548</v>
      </c>
      <c r="W29" s="23" t="n">
        <v>1.857203432339778</v>
      </c>
      <c r="X29" s="24" t="n">
        <v>0.1323242100350339</v>
      </c>
      <c r="Y29" s="24" t="n">
        <v>0.1094539511217217</v>
      </c>
      <c r="Z29" s="23" t="n">
        <v>-43.60418180454582</v>
      </c>
    </row>
    <row r="30">
      <c r="D30" t="inlineStr">
        <is>
          <t>3: FC downside</t>
        </is>
      </c>
      <c r="J30" s="23" t="n">
        <v>855.0897431268495</v>
      </c>
      <c r="K30" s="23" t="n">
        <v>633.2559755427742</v>
      </c>
      <c r="L30" s="23" t="n">
        <v>221.8337675840575</v>
      </c>
      <c r="M30" s="24" t="n">
        <v>0.7405725312844159</v>
      </c>
      <c r="N30" s="23" t="n">
        <v>63.89914785518233</v>
      </c>
      <c r="O30" s="23" t="n">
        <v>20.81874789879248</v>
      </c>
      <c r="P30" s="23" t="n">
        <v>20.61248200391787</v>
      </c>
      <c r="Q30" s="23" t="n">
        <v>37.24589543709537</v>
      </c>
      <c r="R30" s="23" t="n">
        <v>0</v>
      </c>
      <c r="S30" s="23" t="n">
        <v>0</v>
      </c>
      <c r="T30" s="23" t="n">
        <v>1.200358703812271</v>
      </c>
      <c r="U30" s="23" t="n">
        <v>1.376283542877486</v>
      </c>
      <c r="V30" s="23" t="n">
        <v>1.306140248920932</v>
      </c>
      <c r="W30" s="23" t="n">
        <v>1.717805858148612</v>
      </c>
      <c r="X30" s="24" t="n">
        <v>0.1136048710333523</v>
      </c>
      <c r="Y30" s="24" t="n">
        <v>0.1006514712859786</v>
      </c>
      <c r="Z30" s="23" t="n">
        <v>-73.62942965279484</v>
      </c>
    </row>
    <row r="31">
      <c r="D31" t="inlineStr">
        <is>
          <t>4: Sens: availability -3 points</t>
        </is>
      </c>
      <c r="J31" s="23" t="n">
        <v>855.0897431268495</v>
      </c>
      <c r="K31" s="23" t="n">
        <v>633.2559755427742</v>
      </c>
      <c r="L31" s="23" t="n">
        <v>221.8337675840575</v>
      </c>
      <c r="M31" s="24" t="n">
        <v>0.7405725312844159</v>
      </c>
      <c r="N31" s="23" t="n">
        <v>63.89914785518233</v>
      </c>
      <c r="O31" s="23" t="n">
        <v>20.81874789879248</v>
      </c>
      <c r="P31" s="23" t="n">
        <v>20.61248200391787</v>
      </c>
      <c r="Q31" s="23" t="n">
        <v>37.24589543709537</v>
      </c>
      <c r="R31" s="23" t="n">
        <v>0</v>
      </c>
      <c r="S31" s="23" t="n">
        <v>0</v>
      </c>
      <c r="T31" s="23" t="n">
        <v>1.320907761642616</v>
      </c>
      <c r="U31" s="23" t="n">
        <v>1.533559352980626</v>
      </c>
      <c r="V31" s="23" t="n">
        <v>1.417167629390956</v>
      </c>
      <c r="W31" s="23" t="n">
        <v>1.855906852573579</v>
      </c>
      <c r="X31" s="24" t="n">
        <v>0.1323918942866342</v>
      </c>
      <c r="Y31" s="24" t="n">
        <v>0.1094558615785152</v>
      </c>
      <c r="Z31" s="23" t="n">
        <v>-43.37248781930946</v>
      </c>
    </row>
    <row r="32">
      <c r="D32" t="inlineStr">
        <is>
          <t>5: Sens: heat rate +2%</t>
        </is>
      </c>
      <c r="J32" s="23" t="n">
        <v>855.0897431268495</v>
      </c>
      <c r="K32" s="23" t="n">
        <v>633.2559755427742</v>
      </c>
      <c r="L32" s="23" t="n">
        <v>221.8337675840575</v>
      </c>
      <c r="M32" s="24" t="n">
        <v>0.7405725312844159</v>
      </c>
      <c r="N32" s="23" t="n">
        <v>63.89914785518233</v>
      </c>
      <c r="O32" s="23" t="n">
        <v>20.81874789879248</v>
      </c>
      <c r="P32" s="23" t="n">
        <v>20.61248200391787</v>
      </c>
      <c r="Q32" s="23" t="n">
        <v>37.24589543709537</v>
      </c>
      <c r="R32" s="23" t="n">
        <v>0</v>
      </c>
      <c r="S32" s="23" t="n">
        <v>0</v>
      </c>
      <c r="T32" s="23" t="n">
        <v>1.303300287837263</v>
      </c>
      <c r="U32" s="23" t="n">
        <v>1.491945124746533</v>
      </c>
      <c r="V32" s="23" t="n">
        <v>1.384589285280383</v>
      </c>
      <c r="W32" s="23" t="n">
        <v>1.805296430696459</v>
      </c>
      <c r="X32" s="24" t="n">
        <v>0.1254122420797918</v>
      </c>
      <c r="Y32" s="24" t="n">
        <v>0.1062294794145029</v>
      </c>
      <c r="Z32" s="23" t="n">
        <v>-54.6045851475661</v>
      </c>
    </row>
    <row r="33">
      <c r="D33" t="inlineStr">
        <is>
          <t>6: Sens: fixed opex +10%</t>
        </is>
      </c>
      <c r="J33" s="23" t="n">
        <v>855.0897431268495</v>
      </c>
      <c r="K33" s="23" t="n">
        <v>633.2559755427742</v>
      </c>
      <c r="L33" s="23" t="n">
        <v>221.8337675840575</v>
      </c>
      <c r="M33" s="24" t="n">
        <v>0.7405725312844159</v>
      </c>
      <c r="N33" s="23" t="n">
        <v>63.89914785518233</v>
      </c>
      <c r="O33" s="23" t="n">
        <v>20.81874789879248</v>
      </c>
      <c r="P33" s="23" t="n">
        <v>20.61248200391787</v>
      </c>
      <c r="Q33" s="23" t="n">
        <v>37.24589543709537</v>
      </c>
      <c r="R33" s="23" t="n">
        <v>0</v>
      </c>
      <c r="S33" s="23" t="n">
        <v>0</v>
      </c>
      <c r="T33" s="23" t="n">
        <v>1.319052452224089</v>
      </c>
      <c r="U33" s="23" t="n">
        <v>1.507318914107776</v>
      </c>
      <c r="V33" s="23" t="n">
        <v>1.396213463315365</v>
      </c>
      <c r="W33" s="23" t="n">
        <v>1.822992677922931</v>
      </c>
      <c r="X33" s="24" t="n">
        <v>0.1277893793196775</v>
      </c>
      <c r="Y33" s="24" t="n">
        <v>0.1073381005765498</v>
      </c>
      <c r="Z33" s="23" t="n">
        <v>-50.7974703672302</v>
      </c>
    </row>
    <row r="34">
      <c r="D34" t="inlineStr">
        <is>
          <t>7: Sens: capex +10% funded pro rata</t>
        </is>
      </c>
      <c r="J34" s="23" t="n">
        <v>936.4324507967641</v>
      </c>
      <c r="K34" s="23" t="n">
        <v>693.496150462995</v>
      </c>
      <c r="L34" s="23" t="n">
        <v>242.9363003333352</v>
      </c>
      <c r="M34" s="24" t="n">
        <v>0.7405725312844159</v>
      </c>
      <c r="N34" s="23" t="n">
        <v>69.83321505639228</v>
      </c>
      <c r="O34" s="23" t="n">
        <v>22.68410452658088</v>
      </c>
      <c r="P34" s="23" t="n">
        <v>22.5732996975846</v>
      </c>
      <c r="Q34" s="23" t="n">
        <v>40.84001459115876</v>
      </c>
      <c r="R34" s="23" t="n">
        <v>0</v>
      </c>
      <c r="S34" s="23" t="n">
        <v>0</v>
      </c>
      <c r="T34" s="23" t="n">
        <v>1.230951917488255</v>
      </c>
      <c r="U34" s="23" t="n">
        <v>1.384595759733195</v>
      </c>
      <c r="V34" s="23" t="n">
        <v>1.308305861478857</v>
      </c>
      <c r="W34" s="23" t="n">
        <v>1.725710081019967</v>
      </c>
      <c r="X34" s="24" t="n">
        <v>0.1143670908810624</v>
      </c>
      <c r="Y34" s="24" t="n">
        <v>0.1011377879103261</v>
      </c>
      <c r="Z34" s="23" t="n">
        <v>-79.97560647683682</v>
      </c>
    </row>
    <row r="35">
      <c r="D35" t="inlineStr">
        <is>
          <t>8: Sens: COD delay 6 months, no LDs</t>
        </is>
      </c>
      <c r="J35" s="23" t="n">
        <v>888.1506815713282</v>
      </c>
      <c r="K35" s="23" t="n">
        <v>657.7399984131447</v>
      </c>
      <c r="L35" s="23" t="n">
        <v>230.4106831580704</v>
      </c>
      <c r="M35" s="24" t="n">
        <v>0.7405725312844159</v>
      </c>
      <c r="N35" s="23" t="n">
        <v>84.40704105213224</v>
      </c>
      <c r="O35" s="23" t="n">
        <v>22.58958158745919</v>
      </c>
      <c r="P35" s="23" t="n">
        <v>21.40943694835153</v>
      </c>
      <c r="Q35" s="23" t="n">
        <v>39.59015719011361</v>
      </c>
      <c r="R35" s="23" t="n">
        <v>0</v>
      </c>
      <c r="S35" s="23" t="n">
        <v>0</v>
      </c>
      <c r="T35" s="23" t="n">
        <v>1.254191866406901</v>
      </c>
      <c r="U35" s="23" t="n">
        <v>1.447356749021849</v>
      </c>
      <c r="V35" s="23" t="n">
        <v>1.349901028423783</v>
      </c>
      <c r="W35" s="23" t="n">
        <v>1.812042266488044</v>
      </c>
      <c r="X35" s="24" t="n">
        <v>0.1206868887619481</v>
      </c>
      <c r="Y35" s="24" t="n">
        <v>0.1044056284559688</v>
      </c>
      <c r="Z35" s="23" t="n">
        <v>-66.21465558203204</v>
      </c>
    </row>
    <row r="36">
      <c r="D36" t="inlineStr">
        <is>
          <t>9: Sens: base rate +200 bps (unhedged)</t>
        </is>
      </c>
      <c r="J36" s="23" t="n">
        <v>855.0897431268495</v>
      </c>
      <c r="K36" s="23" t="n">
        <v>633.2559755427742</v>
      </c>
      <c r="L36" s="23" t="n">
        <v>221.8337675840575</v>
      </c>
      <c r="M36" s="24" t="n">
        <v>0.7405725312844159</v>
      </c>
      <c r="N36" s="23" t="n">
        <v>63.89914785518233</v>
      </c>
      <c r="O36" s="23" t="n">
        <v>20.81874789879248</v>
      </c>
      <c r="P36" s="23" t="n">
        <v>20.61248200391787</v>
      </c>
      <c r="Q36" s="23" t="n">
        <v>37.24589543709537</v>
      </c>
      <c r="R36" s="23" t="n">
        <v>0</v>
      </c>
      <c r="S36" s="23" t="n">
        <v>0</v>
      </c>
      <c r="T36" s="23" t="n">
        <v>1.297459149570282</v>
      </c>
      <c r="U36" s="23" t="n">
        <v>1.513085431683911</v>
      </c>
      <c r="V36" s="23" t="n">
        <v>1.396291608549695</v>
      </c>
      <c r="W36" s="23" t="n">
        <v>1.841316469754266</v>
      </c>
      <c r="X36" s="24" t="n">
        <v>0.1292609397154675</v>
      </c>
      <c r="Y36" s="24" t="n">
        <v>0.109925824767384</v>
      </c>
      <c r="Z36" s="23" t="n">
        <v>-49.16192663940031</v>
      </c>
    </row>
    <row r="37">
      <c r="D37" t="inlineStr">
        <is>
          <t>10: Sens: KCR devaluation 40%, 90-day lag</t>
        </is>
      </c>
      <c r="J37" s="23" t="n">
        <v>855.0897431268495</v>
      </c>
      <c r="K37" s="23" t="n">
        <v>633.2559755427742</v>
      </c>
      <c r="L37" s="23" t="n">
        <v>221.8337675840575</v>
      </c>
      <c r="M37" s="24" t="n">
        <v>0.7405725312844159</v>
      </c>
      <c r="N37" s="23" t="n">
        <v>63.89914785518233</v>
      </c>
      <c r="O37" s="23" t="n">
        <v>20.81874789879248</v>
      </c>
      <c r="P37" s="23" t="n">
        <v>20.61248200391787</v>
      </c>
      <c r="Q37" s="23" t="n">
        <v>37.24589543709537</v>
      </c>
      <c r="R37" s="23" t="n">
        <v>0</v>
      </c>
      <c r="S37" s="23" t="n">
        <v>0</v>
      </c>
      <c r="T37" s="23" t="n">
        <v>0.4509353211737581</v>
      </c>
      <c r="U37" s="23" t="n">
        <v>1.515345114964517</v>
      </c>
      <c r="V37" s="23" t="n">
        <v>1.399613560234344</v>
      </c>
      <c r="W37" s="23" t="n">
        <v>1.829232047816823</v>
      </c>
      <c r="X37" s="24" t="n">
        <v>0.1285718287918423</v>
      </c>
      <c r="Y37" s="24" t="n">
        <v>0.1075742199596591</v>
      </c>
      <c r="Z37" s="23" t="n">
        <v>-49.85041887282012</v>
      </c>
    </row>
    <row r="38">
      <c r="D38" t="inlineStr">
        <is>
          <t>11: Sens: SEKA pays 120 days late for 12 months</t>
        </is>
      </c>
      <c r="J38" s="23" t="n">
        <v>855.0897431268495</v>
      </c>
      <c r="K38" s="23" t="n">
        <v>633.2559755427742</v>
      </c>
      <c r="L38" s="23" t="n">
        <v>221.8337675840575</v>
      </c>
      <c r="M38" s="24" t="n">
        <v>0.7405725312844159</v>
      </c>
      <c r="N38" s="23" t="n">
        <v>63.89914785518233</v>
      </c>
      <c r="O38" s="23" t="n">
        <v>20.81874789879248</v>
      </c>
      <c r="P38" s="23" t="n">
        <v>20.61248200391787</v>
      </c>
      <c r="Q38" s="23" t="n">
        <v>37.24589543709537</v>
      </c>
      <c r="R38" s="23" t="n">
        <v>0</v>
      </c>
      <c r="S38" s="23" t="n">
        <v>0</v>
      </c>
      <c r="T38" s="23" t="n">
        <v>0.1304448864960806</v>
      </c>
      <c r="U38" s="23" t="n">
        <v>1.538861232833548</v>
      </c>
      <c r="V38" s="23" t="n">
        <v>1.415179496058625</v>
      </c>
      <c r="W38" s="23" t="n">
        <v>1.855788484454514</v>
      </c>
      <c r="X38" s="24" t="n">
        <v>0.1320175137230271</v>
      </c>
      <c r="Y38" s="24" t="n">
        <v>0.1090644329274847</v>
      </c>
      <c r="Z38" s="23" t="n">
        <v>-44.46432001779274</v>
      </c>
    </row>
    <row r="39">
      <c r="D39" t="inlineStr">
        <is>
          <t>12: Sens: dispatch 50%</t>
        </is>
      </c>
      <c r="J39" s="23" t="n">
        <v>855.0897431268495</v>
      </c>
      <c r="K39" s="23" t="n">
        <v>633.2559755427742</v>
      </c>
      <c r="L39" s="23" t="n">
        <v>221.8337675840575</v>
      </c>
      <c r="M39" s="24" t="n">
        <v>0.7405725312844159</v>
      </c>
      <c r="N39" s="23" t="n">
        <v>63.89914785518233</v>
      </c>
      <c r="O39" s="23" t="n">
        <v>20.81874789879248</v>
      </c>
      <c r="P39" s="23" t="n">
        <v>20.61248200391787</v>
      </c>
      <c r="Q39" s="23" t="n">
        <v>37.24589543709537</v>
      </c>
      <c r="R39" s="23" t="n">
        <v>0</v>
      </c>
      <c r="S39" s="23" t="n">
        <v>0</v>
      </c>
      <c r="T39" s="23" t="n">
        <v>1.336893860929519</v>
      </c>
      <c r="U39" s="23" t="n">
        <v>1.526124403961476</v>
      </c>
      <c r="V39" s="23" t="n">
        <v>1.409684125958913</v>
      </c>
      <c r="W39" s="23" t="n">
        <v>1.845724780068</v>
      </c>
      <c r="X39" s="24" t="n">
        <v>0.130780953205292</v>
      </c>
      <c r="Y39" s="24" t="n">
        <v>0.1087465293752563</v>
      </c>
      <c r="Z39" s="23" t="n">
        <v>-46.08385580267913</v>
      </c>
    </row>
    <row r="40">
      <c r="D40" t="inlineStr">
        <is>
          <t>13: Sens: gas price +30%</t>
        </is>
      </c>
      <c r="J40" s="23" t="n">
        <v>855.0897431268495</v>
      </c>
      <c r="K40" s="23" t="n">
        <v>633.2559755427742</v>
      </c>
      <c r="L40" s="23" t="n">
        <v>221.8337675840575</v>
      </c>
      <c r="M40" s="24" t="n">
        <v>0.7405725312844159</v>
      </c>
      <c r="N40" s="23" t="n">
        <v>63.89914785518233</v>
      </c>
      <c r="O40" s="23" t="n">
        <v>20.81874789879248</v>
      </c>
      <c r="P40" s="23" t="n">
        <v>20.61248200391787</v>
      </c>
      <c r="Q40" s="23" t="n">
        <v>37.24589543709537</v>
      </c>
      <c r="R40" s="23" t="n">
        <v>0</v>
      </c>
      <c r="S40" s="23" t="n">
        <v>0</v>
      </c>
      <c r="T40" s="23" t="n">
        <v>1.350514201427525</v>
      </c>
      <c r="U40" s="23" t="n">
        <v>1.53853184315627</v>
      </c>
      <c r="V40" s="23" t="n">
        <v>1.419498107079915</v>
      </c>
      <c r="W40" s="23" t="n">
        <v>1.859638857287359</v>
      </c>
      <c r="X40" s="24" t="n">
        <v>0.1327164412795507</v>
      </c>
      <c r="Y40" s="24" t="n">
        <v>0.1096267228998009</v>
      </c>
      <c r="Z40" s="23" t="n">
        <v>-42.95212815279363</v>
      </c>
    </row>
    <row r="41">
      <c r="D41" t="inlineStr">
        <is>
          <t>14: COD re-forecast (2021 lenders case)</t>
        </is>
      </c>
      <c r="J41" s="23" t="n">
        <v>887.8704178611237</v>
      </c>
      <c r="K41" s="23" t="n">
        <v>633.2559755427742</v>
      </c>
      <c r="L41" s="23" t="n">
        <v>225.7240112676259</v>
      </c>
      <c r="M41" s="24" t="n">
        <v>0.7263748105800435</v>
      </c>
      <c r="N41" s="23" t="n">
        <v>62.74879664432382</v>
      </c>
      <c r="O41" s="23" t="n">
        <v>23.06621878329216</v>
      </c>
      <c r="P41" s="23" t="n">
        <v>20.6124820039173</v>
      </c>
      <c r="Q41" s="23" t="n">
        <v>37.04113314640968</v>
      </c>
      <c r="R41" s="23" t="n">
        <v>11.67073105072361</v>
      </c>
      <c r="S41" s="23" t="n">
        <v>3.890243683574536</v>
      </c>
      <c r="T41" s="23" t="n">
        <v>1.28294212849606</v>
      </c>
      <c r="U41" s="23" t="n">
        <v>1.504164161797013</v>
      </c>
      <c r="V41" s="23" t="n">
        <v>1.340568166516778</v>
      </c>
      <c r="W41" s="23" t="n">
        <v>1.806719653218089</v>
      </c>
      <c r="X41" s="24" t="n">
        <v>0.124461104214646</v>
      </c>
      <c r="Y41" s="24" t="n">
        <v>0.1007765685212491</v>
      </c>
      <c r="Z41" s="23" t="n">
        <v>-56.62291464251743</v>
      </c>
    </row>
    <row r="42">
      <c r="D42" t="inlineStr">
        <is>
          <t>15: Actual history</t>
        </is>
      </c>
      <c r="J42" s="23" t="n">
        <v>885.6321984634566</v>
      </c>
      <c r="K42" s="23" t="n">
        <v>633.2559755427742</v>
      </c>
      <c r="L42" s="23" t="n">
        <v>225.1644564182091</v>
      </c>
      <c r="M42" s="24" t="n">
        <v>0.7263151036753883</v>
      </c>
      <c r="N42" s="23" t="n">
        <v>62.74879664432382</v>
      </c>
      <c r="O42" s="23" t="n">
        <v>23.06621878329216</v>
      </c>
      <c r="P42" s="23" t="n">
        <v>20.6124820039173</v>
      </c>
      <c r="Q42" s="23" t="n">
        <v>34.80291374874253</v>
      </c>
      <c r="R42" s="23" t="n">
        <v>9.992066502473245</v>
      </c>
      <c r="S42" s="23" t="n">
        <v>3.330688834157749</v>
      </c>
      <c r="T42" s="23" t="n">
        <v>0.9160135879584742</v>
      </c>
      <c r="U42" s="23" t="n">
        <v>1.499522766591455</v>
      </c>
      <c r="V42" s="23" t="n">
        <v>1.466017324531095</v>
      </c>
      <c r="W42" s="23" t="n">
        <v>1.695454988305363</v>
      </c>
      <c r="X42" s="24" t="n">
        <v>0.1249559548566762</v>
      </c>
      <c r="Y42" s="24" t="n">
        <v>0.1013333175117066</v>
      </c>
      <c r="Z42" s="23" t="n">
        <v>-54.51992759391035</v>
      </c>
    </row>
    <row r="44">
      <c r="D44" t="inlineStr">
        <is>
          <t>Live dashboard (rows above) less the pasted row of the selected scenario (max abs; 0 = match)</t>
        </is>
      </c>
      <c r="E44" t="inlineStr">
        <is>
          <t>check</t>
        </is>
      </c>
      <c r="F44" s="11">
        <f>IF(Inputs!$F$312=1,0,IF(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&lt;=Inputs!$F$254,0,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2026-10-03T22:42:38Z</dcterms:created>
  <dcterms:modified xsi:type="dcterms:W3CDTF">2026-10-03T22:42:39Z</dcterms:modified>
</cp:coreProperties>
</file>