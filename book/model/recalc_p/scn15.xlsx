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15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629.9496747784333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224.6022195891398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0.01890095694428932</v>
      </c>
      <c r="Q298" s="6" t="n">
        <v>0.0202905789790784</v>
      </c>
      <c r="R298" s="6" t="n">
        <v>0.02200332954137934</v>
      </c>
      <c r="S298" s="6" t="n">
        <v>0.0230513965167324</v>
      </c>
      <c r="T298" s="6" t="n">
        <v>0.02478569830568763</v>
      </c>
      <c r="U298" s="6" t="n">
        <v>0.026031162687892</v>
      </c>
      <c r="V298" s="6" t="n">
        <v>0.02874437196072473</v>
      </c>
      <c r="W298" s="6" t="n">
        <v>0.03008036171890596</v>
      </c>
      <c r="X298" s="6" t="n">
        <v>0.0287176079977811</v>
      </c>
      <c r="Y298" s="6" t="n">
        <v>0.02863354718565791</v>
      </c>
      <c r="Z298" s="6" t="n">
        <v>0.03043907604633617</v>
      </c>
      <c r="AA298" s="6" t="n">
        <v>0.03176938173911321</v>
      </c>
      <c r="AB298" s="6" t="n">
        <v>0.03403191413177876</v>
      </c>
      <c r="AC298" s="6" t="n">
        <v>0.03568651766808281</v>
      </c>
      <c r="AD298" s="6" t="n">
        <v>0.0404984098748</v>
      </c>
      <c r="AE298" s="6" t="n">
        <v>0.04297859472667483</v>
      </c>
      <c r="AF298" s="6" t="n">
        <v>0.0450772391622633</v>
      </c>
      <c r="AG298" s="6" t="n">
        <v>0.04620125941456013</v>
      </c>
      <c r="AH298" s="6" t="n">
        <v>0.04939410723905355</v>
      </c>
      <c r="AI298" s="6" t="n">
        <v>0.05140402574797549</v>
      </c>
      <c r="AJ298" s="6" t="n">
        <v>0.05475917262981699</v>
      </c>
      <c r="AK298" s="6" t="n">
        <v>0.05717151219099544</v>
      </c>
      <c r="AL298" s="6" t="n">
        <v>0.06174196213781533</v>
      </c>
      <c r="AM298" s="6" t="n">
        <v>0.06420920211471677</v>
      </c>
      <c r="AN298" s="6" t="n">
        <v>0.05246029368361199</v>
      </c>
      <c r="AO298" s="6" t="n">
        <v>0.05093831965427672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0.01916933528318169</v>
      </c>
      <c r="R299" s="6" t="n">
        <v>0.02153568717143909</v>
      </c>
      <c r="S299" s="6" t="n">
        <v>0.02280073147930074</v>
      </c>
      <c r="T299" s="6" t="n">
        <v>0.02455871493656759</v>
      </c>
      <c r="U299" s="6" t="n">
        <v>0.02563708632237413</v>
      </c>
      <c r="V299" s="6" t="n">
        <v>0.02749943258581268</v>
      </c>
      <c r="W299" s="6" t="n">
        <v>0.02988602713814689</v>
      </c>
      <c r="X299" s="6" t="n">
        <v>0.03196578624060889</v>
      </c>
      <c r="Y299" s="6" t="n">
        <v>0.02841811790586881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0.04195228966521355</v>
      </c>
      <c r="AF299" s="6" t="n">
        <v>0.04512050681432067</v>
      </c>
      <c r="AG299" s="6" t="n">
        <v>0.0455258173841402</v>
      </c>
      <c r="AH299" s="6" t="n">
        <v>0.04877459666480332</v>
      </c>
      <c r="AI299" s="6" t="n">
        <v>0.05088398599671974</v>
      </c>
      <c r="AJ299" s="6" t="n">
        <v>0.05426186417991957</v>
      </c>
      <c r="AK299" s="6" t="n">
        <v>0.05645632607798638</v>
      </c>
      <c r="AL299" s="6" t="n">
        <v>0.05999457970251743</v>
      </c>
      <c r="AM299" s="6" t="n">
        <v>0.06370476161482863</v>
      </c>
      <c r="AN299" s="6" t="n">
        <v>0.06773633457954874</v>
      </c>
      <c r="AO299" s="6" t="n">
        <v>0.06591948119009279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0.006829353124439196</v>
      </c>
      <c r="Y300" s="6" t="n">
        <v>0.01114889840603912</v>
      </c>
      <c r="Z300" s="6" t="n">
        <v>0.01330764450807491</v>
      </c>
      <c r="AA300" s="6" t="n">
        <v>0.01349709315044692</v>
      </c>
      <c r="AB300" s="6" t="n">
        <v>0.01557318313269935</v>
      </c>
      <c r="AC300" s="6" t="n">
        <v>0.01606185219857658</v>
      </c>
      <c r="AD300" s="6" t="n">
        <v>0.01799374116666692</v>
      </c>
      <c r="AE300" s="6" t="n">
        <v>0.02144458336133691</v>
      </c>
      <c r="AF300" s="6" t="n">
        <v>0.02402062562945583</v>
      </c>
      <c r="AG300" s="6" t="n">
        <v>0.02440292916342236</v>
      </c>
      <c r="AH300" s="6" t="n">
        <v>0.02690633991137525</v>
      </c>
      <c r="AI300" s="6" t="n">
        <v>0.02770096226699488</v>
      </c>
      <c r="AJ300" s="6" t="n">
        <v>0.03014523344881054</v>
      </c>
      <c r="AK300" s="6" t="n">
        <v>0.03102163191978114</v>
      </c>
      <c r="AL300" s="6" t="n">
        <v>0.03337597519823951</v>
      </c>
      <c r="AM300" s="6" t="n">
        <v>0.03565166194055328</v>
      </c>
      <c r="AN300" s="6" t="n">
        <v>0.03831792958389687</v>
      </c>
      <c r="AO300" s="6" t="n">
        <v>0.03477191605870274</v>
      </c>
      <c r="AP300" s="6" t="n">
        <v>0.09492419694885829</v>
      </c>
      <c r="AQ300" s="6" t="n">
        <v>0.08594938105303467</v>
      </c>
      <c r="AR300" s="6" t="n">
        <v>0.0904413102207277</v>
      </c>
      <c r="AS300" s="6" t="n">
        <v>0.09251459827539707</v>
      </c>
      <c r="AT300" s="6" t="n">
        <v>0.0969374640921163</v>
      </c>
      <c r="AU300" s="6" t="n">
        <v>0.1170614952403567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503.9597395935223</v>
      </c>
      <c r="Q301" s="6" t="n">
        <v>491.4770945834908</v>
      </c>
      <c r="R301" s="6" t="n">
        <v>478.5042300823091</v>
      </c>
      <c r="S301" s="6" t="n">
        <v>464.9271554519713</v>
      </c>
      <c r="T301" s="6" t="n">
        <v>450.9803523296507</v>
      </c>
      <c r="U301" s="6" t="n">
        <v>436.4217364127733</v>
      </c>
      <c r="V301" s="6" t="n">
        <v>421.4237557618857</v>
      </c>
      <c r="W301" s="6" t="n">
        <v>405.4686313439784</v>
      </c>
      <c r="X301" s="6" t="n">
        <v>389.0422073906283</v>
      </c>
      <c r="Y301" s="6" t="n">
        <v>373.0965245445778</v>
      </c>
      <c r="Z301" s="6" t="n">
        <v>357.1804959840188</v>
      </c>
      <c r="AA301" s="6" t="n">
        <v>340.6275277253407</v>
      </c>
      <c r="AB301" s="6" t="n">
        <v>323.6052651093041</v>
      </c>
      <c r="AC301" s="6" t="n">
        <v>305.7848448284669</v>
      </c>
      <c r="AD301" s="6" t="n">
        <v>287.3807270505294</v>
      </c>
      <c r="AE301" s="6" t="n">
        <v>267.2791093121773</v>
      </c>
      <c r="AF301" s="6" t="n">
        <v>246.3025522553589</v>
      </c>
      <c r="AG301" s="6" t="n">
        <v>224.5856525862596</v>
      </c>
      <c r="AH301" s="6" t="n">
        <v>202.4722302496085</v>
      </c>
      <c r="AI301" s="6" t="n">
        <v>179.232461182222</v>
      </c>
      <c r="AJ301" s="6" t="n">
        <v>155.2836495089831</v>
      </c>
      <c r="AK301" s="6" t="n">
        <v>130.1512365715346</v>
      </c>
      <c r="AL301" s="6" t="n">
        <v>104.1678182221423</v>
      </c>
      <c r="AM301" s="6" t="n">
        <v>76.57207393723277</v>
      </c>
      <c r="AN301" s="6" t="n">
        <v>48.10595692093149</v>
      </c>
      <c r="AO301" s="6" t="n">
        <v>23.78452368804357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71.66600088348895</v>
      </c>
      <c r="L309" s="6" t="n">
        <v>73.13661140292268</v>
      </c>
      <c r="M309" s="6" t="n">
        <v>75.01191436182141</v>
      </c>
      <c r="N309" s="6" t="n">
        <v>77.66431772698481</v>
      </c>
      <c r="O309" s="6" t="n">
        <v>81.48479486598529</v>
      </c>
      <c r="P309" s="6" t="n">
        <v>86.75057095409854</v>
      </c>
      <c r="Q309" s="6" t="n">
        <v>93.62109286393991</v>
      </c>
      <c r="R309" s="6" t="n">
        <v>102.3424337527551</v>
      </c>
      <c r="S309" s="6" t="n">
        <v>112.9087224737133</v>
      </c>
      <c r="T309" s="6" t="n">
        <v>125.353413462763</v>
      </c>
      <c r="U309" s="6" t="n">
        <v>139.5560811486539</v>
      </c>
      <c r="V309" s="6" t="n">
        <v>155.4440229952658</v>
      </c>
      <c r="W309" s="6" t="n">
        <v>172.8136949435213</v>
      </c>
      <c r="X309" s="6" t="n">
        <v>191.4156366380475</v>
      </c>
      <c r="Y309" s="6" t="n">
        <v>211.037368268875</v>
      </c>
      <c r="Z309" s="6" t="n">
        <v>231.338225423894</v>
      </c>
      <c r="AA309" s="6" t="n">
        <v>252.0641169680273</v>
      </c>
      <c r="AB309" s="6" t="n">
        <v>273.5633491669572</v>
      </c>
      <c r="AC309" s="6" t="n">
        <v>294.0705657603964</v>
      </c>
      <c r="AD309" s="6" t="n">
        <v>314.0894994948451</v>
      </c>
      <c r="AE309" s="6" t="n">
        <v>333.2257427826887</v>
      </c>
      <c r="AF309" s="6" t="n">
        <v>351.2799287307991</v>
      </c>
      <c r="AG309" s="6" t="n">
        <v>367.9437632657763</v>
      </c>
      <c r="AH309" s="6" t="n">
        <v>383.102103336144</v>
      </c>
      <c r="AI309" s="6" t="n">
        <v>396.5735407491459</v>
      </c>
      <c r="AJ309" s="6" t="n">
        <v>408.2334168264667</v>
      </c>
      <c r="AK309" s="6" t="n">
        <v>418.1443894249751</v>
      </c>
      <c r="AL309" s="6" t="n">
        <v>426.2752805830067</v>
      </c>
      <c r="AM309" s="6" t="n">
        <v>432.8370856977285</v>
      </c>
      <c r="AN309" s="6" t="n">
        <v>437.9936851972857</v>
      </c>
      <c r="AO309" s="6" t="n">
        <v>441.894042737951</v>
      </c>
      <c r="AP309" s="6" t="n">
        <v>445.1472601202943</v>
      </c>
      <c r="AQ309" s="6" t="n">
        <v>477.129138268712</v>
      </c>
      <c r="AR309" s="6" t="n">
        <v>501.7767943702416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IF(Time!J53=1,Inputs!J301/(Funding!$F$25*(Inputs!$F$75*J146+(1-Inputs!$F$75)*J18))*(Inputs!$F$97/100*Time!J24-Operations!J9/100*Time!J25/Inputs!$F$247),0)</f>
        <v/>
      </c>
      <c r="K148" s="16">
        <f>IF(Time!K53=1,Inputs!K301/(Funding!$F$25*(Inputs!$F$75*K146+(1-Inputs!$F$75)*K18))*(Inputs!$F$97/100*Time!K24-Operations!K9/100*Time!K25/Inputs!$F$247),0)</f>
        <v/>
      </c>
      <c r="L148" s="16">
        <f>IF(Time!L53=1,Inputs!L301/(Funding!$F$25*(Inputs!$F$75*L146+(1-Inputs!$F$75)*L18))*(Inputs!$F$97/100*Time!L24-Operations!L9/100*Time!L25/Inputs!$F$247),0)</f>
        <v/>
      </c>
      <c r="M148" s="16">
        <f>IF(Time!M53=1,Inputs!M301/(Funding!$F$25*(Inputs!$F$75*M146+(1-Inputs!$F$75)*M18))*(Inputs!$F$97/100*Time!M24-Operations!M9/100*Time!M25/Inputs!$F$247),0)</f>
        <v/>
      </c>
      <c r="N148" s="16">
        <f>IF(Time!N53=1,Inputs!N301/(Funding!$F$25*(Inputs!$F$75*N146+(1-Inputs!$F$75)*N18))*(Inputs!$F$97/100*Time!N24-Operations!N9/100*Time!N25/Inputs!$F$247),0)</f>
        <v/>
      </c>
      <c r="O148" s="16">
        <f>IF(Time!O53=1,Inputs!O301/(Funding!$F$25*(Inputs!$F$75*O146+(1-Inputs!$F$75)*O18))*(Inputs!$F$97/100*Time!O24-Operations!O9/100*Time!O25/Inputs!$F$247),0)</f>
        <v/>
      </c>
      <c r="P148" s="16">
        <f>IF(Time!P53=1,Inputs!P301/(Funding!$F$25*(Inputs!$F$75*P146+(1-Inputs!$F$75)*P18))*(Inputs!$F$97/100*Time!P24-Operations!P9/100*Time!P25/Inputs!$F$247),0)</f>
        <v/>
      </c>
      <c r="Q148" s="16">
        <f>IF(Time!Q53=1,Inputs!Q301/(Funding!$F$25*(Inputs!$F$75*Q146+(1-Inputs!$F$75)*Q18))*(Inputs!$F$97/100*Time!Q24-Operations!Q9/100*Time!Q25/Inputs!$F$247),0)</f>
        <v/>
      </c>
      <c r="R148" s="16">
        <f>IF(Time!R53=1,Inputs!R301/(Funding!$F$25*(Inputs!$F$75*R146+(1-Inputs!$F$75)*R18))*(Inputs!$F$97/100*Time!R24-Operations!R9/100*Time!R25/Inputs!$F$247),0)</f>
        <v/>
      </c>
      <c r="S148" s="16">
        <f>IF(Time!S53=1,Inputs!S301/(Funding!$F$25*(Inputs!$F$75*S146+(1-Inputs!$F$75)*S18))*(Inputs!$F$97/100*Time!S24-Operations!S9/100*Time!S25/Inputs!$F$247),0)</f>
        <v/>
      </c>
      <c r="T148" s="16">
        <f>IF(Time!T53=1,Inputs!T301/(Funding!$F$25*(Inputs!$F$75*T146+(1-Inputs!$F$75)*T18))*(Inputs!$F$97/100*Time!T24-Operations!T9/100*Time!T25/Inputs!$F$247),0)</f>
        <v/>
      </c>
      <c r="U148" s="16">
        <f>IF(Time!U53=1,Inputs!U301/(Funding!$F$25*(Inputs!$F$75*U146+(1-Inputs!$F$75)*U18))*(Inputs!$F$97/100*Time!U24-Operations!U9/100*Time!U25/Inputs!$F$247),0)</f>
        <v/>
      </c>
      <c r="V148" s="16">
        <f>IF(Time!V53=1,Inputs!V301/(Funding!$F$25*(Inputs!$F$75*V146+(1-Inputs!$F$75)*V18))*(Inputs!$F$97/100*Time!V24-Operations!V9/100*Time!V25/Inputs!$F$247),0)</f>
        <v/>
      </c>
      <c r="W148" s="16">
        <f>IF(Time!W53=1,Inputs!W301/(Funding!$F$25*(Inputs!$F$75*W146+(1-Inputs!$F$75)*W18))*(Inputs!$F$97/100*Time!W24-Operations!W9/100*Time!W25/Inputs!$F$247),0)</f>
        <v/>
      </c>
      <c r="X148" s="16">
        <f>IF(Time!X53=1,Inputs!X301/(Funding!$F$25*(Inputs!$F$75*X146+(1-Inputs!$F$75)*X18))*(Inputs!$F$97/100*Time!X24-Operations!X9/100*Time!X25/Inputs!$F$247),0)</f>
        <v/>
      </c>
      <c r="Y148" s="16">
        <f>IF(Time!Y53=1,Inputs!Y301/(Funding!$F$25*(Inputs!$F$75*Y146+(1-Inputs!$F$75)*Y18))*(Inputs!$F$97/100*Time!Y24-Operations!Y9/100*Time!Y25/Inputs!$F$247),0)</f>
        <v/>
      </c>
      <c r="Z148" s="16">
        <f>IF(Time!Z53=1,Inputs!Z301/(Funding!$F$25*(Inputs!$F$75*Z146+(1-Inputs!$F$75)*Z18))*(Inputs!$F$97/100*Time!Z24-Operations!Z9/100*Time!Z25/Inputs!$F$247),0)</f>
        <v/>
      </c>
      <c r="AA148" s="16">
        <f>IF(Time!AA53=1,Inputs!AA301/(Funding!$F$25*(Inputs!$F$75*AA146+(1-Inputs!$F$75)*AA18))*(Inputs!$F$97/100*Time!AA24-Operations!AA9/100*Time!AA25/Inputs!$F$247),0)</f>
        <v/>
      </c>
      <c r="AB148" s="16">
        <f>IF(Time!AB53=1,Inputs!AB301/(Funding!$F$25*(Inputs!$F$75*AB146+(1-Inputs!$F$75)*AB18))*(Inputs!$F$97/100*Time!AB24-Operations!AB9/100*Time!AB25/Inputs!$F$247),0)</f>
        <v/>
      </c>
      <c r="AC148" s="16">
        <f>IF(Time!AC53=1,Inputs!AC301/(Funding!$F$25*(Inputs!$F$75*AC146+(1-Inputs!$F$75)*AC18))*(Inputs!$F$97/100*Time!AC24-Operations!AC9/100*Time!AC25/Inputs!$F$247),0)</f>
        <v/>
      </c>
      <c r="AD148" s="16">
        <f>IF(Time!AD53=1,Inputs!AD301/(Funding!$F$25*(Inputs!$F$75*AD146+(1-Inputs!$F$75)*AD18))*(Inputs!$F$97/100*Time!AD24-Operations!AD9/100*Time!AD25/Inputs!$F$247),0)</f>
        <v/>
      </c>
      <c r="AE148" s="16">
        <f>IF(Time!AE53=1,Inputs!AE301/(Funding!$F$25*(Inputs!$F$75*AE146+(1-Inputs!$F$75)*AE18))*(Inputs!$F$97/100*Time!AE24-Operations!AE9/100*Time!AE25/Inputs!$F$247),0)</f>
        <v/>
      </c>
      <c r="AF148" s="16">
        <f>IF(Time!AF53=1,Inputs!AF301/(Funding!$F$25*(Inputs!$F$75*AF146+(1-Inputs!$F$75)*AF18))*(Inputs!$F$97/100*Time!AF24-Operations!AF9/100*Time!AF25/Inputs!$F$247),0)</f>
        <v/>
      </c>
      <c r="AG148" s="16">
        <f>IF(Time!AG53=1,Inputs!AG301/(Funding!$F$25*(Inputs!$F$75*AG146+(1-Inputs!$F$75)*AG18))*(Inputs!$F$97/100*Time!AG24-Operations!AG9/100*Time!AG25/Inputs!$F$247),0)</f>
        <v/>
      </c>
      <c r="AH148" s="16">
        <f>IF(Time!AH53=1,Inputs!AH301/(Funding!$F$25*(Inputs!$F$75*AH146+(1-Inputs!$F$75)*AH18))*(Inputs!$F$97/100*Time!AH24-Operations!AH9/100*Time!AH25/Inputs!$F$247),0)</f>
        <v/>
      </c>
      <c r="AI148" s="16">
        <f>IF(Time!AI53=1,Inputs!AI301/(Funding!$F$25*(Inputs!$F$75*AI146+(1-Inputs!$F$75)*AI18))*(Inputs!$F$97/100*Time!AI24-Operations!AI9/100*Time!AI25/Inputs!$F$247),0)</f>
        <v/>
      </c>
      <c r="AJ148" s="16">
        <f>IF(Time!AJ53=1,Inputs!AJ301/(Funding!$F$25*(Inputs!$F$75*AJ146+(1-Inputs!$F$75)*AJ18))*(Inputs!$F$97/100*Time!AJ24-Operations!AJ9/100*Time!AJ25/Inputs!$F$247),0)</f>
        <v/>
      </c>
      <c r="AK148" s="16">
        <f>IF(Time!AK53=1,Inputs!AK301/(Funding!$F$25*(Inputs!$F$75*AK146+(1-Inputs!$F$75)*AK18))*(Inputs!$F$97/100*Time!AK24-Operations!AK9/100*Time!AK25/Inputs!$F$247),0)</f>
        <v/>
      </c>
      <c r="AL148" s="16">
        <f>IF(Time!AL53=1,Inputs!AL301/(Funding!$F$25*(Inputs!$F$75*AL146+(1-Inputs!$F$75)*AL18))*(Inputs!$F$97/100*Time!AL24-Operations!AL9/100*Time!AL25/Inputs!$F$247),0)</f>
        <v/>
      </c>
      <c r="AM148" s="16">
        <f>IF(Time!AM53=1,Inputs!AM301/(Funding!$F$25*(Inputs!$F$75*AM146+(1-Inputs!$F$75)*AM18))*(Inputs!$F$97/100*Time!AM24-Operations!AM9/100*Time!AM25/Inputs!$F$247),0)</f>
        <v/>
      </c>
      <c r="AN148" s="16">
        <f>IF(Time!AN53=1,Inputs!AN301/(Funding!$F$25*(Inputs!$F$75*AN146+(1-Inputs!$F$75)*AN18))*(Inputs!$F$97/100*Time!AN24-Operations!AN9/100*Time!AN25/Inputs!$F$247),0)</f>
        <v/>
      </c>
      <c r="AO148" s="16">
        <f>IF(Time!AO53=1,Inputs!AO301/(Funding!$F$25*(Inputs!$F$75*AO146+(1-Inputs!$F$75)*AO18))*(Inputs!$F$97/100*Time!AO24-Operations!AO9/100*Time!AO25/Inputs!$F$247),0)</f>
        <v/>
      </c>
      <c r="AP148" s="16">
        <f>IF(Time!AP53=1,Inputs!AP301/(Funding!$F$25*(Inputs!$F$75*AP146+(1-Inputs!$F$75)*AP18))*(Inputs!$F$97/100*Time!AP24-Operations!AP9/100*Time!AP25/Inputs!$F$247),0)</f>
        <v/>
      </c>
      <c r="AQ148" s="16">
        <f>IF(Time!AQ53=1,Inputs!AQ301/(Funding!$F$25*(Inputs!$F$75*AQ146+(1-Inputs!$F$75)*AQ18))*(Inputs!$F$97/100*Time!AQ24-Operations!AQ9/100*Time!AQ25/Inputs!$F$247),0)</f>
        <v/>
      </c>
      <c r="AR148" s="16">
        <f>IF(Time!AR53=1,Inputs!AR301/(Funding!$F$25*(Inputs!$F$75*AR146+(1-Inputs!$F$75)*AR18))*(Inputs!$F$97/100*Time!AR24-Operations!AR9/100*Time!AR25/Inputs!$F$247),0)</f>
        <v/>
      </c>
      <c r="AS148" s="16">
        <f>IF(Time!AS53=1,Inputs!AS301/(Funding!$F$25*(Inputs!$F$75*AS146+(1-Inputs!$F$75)*AS18))*(Inputs!$F$97/100*Time!AS24-Operations!AS9/100*Time!AS25/Inputs!$F$247),0)</f>
        <v/>
      </c>
      <c r="AT148" s="16">
        <f>IF(Time!AT53=1,Inputs!AT301/(Funding!$F$25*(Inputs!$F$75*AT146+(1-Inputs!$F$75)*AT18))*(Inputs!$F$97/100*Time!AT24-Operations!AT9/100*Time!AT25/Inputs!$F$247),0)</f>
        <v/>
      </c>
      <c r="AU148" s="16">
        <f>IF(Time!AU53=1,Inputs!AU301/(Funding!$F$25*(Inputs!$F$75*AU146+(1-Inputs!$F$75)*AU18))*(Inputs!$F$97/100*Time!AU24-Operations!AU9/100*Time!AU25/Inputs!$F$247),0)</f>
        <v/>
      </c>
      <c r="AV148" s="16">
        <f>IF(Time!AV53=1,Inputs!AV301/(Funding!$F$25*(Inputs!$F$75*AV146+(1-Inputs!$F$75)*AV18))*(Inputs!$F$97/100*Time!AV24-Operations!AV9/100*Time!AV25/Inputs!$F$247),0)</f>
        <v/>
      </c>
      <c r="AW148" s="16">
        <f>IF(Time!AW53=1,Inputs!AW301/(Funding!$F$25*(Inputs!$F$75*AW146+(1-Inputs!$F$75)*AW18))*(Inputs!$F$97/100*Time!AW24-Operations!AW9/100*Time!AW25/Inputs!$F$247),0)</f>
        <v/>
      </c>
      <c r="AX148" s="16">
        <f>IF(Time!AX53=1,Inputs!AX301/(Funding!$F$25*(Inputs!$F$75*AX146+(1-Inputs!$F$75)*AX18))*(Inputs!$F$97/100*Time!AX24-Operations!AX9/100*Time!AX25/Inputs!$F$247),0)</f>
        <v/>
      </c>
      <c r="AY148" s="16">
        <f>IF(Time!AY53=1,Inputs!AY301/(Funding!$F$25*(Inputs!$F$75*AY146+(1-Inputs!$F$75)*AY18))*(Inputs!$F$97/100*Time!AY24-Operations!AY9/100*Time!AY25/Inputs!$F$247),0)</f>
        <v/>
      </c>
      <c r="AZ148" s="16">
        <f>IF(Time!AZ53=1,Inputs!AZ301/(Funding!$F$25*(Inputs!$F$75*AZ146+(1-Inputs!$F$75)*AZ18))*(Inputs!$F$97/100*Time!AZ24-Operations!AZ9/100*Time!AZ25/Inputs!$F$247),0)</f>
        <v/>
      </c>
      <c r="BA148" s="16">
        <f>IF(Time!BA53=1,Inputs!BA301/(Funding!$F$25*(Inputs!$F$75*BA146+(1-Inputs!$F$75)*BA18))*(Inputs!$F$97/100*Time!BA24-Operations!BA9/100*Time!BA25/Inputs!$F$247),0)</f>
        <v/>
      </c>
      <c r="BB148" s="16">
        <f>IF(Time!BB53=1,Inputs!BB301/(Funding!$F$25*(Inputs!$F$75*BB146+(1-Inputs!$F$75)*BB18))*(Inputs!$F$97/100*Time!BB24-Operations!BB9/100*Time!BB25/Inputs!$F$247),0)</f>
        <v/>
      </c>
      <c r="BC148" s="16">
        <f>IF(Time!BC53=1,Inputs!BC301/(Funding!$F$25*(Inputs!$F$75*BC146+(1-Inputs!$F$75)*BC18))*(Inputs!$F$97/100*Time!BC24-Operations!BC9/100*Time!BC25/Inputs!$F$247),0)</f>
        <v/>
      </c>
      <c r="BD148" s="16">
        <f>IF(Time!BD53=1,Inputs!BD301/(Funding!$F$25*(Inputs!$F$75*BD146+(1-Inputs!$F$75)*BD18))*(Inputs!$F$97/100*Time!BD24-Operations!BD9/100*Time!BD25/Inputs!$F$247),0)</f>
        <v/>
      </c>
      <c r="BE148" s="16">
        <f>IF(Time!BE53=1,Inputs!BE301/(Funding!$F$25*(Inputs!$F$75*BE146+(1-Inputs!$F$75)*BE18))*(Inputs!$F$97/100*Time!BE24-Operations!BE9/100*Time!BE25/Inputs!$F$247),0)</f>
        <v/>
      </c>
      <c r="BF148" s="16">
        <f>IF(Time!BF53=1,Inputs!BF301/(Funding!$F$25*(Inputs!$F$75*BF146+(1-Inputs!$F$75)*BF18))*(Inputs!$F$97/100*Time!BF24-Operations!BF9/100*Time!BF25/Inputs!$F$247),0)</f>
        <v/>
      </c>
      <c r="BG148" s="16">
        <f>IF(Time!BG53=1,Inputs!BG301/(Funding!$F$25*(Inputs!$F$75*BG146+(1-Inputs!$F$75)*BG18))*(Inputs!$F$97/100*Time!BG24-Operations!BG9/100*Time!BG25/Inputs!$F$247),0)</f>
        <v/>
      </c>
      <c r="BH148" s="16">
        <f>IF(Time!BH53=1,Inputs!BH301/(Funding!$F$25*(Inputs!$F$75*BH146+(1-Inputs!$F$75)*BH18))*(Inputs!$F$97/100*Time!BH24-Operations!BH9/100*Time!BH25/Inputs!$F$247),0)</f>
        <v/>
      </c>
      <c r="BI148" s="16">
        <f>IF(Time!BI53=1,Inputs!BI301/(Funding!$F$25*(Inputs!$F$75*BI146+(1-Inputs!$F$75)*BI18))*(Inputs!$F$97/100*Time!BI24-Operations!BI9/100*Time!BI25/Inputs!$F$247),0)</f>
        <v/>
      </c>
      <c r="BJ148" s="16">
        <f>IF(Time!BJ53=1,Inputs!BJ301/(Funding!$F$25*(Inputs!$F$75*BJ146+(1-Inputs!$F$75)*BJ18))*(Inputs!$F$97/100*Time!BJ24-Operations!BJ9/100*Time!BJ25/Inputs!$F$247),0)</f>
        <v/>
      </c>
      <c r="BK148" s="16">
        <f>IF(Time!BK53=1,Inputs!BK301/(Funding!$F$25*(Inputs!$F$75*BK146+(1-Inputs!$F$75)*BK18))*(Inputs!$F$97/100*Time!BK24-Operations!BK9/100*Time!BK25/Inputs!$F$247),0)</f>
        <v/>
      </c>
      <c r="BL148" s="16">
        <f>IF(Time!BL53=1,Inputs!BL301/(Funding!$F$25*(Inputs!$F$75*BL146+(1-Inputs!$F$75)*BL18))*(Inputs!$F$97/100*Time!BL24-Operations!BL9/100*Time!BL25/Inputs!$F$247),0)</f>
        <v/>
      </c>
      <c r="BM148" s="16">
        <f>IF(Time!BM53=1,Inputs!BM301/(Funding!$F$25*(Inputs!$F$75*BM146+(1-Inputs!$F$75)*BM18))*(Inputs!$F$97/100*Time!BM24-Operations!BM9/100*Time!BM25/Inputs!$F$247),0)</f>
        <v/>
      </c>
      <c r="BN148" s="16">
        <f>IF(Time!BN53=1,Inputs!BN301/(Funding!$F$25*(Inputs!$F$75*BN146+(1-Inputs!$F$75)*BN18))*(Inputs!$F$97/100*Time!BN24-Operations!BN9/100*Time!BN25/Inputs!$F$247),0)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854.5518943675954</v>
      </c>
      <c r="K28" s="23" t="n">
        <v>629.9496747784333</v>
      </c>
      <c r="L28" s="23" t="n">
        <v>224.6022195891457</v>
      </c>
      <c r="M28" s="24" t="n">
        <v>0.7371695960543614</v>
      </c>
      <c r="N28" s="23" t="n">
        <v>63.57016635281073</v>
      </c>
      <c r="O28" s="23" t="n">
        <v>20.71750073229001</v>
      </c>
      <c r="P28" s="23" t="n">
        <v>20.50486191403853</v>
      </c>
      <c r="Q28" s="23" t="n">
        <v>37.24589543659478</v>
      </c>
      <c r="R28" s="23" t="n">
        <v>0</v>
      </c>
      <c r="S28" s="23" t="n">
        <v>0</v>
      </c>
      <c r="T28" s="23" t="n">
        <v>1.350000000086092</v>
      </c>
      <c r="U28" s="23" t="n">
        <v>1.548134310510521</v>
      </c>
      <c r="V28" s="23" t="n">
        <v>1.418876964151141</v>
      </c>
      <c r="W28" s="23" t="n">
        <v>1.84662112232132</v>
      </c>
      <c r="X28" s="24" t="n">
        <v>0.1315189365206741</v>
      </c>
      <c r="Y28" s="24" t="n">
        <v>0.1096962441725252</v>
      </c>
      <c r="Z28" s="23" t="n">
        <v>-45.30916496788892</v>
      </c>
    </row>
    <row r="29">
      <c r="D29" t="inlineStr">
        <is>
          <t>2: FC banking</t>
        </is>
      </c>
      <c r="J29" s="23" t="n">
        <v>854.5518943675954</v>
      </c>
      <c r="K29" s="23" t="n">
        <v>629.9496747784333</v>
      </c>
      <c r="L29" s="23" t="n">
        <v>224.6022195891457</v>
      </c>
      <c r="M29" s="24" t="n">
        <v>0.7371695960543614</v>
      </c>
      <c r="N29" s="23" t="n">
        <v>63.57016635281073</v>
      </c>
      <c r="O29" s="23" t="n">
        <v>20.71750073229001</v>
      </c>
      <c r="P29" s="23" t="n">
        <v>20.50486191403853</v>
      </c>
      <c r="Q29" s="23" t="n">
        <v>37.24589543659478</v>
      </c>
      <c r="R29" s="23" t="n">
        <v>0</v>
      </c>
      <c r="S29" s="23" t="n">
        <v>0</v>
      </c>
      <c r="T29" s="23" t="n">
        <v>1.347774429320099</v>
      </c>
      <c r="U29" s="23" t="n">
        <v>1.546090096216397</v>
      </c>
      <c r="V29" s="23" t="n">
        <v>1.417311927236057</v>
      </c>
      <c r="W29" s="23" t="n">
        <v>1.844284366639894</v>
      </c>
      <c r="X29" s="24" t="n">
        <v>0.1312058928849293</v>
      </c>
      <c r="Y29" s="24" t="n">
        <v>0.109551625971133</v>
      </c>
      <c r="Z29" s="23" t="n">
        <v>-45.81650028480356</v>
      </c>
    </row>
    <row r="30">
      <c r="D30" t="inlineStr">
        <is>
          <t>3: FC downside</t>
        </is>
      </c>
      <c r="J30" s="23" t="n">
        <v>854.5518943675954</v>
      </c>
      <c r="K30" s="23" t="n">
        <v>629.9496747784333</v>
      </c>
      <c r="L30" s="23" t="n">
        <v>224.6022195891457</v>
      </c>
      <c r="M30" s="24" t="n">
        <v>0.7371695960543614</v>
      </c>
      <c r="N30" s="23" t="n">
        <v>63.57016635281073</v>
      </c>
      <c r="O30" s="23" t="n">
        <v>20.71750073229001</v>
      </c>
      <c r="P30" s="23" t="n">
        <v>20.50486191403853</v>
      </c>
      <c r="Q30" s="23" t="n">
        <v>37.24589543659478</v>
      </c>
      <c r="R30" s="23" t="n">
        <v>0</v>
      </c>
      <c r="S30" s="23" t="n">
        <v>0</v>
      </c>
      <c r="T30" s="23" t="n">
        <v>1.200358703827179</v>
      </c>
      <c r="U30" s="23" t="n">
        <v>1.380209990718661</v>
      </c>
      <c r="V30" s="23" t="n">
        <v>1.30453347891839</v>
      </c>
      <c r="W30" s="23" t="n">
        <v>1.706071283415212</v>
      </c>
      <c r="X30" s="24" t="n">
        <v>0.1126549328243679</v>
      </c>
      <c r="Y30" s="24" t="n">
        <v>0.1007550513363039</v>
      </c>
      <c r="Z30" s="23" t="n">
        <v>-75.87899056888766</v>
      </c>
    </row>
    <row r="31">
      <c r="D31" t="inlineStr">
        <is>
          <t>4: Sens: availability -3 points</t>
        </is>
      </c>
      <c r="J31" s="23" t="n">
        <v>854.5518943675954</v>
      </c>
      <c r="K31" s="23" t="n">
        <v>629.9496747784333</v>
      </c>
      <c r="L31" s="23" t="n">
        <v>224.6022195891457</v>
      </c>
      <c r="M31" s="24" t="n">
        <v>0.7371695960543614</v>
      </c>
      <c r="N31" s="23" t="n">
        <v>63.57016635281073</v>
      </c>
      <c r="O31" s="23" t="n">
        <v>20.71750073229001</v>
      </c>
      <c r="P31" s="23" t="n">
        <v>20.50486191403853</v>
      </c>
      <c r="Q31" s="23" t="n">
        <v>37.24589543659478</v>
      </c>
      <c r="R31" s="23" t="n">
        <v>0</v>
      </c>
      <c r="S31" s="23" t="n">
        <v>0</v>
      </c>
      <c r="T31" s="23" t="n">
        <v>1.320907761659021</v>
      </c>
      <c r="U31" s="23" t="n">
        <v>1.543577915977776</v>
      </c>
      <c r="V31" s="23" t="n">
        <v>1.417181370943524</v>
      </c>
      <c r="W31" s="23" t="n">
        <v>1.843056004909891</v>
      </c>
      <c r="X31" s="24" t="n">
        <v>0.1312742617369575</v>
      </c>
      <c r="Y31" s="24" t="n">
        <v>0.109556084774187</v>
      </c>
      <c r="Z31" s="23" t="n">
        <v>-45.57801928495444</v>
      </c>
    </row>
    <row r="32">
      <c r="D32" t="inlineStr">
        <is>
          <t>5: Sens: heat rate +2%</t>
        </is>
      </c>
      <c r="J32" s="23" t="n">
        <v>854.5518943675954</v>
      </c>
      <c r="K32" s="23" t="n">
        <v>629.9496747784333</v>
      </c>
      <c r="L32" s="23" t="n">
        <v>224.6022195891457</v>
      </c>
      <c r="M32" s="24" t="n">
        <v>0.7371695960543614</v>
      </c>
      <c r="N32" s="23" t="n">
        <v>63.57016635281073</v>
      </c>
      <c r="O32" s="23" t="n">
        <v>20.71750073229001</v>
      </c>
      <c r="P32" s="23" t="n">
        <v>20.50486191403853</v>
      </c>
      <c r="Q32" s="23" t="n">
        <v>37.24589543659478</v>
      </c>
      <c r="R32" s="23" t="n">
        <v>0</v>
      </c>
      <c r="S32" s="23" t="n">
        <v>0</v>
      </c>
      <c r="T32" s="23" t="n">
        <v>1.303300287848056</v>
      </c>
      <c r="U32" s="23" t="n">
        <v>1.498859549668142</v>
      </c>
      <c r="V32" s="23" t="n">
        <v>1.382791422855909</v>
      </c>
      <c r="W32" s="23" t="n">
        <v>1.793169788899441</v>
      </c>
      <c r="X32" s="24" t="n">
        <v>0.1243645894535975</v>
      </c>
      <c r="Y32" s="24" t="n">
        <v>0.1063326520134044</v>
      </c>
      <c r="Z32" s="23" t="n">
        <v>-56.81942782844992</v>
      </c>
    </row>
    <row r="33">
      <c r="D33" t="inlineStr">
        <is>
          <t>6: Sens: fixed opex +10%</t>
        </is>
      </c>
      <c r="J33" s="23" t="n">
        <v>854.5518943675954</v>
      </c>
      <c r="K33" s="23" t="n">
        <v>629.9496747784333</v>
      </c>
      <c r="L33" s="23" t="n">
        <v>224.6022195891457</v>
      </c>
      <c r="M33" s="24" t="n">
        <v>0.7371695960543614</v>
      </c>
      <c r="N33" s="23" t="n">
        <v>63.57016635281073</v>
      </c>
      <c r="O33" s="23" t="n">
        <v>20.71750073229001</v>
      </c>
      <c r="P33" s="23" t="n">
        <v>20.50486191403853</v>
      </c>
      <c r="Q33" s="23" t="n">
        <v>37.24589543659478</v>
      </c>
      <c r="R33" s="23" t="n">
        <v>0</v>
      </c>
      <c r="S33" s="23" t="n">
        <v>0</v>
      </c>
      <c r="T33" s="23" t="n">
        <v>1.319052452235012</v>
      </c>
      <c r="U33" s="23" t="n">
        <v>1.517334685027667</v>
      </c>
      <c r="V33" s="23" t="n">
        <v>1.396179633429376</v>
      </c>
      <c r="W33" s="23" t="n">
        <v>1.810598820708488</v>
      </c>
      <c r="X33" s="24" t="n">
        <v>0.1267196614626228</v>
      </c>
      <c r="Y33" s="24" t="n">
        <v>0.1074405300010559</v>
      </c>
      <c r="Z33" s="23" t="n">
        <v>-53.00645832524153</v>
      </c>
    </row>
    <row r="34">
      <c r="D34" t="inlineStr">
        <is>
          <t>7: Sens: capex +10% funded pro rata</t>
        </is>
      </c>
      <c r="J34" s="23" t="n">
        <v>935.8437693639825</v>
      </c>
      <c r="K34" s="23" t="n">
        <v>689.8755734316211</v>
      </c>
      <c r="L34" s="23" t="n">
        <v>245.9681959319445</v>
      </c>
      <c r="M34" s="24" t="n">
        <v>0.7371695960543614</v>
      </c>
      <c r="N34" s="23" t="n">
        <v>69.47367197537172</v>
      </c>
      <c r="O34" s="23" t="n">
        <v>22.57306759060785</v>
      </c>
      <c r="P34" s="23" t="n">
        <v>22.45544991521283</v>
      </c>
      <c r="Q34" s="23" t="n">
        <v>40.8397629577425</v>
      </c>
      <c r="R34" s="23" t="n">
        <v>0</v>
      </c>
      <c r="S34" s="23" t="n">
        <v>0</v>
      </c>
      <c r="T34" s="23" t="n">
        <v>1.230959501974915</v>
      </c>
      <c r="U34" s="23" t="n">
        <v>1.38851606708263</v>
      </c>
      <c r="V34" s="23" t="n">
        <v>1.306616899960616</v>
      </c>
      <c r="W34" s="23" t="n">
        <v>1.713422396933953</v>
      </c>
      <c r="X34" s="24" t="n">
        <v>0.1133997638957553</v>
      </c>
      <c r="Y34" s="24" t="n">
        <v>0.1012292788258414</v>
      </c>
      <c r="Z34" s="23" t="n">
        <v>-82.46052882809062</v>
      </c>
    </row>
    <row r="35">
      <c r="D35" t="inlineStr">
        <is>
          <t>8: Sens: COD delay 6 months, no LDs</t>
        </is>
      </c>
      <c r="J35" s="23" t="n">
        <v>887.4983027591986</v>
      </c>
      <c r="K35" s="23" t="n">
        <v>654.2367653438209</v>
      </c>
      <c r="L35" s="23" t="n">
        <v>233.2615374152688</v>
      </c>
      <c r="M35" s="24" t="n">
        <v>0.7371695960543615</v>
      </c>
      <c r="N35" s="23" t="n">
        <v>83.96775078397457</v>
      </c>
      <c r="O35" s="23" t="n">
        <v>22.47746356223884</v>
      </c>
      <c r="P35" s="23" t="n">
        <v>21.29540671194491</v>
      </c>
      <c r="Q35" s="23" t="n">
        <v>39.60321690776872</v>
      </c>
      <c r="R35" s="23" t="n">
        <v>0</v>
      </c>
      <c r="S35" s="23" t="n">
        <v>0</v>
      </c>
      <c r="T35" s="23" t="n">
        <v>1.254517333550881</v>
      </c>
      <c r="U35" s="23" t="n">
        <v>1.452952165211327</v>
      </c>
      <c r="V35" s="23" t="n">
        <v>1.348792603248456</v>
      </c>
      <c r="W35" s="23" t="n">
        <v>1.800194093556658</v>
      </c>
      <c r="X35" s="24" t="n">
        <v>0.1197867013060516</v>
      </c>
      <c r="Y35" s="24" t="n">
        <v>0.104497055158817</v>
      </c>
      <c r="Z35" s="23" t="n">
        <v>-68.37964344409824</v>
      </c>
    </row>
    <row r="36">
      <c r="D36" t="inlineStr">
        <is>
          <t>9: Sens: base rate +200 bps (unhedged)</t>
        </is>
      </c>
      <c r="J36" s="23" t="n">
        <v>854.5518943675954</v>
      </c>
      <c r="K36" s="23" t="n">
        <v>629.9496747784333</v>
      </c>
      <c r="L36" s="23" t="n">
        <v>224.6022195891457</v>
      </c>
      <c r="M36" s="24" t="n">
        <v>0.7371695960543614</v>
      </c>
      <c r="N36" s="23" t="n">
        <v>63.57016635281073</v>
      </c>
      <c r="O36" s="23" t="n">
        <v>20.71750073229001</v>
      </c>
      <c r="P36" s="23" t="n">
        <v>20.50486191403853</v>
      </c>
      <c r="Q36" s="23" t="n">
        <v>37.24589543659478</v>
      </c>
      <c r="R36" s="23" t="n">
        <v>0</v>
      </c>
      <c r="S36" s="23" t="n">
        <v>0</v>
      </c>
      <c r="T36" s="23" t="n">
        <v>1.297686059477678</v>
      </c>
      <c r="U36" s="23" t="n">
        <v>1.522451015381969</v>
      </c>
      <c r="V36" s="23" t="n">
        <v>1.396069190520737</v>
      </c>
      <c r="W36" s="23" t="n">
        <v>1.832930199054863</v>
      </c>
      <c r="X36" s="24" t="n">
        <v>0.12817620169047</v>
      </c>
      <c r="Y36" s="24" t="n">
        <v>0.1100136810992374</v>
      </c>
      <c r="Z36" s="23" t="n">
        <v>-51.39015236443164</v>
      </c>
    </row>
    <row r="37">
      <c r="D37" t="inlineStr">
        <is>
          <t>10: Sens: KCR devaluation 40%, 90-day lag</t>
        </is>
      </c>
      <c r="J37" s="23" t="n">
        <v>854.5518943675954</v>
      </c>
      <c r="K37" s="23" t="n">
        <v>629.9496747784333</v>
      </c>
      <c r="L37" s="23" t="n">
        <v>224.6022195891457</v>
      </c>
      <c r="M37" s="24" t="n">
        <v>0.7371695960543614</v>
      </c>
      <c r="N37" s="23" t="n">
        <v>63.57016635281073</v>
      </c>
      <c r="O37" s="23" t="n">
        <v>20.71750073229001</v>
      </c>
      <c r="P37" s="23" t="n">
        <v>20.50486191403853</v>
      </c>
      <c r="Q37" s="23" t="n">
        <v>37.24589543659478</v>
      </c>
      <c r="R37" s="23" t="n">
        <v>0</v>
      </c>
      <c r="S37" s="23" t="n">
        <v>0</v>
      </c>
      <c r="T37" s="23" t="n">
        <v>0.4509353211787945</v>
      </c>
      <c r="U37" s="23" t="n">
        <v>1.525220866999527</v>
      </c>
      <c r="V37" s="23" t="n">
        <v>1.399462893953334</v>
      </c>
      <c r="W37" s="23" t="n">
        <v>1.816610919840707</v>
      </c>
      <c r="X37" s="24" t="n">
        <v>0.1274902902046118</v>
      </c>
      <c r="Y37" s="24" t="n">
        <v>0.1076707612393852</v>
      </c>
      <c r="Z37" s="23" t="n">
        <v>-52.07270994977526</v>
      </c>
    </row>
    <row r="38">
      <c r="D38" t="inlineStr">
        <is>
          <t>11: Sens: SEKA pays 120 days late for 12 months</t>
        </is>
      </c>
      <c r="J38" s="23" t="n">
        <v>854.5518943675954</v>
      </c>
      <c r="K38" s="23" t="n">
        <v>629.9496747784333</v>
      </c>
      <c r="L38" s="23" t="n">
        <v>224.6022195891457</v>
      </c>
      <c r="M38" s="24" t="n">
        <v>0.7371695960543614</v>
      </c>
      <c r="N38" s="23" t="n">
        <v>63.57016635281073</v>
      </c>
      <c r="O38" s="23" t="n">
        <v>20.71750073229001</v>
      </c>
      <c r="P38" s="23" t="n">
        <v>20.50486191403853</v>
      </c>
      <c r="Q38" s="23" t="n">
        <v>37.24589543659478</v>
      </c>
      <c r="R38" s="23" t="n">
        <v>0</v>
      </c>
      <c r="S38" s="23" t="n">
        <v>0</v>
      </c>
      <c r="T38" s="23" t="n">
        <v>0.1304448864975375</v>
      </c>
      <c r="U38" s="23" t="n">
        <v>1.549090542638844</v>
      </c>
      <c r="V38" s="23" t="n">
        <v>1.415065802163458</v>
      </c>
      <c r="W38" s="23" t="n">
        <v>1.842817755703834</v>
      </c>
      <c r="X38" s="24" t="n">
        <v>0.1309082576099196</v>
      </c>
      <c r="Y38" s="24" t="n">
        <v>0.1091601848175323</v>
      </c>
      <c r="Z38" s="23" t="n">
        <v>-46.68092672880782</v>
      </c>
    </row>
    <row r="39">
      <c r="D39" t="inlineStr">
        <is>
          <t>12: Sens: dispatch 50%</t>
        </is>
      </c>
      <c r="J39" s="23" t="n">
        <v>854.5518943675954</v>
      </c>
      <c r="K39" s="23" t="n">
        <v>629.9496747784333</v>
      </c>
      <c r="L39" s="23" t="n">
        <v>224.6022195891457</v>
      </c>
      <c r="M39" s="24" t="n">
        <v>0.7371695960543614</v>
      </c>
      <c r="N39" s="23" t="n">
        <v>63.57016635281073</v>
      </c>
      <c r="O39" s="23" t="n">
        <v>20.71750073229001</v>
      </c>
      <c r="P39" s="23" t="n">
        <v>20.50486191403853</v>
      </c>
      <c r="Q39" s="23" t="n">
        <v>37.24589543659478</v>
      </c>
      <c r="R39" s="23" t="n">
        <v>0</v>
      </c>
      <c r="S39" s="23" t="n">
        <v>0</v>
      </c>
      <c r="T39" s="23" t="n">
        <v>1.336893860945409</v>
      </c>
      <c r="U39" s="23" t="n">
        <v>1.536121689373075</v>
      </c>
      <c r="V39" s="23" t="n">
        <v>1.409662555602083</v>
      </c>
      <c r="W39" s="23" t="n">
        <v>1.833000517730846</v>
      </c>
      <c r="X39" s="24" t="n">
        <v>0.1296902537428981</v>
      </c>
      <c r="Y39" s="24" t="n">
        <v>0.1088508790432739</v>
      </c>
      <c r="Z39" s="23" t="n">
        <v>-48.27995175317573</v>
      </c>
    </row>
    <row r="40">
      <c r="D40" t="inlineStr">
        <is>
          <t>13: Sens: gas price +30%</t>
        </is>
      </c>
      <c r="J40" s="23" t="n">
        <v>854.5518943675954</v>
      </c>
      <c r="K40" s="23" t="n">
        <v>629.9496747784333</v>
      </c>
      <c r="L40" s="23" t="n">
        <v>224.6022195891457</v>
      </c>
      <c r="M40" s="24" t="n">
        <v>0.7371695960543614</v>
      </c>
      <c r="N40" s="23" t="n">
        <v>63.57016635281073</v>
      </c>
      <c r="O40" s="23" t="n">
        <v>20.71750073229001</v>
      </c>
      <c r="P40" s="23" t="n">
        <v>20.50486191403853</v>
      </c>
      <c r="Q40" s="23" t="n">
        <v>37.24589543659478</v>
      </c>
      <c r="R40" s="23" t="n">
        <v>0</v>
      </c>
      <c r="S40" s="23" t="n">
        <v>0</v>
      </c>
      <c r="T40" s="23" t="n">
        <v>1.350514201438709</v>
      </c>
      <c r="U40" s="23" t="n">
        <v>1.54845111982152</v>
      </c>
      <c r="V40" s="23" t="n">
        <v>1.419262476742486</v>
      </c>
      <c r="W40" s="23" t="n">
        <v>1.84655391948118</v>
      </c>
      <c r="X40" s="24" t="n">
        <v>0.1315723639954117</v>
      </c>
      <c r="Y40" s="24" t="n">
        <v>0.1097129954521601</v>
      </c>
      <c r="Z40" s="23" t="n">
        <v>-45.19291835160001</v>
      </c>
    </row>
    <row r="41">
      <c r="D41" t="inlineStr">
        <is>
          <t>14: COD re-forecast (2021 lenders case)</t>
        </is>
      </c>
      <c r="J41" s="23" t="n">
        <v>887.4433216920554</v>
      </c>
      <c r="K41" s="23" t="n">
        <v>629.9496747784333</v>
      </c>
      <c r="L41" s="23" t="n">
        <v>228.5201514202604</v>
      </c>
      <c r="M41" s="24" t="n">
        <v>0.7230923424476087</v>
      </c>
      <c r="N41" s="23" t="n">
        <v>62.42268624230979</v>
      </c>
      <c r="O41" s="23" t="n">
        <v>22.95520020283268</v>
      </c>
      <c r="P41" s="23" t="n">
        <v>20.504861914038</v>
      </c>
      <c r="Q41" s="23" t="n">
        <v>37.1587860496942</v>
      </c>
      <c r="R41" s="23" t="n">
        <v>11.75379549336173</v>
      </c>
      <c r="S41" s="23" t="n">
        <v>3.917931831120574</v>
      </c>
      <c r="T41" s="23" t="n">
        <v>1.28105053687616</v>
      </c>
      <c r="U41" s="23" t="n">
        <v>1.512494212690621</v>
      </c>
      <c r="V41" s="23" t="n">
        <v>1.338551137602266</v>
      </c>
      <c r="W41" s="23" t="n">
        <v>1.789172341459562</v>
      </c>
      <c r="X41" s="24" t="n">
        <v>0.1234290953248546</v>
      </c>
      <c r="Y41" s="24" t="n">
        <v>0.1008815229746384</v>
      </c>
      <c r="Z41" s="23" t="n">
        <v>-58.87155982998487</v>
      </c>
    </row>
    <row r="42">
      <c r="D42" t="inlineStr">
        <is>
          <t>15: Actual history</t>
        </is>
      </c>
      <c r="J42" s="23" t="n">
        <v>885.2146145503616</v>
      </c>
      <c r="K42" s="23" t="n">
        <v>629.9496747784333</v>
      </c>
      <c r="L42" s="23" t="n">
        <v>227.962974634837</v>
      </c>
      <c r="M42" s="24" t="n">
        <v>0.7230245969680745</v>
      </c>
      <c r="N42" s="23" t="n">
        <v>62.42268624230979</v>
      </c>
      <c r="O42" s="23" t="n">
        <v>22.95520020283268</v>
      </c>
      <c r="P42" s="23" t="n">
        <v>20.504861914038</v>
      </c>
      <c r="Q42" s="23" t="n">
        <v>34.9300789080004</v>
      </c>
      <c r="R42" s="23" t="n">
        <v>10.08226513709138</v>
      </c>
      <c r="S42" s="23" t="n">
        <v>3.360755045697124</v>
      </c>
      <c r="T42" s="23" t="n">
        <v>0.914821132839129</v>
      </c>
      <c r="U42" s="23" t="n">
        <v>1.502061011728289</v>
      </c>
      <c r="V42" s="23" t="n">
        <v>1.467772653590892</v>
      </c>
      <c r="W42" s="23" t="n">
        <v>1.695262235453761</v>
      </c>
      <c r="X42" s="24" t="n">
        <v>0.1240909219314662</v>
      </c>
      <c r="Y42" s="24" t="n">
        <v>0.1013985438073322</v>
      </c>
      <c r="Z42" s="23" t="n">
        <v>-56.38563187223945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2026-10-03T23:18:51Z</dcterms:created>
  <dcterms:modified xsi:type="dcterms:W3CDTF">2026-10-03T23:18:52Z</dcterms:modified>
</cp:coreProperties>
</file>