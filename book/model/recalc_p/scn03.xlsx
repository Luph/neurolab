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3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6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6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6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6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6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6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6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6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6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6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6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6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6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6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6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6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6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6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6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6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6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6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6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5" t="n">
        <v>8.699999999999999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5" t="n">
        <v>8.699999999999999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9.800000000000001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5" t="n">
        <v>8.699999999999999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9.800000000000001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68.90000000000001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0.02446043211430804</v>
      </c>
      <c r="Q298" s="5" t="n">
        <v>0.02549563991993633</v>
      </c>
      <c r="R298" s="5" t="n">
        <v>0.02675152229066621</v>
      </c>
      <c r="S298" s="5" t="n">
        <v>0.02753984637468513</v>
      </c>
      <c r="T298" s="5" t="n">
        <v>0.0288066694390464</v>
      </c>
      <c r="U298" s="5" t="n">
        <v>0.02972536483920772</v>
      </c>
      <c r="V298" s="5" t="n">
        <v>0.03166730192250924</v>
      </c>
      <c r="W298" s="5" t="n">
        <v>0.03263535190708168</v>
      </c>
      <c r="X298" s="5" t="n">
        <v>0.0317294685115491</v>
      </c>
      <c r="Y298" s="5" t="n">
        <v>0.03174439879630291</v>
      </c>
      <c r="Z298" s="5" t="n">
        <v>0.03305950431870376</v>
      </c>
      <c r="AA298" s="5" t="n">
        <v>0.03402426353926975</v>
      </c>
      <c r="AB298" s="5" t="n">
        <v>0.03564974851234601</v>
      </c>
      <c r="AC298" s="5" t="n">
        <v>0.03683076964636899</v>
      </c>
      <c r="AD298" s="5" t="n">
        <v>0.0402165127561107</v>
      </c>
      <c r="AE298" s="5" t="n">
        <v>0.04194504016536777</v>
      </c>
      <c r="AF298" s="5" t="n">
        <v>0.04341654712966558</v>
      </c>
      <c r="AG298" s="5" t="n">
        <v>0.04422683953596448</v>
      </c>
      <c r="AH298" s="5" t="n">
        <v>0.0464470950071792</v>
      </c>
      <c r="AI298" s="5" t="n">
        <v>0.04781089882837024</v>
      </c>
      <c r="AJ298" s="5" t="n">
        <v>0.05011909730654722</v>
      </c>
      <c r="AK298" s="5" t="n">
        <v>0.05174136373715012</v>
      </c>
      <c r="AL298" s="5" t="n">
        <v>0.05486337334066368</v>
      </c>
      <c r="AM298" s="5" t="n">
        <v>0.05600370673381757</v>
      </c>
      <c r="AN298" s="5" t="n">
        <v>0.04620239321839347</v>
      </c>
      <c r="AO298" s="5" t="n">
        <v>0.04688685010878882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0.02492121667112088</v>
      </c>
      <c r="R299" s="5" t="n">
        <v>0.02664660047040042</v>
      </c>
      <c r="S299" s="5" t="n">
        <v>0.02759604458467765</v>
      </c>
      <c r="T299" s="5" t="n">
        <v>0.02888825064959648</v>
      </c>
      <c r="U299" s="5" t="n">
        <v>0.0296987112931962</v>
      </c>
      <c r="V299" s="5" t="n">
        <v>0.03105885768561841</v>
      </c>
      <c r="W299" s="5" t="n">
        <v>0.03277706730010246</v>
      </c>
      <c r="X299" s="5" t="n">
        <v>0.03427956112200796</v>
      </c>
      <c r="Y299" s="5" t="n">
        <v>0.03185352351247105</v>
      </c>
      <c r="Z299" s="5" t="n">
        <v>0.03335144112570533</v>
      </c>
      <c r="AA299" s="5" t="n">
        <v>0.03404882778677493</v>
      </c>
      <c r="AB299" s="5" t="n">
        <v>0.03570569600105964</v>
      </c>
      <c r="AC299" s="5" t="n">
        <v>0.03672091019892312</v>
      </c>
      <c r="AD299" s="5" t="n">
        <v>0.0384689461355592</v>
      </c>
      <c r="AE299" s="5" t="n">
        <v>0.04158438492613827</v>
      </c>
      <c r="AF299" s="5" t="n">
        <v>0.04382240991310483</v>
      </c>
      <c r="AG299" s="5" t="n">
        <v>0.04413949061350413</v>
      </c>
      <c r="AH299" s="5" t="n">
        <v>0.04642087223316833</v>
      </c>
      <c r="AI299" s="5" t="n">
        <v>0.04787232137396746</v>
      </c>
      <c r="AJ299" s="5" t="n">
        <v>0.0502195640539474</v>
      </c>
      <c r="AK299" s="5" t="n">
        <v>0.05170891802557741</v>
      </c>
      <c r="AL299" s="5" t="n">
        <v>0.0541382044749565</v>
      </c>
      <c r="AM299" s="5" t="n">
        <v>0.05666149382313952</v>
      </c>
      <c r="AN299" s="5" t="n">
        <v>0.05940104456083106</v>
      </c>
      <c r="AO299" s="5" t="n">
        <v>0.05801564146445255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0.01109281170584355</v>
      </c>
      <c r="Y300" s="5" t="n">
        <v>0.01611192821167361</v>
      </c>
      <c r="Z300" s="5" t="n">
        <v>0.01761625979950614</v>
      </c>
      <c r="AA300" s="5" t="n">
        <v>0.01756090365083943</v>
      </c>
      <c r="AB300" s="5" t="n">
        <v>0.01888075218483377</v>
      </c>
      <c r="AC300" s="5" t="n">
        <v>0.01890834059725892</v>
      </c>
      <c r="AD300" s="5" t="n">
        <v>0.02002427691925613</v>
      </c>
      <c r="AE300" s="5" t="n">
        <v>0.0220425537786885</v>
      </c>
      <c r="AF300" s="5" t="n">
        <v>0.02353641033974216</v>
      </c>
      <c r="AG300" s="5" t="n">
        <v>0.02376200405504096</v>
      </c>
      <c r="AH300" s="5" t="n">
        <v>0.02514405847890659</v>
      </c>
      <c r="AI300" s="5" t="n">
        <v>0.02522742917041925</v>
      </c>
      <c r="AJ300" s="5" t="n">
        <v>0.02649633835540665</v>
      </c>
      <c r="AK300" s="5" t="n">
        <v>0.02661192441658703</v>
      </c>
      <c r="AL300" s="5" t="n">
        <v>0.02773427333606693</v>
      </c>
      <c r="AM300" s="5" t="n">
        <v>0.02874043283146949</v>
      </c>
      <c r="AN300" s="5" t="n">
        <v>0.0299976714643956</v>
      </c>
      <c r="AO300" s="5" t="n">
        <v>0.02696870435180381</v>
      </c>
      <c r="AP300" s="5" t="n">
        <v>0.09367671694203662</v>
      </c>
      <c r="AQ300" s="5" t="n">
        <v>0.08896197241765595</v>
      </c>
      <c r="AR300" s="5" t="n">
        <v>0.09361458458293083</v>
      </c>
      <c r="AS300" s="5" t="n">
        <v>0.09576367135514924</v>
      </c>
      <c r="AT300" s="5" t="n">
        <v>0.1003452008485892</v>
      </c>
      <c r="AU300" s="5" t="n">
        <v>0.1211807802058968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506.6047800584543</v>
      </c>
      <c r="Q301" s="5" t="n">
        <v>494.2130082270505</v>
      </c>
      <c r="R301" s="5" t="n">
        <v>481.2967951729616</v>
      </c>
      <c r="S301" s="5" t="n">
        <v>467.7443461066698</v>
      </c>
      <c r="T301" s="5" t="n">
        <v>453.7925282911789</v>
      </c>
      <c r="U301" s="5" t="n">
        <v>439.1989318557941</v>
      </c>
      <c r="V301" s="5" t="n">
        <v>424.13991993927</v>
      </c>
      <c r="W301" s="5" t="n">
        <v>408.0971134137725</v>
      </c>
      <c r="X301" s="5" t="n">
        <v>391.5638881387553</v>
      </c>
      <c r="Y301" s="5" t="n">
        <v>375.4895877220902</v>
      </c>
      <c r="Z301" s="5" t="n">
        <v>359.4077235518013</v>
      </c>
      <c r="AA301" s="5" t="n">
        <v>342.6596206375829</v>
      </c>
      <c r="AB301" s="5" t="n">
        <v>325.4227660906203</v>
      </c>
      <c r="AC301" s="5" t="n">
        <v>307.362433086384</v>
      </c>
      <c r="AD301" s="5" t="n">
        <v>288.7037891303016</v>
      </c>
      <c r="AE301" s="5" t="n">
        <v>268.3299115307742</v>
      </c>
      <c r="AF301" s="5" t="n">
        <v>247.080353683255</v>
      </c>
      <c r="AG301" s="5" t="n">
        <v>225.0853233737332</v>
      </c>
      <c r="AH301" s="5" t="n">
        <v>202.6797950579354</v>
      </c>
      <c r="AI301" s="5" t="n">
        <v>179.1494747074693</v>
      </c>
      <c r="AJ301" s="5" t="n">
        <v>154.9282448221257</v>
      </c>
      <c r="AK301" s="5" t="n">
        <v>129.5376705544141</v>
      </c>
      <c r="AL301" s="5" t="n">
        <v>103.3252483584307</v>
      </c>
      <c r="AM301" s="5" t="n">
        <v>75.53120117391893</v>
      </c>
      <c r="AN301" s="5" t="n">
        <v>47.15945564157511</v>
      </c>
      <c r="AO301" s="5" t="n">
        <v>23.75310238699667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5" t="n">
        <v>93.8</v>
      </c>
      <c r="K302" s="5" t="n">
        <v>92.90000000000001</v>
      </c>
      <c r="L302" s="5" t="n">
        <v>93.8</v>
      </c>
      <c r="M302" s="5" t="n">
        <v>90.59999999999999</v>
      </c>
      <c r="N302" s="5" t="n">
        <v>93.8</v>
      </c>
      <c r="O302" s="5" t="n">
        <v>92.90000000000001</v>
      </c>
      <c r="P302" s="5" t="n">
        <v>93.8</v>
      </c>
      <c r="Q302" s="5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1.909166666666667</v>
      </c>
      <c r="AK308" s="5" t="n">
        <v>1.909166666666667</v>
      </c>
      <c r="AL308" s="5" t="n">
        <v>1.909166666666667</v>
      </c>
      <c r="AM308" s="5" t="n">
        <v>2.454166666666667</v>
      </c>
      <c r="AN308" s="5" t="n">
        <v>2.454166666666667</v>
      </c>
      <c r="AO308" s="5" t="n">
        <v>2.454166666666667</v>
      </c>
      <c r="AP308" s="5" t="n">
        <v>0.545</v>
      </c>
      <c r="AQ308" s="5" t="n">
        <v>8.112142857142857</v>
      </c>
      <c r="AR308" s="5" t="n">
        <v>6.692142857142858</v>
      </c>
      <c r="AS308" s="5" t="n">
        <v>7.147142857142857</v>
      </c>
      <c r="AT308" s="5" t="n">
        <v>6.147142857142857</v>
      </c>
      <c r="AU308" s="5" t="n">
        <v>8.787142857142857</v>
      </c>
      <c r="AV308" s="5" t="n">
        <v>6.832142857142857</v>
      </c>
      <c r="AW308" s="5" t="n">
        <v>15.10214285714286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5" t="n">
        <v>0</v>
      </c>
      <c r="K309" s="5" t="n">
        <v>72.03829474521896</v>
      </c>
      <c r="L309" s="5" t="n">
        <v>73.51887276343012</v>
      </c>
      <c r="M309" s="5" t="n">
        <v>75.40617553902828</v>
      </c>
      <c r="N309" s="5" t="n">
        <v>78.07421473717562</v>
      </c>
      <c r="O309" s="5" t="n">
        <v>81.91599308048065</v>
      </c>
      <c r="P309" s="5" t="n">
        <v>87.21000268067854</v>
      </c>
      <c r="Q309" s="5" t="n">
        <v>94.11618703202072</v>
      </c>
      <c r="R309" s="5" t="n">
        <v>102.8823415907884</v>
      </c>
      <c r="S309" s="5" t="n">
        <v>113.5022413334215</v>
      </c>
      <c r="T309" s="5" t="n">
        <v>126.0097195597594</v>
      </c>
      <c r="U309" s="5" t="n">
        <v>140.2836182208805</v>
      </c>
      <c r="V309" s="5" t="n">
        <v>156.2511438360465</v>
      </c>
      <c r="W309" s="5" t="n">
        <v>173.7077024568702</v>
      </c>
      <c r="X309" s="5" t="n">
        <v>192.4025609545302</v>
      </c>
      <c r="Y309" s="5" t="n">
        <v>212.1224961922896</v>
      </c>
      <c r="Z309" s="5" t="n">
        <v>232.5249987992842</v>
      </c>
      <c r="AA309" s="5" t="n">
        <v>253.3550550829947</v>
      </c>
      <c r="AB309" s="5" t="n">
        <v>274.9625112136583</v>
      </c>
      <c r="AC309" s="5" t="n">
        <v>295.573347969675</v>
      </c>
      <c r="AD309" s="5" t="n">
        <v>315.6942886417129</v>
      </c>
      <c r="AE309" s="5" t="n">
        <v>334.9285707017309</v>
      </c>
      <c r="AF309" s="5" t="n">
        <v>353.0762113009259</v>
      </c>
      <c r="AG309" s="5" t="n">
        <v>369.8270855783692</v>
      </c>
      <c r="AH309" s="5" t="n">
        <v>385.0658631524328</v>
      </c>
      <c r="AI309" s="5" t="n">
        <v>398.6100572520498</v>
      </c>
      <c r="AJ309" s="5" t="n">
        <v>410.3341888433459</v>
      </c>
      <c r="AK309" s="5" t="n">
        <v>420.3015849535684</v>
      </c>
      <c r="AL309" s="5" t="n">
        <v>428.480478068478</v>
      </c>
      <c r="AM309" s="5" t="n">
        <v>435.0832520222062</v>
      </c>
      <c r="AN309" s="5" t="n">
        <v>440.2743361688925</v>
      </c>
      <c r="AO309" s="5" t="n">
        <v>444.2027041636388</v>
      </c>
      <c r="AP309" s="5" t="n">
        <v>447.4816350572161</v>
      </c>
      <c r="AQ309" s="5" t="n">
        <v>479.6249919693773</v>
      </c>
      <c r="AR309" s="5" t="n">
        <v>504.4002583438451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9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10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9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10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10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10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10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10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10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10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10">
        <f>I20+1</f>
        <v/>
      </c>
      <c r="K20" s="10">
        <f>J20+1</f>
        <v/>
      </c>
      <c r="L20" s="10">
        <f>K20+1</f>
        <v/>
      </c>
      <c r="M20" s="10">
        <f>L20+1</f>
        <v/>
      </c>
      <c r="N20" s="10">
        <f>M20+1</f>
        <v/>
      </c>
      <c r="O20" s="10">
        <f>N20+1</f>
        <v/>
      </c>
      <c r="P20" s="10">
        <f>O20+1</f>
        <v/>
      </c>
      <c r="Q20" s="10">
        <f>P20+1</f>
        <v/>
      </c>
      <c r="R20" s="10">
        <f>Q20+1</f>
        <v/>
      </c>
      <c r="S20" s="10">
        <f>R20+1</f>
        <v/>
      </c>
      <c r="T20" s="10">
        <f>S20+1</f>
        <v/>
      </c>
      <c r="U20" s="10">
        <f>T20+1</f>
        <v/>
      </c>
      <c r="V20" s="10">
        <f>U20+1</f>
        <v/>
      </c>
      <c r="W20" s="10">
        <f>V20+1</f>
        <v/>
      </c>
      <c r="X20" s="10">
        <f>W20+1</f>
        <v/>
      </c>
      <c r="Y20" s="10">
        <f>X20+1</f>
        <v/>
      </c>
      <c r="Z20" s="10">
        <f>Y20+1</f>
        <v/>
      </c>
      <c r="AA20" s="10">
        <f>Z20+1</f>
        <v/>
      </c>
      <c r="AB20" s="10">
        <f>AA20+1</f>
        <v/>
      </c>
      <c r="AC20" s="10">
        <f>AB20+1</f>
        <v/>
      </c>
      <c r="AD20" s="10">
        <f>AC20+1</f>
        <v/>
      </c>
      <c r="AE20" s="10">
        <f>AD20+1</f>
        <v/>
      </c>
      <c r="AF20" s="10">
        <f>AE20+1</f>
        <v/>
      </c>
      <c r="AG20" s="10">
        <f>AF20+1</f>
        <v/>
      </c>
      <c r="AH20" s="10">
        <f>AG20+1</f>
        <v/>
      </c>
      <c r="AI20" s="10">
        <f>AH20+1</f>
        <v/>
      </c>
      <c r="AJ20" s="10">
        <f>AI20+1</f>
        <v/>
      </c>
      <c r="AK20" s="10">
        <f>AJ20+1</f>
        <v/>
      </c>
      <c r="AL20" s="10">
        <f>AK20+1</f>
        <v/>
      </c>
      <c r="AM20" s="10">
        <f>AL20+1</f>
        <v/>
      </c>
      <c r="AN20" s="10">
        <f>AM20+1</f>
        <v/>
      </c>
      <c r="AO20" s="10">
        <f>AN20+1</f>
        <v/>
      </c>
      <c r="AP20" s="10">
        <f>AO20+1</f>
        <v/>
      </c>
      <c r="AQ20" s="10">
        <f>AP20+1</f>
        <v/>
      </c>
      <c r="AR20" s="10">
        <f>AQ20+1</f>
        <v/>
      </c>
      <c r="AS20" s="10">
        <f>AR20+1</f>
        <v/>
      </c>
      <c r="AT20" s="10">
        <f>AS20+1</f>
        <v/>
      </c>
      <c r="AU20" s="10">
        <f>AT20+1</f>
        <v/>
      </c>
      <c r="AV20" s="10">
        <f>AU20+1</f>
        <v/>
      </c>
      <c r="AW20" s="10">
        <f>AV20+1</f>
        <v/>
      </c>
      <c r="AX20" s="10">
        <f>AW20+1</f>
        <v/>
      </c>
      <c r="AY20" s="10">
        <f>AX20+1</f>
        <v/>
      </c>
      <c r="AZ20" s="10">
        <f>AY20+1</f>
        <v/>
      </c>
      <c r="BA20" s="10">
        <f>AZ20+1</f>
        <v/>
      </c>
      <c r="BB20" s="10">
        <f>BA20+1</f>
        <v/>
      </c>
      <c r="BC20" s="10">
        <f>BB20+1</f>
        <v/>
      </c>
      <c r="BD20" s="10">
        <f>BC20+1</f>
        <v/>
      </c>
      <c r="BE20" s="10">
        <f>BD20+1</f>
        <v/>
      </c>
      <c r="BF20" s="10">
        <f>BE20+1</f>
        <v/>
      </c>
      <c r="BG20" s="10">
        <f>BF20+1</f>
        <v/>
      </c>
      <c r="BH20" s="10">
        <f>BG20+1</f>
        <v/>
      </c>
      <c r="BI20" s="10">
        <f>BH20+1</f>
        <v/>
      </c>
      <c r="BJ20" s="10">
        <f>BI20+1</f>
        <v/>
      </c>
      <c r="BK20" s="10">
        <f>BJ20+1</f>
        <v/>
      </c>
      <c r="BL20" s="10">
        <f>BK20+1</f>
        <v/>
      </c>
      <c r="BM20" s="10">
        <f>BL20+1</f>
        <v/>
      </c>
      <c r="BN20" s="10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9">
        <f>IF(J20=1,Inputs!$F$189,EDATE(I22,J21))</f>
        <v/>
      </c>
      <c r="K22" s="9">
        <f>IF(K20=1,Inputs!$F$189,EDATE(J22,K21))</f>
        <v/>
      </c>
      <c r="L22" s="9">
        <f>IF(L20=1,Inputs!$F$189,EDATE(K22,L21))</f>
        <v/>
      </c>
      <c r="M22" s="9">
        <f>IF(M20=1,Inputs!$F$189,EDATE(L22,M21))</f>
        <v/>
      </c>
      <c r="N22" s="9">
        <f>IF(N20=1,Inputs!$F$189,EDATE(M22,N21))</f>
        <v/>
      </c>
      <c r="O22" s="9">
        <f>IF(O20=1,Inputs!$F$189,EDATE(N22,O21))</f>
        <v/>
      </c>
      <c r="P22" s="9">
        <f>IF(P20=1,Inputs!$F$189,EDATE(O22,P21))</f>
        <v/>
      </c>
      <c r="Q22" s="9">
        <f>IF(Q20=1,Inputs!$F$189,EDATE(P22,Q21))</f>
        <v/>
      </c>
      <c r="R22" s="9">
        <f>IF(R20=1,Inputs!$F$189,EDATE(Q22,R21))</f>
        <v/>
      </c>
      <c r="S22" s="9">
        <f>IF(S20=1,Inputs!$F$189,EDATE(R22,S21))</f>
        <v/>
      </c>
      <c r="T22" s="9">
        <f>IF(T20=1,Inputs!$F$189,EDATE(S22,T21))</f>
        <v/>
      </c>
      <c r="U22" s="9">
        <f>IF(U20=1,Inputs!$F$189,EDATE(T22,U21))</f>
        <v/>
      </c>
      <c r="V22" s="9">
        <f>IF(V20=1,Inputs!$F$189,EDATE(U22,V21))</f>
        <v/>
      </c>
      <c r="W22" s="9">
        <f>IF(W20=1,Inputs!$F$189,EDATE(V22,W21))</f>
        <v/>
      </c>
      <c r="X22" s="9">
        <f>IF(X20=1,Inputs!$F$189,EDATE(W22,X21))</f>
        <v/>
      </c>
      <c r="Y22" s="9">
        <f>IF(Y20=1,Inputs!$F$189,EDATE(X22,Y21))</f>
        <v/>
      </c>
      <c r="Z22" s="9">
        <f>IF(Z20=1,Inputs!$F$189,EDATE(Y22,Z21))</f>
        <v/>
      </c>
      <c r="AA22" s="9">
        <f>IF(AA20=1,Inputs!$F$189,EDATE(Z22,AA21))</f>
        <v/>
      </c>
      <c r="AB22" s="9">
        <f>IF(AB20=1,Inputs!$F$189,EDATE(AA22,AB21))</f>
        <v/>
      </c>
      <c r="AC22" s="9">
        <f>IF(AC20=1,Inputs!$F$189,EDATE(AB22,AC21))</f>
        <v/>
      </c>
      <c r="AD22" s="9">
        <f>IF(AD20=1,Inputs!$F$189,EDATE(AC22,AD21))</f>
        <v/>
      </c>
      <c r="AE22" s="9">
        <f>IF(AE20=1,Inputs!$F$189,EDATE(AD22,AE21))</f>
        <v/>
      </c>
      <c r="AF22" s="9">
        <f>IF(AF20=1,Inputs!$F$189,EDATE(AE22,AF21))</f>
        <v/>
      </c>
      <c r="AG22" s="9">
        <f>IF(AG20=1,Inputs!$F$189,EDATE(AF22,AG21))</f>
        <v/>
      </c>
      <c r="AH22" s="9">
        <f>IF(AH20=1,Inputs!$F$189,EDATE(AG22,AH21))</f>
        <v/>
      </c>
      <c r="AI22" s="9">
        <f>IF(AI20=1,Inputs!$F$189,EDATE(AH22,AI21))</f>
        <v/>
      </c>
      <c r="AJ22" s="9">
        <f>IF(AJ20=1,Inputs!$F$189,EDATE(AI22,AJ21))</f>
        <v/>
      </c>
      <c r="AK22" s="9">
        <f>IF(AK20=1,Inputs!$F$189,EDATE(AJ22,AK21))</f>
        <v/>
      </c>
      <c r="AL22" s="9">
        <f>IF(AL20=1,Inputs!$F$189,EDATE(AK22,AL21))</f>
        <v/>
      </c>
      <c r="AM22" s="9">
        <f>IF(AM20=1,Inputs!$F$189,EDATE(AL22,AM21))</f>
        <v/>
      </c>
      <c r="AN22" s="9">
        <f>IF(AN20=1,Inputs!$F$189,EDATE(AM22,AN21))</f>
        <v/>
      </c>
      <c r="AO22" s="9">
        <f>IF(AO20=1,Inputs!$F$189,EDATE(AN22,AO21))</f>
        <v/>
      </c>
      <c r="AP22" s="9">
        <f>IF(AP20=1,Inputs!$F$189,EDATE(AO22,AP21))</f>
        <v/>
      </c>
      <c r="AQ22" s="9">
        <f>IF(AQ20=1,Inputs!$F$189,EDATE(AP22,AQ21))</f>
        <v/>
      </c>
      <c r="AR22" s="9">
        <f>IF(AR20=1,Inputs!$F$189,EDATE(AQ22,AR21))</f>
        <v/>
      </c>
      <c r="AS22" s="9">
        <f>IF(AS20=1,Inputs!$F$189,EDATE(AR22,AS21))</f>
        <v/>
      </c>
      <c r="AT22" s="9">
        <f>IF(AT20=1,Inputs!$F$189,EDATE(AS22,AT21))</f>
        <v/>
      </c>
      <c r="AU22" s="9">
        <f>IF(AU20=1,Inputs!$F$189,EDATE(AT22,AU21))</f>
        <v/>
      </c>
      <c r="AV22" s="9">
        <f>IF(AV20=1,Inputs!$F$189,EDATE(AU22,AV21))</f>
        <v/>
      </c>
      <c r="AW22" s="9">
        <f>IF(AW20=1,Inputs!$F$189,EDATE(AV22,AW21))</f>
        <v/>
      </c>
      <c r="AX22" s="9">
        <f>IF(AX20=1,Inputs!$F$189,EDATE(AW22,AX21))</f>
        <v/>
      </c>
      <c r="AY22" s="9">
        <f>IF(AY20=1,Inputs!$F$189,EDATE(AX22,AY21))</f>
        <v/>
      </c>
      <c r="AZ22" s="9">
        <f>IF(AZ20=1,Inputs!$F$189,EDATE(AY22,AZ21))</f>
        <v/>
      </c>
      <c r="BA22" s="9">
        <f>IF(BA20=1,Inputs!$F$189,EDATE(AZ22,BA21))</f>
        <v/>
      </c>
      <c r="BB22" s="9">
        <f>IF(BB20=1,Inputs!$F$189,EDATE(BA22,BB21))</f>
        <v/>
      </c>
      <c r="BC22" s="9">
        <f>IF(BC20=1,Inputs!$F$189,EDATE(BB22,BC21))</f>
        <v/>
      </c>
      <c r="BD22" s="9">
        <f>IF(BD20=1,Inputs!$F$189,EDATE(BC22,BD21))</f>
        <v/>
      </c>
      <c r="BE22" s="9">
        <f>IF(BE20=1,Inputs!$F$189,EDATE(BD22,BE21))</f>
        <v/>
      </c>
      <c r="BF22" s="9">
        <f>IF(BF20=1,Inputs!$F$189,EDATE(BE22,BF21))</f>
        <v/>
      </c>
      <c r="BG22" s="9">
        <f>IF(BG20=1,Inputs!$F$189,EDATE(BF22,BG21))</f>
        <v/>
      </c>
      <c r="BH22" s="9">
        <f>IF(BH20=1,Inputs!$F$189,EDATE(BG22,BH21))</f>
        <v/>
      </c>
      <c r="BI22" s="9">
        <f>IF(BI20=1,Inputs!$F$189,EDATE(BH22,BI21))</f>
        <v/>
      </c>
      <c r="BJ22" s="9">
        <f>IF(BJ20=1,Inputs!$F$189,EDATE(BI22,BJ21))</f>
        <v/>
      </c>
      <c r="BK22" s="9">
        <f>IF(BK20=1,Inputs!$F$189,EDATE(BJ22,BK21))</f>
        <v/>
      </c>
      <c r="BL22" s="9">
        <f>IF(BL20=1,Inputs!$F$189,EDATE(BK22,BL21))</f>
        <v/>
      </c>
      <c r="BM22" s="9">
        <f>IF(BM20=1,Inputs!$F$189,EDATE(BL22,BM21))</f>
        <v/>
      </c>
      <c r="BN22" s="9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9">
        <f>EOMONTH(J22,J21-1)</f>
        <v/>
      </c>
      <c r="K23" s="9">
        <f>EOMONTH(K22,K21-1)</f>
        <v/>
      </c>
      <c r="L23" s="9">
        <f>EOMONTH(L22,L21-1)</f>
        <v/>
      </c>
      <c r="M23" s="9">
        <f>EOMONTH(M22,M21-1)</f>
        <v/>
      </c>
      <c r="N23" s="9">
        <f>EOMONTH(N22,N21-1)</f>
        <v/>
      </c>
      <c r="O23" s="9">
        <f>EOMONTH(O22,O21-1)</f>
        <v/>
      </c>
      <c r="P23" s="9">
        <f>EOMONTH(P22,P21-1)</f>
        <v/>
      </c>
      <c r="Q23" s="9">
        <f>EOMONTH(Q22,Q21-1)</f>
        <v/>
      </c>
      <c r="R23" s="9">
        <f>EOMONTH(R22,R21-1)</f>
        <v/>
      </c>
      <c r="S23" s="9">
        <f>EOMONTH(S22,S21-1)</f>
        <v/>
      </c>
      <c r="T23" s="9">
        <f>EOMONTH(T22,T21-1)</f>
        <v/>
      </c>
      <c r="U23" s="9">
        <f>EOMONTH(U22,U21-1)</f>
        <v/>
      </c>
      <c r="V23" s="9">
        <f>EOMONTH(V22,V21-1)</f>
        <v/>
      </c>
      <c r="W23" s="9">
        <f>EOMONTH(W22,W21-1)</f>
        <v/>
      </c>
      <c r="X23" s="9">
        <f>EOMONTH(X22,X21-1)</f>
        <v/>
      </c>
      <c r="Y23" s="9">
        <f>EOMONTH(Y22,Y21-1)</f>
        <v/>
      </c>
      <c r="Z23" s="9">
        <f>EOMONTH(Z22,Z21-1)</f>
        <v/>
      </c>
      <c r="AA23" s="9">
        <f>EOMONTH(AA22,AA21-1)</f>
        <v/>
      </c>
      <c r="AB23" s="9">
        <f>EOMONTH(AB22,AB21-1)</f>
        <v/>
      </c>
      <c r="AC23" s="9">
        <f>EOMONTH(AC22,AC21-1)</f>
        <v/>
      </c>
      <c r="AD23" s="9">
        <f>EOMONTH(AD22,AD21-1)</f>
        <v/>
      </c>
      <c r="AE23" s="9">
        <f>EOMONTH(AE22,AE21-1)</f>
        <v/>
      </c>
      <c r="AF23" s="9">
        <f>EOMONTH(AF22,AF21-1)</f>
        <v/>
      </c>
      <c r="AG23" s="9">
        <f>EOMONTH(AG22,AG21-1)</f>
        <v/>
      </c>
      <c r="AH23" s="9">
        <f>EOMONTH(AH22,AH21-1)</f>
        <v/>
      </c>
      <c r="AI23" s="9">
        <f>EOMONTH(AI22,AI21-1)</f>
        <v/>
      </c>
      <c r="AJ23" s="9">
        <f>EOMONTH(AJ22,AJ21-1)</f>
        <v/>
      </c>
      <c r="AK23" s="9">
        <f>EOMONTH(AK22,AK21-1)</f>
        <v/>
      </c>
      <c r="AL23" s="9">
        <f>EOMONTH(AL22,AL21-1)</f>
        <v/>
      </c>
      <c r="AM23" s="9">
        <f>EOMONTH(AM22,AM21-1)</f>
        <v/>
      </c>
      <c r="AN23" s="9">
        <f>EOMONTH(AN22,AN21-1)</f>
        <v/>
      </c>
      <c r="AO23" s="9">
        <f>EOMONTH(AO22,AO21-1)</f>
        <v/>
      </c>
      <c r="AP23" s="9">
        <f>EOMONTH(AP22,AP21-1)</f>
        <v/>
      </c>
      <c r="AQ23" s="9">
        <f>EOMONTH(AQ22,AQ21-1)</f>
        <v/>
      </c>
      <c r="AR23" s="9">
        <f>EOMONTH(AR22,AR21-1)</f>
        <v/>
      </c>
      <c r="AS23" s="9">
        <f>EOMONTH(AS22,AS21-1)</f>
        <v/>
      </c>
      <c r="AT23" s="9">
        <f>EOMONTH(AT22,AT21-1)</f>
        <v/>
      </c>
      <c r="AU23" s="9">
        <f>EOMONTH(AU22,AU21-1)</f>
        <v/>
      </c>
      <c r="AV23" s="9">
        <f>EOMONTH(AV22,AV21-1)</f>
        <v/>
      </c>
      <c r="AW23" s="9">
        <f>EOMONTH(AW22,AW21-1)</f>
        <v/>
      </c>
      <c r="AX23" s="9">
        <f>EOMONTH(AX22,AX21-1)</f>
        <v/>
      </c>
      <c r="AY23" s="9">
        <f>EOMONTH(AY22,AY21-1)</f>
        <v/>
      </c>
      <c r="AZ23" s="9">
        <f>EOMONTH(AZ22,AZ21-1)</f>
        <v/>
      </c>
      <c r="BA23" s="9">
        <f>EOMONTH(BA22,BA21-1)</f>
        <v/>
      </c>
      <c r="BB23" s="9">
        <f>EOMONTH(BB22,BB21-1)</f>
        <v/>
      </c>
      <c r="BC23" s="9">
        <f>EOMONTH(BC22,BC21-1)</f>
        <v/>
      </c>
      <c r="BD23" s="9">
        <f>EOMONTH(BD22,BD21-1)</f>
        <v/>
      </c>
      <c r="BE23" s="9">
        <f>EOMONTH(BE22,BE21-1)</f>
        <v/>
      </c>
      <c r="BF23" s="9">
        <f>EOMONTH(BF22,BF21-1)</f>
        <v/>
      </c>
      <c r="BG23" s="9">
        <f>EOMONTH(BG22,BG21-1)</f>
        <v/>
      </c>
      <c r="BH23" s="9">
        <f>EOMONTH(BH22,BH21-1)</f>
        <v/>
      </c>
      <c r="BI23" s="9">
        <f>EOMONTH(BI22,BI21-1)</f>
        <v/>
      </c>
      <c r="BJ23" s="9">
        <f>EOMONTH(BJ22,BJ21-1)</f>
        <v/>
      </c>
      <c r="BK23" s="9">
        <f>EOMONTH(BK22,BK21-1)</f>
        <v/>
      </c>
      <c r="BL23" s="9">
        <f>EOMONTH(BL22,BL21-1)</f>
        <v/>
      </c>
      <c r="BM23" s="9">
        <f>EOMONTH(BM22,BM21-1)</f>
        <v/>
      </c>
      <c r="BN23" s="9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6">
        <f>J21/12</f>
        <v/>
      </c>
      <c r="K24" s="6">
        <f>K21/12</f>
        <v/>
      </c>
      <c r="L24" s="6">
        <f>L21/12</f>
        <v/>
      </c>
      <c r="M24" s="6">
        <f>M21/12</f>
        <v/>
      </c>
      <c r="N24" s="6">
        <f>N21/12</f>
        <v/>
      </c>
      <c r="O24" s="6">
        <f>O21/12</f>
        <v/>
      </c>
      <c r="P24" s="6">
        <f>P21/12</f>
        <v/>
      </c>
      <c r="Q24" s="6">
        <f>Q21/12</f>
        <v/>
      </c>
      <c r="R24" s="6">
        <f>R21/12</f>
        <v/>
      </c>
      <c r="S24" s="6">
        <f>S21/12</f>
        <v/>
      </c>
      <c r="T24" s="6">
        <f>T21/12</f>
        <v/>
      </c>
      <c r="U24" s="6">
        <f>U21/12</f>
        <v/>
      </c>
      <c r="V24" s="6">
        <f>V21/12</f>
        <v/>
      </c>
      <c r="W24" s="6">
        <f>W21/12</f>
        <v/>
      </c>
      <c r="X24" s="6">
        <f>X21/12</f>
        <v/>
      </c>
      <c r="Y24" s="6">
        <f>Y21/12</f>
        <v/>
      </c>
      <c r="Z24" s="6">
        <f>Z21/12</f>
        <v/>
      </c>
      <c r="AA24" s="6">
        <f>AA21/12</f>
        <v/>
      </c>
      <c r="AB24" s="6">
        <f>AB21/12</f>
        <v/>
      </c>
      <c r="AC24" s="6">
        <f>AC21/12</f>
        <v/>
      </c>
      <c r="AD24" s="6">
        <f>AD21/12</f>
        <v/>
      </c>
      <c r="AE24" s="6">
        <f>AE21/12</f>
        <v/>
      </c>
      <c r="AF24" s="6">
        <f>AF21/12</f>
        <v/>
      </c>
      <c r="AG24" s="6">
        <f>AG21/12</f>
        <v/>
      </c>
      <c r="AH24" s="6">
        <f>AH21/12</f>
        <v/>
      </c>
      <c r="AI24" s="6">
        <f>AI21/12</f>
        <v/>
      </c>
      <c r="AJ24" s="6">
        <f>AJ21/12</f>
        <v/>
      </c>
      <c r="AK24" s="6">
        <f>AK21/12</f>
        <v/>
      </c>
      <c r="AL24" s="6">
        <f>AL21/12</f>
        <v/>
      </c>
      <c r="AM24" s="6">
        <f>AM21/12</f>
        <v/>
      </c>
      <c r="AN24" s="6">
        <f>AN21/12</f>
        <v/>
      </c>
      <c r="AO24" s="6">
        <f>AO21/12</f>
        <v/>
      </c>
      <c r="AP24" s="6">
        <f>AP21/12</f>
        <v/>
      </c>
      <c r="AQ24" s="6">
        <f>AQ21/12</f>
        <v/>
      </c>
      <c r="AR24" s="6">
        <f>AR21/12</f>
        <v/>
      </c>
      <c r="AS24" s="6">
        <f>AS21/12</f>
        <v/>
      </c>
      <c r="AT24" s="6">
        <f>AT21/12</f>
        <v/>
      </c>
      <c r="AU24" s="6">
        <f>AU21/12</f>
        <v/>
      </c>
      <c r="AV24" s="6">
        <f>AV21/12</f>
        <v/>
      </c>
      <c r="AW24" s="6">
        <f>AW21/12</f>
        <v/>
      </c>
      <c r="AX24" s="6">
        <f>AX21/12</f>
        <v/>
      </c>
      <c r="AY24" s="6">
        <f>AY21/12</f>
        <v/>
      </c>
      <c r="AZ24" s="6">
        <f>AZ21/12</f>
        <v/>
      </c>
      <c r="BA24" s="6">
        <f>BA21/12</f>
        <v/>
      </c>
      <c r="BB24" s="6">
        <f>BB21/12</f>
        <v/>
      </c>
      <c r="BC24" s="6">
        <f>BC21/12</f>
        <v/>
      </c>
      <c r="BD24" s="6">
        <f>BD21/12</f>
        <v/>
      </c>
      <c r="BE24" s="6">
        <f>BE21/12</f>
        <v/>
      </c>
      <c r="BF24" s="6">
        <f>BF21/12</f>
        <v/>
      </c>
      <c r="BG24" s="6">
        <f>BG21/12</f>
        <v/>
      </c>
      <c r="BH24" s="6">
        <f>BH21/12</f>
        <v/>
      </c>
      <c r="BI24" s="6">
        <f>BI21/12</f>
        <v/>
      </c>
      <c r="BJ24" s="6">
        <f>BJ21/12</f>
        <v/>
      </c>
      <c r="BK24" s="6">
        <f>BK21/12</f>
        <v/>
      </c>
      <c r="BL24" s="6">
        <f>BL21/12</f>
        <v/>
      </c>
      <c r="BM24" s="6">
        <f>BM21/12</f>
        <v/>
      </c>
      <c r="BN24" s="6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10">
        <f>J23-J22+1</f>
        <v/>
      </c>
      <c r="K25" s="10">
        <f>K23-K22+1</f>
        <v/>
      </c>
      <c r="L25" s="10">
        <f>L23-L22+1</f>
        <v/>
      </c>
      <c r="M25" s="10">
        <f>M23-M22+1</f>
        <v/>
      </c>
      <c r="N25" s="10">
        <f>N23-N22+1</f>
        <v/>
      </c>
      <c r="O25" s="10">
        <f>O23-O22+1</f>
        <v/>
      </c>
      <c r="P25" s="10">
        <f>P23-P22+1</f>
        <v/>
      </c>
      <c r="Q25" s="10">
        <f>Q23-Q22+1</f>
        <v/>
      </c>
      <c r="R25" s="10">
        <f>R23-R22+1</f>
        <v/>
      </c>
      <c r="S25" s="10">
        <f>S23-S22+1</f>
        <v/>
      </c>
      <c r="T25" s="10">
        <f>T23-T22+1</f>
        <v/>
      </c>
      <c r="U25" s="10">
        <f>U23-U22+1</f>
        <v/>
      </c>
      <c r="V25" s="10">
        <f>V23-V22+1</f>
        <v/>
      </c>
      <c r="W25" s="10">
        <f>W23-W22+1</f>
        <v/>
      </c>
      <c r="X25" s="10">
        <f>X23-X22+1</f>
        <v/>
      </c>
      <c r="Y25" s="10">
        <f>Y23-Y22+1</f>
        <v/>
      </c>
      <c r="Z25" s="10">
        <f>Z23-Z22+1</f>
        <v/>
      </c>
      <c r="AA25" s="10">
        <f>AA23-AA22+1</f>
        <v/>
      </c>
      <c r="AB25" s="10">
        <f>AB23-AB22+1</f>
        <v/>
      </c>
      <c r="AC25" s="10">
        <f>AC23-AC22+1</f>
        <v/>
      </c>
      <c r="AD25" s="10">
        <f>AD23-AD22+1</f>
        <v/>
      </c>
      <c r="AE25" s="10">
        <f>AE23-AE22+1</f>
        <v/>
      </c>
      <c r="AF25" s="10">
        <f>AF23-AF22+1</f>
        <v/>
      </c>
      <c r="AG25" s="10">
        <f>AG23-AG22+1</f>
        <v/>
      </c>
      <c r="AH25" s="10">
        <f>AH23-AH22+1</f>
        <v/>
      </c>
      <c r="AI25" s="10">
        <f>AI23-AI22+1</f>
        <v/>
      </c>
      <c r="AJ25" s="10">
        <f>AJ23-AJ22+1</f>
        <v/>
      </c>
      <c r="AK25" s="10">
        <f>AK23-AK22+1</f>
        <v/>
      </c>
      <c r="AL25" s="10">
        <f>AL23-AL22+1</f>
        <v/>
      </c>
      <c r="AM25" s="10">
        <f>AM23-AM22+1</f>
        <v/>
      </c>
      <c r="AN25" s="10">
        <f>AN23-AN22+1</f>
        <v/>
      </c>
      <c r="AO25" s="10">
        <f>AO23-AO22+1</f>
        <v/>
      </c>
      <c r="AP25" s="10">
        <f>AP23-AP22+1</f>
        <v/>
      </c>
      <c r="AQ25" s="10">
        <f>AQ23-AQ22+1</f>
        <v/>
      </c>
      <c r="AR25" s="10">
        <f>AR23-AR22+1</f>
        <v/>
      </c>
      <c r="AS25" s="10">
        <f>AS23-AS22+1</f>
        <v/>
      </c>
      <c r="AT25" s="10">
        <f>AT23-AT22+1</f>
        <v/>
      </c>
      <c r="AU25" s="10">
        <f>AU23-AU22+1</f>
        <v/>
      </c>
      <c r="AV25" s="10">
        <f>AV23-AV22+1</f>
        <v/>
      </c>
      <c r="AW25" s="10">
        <f>AW23-AW22+1</f>
        <v/>
      </c>
      <c r="AX25" s="10">
        <f>AX23-AX22+1</f>
        <v/>
      </c>
      <c r="AY25" s="10">
        <f>AY23-AY22+1</f>
        <v/>
      </c>
      <c r="AZ25" s="10">
        <f>AZ23-AZ22+1</f>
        <v/>
      </c>
      <c r="BA25" s="10">
        <f>BA23-BA22+1</f>
        <v/>
      </c>
      <c r="BB25" s="10">
        <f>BB23-BB22+1</f>
        <v/>
      </c>
      <c r="BC25" s="10">
        <f>BC23-BC22+1</f>
        <v/>
      </c>
      <c r="BD25" s="10">
        <f>BD23-BD22+1</f>
        <v/>
      </c>
      <c r="BE25" s="10">
        <f>BE23-BE22+1</f>
        <v/>
      </c>
      <c r="BF25" s="10">
        <f>BF23-BF22+1</f>
        <v/>
      </c>
      <c r="BG25" s="10">
        <f>BG23-BG22+1</f>
        <v/>
      </c>
      <c r="BH25" s="10">
        <f>BH23-BH22+1</f>
        <v/>
      </c>
      <c r="BI25" s="10">
        <f>BI23-BI22+1</f>
        <v/>
      </c>
      <c r="BJ25" s="10">
        <f>BJ23-BJ22+1</f>
        <v/>
      </c>
      <c r="BK25" s="10">
        <f>BK23-BK22+1</f>
        <v/>
      </c>
      <c r="BL25" s="10">
        <f>BL23-BL22+1</f>
        <v/>
      </c>
      <c r="BM25" s="10">
        <f>BM23-BM22+1</f>
        <v/>
      </c>
      <c r="BN25" s="10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10">
        <f>YEAR(J22)</f>
        <v/>
      </c>
      <c r="K26" s="10">
        <f>YEAR(K22)</f>
        <v/>
      </c>
      <c r="L26" s="10">
        <f>YEAR(L22)</f>
        <v/>
      </c>
      <c r="M26" s="10">
        <f>YEAR(M22)</f>
        <v/>
      </c>
      <c r="N26" s="10">
        <f>YEAR(N22)</f>
        <v/>
      </c>
      <c r="O26" s="10">
        <f>YEAR(O22)</f>
        <v/>
      </c>
      <c r="P26" s="10">
        <f>YEAR(P22)</f>
        <v/>
      </c>
      <c r="Q26" s="10">
        <f>YEAR(Q22)</f>
        <v/>
      </c>
      <c r="R26" s="10">
        <f>YEAR(R22)</f>
        <v/>
      </c>
      <c r="S26" s="10">
        <f>YEAR(S22)</f>
        <v/>
      </c>
      <c r="T26" s="10">
        <f>YEAR(T22)</f>
        <v/>
      </c>
      <c r="U26" s="10">
        <f>YEAR(U22)</f>
        <v/>
      </c>
      <c r="V26" s="10">
        <f>YEAR(V22)</f>
        <v/>
      </c>
      <c r="W26" s="10">
        <f>YEAR(W22)</f>
        <v/>
      </c>
      <c r="X26" s="10">
        <f>YEAR(X22)</f>
        <v/>
      </c>
      <c r="Y26" s="10">
        <f>YEAR(Y22)</f>
        <v/>
      </c>
      <c r="Z26" s="10">
        <f>YEAR(Z22)</f>
        <v/>
      </c>
      <c r="AA26" s="10">
        <f>YEAR(AA22)</f>
        <v/>
      </c>
      <c r="AB26" s="10">
        <f>YEAR(AB22)</f>
        <v/>
      </c>
      <c r="AC26" s="10">
        <f>YEAR(AC22)</f>
        <v/>
      </c>
      <c r="AD26" s="10">
        <f>YEAR(AD22)</f>
        <v/>
      </c>
      <c r="AE26" s="10">
        <f>YEAR(AE22)</f>
        <v/>
      </c>
      <c r="AF26" s="10">
        <f>YEAR(AF22)</f>
        <v/>
      </c>
      <c r="AG26" s="10">
        <f>YEAR(AG22)</f>
        <v/>
      </c>
      <c r="AH26" s="10">
        <f>YEAR(AH22)</f>
        <v/>
      </c>
      <c r="AI26" s="10">
        <f>YEAR(AI22)</f>
        <v/>
      </c>
      <c r="AJ26" s="10">
        <f>YEAR(AJ22)</f>
        <v/>
      </c>
      <c r="AK26" s="10">
        <f>YEAR(AK22)</f>
        <v/>
      </c>
      <c r="AL26" s="10">
        <f>YEAR(AL22)</f>
        <v/>
      </c>
      <c r="AM26" s="10">
        <f>YEAR(AM22)</f>
        <v/>
      </c>
      <c r="AN26" s="10">
        <f>YEAR(AN22)</f>
        <v/>
      </c>
      <c r="AO26" s="10">
        <f>YEAR(AO22)</f>
        <v/>
      </c>
      <c r="AP26" s="10">
        <f>YEAR(AP22)</f>
        <v/>
      </c>
      <c r="AQ26" s="10">
        <f>YEAR(AQ22)</f>
        <v/>
      </c>
      <c r="AR26" s="10">
        <f>YEAR(AR22)</f>
        <v/>
      </c>
      <c r="AS26" s="10">
        <f>YEAR(AS22)</f>
        <v/>
      </c>
      <c r="AT26" s="10">
        <f>YEAR(AT22)</f>
        <v/>
      </c>
      <c r="AU26" s="10">
        <f>YEAR(AU22)</f>
        <v/>
      </c>
      <c r="AV26" s="10">
        <f>YEAR(AV22)</f>
        <v/>
      </c>
      <c r="AW26" s="10">
        <f>YEAR(AW22)</f>
        <v/>
      </c>
      <c r="AX26" s="10">
        <f>YEAR(AX22)</f>
        <v/>
      </c>
      <c r="AY26" s="10">
        <f>YEAR(AY22)</f>
        <v/>
      </c>
      <c r="AZ26" s="10">
        <f>YEAR(AZ22)</f>
        <v/>
      </c>
      <c r="BA26" s="10">
        <f>YEAR(BA22)</f>
        <v/>
      </c>
      <c r="BB26" s="10">
        <f>YEAR(BB22)</f>
        <v/>
      </c>
      <c r="BC26" s="10">
        <f>YEAR(BC22)</f>
        <v/>
      </c>
      <c r="BD26" s="10">
        <f>YEAR(BD22)</f>
        <v/>
      </c>
      <c r="BE26" s="10">
        <f>YEAR(BE22)</f>
        <v/>
      </c>
      <c r="BF26" s="10">
        <f>YEAR(BF22)</f>
        <v/>
      </c>
      <c r="BG26" s="10">
        <f>YEAR(BG22)</f>
        <v/>
      </c>
      <c r="BH26" s="10">
        <f>YEAR(BH22)</f>
        <v/>
      </c>
      <c r="BI26" s="10">
        <f>YEAR(BI22)</f>
        <v/>
      </c>
      <c r="BJ26" s="10">
        <f>YEAR(BJ22)</f>
        <v/>
      </c>
      <c r="BK26" s="10">
        <f>YEAR(BK22)</f>
        <v/>
      </c>
      <c r="BL26" s="10">
        <f>YEAR(BL22)</f>
        <v/>
      </c>
      <c r="BM26" s="10">
        <f>YEAR(BM22)</f>
        <v/>
      </c>
      <c r="BN26" s="10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10">
        <f>IF(MONTH(J22)=1,1,0)</f>
        <v/>
      </c>
      <c r="K27" s="10">
        <f>IF(MONTH(K22)=1,1,0)</f>
        <v/>
      </c>
      <c r="L27" s="10">
        <f>IF(MONTH(L22)=1,1,0)</f>
        <v/>
      </c>
      <c r="M27" s="10">
        <f>IF(MONTH(M22)=1,1,0)</f>
        <v/>
      </c>
      <c r="N27" s="10">
        <f>IF(MONTH(N22)=1,1,0)</f>
        <v/>
      </c>
      <c r="O27" s="10">
        <f>IF(MONTH(O22)=1,1,0)</f>
        <v/>
      </c>
      <c r="P27" s="10">
        <f>IF(MONTH(P22)=1,1,0)</f>
        <v/>
      </c>
      <c r="Q27" s="10">
        <f>IF(MONTH(Q22)=1,1,0)</f>
        <v/>
      </c>
      <c r="R27" s="10">
        <f>IF(MONTH(R22)=1,1,0)</f>
        <v/>
      </c>
      <c r="S27" s="10">
        <f>IF(MONTH(S22)=1,1,0)</f>
        <v/>
      </c>
      <c r="T27" s="10">
        <f>IF(MONTH(T22)=1,1,0)</f>
        <v/>
      </c>
      <c r="U27" s="10">
        <f>IF(MONTH(U22)=1,1,0)</f>
        <v/>
      </c>
      <c r="V27" s="10">
        <f>IF(MONTH(V22)=1,1,0)</f>
        <v/>
      </c>
      <c r="W27" s="10">
        <f>IF(MONTH(W22)=1,1,0)</f>
        <v/>
      </c>
      <c r="X27" s="10">
        <f>IF(MONTH(X22)=1,1,0)</f>
        <v/>
      </c>
      <c r="Y27" s="10">
        <f>IF(MONTH(Y22)=1,1,0)</f>
        <v/>
      </c>
      <c r="Z27" s="10">
        <f>IF(MONTH(Z22)=1,1,0)</f>
        <v/>
      </c>
      <c r="AA27" s="10">
        <f>IF(MONTH(AA22)=1,1,0)</f>
        <v/>
      </c>
      <c r="AB27" s="10">
        <f>IF(MONTH(AB22)=1,1,0)</f>
        <v/>
      </c>
      <c r="AC27" s="10">
        <f>IF(MONTH(AC22)=1,1,0)</f>
        <v/>
      </c>
      <c r="AD27" s="10">
        <f>IF(MONTH(AD22)=1,1,0)</f>
        <v/>
      </c>
      <c r="AE27" s="10">
        <f>IF(MONTH(AE22)=1,1,0)</f>
        <v/>
      </c>
      <c r="AF27" s="10">
        <f>IF(MONTH(AF22)=1,1,0)</f>
        <v/>
      </c>
      <c r="AG27" s="10">
        <f>IF(MONTH(AG22)=1,1,0)</f>
        <v/>
      </c>
      <c r="AH27" s="10">
        <f>IF(MONTH(AH22)=1,1,0)</f>
        <v/>
      </c>
      <c r="AI27" s="10">
        <f>IF(MONTH(AI22)=1,1,0)</f>
        <v/>
      </c>
      <c r="AJ27" s="10">
        <f>IF(MONTH(AJ22)=1,1,0)</f>
        <v/>
      </c>
      <c r="AK27" s="10">
        <f>IF(MONTH(AK22)=1,1,0)</f>
        <v/>
      </c>
      <c r="AL27" s="10">
        <f>IF(MONTH(AL22)=1,1,0)</f>
        <v/>
      </c>
      <c r="AM27" s="10">
        <f>IF(MONTH(AM22)=1,1,0)</f>
        <v/>
      </c>
      <c r="AN27" s="10">
        <f>IF(MONTH(AN22)=1,1,0)</f>
        <v/>
      </c>
      <c r="AO27" s="10">
        <f>IF(MONTH(AO22)=1,1,0)</f>
        <v/>
      </c>
      <c r="AP27" s="10">
        <f>IF(MONTH(AP22)=1,1,0)</f>
        <v/>
      </c>
      <c r="AQ27" s="10">
        <f>IF(MONTH(AQ22)=1,1,0)</f>
        <v/>
      </c>
      <c r="AR27" s="10">
        <f>IF(MONTH(AR22)=1,1,0)</f>
        <v/>
      </c>
      <c r="AS27" s="10">
        <f>IF(MONTH(AS22)=1,1,0)</f>
        <v/>
      </c>
      <c r="AT27" s="10">
        <f>IF(MONTH(AT22)=1,1,0)</f>
        <v/>
      </c>
      <c r="AU27" s="10">
        <f>IF(MONTH(AU22)=1,1,0)</f>
        <v/>
      </c>
      <c r="AV27" s="10">
        <f>IF(MONTH(AV22)=1,1,0)</f>
        <v/>
      </c>
      <c r="AW27" s="10">
        <f>IF(MONTH(AW22)=1,1,0)</f>
        <v/>
      </c>
      <c r="AX27" s="10">
        <f>IF(MONTH(AX22)=1,1,0)</f>
        <v/>
      </c>
      <c r="AY27" s="10">
        <f>IF(MONTH(AY22)=1,1,0)</f>
        <v/>
      </c>
      <c r="AZ27" s="10">
        <f>IF(MONTH(AZ22)=1,1,0)</f>
        <v/>
      </c>
      <c r="BA27" s="10">
        <f>IF(MONTH(BA22)=1,1,0)</f>
        <v/>
      </c>
      <c r="BB27" s="10">
        <f>IF(MONTH(BB22)=1,1,0)</f>
        <v/>
      </c>
      <c r="BC27" s="10">
        <f>IF(MONTH(BC22)=1,1,0)</f>
        <v/>
      </c>
      <c r="BD27" s="10">
        <f>IF(MONTH(BD22)=1,1,0)</f>
        <v/>
      </c>
      <c r="BE27" s="10">
        <f>IF(MONTH(BE22)=1,1,0)</f>
        <v/>
      </c>
      <c r="BF27" s="10">
        <f>IF(MONTH(BF22)=1,1,0)</f>
        <v/>
      </c>
      <c r="BG27" s="10">
        <f>IF(MONTH(BG22)=1,1,0)</f>
        <v/>
      </c>
      <c r="BH27" s="10">
        <f>IF(MONTH(BH22)=1,1,0)</f>
        <v/>
      </c>
      <c r="BI27" s="10">
        <f>IF(MONTH(BI22)=1,1,0)</f>
        <v/>
      </c>
      <c r="BJ27" s="10">
        <f>IF(MONTH(BJ22)=1,1,0)</f>
        <v/>
      </c>
      <c r="BK27" s="10">
        <f>IF(MONTH(BK22)=1,1,0)</f>
        <v/>
      </c>
      <c r="BL27" s="10">
        <f>IF(MONTH(BL22)=1,1,0)</f>
        <v/>
      </c>
      <c r="BM27" s="10">
        <f>IF(MONTH(BM22)=1,1,0)</f>
        <v/>
      </c>
      <c r="BN27" s="10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9">
        <f>MAX(J22,$F$8)</f>
        <v/>
      </c>
      <c r="K28" s="9">
        <f>MAX(K22,$F$8)</f>
        <v/>
      </c>
      <c r="L28" s="9">
        <f>MAX(L22,$F$8)</f>
        <v/>
      </c>
      <c r="M28" s="9">
        <f>MAX(M22,$F$8)</f>
        <v/>
      </c>
      <c r="N28" s="9">
        <f>MAX(N22,$F$8)</f>
        <v/>
      </c>
      <c r="O28" s="9">
        <f>MAX(O22,$F$8)</f>
        <v/>
      </c>
      <c r="P28" s="9">
        <f>MAX(P22,$F$8)</f>
        <v/>
      </c>
      <c r="Q28" s="9">
        <f>MAX(Q22,$F$8)</f>
        <v/>
      </c>
      <c r="R28" s="9">
        <f>MAX(R22,$F$8)</f>
        <v/>
      </c>
      <c r="S28" s="9">
        <f>MAX(S22,$F$8)</f>
        <v/>
      </c>
      <c r="T28" s="9">
        <f>MAX(T22,$F$8)</f>
        <v/>
      </c>
      <c r="U28" s="9">
        <f>MAX(U22,$F$8)</f>
        <v/>
      </c>
      <c r="V28" s="9">
        <f>MAX(V22,$F$8)</f>
        <v/>
      </c>
      <c r="W28" s="9">
        <f>MAX(W22,$F$8)</f>
        <v/>
      </c>
      <c r="X28" s="9">
        <f>MAX(X22,$F$8)</f>
        <v/>
      </c>
      <c r="Y28" s="9">
        <f>MAX(Y22,$F$8)</f>
        <v/>
      </c>
      <c r="Z28" s="9">
        <f>MAX(Z22,$F$8)</f>
        <v/>
      </c>
      <c r="AA28" s="9">
        <f>MAX(AA22,$F$8)</f>
        <v/>
      </c>
      <c r="AB28" s="9">
        <f>MAX(AB22,$F$8)</f>
        <v/>
      </c>
      <c r="AC28" s="9">
        <f>MAX(AC22,$F$8)</f>
        <v/>
      </c>
      <c r="AD28" s="9">
        <f>MAX(AD22,$F$8)</f>
        <v/>
      </c>
      <c r="AE28" s="9">
        <f>MAX(AE22,$F$8)</f>
        <v/>
      </c>
      <c r="AF28" s="9">
        <f>MAX(AF22,$F$8)</f>
        <v/>
      </c>
      <c r="AG28" s="9">
        <f>MAX(AG22,$F$8)</f>
        <v/>
      </c>
      <c r="AH28" s="9">
        <f>MAX(AH22,$F$8)</f>
        <v/>
      </c>
      <c r="AI28" s="9">
        <f>MAX(AI22,$F$8)</f>
        <v/>
      </c>
      <c r="AJ28" s="9">
        <f>MAX(AJ22,$F$8)</f>
        <v/>
      </c>
      <c r="AK28" s="9">
        <f>MAX(AK22,$F$8)</f>
        <v/>
      </c>
      <c r="AL28" s="9">
        <f>MAX(AL22,$F$8)</f>
        <v/>
      </c>
      <c r="AM28" s="9">
        <f>MAX(AM22,$F$8)</f>
        <v/>
      </c>
      <c r="AN28" s="9">
        <f>MAX(AN22,$F$8)</f>
        <v/>
      </c>
      <c r="AO28" s="9">
        <f>MAX(AO22,$F$8)</f>
        <v/>
      </c>
      <c r="AP28" s="9">
        <f>MAX(AP22,$F$8)</f>
        <v/>
      </c>
      <c r="AQ28" s="9">
        <f>MAX(AQ22,$F$8)</f>
        <v/>
      </c>
      <c r="AR28" s="9">
        <f>MAX(AR22,$F$8)</f>
        <v/>
      </c>
      <c r="AS28" s="9">
        <f>MAX(AS22,$F$8)</f>
        <v/>
      </c>
      <c r="AT28" s="9">
        <f>MAX(AT22,$F$8)</f>
        <v/>
      </c>
      <c r="AU28" s="9">
        <f>MAX(AU22,$F$8)</f>
        <v/>
      </c>
      <c r="AV28" s="9">
        <f>MAX(AV22,$F$8)</f>
        <v/>
      </c>
      <c r="AW28" s="9">
        <f>MAX(AW22,$F$8)</f>
        <v/>
      </c>
      <c r="AX28" s="9">
        <f>MAX(AX22,$F$8)</f>
        <v/>
      </c>
      <c r="AY28" s="9">
        <f>MAX(AY22,$F$8)</f>
        <v/>
      </c>
      <c r="AZ28" s="9">
        <f>MAX(AZ22,$F$8)</f>
        <v/>
      </c>
      <c r="BA28" s="9">
        <f>MAX(BA22,$F$8)</f>
        <v/>
      </c>
      <c r="BB28" s="9">
        <f>MAX(BB22,$F$8)</f>
        <v/>
      </c>
      <c r="BC28" s="9">
        <f>MAX(BC22,$F$8)</f>
        <v/>
      </c>
      <c r="BD28" s="9">
        <f>MAX(BD22,$F$8)</f>
        <v/>
      </c>
      <c r="BE28" s="9">
        <f>MAX(BE22,$F$8)</f>
        <v/>
      </c>
      <c r="BF28" s="9">
        <f>MAX(BF22,$F$8)</f>
        <v/>
      </c>
      <c r="BG28" s="9">
        <f>MAX(BG22,$F$8)</f>
        <v/>
      </c>
      <c r="BH28" s="9">
        <f>MAX(BH22,$F$8)</f>
        <v/>
      </c>
      <c r="BI28" s="9">
        <f>MAX(BI22,$F$8)</f>
        <v/>
      </c>
      <c r="BJ28" s="9">
        <f>MAX(BJ22,$F$8)</f>
        <v/>
      </c>
      <c r="BK28" s="9">
        <f>MAX(BK22,$F$8)</f>
        <v/>
      </c>
      <c r="BL28" s="9">
        <f>MAX(BL22,$F$8)</f>
        <v/>
      </c>
      <c r="BM28" s="9">
        <f>MAX(BM22,$F$8)</f>
        <v/>
      </c>
      <c r="BN28" s="9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9">
        <f>MIN(J23,$F$10)</f>
        <v/>
      </c>
      <c r="K29" s="9">
        <f>MIN(K23,$F$10)</f>
        <v/>
      </c>
      <c r="L29" s="9">
        <f>MIN(L23,$F$10)</f>
        <v/>
      </c>
      <c r="M29" s="9">
        <f>MIN(M23,$F$10)</f>
        <v/>
      </c>
      <c r="N29" s="9">
        <f>MIN(N23,$F$10)</f>
        <v/>
      </c>
      <c r="O29" s="9">
        <f>MIN(O23,$F$10)</f>
        <v/>
      </c>
      <c r="P29" s="9">
        <f>MIN(P23,$F$10)</f>
        <v/>
      </c>
      <c r="Q29" s="9">
        <f>MIN(Q23,$F$10)</f>
        <v/>
      </c>
      <c r="R29" s="9">
        <f>MIN(R23,$F$10)</f>
        <v/>
      </c>
      <c r="S29" s="9">
        <f>MIN(S23,$F$10)</f>
        <v/>
      </c>
      <c r="T29" s="9">
        <f>MIN(T23,$F$10)</f>
        <v/>
      </c>
      <c r="U29" s="9">
        <f>MIN(U23,$F$10)</f>
        <v/>
      </c>
      <c r="V29" s="9">
        <f>MIN(V23,$F$10)</f>
        <v/>
      </c>
      <c r="W29" s="9">
        <f>MIN(W23,$F$10)</f>
        <v/>
      </c>
      <c r="X29" s="9">
        <f>MIN(X23,$F$10)</f>
        <v/>
      </c>
      <c r="Y29" s="9">
        <f>MIN(Y23,$F$10)</f>
        <v/>
      </c>
      <c r="Z29" s="9">
        <f>MIN(Z23,$F$10)</f>
        <v/>
      </c>
      <c r="AA29" s="9">
        <f>MIN(AA23,$F$10)</f>
        <v/>
      </c>
      <c r="AB29" s="9">
        <f>MIN(AB23,$F$10)</f>
        <v/>
      </c>
      <c r="AC29" s="9">
        <f>MIN(AC23,$F$10)</f>
        <v/>
      </c>
      <c r="AD29" s="9">
        <f>MIN(AD23,$F$10)</f>
        <v/>
      </c>
      <c r="AE29" s="9">
        <f>MIN(AE23,$F$10)</f>
        <v/>
      </c>
      <c r="AF29" s="9">
        <f>MIN(AF23,$F$10)</f>
        <v/>
      </c>
      <c r="AG29" s="9">
        <f>MIN(AG23,$F$10)</f>
        <v/>
      </c>
      <c r="AH29" s="9">
        <f>MIN(AH23,$F$10)</f>
        <v/>
      </c>
      <c r="AI29" s="9">
        <f>MIN(AI23,$F$10)</f>
        <v/>
      </c>
      <c r="AJ29" s="9">
        <f>MIN(AJ23,$F$10)</f>
        <v/>
      </c>
      <c r="AK29" s="9">
        <f>MIN(AK23,$F$10)</f>
        <v/>
      </c>
      <c r="AL29" s="9">
        <f>MIN(AL23,$F$10)</f>
        <v/>
      </c>
      <c r="AM29" s="9">
        <f>MIN(AM23,$F$10)</f>
        <v/>
      </c>
      <c r="AN29" s="9">
        <f>MIN(AN23,$F$10)</f>
        <v/>
      </c>
      <c r="AO29" s="9">
        <f>MIN(AO23,$F$10)</f>
        <v/>
      </c>
      <c r="AP29" s="9">
        <f>MIN(AP23,$F$10)</f>
        <v/>
      </c>
      <c r="AQ29" s="9">
        <f>MIN(AQ23,$F$10)</f>
        <v/>
      </c>
      <c r="AR29" s="9">
        <f>MIN(AR23,$F$10)</f>
        <v/>
      </c>
      <c r="AS29" s="9">
        <f>MIN(AS23,$F$10)</f>
        <v/>
      </c>
      <c r="AT29" s="9">
        <f>MIN(AT23,$F$10)</f>
        <v/>
      </c>
      <c r="AU29" s="9">
        <f>MIN(AU23,$F$10)</f>
        <v/>
      </c>
      <c r="AV29" s="9">
        <f>MIN(AV23,$F$10)</f>
        <v/>
      </c>
      <c r="AW29" s="9">
        <f>MIN(AW23,$F$10)</f>
        <v/>
      </c>
      <c r="AX29" s="9">
        <f>MIN(AX23,$F$10)</f>
        <v/>
      </c>
      <c r="AY29" s="9">
        <f>MIN(AY23,$F$10)</f>
        <v/>
      </c>
      <c r="AZ29" s="9">
        <f>MIN(AZ23,$F$10)</f>
        <v/>
      </c>
      <c r="BA29" s="9">
        <f>MIN(BA23,$F$10)</f>
        <v/>
      </c>
      <c r="BB29" s="9">
        <f>MIN(BB23,$F$10)</f>
        <v/>
      </c>
      <c r="BC29" s="9">
        <f>MIN(BC23,$F$10)</f>
        <v/>
      </c>
      <c r="BD29" s="9">
        <f>MIN(BD23,$F$10)</f>
        <v/>
      </c>
      <c r="BE29" s="9">
        <f>MIN(BE23,$F$10)</f>
        <v/>
      </c>
      <c r="BF29" s="9">
        <f>MIN(BF23,$F$10)</f>
        <v/>
      </c>
      <c r="BG29" s="9">
        <f>MIN(BG23,$F$10)</f>
        <v/>
      </c>
      <c r="BH29" s="9">
        <f>MIN(BH23,$F$10)</f>
        <v/>
      </c>
      <c r="BI29" s="9">
        <f>MIN(BI23,$F$10)</f>
        <v/>
      </c>
      <c r="BJ29" s="9">
        <f>MIN(BJ23,$F$10)</f>
        <v/>
      </c>
      <c r="BK29" s="9">
        <f>MIN(BK23,$F$10)</f>
        <v/>
      </c>
      <c r="BL29" s="9">
        <f>MIN(BL23,$F$10)</f>
        <v/>
      </c>
      <c r="BM29" s="9">
        <f>MIN(BM23,$F$10)</f>
        <v/>
      </c>
      <c r="BN29" s="9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10">
        <f>IF(J29&gt;=J28,(YEAR(J29)-YEAR(J28))*12+MONTH(J29)-MONTH(J28)+1,0)</f>
        <v/>
      </c>
      <c r="K30" s="10">
        <f>IF(K29&gt;=K28,(YEAR(K29)-YEAR(K28))*12+MONTH(K29)-MONTH(K28)+1,0)</f>
        <v/>
      </c>
      <c r="L30" s="10">
        <f>IF(L29&gt;=L28,(YEAR(L29)-YEAR(L28))*12+MONTH(L29)-MONTH(L28)+1,0)</f>
        <v/>
      </c>
      <c r="M30" s="10">
        <f>IF(M29&gt;=M28,(YEAR(M29)-YEAR(M28))*12+MONTH(M29)-MONTH(M28)+1,0)</f>
        <v/>
      </c>
      <c r="N30" s="10">
        <f>IF(N29&gt;=N28,(YEAR(N29)-YEAR(N28))*12+MONTH(N29)-MONTH(N28)+1,0)</f>
        <v/>
      </c>
      <c r="O30" s="10">
        <f>IF(O29&gt;=O28,(YEAR(O29)-YEAR(O28))*12+MONTH(O29)-MONTH(O28)+1,0)</f>
        <v/>
      </c>
      <c r="P30" s="10">
        <f>IF(P29&gt;=P28,(YEAR(P29)-YEAR(P28))*12+MONTH(P29)-MONTH(P28)+1,0)</f>
        <v/>
      </c>
      <c r="Q30" s="10">
        <f>IF(Q29&gt;=Q28,(YEAR(Q29)-YEAR(Q28))*12+MONTH(Q29)-MONTH(Q28)+1,0)</f>
        <v/>
      </c>
      <c r="R30" s="10">
        <f>IF(R29&gt;=R28,(YEAR(R29)-YEAR(R28))*12+MONTH(R29)-MONTH(R28)+1,0)</f>
        <v/>
      </c>
      <c r="S30" s="10">
        <f>IF(S29&gt;=S28,(YEAR(S29)-YEAR(S28))*12+MONTH(S29)-MONTH(S28)+1,0)</f>
        <v/>
      </c>
      <c r="T30" s="10">
        <f>IF(T29&gt;=T28,(YEAR(T29)-YEAR(T28))*12+MONTH(T29)-MONTH(T28)+1,0)</f>
        <v/>
      </c>
      <c r="U30" s="10">
        <f>IF(U29&gt;=U28,(YEAR(U29)-YEAR(U28))*12+MONTH(U29)-MONTH(U28)+1,0)</f>
        <v/>
      </c>
      <c r="V30" s="10">
        <f>IF(V29&gt;=V28,(YEAR(V29)-YEAR(V28))*12+MONTH(V29)-MONTH(V28)+1,0)</f>
        <v/>
      </c>
      <c r="W30" s="10">
        <f>IF(W29&gt;=W28,(YEAR(W29)-YEAR(W28))*12+MONTH(W29)-MONTH(W28)+1,0)</f>
        <v/>
      </c>
      <c r="X30" s="10">
        <f>IF(X29&gt;=X28,(YEAR(X29)-YEAR(X28))*12+MONTH(X29)-MONTH(X28)+1,0)</f>
        <v/>
      </c>
      <c r="Y30" s="10">
        <f>IF(Y29&gt;=Y28,(YEAR(Y29)-YEAR(Y28))*12+MONTH(Y29)-MONTH(Y28)+1,0)</f>
        <v/>
      </c>
      <c r="Z30" s="10">
        <f>IF(Z29&gt;=Z28,(YEAR(Z29)-YEAR(Z28))*12+MONTH(Z29)-MONTH(Z28)+1,0)</f>
        <v/>
      </c>
      <c r="AA30" s="10">
        <f>IF(AA29&gt;=AA28,(YEAR(AA29)-YEAR(AA28))*12+MONTH(AA29)-MONTH(AA28)+1,0)</f>
        <v/>
      </c>
      <c r="AB30" s="10">
        <f>IF(AB29&gt;=AB28,(YEAR(AB29)-YEAR(AB28))*12+MONTH(AB29)-MONTH(AB28)+1,0)</f>
        <v/>
      </c>
      <c r="AC30" s="10">
        <f>IF(AC29&gt;=AC28,(YEAR(AC29)-YEAR(AC28))*12+MONTH(AC29)-MONTH(AC28)+1,0)</f>
        <v/>
      </c>
      <c r="AD30" s="10">
        <f>IF(AD29&gt;=AD28,(YEAR(AD29)-YEAR(AD28))*12+MONTH(AD29)-MONTH(AD28)+1,0)</f>
        <v/>
      </c>
      <c r="AE30" s="10">
        <f>IF(AE29&gt;=AE28,(YEAR(AE29)-YEAR(AE28))*12+MONTH(AE29)-MONTH(AE28)+1,0)</f>
        <v/>
      </c>
      <c r="AF30" s="10">
        <f>IF(AF29&gt;=AF28,(YEAR(AF29)-YEAR(AF28))*12+MONTH(AF29)-MONTH(AF28)+1,0)</f>
        <v/>
      </c>
      <c r="AG30" s="10">
        <f>IF(AG29&gt;=AG28,(YEAR(AG29)-YEAR(AG28))*12+MONTH(AG29)-MONTH(AG28)+1,0)</f>
        <v/>
      </c>
      <c r="AH30" s="10">
        <f>IF(AH29&gt;=AH28,(YEAR(AH29)-YEAR(AH28))*12+MONTH(AH29)-MONTH(AH28)+1,0)</f>
        <v/>
      </c>
      <c r="AI30" s="10">
        <f>IF(AI29&gt;=AI28,(YEAR(AI29)-YEAR(AI28))*12+MONTH(AI29)-MONTH(AI28)+1,0)</f>
        <v/>
      </c>
      <c r="AJ30" s="10">
        <f>IF(AJ29&gt;=AJ28,(YEAR(AJ29)-YEAR(AJ28))*12+MONTH(AJ29)-MONTH(AJ28)+1,0)</f>
        <v/>
      </c>
      <c r="AK30" s="10">
        <f>IF(AK29&gt;=AK28,(YEAR(AK29)-YEAR(AK28))*12+MONTH(AK29)-MONTH(AK28)+1,0)</f>
        <v/>
      </c>
      <c r="AL30" s="10">
        <f>IF(AL29&gt;=AL28,(YEAR(AL29)-YEAR(AL28))*12+MONTH(AL29)-MONTH(AL28)+1,0)</f>
        <v/>
      </c>
      <c r="AM30" s="10">
        <f>IF(AM29&gt;=AM28,(YEAR(AM29)-YEAR(AM28))*12+MONTH(AM29)-MONTH(AM28)+1,0)</f>
        <v/>
      </c>
      <c r="AN30" s="10">
        <f>IF(AN29&gt;=AN28,(YEAR(AN29)-YEAR(AN28))*12+MONTH(AN29)-MONTH(AN28)+1,0)</f>
        <v/>
      </c>
      <c r="AO30" s="10">
        <f>IF(AO29&gt;=AO28,(YEAR(AO29)-YEAR(AO28))*12+MONTH(AO29)-MONTH(AO28)+1,0)</f>
        <v/>
      </c>
      <c r="AP30" s="10">
        <f>IF(AP29&gt;=AP28,(YEAR(AP29)-YEAR(AP28))*12+MONTH(AP29)-MONTH(AP28)+1,0)</f>
        <v/>
      </c>
      <c r="AQ30" s="10">
        <f>IF(AQ29&gt;=AQ28,(YEAR(AQ29)-YEAR(AQ28))*12+MONTH(AQ29)-MONTH(AQ28)+1,0)</f>
        <v/>
      </c>
      <c r="AR30" s="10">
        <f>IF(AR29&gt;=AR28,(YEAR(AR29)-YEAR(AR28))*12+MONTH(AR29)-MONTH(AR28)+1,0)</f>
        <v/>
      </c>
      <c r="AS30" s="10">
        <f>IF(AS29&gt;=AS28,(YEAR(AS29)-YEAR(AS28))*12+MONTH(AS29)-MONTH(AS28)+1,0)</f>
        <v/>
      </c>
      <c r="AT30" s="10">
        <f>IF(AT29&gt;=AT28,(YEAR(AT29)-YEAR(AT28))*12+MONTH(AT29)-MONTH(AT28)+1,0)</f>
        <v/>
      </c>
      <c r="AU30" s="10">
        <f>IF(AU29&gt;=AU28,(YEAR(AU29)-YEAR(AU28))*12+MONTH(AU29)-MONTH(AU28)+1,0)</f>
        <v/>
      </c>
      <c r="AV30" s="10">
        <f>IF(AV29&gt;=AV28,(YEAR(AV29)-YEAR(AV28))*12+MONTH(AV29)-MONTH(AV28)+1,0)</f>
        <v/>
      </c>
      <c r="AW30" s="10">
        <f>IF(AW29&gt;=AW28,(YEAR(AW29)-YEAR(AW28))*12+MONTH(AW29)-MONTH(AW28)+1,0)</f>
        <v/>
      </c>
      <c r="AX30" s="10">
        <f>IF(AX29&gt;=AX28,(YEAR(AX29)-YEAR(AX28))*12+MONTH(AX29)-MONTH(AX28)+1,0)</f>
        <v/>
      </c>
      <c r="AY30" s="10">
        <f>IF(AY29&gt;=AY28,(YEAR(AY29)-YEAR(AY28))*12+MONTH(AY29)-MONTH(AY28)+1,0)</f>
        <v/>
      </c>
      <c r="AZ30" s="10">
        <f>IF(AZ29&gt;=AZ28,(YEAR(AZ29)-YEAR(AZ28))*12+MONTH(AZ29)-MONTH(AZ28)+1,0)</f>
        <v/>
      </c>
      <c r="BA30" s="10">
        <f>IF(BA29&gt;=BA28,(YEAR(BA29)-YEAR(BA28))*12+MONTH(BA29)-MONTH(BA28)+1,0)</f>
        <v/>
      </c>
      <c r="BB30" s="10">
        <f>IF(BB29&gt;=BB28,(YEAR(BB29)-YEAR(BB28))*12+MONTH(BB29)-MONTH(BB28)+1,0)</f>
        <v/>
      </c>
      <c r="BC30" s="10">
        <f>IF(BC29&gt;=BC28,(YEAR(BC29)-YEAR(BC28))*12+MONTH(BC29)-MONTH(BC28)+1,0)</f>
        <v/>
      </c>
      <c r="BD30" s="10">
        <f>IF(BD29&gt;=BD28,(YEAR(BD29)-YEAR(BD28))*12+MONTH(BD29)-MONTH(BD28)+1,0)</f>
        <v/>
      </c>
      <c r="BE30" s="10">
        <f>IF(BE29&gt;=BE28,(YEAR(BE29)-YEAR(BE28))*12+MONTH(BE29)-MONTH(BE28)+1,0)</f>
        <v/>
      </c>
      <c r="BF30" s="10">
        <f>IF(BF29&gt;=BF28,(YEAR(BF29)-YEAR(BF28))*12+MONTH(BF29)-MONTH(BF28)+1,0)</f>
        <v/>
      </c>
      <c r="BG30" s="10">
        <f>IF(BG29&gt;=BG28,(YEAR(BG29)-YEAR(BG28))*12+MONTH(BG29)-MONTH(BG28)+1,0)</f>
        <v/>
      </c>
      <c r="BH30" s="10">
        <f>IF(BH29&gt;=BH28,(YEAR(BH29)-YEAR(BH28))*12+MONTH(BH29)-MONTH(BH28)+1,0)</f>
        <v/>
      </c>
      <c r="BI30" s="10">
        <f>IF(BI29&gt;=BI28,(YEAR(BI29)-YEAR(BI28))*12+MONTH(BI29)-MONTH(BI28)+1,0)</f>
        <v/>
      </c>
      <c r="BJ30" s="10">
        <f>IF(BJ29&gt;=BJ28,(YEAR(BJ29)-YEAR(BJ28))*12+MONTH(BJ29)-MONTH(BJ28)+1,0)</f>
        <v/>
      </c>
      <c r="BK30" s="10">
        <f>IF(BK29&gt;=BK28,(YEAR(BK29)-YEAR(BK28))*12+MONTH(BK29)-MONTH(BK28)+1,0)</f>
        <v/>
      </c>
      <c r="BL30" s="10">
        <f>IF(BL29&gt;=BL28,(YEAR(BL29)-YEAR(BL28))*12+MONTH(BL29)-MONTH(BL28)+1,0)</f>
        <v/>
      </c>
      <c r="BM30" s="10">
        <f>IF(BM29&gt;=BM28,(YEAR(BM29)-YEAR(BM28))*12+MONTH(BM29)-MONTH(BM28)+1,0)</f>
        <v/>
      </c>
      <c r="BN30" s="10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10">
        <f>IF(J29&gt;=J28,J29-J28+1,0)</f>
        <v/>
      </c>
      <c r="K31" s="10">
        <f>IF(K29&gt;=K28,K29-K28+1,0)</f>
        <v/>
      </c>
      <c r="L31" s="10">
        <f>IF(L29&gt;=L28,L29-L28+1,0)</f>
        <v/>
      </c>
      <c r="M31" s="10">
        <f>IF(M29&gt;=M28,M29-M28+1,0)</f>
        <v/>
      </c>
      <c r="N31" s="10">
        <f>IF(N29&gt;=N28,N29-N28+1,0)</f>
        <v/>
      </c>
      <c r="O31" s="10">
        <f>IF(O29&gt;=O28,O29-O28+1,0)</f>
        <v/>
      </c>
      <c r="P31" s="10">
        <f>IF(P29&gt;=P28,P29-P28+1,0)</f>
        <v/>
      </c>
      <c r="Q31" s="10">
        <f>IF(Q29&gt;=Q28,Q29-Q28+1,0)</f>
        <v/>
      </c>
      <c r="R31" s="10">
        <f>IF(R29&gt;=R28,R29-R28+1,0)</f>
        <v/>
      </c>
      <c r="S31" s="10">
        <f>IF(S29&gt;=S28,S29-S28+1,0)</f>
        <v/>
      </c>
      <c r="T31" s="10">
        <f>IF(T29&gt;=T28,T29-T28+1,0)</f>
        <v/>
      </c>
      <c r="U31" s="10">
        <f>IF(U29&gt;=U28,U29-U28+1,0)</f>
        <v/>
      </c>
      <c r="V31" s="10">
        <f>IF(V29&gt;=V28,V29-V28+1,0)</f>
        <v/>
      </c>
      <c r="W31" s="10">
        <f>IF(W29&gt;=W28,W29-W28+1,0)</f>
        <v/>
      </c>
      <c r="X31" s="10">
        <f>IF(X29&gt;=X28,X29-X28+1,0)</f>
        <v/>
      </c>
      <c r="Y31" s="10">
        <f>IF(Y29&gt;=Y28,Y29-Y28+1,0)</f>
        <v/>
      </c>
      <c r="Z31" s="10">
        <f>IF(Z29&gt;=Z28,Z29-Z28+1,0)</f>
        <v/>
      </c>
      <c r="AA31" s="10">
        <f>IF(AA29&gt;=AA28,AA29-AA28+1,0)</f>
        <v/>
      </c>
      <c r="AB31" s="10">
        <f>IF(AB29&gt;=AB28,AB29-AB28+1,0)</f>
        <v/>
      </c>
      <c r="AC31" s="10">
        <f>IF(AC29&gt;=AC28,AC29-AC28+1,0)</f>
        <v/>
      </c>
      <c r="AD31" s="10">
        <f>IF(AD29&gt;=AD28,AD29-AD28+1,0)</f>
        <v/>
      </c>
      <c r="AE31" s="10">
        <f>IF(AE29&gt;=AE28,AE29-AE28+1,0)</f>
        <v/>
      </c>
      <c r="AF31" s="10">
        <f>IF(AF29&gt;=AF28,AF29-AF28+1,0)</f>
        <v/>
      </c>
      <c r="AG31" s="10">
        <f>IF(AG29&gt;=AG28,AG29-AG28+1,0)</f>
        <v/>
      </c>
      <c r="AH31" s="10">
        <f>IF(AH29&gt;=AH28,AH29-AH28+1,0)</f>
        <v/>
      </c>
      <c r="AI31" s="10">
        <f>IF(AI29&gt;=AI28,AI29-AI28+1,0)</f>
        <v/>
      </c>
      <c r="AJ31" s="10">
        <f>IF(AJ29&gt;=AJ28,AJ29-AJ28+1,0)</f>
        <v/>
      </c>
      <c r="AK31" s="10">
        <f>IF(AK29&gt;=AK28,AK29-AK28+1,0)</f>
        <v/>
      </c>
      <c r="AL31" s="10">
        <f>IF(AL29&gt;=AL28,AL29-AL28+1,0)</f>
        <v/>
      </c>
      <c r="AM31" s="10">
        <f>IF(AM29&gt;=AM28,AM29-AM28+1,0)</f>
        <v/>
      </c>
      <c r="AN31" s="10">
        <f>IF(AN29&gt;=AN28,AN29-AN28+1,0)</f>
        <v/>
      </c>
      <c r="AO31" s="10">
        <f>IF(AO29&gt;=AO28,AO29-AO28+1,0)</f>
        <v/>
      </c>
      <c r="AP31" s="10">
        <f>IF(AP29&gt;=AP28,AP29-AP28+1,0)</f>
        <v/>
      </c>
      <c r="AQ31" s="10">
        <f>IF(AQ29&gt;=AQ28,AQ29-AQ28+1,0)</f>
        <v/>
      </c>
      <c r="AR31" s="10">
        <f>IF(AR29&gt;=AR28,AR29-AR28+1,0)</f>
        <v/>
      </c>
      <c r="AS31" s="10">
        <f>IF(AS29&gt;=AS28,AS29-AS28+1,0)</f>
        <v/>
      </c>
      <c r="AT31" s="10">
        <f>IF(AT29&gt;=AT28,AT29-AT28+1,0)</f>
        <v/>
      </c>
      <c r="AU31" s="10">
        <f>IF(AU29&gt;=AU28,AU29-AU28+1,0)</f>
        <v/>
      </c>
      <c r="AV31" s="10">
        <f>IF(AV29&gt;=AV28,AV29-AV28+1,0)</f>
        <v/>
      </c>
      <c r="AW31" s="10">
        <f>IF(AW29&gt;=AW28,AW29-AW28+1,0)</f>
        <v/>
      </c>
      <c r="AX31" s="10">
        <f>IF(AX29&gt;=AX28,AX29-AX28+1,0)</f>
        <v/>
      </c>
      <c r="AY31" s="10">
        <f>IF(AY29&gt;=AY28,AY29-AY28+1,0)</f>
        <v/>
      </c>
      <c r="AZ31" s="10">
        <f>IF(AZ29&gt;=AZ28,AZ29-AZ28+1,0)</f>
        <v/>
      </c>
      <c r="BA31" s="10">
        <f>IF(BA29&gt;=BA28,BA29-BA28+1,0)</f>
        <v/>
      </c>
      <c r="BB31" s="10">
        <f>IF(BB29&gt;=BB28,BB29-BB28+1,0)</f>
        <v/>
      </c>
      <c r="BC31" s="10">
        <f>IF(BC29&gt;=BC28,BC29-BC28+1,0)</f>
        <v/>
      </c>
      <c r="BD31" s="10">
        <f>IF(BD29&gt;=BD28,BD29-BD28+1,0)</f>
        <v/>
      </c>
      <c r="BE31" s="10">
        <f>IF(BE29&gt;=BE28,BE29-BE28+1,0)</f>
        <v/>
      </c>
      <c r="BF31" s="10">
        <f>IF(BF29&gt;=BF28,BF29-BF28+1,0)</f>
        <v/>
      </c>
      <c r="BG31" s="10">
        <f>IF(BG29&gt;=BG28,BG29-BG28+1,0)</f>
        <v/>
      </c>
      <c r="BH31" s="10">
        <f>IF(BH29&gt;=BH28,BH29-BH28+1,0)</f>
        <v/>
      </c>
      <c r="BI31" s="10">
        <f>IF(BI29&gt;=BI28,BI29-BI28+1,0)</f>
        <v/>
      </c>
      <c r="BJ31" s="10">
        <f>IF(BJ29&gt;=BJ28,BJ29-BJ28+1,0)</f>
        <v/>
      </c>
      <c r="BK31" s="10">
        <f>IF(BK29&gt;=BK28,BK29-BK28+1,0)</f>
        <v/>
      </c>
      <c r="BL31" s="10">
        <f>IF(BL29&gt;=BL28,BL29-BL28+1,0)</f>
        <v/>
      </c>
      <c r="BM31" s="10">
        <f>IF(BM29&gt;=BM28,BM29-BM28+1,0)</f>
        <v/>
      </c>
      <c r="BN31" s="10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10">
        <f>MIN(MAX((YEAR(J22)-YEAR($F$8))*12+MONTH(J22)-MONTH($F$8),0),$F$9)</f>
        <v/>
      </c>
      <c r="K32" s="10">
        <f>MIN(MAX((YEAR(K22)-YEAR($F$8))*12+MONTH(K22)-MONTH($F$8),0),$F$9)</f>
        <v/>
      </c>
      <c r="L32" s="10">
        <f>MIN(MAX((YEAR(L22)-YEAR($F$8))*12+MONTH(L22)-MONTH($F$8),0),$F$9)</f>
        <v/>
      </c>
      <c r="M32" s="10">
        <f>MIN(MAX((YEAR(M22)-YEAR($F$8))*12+MONTH(M22)-MONTH($F$8),0),$F$9)</f>
        <v/>
      </c>
      <c r="N32" s="10">
        <f>MIN(MAX((YEAR(N22)-YEAR($F$8))*12+MONTH(N22)-MONTH($F$8),0),$F$9)</f>
        <v/>
      </c>
      <c r="O32" s="10">
        <f>MIN(MAX((YEAR(O22)-YEAR($F$8))*12+MONTH(O22)-MONTH($F$8),0),$F$9)</f>
        <v/>
      </c>
      <c r="P32" s="10">
        <f>MIN(MAX((YEAR(P22)-YEAR($F$8))*12+MONTH(P22)-MONTH($F$8),0),$F$9)</f>
        <v/>
      </c>
      <c r="Q32" s="10">
        <f>MIN(MAX((YEAR(Q22)-YEAR($F$8))*12+MONTH(Q22)-MONTH($F$8),0),$F$9)</f>
        <v/>
      </c>
      <c r="R32" s="10">
        <f>MIN(MAX((YEAR(R22)-YEAR($F$8))*12+MONTH(R22)-MONTH($F$8),0),$F$9)</f>
        <v/>
      </c>
      <c r="S32" s="10">
        <f>MIN(MAX((YEAR(S22)-YEAR($F$8))*12+MONTH(S22)-MONTH($F$8),0),$F$9)</f>
        <v/>
      </c>
      <c r="T32" s="10">
        <f>MIN(MAX((YEAR(T22)-YEAR($F$8))*12+MONTH(T22)-MONTH($F$8),0),$F$9)</f>
        <v/>
      </c>
      <c r="U32" s="10">
        <f>MIN(MAX((YEAR(U22)-YEAR($F$8))*12+MONTH(U22)-MONTH($F$8),0),$F$9)</f>
        <v/>
      </c>
      <c r="V32" s="10">
        <f>MIN(MAX((YEAR(V22)-YEAR($F$8))*12+MONTH(V22)-MONTH($F$8),0),$F$9)</f>
        <v/>
      </c>
      <c r="W32" s="10">
        <f>MIN(MAX((YEAR(W22)-YEAR($F$8))*12+MONTH(W22)-MONTH($F$8),0),$F$9)</f>
        <v/>
      </c>
      <c r="X32" s="10">
        <f>MIN(MAX((YEAR(X22)-YEAR($F$8))*12+MONTH(X22)-MONTH($F$8),0),$F$9)</f>
        <v/>
      </c>
      <c r="Y32" s="10">
        <f>MIN(MAX((YEAR(Y22)-YEAR($F$8))*12+MONTH(Y22)-MONTH($F$8),0),$F$9)</f>
        <v/>
      </c>
      <c r="Z32" s="10">
        <f>MIN(MAX((YEAR(Z22)-YEAR($F$8))*12+MONTH(Z22)-MONTH($F$8),0),$F$9)</f>
        <v/>
      </c>
      <c r="AA32" s="10">
        <f>MIN(MAX((YEAR(AA22)-YEAR($F$8))*12+MONTH(AA22)-MONTH($F$8),0),$F$9)</f>
        <v/>
      </c>
      <c r="AB32" s="10">
        <f>MIN(MAX((YEAR(AB22)-YEAR($F$8))*12+MONTH(AB22)-MONTH($F$8),0),$F$9)</f>
        <v/>
      </c>
      <c r="AC32" s="10">
        <f>MIN(MAX((YEAR(AC22)-YEAR($F$8))*12+MONTH(AC22)-MONTH($F$8),0),$F$9)</f>
        <v/>
      </c>
      <c r="AD32" s="10">
        <f>MIN(MAX((YEAR(AD22)-YEAR($F$8))*12+MONTH(AD22)-MONTH($F$8),0),$F$9)</f>
        <v/>
      </c>
      <c r="AE32" s="10">
        <f>MIN(MAX((YEAR(AE22)-YEAR($F$8))*12+MONTH(AE22)-MONTH($F$8),0),$F$9)</f>
        <v/>
      </c>
      <c r="AF32" s="10">
        <f>MIN(MAX((YEAR(AF22)-YEAR($F$8))*12+MONTH(AF22)-MONTH($F$8),0),$F$9)</f>
        <v/>
      </c>
      <c r="AG32" s="10">
        <f>MIN(MAX((YEAR(AG22)-YEAR($F$8))*12+MONTH(AG22)-MONTH($F$8),0),$F$9)</f>
        <v/>
      </c>
      <c r="AH32" s="10">
        <f>MIN(MAX((YEAR(AH22)-YEAR($F$8))*12+MONTH(AH22)-MONTH($F$8),0),$F$9)</f>
        <v/>
      </c>
      <c r="AI32" s="10">
        <f>MIN(MAX((YEAR(AI22)-YEAR($F$8))*12+MONTH(AI22)-MONTH($F$8),0),$F$9)</f>
        <v/>
      </c>
      <c r="AJ32" s="10">
        <f>MIN(MAX((YEAR(AJ22)-YEAR($F$8))*12+MONTH(AJ22)-MONTH($F$8),0),$F$9)</f>
        <v/>
      </c>
      <c r="AK32" s="10">
        <f>MIN(MAX((YEAR(AK22)-YEAR($F$8))*12+MONTH(AK22)-MONTH($F$8),0),$F$9)</f>
        <v/>
      </c>
      <c r="AL32" s="10">
        <f>MIN(MAX((YEAR(AL22)-YEAR($F$8))*12+MONTH(AL22)-MONTH($F$8),0),$F$9)</f>
        <v/>
      </c>
      <c r="AM32" s="10">
        <f>MIN(MAX((YEAR(AM22)-YEAR($F$8))*12+MONTH(AM22)-MONTH($F$8),0),$F$9)</f>
        <v/>
      </c>
      <c r="AN32" s="10">
        <f>MIN(MAX((YEAR(AN22)-YEAR($F$8))*12+MONTH(AN22)-MONTH($F$8),0),$F$9)</f>
        <v/>
      </c>
      <c r="AO32" s="10">
        <f>MIN(MAX((YEAR(AO22)-YEAR($F$8))*12+MONTH(AO22)-MONTH($F$8),0),$F$9)</f>
        <v/>
      </c>
      <c r="AP32" s="10">
        <f>MIN(MAX((YEAR(AP22)-YEAR($F$8))*12+MONTH(AP22)-MONTH($F$8),0),$F$9)</f>
        <v/>
      </c>
      <c r="AQ32" s="10">
        <f>MIN(MAX((YEAR(AQ22)-YEAR($F$8))*12+MONTH(AQ22)-MONTH($F$8),0),$F$9)</f>
        <v/>
      </c>
      <c r="AR32" s="10">
        <f>MIN(MAX((YEAR(AR22)-YEAR($F$8))*12+MONTH(AR22)-MONTH($F$8),0),$F$9)</f>
        <v/>
      </c>
      <c r="AS32" s="10">
        <f>MIN(MAX((YEAR(AS22)-YEAR($F$8))*12+MONTH(AS22)-MONTH($F$8),0),$F$9)</f>
        <v/>
      </c>
      <c r="AT32" s="10">
        <f>MIN(MAX((YEAR(AT22)-YEAR($F$8))*12+MONTH(AT22)-MONTH($F$8),0),$F$9)</f>
        <v/>
      </c>
      <c r="AU32" s="10">
        <f>MIN(MAX((YEAR(AU22)-YEAR($F$8))*12+MONTH(AU22)-MONTH($F$8),0),$F$9)</f>
        <v/>
      </c>
      <c r="AV32" s="10">
        <f>MIN(MAX((YEAR(AV22)-YEAR($F$8))*12+MONTH(AV22)-MONTH($F$8),0),$F$9)</f>
        <v/>
      </c>
      <c r="AW32" s="10">
        <f>MIN(MAX((YEAR(AW22)-YEAR($F$8))*12+MONTH(AW22)-MONTH($F$8),0),$F$9)</f>
        <v/>
      </c>
      <c r="AX32" s="10">
        <f>MIN(MAX((YEAR(AX22)-YEAR($F$8))*12+MONTH(AX22)-MONTH($F$8),0),$F$9)</f>
        <v/>
      </c>
      <c r="AY32" s="10">
        <f>MIN(MAX((YEAR(AY22)-YEAR($F$8))*12+MONTH(AY22)-MONTH($F$8),0),$F$9)</f>
        <v/>
      </c>
      <c r="AZ32" s="10">
        <f>MIN(MAX((YEAR(AZ22)-YEAR($F$8))*12+MONTH(AZ22)-MONTH($F$8),0),$F$9)</f>
        <v/>
      </c>
      <c r="BA32" s="10">
        <f>MIN(MAX((YEAR(BA22)-YEAR($F$8))*12+MONTH(BA22)-MONTH($F$8),0),$F$9)</f>
        <v/>
      </c>
      <c r="BB32" s="10">
        <f>MIN(MAX((YEAR(BB22)-YEAR($F$8))*12+MONTH(BB22)-MONTH($F$8),0),$F$9)</f>
        <v/>
      </c>
      <c r="BC32" s="10">
        <f>MIN(MAX((YEAR(BC22)-YEAR($F$8))*12+MONTH(BC22)-MONTH($F$8),0),$F$9)</f>
        <v/>
      </c>
      <c r="BD32" s="10">
        <f>MIN(MAX((YEAR(BD22)-YEAR($F$8))*12+MONTH(BD22)-MONTH($F$8),0),$F$9)</f>
        <v/>
      </c>
      <c r="BE32" s="10">
        <f>MIN(MAX((YEAR(BE22)-YEAR($F$8))*12+MONTH(BE22)-MONTH($F$8),0),$F$9)</f>
        <v/>
      </c>
      <c r="BF32" s="10">
        <f>MIN(MAX((YEAR(BF22)-YEAR($F$8))*12+MONTH(BF22)-MONTH($F$8),0),$F$9)</f>
        <v/>
      </c>
      <c r="BG32" s="10">
        <f>MIN(MAX((YEAR(BG22)-YEAR($F$8))*12+MONTH(BG22)-MONTH($F$8),0),$F$9)</f>
        <v/>
      </c>
      <c r="BH32" s="10">
        <f>MIN(MAX((YEAR(BH22)-YEAR($F$8))*12+MONTH(BH22)-MONTH($F$8),0),$F$9)</f>
        <v/>
      </c>
      <c r="BI32" s="10">
        <f>MIN(MAX((YEAR(BI22)-YEAR($F$8))*12+MONTH(BI22)-MONTH($F$8),0),$F$9)</f>
        <v/>
      </c>
      <c r="BJ32" s="10">
        <f>MIN(MAX((YEAR(BJ22)-YEAR($F$8))*12+MONTH(BJ22)-MONTH($F$8),0),$F$9)</f>
        <v/>
      </c>
      <c r="BK32" s="10">
        <f>MIN(MAX((YEAR(BK22)-YEAR($F$8))*12+MONTH(BK22)-MONTH($F$8),0),$F$9)</f>
        <v/>
      </c>
      <c r="BL32" s="10">
        <f>MIN(MAX((YEAR(BL22)-YEAR($F$8))*12+MONTH(BL22)-MONTH($F$8),0),$F$9)</f>
        <v/>
      </c>
      <c r="BM32" s="10">
        <f>MIN(MAX((YEAR(BM22)-YEAR($F$8))*12+MONTH(BM22)-MONTH($F$8),0),$F$9)</f>
        <v/>
      </c>
      <c r="BN32" s="10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10">
        <f>J32+J30</f>
        <v/>
      </c>
      <c r="K33" s="10">
        <f>K32+K30</f>
        <v/>
      </c>
      <c r="L33" s="10">
        <f>L32+L30</f>
        <v/>
      </c>
      <c r="M33" s="10">
        <f>M32+M30</f>
        <v/>
      </c>
      <c r="N33" s="10">
        <f>N32+N30</f>
        <v/>
      </c>
      <c r="O33" s="10">
        <f>O32+O30</f>
        <v/>
      </c>
      <c r="P33" s="10">
        <f>P32+P30</f>
        <v/>
      </c>
      <c r="Q33" s="10">
        <f>Q32+Q30</f>
        <v/>
      </c>
      <c r="R33" s="10">
        <f>R32+R30</f>
        <v/>
      </c>
      <c r="S33" s="10">
        <f>S32+S30</f>
        <v/>
      </c>
      <c r="T33" s="10">
        <f>T32+T30</f>
        <v/>
      </c>
      <c r="U33" s="10">
        <f>U32+U30</f>
        <v/>
      </c>
      <c r="V33" s="10">
        <f>V32+V30</f>
        <v/>
      </c>
      <c r="W33" s="10">
        <f>W32+W30</f>
        <v/>
      </c>
      <c r="X33" s="10">
        <f>X32+X30</f>
        <v/>
      </c>
      <c r="Y33" s="10">
        <f>Y32+Y30</f>
        <v/>
      </c>
      <c r="Z33" s="10">
        <f>Z32+Z30</f>
        <v/>
      </c>
      <c r="AA33" s="10">
        <f>AA32+AA30</f>
        <v/>
      </c>
      <c r="AB33" s="10">
        <f>AB32+AB30</f>
        <v/>
      </c>
      <c r="AC33" s="10">
        <f>AC32+AC30</f>
        <v/>
      </c>
      <c r="AD33" s="10">
        <f>AD32+AD30</f>
        <v/>
      </c>
      <c r="AE33" s="10">
        <f>AE32+AE30</f>
        <v/>
      </c>
      <c r="AF33" s="10">
        <f>AF32+AF30</f>
        <v/>
      </c>
      <c r="AG33" s="10">
        <f>AG32+AG30</f>
        <v/>
      </c>
      <c r="AH33" s="10">
        <f>AH32+AH30</f>
        <v/>
      </c>
      <c r="AI33" s="10">
        <f>AI32+AI30</f>
        <v/>
      </c>
      <c r="AJ33" s="10">
        <f>AJ32+AJ30</f>
        <v/>
      </c>
      <c r="AK33" s="10">
        <f>AK32+AK30</f>
        <v/>
      </c>
      <c r="AL33" s="10">
        <f>AL32+AL30</f>
        <v/>
      </c>
      <c r="AM33" s="10">
        <f>AM32+AM30</f>
        <v/>
      </c>
      <c r="AN33" s="10">
        <f>AN32+AN30</f>
        <v/>
      </c>
      <c r="AO33" s="10">
        <f>AO32+AO30</f>
        <v/>
      </c>
      <c r="AP33" s="10">
        <f>AP32+AP30</f>
        <v/>
      </c>
      <c r="AQ33" s="10">
        <f>AQ32+AQ30</f>
        <v/>
      </c>
      <c r="AR33" s="10">
        <f>AR32+AR30</f>
        <v/>
      </c>
      <c r="AS33" s="10">
        <f>AS32+AS30</f>
        <v/>
      </c>
      <c r="AT33" s="10">
        <f>AT32+AT30</f>
        <v/>
      </c>
      <c r="AU33" s="10">
        <f>AU32+AU30</f>
        <v/>
      </c>
      <c r="AV33" s="10">
        <f>AV32+AV30</f>
        <v/>
      </c>
      <c r="AW33" s="10">
        <f>AW32+AW30</f>
        <v/>
      </c>
      <c r="AX33" s="10">
        <f>AX32+AX30</f>
        <v/>
      </c>
      <c r="AY33" s="10">
        <f>AY32+AY30</f>
        <v/>
      </c>
      <c r="AZ33" s="10">
        <f>AZ32+AZ30</f>
        <v/>
      </c>
      <c r="BA33" s="10">
        <f>BA32+BA30</f>
        <v/>
      </c>
      <c r="BB33" s="10">
        <f>BB32+BB30</f>
        <v/>
      </c>
      <c r="BC33" s="10">
        <f>BC32+BC30</f>
        <v/>
      </c>
      <c r="BD33" s="10">
        <f>BD32+BD30</f>
        <v/>
      </c>
      <c r="BE33" s="10">
        <f>BE32+BE30</f>
        <v/>
      </c>
      <c r="BF33" s="10">
        <f>BF32+BF30</f>
        <v/>
      </c>
      <c r="BG33" s="10">
        <f>BG32+BG30</f>
        <v/>
      </c>
      <c r="BH33" s="10">
        <f>BH32+BH30</f>
        <v/>
      </c>
      <c r="BI33" s="10">
        <f>BI32+BI30</f>
        <v/>
      </c>
      <c r="BJ33" s="10">
        <f>BJ32+BJ30</f>
        <v/>
      </c>
      <c r="BK33" s="10">
        <f>BK32+BK30</f>
        <v/>
      </c>
      <c r="BL33" s="10">
        <f>BL32+BL30</f>
        <v/>
      </c>
      <c r="BM33" s="10">
        <f>BM32+BM30</f>
        <v/>
      </c>
      <c r="BN33" s="10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10">
        <f>IF(J20=$F$12,1,0)</f>
        <v/>
      </c>
      <c r="K34" s="10">
        <f>IF(K20=$F$12,1,0)</f>
        <v/>
      </c>
      <c r="L34" s="10">
        <f>IF(L20=$F$12,1,0)</f>
        <v/>
      </c>
      <c r="M34" s="10">
        <f>IF(M20=$F$12,1,0)</f>
        <v/>
      </c>
      <c r="N34" s="10">
        <f>IF(N20=$F$12,1,0)</f>
        <v/>
      </c>
      <c r="O34" s="10">
        <f>IF(O20=$F$12,1,0)</f>
        <v/>
      </c>
      <c r="P34" s="10">
        <f>IF(P20=$F$12,1,0)</f>
        <v/>
      </c>
      <c r="Q34" s="10">
        <f>IF(Q20=$F$12,1,0)</f>
        <v/>
      </c>
      <c r="R34" s="10">
        <f>IF(R20=$F$12,1,0)</f>
        <v/>
      </c>
      <c r="S34" s="10">
        <f>IF(S20=$F$12,1,0)</f>
        <v/>
      </c>
      <c r="T34" s="10">
        <f>IF(T20=$F$12,1,0)</f>
        <v/>
      </c>
      <c r="U34" s="10">
        <f>IF(U20=$F$12,1,0)</f>
        <v/>
      </c>
      <c r="V34" s="10">
        <f>IF(V20=$F$12,1,0)</f>
        <v/>
      </c>
      <c r="W34" s="10">
        <f>IF(W20=$F$12,1,0)</f>
        <v/>
      </c>
      <c r="X34" s="10">
        <f>IF(X20=$F$12,1,0)</f>
        <v/>
      </c>
      <c r="Y34" s="10">
        <f>IF(Y20=$F$12,1,0)</f>
        <v/>
      </c>
      <c r="Z34" s="10">
        <f>IF(Z20=$F$12,1,0)</f>
        <v/>
      </c>
      <c r="AA34" s="10">
        <f>IF(AA20=$F$12,1,0)</f>
        <v/>
      </c>
      <c r="AB34" s="10">
        <f>IF(AB20=$F$12,1,0)</f>
        <v/>
      </c>
      <c r="AC34" s="10">
        <f>IF(AC20=$F$12,1,0)</f>
        <v/>
      </c>
      <c r="AD34" s="10">
        <f>IF(AD20=$F$12,1,0)</f>
        <v/>
      </c>
      <c r="AE34" s="10">
        <f>IF(AE20=$F$12,1,0)</f>
        <v/>
      </c>
      <c r="AF34" s="10">
        <f>IF(AF20=$F$12,1,0)</f>
        <v/>
      </c>
      <c r="AG34" s="10">
        <f>IF(AG20=$F$12,1,0)</f>
        <v/>
      </c>
      <c r="AH34" s="10">
        <f>IF(AH20=$F$12,1,0)</f>
        <v/>
      </c>
      <c r="AI34" s="10">
        <f>IF(AI20=$F$12,1,0)</f>
        <v/>
      </c>
      <c r="AJ34" s="10">
        <f>IF(AJ20=$F$12,1,0)</f>
        <v/>
      </c>
      <c r="AK34" s="10">
        <f>IF(AK20=$F$12,1,0)</f>
        <v/>
      </c>
      <c r="AL34" s="10">
        <f>IF(AL20=$F$12,1,0)</f>
        <v/>
      </c>
      <c r="AM34" s="10">
        <f>IF(AM20=$F$12,1,0)</f>
        <v/>
      </c>
      <c r="AN34" s="10">
        <f>IF(AN20=$F$12,1,0)</f>
        <v/>
      </c>
      <c r="AO34" s="10">
        <f>IF(AO20=$F$12,1,0)</f>
        <v/>
      </c>
      <c r="AP34" s="10">
        <f>IF(AP20=$F$12,1,0)</f>
        <v/>
      </c>
      <c r="AQ34" s="10">
        <f>IF(AQ20=$F$12,1,0)</f>
        <v/>
      </c>
      <c r="AR34" s="10">
        <f>IF(AR20=$F$12,1,0)</f>
        <v/>
      </c>
      <c r="AS34" s="10">
        <f>IF(AS20=$F$12,1,0)</f>
        <v/>
      </c>
      <c r="AT34" s="10">
        <f>IF(AT20=$F$12,1,0)</f>
        <v/>
      </c>
      <c r="AU34" s="10">
        <f>IF(AU20=$F$12,1,0)</f>
        <v/>
      </c>
      <c r="AV34" s="10">
        <f>IF(AV20=$F$12,1,0)</f>
        <v/>
      </c>
      <c r="AW34" s="10">
        <f>IF(AW20=$F$12,1,0)</f>
        <v/>
      </c>
      <c r="AX34" s="10">
        <f>IF(AX20=$F$12,1,0)</f>
        <v/>
      </c>
      <c r="AY34" s="10">
        <f>IF(AY20=$F$12,1,0)</f>
        <v/>
      </c>
      <c r="AZ34" s="10">
        <f>IF(AZ20=$F$12,1,0)</f>
        <v/>
      </c>
      <c r="BA34" s="10">
        <f>IF(BA20=$F$12,1,0)</f>
        <v/>
      </c>
      <c r="BB34" s="10">
        <f>IF(BB20=$F$12,1,0)</f>
        <v/>
      </c>
      <c r="BC34" s="10">
        <f>IF(BC20=$F$12,1,0)</f>
        <v/>
      </c>
      <c r="BD34" s="10">
        <f>IF(BD20=$F$12,1,0)</f>
        <v/>
      </c>
      <c r="BE34" s="10">
        <f>IF(BE20=$F$12,1,0)</f>
        <v/>
      </c>
      <c r="BF34" s="10">
        <f>IF(BF20=$F$12,1,0)</f>
        <v/>
      </c>
      <c r="BG34" s="10">
        <f>IF(BG20=$F$12,1,0)</f>
        <v/>
      </c>
      <c r="BH34" s="10">
        <f>IF(BH20=$F$12,1,0)</f>
        <v/>
      </c>
      <c r="BI34" s="10">
        <f>IF(BI20=$F$12,1,0)</f>
        <v/>
      </c>
      <c r="BJ34" s="10">
        <f>IF(BJ20=$F$12,1,0)</f>
        <v/>
      </c>
      <c r="BK34" s="10">
        <f>IF(BK20=$F$12,1,0)</f>
        <v/>
      </c>
      <c r="BL34" s="10">
        <f>IF(BL20=$F$12,1,0)</f>
        <v/>
      </c>
      <c r="BM34" s="10">
        <f>IF(BM20=$F$12,1,0)</f>
        <v/>
      </c>
      <c r="BN34" s="10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10">
        <f>IF(J20&gt;$F$12,1,0)</f>
        <v/>
      </c>
      <c r="K35" s="10">
        <f>IF(K20&gt;$F$12,1,0)</f>
        <v/>
      </c>
      <c r="L35" s="10">
        <f>IF(L20&gt;$F$12,1,0)</f>
        <v/>
      </c>
      <c r="M35" s="10">
        <f>IF(M20&gt;$F$12,1,0)</f>
        <v/>
      </c>
      <c r="N35" s="10">
        <f>IF(N20&gt;$F$12,1,0)</f>
        <v/>
      </c>
      <c r="O35" s="10">
        <f>IF(O20&gt;$F$12,1,0)</f>
        <v/>
      </c>
      <c r="P35" s="10">
        <f>IF(P20&gt;$F$12,1,0)</f>
        <v/>
      </c>
      <c r="Q35" s="10">
        <f>IF(Q20&gt;$F$12,1,0)</f>
        <v/>
      </c>
      <c r="R35" s="10">
        <f>IF(R20&gt;$F$12,1,0)</f>
        <v/>
      </c>
      <c r="S35" s="10">
        <f>IF(S20&gt;$F$12,1,0)</f>
        <v/>
      </c>
      <c r="T35" s="10">
        <f>IF(T20&gt;$F$12,1,0)</f>
        <v/>
      </c>
      <c r="U35" s="10">
        <f>IF(U20&gt;$F$12,1,0)</f>
        <v/>
      </c>
      <c r="V35" s="10">
        <f>IF(V20&gt;$F$12,1,0)</f>
        <v/>
      </c>
      <c r="W35" s="10">
        <f>IF(W20&gt;$F$12,1,0)</f>
        <v/>
      </c>
      <c r="X35" s="10">
        <f>IF(X20&gt;$F$12,1,0)</f>
        <v/>
      </c>
      <c r="Y35" s="10">
        <f>IF(Y20&gt;$F$12,1,0)</f>
        <v/>
      </c>
      <c r="Z35" s="10">
        <f>IF(Z20&gt;$F$12,1,0)</f>
        <v/>
      </c>
      <c r="AA35" s="10">
        <f>IF(AA20&gt;$F$12,1,0)</f>
        <v/>
      </c>
      <c r="AB35" s="10">
        <f>IF(AB20&gt;$F$12,1,0)</f>
        <v/>
      </c>
      <c r="AC35" s="10">
        <f>IF(AC20&gt;$F$12,1,0)</f>
        <v/>
      </c>
      <c r="AD35" s="10">
        <f>IF(AD20&gt;$F$12,1,0)</f>
        <v/>
      </c>
      <c r="AE35" s="10">
        <f>IF(AE20&gt;$F$12,1,0)</f>
        <v/>
      </c>
      <c r="AF35" s="10">
        <f>IF(AF20&gt;$F$12,1,0)</f>
        <v/>
      </c>
      <c r="AG35" s="10">
        <f>IF(AG20&gt;$F$12,1,0)</f>
        <v/>
      </c>
      <c r="AH35" s="10">
        <f>IF(AH20&gt;$F$12,1,0)</f>
        <v/>
      </c>
      <c r="AI35" s="10">
        <f>IF(AI20&gt;$F$12,1,0)</f>
        <v/>
      </c>
      <c r="AJ35" s="10">
        <f>IF(AJ20&gt;$F$12,1,0)</f>
        <v/>
      </c>
      <c r="AK35" s="10">
        <f>IF(AK20&gt;$F$12,1,0)</f>
        <v/>
      </c>
      <c r="AL35" s="10">
        <f>IF(AL20&gt;$F$12,1,0)</f>
        <v/>
      </c>
      <c r="AM35" s="10">
        <f>IF(AM20&gt;$F$12,1,0)</f>
        <v/>
      </c>
      <c r="AN35" s="10">
        <f>IF(AN20&gt;$F$12,1,0)</f>
        <v/>
      </c>
      <c r="AO35" s="10">
        <f>IF(AO20&gt;$F$12,1,0)</f>
        <v/>
      </c>
      <c r="AP35" s="10">
        <f>IF(AP20&gt;$F$12,1,0)</f>
        <v/>
      </c>
      <c r="AQ35" s="10">
        <f>IF(AQ20&gt;$F$12,1,0)</f>
        <v/>
      </c>
      <c r="AR35" s="10">
        <f>IF(AR20&gt;$F$12,1,0)</f>
        <v/>
      </c>
      <c r="AS35" s="10">
        <f>IF(AS20&gt;$F$12,1,0)</f>
        <v/>
      </c>
      <c r="AT35" s="10">
        <f>IF(AT20&gt;$F$12,1,0)</f>
        <v/>
      </c>
      <c r="AU35" s="10">
        <f>IF(AU20&gt;$F$12,1,0)</f>
        <v/>
      </c>
      <c r="AV35" s="10">
        <f>IF(AV20&gt;$F$12,1,0)</f>
        <v/>
      </c>
      <c r="AW35" s="10">
        <f>IF(AW20&gt;$F$12,1,0)</f>
        <v/>
      </c>
      <c r="AX35" s="10">
        <f>IF(AX20&gt;$F$12,1,0)</f>
        <v/>
      </c>
      <c r="AY35" s="10">
        <f>IF(AY20&gt;$F$12,1,0)</f>
        <v/>
      </c>
      <c r="AZ35" s="10">
        <f>IF(AZ20&gt;$F$12,1,0)</f>
        <v/>
      </c>
      <c r="BA35" s="10">
        <f>IF(BA20&gt;$F$12,1,0)</f>
        <v/>
      </c>
      <c r="BB35" s="10">
        <f>IF(BB20&gt;$F$12,1,0)</f>
        <v/>
      </c>
      <c r="BC35" s="10">
        <f>IF(BC20&gt;$F$12,1,0)</f>
        <v/>
      </c>
      <c r="BD35" s="10">
        <f>IF(BD20&gt;$F$12,1,0)</f>
        <v/>
      </c>
      <c r="BE35" s="10">
        <f>IF(BE20&gt;$F$12,1,0)</f>
        <v/>
      </c>
      <c r="BF35" s="10">
        <f>IF(BF20&gt;$F$12,1,0)</f>
        <v/>
      </c>
      <c r="BG35" s="10">
        <f>IF(BG20&gt;$F$12,1,0)</f>
        <v/>
      </c>
      <c r="BH35" s="10">
        <f>IF(BH20&gt;$F$12,1,0)</f>
        <v/>
      </c>
      <c r="BI35" s="10">
        <f>IF(BI20&gt;$F$12,1,0)</f>
        <v/>
      </c>
      <c r="BJ35" s="10">
        <f>IF(BJ20&gt;$F$12,1,0)</f>
        <v/>
      </c>
      <c r="BK35" s="10">
        <f>IF(BK20&gt;$F$12,1,0)</f>
        <v/>
      </c>
      <c r="BL35" s="10">
        <f>IF(BL20&gt;$F$12,1,0)</f>
        <v/>
      </c>
      <c r="BM35" s="10">
        <f>IF(BM20&gt;$F$12,1,0)</f>
        <v/>
      </c>
      <c r="BN35" s="10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10">
        <f>IF(J30&gt;0,1,0)</f>
        <v/>
      </c>
      <c r="K36" s="10">
        <f>IF(K30&gt;0,1,0)</f>
        <v/>
      </c>
      <c r="L36" s="10">
        <f>IF(L30&gt;0,1,0)</f>
        <v/>
      </c>
      <c r="M36" s="10">
        <f>IF(M30&gt;0,1,0)</f>
        <v/>
      </c>
      <c r="N36" s="10">
        <f>IF(N30&gt;0,1,0)</f>
        <v/>
      </c>
      <c r="O36" s="10">
        <f>IF(O30&gt;0,1,0)</f>
        <v/>
      </c>
      <c r="P36" s="10">
        <f>IF(P30&gt;0,1,0)</f>
        <v/>
      </c>
      <c r="Q36" s="10">
        <f>IF(Q30&gt;0,1,0)</f>
        <v/>
      </c>
      <c r="R36" s="10">
        <f>IF(R30&gt;0,1,0)</f>
        <v/>
      </c>
      <c r="S36" s="10">
        <f>IF(S30&gt;0,1,0)</f>
        <v/>
      </c>
      <c r="T36" s="10">
        <f>IF(T30&gt;0,1,0)</f>
        <v/>
      </c>
      <c r="U36" s="10">
        <f>IF(U30&gt;0,1,0)</f>
        <v/>
      </c>
      <c r="V36" s="10">
        <f>IF(V30&gt;0,1,0)</f>
        <v/>
      </c>
      <c r="W36" s="10">
        <f>IF(W30&gt;0,1,0)</f>
        <v/>
      </c>
      <c r="X36" s="10">
        <f>IF(X30&gt;0,1,0)</f>
        <v/>
      </c>
      <c r="Y36" s="10">
        <f>IF(Y30&gt;0,1,0)</f>
        <v/>
      </c>
      <c r="Z36" s="10">
        <f>IF(Z30&gt;0,1,0)</f>
        <v/>
      </c>
      <c r="AA36" s="10">
        <f>IF(AA30&gt;0,1,0)</f>
        <v/>
      </c>
      <c r="AB36" s="10">
        <f>IF(AB30&gt;0,1,0)</f>
        <v/>
      </c>
      <c r="AC36" s="10">
        <f>IF(AC30&gt;0,1,0)</f>
        <v/>
      </c>
      <c r="AD36" s="10">
        <f>IF(AD30&gt;0,1,0)</f>
        <v/>
      </c>
      <c r="AE36" s="10">
        <f>IF(AE30&gt;0,1,0)</f>
        <v/>
      </c>
      <c r="AF36" s="10">
        <f>IF(AF30&gt;0,1,0)</f>
        <v/>
      </c>
      <c r="AG36" s="10">
        <f>IF(AG30&gt;0,1,0)</f>
        <v/>
      </c>
      <c r="AH36" s="10">
        <f>IF(AH30&gt;0,1,0)</f>
        <v/>
      </c>
      <c r="AI36" s="10">
        <f>IF(AI30&gt;0,1,0)</f>
        <v/>
      </c>
      <c r="AJ36" s="10">
        <f>IF(AJ30&gt;0,1,0)</f>
        <v/>
      </c>
      <c r="AK36" s="10">
        <f>IF(AK30&gt;0,1,0)</f>
        <v/>
      </c>
      <c r="AL36" s="10">
        <f>IF(AL30&gt;0,1,0)</f>
        <v/>
      </c>
      <c r="AM36" s="10">
        <f>IF(AM30&gt;0,1,0)</f>
        <v/>
      </c>
      <c r="AN36" s="10">
        <f>IF(AN30&gt;0,1,0)</f>
        <v/>
      </c>
      <c r="AO36" s="10">
        <f>IF(AO30&gt;0,1,0)</f>
        <v/>
      </c>
      <c r="AP36" s="10">
        <f>IF(AP30&gt;0,1,0)</f>
        <v/>
      </c>
      <c r="AQ36" s="10">
        <f>IF(AQ30&gt;0,1,0)</f>
        <v/>
      </c>
      <c r="AR36" s="10">
        <f>IF(AR30&gt;0,1,0)</f>
        <v/>
      </c>
      <c r="AS36" s="10">
        <f>IF(AS30&gt;0,1,0)</f>
        <v/>
      </c>
      <c r="AT36" s="10">
        <f>IF(AT30&gt;0,1,0)</f>
        <v/>
      </c>
      <c r="AU36" s="10">
        <f>IF(AU30&gt;0,1,0)</f>
        <v/>
      </c>
      <c r="AV36" s="10">
        <f>IF(AV30&gt;0,1,0)</f>
        <v/>
      </c>
      <c r="AW36" s="10">
        <f>IF(AW30&gt;0,1,0)</f>
        <v/>
      </c>
      <c r="AX36" s="10">
        <f>IF(AX30&gt;0,1,0)</f>
        <v/>
      </c>
      <c r="AY36" s="10">
        <f>IF(AY30&gt;0,1,0)</f>
        <v/>
      </c>
      <c r="AZ36" s="10">
        <f>IF(AZ30&gt;0,1,0)</f>
        <v/>
      </c>
      <c r="BA36" s="10">
        <f>IF(BA30&gt;0,1,0)</f>
        <v/>
      </c>
      <c r="BB36" s="10">
        <f>IF(BB30&gt;0,1,0)</f>
        <v/>
      </c>
      <c r="BC36" s="10">
        <f>IF(BC30&gt;0,1,0)</f>
        <v/>
      </c>
      <c r="BD36" s="10">
        <f>IF(BD30&gt;0,1,0)</f>
        <v/>
      </c>
      <c r="BE36" s="10">
        <f>IF(BE30&gt;0,1,0)</f>
        <v/>
      </c>
      <c r="BF36" s="10">
        <f>IF(BF30&gt;0,1,0)</f>
        <v/>
      </c>
      <c r="BG36" s="10">
        <f>IF(BG30&gt;0,1,0)</f>
        <v/>
      </c>
      <c r="BH36" s="10">
        <f>IF(BH30&gt;0,1,0)</f>
        <v/>
      </c>
      <c r="BI36" s="10">
        <f>IF(BI30&gt;0,1,0)</f>
        <v/>
      </c>
      <c r="BJ36" s="10">
        <f>IF(BJ30&gt;0,1,0)</f>
        <v/>
      </c>
      <c r="BK36" s="10">
        <f>IF(BK30&gt;0,1,0)</f>
        <v/>
      </c>
      <c r="BL36" s="10">
        <f>IF(BL30&gt;0,1,0)</f>
        <v/>
      </c>
      <c r="BM36" s="10">
        <f>IF(BM30&gt;0,1,0)</f>
        <v/>
      </c>
      <c r="BN36" s="10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10">
        <f>IF(AND(J30&gt;0,K30=0),1,0)</f>
        <v/>
      </c>
      <c r="K37" s="10">
        <f>IF(AND(K30&gt;0,L30=0),1,0)</f>
        <v/>
      </c>
      <c r="L37" s="10">
        <f>IF(AND(L30&gt;0,M30=0),1,0)</f>
        <v/>
      </c>
      <c r="M37" s="10">
        <f>IF(AND(M30&gt;0,N30=0),1,0)</f>
        <v/>
      </c>
      <c r="N37" s="10">
        <f>IF(AND(N30&gt;0,O30=0),1,0)</f>
        <v/>
      </c>
      <c r="O37" s="10">
        <f>IF(AND(O30&gt;0,P30=0),1,0)</f>
        <v/>
      </c>
      <c r="P37" s="10">
        <f>IF(AND(P30&gt;0,Q30=0),1,0)</f>
        <v/>
      </c>
      <c r="Q37" s="10">
        <f>IF(AND(Q30&gt;0,R30=0),1,0)</f>
        <v/>
      </c>
      <c r="R37" s="10">
        <f>IF(AND(R30&gt;0,S30=0),1,0)</f>
        <v/>
      </c>
      <c r="S37" s="10">
        <f>IF(AND(S30&gt;0,T30=0),1,0)</f>
        <v/>
      </c>
      <c r="T37" s="10">
        <f>IF(AND(T30&gt;0,U30=0),1,0)</f>
        <v/>
      </c>
      <c r="U37" s="10">
        <f>IF(AND(U30&gt;0,V30=0),1,0)</f>
        <v/>
      </c>
      <c r="V37" s="10">
        <f>IF(AND(V30&gt;0,W30=0),1,0)</f>
        <v/>
      </c>
      <c r="W37" s="10">
        <f>IF(AND(W30&gt;0,X30=0),1,0)</f>
        <v/>
      </c>
      <c r="X37" s="10">
        <f>IF(AND(X30&gt;0,Y30=0),1,0)</f>
        <v/>
      </c>
      <c r="Y37" s="10">
        <f>IF(AND(Y30&gt;0,Z30=0),1,0)</f>
        <v/>
      </c>
      <c r="Z37" s="10">
        <f>IF(AND(Z30&gt;0,AA30=0),1,0)</f>
        <v/>
      </c>
      <c r="AA37" s="10">
        <f>IF(AND(AA30&gt;0,AB30=0),1,0)</f>
        <v/>
      </c>
      <c r="AB37" s="10">
        <f>IF(AND(AB30&gt;0,AC30=0),1,0)</f>
        <v/>
      </c>
      <c r="AC37" s="10">
        <f>IF(AND(AC30&gt;0,AD30=0),1,0)</f>
        <v/>
      </c>
      <c r="AD37" s="10">
        <f>IF(AND(AD30&gt;0,AE30=0),1,0)</f>
        <v/>
      </c>
      <c r="AE37" s="10">
        <f>IF(AND(AE30&gt;0,AF30=0),1,0)</f>
        <v/>
      </c>
      <c r="AF37" s="10">
        <f>IF(AND(AF30&gt;0,AG30=0),1,0)</f>
        <v/>
      </c>
      <c r="AG37" s="10">
        <f>IF(AND(AG30&gt;0,AH30=0),1,0)</f>
        <v/>
      </c>
      <c r="AH37" s="10">
        <f>IF(AND(AH30&gt;0,AI30=0),1,0)</f>
        <v/>
      </c>
      <c r="AI37" s="10">
        <f>IF(AND(AI30&gt;0,AJ30=0),1,0)</f>
        <v/>
      </c>
      <c r="AJ37" s="10">
        <f>IF(AND(AJ30&gt;0,AK30=0),1,0)</f>
        <v/>
      </c>
      <c r="AK37" s="10">
        <f>IF(AND(AK30&gt;0,AL30=0),1,0)</f>
        <v/>
      </c>
      <c r="AL37" s="10">
        <f>IF(AND(AL30&gt;0,AM30=0),1,0)</f>
        <v/>
      </c>
      <c r="AM37" s="10">
        <f>IF(AND(AM30&gt;0,AN30=0),1,0)</f>
        <v/>
      </c>
      <c r="AN37" s="10">
        <f>IF(AND(AN30&gt;0,AO30=0),1,0)</f>
        <v/>
      </c>
      <c r="AO37" s="10">
        <f>IF(AND(AO30&gt;0,AP30=0),1,0)</f>
        <v/>
      </c>
      <c r="AP37" s="10">
        <f>IF(AND(AP30&gt;0,AQ30=0),1,0)</f>
        <v/>
      </c>
      <c r="AQ37" s="10">
        <f>IF(AND(AQ30&gt;0,AR30=0),1,0)</f>
        <v/>
      </c>
      <c r="AR37" s="10">
        <f>IF(AND(AR30&gt;0,AS30=0),1,0)</f>
        <v/>
      </c>
      <c r="AS37" s="10">
        <f>IF(AND(AS30&gt;0,AT30=0),1,0)</f>
        <v/>
      </c>
      <c r="AT37" s="10">
        <f>IF(AND(AT30&gt;0,AU30=0),1,0)</f>
        <v/>
      </c>
      <c r="AU37" s="10">
        <f>IF(AND(AU30&gt;0,AV30=0),1,0)</f>
        <v/>
      </c>
      <c r="AV37" s="10">
        <f>IF(AND(AV30&gt;0,AW30=0),1,0)</f>
        <v/>
      </c>
      <c r="AW37" s="10">
        <f>IF(AND(AW30&gt;0,AX30=0),1,0)</f>
        <v/>
      </c>
      <c r="AX37" s="10">
        <f>IF(AND(AX30&gt;0,AY30=0),1,0)</f>
        <v/>
      </c>
      <c r="AY37" s="10">
        <f>IF(AND(AY30&gt;0,AZ30=0),1,0)</f>
        <v/>
      </c>
      <c r="AZ37" s="10">
        <f>IF(AND(AZ30&gt;0,BA30=0),1,0)</f>
        <v/>
      </c>
      <c r="BA37" s="10">
        <f>IF(AND(BA30&gt;0,BB30=0),1,0)</f>
        <v/>
      </c>
      <c r="BB37" s="10">
        <f>IF(AND(BB30&gt;0,BC30=0),1,0)</f>
        <v/>
      </c>
      <c r="BC37" s="10">
        <f>IF(AND(BC30&gt;0,BD30=0),1,0)</f>
        <v/>
      </c>
      <c r="BD37" s="10">
        <f>IF(AND(BD30&gt;0,BE30=0),1,0)</f>
        <v/>
      </c>
      <c r="BE37" s="10">
        <f>IF(AND(BE30&gt;0,BF30=0),1,0)</f>
        <v/>
      </c>
      <c r="BF37" s="10">
        <f>IF(AND(BF30&gt;0,BG30=0),1,0)</f>
        <v/>
      </c>
      <c r="BG37" s="10">
        <f>IF(AND(BG30&gt;0,BH30=0),1,0)</f>
        <v/>
      </c>
      <c r="BH37" s="10">
        <f>IF(AND(BH30&gt;0,BI30=0),1,0)</f>
        <v/>
      </c>
      <c r="BI37" s="10">
        <f>IF(AND(BI30&gt;0,BJ30=0),1,0)</f>
        <v/>
      </c>
      <c r="BJ37" s="10">
        <f>IF(AND(BJ30&gt;0,BK30=0),1,0)</f>
        <v/>
      </c>
      <c r="BK37" s="10">
        <f>IF(AND(BK30&gt;0,BL30=0),1,0)</f>
        <v/>
      </c>
      <c r="BL37" s="10">
        <f>IF(AND(BL30&gt;0,BM30=0),1,0)</f>
        <v/>
      </c>
      <c r="BM37" s="10">
        <f>IF(AND(BM30&gt;0,BN30=0),1,0)</f>
        <v/>
      </c>
      <c r="BN37" s="10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10">
        <f>IF(AND(J22&gt;=Inputs!$F$193,J22&lt;EDATE(Inputs!$F$193,Inputs!$F$211)),1,0)</f>
        <v/>
      </c>
      <c r="K38" s="10">
        <f>IF(AND(K22&gt;=Inputs!$F$193,K22&lt;EDATE(Inputs!$F$193,Inputs!$F$211)),1,0)</f>
        <v/>
      </c>
      <c r="L38" s="10">
        <f>IF(AND(L22&gt;=Inputs!$F$193,L22&lt;EDATE(Inputs!$F$193,Inputs!$F$211)),1,0)</f>
        <v/>
      </c>
      <c r="M38" s="10">
        <f>IF(AND(M22&gt;=Inputs!$F$193,M22&lt;EDATE(Inputs!$F$193,Inputs!$F$211)),1,0)</f>
        <v/>
      </c>
      <c r="N38" s="10">
        <f>IF(AND(N22&gt;=Inputs!$F$193,N22&lt;EDATE(Inputs!$F$193,Inputs!$F$211)),1,0)</f>
        <v/>
      </c>
      <c r="O38" s="10">
        <f>IF(AND(O22&gt;=Inputs!$F$193,O22&lt;EDATE(Inputs!$F$193,Inputs!$F$211)),1,0)</f>
        <v/>
      </c>
      <c r="P38" s="10">
        <f>IF(AND(P22&gt;=Inputs!$F$193,P22&lt;EDATE(Inputs!$F$193,Inputs!$F$211)),1,0)</f>
        <v/>
      </c>
      <c r="Q38" s="10">
        <f>IF(AND(Q22&gt;=Inputs!$F$193,Q22&lt;EDATE(Inputs!$F$193,Inputs!$F$211)),1,0)</f>
        <v/>
      </c>
      <c r="R38" s="10">
        <f>IF(AND(R22&gt;=Inputs!$F$193,R22&lt;EDATE(Inputs!$F$193,Inputs!$F$211)),1,0)</f>
        <v/>
      </c>
      <c r="S38" s="10">
        <f>IF(AND(S22&gt;=Inputs!$F$193,S22&lt;EDATE(Inputs!$F$193,Inputs!$F$211)),1,0)</f>
        <v/>
      </c>
      <c r="T38" s="10">
        <f>IF(AND(T22&gt;=Inputs!$F$193,T22&lt;EDATE(Inputs!$F$193,Inputs!$F$211)),1,0)</f>
        <v/>
      </c>
      <c r="U38" s="10">
        <f>IF(AND(U22&gt;=Inputs!$F$193,U22&lt;EDATE(Inputs!$F$193,Inputs!$F$211)),1,0)</f>
        <v/>
      </c>
      <c r="V38" s="10">
        <f>IF(AND(V22&gt;=Inputs!$F$193,V22&lt;EDATE(Inputs!$F$193,Inputs!$F$211)),1,0)</f>
        <v/>
      </c>
      <c r="W38" s="10">
        <f>IF(AND(W22&gt;=Inputs!$F$193,W22&lt;EDATE(Inputs!$F$193,Inputs!$F$211)),1,0)</f>
        <v/>
      </c>
      <c r="X38" s="10">
        <f>IF(AND(X22&gt;=Inputs!$F$193,X22&lt;EDATE(Inputs!$F$193,Inputs!$F$211)),1,0)</f>
        <v/>
      </c>
      <c r="Y38" s="10">
        <f>IF(AND(Y22&gt;=Inputs!$F$193,Y22&lt;EDATE(Inputs!$F$193,Inputs!$F$211)),1,0)</f>
        <v/>
      </c>
      <c r="Z38" s="10">
        <f>IF(AND(Z22&gt;=Inputs!$F$193,Z22&lt;EDATE(Inputs!$F$193,Inputs!$F$211)),1,0)</f>
        <v/>
      </c>
      <c r="AA38" s="10">
        <f>IF(AND(AA22&gt;=Inputs!$F$193,AA22&lt;EDATE(Inputs!$F$193,Inputs!$F$211)),1,0)</f>
        <v/>
      </c>
      <c r="AB38" s="10">
        <f>IF(AND(AB22&gt;=Inputs!$F$193,AB22&lt;EDATE(Inputs!$F$193,Inputs!$F$211)),1,0)</f>
        <v/>
      </c>
      <c r="AC38" s="10">
        <f>IF(AND(AC22&gt;=Inputs!$F$193,AC22&lt;EDATE(Inputs!$F$193,Inputs!$F$211)),1,0)</f>
        <v/>
      </c>
      <c r="AD38" s="10">
        <f>IF(AND(AD22&gt;=Inputs!$F$193,AD22&lt;EDATE(Inputs!$F$193,Inputs!$F$211)),1,0)</f>
        <v/>
      </c>
      <c r="AE38" s="10">
        <f>IF(AND(AE22&gt;=Inputs!$F$193,AE22&lt;EDATE(Inputs!$F$193,Inputs!$F$211)),1,0)</f>
        <v/>
      </c>
      <c r="AF38" s="10">
        <f>IF(AND(AF22&gt;=Inputs!$F$193,AF22&lt;EDATE(Inputs!$F$193,Inputs!$F$211)),1,0)</f>
        <v/>
      </c>
      <c r="AG38" s="10">
        <f>IF(AND(AG22&gt;=Inputs!$F$193,AG22&lt;EDATE(Inputs!$F$193,Inputs!$F$211)),1,0)</f>
        <v/>
      </c>
      <c r="AH38" s="10">
        <f>IF(AND(AH22&gt;=Inputs!$F$193,AH22&lt;EDATE(Inputs!$F$193,Inputs!$F$211)),1,0)</f>
        <v/>
      </c>
      <c r="AI38" s="10">
        <f>IF(AND(AI22&gt;=Inputs!$F$193,AI22&lt;EDATE(Inputs!$F$193,Inputs!$F$211)),1,0)</f>
        <v/>
      </c>
      <c r="AJ38" s="10">
        <f>IF(AND(AJ22&gt;=Inputs!$F$193,AJ22&lt;EDATE(Inputs!$F$193,Inputs!$F$211)),1,0)</f>
        <v/>
      </c>
      <c r="AK38" s="10">
        <f>IF(AND(AK22&gt;=Inputs!$F$193,AK22&lt;EDATE(Inputs!$F$193,Inputs!$F$211)),1,0)</f>
        <v/>
      </c>
      <c r="AL38" s="10">
        <f>IF(AND(AL22&gt;=Inputs!$F$193,AL22&lt;EDATE(Inputs!$F$193,Inputs!$F$211)),1,0)</f>
        <v/>
      </c>
      <c r="AM38" s="10">
        <f>IF(AND(AM22&gt;=Inputs!$F$193,AM22&lt;EDATE(Inputs!$F$193,Inputs!$F$211)),1,0)</f>
        <v/>
      </c>
      <c r="AN38" s="10">
        <f>IF(AND(AN22&gt;=Inputs!$F$193,AN22&lt;EDATE(Inputs!$F$193,Inputs!$F$211)),1,0)</f>
        <v/>
      </c>
      <c r="AO38" s="10">
        <f>IF(AND(AO22&gt;=Inputs!$F$193,AO22&lt;EDATE(Inputs!$F$193,Inputs!$F$211)),1,0)</f>
        <v/>
      </c>
      <c r="AP38" s="10">
        <f>IF(AND(AP22&gt;=Inputs!$F$193,AP22&lt;EDATE(Inputs!$F$193,Inputs!$F$211)),1,0)</f>
        <v/>
      </c>
      <c r="AQ38" s="10">
        <f>IF(AND(AQ22&gt;=Inputs!$F$193,AQ22&lt;EDATE(Inputs!$F$193,Inputs!$F$211)),1,0)</f>
        <v/>
      </c>
      <c r="AR38" s="10">
        <f>IF(AND(AR22&gt;=Inputs!$F$193,AR22&lt;EDATE(Inputs!$F$193,Inputs!$F$211)),1,0)</f>
        <v/>
      </c>
      <c r="AS38" s="10">
        <f>IF(AND(AS22&gt;=Inputs!$F$193,AS22&lt;EDATE(Inputs!$F$193,Inputs!$F$211)),1,0)</f>
        <v/>
      </c>
      <c r="AT38" s="10">
        <f>IF(AND(AT22&gt;=Inputs!$F$193,AT22&lt;EDATE(Inputs!$F$193,Inputs!$F$211)),1,0)</f>
        <v/>
      </c>
      <c r="AU38" s="10">
        <f>IF(AND(AU22&gt;=Inputs!$F$193,AU22&lt;EDATE(Inputs!$F$193,Inputs!$F$211)),1,0)</f>
        <v/>
      </c>
      <c r="AV38" s="10">
        <f>IF(AND(AV22&gt;=Inputs!$F$193,AV22&lt;EDATE(Inputs!$F$193,Inputs!$F$211)),1,0)</f>
        <v/>
      </c>
      <c r="AW38" s="10">
        <f>IF(AND(AW22&gt;=Inputs!$F$193,AW22&lt;EDATE(Inputs!$F$193,Inputs!$F$211)),1,0)</f>
        <v/>
      </c>
      <c r="AX38" s="10">
        <f>IF(AND(AX22&gt;=Inputs!$F$193,AX22&lt;EDATE(Inputs!$F$193,Inputs!$F$211)),1,0)</f>
        <v/>
      </c>
      <c r="AY38" s="10">
        <f>IF(AND(AY22&gt;=Inputs!$F$193,AY22&lt;EDATE(Inputs!$F$193,Inputs!$F$211)),1,0)</f>
        <v/>
      </c>
      <c r="AZ38" s="10">
        <f>IF(AND(AZ22&gt;=Inputs!$F$193,AZ22&lt;EDATE(Inputs!$F$193,Inputs!$F$211)),1,0)</f>
        <v/>
      </c>
      <c r="BA38" s="10">
        <f>IF(AND(BA22&gt;=Inputs!$F$193,BA22&lt;EDATE(Inputs!$F$193,Inputs!$F$211)),1,0)</f>
        <v/>
      </c>
      <c r="BB38" s="10">
        <f>IF(AND(BB22&gt;=Inputs!$F$193,BB22&lt;EDATE(Inputs!$F$193,Inputs!$F$211)),1,0)</f>
        <v/>
      </c>
      <c r="BC38" s="10">
        <f>IF(AND(BC22&gt;=Inputs!$F$193,BC22&lt;EDATE(Inputs!$F$193,Inputs!$F$211)),1,0)</f>
        <v/>
      </c>
      <c r="BD38" s="10">
        <f>IF(AND(BD22&gt;=Inputs!$F$193,BD22&lt;EDATE(Inputs!$F$193,Inputs!$F$211)),1,0)</f>
        <v/>
      </c>
      <c r="BE38" s="10">
        <f>IF(AND(BE22&gt;=Inputs!$F$193,BE22&lt;EDATE(Inputs!$F$193,Inputs!$F$211)),1,0)</f>
        <v/>
      </c>
      <c r="BF38" s="10">
        <f>IF(AND(BF22&gt;=Inputs!$F$193,BF22&lt;EDATE(Inputs!$F$193,Inputs!$F$211)),1,0)</f>
        <v/>
      </c>
      <c r="BG38" s="10">
        <f>IF(AND(BG22&gt;=Inputs!$F$193,BG22&lt;EDATE(Inputs!$F$193,Inputs!$F$211)),1,0)</f>
        <v/>
      </c>
      <c r="BH38" s="10">
        <f>IF(AND(BH22&gt;=Inputs!$F$193,BH22&lt;EDATE(Inputs!$F$193,Inputs!$F$211)),1,0)</f>
        <v/>
      </c>
      <c r="BI38" s="10">
        <f>IF(AND(BI22&gt;=Inputs!$F$193,BI22&lt;EDATE(Inputs!$F$193,Inputs!$F$211)),1,0)</f>
        <v/>
      </c>
      <c r="BJ38" s="10">
        <f>IF(AND(BJ22&gt;=Inputs!$F$193,BJ22&lt;EDATE(Inputs!$F$193,Inputs!$F$211)),1,0)</f>
        <v/>
      </c>
      <c r="BK38" s="10">
        <f>IF(AND(BK22&gt;=Inputs!$F$193,BK22&lt;EDATE(Inputs!$F$193,Inputs!$F$211)),1,0)</f>
        <v/>
      </c>
      <c r="BL38" s="10">
        <f>IF(AND(BL22&gt;=Inputs!$F$193,BL22&lt;EDATE(Inputs!$F$193,Inputs!$F$211)),1,0)</f>
        <v/>
      </c>
      <c r="BM38" s="10">
        <f>IF(AND(BM22&gt;=Inputs!$F$193,BM22&lt;EDATE(Inputs!$F$193,Inputs!$F$211)),1,0)</f>
        <v/>
      </c>
      <c r="BN38" s="10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10">
        <f>IF(J22&gt;=Inputs!$F$193,1,0)</f>
        <v/>
      </c>
      <c r="K39" s="10">
        <f>IF(K22&gt;=Inputs!$F$193,1,0)</f>
        <v/>
      </c>
      <c r="L39" s="10">
        <f>IF(L22&gt;=Inputs!$F$193,1,0)</f>
        <v/>
      </c>
      <c r="M39" s="10">
        <f>IF(M22&gt;=Inputs!$F$193,1,0)</f>
        <v/>
      </c>
      <c r="N39" s="10">
        <f>IF(N22&gt;=Inputs!$F$193,1,0)</f>
        <v/>
      </c>
      <c r="O39" s="10">
        <f>IF(O22&gt;=Inputs!$F$193,1,0)</f>
        <v/>
      </c>
      <c r="P39" s="10">
        <f>IF(P22&gt;=Inputs!$F$193,1,0)</f>
        <v/>
      </c>
      <c r="Q39" s="10">
        <f>IF(Q22&gt;=Inputs!$F$193,1,0)</f>
        <v/>
      </c>
      <c r="R39" s="10">
        <f>IF(R22&gt;=Inputs!$F$193,1,0)</f>
        <v/>
      </c>
      <c r="S39" s="10">
        <f>IF(S22&gt;=Inputs!$F$193,1,0)</f>
        <v/>
      </c>
      <c r="T39" s="10">
        <f>IF(T22&gt;=Inputs!$F$193,1,0)</f>
        <v/>
      </c>
      <c r="U39" s="10">
        <f>IF(U22&gt;=Inputs!$F$193,1,0)</f>
        <v/>
      </c>
      <c r="V39" s="10">
        <f>IF(V22&gt;=Inputs!$F$193,1,0)</f>
        <v/>
      </c>
      <c r="W39" s="10">
        <f>IF(W22&gt;=Inputs!$F$193,1,0)</f>
        <v/>
      </c>
      <c r="X39" s="10">
        <f>IF(X22&gt;=Inputs!$F$193,1,0)</f>
        <v/>
      </c>
      <c r="Y39" s="10">
        <f>IF(Y22&gt;=Inputs!$F$193,1,0)</f>
        <v/>
      </c>
      <c r="Z39" s="10">
        <f>IF(Z22&gt;=Inputs!$F$193,1,0)</f>
        <v/>
      </c>
      <c r="AA39" s="10">
        <f>IF(AA22&gt;=Inputs!$F$193,1,0)</f>
        <v/>
      </c>
      <c r="AB39" s="10">
        <f>IF(AB22&gt;=Inputs!$F$193,1,0)</f>
        <v/>
      </c>
      <c r="AC39" s="10">
        <f>IF(AC22&gt;=Inputs!$F$193,1,0)</f>
        <v/>
      </c>
      <c r="AD39" s="10">
        <f>IF(AD22&gt;=Inputs!$F$193,1,0)</f>
        <v/>
      </c>
      <c r="AE39" s="10">
        <f>IF(AE22&gt;=Inputs!$F$193,1,0)</f>
        <v/>
      </c>
      <c r="AF39" s="10">
        <f>IF(AF22&gt;=Inputs!$F$193,1,0)</f>
        <v/>
      </c>
      <c r="AG39" s="10">
        <f>IF(AG22&gt;=Inputs!$F$193,1,0)</f>
        <v/>
      </c>
      <c r="AH39" s="10">
        <f>IF(AH22&gt;=Inputs!$F$193,1,0)</f>
        <v/>
      </c>
      <c r="AI39" s="10">
        <f>IF(AI22&gt;=Inputs!$F$193,1,0)</f>
        <v/>
      </c>
      <c r="AJ39" s="10">
        <f>IF(AJ22&gt;=Inputs!$F$193,1,0)</f>
        <v/>
      </c>
      <c r="AK39" s="10">
        <f>IF(AK22&gt;=Inputs!$F$193,1,0)</f>
        <v/>
      </c>
      <c r="AL39" s="10">
        <f>IF(AL22&gt;=Inputs!$F$193,1,0)</f>
        <v/>
      </c>
      <c r="AM39" s="10">
        <f>IF(AM22&gt;=Inputs!$F$193,1,0)</f>
        <v/>
      </c>
      <c r="AN39" s="10">
        <f>IF(AN22&gt;=Inputs!$F$193,1,0)</f>
        <v/>
      </c>
      <c r="AO39" s="10">
        <f>IF(AO22&gt;=Inputs!$F$193,1,0)</f>
        <v/>
      </c>
      <c r="AP39" s="10">
        <f>IF(AP22&gt;=Inputs!$F$193,1,0)</f>
        <v/>
      </c>
      <c r="AQ39" s="10">
        <f>IF(AQ22&gt;=Inputs!$F$193,1,0)</f>
        <v/>
      </c>
      <c r="AR39" s="10">
        <f>IF(AR22&gt;=Inputs!$F$193,1,0)</f>
        <v/>
      </c>
      <c r="AS39" s="10">
        <f>IF(AS22&gt;=Inputs!$F$193,1,0)</f>
        <v/>
      </c>
      <c r="AT39" s="10">
        <f>IF(AT22&gt;=Inputs!$F$193,1,0)</f>
        <v/>
      </c>
      <c r="AU39" s="10">
        <f>IF(AU22&gt;=Inputs!$F$193,1,0)</f>
        <v/>
      </c>
      <c r="AV39" s="10">
        <f>IF(AV22&gt;=Inputs!$F$193,1,0)</f>
        <v/>
      </c>
      <c r="AW39" s="10">
        <f>IF(AW22&gt;=Inputs!$F$193,1,0)</f>
        <v/>
      </c>
      <c r="AX39" s="10">
        <f>IF(AX22&gt;=Inputs!$F$193,1,0)</f>
        <v/>
      </c>
      <c r="AY39" s="10">
        <f>IF(AY22&gt;=Inputs!$F$193,1,0)</f>
        <v/>
      </c>
      <c r="AZ39" s="10">
        <f>IF(AZ22&gt;=Inputs!$F$193,1,0)</f>
        <v/>
      </c>
      <c r="BA39" s="10">
        <f>IF(BA22&gt;=Inputs!$F$193,1,0)</f>
        <v/>
      </c>
      <c r="BB39" s="10">
        <f>IF(BB22&gt;=Inputs!$F$193,1,0)</f>
        <v/>
      </c>
      <c r="BC39" s="10">
        <f>IF(BC22&gt;=Inputs!$F$193,1,0)</f>
        <v/>
      </c>
      <c r="BD39" s="10">
        <f>IF(BD22&gt;=Inputs!$F$193,1,0)</f>
        <v/>
      </c>
      <c r="BE39" s="10">
        <f>IF(BE22&gt;=Inputs!$F$193,1,0)</f>
        <v/>
      </c>
      <c r="BF39" s="10">
        <f>IF(BF22&gt;=Inputs!$F$193,1,0)</f>
        <v/>
      </c>
      <c r="BG39" s="10">
        <f>IF(BG22&gt;=Inputs!$F$193,1,0)</f>
        <v/>
      </c>
      <c r="BH39" s="10">
        <f>IF(BH22&gt;=Inputs!$F$193,1,0)</f>
        <v/>
      </c>
      <c r="BI39" s="10">
        <f>IF(BI22&gt;=Inputs!$F$193,1,0)</f>
        <v/>
      </c>
      <c r="BJ39" s="10">
        <f>IF(BJ22&gt;=Inputs!$F$193,1,0)</f>
        <v/>
      </c>
      <c r="BK39" s="10">
        <f>IF(BK22&gt;=Inputs!$F$193,1,0)</f>
        <v/>
      </c>
      <c r="BL39" s="10">
        <f>IF(BL22&gt;=Inputs!$F$193,1,0)</f>
        <v/>
      </c>
      <c r="BM39" s="10">
        <f>IF(BM22&gt;=Inputs!$F$193,1,0)</f>
        <v/>
      </c>
      <c r="BN39" s="10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10">
        <f>IF(J22&gt;=Inputs!$F$196,1,0)</f>
        <v/>
      </c>
      <c r="K40" s="10">
        <f>IF(K22&gt;=Inputs!$F$196,1,0)</f>
        <v/>
      </c>
      <c r="L40" s="10">
        <f>IF(L22&gt;=Inputs!$F$196,1,0)</f>
        <v/>
      </c>
      <c r="M40" s="10">
        <f>IF(M22&gt;=Inputs!$F$196,1,0)</f>
        <v/>
      </c>
      <c r="N40" s="10">
        <f>IF(N22&gt;=Inputs!$F$196,1,0)</f>
        <v/>
      </c>
      <c r="O40" s="10">
        <f>IF(O22&gt;=Inputs!$F$196,1,0)</f>
        <v/>
      </c>
      <c r="P40" s="10">
        <f>IF(P22&gt;=Inputs!$F$196,1,0)</f>
        <v/>
      </c>
      <c r="Q40" s="10">
        <f>IF(Q22&gt;=Inputs!$F$196,1,0)</f>
        <v/>
      </c>
      <c r="R40" s="10">
        <f>IF(R22&gt;=Inputs!$F$196,1,0)</f>
        <v/>
      </c>
      <c r="S40" s="10">
        <f>IF(S22&gt;=Inputs!$F$196,1,0)</f>
        <v/>
      </c>
      <c r="T40" s="10">
        <f>IF(T22&gt;=Inputs!$F$196,1,0)</f>
        <v/>
      </c>
      <c r="U40" s="10">
        <f>IF(U22&gt;=Inputs!$F$196,1,0)</f>
        <v/>
      </c>
      <c r="V40" s="10">
        <f>IF(V22&gt;=Inputs!$F$196,1,0)</f>
        <v/>
      </c>
      <c r="W40" s="10">
        <f>IF(W22&gt;=Inputs!$F$196,1,0)</f>
        <v/>
      </c>
      <c r="X40" s="10">
        <f>IF(X22&gt;=Inputs!$F$196,1,0)</f>
        <v/>
      </c>
      <c r="Y40" s="10">
        <f>IF(Y22&gt;=Inputs!$F$196,1,0)</f>
        <v/>
      </c>
      <c r="Z40" s="10">
        <f>IF(Z22&gt;=Inputs!$F$196,1,0)</f>
        <v/>
      </c>
      <c r="AA40" s="10">
        <f>IF(AA22&gt;=Inputs!$F$196,1,0)</f>
        <v/>
      </c>
      <c r="AB40" s="10">
        <f>IF(AB22&gt;=Inputs!$F$196,1,0)</f>
        <v/>
      </c>
      <c r="AC40" s="10">
        <f>IF(AC22&gt;=Inputs!$F$196,1,0)</f>
        <v/>
      </c>
      <c r="AD40" s="10">
        <f>IF(AD22&gt;=Inputs!$F$196,1,0)</f>
        <v/>
      </c>
      <c r="AE40" s="10">
        <f>IF(AE22&gt;=Inputs!$F$196,1,0)</f>
        <v/>
      </c>
      <c r="AF40" s="10">
        <f>IF(AF22&gt;=Inputs!$F$196,1,0)</f>
        <v/>
      </c>
      <c r="AG40" s="10">
        <f>IF(AG22&gt;=Inputs!$F$196,1,0)</f>
        <v/>
      </c>
      <c r="AH40" s="10">
        <f>IF(AH22&gt;=Inputs!$F$196,1,0)</f>
        <v/>
      </c>
      <c r="AI40" s="10">
        <f>IF(AI22&gt;=Inputs!$F$196,1,0)</f>
        <v/>
      </c>
      <c r="AJ40" s="10">
        <f>IF(AJ22&gt;=Inputs!$F$196,1,0)</f>
        <v/>
      </c>
      <c r="AK40" s="10">
        <f>IF(AK22&gt;=Inputs!$F$196,1,0)</f>
        <v/>
      </c>
      <c r="AL40" s="10">
        <f>IF(AL22&gt;=Inputs!$F$196,1,0)</f>
        <v/>
      </c>
      <c r="AM40" s="10">
        <f>IF(AM22&gt;=Inputs!$F$196,1,0)</f>
        <v/>
      </c>
      <c r="AN40" s="10">
        <f>IF(AN22&gt;=Inputs!$F$196,1,0)</f>
        <v/>
      </c>
      <c r="AO40" s="10">
        <f>IF(AO22&gt;=Inputs!$F$196,1,0)</f>
        <v/>
      </c>
      <c r="AP40" s="10">
        <f>IF(AP22&gt;=Inputs!$F$196,1,0)</f>
        <v/>
      </c>
      <c r="AQ40" s="10">
        <f>IF(AQ22&gt;=Inputs!$F$196,1,0)</f>
        <v/>
      </c>
      <c r="AR40" s="10">
        <f>IF(AR22&gt;=Inputs!$F$196,1,0)</f>
        <v/>
      </c>
      <c r="AS40" s="10">
        <f>IF(AS22&gt;=Inputs!$F$196,1,0)</f>
        <v/>
      </c>
      <c r="AT40" s="10">
        <f>IF(AT22&gt;=Inputs!$F$196,1,0)</f>
        <v/>
      </c>
      <c r="AU40" s="10">
        <f>IF(AU22&gt;=Inputs!$F$196,1,0)</f>
        <v/>
      </c>
      <c r="AV40" s="10">
        <f>IF(AV22&gt;=Inputs!$F$196,1,0)</f>
        <v/>
      </c>
      <c r="AW40" s="10">
        <f>IF(AW22&gt;=Inputs!$F$196,1,0)</f>
        <v/>
      </c>
      <c r="AX40" s="10">
        <f>IF(AX22&gt;=Inputs!$F$196,1,0)</f>
        <v/>
      </c>
      <c r="AY40" s="10">
        <f>IF(AY22&gt;=Inputs!$F$196,1,0)</f>
        <v/>
      </c>
      <c r="AZ40" s="10">
        <f>IF(AZ22&gt;=Inputs!$F$196,1,0)</f>
        <v/>
      </c>
      <c r="BA40" s="10">
        <f>IF(BA22&gt;=Inputs!$F$196,1,0)</f>
        <v/>
      </c>
      <c r="BB40" s="10">
        <f>IF(BB22&gt;=Inputs!$F$196,1,0)</f>
        <v/>
      </c>
      <c r="BC40" s="10">
        <f>IF(BC22&gt;=Inputs!$F$196,1,0)</f>
        <v/>
      </c>
      <c r="BD40" s="10">
        <f>IF(BD22&gt;=Inputs!$F$196,1,0)</f>
        <v/>
      </c>
      <c r="BE40" s="10">
        <f>IF(BE22&gt;=Inputs!$F$196,1,0)</f>
        <v/>
      </c>
      <c r="BF40" s="10">
        <f>IF(BF22&gt;=Inputs!$F$196,1,0)</f>
        <v/>
      </c>
      <c r="BG40" s="10">
        <f>IF(BG22&gt;=Inputs!$F$196,1,0)</f>
        <v/>
      </c>
      <c r="BH40" s="10">
        <f>IF(BH22&gt;=Inputs!$F$196,1,0)</f>
        <v/>
      </c>
      <c r="BI40" s="10">
        <f>IF(BI22&gt;=Inputs!$F$196,1,0)</f>
        <v/>
      </c>
      <c r="BJ40" s="10">
        <f>IF(BJ22&gt;=Inputs!$F$196,1,0)</f>
        <v/>
      </c>
      <c r="BK40" s="10">
        <f>IF(BK22&gt;=Inputs!$F$196,1,0)</f>
        <v/>
      </c>
      <c r="BL40" s="10">
        <f>IF(BL22&gt;=Inputs!$F$196,1,0)</f>
        <v/>
      </c>
      <c r="BM40" s="10">
        <f>IF(BM22&gt;=Inputs!$F$196,1,0)</f>
        <v/>
      </c>
      <c r="BN40" s="10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10">
        <f>IF(J22&gt;=Inputs!$F$195,1,0)</f>
        <v/>
      </c>
      <c r="K41" s="10">
        <f>IF(K22&gt;=Inputs!$F$195,1,0)</f>
        <v/>
      </c>
      <c r="L41" s="10">
        <f>IF(L22&gt;=Inputs!$F$195,1,0)</f>
        <v/>
      </c>
      <c r="M41" s="10">
        <f>IF(M22&gt;=Inputs!$F$195,1,0)</f>
        <v/>
      </c>
      <c r="N41" s="10">
        <f>IF(N22&gt;=Inputs!$F$195,1,0)</f>
        <v/>
      </c>
      <c r="O41" s="10">
        <f>IF(O22&gt;=Inputs!$F$195,1,0)</f>
        <v/>
      </c>
      <c r="P41" s="10">
        <f>IF(P22&gt;=Inputs!$F$195,1,0)</f>
        <v/>
      </c>
      <c r="Q41" s="10">
        <f>IF(Q22&gt;=Inputs!$F$195,1,0)</f>
        <v/>
      </c>
      <c r="R41" s="10">
        <f>IF(R22&gt;=Inputs!$F$195,1,0)</f>
        <v/>
      </c>
      <c r="S41" s="10">
        <f>IF(S22&gt;=Inputs!$F$195,1,0)</f>
        <v/>
      </c>
      <c r="T41" s="10">
        <f>IF(T22&gt;=Inputs!$F$195,1,0)</f>
        <v/>
      </c>
      <c r="U41" s="10">
        <f>IF(U22&gt;=Inputs!$F$195,1,0)</f>
        <v/>
      </c>
      <c r="V41" s="10">
        <f>IF(V22&gt;=Inputs!$F$195,1,0)</f>
        <v/>
      </c>
      <c r="W41" s="10">
        <f>IF(W22&gt;=Inputs!$F$195,1,0)</f>
        <v/>
      </c>
      <c r="X41" s="10">
        <f>IF(X22&gt;=Inputs!$F$195,1,0)</f>
        <v/>
      </c>
      <c r="Y41" s="10">
        <f>IF(Y22&gt;=Inputs!$F$195,1,0)</f>
        <v/>
      </c>
      <c r="Z41" s="10">
        <f>IF(Z22&gt;=Inputs!$F$195,1,0)</f>
        <v/>
      </c>
      <c r="AA41" s="10">
        <f>IF(AA22&gt;=Inputs!$F$195,1,0)</f>
        <v/>
      </c>
      <c r="AB41" s="10">
        <f>IF(AB22&gt;=Inputs!$F$195,1,0)</f>
        <v/>
      </c>
      <c r="AC41" s="10">
        <f>IF(AC22&gt;=Inputs!$F$195,1,0)</f>
        <v/>
      </c>
      <c r="AD41" s="10">
        <f>IF(AD22&gt;=Inputs!$F$195,1,0)</f>
        <v/>
      </c>
      <c r="AE41" s="10">
        <f>IF(AE22&gt;=Inputs!$F$195,1,0)</f>
        <v/>
      </c>
      <c r="AF41" s="10">
        <f>IF(AF22&gt;=Inputs!$F$195,1,0)</f>
        <v/>
      </c>
      <c r="AG41" s="10">
        <f>IF(AG22&gt;=Inputs!$F$195,1,0)</f>
        <v/>
      </c>
      <c r="AH41" s="10">
        <f>IF(AH22&gt;=Inputs!$F$195,1,0)</f>
        <v/>
      </c>
      <c r="AI41" s="10">
        <f>IF(AI22&gt;=Inputs!$F$195,1,0)</f>
        <v/>
      </c>
      <c r="AJ41" s="10">
        <f>IF(AJ22&gt;=Inputs!$F$195,1,0)</f>
        <v/>
      </c>
      <c r="AK41" s="10">
        <f>IF(AK22&gt;=Inputs!$F$195,1,0)</f>
        <v/>
      </c>
      <c r="AL41" s="10">
        <f>IF(AL22&gt;=Inputs!$F$195,1,0)</f>
        <v/>
      </c>
      <c r="AM41" s="10">
        <f>IF(AM22&gt;=Inputs!$F$195,1,0)</f>
        <v/>
      </c>
      <c r="AN41" s="10">
        <f>IF(AN22&gt;=Inputs!$F$195,1,0)</f>
        <v/>
      </c>
      <c r="AO41" s="10">
        <f>IF(AO22&gt;=Inputs!$F$195,1,0)</f>
        <v/>
      </c>
      <c r="AP41" s="10">
        <f>IF(AP22&gt;=Inputs!$F$195,1,0)</f>
        <v/>
      </c>
      <c r="AQ41" s="10">
        <f>IF(AQ22&gt;=Inputs!$F$195,1,0)</f>
        <v/>
      </c>
      <c r="AR41" s="10">
        <f>IF(AR22&gt;=Inputs!$F$195,1,0)</f>
        <v/>
      </c>
      <c r="AS41" s="10">
        <f>IF(AS22&gt;=Inputs!$F$195,1,0)</f>
        <v/>
      </c>
      <c r="AT41" s="10">
        <f>IF(AT22&gt;=Inputs!$F$195,1,0)</f>
        <v/>
      </c>
      <c r="AU41" s="10">
        <f>IF(AU22&gt;=Inputs!$F$195,1,0)</f>
        <v/>
      </c>
      <c r="AV41" s="10">
        <f>IF(AV22&gt;=Inputs!$F$195,1,0)</f>
        <v/>
      </c>
      <c r="AW41" s="10">
        <f>IF(AW22&gt;=Inputs!$F$195,1,0)</f>
        <v/>
      </c>
      <c r="AX41" s="10">
        <f>IF(AX22&gt;=Inputs!$F$195,1,0)</f>
        <v/>
      </c>
      <c r="AY41" s="10">
        <f>IF(AY22&gt;=Inputs!$F$195,1,0)</f>
        <v/>
      </c>
      <c r="AZ41" s="10">
        <f>IF(AZ22&gt;=Inputs!$F$195,1,0)</f>
        <v/>
      </c>
      <c r="BA41" s="10">
        <f>IF(BA22&gt;=Inputs!$F$195,1,0)</f>
        <v/>
      </c>
      <c r="BB41" s="10">
        <f>IF(BB22&gt;=Inputs!$F$195,1,0)</f>
        <v/>
      </c>
      <c r="BC41" s="10">
        <f>IF(BC22&gt;=Inputs!$F$195,1,0)</f>
        <v/>
      </c>
      <c r="BD41" s="10">
        <f>IF(BD22&gt;=Inputs!$F$195,1,0)</f>
        <v/>
      </c>
      <c r="BE41" s="10">
        <f>IF(BE22&gt;=Inputs!$F$195,1,0)</f>
        <v/>
      </c>
      <c r="BF41" s="10">
        <f>IF(BF22&gt;=Inputs!$F$195,1,0)</f>
        <v/>
      </c>
      <c r="BG41" s="10">
        <f>IF(BG22&gt;=Inputs!$F$195,1,0)</f>
        <v/>
      </c>
      <c r="BH41" s="10">
        <f>IF(BH22&gt;=Inputs!$F$195,1,0)</f>
        <v/>
      </c>
      <c r="BI41" s="10">
        <f>IF(BI22&gt;=Inputs!$F$195,1,0)</f>
        <v/>
      </c>
      <c r="BJ41" s="10">
        <f>IF(BJ22&gt;=Inputs!$F$195,1,0)</f>
        <v/>
      </c>
      <c r="BK41" s="10">
        <f>IF(BK22&gt;=Inputs!$F$195,1,0)</f>
        <v/>
      </c>
      <c r="BL41" s="10">
        <f>IF(BL22&gt;=Inputs!$F$195,1,0)</f>
        <v/>
      </c>
      <c r="BM41" s="10">
        <f>IF(BM22&gt;=Inputs!$F$195,1,0)</f>
        <v/>
      </c>
      <c r="BN41" s="10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10">
        <f>Inputs!$F$48*IF(J23=Inputs!$F$198,1,0)</f>
        <v/>
      </c>
      <c r="K42" s="10">
        <f>Inputs!$F$48*IF(K23=Inputs!$F$198,1,0)</f>
        <v/>
      </c>
      <c r="L42" s="10">
        <f>Inputs!$F$48*IF(L23=Inputs!$F$198,1,0)</f>
        <v/>
      </c>
      <c r="M42" s="10">
        <f>Inputs!$F$48*IF(M23=Inputs!$F$198,1,0)</f>
        <v/>
      </c>
      <c r="N42" s="10">
        <f>Inputs!$F$48*IF(N23=Inputs!$F$198,1,0)</f>
        <v/>
      </c>
      <c r="O42" s="10">
        <f>Inputs!$F$48*IF(O23=Inputs!$F$198,1,0)</f>
        <v/>
      </c>
      <c r="P42" s="10">
        <f>Inputs!$F$48*IF(P23=Inputs!$F$198,1,0)</f>
        <v/>
      </c>
      <c r="Q42" s="10">
        <f>Inputs!$F$48*IF(Q23=Inputs!$F$198,1,0)</f>
        <v/>
      </c>
      <c r="R42" s="10">
        <f>Inputs!$F$48*IF(R23=Inputs!$F$198,1,0)</f>
        <v/>
      </c>
      <c r="S42" s="10">
        <f>Inputs!$F$48*IF(S23=Inputs!$F$198,1,0)</f>
        <v/>
      </c>
      <c r="T42" s="10">
        <f>Inputs!$F$48*IF(T23=Inputs!$F$198,1,0)</f>
        <v/>
      </c>
      <c r="U42" s="10">
        <f>Inputs!$F$48*IF(U23=Inputs!$F$198,1,0)</f>
        <v/>
      </c>
      <c r="V42" s="10">
        <f>Inputs!$F$48*IF(V23=Inputs!$F$198,1,0)</f>
        <v/>
      </c>
      <c r="W42" s="10">
        <f>Inputs!$F$48*IF(W23=Inputs!$F$198,1,0)</f>
        <v/>
      </c>
      <c r="X42" s="10">
        <f>Inputs!$F$48*IF(X23=Inputs!$F$198,1,0)</f>
        <v/>
      </c>
      <c r="Y42" s="10">
        <f>Inputs!$F$48*IF(Y23=Inputs!$F$198,1,0)</f>
        <v/>
      </c>
      <c r="Z42" s="10">
        <f>Inputs!$F$48*IF(Z23=Inputs!$F$198,1,0)</f>
        <v/>
      </c>
      <c r="AA42" s="10">
        <f>Inputs!$F$48*IF(AA23=Inputs!$F$198,1,0)</f>
        <v/>
      </c>
      <c r="AB42" s="10">
        <f>Inputs!$F$48*IF(AB23=Inputs!$F$198,1,0)</f>
        <v/>
      </c>
      <c r="AC42" s="10">
        <f>Inputs!$F$48*IF(AC23=Inputs!$F$198,1,0)</f>
        <v/>
      </c>
      <c r="AD42" s="10">
        <f>Inputs!$F$48*IF(AD23=Inputs!$F$198,1,0)</f>
        <v/>
      </c>
      <c r="AE42" s="10">
        <f>Inputs!$F$48*IF(AE23=Inputs!$F$198,1,0)</f>
        <v/>
      </c>
      <c r="AF42" s="10">
        <f>Inputs!$F$48*IF(AF23=Inputs!$F$198,1,0)</f>
        <v/>
      </c>
      <c r="AG42" s="10">
        <f>Inputs!$F$48*IF(AG23=Inputs!$F$198,1,0)</f>
        <v/>
      </c>
      <c r="AH42" s="10">
        <f>Inputs!$F$48*IF(AH23=Inputs!$F$198,1,0)</f>
        <v/>
      </c>
      <c r="AI42" s="10">
        <f>Inputs!$F$48*IF(AI23=Inputs!$F$198,1,0)</f>
        <v/>
      </c>
      <c r="AJ42" s="10">
        <f>Inputs!$F$48*IF(AJ23=Inputs!$F$198,1,0)</f>
        <v/>
      </c>
      <c r="AK42" s="10">
        <f>Inputs!$F$48*IF(AK23=Inputs!$F$198,1,0)</f>
        <v/>
      </c>
      <c r="AL42" s="10">
        <f>Inputs!$F$48*IF(AL23=Inputs!$F$198,1,0)</f>
        <v/>
      </c>
      <c r="AM42" s="10">
        <f>Inputs!$F$48*IF(AM23=Inputs!$F$198,1,0)</f>
        <v/>
      </c>
      <c r="AN42" s="10">
        <f>Inputs!$F$48*IF(AN23=Inputs!$F$198,1,0)</f>
        <v/>
      </c>
      <c r="AO42" s="10">
        <f>Inputs!$F$48*IF(AO23=Inputs!$F$198,1,0)</f>
        <v/>
      </c>
      <c r="AP42" s="10">
        <f>Inputs!$F$48*IF(AP23=Inputs!$F$198,1,0)</f>
        <v/>
      </c>
      <c r="AQ42" s="10">
        <f>Inputs!$F$48*IF(AQ23=Inputs!$F$198,1,0)</f>
        <v/>
      </c>
      <c r="AR42" s="10">
        <f>Inputs!$F$48*IF(AR23=Inputs!$F$198,1,0)</f>
        <v/>
      </c>
      <c r="AS42" s="10">
        <f>Inputs!$F$48*IF(AS23=Inputs!$F$198,1,0)</f>
        <v/>
      </c>
      <c r="AT42" s="10">
        <f>Inputs!$F$48*IF(AT23=Inputs!$F$198,1,0)</f>
        <v/>
      </c>
      <c r="AU42" s="10">
        <f>Inputs!$F$48*IF(AU23=Inputs!$F$198,1,0)</f>
        <v/>
      </c>
      <c r="AV42" s="10">
        <f>Inputs!$F$48*IF(AV23=Inputs!$F$198,1,0)</f>
        <v/>
      </c>
      <c r="AW42" s="10">
        <f>Inputs!$F$48*IF(AW23=Inputs!$F$198,1,0)</f>
        <v/>
      </c>
      <c r="AX42" s="10">
        <f>Inputs!$F$48*IF(AX23=Inputs!$F$198,1,0)</f>
        <v/>
      </c>
      <c r="AY42" s="10">
        <f>Inputs!$F$48*IF(AY23=Inputs!$F$198,1,0)</f>
        <v/>
      </c>
      <c r="AZ42" s="10">
        <f>Inputs!$F$48*IF(AZ23=Inputs!$F$198,1,0)</f>
        <v/>
      </c>
      <c r="BA42" s="10">
        <f>Inputs!$F$48*IF(BA23=Inputs!$F$198,1,0)</f>
        <v/>
      </c>
      <c r="BB42" s="10">
        <f>Inputs!$F$48*IF(BB23=Inputs!$F$198,1,0)</f>
        <v/>
      </c>
      <c r="BC42" s="10">
        <f>Inputs!$F$48*IF(BC23=Inputs!$F$198,1,0)</f>
        <v/>
      </c>
      <c r="BD42" s="10">
        <f>Inputs!$F$48*IF(BD23=Inputs!$F$198,1,0)</f>
        <v/>
      </c>
      <c r="BE42" s="10">
        <f>Inputs!$F$48*IF(BE23=Inputs!$F$198,1,0)</f>
        <v/>
      </c>
      <c r="BF42" s="10">
        <f>Inputs!$F$48*IF(BF23=Inputs!$F$198,1,0)</f>
        <v/>
      </c>
      <c r="BG42" s="10">
        <f>Inputs!$F$48*IF(BG23=Inputs!$F$198,1,0)</f>
        <v/>
      </c>
      <c r="BH42" s="10">
        <f>Inputs!$F$48*IF(BH23=Inputs!$F$198,1,0)</f>
        <v/>
      </c>
      <c r="BI42" s="10">
        <f>Inputs!$F$48*IF(BI23=Inputs!$F$198,1,0)</f>
        <v/>
      </c>
      <c r="BJ42" s="10">
        <f>Inputs!$F$48*IF(BJ23=Inputs!$F$198,1,0)</f>
        <v/>
      </c>
      <c r="BK42" s="10">
        <f>Inputs!$F$48*IF(BK23=Inputs!$F$198,1,0)</f>
        <v/>
      </c>
      <c r="BL42" s="10">
        <f>Inputs!$F$48*IF(BL23=Inputs!$F$198,1,0)</f>
        <v/>
      </c>
      <c r="BM42" s="10">
        <f>Inputs!$F$48*IF(BM23=Inputs!$F$198,1,0)</f>
        <v/>
      </c>
      <c r="BN42" s="10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10">
        <f>Inputs!$F$49*IF(J23=Inputs!$F$200,1,0)</f>
        <v/>
      </c>
      <c r="K43" s="10">
        <f>Inputs!$F$49*IF(K23=Inputs!$F$200,1,0)</f>
        <v/>
      </c>
      <c r="L43" s="10">
        <f>Inputs!$F$49*IF(L23=Inputs!$F$200,1,0)</f>
        <v/>
      </c>
      <c r="M43" s="10">
        <f>Inputs!$F$49*IF(M23=Inputs!$F$200,1,0)</f>
        <v/>
      </c>
      <c r="N43" s="10">
        <f>Inputs!$F$49*IF(N23=Inputs!$F$200,1,0)</f>
        <v/>
      </c>
      <c r="O43" s="10">
        <f>Inputs!$F$49*IF(O23=Inputs!$F$200,1,0)</f>
        <v/>
      </c>
      <c r="P43" s="10">
        <f>Inputs!$F$49*IF(P23=Inputs!$F$200,1,0)</f>
        <v/>
      </c>
      <c r="Q43" s="10">
        <f>Inputs!$F$49*IF(Q23=Inputs!$F$200,1,0)</f>
        <v/>
      </c>
      <c r="R43" s="10">
        <f>Inputs!$F$49*IF(R23=Inputs!$F$200,1,0)</f>
        <v/>
      </c>
      <c r="S43" s="10">
        <f>Inputs!$F$49*IF(S23=Inputs!$F$200,1,0)</f>
        <v/>
      </c>
      <c r="T43" s="10">
        <f>Inputs!$F$49*IF(T23=Inputs!$F$200,1,0)</f>
        <v/>
      </c>
      <c r="U43" s="10">
        <f>Inputs!$F$49*IF(U23=Inputs!$F$200,1,0)</f>
        <v/>
      </c>
      <c r="V43" s="10">
        <f>Inputs!$F$49*IF(V23=Inputs!$F$200,1,0)</f>
        <v/>
      </c>
      <c r="W43" s="10">
        <f>Inputs!$F$49*IF(W23=Inputs!$F$200,1,0)</f>
        <v/>
      </c>
      <c r="X43" s="10">
        <f>Inputs!$F$49*IF(X23=Inputs!$F$200,1,0)</f>
        <v/>
      </c>
      <c r="Y43" s="10">
        <f>Inputs!$F$49*IF(Y23=Inputs!$F$200,1,0)</f>
        <v/>
      </c>
      <c r="Z43" s="10">
        <f>Inputs!$F$49*IF(Z23=Inputs!$F$200,1,0)</f>
        <v/>
      </c>
      <c r="AA43" s="10">
        <f>Inputs!$F$49*IF(AA23=Inputs!$F$200,1,0)</f>
        <v/>
      </c>
      <c r="AB43" s="10">
        <f>Inputs!$F$49*IF(AB23=Inputs!$F$200,1,0)</f>
        <v/>
      </c>
      <c r="AC43" s="10">
        <f>Inputs!$F$49*IF(AC23=Inputs!$F$200,1,0)</f>
        <v/>
      </c>
      <c r="AD43" s="10">
        <f>Inputs!$F$49*IF(AD23=Inputs!$F$200,1,0)</f>
        <v/>
      </c>
      <c r="AE43" s="10">
        <f>Inputs!$F$49*IF(AE23=Inputs!$F$200,1,0)</f>
        <v/>
      </c>
      <c r="AF43" s="10">
        <f>Inputs!$F$49*IF(AF23=Inputs!$F$200,1,0)</f>
        <v/>
      </c>
      <c r="AG43" s="10">
        <f>Inputs!$F$49*IF(AG23=Inputs!$F$200,1,0)</f>
        <v/>
      </c>
      <c r="AH43" s="10">
        <f>Inputs!$F$49*IF(AH23=Inputs!$F$200,1,0)</f>
        <v/>
      </c>
      <c r="AI43" s="10">
        <f>Inputs!$F$49*IF(AI23=Inputs!$F$200,1,0)</f>
        <v/>
      </c>
      <c r="AJ43" s="10">
        <f>Inputs!$F$49*IF(AJ23=Inputs!$F$200,1,0)</f>
        <v/>
      </c>
      <c r="AK43" s="10">
        <f>Inputs!$F$49*IF(AK23=Inputs!$F$200,1,0)</f>
        <v/>
      </c>
      <c r="AL43" s="10">
        <f>Inputs!$F$49*IF(AL23=Inputs!$F$200,1,0)</f>
        <v/>
      </c>
      <c r="AM43" s="10">
        <f>Inputs!$F$49*IF(AM23=Inputs!$F$200,1,0)</f>
        <v/>
      </c>
      <c r="AN43" s="10">
        <f>Inputs!$F$49*IF(AN23=Inputs!$F$200,1,0)</f>
        <v/>
      </c>
      <c r="AO43" s="10">
        <f>Inputs!$F$49*IF(AO23=Inputs!$F$200,1,0)</f>
        <v/>
      </c>
      <c r="AP43" s="10">
        <f>Inputs!$F$49*IF(AP23=Inputs!$F$200,1,0)</f>
        <v/>
      </c>
      <c r="AQ43" s="10">
        <f>Inputs!$F$49*IF(AQ23=Inputs!$F$200,1,0)</f>
        <v/>
      </c>
      <c r="AR43" s="10">
        <f>Inputs!$F$49*IF(AR23=Inputs!$F$200,1,0)</f>
        <v/>
      </c>
      <c r="AS43" s="10">
        <f>Inputs!$F$49*IF(AS23=Inputs!$F$200,1,0)</f>
        <v/>
      </c>
      <c r="AT43" s="10">
        <f>Inputs!$F$49*IF(AT23=Inputs!$F$200,1,0)</f>
        <v/>
      </c>
      <c r="AU43" s="10">
        <f>Inputs!$F$49*IF(AU23=Inputs!$F$200,1,0)</f>
        <v/>
      </c>
      <c r="AV43" s="10">
        <f>Inputs!$F$49*IF(AV23=Inputs!$F$200,1,0)</f>
        <v/>
      </c>
      <c r="AW43" s="10">
        <f>Inputs!$F$49*IF(AW23=Inputs!$F$200,1,0)</f>
        <v/>
      </c>
      <c r="AX43" s="10">
        <f>Inputs!$F$49*IF(AX23=Inputs!$F$200,1,0)</f>
        <v/>
      </c>
      <c r="AY43" s="10">
        <f>Inputs!$F$49*IF(AY23=Inputs!$F$200,1,0)</f>
        <v/>
      </c>
      <c r="AZ43" s="10">
        <f>Inputs!$F$49*IF(AZ23=Inputs!$F$200,1,0)</f>
        <v/>
      </c>
      <c r="BA43" s="10">
        <f>Inputs!$F$49*IF(BA23=Inputs!$F$200,1,0)</f>
        <v/>
      </c>
      <c r="BB43" s="10">
        <f>Inputs!$F$49*IF(BB23=Inputs!$F$200,1,0)</f>
        <v/>
      </c>
      <c r="BC43" s="10">
        <f>Inputs!$F$49*IF(BC23=Inputs!$F$200,1,0)</f>
        <v/>
      </c>
      <c r="BD43" s="10">
        <f>Inputs!$F$49*IF(BD23=Inputs!$F$200,1,0)</f>
        <v/>
      </c>
      <c r="BE43" s="10">
        <f>Inputs!$F$49*IF(BE23=Inputs!$F$200,1,0)</f>
        <v/>
      </c>
      <c r="BF43" s="10">
        <f>Inputs!$F$49*IF(BF23=Inputs!$F$200,1,0)</f>
        <v/>
      </c>
      <c r="BG43" s="10">
        <f>Inputs!$F$49*IF(BG23=Inputs!$F$200,1,0)</f>
        <v/>
      </c>
      <c r="BH43" s="10">
        <f>Inputs!$F$49*IF(BH23=Inputs!$F$200,1,0)</f>
        <v/>
      </c>
      <c r="BI43" s="10">
        <f>Inputs!$F$49*IF(BI23=Inputs!$F$200,1,0)</f>
        <v/>
      </c>
      <c r="BJ43" s="10">
        <f>Inputs!$F$49*IF(BJ23=Inputs!$F$200,1,0)</f>
        <v/>
      </c>
      <c r="BK43" s="10">
        <f>Inputs!$F$49*IF(BK23=Inputs!$F$200,1,0)</f>
        <v/>
      </c>
      <c r="BL43" s="10">
        <f>Inputs!$F$49*IF(BL23=Inputs!$F$200,1,0)</f>
        <v/>
      </c>
      <c r="BM43" s="10">
        <f>Inputs!$F$49*IF(BM23=Inputs!$F$200,1,0)</f>
        <v/>
      </c>
      <c r="BN43" s="10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10">
        <f>Inputs!$F$49*IF(AND(J22&gt;=Inputs!$F$201,J23&lt;=Inputs!$F$202),1,0)</f>
        <v/>
      </c>
      <c r="K44" s="10">
        <f>Inputs!$F$49*IF(AND(K22&gt;=Inputs!$F$201,K23&lt;=Inputs!$F$202),1,0)</f>
        <v/>
      </c>
      <c r="L44" s="10">
        <f>Inputs!$F$49*IF(AND(L22&gt;=Inputs!$F$201,L23&lt;=Inputs!$F$202),1,0)</f>
        <v/>
      </c>
      <c r="M44" s="10">
        <f>Inputs!$F$49*IF(AND(M22&gt;=Inputs!$F$201,M23&lt;=Inputs!$F$202),1,0)</f>
        <v/>
      </c>
      <c r="N44" s="10">
        <f>Inputs!$F$49*IF(AND(N22&gt;=Inputs!$F$201,N23&lt;=Inputs!$F$202),1,0)</f>
        <v/>
      </c>
      <c r="O44" s="10">
        <f>Inputs!$F$49*IF(AND(O22&gt;=Inputs!$F$201,O23&lt;=Inputs!$F$202),1,0)</f>
        <v/>
      </c>
      <c r="P44" s="10">
        <f>Inputs!$F$49*IF(AND(P22&gt;=Inputs!$F$201,P23&lt;=Inputs!$F$202),1,0)</f>
        <v/>
      </c>
      <c r="Q44" s="10">
        <f>Inputs!$F$49*IF(AND(Q22&gt;=Inputs!$F$201,Q23&lt;=Inputs!$F$202),1,0)</f>
        <v/>
      </c>
      <c r="R44" s="10">
        <f>Inputs!$F$49*IF(AND(R22&gt;=Inputs!$F$201,R23&lt;=Inputs!$F$202),1,0)</f>
        <v/>
      </c>
      <c r="S44" s="10">
        <f>Inputs!$F$49*IF(AND(S22&gt;=Inputs!$F$201,S23&lt;=Inputs!$F$202),1,0)</f>
        <v/>
      </c>
      <c r="T44" s="10">
        <f>Inputs!$F$49*IF(AND(T22&gt;=Inputs!$F$201,T23&lt;=Inputs!$F$202),1,0)</f>
        <v/>
      </c>
      <c r="U44" s="10">
        <f>Inputs!$F$49*IF(AND(U22&gt;=Inputs!$F$201,U23&lt;=Inputs!$F$202),1,0)</f>
        <v/>
      </c>
      <c r="V44" s="10">
        <f>Inputs!$F$49*IF(AND(V22&gt;=Inputs!$F$201,V23&lt;=Inputs!$F$202),1,0)</f>
        <v/>
      </c>
      <c r="W44" s="10">
        <f>Inputs!$F$49*IF(AND(W22&gt;=Inputs!$F$201,W23&lt;=Inputs!$F$202),1,0)</f>
        <v/>
      </c>
      <c r="X44" s="10">
        <f>Inputs!$F$49*IF(AND(X22&gt;=Inputs!$F$201,X23&lt;=Inputs!$F$202),1,0)</f>
        <v/>
      </c>
      <c r="Y44" s="10">
        <f>Inputs!$F$49*IF(AND(Y22&gt;=Inputs!$F$201,Y23&lt;=Inputs!$F$202),1,0)</f>
        <v/>
      </c>
      <c r="Z44" s="10">
        <f>Inputs!$F$49*IF(AND(Z22&gt;=Inputs!$F$201,Z23&lt;=Inputs!$F$202),1,0)</f>
        <v/>
      </c>
      <c r="AA44" s="10">
        <f>Inputs!$F$49*IF(AND(AA22&gt;=Inputs!$F$201,AA23&lt;=Inputs!$F$202),1,0)</f>
        <v/>
      </c>
      <c r="AB44" s="10">
        <f>Inputs!$F$49*IF(AND(AB22&gt;=Inputs!$F$201,AB23&lt;=Inputs!$F$202),1,0)</f>
        <v/>
      </c>
      <c r="AC44" s="10">
        <f>Inputs!$F$49*IF(AND(AC22&gt;=Inputs!$F$201,AC23&lt;=Inputs!$F$202),1,0)</f>
        <v/>
      </c>
      <c r="AD44" s="10">
        <f>Inputs!$F$49*IF(AND(AD22&gt;=Inputs!$F$201,AD23&lt;=Inputs!$F$202),1,0)</f>
        <v/>
      </c>
      <c r="AE44" s="10">
        <f>Inputs!$F$49*IF(AND(AE22&gt;=Inputs!$F$201,AE23&lt;=Inputs!$F$202),1,0)</f>
        <v/>
      </c>
      <c r="AF44" s="10">
        <f>Inputs!$F$49*IF(AND(AF22&gt;=Inputs!$F$201,AF23&lt;=Inputs!$F$202),1,0)</f>
        <v/>
      </c>
      <c r="AG44" s="10">
        <f>Inputs!$F$49*IF(AND(AG22&gt;=Inputs!$F$201,AG23&lt;=Inputs!$F$202),1,0)</f>
        <v/>
      </c>
      <c r="AH44" s="10">
        <f>Inputs!$F$49*IF(AND(AH22&gt;=Inputs!$F$201,AH23&lt;=Inputs!$F$202),1,0)</f>
        <v/>
      </c>
      <c r="AI44" s="10">
        <f>Inputs!$F$49*IF(AND(AI22&gt;=Inputs!$F$201,AI23&lt;=Inputs!$F$202),1,0)</f>
        <v/>
      </c>
      <c r="AJ44" s="10">
        <f>Inputs!$F$49*IF(AND(AJ22&gt;=Inputs!$F$201,AJ23&lt;=Inputs!$F$202),1,0)</f>
        <v/>
      </c>
      <c r="AK44" s="10">
        <f>Inputs!$F$49*IF(AND(AK22&gt;=Inputs!$F$201,AK23&lt;=Inputs!$F$202),1,0)</f>
        <v/>
      </c>
      <c r="AL44" s="10">
        <f>Inputs!$F$49*IF(AND(AL22&gt;=Inputs!$F$201,AL23&lt;=Inputs!$F$202),1,0)</f>
        <v/>
      </c>
      <c r="AM44" s="10">
        <f>Inputs!$F$49*IF(AND(AM22&gt;=Inputs!$F$201,AM23&lt;=Inputs!$F$202),1,0)</f>
        <v/>
      </c>
      <c r="AN44" s="10">
        <f>Inputs!$F$49*IF(AND(AN22&gt;=Inputs!$F$201,AN23&lt;=Inputs!$F$202),1,0)</f>
        <v/>
      </c>
      <c r="AO44" s="10">
        <f>Inputs!$F$49*IF(AND(AO22&gt;=Inputs!$F$201,AO23&lt;=Inputs!$F$202),1,0)</f>
        <v/>
      </c>
      <c r="AP44" s="10">
        <f>Inputs!$F$49*IF(AND(AP22&gt;=Inputs!$F$201,AP23&lt;=Inputs!$F$202),1,0)</f>
        <v/>
      </c>
      <c r="AQ44" s="10">
        <f>Inputs!$F$49*IF(AND(AQ22&gt;=Inputs!$F$201,AQ23&lt;=Inputs!$F$202),1,0)</f>
        <v/>
      </c>
      <c r="AR44" s="10">
        <f>Inputs!$F$49*IF(AND(AR22&gt;=Inputs!$F$201,AR23&lt;=Inputs!$F$202),1,0)</f>
        <v/>
      </c>
      <c r="AS44" s="10">
        <f>Inputs!$F$49*IF(AND(AS22&gt;=Inputs!$F$201,AS23&lt;=Inputs!$F$202),1,0)</f>
        <v/>
      </c>
      <c r="AT44" s="10">
        <f>Inputs!$F$49*IF(AND(AT22&gt;=Inputs!$F$201,AT23&lt;=Inputs!$F$202),1,0)</f>
        <v/>
      </c>
      <c r="AU44" s="10">
        <f>Inputs!$F$49*IF(AND(AU22&gt;=Inputs!$F$201,AU23&lt;=Inputs!$F$202),1,0)</f>
        <v/>
      </c>
      <c r="AV44" s="10">
        <f>Inputs!$F$49*IF(AND(AV22&gt;=Inputs!$F$201,AV23&lt;=Inputs!$F$202),1,0)</f>
        <v/>
      </c>
      <c r="AW44" s="10">
        <f>Inputs!$F$49*IF(AND(AW22&gt;=Inputs!$F$201,AW23&lt;=Inputs!$F$202),1,0)</f>
        <v/>
      </c>
      <c r="AX44" s="10">
        <f>Inputs!$F$49*IF(AND(AX22&gt;=Inputs!$F$201,AX23&lt;=Inputs!$F$202),1,0)</f>
        <v/>
      </c>
      <c r="AY44" s="10">
        <f>Inputs!$F$49*IF(AND(AY22&gt;=Inputs!$F$201,AY23&lt;=Inputs!$F$202),1,0)</f>
        <v/>
      </c>
      <c r="AZ44" s="10">
        <f>Inputs!$F$49*IF(AND(AZ22&gt;=Inputs!$F$201,AZ23&lt;=Inputs!$F$202),1,0)</f>
        <v/>
      </c>
      <c r="BA44" s="10">
        <f>Inputs!$F$49*IF(AND(BA22&gt;=Inputs!$F$201,BA23&lt;=Inputs!$F$202),1,0)</f>
        <v/>
      </c>
      <c r="BB44" s="10">
        <f>Inputs!$F$49*IF(AND(BB22&gt;=Inputs!$F$201,BB23&lt;=Inputs!$F$202),1,0)</f>
        <v/>
      </c>
      <c r="BC44" s="10">
        <f>Inputs!$F$49*IF(AND(BC22&gt;=Inputs!$F$201,BC23&lt;=Inputs!$F$202),1,0)</f>
        <v/>
      </c>
      <c r="BD44" s="10">
        <f>Inputs!$F$49*IF(AND(BD22&gt;=Inputs!$F$201,BD23&lt;=Inputs!$F$202),1,0)</f>
        <v/>
      </c>
      <c r="BE44" s="10">
        <f>Inputs!$F$49*IF(AND(BE22&gt;=Inputs!$F$201,BE23&lt;=Inputs!$F$202),1,0)</f>
        <v/>
      </c>
      <c r="BF44" s="10">
        <f>Inputs!$F$49*IF(AND(BF22&gt;=Inputs!$F$201,BF23&lt;=Inputs!$F$202),1,0)</f>
        <v/>
      </c>
      <c r="BG44" s="10">
        <f>Inputs!$F$49*IF(AND(BG22&gt;=Inputs!$F$201,BG23&lt;=Inputs!$F$202),1,0)</f>
        <v/>
      </c>
      <c r="BH44" s="10">
        <f>Inputs!$F$49*IF(AND(BH22&gt;=Inputs!$F$201,BH23&lt;=Inputs!$F$202),1,0)</f>
        <v/>
      </c>
      <c r="BI44" s="10">
        <f>Inputs!$F$49*IF(AND(BI22&gt;=Inputs!$F$201,BI23&lt;=Inputs!$F$202),1,0)</f>
        <v/>
      </c>
      <c r="BJ44" s="10">
        <f>Inputs!$F$49*IF(AND(BJ22&gt;=Inputs!$F$201,BJ23&lt;=Inputs!$F$202),1,0)</f>
        <v/>
      </c>
      <c r="BK44" s="10">
        <f>Inputs!$F$49*IF(AND(BK22&gt;=Inputs!$F$201,BK23&lt;=Inputs!$F$202),1,0)</f>
        <v/>
      </c>
      <c r="BL44" s="10">
        <f>Inputs!$F$49*IF(AND(BL22&gt;=Inputs!$F$201,BL23&lt;=Inputs!$F$202),1,0)</f>
        <v/>
      </c>
      <c r="BM44" s="10">
        <f>Inputs!$F$49*IF(AND(BM22&gt;=Inputs!$F$201,BM23&lt;=Inputs!$F$202),1,0)</f>
        <v/>
      </c>
      <c r="BN44" s="10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10">
        <f>Inputs!$F$49*IF(AND(J23&gt;=Inputs!$F$203,J23&lt;=Inputs!$F$204),1,0)</f>
        <v/>
      </c>
      <c r="K45" s="10">
        <f>Inputs!$F$49*IF(AND(K23&gt;=Inputs!$F$203,K23&lt;=Inputs!$F$204),1,0)</f>
        <v/>
      </c>
      <c r="L45" s="10">
        <f>Inputs!$F$49*IF(AND(L23&gt;=Inputs!$F$203,L23&lt;=Inputs!$F$204),1,0)</f>
        <v/>
      </c>
      <c r="M45" s="10">
        <f>Inputs!$F$49*IF(AND(M23&gt;=Inputs!$F$203,M23&lt;=Inputs!$F$204),1,0)</f>
        <v/>
      </c>
      <c r="N45" s="10">
        <f>Inputs!$F$49*IF(AND(N23&gt;=Inputs!$F$203,N23&lt;=Inputs!$F$204),1,0)</f>
        <v/>
      </c>
      <c r="O45" s="10">
        <f>Inputs!$F$49*IF(AND(O23&gt;=Inputs!$F$203,O23&lt;=Inputs!$F$204),1,0)</f>
        <v/>
      </c>
      <c r="P45" s="10">
        <f>Inputs!$F$49*IF(AND(P23&gt;=Inputs!$F$203,P23&lt;=Inputs!$F$204),1,0)</f>
        <v/>
      </c>
      <c r="Q45" s="10">
        <f>Inputs!$F$49*IF(AND(Q23&gt;=Inputs!$F$203,Q23&lt;=Inputs!$F$204),1,0)</f>
        <v/>
      </c>
      <c r="R45" s="10">
        <f>Inputs!$F$49*IF(AND(R23&gt;=Inputs!$F$203,R23&lt;=Inputs!$F$204),1,0)</f>
        <v/>
      </c>
      <c r="S45" s="10">
        <f>Inputs!$F$49*IF(AND(S23&gt;=Inputs!$F$203,S23&lt;=Inputs!$F$204),1,0)</f>
        <v/>
      </c>
      <c r="T45" s="10">
        <f>Inputs!$F$49*IF(AND(T23&gt;=Inputs!$F$203,T23&lt;=Inputs!$F$204),1,0)</f>
        <v/>
      </c>
      <c r="U45" s="10">
        <f>Inputs!$F$49*IF(AND(U23&gt;=Inputs!$F$203,U23&lt;=Inputs!$F$204),1,0)</f>
        <v/>
      </c>
      <c r="V45" s="10">
        <f>Inputs!$F$49*IF(AND(V23&gt;=Inputs!$F$203,V23&lt;=Inputs!$F$204),1,0)</f>
        <v/>
      </c>
      <c r="W45" s="10">
        <f>Inputs!$F$49*IF(AND(W23&gt;=Inputs!$F$203,W23&lt;=Inputs!$F$204),1,0)</f>
        <v/>
      </c>
      <c r="X45" s="10">
        <f>Inputs!$F$49*IF(AND(X23&gt;=Inputs!$F$203,X23&lt;=Inputs!$F$204),1,0)</f>
        <v/>
      </c>
      <c r="Y45" s="10">
        <f>Inputs!$F$49*IF(AND(Y23&gt;=Inputs!$F$203,Y23&lt;=Inputs!$F$204),1,0)</f>
        <v/>
      </c>
      <c r="Z45" s="10">
        <f>Inputs!$F$49*IF(AND(Z23&gt;=Inputs!$F$203,Z23&lt;=Inputs!$F$204),1,0)</f>
        <v/>
      </c>
      <c r="AA45" s="10">
        <f>Inputs!$F$49*IF(AND(AA23&gt;=Inputs!$F$203,AA23&lt;=Inputs!$F$204),1,0)</f>
        <v/>
      </c>
      <c r="AB45" s="10">
        <f>Inputs!$F$49*IF(AND(AB23&gt;=Inputs!$F$203,AB23&lt;=Inputs!$F$204),1,0)</f>
        <v/>
      </c>
      <c r="AC45" s="10">
        <f>Inputs!$F$49*IF(AND(AC23&gt;=Inputs!$F$203,AC23&lt;=Inputs!$F$204),1,0)</f>
        <v/>
      </c>
      <c r="AD45" s="10">
        <f>Inputs!$F$49*IF(AND(AD23&gt;=Inputs!$F$203,AD23&lt;=Inputs!$F$204),1,0)</f>
        <v/>
      </c>
      <c r="AE45" s="10">
        <f>Inputs!$F$49*IF(AND(AE23&gt;=Inputs!$F$203,AE23&lt;=Inputs!$F$204),1,0)</f>
        <v/>
      </c>
      <c r="AF45" s="10">
        <f>Inputs!$F$49*IF(AND(AF23&gt;=Inputs!$F$203,AF23&lt;=Inputs!$F$204),1,0)</f>
        <v/>
      </c>
      <c r="AG45" s="10">
        <f>Inputs!$F$49*IF(AND(AG23&gt;=Inputs!$F$203,AG23&lt;=Inputs!$F$204),1,0)</f>
        <v/>
      </c>
      <c r="AH45" s="10">
        <f>Inputs!$F$49*IF(AND(AH23&gt;=Inputs!$F$203,AH23&lt;=Inputs!$F$204),1,0)</f>
        <v/>
      </c>
      <c r="AI45" s="10">
        <f>Inputs!$F$49*IF(AND(AI23&gt;=Inputs!$F$203,AI23&lt;=Inputs!$F$204),1,0)</f>
        <v/>
      </c>
      <c r="AJ45" s="10">
        <f>Inputs!$F$49*IF(AND(AJ23&gt;=Inputs!$F$203,AJ23&lt;=Inputs!$F$204),1,0)</f>
        <v/>
      </c>
      <c r="AK45" s="10">
        <f>Inputs!$F$49*IF(AND(AK23&gt;=Inputs!$F$203,AK23&lt;=Inputs!$F$204),1,0)</f>
        <v/>
      </c>
      <c r="AL45" s="10">
        <f>Inputs!$F$49*IF(AND(AL23&gt;=Inputs!$F$203,AL23&lt;=Inputs!$F$204),1,0)</f>
        <v/>
      </c>
      <c r="AM45" s="10">
        <f>Inputs!$F$49*IF(AND(AM23&gt;=Inputs!$F$203,AM23&lt;=Inputs!$F$204),1,0)</f>
        <v/>
      </c>
      <c r="AN45" s="10">
        <f>Inputs!$F$49*IF(AND(AN23&gt;=Inputs!$F$203,AN23&lt;=Inputs!$F$204),1,0)</f>
        <v/>
      </c>
      <c r="AO45" s="10">
        <f>Inputs!$F$49*IF(AND(AO23&gt;=Inputs!$F$203,AO23&lt;=Inputs!$F$204),1,0)</f>
        <v/>
      </c>
      <c r="AP45" s="10">
        <f>Inputs!$F$49*IF(AND(AP23&gt;=Inputs!$F$203,AP23&lt;=Inputs!$F$204),1,0)</f>
        <v/>
      </c>
      <c r="AQ45" s="10">
        <f>Inputs!$F$49*IF(AND(AQ23&gt;=Inputs!$F$203,AQ23&lt;=Inputs!$F$204),1,0)</f>
        <v/>
      </c>
      <c r="AR45" s="10">
        <f>Inputs!$F$49*IF(AND(AR23&gt;=Inputs!$F$203,AR23&lt;=Inputs!$F$204),1,0)</f>
        <v/>
      </c>
      <c r="AS45" s="10">
        <f>Inputs!$F$49*IF(AND(AS23&gt;=Inputs!$F$203,AS23&lt;=Inputs!$F$204),1,0)</f>
        <v/>
      </c>
      <c r="AT45" s="10">
        <f>Inputs!$F$49*IF(AND(AT23&gt;=Inputs!$F$203,AT23&lt;=Inputs!$F$204),1,0)</f>
        <v/>
      </c>
      <c r="AU45" s="10">
        <f>Inputs!$F$49*IF(AND(AU23&gt;=Inputs!$F$203,AU23&lt;=Inputs!$F$204),1,0)</f>
        <v/>
      </c>
      <c r="AV45" s="10">
        <f>Inputs!$F$49*IF(AND(AV23&gt;=Inputs!$F$203,AV23&lt;=Inputs!$F$204),1,0)</f>
        <v/>
      </c>
      <c r="AW45" s="10">
        <f>Inputs!$F$49*IF(AND(AW23&gt;=Inputs!$F$203,AW23&lt;=Inputs!$F$204),1,0)</f>
        <v/>
      </c>
      <c r="AX45" s="10">
        <f>Inputs!$F$49*IF(AND(AX23&gt;=Inputs!$F$203,AX23&lt;=Inputs!$F$204),1,0)</f>
        <v/>
      </c>
      <c r="AY45" s="10">
        <f>Inputs!$F$49*IF(AND(AY23&gt;=Inputs!$F$203,AY23&lt;=Inputs!$F$204),1,0)</f>
        <v/>
      </c>
      <c r="AZ45" s="10">
        <f>Inputs!$F$49*IF(AND(AZ23&gt;=Inputs!$F$203,AZ23&lt;=Inputs!$F$204),1,0)</f>
        <v/>
      </c>
      <c r="BA45" s="10">
        <f>Inputs!$F$49*IF(AND(BA23&gt;=Inputs!$F$203,BA23&lt;=Inputs!$F$204),1,0)</f>
        <v/>
      </c>
      <c r="BB45" s="10">
        <f>Inputs!$F$49*IF(AND(BB23&gt;=Inputs!$F$203,BB23&lt;=Inputs!$F$204),1,0)</f>
        <v/>
      </c>
      <c r="BC45" s="10">
        <f>Inputs!$F$49*IF(AND(BC23&gt;=Inputs!$F$203,BC23&lt;=Inputs!$F$204),1,0)</f>
        <v/>
      </c>
      <c r="BD45" s="10">
        <f>Inputs!$F$49*IF(AND(BD23&gt;=Inputs!$F$203,BD23&lt;=Inputs!$F$204),1,0)</f>
        <v/>
      </c>
      <c r="BE45" s="10">
        <f>Inputs!$F$49*IF(AND(BE23&gt;=Inputs!$F$203,BE23&lt;=Inputs!$F$204),1,0)</f>
        <v/>
      </c>
      <c r="BF45" s="10">
        <f>Inputs!$F$49*IF(AND(BF23&gt;=Inputs!$F$203,BF23&lt;=Inputs!$F$204),1,0)</f>
        <v/>
      </c>
      <c r="BG45" s="10">
        <f>Inputs!$F$49*IF(AND(BG23&gt;=Inputs!$F$203,BG23&lt;=Inputs!$F$204),1,0)</f>
        <v/>
      </c>
      <c r="BH45" s="10">
        <f>Inputs!$F$49*IF(AND(BH23&gt;=Inputs!$F$203,BH23&lt;=Inputs!$F$204),1,0)</f>
        <v/>
      </c>
      <c r="BI45" s="10">
        <f>Inputs!$F$49*IF(AND(BI23&gt;=Inputs!$F$203,BI23&lt;=Inputs!$F$204),1,0)</f>
        <v/>
      </c>
      <c r="BJ45" s="10">
        <f>Inputs!$F$49*IF(AND(BJ23&gt;=Inputs!$F$203,BJ23&lt;=Inputs!$F$204),1,0)</f>
        <v/>
      </c>
      <c r="BK45" s="10">
        <f>Inputs!$F$49*IF(AND(BK23&gt;=Inputs!$F$203,BK23&lt;=Inputs!$F$204),1,0)</f>
        <v/>
      </c>
      <c r="BL45" s="10">
        <f>Inputs!$F$49*IF(AND(BL23&gt;=Inputs!$F$203,BL23&lt;=Inputs!$F$204),1,0)</f>
        <v/>
      </c>
      <c r="BM45" s="10">
        <f>Inputs!$F$49*IF(AND(BM23&gt;=Inputs!$F$203,BM23&lt;=Inputs!$F$204),1,0)</f>
        <v/>
      </c>
      <c r="BN45" s="10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10">
        <f>SUM(J45:BN45)</f>
        <v/>
      </c>
      <c r="K46" s="10">
        <f>SUM(K45:BN45)</f>
        <v/>
      </c>
      <c r="L46" s="10">
        <f>SUM(L45:BN45)</f>
        <v/>
      </c>
      <c r="M46" s="10">
        <f>SUM(M45:BN45)</f>
        <v/>
      </c>
      <c r="N46" s="10">
        <f>SUM(N45:BN45)</f>
        <v/>
      </c>
      <c r="O46" s="10">
        <f>SUM(O45:BN45)</f>
        <v/>
      </c>
      <c r="P46" s="10">
        <f>SUM(P45:BN45)</f>
        <v/>
      </c>
      <c r="Q46" s="10">
        <f>SUM(Q45:BN45)</f>
        <v/>
      </c>
      <c r="R46" s="10">
        <f>SUM(R45:BN45)</f>
        <v/>
      </c>
      <c r="S46" s="10">
        <f>SUM(S45:BN45)</f>
        <v/>
      </c>
      <c r="T46" s="10">
        <f>SUM(T45:BN45)</f>
        <v/>
      </c>
      <c r="U46" s="10">
        <f>SUM(U45:BN45)</f>
        <v/>
      </c>
      <c r="V46" s="10">
        <f>SUM(V45:BN45)</f>
        <v/>
      </c>
      <c r="W46" s="10">
        <f>SUM(W45:BN45)</f>
        <v/>
      </c>
      <c r="X46" s="10">
        <f>SUM(X45:BN45)</f>
        <v/>
      </c>
      <c r="Y46" s="10">
        <f>SUM(Y45:BN45)</f>
        <v/>
      </c>
      <c r="Z46" s="10">
        <f>SUM(Z45:BN45)</f>
        <v/>
      </c>
      <c r="AA46" s="10">
        <f>SUM(AA45:BN45)</f>
        <v/>
      </c>
      <c r="AB46" s="10">
        <f>SUM(AB45:BN45)</f>
        <v/>
      </c>
      <c r="AC46" s="10">
        <f>SUM(AC45:BN45)</f>
        <v/>
      </c>
      <c r="AD46" s="10">
        <f>SUM(AD45:BN45)</f>
        <v/>
      </c>
      <c r="AE46" s="10">
        <f>SUM(AE45:BN45)</f>
        <v/>
      </c>
      <c r="AF46" s="10">
        <f>SUM(AF45:BN45)</f>
        <v/>
      </c>
      <c r="AG46" s="10">
        <f>SUM(AG45:BN45)</f>
        <v/>
      </c>
      <c r="AH46" s="10">
        <f>SUM(AH45:BN45)</f>
        <v/>
      </c>
      <c r="AI46" s="10">
        <f>SUM(AI45:BN45)</f>
        <v/>
      </c>
      <c r="AJ46" s="10">
        <f>SUM(AJ45:BN45)</f>
        <v/>
      </c>
      <c r="AK46" s="10">
        <f>SUM(AK45:BN45)</f>
        <v/>
      </c>
      <c r="AL46" s="10">
        <f>SUM(AL45:BN45)</f>
        <v/>
      </c>
      <c r="AM46" s="10">
        <f>SUM(AM45:BN45)</f>
        <v/>
      </c>
      <c r="AN46" s="10">
        <f>SUM(AN45:BN45)</f>
        <v/>
      </c>
      <c r="AO46" s="10">
        <f>SUM(AO45:BN45)</f>
        <v/>
      </c>
      <c r="AP46" s="10">
        <f>SUM(AP45:BN45)</f>
        <v/>
      </c>
      <c r="AQ46" s="10">
        <f>SUM(AQ45:BN45)</f>
        <v/>
      </c>
      <c r="AR46" s="10">
        <f>SUM(AR45:BN45)</f>
        <v/>
      </c>
      <c r="AS46" s="10">
        <f>SUM(AS45:BN45)</f>
        <v/>
      </c>
      <c r="AT46" s="10">
        <f>SUM(AT45:BN45)</f>
        <v/>
      </c>
      <c r="AU46" s="10">
        <f>SUM(AU45:BN45)</f>
        <v/>
      </c>
      <c r="AV46" s="10">
        <f>SUM(AV45:BN45)</f>
        <v/>
      </c>
      <c r="AW46" s="10">
        <f>SUM(AW45:BN45)</f>
        <v/>
      </c>
      <c r="AX46" s="10">
        <f>SUM(AX45:BN45)</f>
        <v/>
      </c>
      <c r="AY46" s="10">
        <f>SUM(AY45:BN45)</f>
        <v/>
      </c>
      <c r="AZ46" s="10">
        <f>SUM(AZ45:BN45)</f>
        <v/>
      </c>
      <c r="BA46" s="10">
        <f>SUM(BA45:BN45)</f>
        <v/>
      </c>
      <c r="BB46" s="10">
        <f>SUM(BB45:BN45)</f>
        <v/>
      </c>
      <c r="BC46" s="10">
        <f>SUM(BC45:BN45)</f>
        <v/>
      </c>
      <c r="BD46" s="10">
        <f>SUM(BD45:BN45)</f>
        <v/>
      </c>
      <c r="BE46" s="10">
        <f>SUM(BE45:BN45)</f>
        <v/>
      </c>
      <c r="BF46" s="10">
        <f>SUM(BF45:BN45)</f>
        <v/>
      </c>
      <c r="BG46" s="10">
        <f>SUM(BG45:BN45)</f>
        <v/>
      </c>
      <c r="BH46" s="10">
        <f>SUM(BH45:BN45)</f>
        <v/>
      </c>
      <c r="BI46" s="10">
        <f>SUM(BI45:BN45)</f>
        <v/>
      </c>
      <c r="BJ46" s="10">
        <f>SUM(BJ45:BN45)</f>
        <v/>
      </c>
      <c r="BK46" s="10">
        <f>SUM(BK45:BN45)</f>
        <v/>
      </c>
      <c r="BL46" s="10">
        <f>SUM(BL45:BN45)</f>
        <v/>
      </c>
      <c r="BM46" s="10">
        <f>SUM(BM45:BN45)</f>
        <v/>
      </c>
      <c r="BN46" s="10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10">
        <f>Inputs!$F$50*IF(J23=Inputs!$F$205,1,0)</f>
        <v/>
      </c>
      <c r="K47" s="10">
        <f>Inputs!$F$50*IF(K23=Inputs!$F$205,1,0)</f>
        <v/>
      </c>
      <c r="L47" s="10">
        <f>Inputs!$F$50*IF(L23=Inputs!$F$205,1,0)</f>
        <v/>
      </c>
      <c r="M47" s="10">
        <f>Inputs!$F$50*IF(M23=Inputs!$F$205,1,0)</f>
        <v/>
      </c>
      <c r="N47" s="10">
        <f>Inputs!$F$50*IF(N23=Inputs!$F$205,1,0)</f>
        <v/>
      </c>
      <c r="O47" s="10">
        <f>Inputs!$F$50*IF(O23=Inputs!$F$205,1,0)</f>
        <v/>
      </c>
      <c r="P47" s="10">
        <f>Inputs!$F$50*IF(P23=Inputs!$F$205,1,0)</f>
        <v/>
      </c>
      <c r="Q47" s="10">
        <f>Inputs!$F$50*IF(Q23=Inputs!$F$205,1,0)</f>
        <v/>
      </c>
      <c r="R47" s="10">
        <f>Inputs!$F$50*IF(R23=Inputs!$F$205,1,0)</f>
        <v/>
      </c>
      <c r="S47" s="10">
        <f>Inputs!$F$50*IF(S23=Inputs!$F$205,1,0)</f>
        <v/>
      </c>
      <c r="T47" s="10">
        <f>Inputs!$F$50*IF(T23=Inputs!$F$205,1,0)</f>
        <v/>
      </c>
      <c r="U47" s="10">
        <f>Inputs!$F$50*IF(U23=Inputs!$F$205,1,0)</f>
        <v/>
      </c>
      <c r="V47" s="10">
        <f>Inputs!$F$50*IF(V23=Inputs!$F$205,1,0)</f>
        <v/>
      </c>
      <c r="W47" s="10">
        <f>Inputs!$F$50*IF(W23=Inputs!$F$205,1,0)</f>
        <v/>
      </c>
      <c r="X47" s="10">
        <f>Inputs!$F$50*IF(X23=Inputs!$F$205,1,0)</f>
        <v/>
      </c>
      <c r="Y47" s="10">
        <f>Inputs!$F$50*IF(Y23=Inputs!$F$205,1,0)</f>
        <v/>
      </c>
      <c r="Z47" s="10">
        <f>Inputs!$F$50*IF(Z23=Inputs!$F$205,1,0)</f>
        <v/>
      </c>
      <c r="AA47" s="10">
        <f>Inputs!$F$50*IF(AA23=Inputs!$F$205,1,0)</f>
        <v/>
      </c>
      <c r="AB47" s="10">
        <f>Inputs!$F$50*IF(AB23=Inputs!$F$205,1,0)</f>
        <v/>
      </c>
      <c r="AC47" s="10">
        <f>Inputs!$F$50*IF(AC23=Inputs!$F$205,1,0)</f>
        <v/>
      </c>
      <c r="AD47" s="10">
        <f>Inputs!$F$50*IF(AD23=Inputs!$F$205,1,0)</f>
        <v/>
      </c>
      <c r="AE47" s="10">
        <f>Inputs!$F$50*IF(AE23=Inputs!$F$205,1,0)</f>
        <v/>
      </c>
      <c r="AF47" s="10">
        <f>Inputs!$F$50*IF(AF23=Inputs!$F$205,1,0)</f>
        <v/>
      </c>
      <c r="AG47" s="10">
        <f>Inputs!$F$50*IF(AG23=Inputs!$F$205,1,0)</f>
        <v/>
      </c>
      <c r="AH47" s="10">
        <f>Inputs!$F$50*IF(AH23=Inputs!$F$205,1,0)</f>
        <v/>
      </c>
      <c r="AI47" s="10">
        <f>Inputs!$F$50*IF(AI23=Inputs!$F$205,1,0)</f>
        <v/>
      </c>
      <c r="AJ47" s="10">
        <f>Inputs!$F$50*IF(AJ23=Inputs!$F$205,1,0)</f>
        <v/>
      </c>
      <c r="AK47" s="10">
        <f>Inputs!$F$50*IF(AK23=Inputs!$F$205,1,0)</f>
        <v/>
      </c>
      <c r="AL47" s="10">
        <f>Inputs!$F$50*IF(AL23=Inputs!$F$205,1,0)</f>
        <v/>
      </c>
      <c r="AM47" s="10">
        <f>Inputs!$F$50*IF(AM23=Inputs!$F$205,1,0)</f>
        <v/>
      </c>
      <c r="AN47" s="10">
        <f>Inputs!$F$50*IF(AN23=Inputs!$F$205,1,0)</f>
        <v/>
      </c>
      <c r="AO47" s="10">
        <f>Inputs!$F$50*IF(AO23=Inputs!$F$205,1,0)</f>
        <v/>
      </c>
      <c r="AP47" s="10">
        <f>Inputs!$F$50*IF(AP23=Inputs!$F$205,1,0)</f>
        <v/>
      </c>
      <c r="AQ47" s="10">
        <f>Inputs!$F$50*IF(AQ23=Inputs!$F$205,1,0)</f>
        <v/>
      </c>
      <c r="AR47" s="10">
        <f>Inputs!$F$50*IF(AR23=Inputs!$F$205,1,0)</f>
        <v/>
      </c>
      <c r="AS47" s="10">
        <f>Inputs!$F$50*IF(AS23=Inputs!$F$205,1,0)</f>
        <v/>
      </c>
      <c r="AT47" s="10">
        <f>Inputs!$F$50*IF(AT23=Inputs!$F$205,1,0)</f>
        <v/>
      </c>
      <c r="AU47" s="10">
        <f>Inputs!$F$50*IF(AU23=Inputs!$F$205,1,0)</f>
        <v/>
      </c>
      <c r="AV47" s="10">
        <f>Inputs!$F$50*IF(AV23=Inputs!$F$205,1,0)</f>
        <v/>
      </c>
      <c r="AW47" s="10">
        <f>Inputs!$F$50*IF(AW23=Inputs!$F$205,1,0)</f>
        <v/>
      </c>
      <c r="AX47" s="10">
        <f>Inputs!$F$50*IF(AX23=Inputs!$F$205,1,0)</f>
        <v/>
      </c>
      <c r="AY47" s="10">
        <f>Inputs!$F$50*IF(AY23=Inputs!$F$205,1,0)</f>
        <v/>
      </c>
      <c r="AZ47" s="10">
        <f>Inputs!$F$50*IF(AZ23=Inputs!$F$205,1,0)</f>
        <v/>
      </c>
      <c r="BA47" s="10">
        <f>Inputs!$F$50*IF(BA23=Inputs!$F$205,1,0)</f>
        <v/>
      </c>
      <c r="BB47" s="10">
        <f>Inputs!$F$50*IF(BB23=Inputs!$F$205,1,0)</f>
        <v/>
      </c>
      <c r="BC47" s="10">
        <f>Inputs!$F$50*IF(BC23=Inputs!$F$205,1,0)</f>
        <v/>
      </c>
      <c r="BD47" s="10">
        <f>Inputs!$F$50*IF(BD23=Inputs!$F$205,1,0)</f>
        <v/>
      </c>
      <c r="BE47" s="10">
        <f>Inputs!$F$50*IF(BE23=Inputs!$F$205,1,0)</f>
        <v/>
      </c>
      <c r="BF47" s="10">
        <f>Inputs!$F$50*IF(BF23=Inputs!$F$205,1,0)</f>
        <v/>
      </c>
      <c r="BG47" s="10">
        <f>Inputs!$F$50*IF(BG23=Inputs!$F$205,1,0)</f>
        <v/>
      </c>
      <c r="BH47" s="10">
        <f>Inputs!$F$50*IF(BH23=Inputs!$F$205,1,0)</f>
        <v/>
      </c>
      <c r="BI47" s="10">
        <f>Inputs!$F$50*IF(BI23=Inputs!$F$205,1,0)</f>
        <v/>
      </c>
      <c r="BJ47" s="10">
        <f>Inputs!$F$50*IF(BJ23=Inputs!$F$205,1,0)</f>
        <v/>
      </c>
      <c r="BK47" s="10">
        <f>Inputs!$F$50*IF(BK23=Inputs!$F$205,1,0)</f>
        <v/>
      </c>
      <c r="BL47" s="10">
        <f>Inputs!$F$50*IF(BL23=Inputs!$F$205,1,0)</f>
        <v/>
      </c>
      <c r="BM47" s="10">
        <f>Inputs!$F$50*IF(BM23=Inputs!$F$205,1,0)</f>
        <v/>
      </c>
      <c r="BN47" s="10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10">
        <f>Inputs!$F$50*IF(J23&gt;Inputs!$F$205,1,0)</f>
        <v/>
      </c>
      <c r="K48" s="10">
        <f>Inputs!$F$50*IF(K23&gt;Inputs!$F$205,1,0)</f>
        <v/>
      </c>
      <c r="L48" s="10">
        <f>Inputs!$F$50*IF(L23&gt;Inputs!$F$205,1,0)</f>
        <v/>
      </c>
      <c r="M48" s="10">
        <f>Inputs!$F$50*IF(M23&gt;Inputs!$F$205,1,0)</f>
        <v/>
      </c>
      <c r="N48" s="10">
        <f>Inputs!$F$50*IF(N23&gt;Inputs!$F$205,1,0)</f>
        <v/>
      </c>
      <c r="O48" s="10">
        <f>Inputs!$F$50*IF(O23&gt;Inputs!$F$205,1,0)</f>
        <v/>
      </c>
      <c r="P48" s="10">
        <f>Inputs!$F$50*IF(P23&gt;Inputs!$F$205,1,0)</f>
        <v/>
      </c>
      <c r="Q48" s="10">
        <f>Inputs!$F$50*IF(Q23&gt;Inputs!$F$205,1,0)</f>
        <v/>
      </c>
      <c r="R48" s="10">
        <f>Inputs!$F$50*IF(R23&gt;Inputs!$F$205,1,0)</f>
        <v/>
      </c>
      <c r="S48" s="10">
        <f>Inputs!$F$50*IF(S23&gt;Inputs!$F$205,1,0)</f>
        <v/>
      </c>
      <c r="T48" s="10">
        <f>Inputs!$F$50*IF(T23&gt;Inputs!$F$205,1,0)</f>
        <v/>
      </c>
      <c r="U48" s="10">
        <f>Inputs!$F$50*IF(U23&gt;Inputs!$F$205,1,0)</f>
        <v/>
      </c>
      <c r="V48" s="10">
        <f>Inputs!$F$50*IF(V23&gt;Inputs!$F$205,1,0)</f>
        <v/>
      </c>
      <c r="W48" s="10">
        <f>Inputs!$F$50*IF(W23&gt;Inputs!$F$205,1,0)</f>
        <v/>
      </c>
      <c r="X48" s="10">
        <f>Inputs!$F$50*IF(X23&gt;Inputs!$F$205,1,0)</f>
        <v/>
      </c>
      <c r="Y48" s="10">
        <f>Inputs!$F$50*IF(Y23&gt;Inputs!$F$205,1,0)</f>
        <v/>
      </c>
      <c r="Z48" s="10">
        <f>Inputs!$F$50*IF(Z23&gt;Inputs!$F$205,1,0)</f>
        <v/>
      </c>
      <c r="AA48" s="10">
        <f>Inputs!$F$50*IF(AA23&gt;Inputs!$F$205,1,0)</f>
        <v/>
      </c>
      <c r="AB48" s="10">
        <f>Inputs!$F$50*IF(AB23&gt;Inputs!$F$205,1,0)</f>
        <v/>
      </c>
      <c r="AC48" s="10">
        <f>Inputs!$F$50*IF(AC23&gt;Inputs!$F$205,1,0)</f>
        <v/>
      </c>
      <c r="AD48" s="10">
        <f>Inputs!$F$50*IF(AD23&gt;Inputs!$F$205,1,0)</f>
        <v/>
      </c>
      <c r="AE48" s="10">
        <f>Inputs!$F$50*IF(AE23&gt;Inputs!$F$205,1,0)</f>
        <v/>
      </c>
      <c r="AF48" s="10">
        <f>Inputs!$F$50*IF(AF23&gt;Inputs!$F$205,1,0)</f>
        <v/>
      </c>
      <c r="AG48" s="10">
        <f>Inputs!$F$50*IF(AG23&gt;Inputs!$F$205,1,0)</f>
        <v/>
      </c>
      <c r="AH48" s="10">
        <f>Inputs!$F$50*IF(AH23&gt;Inputs!$F$205,1,0)</f>
        <v/>
      </c>
      <c r="AI48" s="10">
        <f>Inputs!$F$50*IF(AI23&gt;Inputs!$F$205,1,0)</f>
        <v/>
      </c>
      <c r="AJ48" s="10">
        <f>Inputs!$F$50*IF(AJ23&gt;Inputs!$F$205,1,0)</f>
        <v/>
      </c>
      <c r="AK48" s="10">
        <f>Inputs!$F$50*IF(AK23&gt;Inputs!$F$205,1,0)</f>
        <v/>
      </c>
      <c r="AL48" s="10">
        <f>Inputs!$F$50*IF(AL23&gt;Inputs!$F$205,1,0)</f>
        <v/>
      </c>
      <c r="AM48" s="10">
        <f>Inputs!$F$50*IF(AM23&gt;Inputs!$F$205,1,0)</f>
        <v/>
      </c>
      <c r="AN48" s="10">
        <f>Inputs!$F$50*IF(AN23&gt;Inputs!$F$205,1,0)</f>
        <v/>
      </c>
      <c r="AO48" s="10">
        <f>Inputs!$F$50*IF(AO23&gt;Inputs!$F$205,1,0)</f>
        <v/>
      </c>
      <c r="AP48" s="10">
        <f>Inputs!$F$50*IF(AP23&gt;Inputs!$F$205,1,0)</f>
        <v/>
      </c>
      <c r="AQ48" s="10">
        <f>Inputs!$F$50*IF(AQ23&gt;Inputs!$F$205,1,0)</f>
        <v/>
      </c>
      <c r="AR48" s="10">
        <f>Inputs!$F$50*IF(AR23&gt;Inputs!$F$205,1,0)</f>
        <v/>
      </c>
      <c r="AS48" s="10">
        <f>Inputs!$F$50*IF(AS23&gt;Inputs!$F$205,1,0)</f>
        <v/>
      </c>
      <c r="AT48" s="10">
        <f>Inputs!$F$50*IF(AT23&gt;Inputs!$F$205,1,0)</f>
        <v/>
      </c>
      <c r="AU48" s="10">
        <f>Inputs!$F$50*IF(AU23&gt;Inputs!$F$205,1,0)</f>
        <v/>
      </c>
      <c r="AV48" s="10">
        <f>Inputs!$F$50*IF(AV23&gt;Inputs!$F$205,1,0)</f>
        <v/>
      </c>
      <c r="AW48" s="10">
        <f>Inputs!$F$50*IF(AW23&gt;Inputs!$F$205,1,0)</f>
        <v/>
      </c>
      <c r="AX48" s="10">
        <f>Inputs!$F$50*IF(AX23&gt;Inputs!$F$205,1,0)</f>
        <v/>
      </c>
      <c r="AY48" s="10">
        <f>Inputs!$F$50*IF(AY23&gt;Inputs!$F$205,1,0)</f>
        <v/>
      </c>
      <c r="AZ48" s="10">
        <f>Inputs!$F$50*IF(AZ23&gt;Inputs!$F$205,1,0)</f>
        <v/>
      </c>
      <c r="BA48" s="10">
        <f>Inputs!$F$50*IF(BA23&gt;Inputs!$F$205,1,0)</f>
        <v/>
      </c>
      <c r="BB48" s="10">
        <f>Inputs!$F$50*IF(BB23&gt;Inputs!$F$205,1,0)</f>
        <v/>
      </c>
      <c r="BC48" s="10">
        <f>Inputs!$F$50*IF(BC23&gt;Inputs!$F$205,1,0)</f>
        <v/>
      </c>
      <c r="BD48" s="10">
        <f>Inputs!$F$50*IF(BD23&gt;Inputs!$F$205,1,0)</f>
        <v/>
      </c>
      <c r="BE48" s="10">
        <f>Inputs!$F$50*IF(BE23&gt;Inputs!$F$205,1,0)</f>
        <v/>
      </c>
      <c r="BF48" s="10">
        <f>Inputs!$F$50*IF(BF23&gt;Inputs!$F$205,1,0)</f>
        <v/>
      </c>
      <c r="BG48" s="10">
        <f>Inputs!$F$50*IF(BG23&gt;Inputs!$F$205,1,0)</f>
        <v/>
      </c>
      <c r="BH48" s="10">
        <f>Inputs!$F$50*IF(BH23&gt;Inputs!$F$205,1,0)</f>
        <v/>
      </c>
      <c r="BI48" s="10">
        <f>Inputs!$F$50*IF(BI23&gt;Inputs!$F$205,1,0)</f>
        <v/>
      </c>
      <c r="BJ48" s="10">
        <f>Inputs!$F$50*IF(BJ23&gt;Inputs!$F$205,1,0)</f>
        <v/>
      </c>
      <c r="BK48" s="10">
        <f>Inputs!$F$50*IF(BK23&gt;Inputs!$F$205,1,0)</f>
        <v/>
      </c>
      <c r="BL48" s="10">
        <f>Inputs!$F$50*IF(BL23&gt;Inputs!$F$205,1,0)</f>
        <v/>
      </c>
      <c r="BM48" s="10">
        <f>Inputs!$F$50*IF(BM23&gt;Inputs!$F$205,1,0)</f>
        <v/>
      </c>
      <c r="BN48" s="10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10">
        <f>Inputs!$F$49*IF(AND(J23&gt;=Inputs!$F$199,J23&lt;=Inputs!$F$200),1,0)</f>
        <v/>
      </c>
      <c r="K49" s="10">
        <f>Inputs!$F$49*IF(AND(K23&gt;=Inputs!$F$199,K23&lt;=Inputs!$F$200),1,0)</f>
        <v/>
      </c>
      <c r="L49" s="10">
        <f>Inputs!$F$49*IF(AND(L23&gt;=Inputs!$F$199,L23&lt;=Inputs!$F$200),1,0)</f>
        <v/>
      </c>
      <c r="M49" s="10">
        <f>Inputs!$F$49*IF(AND(M23&gt;=Inputs!$F$199,M23&lt;=Inputs!$F$200),1,0)</f>
        <v/>
      </c>
      <c r="N49" s="10">
        <f>Inputs!$F$49*IF(AND(N23&gt;=Inputs!$F$199,N23&lt;=Inputs!$F$200),1,0)</f>
        <v/>
      </c>
      <c r="O49" s="10">
        <f>Inputs!$F$49*IF(AND(O23&gt;=Inputs!$F$199,O23&lt;=Inputs!$F$200),1,0)</f>
        <v/>
      </c>
      <c r="P49" s="10">
        <f>Inputs!$F$49*IF(AND(P23&gt;=Inputs!$F$199,P23&lt;=Inputs!$F$200),1,0)</f>
        <v/>
      </c>
      <c r="Q49" s="10">
        <f>Inputs!$F$49*IF(AND(Q23&gt;=Inputs!$F$199,Q23&lt;=Inputs!$F$200),1,0)</f>
        <v/>
      </c>
      <c r="R49" s="10">
        <f>Inputs!$F$49*IF(AND(R23&gt;=Inputs!$F$199,R23&lt;=Inputs!$F$200),1,0)</f>
        <v/>
      </c>
      <c r="S49" s="10">
        <f>Inputs!$F$49*IF(AND(S23&gt;=Inputs!$F$199,S23&lt;=Inputs!$F$200),1,0)</f>
        <v/>
      </c>
      <c r="T49" s="10">
        <f>Inputs!$F$49*IF(AND(T23&gt;=Inputs!$F$199,T23&lt;=Inputs!$F$200),1,0)</f>
        <v/>
      </c>
      <c r="U49" s="10">
        <f>Inputs!$F$49*IF(AND(U23&gt;=Inputs!$F$199,U23&lt;=Inputs!$F$200),1,0)</f>
        <v/>
      </c>
      <c r="V49" s="10">
        <f>Inputs!$F$49*IF(AND(V23&gt;=Inputs!$F$199,V23&lt;=Inputs!$F$200),1,0)</f>
        <v/>
      </c>
      <c r="W49" s="10">
        <f>Inputs!$F$49*IF(AND(W23&gt;=Inputs!$F$199,W23&lt;=Inputs!$F$200),1,0)</f>
        <v/>
      </c>
      <c r="X49" s="10">
        <f>Inputs!$F$49*IF(AND(X23&gt;=Inputs!$F$199,X23&lt;=Inputs!$F$200),1,0)</f>
        <v/>
      </c>
      <c r="Y49" s="10">
        <f>Inputs!$F$49*IF(AND(Y23&gt;=Inputs!$F$199,Y23&lt;=Inputs!$F$200),1,0)</f>
        <v/>
      </c>
      <c r="Z49" s="10">
        <f>Inputs!$F$49*IF(AND(Z23&gt;=Inputs!$F$199,Z23&lt;=Inputs!$F$200),1,0)</f>
        <v/>
      </c>
      <c r="AA49" s="10">
        <f>Inputs!$F$49*IF(AND(AA23&gt;=Inputs!$F$199,AA23&lt;=Inputs!$F$200),1,0)</f>
        <v/>
      </c>
      <c r="AB49" s="10">
        <f>Inputs!$F$49*IF(AND(AB23&gt;=Inputs!$F$199,AB23&lt;=Inputs!$F$200),1,0)</f>
        <v/>
      </c>
      <c r="AC49" s="10">
        <f>Inputs!$F$49*IF(AND(AC23&gt;=Inputs!$F$199,AC23&lt;=Inputs!$F$200),1,0)</f>
        <v/>
      </c>
      <c r="AD49" s="10">
        <f>Inputs!$F$49*IF(AND(AD23&gt;=Inputs!$F$199,AD23&lt;=Inputs!$F$200),1,0)</f>
        <v/>
      </c>
      <c r="AE49" s="10">
        <f>Inputs!$F$49*IF(AND(AE23&gt;=Inputs!$F$199,AE23&lt;=Inputs!$F$200),1,0)</f>
        <v/>
      </c>
      <c r="AF49" s="10">
        <f>Inputs!$F$49*IF(AND(AF23&gt;=Inputs!$F$199,AF23&lt;=Inputs!$F$200),1,0)</f>
        <v/>
      </c>
      <c r="AG49" s="10">
        <f>Inputs!$F$49*IF(AND(AG23&gt;=Inputs!$F$199,AG23&lt;=Inputs!$F$200),1,0)</f>
        <v/>
      </c>
      <c r="AH49" s="10">
        <f>Inputs!$F$49*IF(AND(AH23&gt;=Inputs!$F$199,AH23&lt;=Inputs!$F$200),1,0)</f>
        <v/>
      </c>
      <c r="AI49" s="10">
        <f>Inputs!$F$49*IF(AND(AI23&gt;=Inputs!$F$199,AI23&lt;=Inputs!$F$200),1,0)</f>
        <v/>
      </c>
      <c r="AJ49" s="10">
        <f>Inputs!$F$49*IF(AND(AJ23&gt;=Inputs!$F$199,AJ23&lt;=Inputs!$F$200),1,0)</f>
        <v/>
      </c>
      <c r="AK49" s="10">
        <f>Inputs!$F$49*IF(AND(AK23&gt;=Inputs!$F$199,AK23&lt;=Inputs!$F$200),1,0)</f>
        <v/>
      </c>
      <c r="AL49" s="10">
        <f>Inputs!$F$49*IF(AND(AL23&gt;=Inputs!$F$199,AL23&lt;=Inputs!$F$200),1,0)</f>
        <v/>
      </c>
      <c r="AM49" s="10">
        <f>Inputs!$F$49*IF(AND(AM23&gt;=Inputs!$F$199,AM23&lt;=Inputs!$F$200),1,0)</f>
        <v/>
      </c>
      <c r="AN49" s="10">
        <f>Inputs!$F$49*IF(AND(AN23&gt;=Inputs!$F$199,AN23&lt;=Inputs!$F$200),1,0)</f>
        <v/>
      </c>
      <c r="AO49" s="10">
        <f>Inputs!$F$49*IF(AND(AO23&gt;=Inputs!$F$199,AO23&lt;=Inputs!$F$200),1,0)</f>
        <v/>
      </c>
      <c r="AP49" s="10">
        <f>Inputs!$F$49*IF(AND(AP23&gt;=Inputs!$F$199,AP23&lt;=Inputs!$F$200),1,0)</f>
        <v/>
      </c>
      <c r="AQ49" s="10">
        <f>Inputs!$F$49*IF(AND(AQ23&gt;=Inputs!$F$199,AQ23&lt;=Inputs!$F$200),1,0)</f>
        <v/>
      </c>
      <c r="AR49" s="10">
        <f>Inputs!$F$49*IF(AND(AR23&gt;=Inputs!$F$199,AR23&lt;=Inputs!$F$200),1,0)</f>
        <v/>
      </c>
      <c r="AS49" s="10">
        <f>Inputs!$F$49*IF(AND(AS23&gt;=Inputs!$F$199,AS23&lt;=Inputs!$F$200),1,0)</f>
        <v/>
      </c>
      <c r="AT49" s="10">
        <f>Inputs!$F$49*IF(AND(AT23&gt;=Inputs!$F$199,AT23&lt;=Inputs!$F$200),1,0)</f>
        <v/>
      </c>
      <c r="AU49" s="10">
        <f>Inputs!$F$49*IF(AND(AU23&gt;=Inputs!$F$199,AU23&lt;=Inputs!$F$200),1,0)</f>
        <v/>
      </c>
      <c r="AV49" s="10">
        <f>Inputs!$F$49*IF(AND(AV23&gt;=Inputs!$F$199,AV23&lt;=Inputs!$F$200),1,0)</f>
        <v/>
      </c>
      <c r="AW49" s="10">
        <f>Inputs!$F$49*IF(AND(AW23&gt;=Inputs!$F$199,AW23&lt;=Inputs!$F$200),1,0)</f>
        <v/>
      </c>
      <c r="AX49" s="10">
        <f>Inputs!$F$49*IF(AND(AX23&gt;=Inputs!$F$199,AX23&lt;=Inputs!$F$200),1,0)</f>
        <v/>
      </c>
      <c r="AY49" s="10">
        <f>Inputs!$F$49*IF(AND(AY23&gt;=Inputs!$F$199,AY23&lt;=Inputs!$F$200),1,0)</f>
        <v/>
      </c>
      <c r="AZ49" s="10">
        <f>Inputs!$F$49*IF(AND(AZ23&gt;=Inputs!$F$199,AZ23&lt;=Inputs!$F$200),1,0)</f>
        <v/>
      </c>
      <c r="BA49" s="10">
        <f>Inputs!$F$49*IF(AND(BA23&gt;=Inputs!$F$199,BA23&lt;=Inputs!$F$200),1,0)</f>
        <v/>
      </c>
      <c r="BB49" s="10">
        <f>Inputs!$F$49*IF(AND(BB23&gt;=Inputs!$F$199,BB23&lt;=Inputs!$F$200),1,0)</f>
        <v/>
      </c>
      <c r="BC49" s="10">
        <f>Inputs!$F$49*IF(AND(BC23&gt;=Inputs!$F$199,BC23&lt;=Inputs!$F$200),1,0)</f>
        <v/>
      </c>
      <c r="BD49" s="10">
        <f>Inputs!$F$49*IF(AND(BD23&gt;=Inputs!$F$199,BD23&lt;=Inputs!$F$200),1,0)</f>
        <v/>
      </c>
      <c r="BE49" s="10">
        <f>Inputs!$F$49*IF(AND(BE23&gt;=Inputs!$F$199,BE23&lt;=Inputs!$F$200),1,0)</f>
        <v/>
      </c>
      <c r="BF49" s="10">
        <f>Inputs!$F$49*IF(AND(BF23&gt;=Inputs!$F$199,BF23&lt;=Inputs!$F$200),1,0)</f>
        <v/>
      </c>
      <c r="BG49" s="10">
        <f>Inputs!$F$49*IF(AND(BG23&gt;=Inputs!$F$199,BG23&lt;=Inputs!$F$200),1,0)</f>
        <v/>
      </c>
      <c r="BH49" s="10">
        <f>Inputs!$F$49*IF(AND(BH23&gt;=Inputs!$F$199,BH23&lt;=Inputs!$F$200),1,0)</f>
        <v/>
      </c>
      <c r="BI49" s="10">
        <f>Inputs!$F$49*IF(AND(BI23&gt;=Inputs!$F$199,BI23&lt;=Inputs!$F$200),1,0)</f>
        <v/>
      </c>
      <c r="BJ49" s="10">
        <f>Inputs!$F$49*IF(AND(BJ23&gt;=Inputs!$F$199,BJ23&lt;=Inputs!$F$200),1,0)</f>
        <v/>
      </c>
      <c r="BK49" s="10">
        <f>Inputs!$F$49*IF(AND(BK23&gt;=Inputs!$F$199,BK23&lt;=Inputs!$F$200),1,0)</f>
        <v/>
      </c>
      <c r="BL49" s="10">
        <f>Inputs!$F$49*IF(AND(BL23&gt;=Inputs!$F$199,BL23&lt;=Inputs!$F$200),1,0)</f>
        <v/>
      </c>
      <c r="BM49" s="10">
        <f>Inputs!$F$49*IF(AND(BM23&gt;=Inputs!$F$199,BM23&lt;=Inputs!$F$200),1,0)</f>
        <v/>
      </c>
      <c r="BN49" s="10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10">
        <f>Inputs!$F$49*IF(J23&gt;=Inputs!$F$199,1,0)</f>
        <v/>
      </c>
      <c r="K50" s="10">
        <f>Inputs!$F$49*IF(K23&gt;=Inputs!$F$199,1,0)</f>
        <v/>
      </c>
      <c r="L50" s="10">
        <f>Inputs!$F$49*IF(L23&gt;=Inputs!$F$199,1,0)</f>
        <v/>
      </c>
      <c r="M50" s="10">
        <f>Inputs!$F$49*IF(M23&gt;=Inputs!$F$199,1,0)</f>
        <v/>
      </c>
      <c r="N50" s="10">
        <f>Inputs!$F$49*IF(N23&gt;=Inputs!$F$199,1,0)</f>
        <v/>
      </c>
      <c r="O50" s="10">
        <f>Inputs!$F$49*IF(O23&gt;=Inputs!$F$199,1,0)</f>
        <v/>
      </c>
      <c r="P50" s="10">
        <f>Inputs!$F$49*IF(P23&gt;=Inputs!$F$199,1,0)</f>
        <v/>
      </c>
      <c r="Q50" s="10">
        <f>Inputs!$F$49*IF(Q23&gt;=Inputs!$F$199,1,0)</f>
        <v/>
      </c>
      <c r="R50" s="10">
        <f>Inputs!$F$49*IF(R23&gt;=Inputs!$F$199,1,0)</f>
        <v/>
      </c>
      <c r="S50" s="10">
        <f>Inputs!$F$49*IF(S23&gt;=Inputs!$F$199,1,0)</f>
        <v/>
      </c>
      <c r="T50" s="10">
        <f>Inputs!$F$49*IF(T23&gt;=Inputs!$F$199,1,0)</f>
        <v/>
      </c>
      <c r="U50" s="10">
        <f>Inputs!$F$49*IF(U23&gt;=Inputs!$F$199,1,0)</f>
        <v/>
      </c>
      <c r="V50" s="10">
        <f>Inputs!$F$49*IF(V23&gt;=Inputs!$F$199,1,0)</f>
        <v/>
      </c>
      <c r="W50" s="10">
        <f>Inputs!$F$49*IF(W23&gt;=Inputs!$F$199,1,0)</f>
        <v/>
      </c>
      <c r="X50" s="10">
        <f>Inputs!$F$49*IF(X23&gt;=Inputs!$F$199,1,0)</f>
        <v/>
      </c>
      <c r="Y50" s="10">
        <f>Inputs!$F$49*IF(Y23&gt;=Inputs!$F$199,1,0)</f>
        <v/>
      </c>
      <c r="Z50" s="10">
        <f>Inputs!$F$49*IF(Z23&gt;=Inputs!$F$199,1,0)</f>
        <v/>
      </c>
      <c r="AA50" s="10">
        <f>Inputs!$F$49*IF(AA23&gt;=Inputs!$F$199,1,0)</f>
        <v/>
      </c>
      <c r="AB50" s="10">
        <f>Inputs!$F$49*IF(AB23&gt;=Inputs!$F$199,1,0)</f>
        <v/>
      </c>
      <c r="AC50" s="10">
        <f>Inputs!$F$49*IF(AC23&gt;=Inputs!$F$199,1,0)</f>
        <v/>
      </c>
      <c r="AD50" s="10">
        <f>Inputs!$F$49*IF(AD23&gt;=Inputs!$F$199,1,0)</f>
        <v/>
      </c>
      <c r="AE50" s="10">
        <f>Inputs!$F$49*IF(AE23&gt;=Inputs!$F$199,1,0)</f>
        <v/>
      </c>
      <c r="AF50" s="10">
        <f>Inputs!$F$49*IF(AF23&gt;=Inputs!$F$199,1,0)</f>
        <v/>
      </c>
      <c r="AG50" s="10">
        <f>Inputs!$F$49*IF(AG23&gt;=Inputs!$F$199,1,0)</f>
        <v/>
      </c>
      <c r="AH50" s="10">
        <f>Inputs!$F$49*IF(AH23&gt;=Inputs!$F$199,1,0)</f>
        <v/>
      </c>
      <c r="AI50" s="10">
        <f>Inputs!$F$49*IF(AI23&gt;=Inputs!$F$199,1,0)</f>
        <v/>
      </c>
      <c r="AJ50" s="10">
        <f>Inputs!$F$49*IF(AJ23&gt;=Inputs!$F$199,1,0)</f>
        <v/>
      </c>
      <c r="AK50" s="10">
        <f>Inputs!$F$49*IF(AK23&gt;=Inputs!$F$199,1,0)</f>
        <v/>
      </c>
      <c r="AL50" s="10">
        <f>Inputs!$F$49*IF(AL23&gt;=Inputs!$F$199,1,0)</f>
        <v/>
      </c>
      <c r="AM50" s="10">
        <f>Inputs!$F$49*IF(AM23&gt;=Inputs!$F$199,1,0)</f>
        <v/>
      </c>
      <c r="AN50" s="10">
        <f>Inputs!$F$49*IF(AN23&gt;=Inputs!$F$199,1,0)</f>
        <v/>
      </c>
      <c r="AO50" s="10">
        <f>Inputs!$F$49*IF(AO23&gt;=Inputs!$F$199,1,0)</f>
        <v/>
      </c>
      <c r="AP50" s="10">
        <f>Inputs!$F$49*IF(AP23&gt;=Inputs!$F$199,1,0)</f>
        <v/>
      </c>
      <c r="AQ50" s="10">
        <f>Inputs!$F$49*IF(AQ23&gt;=Inputs!$F$199,1,0)</f>
        <v/>
      </c>
      <c r="AR50" s="10">
        <f>Inputs!$F$49*IF(AR23&gt;=Inputs!$F$199,1,0)</f>
        <v/>
      </c>
      <c r="AS50" s="10">
        <f>Inputs!$F$49*IF(AS23&gt;=Inputs!$F$199,1,0)</f>
        <v/>
      </c>
      <c r="AT50" s="10">
        <f>Inputs!$F$49*IF(AT23&gt;=Inputs!$F$199,1,0)</f>
        <v/>
      </c>
      <c r="AU50" s="10">
        <f>Inputs!$F$49*IF(AU23&gt;=Inputs!$F$199,1,0)</f>
        <v/>
      </c>
      <c r="AV50" s="10">
        <f>Inputs!$F$49*IF(AV23&gt;=Inputs!$F$199,1,0)</f>
        <v/>
      </c>
      <c r="AW50" s="10">
        <f>Inputs!$F$49*IF(AW23&gt;=Inputs!$F$199,1,0)</f>
        <v/>
      </c>
      <c r="AX50" s="10">
        <f>Inputs!$F$49*IF(AX23&gt;=Inputs!$F$199,1,0)</f>
        <v/>
      </c>
      <c r="AY50" s="10">
        <f>Inputs!$F$49*IF(AY23&gt;=Inputs!$F$199,1,0)</f>
        <v/>
      </c>
      <c r="AZ50" s="10">
        <f>Inputs!$F$49*IF(AZ23&gt;=Inputs!$F$199,1,0)</f>
        <v/>
      </c>
      <c r="BA50" s="10">
        <f>Inputs!$F$49*IF(BA23&gt;=Inputs!$F$199,1,0)</f>
        <v/>
      </c>
      <c r="BB50" s="10">
        <f>Inputs!$F$49*IF(BB23&gt;=Inputs!$F$199,1,0)</f>
        <v/>
      </c>
      <c r="BC50" s="10">
        <f>Inputs!$F$49*IF(BC23&gt;=Inputs!$F$199,1,0)</f>
        <v/>
      </c>
      <c r="BD50" s="10">
        <f>Inputs!$F$49*IF(BD23&gt;=Inputs!$F$199,1,0)</f>
        <v/>
      </c>
      <c r="BE50" s="10">
        <f>Inputs!$F$49*IF(BE23&gt;=Inputs!$F$199,1,0)</f>
        <v/>
      </c>
      <c r="BF50" s="10">
        <f>Inputs!$F$49*IF(BF23&gt;=Inputs!$F$199,1,0)</f>
        <v/>
      </c>
      <c r="BG50" s="10">
        <f>Inputs!$F$49*IF(BG23&gt;=Inputs!$F$199,1,0)</f>
        <v/>
      </c>
      <c r="BH50" s="10">
        <f>Inputs!$F$49*IF(BH23&gt;=Inputs!$F$199,1,0)</f>
        <v/>
      </c>
      <c r="BI50" s="10">
        <f>Inputs!$F$49*IF(BI23&gt;=Inputs!$F$199,1,0)</f>
        <v/>
      </c>
      <c r="BJ50" s="10">
        <f>Inputs!$F$49*IF(BJ23&gt;=Inputs!$F$199,1,0)</f>
        <v/>
      </c>
      <c r="BK50" s="10">
        <f>Inputs!$F$49*IF(BK23&gt;=Inputs!$F$199,1,0)</f>
        <v/>
      </c>
      <c r="BL50" s="10">
        <f>Inputs!$F$49*IF(BL23&gt;=Inputs!$F$199,1,0)</f>
        <v/>
      </c>
      <c r="BM50" s="10">
        <f>Inputs!$F$49*IF(BM23&gt;=Inputs!$F$199,1,0)</f>
        <v/>
      </c>
      <c r="BN50" s="10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10">
        <f>Inputs!$F$49*IF(J23&gt;Inputs!$F$200,1,0)</f>
        <v/>
      </c>
      <c r="K51" s="10">
        <f>Inputs!$F$49*IF(K23&gt;Inputs!$F$200,1,0)</f>
        <v/>
      </c>
      <c r="L51" s="10">
        <f>Inputs!$F$49*IF(L23&gt;Inputs!$F$200,1,0)</f>
        <v/>
      </c>
      <c r="M51" s="10">
        <f>Inputs!$F$49*IF(M23&gt;Inputs!$F$200,1,0)</f>
        <v/>
      </c>
      <c r="N51" s="10">
        <f>Inputs!$F$49*IF(N23&gt;Inputs!$F$200,1,0)</f>
        <v/>
      </c>
      <c r="O51" s="10">
        <f>Inputs!$F$49*IF(O23&gt;Inputs!$F$200,1,0)</f>
        <v/>
      </c>
      <c r="P51" s="10">
        <f>Inputs!$F$49*IF(P23&gt;Inputs!$F$200,1,0)</f>
        <v/>
      </c>
      <c r="Q51" s="10">
        <f>Inputs!$F$49*IF(Q23&gt;Inputs!$F$200,1,0)</f>
        <v/>
      </c>
      <c r="R51" s="10">
        <f>Inputs!$F$49*IF(R23&gt;Inputs!$F$200,1,0)</f>
        <v/>
      </c>
      <c r="S51" s="10">
        <f>Inputs!$F$49*IF(S23&gt;Inputs!$F$200,1,0)</f>
        <v/>
      </c>
      <c r="T51" s="10">
        <f>Inputs!$F$49*IF(T23&gt;Inputs!$F$200,1,0)</f>
        <v/>
      </c>
      <c r="U51" s="10">
        <f>Inputs!$F$49*IF(U23&gt;Inputs!$F$200,1,0)</f>
        <v/>
      </c>
      <c r="V51" s="10">
        <f>Inputs!$F$49*IF(V23&gt;Inputs!$F$200,1,0)</f>
        <v/>
      </c>
      <c r="W51" s="10">
        <f>Inputs!$F$49*IF(W23&gt;Inputs!$F$200,1,0)</f>
        <v/>
      </c>
      <c r="X51" s="10">
        <f>Inputs!$F$49*IF(X23&gt;Inputs!$F$200,1,0)</f>
        <v/>
      </c>
      <c r="Y51" s="10">
        <f>Inputs!$F$49*IF(Y23&gt;Inputs!$F$200,1,0)</f>
        <v/>
      </c>
      <c r="Z51" s="10">
        <f>Inputs!$F$49*IF(Z23&gt;Inputs!$F$200,1,0)</f>
        <v/>
      </c>
      <c r="AA51" s="10">
        <f>Inputs!$F$49*IF(AA23&gt;Inputs!$F$200,1,0)</f>
        <v/>
      </c>
      <c r="AB51" s="10">
        <f>Inputs!$F$49*IF(AB23&gt;Inputs!$F$200,1,0)</f>
        <v/>
      </c>
      <c r="AC51" s="10">
        <f>Inputs!$F$49*IF(AC23&gt;Inputs!$F$200,1,0)</f>
        <v/>
      </c>
      <c r="AD51" s="10">
        <f>Inputs!$F$49*IF(AD23&gt;Inputs!$F$200,1,0)</f>
        <v/>
      </c>
      <c r="AE51" s="10">
        <f>Inputs!$F$49*IF(AE23&gt;Inputs!$F$200,1,0)</f>
        <v/>
      </c>
      <c r="AF51" s="10">
        <f>Inputs!$F$49*IF(AF23&gt;Inputs!$F$200,1,0)</f>
        <v/>
      </c>
      <c r="AG51" s="10">
        <f>Inputs!$F$49*IF(AG23&gt;Inputs!$F$200,1,0)</f>
        <v/>
      </c>
      <c r="AH51" s="10">
        <f>Inputs!$F$49*IF(AH23&gt;Inputs!$F$200,1,0)</f>
        <v/>
      </c>
      <c r="AI51" s="10">
        <f>Inputs!$F$49*IF(AI23&gt;Inputs!$F$200,1,0)</f>
        <v/>
      </c>
      <c r="AJ51" s="10">
        <f>Inputs!$F$49*IF(AJ23&gt;Inputs!$F$200,1,0)</f>
        <v/>
      </c>
      <c r="AK51" s="10">
        <f>Inputs!$F$49*IF(AK23&gt;Inputs!$F$200,1,0)</f>
        <v/>
      </c>
      <c r="AL51" s="10">
        <f>Inputs!$F$49*IF(AL23&gt;Inputs!$F$200,1,0)</f>
        <v/>
      </c>
      <c r="AM51" s="10">
        <f>Inputs!$F$49*IF(AM23&gt;Inputs!$F$200,1,0)</f>
        <v/>
      </c>
      <c r="AN51" s="10">
        <f>Inputs!$F$49*IF(AN23&gt;Inputs!$F$200,1,0)</f>
        <v/>
      </c>
      <c r="AO51" s="10">
        <f>Inputs!$F$49*IF(AO23&gt;Inputs!$F$200,1,0)</f>
        <v/>
      </c>
      <c r="AP51" s="10">
        <f>Inputs!$F$49*IF(AP23&gt;Inputs!$F$200,1,0)</f>
        <v/>
      </c>
      <c r="AQ51" s="10">
        <f>Inputs!$F$49*IF(AQ23&gt;Inputs!$F$200,1,0)</f>
        <v/>
      </c>
      <c r="AR51" s="10">
        <f>Inputs!$F$49*IF(AR23&gt;Inputs!$F$200,1,0)</f>
        <v/>
      </c>
      <c r="AS51" s="10">
        <f>Inputs!$F$49*IF(AS23&gt;Inputs!$F$200,1,0)</f>
        <v/>
      </c>
      <c r="AT51" s="10">
        <f>Inputs!$F$49*IF(AT23&gt;Inputs!$F$200,1,0)</f>
        <v/>
      </c>
      <c r="AU51" s="10">
        <f>Inputs!$F$49*IF(AU23&gt;Inputs!$F$200,1,0)</f>
        <v/>
      </c>
      <c r="AV51" s="10">
        <f>Inputs!$F$49*IF(AV23&gt;Inputs!$F$200,1,0)</f>
        <v/>
      </c>
      <c r="AW51" s="10">
        <f>Inputs!$F$49*IF(AW23&gt;Inputs!$F$200,1,0)</f>
        <v/>
      </c>
      <c r="AX51" s="10">
        <f>Inputs!$F$49*IF(AX23&gt;Inputs!$F$200,1,0)</f>
        <v/>
      </c>
      <c r="AY51" s="10">
        <f>Inputs!$F$49*IF(AY23&gt;Inputs!$F$200,1,0)</f>
        <v/>
      </c>
      <c r="AZ51" s="10">
        <f>Inputs!$F$49*IF(AZ23&gt;Inputs!$F$200,1,0)</f>
        <v/>
      </c>
      <c r="BA51" s="10">
        <f>Inputs!$F$49*IF(BA23&gt;Inputs!$F$200,1,0)</f>
        <v/>
      </c>
      <c r="BB51" s="10">
        <f>Inputs!$F$49*IF(BB23&gt;Inputs!$F$200,1,0)</f>
        <v/>
      </c>
      <c r="BC51" s="10">
        <f>Inputs!$F$49*IF(BC23&gt;Inputs!$F$200,1,0)</f>
        <v/>
      </c>
      <c r="BD51" s="10">
        <f>Inputs!$F$49*IF(BD23&gt;Inputs!$F$200,1,0)</f>
        <v/>
      </c>
      <c r="BE51" s="10">
        <f>Inputs!$F$49*IF(BE23&gt;Inputs!$F$200,1,0)</f>
        <v/>
      </c>
      <c r="BF51" s="10">
        <f>Inputs!$F$49*IF(BF23&gt;Inputs!$F$200,1,0)</f>
        <v/>
      </c>
      <c r="BG51" s="10">
        <f>Inputs!$F$49*IF(BG23&gt;Inputs!$F$200,1,0)</f>
        <v/>
      </c>
      <c r="BH51" s="10">
        <f>Inputs!$F$49*IF(BH23&gt;Inputs!$F$200,1,0)</f>
        <v/>
      </c>
      <c r="BI51" s="10">
        <f>Inputs!$F$49*IF(BI23&gt;Inputs!$F$200,1,0)</f>
        <v/>
      </c>
      <c r="BJ51" s="10">
        <f>Inputs!$F$49*IF(BJ23&gt;Inputs!$F$200,1,0)</f>
        <v/>
      </c>
      <c r="BK51" s="10">
        <f>Inputs!$F$49*IF(BK23&gt;Inputs!$F$200,1,0)</f>
        <v/>
      </c>
      <c r="BL51" s="10">
        <f>Inputs!$F$49*IF(BL23&gt;Inputs!$F$200,1,0)</f>
        <v/>
      </c>
      <c r="BM51" s="10">
        <f>Inputs!$F$49*IF(BM23&gt;Inputs!$F$200,1,0)</f>
        <v/>
      </c>
      <c r="BN51" s="10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10">
        <f>IF(J22&gt;=Inputs!$F$206,1,0)</f>
        <v/>
      </c>
      <c r="K52" s="10">
        <f>IF(K22&gt;=Inputs!$F$206,1,0)</f>
        <v/>
      </c>
      <c r="L52" s="10">
        <f>IF(L22&gt;=Inputs!$F$206,1,0)</f>
        <v/>
      </c>
      <c r="M52" s="10">
        <f>IF(M22&gt;=Inputs!$F$206,1,0)</f>
        <v/>
      </c>
      <c r="N52" s="10">
        <f>IF(N22&gt;=Inputs!$F$206,1,0)</f>
        <v/>
      </c>
      <c r="O52" s="10">
        <f>IF(O22&gt;=Inputs!$F$206,1,0)</f>
        <v/>
      </c>
      <c r="P52" s="10">
        <f>IF(P22&gt;=Inputs!$F$206,1,0)</f>
        <v/>
      </c>
      <c r="Q52" s="10">
        <f>IF(Q22&gt;=Inputs!$F$206,1,0)</f>
        <v/>
      </c>
      <c r="R52" s="10">
        <f>IF(R22&gt;=Inputs!$F$206,1,0)</f>
        <v/>
      </c>
      <c r="S52" s="10">
        <f>IF(S22&gt;=Inputs!$F$206,1,0)</f>
        <v/>
      </c>
      <c r="T52" s="10">
        <f>IF(T22&gt;=Inputs!$F$206,1,0)</f>
        <v/>
      </c>
      <c r="U52" s="10">
        <f>IF(U22&gt;=Inputs!$F$206,1,0)</f>
        <v/>
      </c>
      <c r="V52" s="10">
        <f>IF(V22&gt;=Inputs!$F$206,1,0)</f>
        <v/>
      </c>
      <c r="W52" s="10">
        <f>IF(W22&gt;=Inputs!$F$206,1,0)</f>
        <v/>
      </c>
      <c r="X52" s="10">
        <f>IF(X22&gt;=Inputs!$F$206,1,0)</f>
        <v/>
      </c>
      <c r="Y52" s="10">
        <f>IF(Y22&gt;=Inputs!$F$206,1,0)</f>
        <v/>
      </c>
      <c r="Z52" s="10">
        <f>IF(Z22&gt;=Inputs!$F$206,1,0)</f>
        <v/>
      </c>
      <c r="AA52" s="10">
        <f>IF(AA22&gt;=Inputs!$F$206,1,0)</f>
        <v/>
      </c>
      <c r="AB52" s="10">
        <f>IF(AB22&gt;=Inputs!$F$206,1,0)</f>
        <v/>
      </c>
      <c r="AC52" s="10">
        <f>IF(AC22&gt;=Inputs!$F$206,1,0)</f>
        <v/>
      </c>
      <c r="AD52" s="10">
        <f>IF(AD22&gt;=Inputs!$F$206,1,0)</f>
        <v/>
      </c>
      <c r="AE52" s="10">
        <f>IF(AE22&gt;=Inputs!$F$206,1,0)</f>
        <v/>
      </c>
      <c r="AF52" s="10">
        <f>IF(AF22&gt;=Inputs!$F$206,1,0)</f>
        <v/>
      </c>
      <c r="AG52" s="10">
        <f>IF(AG22&gt;=Inputs!$F$206,1,0)</f>
        <v/>
      </c>
      <c r="AH52" s="10">
        <f>IF(AH22&gt;=Inputs!$F$206,1,0)</f>
        <v/>
      </c>
      <c r="AI52" s="10">
        <f>IF(AI22&gt;=Inputs!$F$206,1,0)</f>
        <v/>
      </c>
      <c r="AJ52" s="10">
        <f>IF(AJ22&gt;=Inputs!$F$206,1,0)</f>
        <v/>
      </c>
      <c r="AK52" s="10">
        <f>IF(AK22&gt;=Inputs!$F$206,1,0)</f>
        <v/>
      </c>
      <c r="AL52" s="10">
        <f>IF(AL22&gt;=Inputs!$F$206,1,0)</f>
        <v/>
      </c>
      <c r="AM52" s="10">
        <f>IF(AM22&gt;=Inputs!$F$206,1,0)</f>
        <v/>
      </c>
      <c r="AN52" s="10">
        <f>IF(AN22&gt;=Inputs!$F$206,1,0)</f>
        <v/>
      </c>
      <c r="AO52" s="10">
        <f>IF(AO22&gt;=Inputs!$F$206,1,0)</f>
        <v/>
      </c>
      <c r="AP52" s="10">
        <f>IF(AP22&gt;=Inputs!$F$206,1,0)</f>
        <v/>
      </c>
      <c r="AQ52" s="10">
        <f>IF(AQ22&gt;=Inputs!$F$206,1,0)</f>
        <v/>
      </c>
      <c r="AR52" s="10">
        <f>IF(AR22&gt;=Inputs!$F$206,1,0)</f>
        <v/>
      </c>
      <c r="AS52" s="10">
        <f>IF(AS22&gt;=Inputs!$F$206,1,0)</f>
        <v/>
      </c>
      <c r="AT52" s="10">
        <f>IF(AT22&gt;=Inputs!$F$206,1,0)</f>
        <v/>
      </c>
      <c r="AU52" s="10">
        <f>IF(AU22&gt;=Inputs!$F$206,1,0)</f>
        <v/>
      </c>
      <c r="AV52" s="10">
        <f>IF(AV22&gt;=Inputs!$F$206,1,0)</f>
        <v/>
      </c>
      <c r="AW52" s="10">
        <f>IF(AW22&gt;=Inputs!$F$206,1,0)</f>
        <v/>
      </c>
      <c r="AX52" s="10">
        <f>IF(AX22&gt;=Inputs!$F$206,1,0)</f>
        <v/>
      </c>
      <c r="AY52" s="10">
        <f>IF(AY22&gt;=Inputs!$F$206,1,0)</f>
        <v/>
      </c>
      <c r="AZ52" s="10">
        <f>IF(AZ22&gt;=Inputs!$F$206,1,0)</f>
        <v/>
      </c>
      <c r="BA52" s="10">
        <f>IF(BA22&gt;=Inputs!$F$206,1,0)</f>
        <v/>
      </c>
      <c r="BB52" s="10">
        <f>IF(BB22&gt;=Inputs!$F$206,1,0)</f>
        <v/>
      </c>
      <c r="BC52" s="10">
        <f>IF(BC22&gt;=Inputs!$F$206,1,0)</f>
        <v/>
      </c>
      <c r="BD52" s="10">
        <f>IF(BD22&gt;=Inputs!$F$206,1,0)</f>
        <v/>
      </c>
      <c r="BE52" s="10">
        <f>IF(BE22&gt;=Inputs!$F$206,1,0)</f>
        <v/>
      </c>
      <c r="BF52" s="10">
        <f>IF(BF22&gt;=Inputs!$F$206,1,0)</f>
        <v/>
      </c>
      <c r="BG52" s="10">
        <f>IF(BG22&gt;=Inputs!$F$206,1,0)</f>
        <v/>
      </c>
      <c r="BH52" s="10">
        <f>IF(BH22&gt;=Inputs!$F$206,1,0)</f>
        <v/>
      </c>
      <c r="BI52" s="10">
        <f>IF(BI22&gt;=Inputs!$F$206,1,0)</f>
        <v/>
      </c>
      <c r="BJ52" s="10">
        <f>IF(BJ22&gt;=Inputs!$F$206,1,0)</f>
        <v/>
      </c>
      <c r="BK52" s="10">
        <f>IF(BK22&gt;=Inputs!$F$206,1,0)</f>
        <v/>
      </c>
      <c r="BL52" s="10">
        <f>IF(BL22&gt;=Inputs!$F$206,1,0)</f>
        <v/>
      </c>
      <c r="BM52" s="10">
        <f>IF(BM22&gt;=Inputs!$F$206,1,0)</f>
        <v/>
      </c>
      <c r="BN52" s="10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10">
        <f>IF(AND(J20&gt;=$F$13,J23&lt;=Inputs!$F$192),1,0)</f>
        <v/>
      </c>
      <c r="K53" s="10">
        <f>IF(AND(K20&gt;=$F$13,K23&lt;=Inputs!$F$192),1,0)</f>
        <v/>
      </c>
      <c r="L53" s="10">
        <f>IF(AND(L20&gt;=$F$13,L23&lt;=Inputs!$F$192),1,0)</f>
        <v/>
      </c>
      <c r="M53" s="10">
        <f>IF(AND(M20&gt;=$F$13,M23&lt;=Inputs!$F$192),1,0)</f>
        <v/>
      </c>
      <c r="N53" s="10">
        <f>IF(AND(N20&gt;=$F$13,N23&lt;=Inputs!$F$192),1,0)</f>
        <v/>
      </c>
      <c r="O53" s="10">
        <f>IF(AND(O20&gt;=$F$13,O23&lt;=Inputs!$F$192),1,0)</f>
        <v/>
      </c>
      <c r="P53" s="10">
        <f>IF(AND(P20&gt;=$F$13,P23&lt;=Inputs!$F$192),1,0)</f>
        <v/>
      </c>
      <c r="Q53" s="10">
        <f>IF(AND(Q20&gt;=$F$13,Q23&lt;=Inputs!$F$192),1,0)</f>
        <v/>
      </c>
      <c r="R53" s="10">
        <f>IF(AND(R20&gt;=$F$13,R23&lt;=Inputs!$F$192),1,0)</f>
        <v/>
      </c>
      <c r="S53" s="10">
        <f>IF(AND(S20&gt;=$F$13,S23&lt;=Inputs!$F$192),1,0)</f>
        <v/>
      </c>
      <c r="T53" s="10">
        <f>IF(AND(T20&gt;=$F$13,T23&lt;=Inputs!$F$192),1,0)</f>
        <v/>
      </c>
      <c r="U53" s="10">
        <f>IF(AND(U20&gt;=$F$13,U23&lt;=Inputs!$F$192),1,0)</f>
        <v/>
      </c>
      <c r="V53" s="10">
        <f>IF(AND(V20&gt;=$F$13,V23&lt;=Inputs!$F$192),1,0)</f>
        <v/>
      </c>
      <c r="W53" s="10">
        <f>IF(AND(W20&gt;=$F$13,W23&lt;=Inputs!$F$192),1,0)</f>
        <v/>
      </c>
      <c r="X53" s="10">
        <f>IF(AND(X20&gt;=$F$13,X23&lt;=Inputs!$F$192),1,0)</f>
        <v/>
      </c>
      <c r="Y53" s="10">
        <f>IF(AND(Y20&gt;=$F$13,Y23&lt;=Inputs!$F$192),1,0)</f>
        <v/>
      </c>
      <c r="Z53" s="10">
        <f>IF(AND(Z20&gt;=$F$13,Z23&lt;=Inputs!$F$192),1,0)</f>
        <v/>
      </c>
      <c r="AA53" s="10">
        <f>IF(AND(AA20&gt;=$F$13,AA23&lt;=Inputs!$F$192),1,0)</f>
        <v/>
      </c>
      <c r="AB53" s="10">
        <f>IF(AND(AB20&gt;=$F$13,AB23&lt;=Inputs!$F$192),1,0)</f>
        <v/>
      </c>
      <c r="AC53" s="10">
        <f>IF(AND(AC20&gt;=$F$13,AC23&lt;=Inputs!$F$192),1,0)</f>
        <v/>
      </c>
      <c r="AD53" s="10">
        <f>IF(AND(AD20&gt;=$F$13,AD23&lt;=Inputs!$F$192),1,0)</f>
        <v/>
      </c>
      <c r="AE53" s="10">
        <f>IF(AND(AE20&gt;=$F$13,AE23&lt;=Inputs!$F$192),1,0)</f>
        <v/>
      </c>
      <c r="AF53" s="10">
        <f>IF(AND(AF20&gt;=$F$13,AF23&lt;=Inputs!$F$192),1,0)</f>
        <v/>
      </c>
      <c r="AG53" s="10">
        <f>IF(AND(AG20&gt;=$F$13,AG23&lt;=Inputs!$F$192),1,0)</f>
        <v/>
      </c>
      <c r="AH53" s="10">
        <f>IF(AND(AH20&gt;=$F$13,AH23&lt;=Inputs!$F$192),1,0)</f>
        <v/>
      </c>
      <c r="AI53" s="10">
        <f>IF(AND(AI20&gt;=$F$13,AI23&lt;=Inputs!$F$192),1,0)</f>
        <v/>
      </c>
      <c r="AJ53" s="10">
        <f>IF(AND(AJ20&gt;=$F$13,AJ23&lt;=Inputs!$F$192),1,0)</f>
        <v/>
      </c>
      <c r="AK53" s="10">
        <f>IF(AND(AK20&gt;=$F$13,AK23&lt;=Inputs!$F$192),1,0)</f>
        <v/>
      </c>
      <c r="AL53" s="10">
        <f>IF(AND(AL20&gt;=$F$13,AL23&lt;=Inputs!$F$192),1,0)</f>
        <v/>
      </c>
      <c r="AM53" s="10">
        <f>IF(AND(AM20&gt;=$F$13,AM23&lt;=Inputs!$F$192),1,0)</f>
        <v/>
      </c>
      <c r="AN53" s="10">
        <f>IF(AND(AN20&gt;=$F$13,AN23&lt;=Inputs!$F$192),1,0)</f>
        <v/>
      </c>
      <c r="AO53" s="10">
        <f>IF(AND(AO20&gt;=$F$13,AO23&lt;=Inputs!$F$192),1,0)</f>
        <v/>
      </c>
      <c r="AP53" s="10">
        <f>IF(AND(AP20&gt;=$F$13,AP23&lt;=Inputs!$F$192),1,0)</f>
        <v/>
      </c>
      <c r="AQ53" s="10">
        <f>IF(AND(AQ20&gt;=$F$13,AQ23&lt;=Inputs!$F$192),1,0)</f>
        <v/>
      </c>
      <c r="AR53" s="10">
        <f>IF(AND(AR20&gt;=$F$13,AR23&lt;=Inputs!$F$192),1,0)</f>
        <v/>
      </c>
      <c r="AS53" s="10">
        <f>IF(AND(AS20&gt;=$F$13,AS23&lt;=Inputs!$F$192),1,0)</f>
        <v/>
      </c>
      <c r="AT53" s="10">
        <f>IF(AND(AT20&gt;=$F$13,AT23&lt;=Inputs!$F$192),1,0)</f>
        <v/>
      </c>
      <c r="AU53" s="10">
        <f>IF(AND(AU20&gt;=$F$13,AU23&lt;=Inputs!$F$192),1,0)</f>
        <v/>
      </c>
      <c r="AV53" s="10">
        <f>IF(AND(AV20&gt;=$F$13,AV23&lt;=Inputs!$F$192),1,0)</f>
        <v/>
      </c>
      <c r="AW53" s="10">
        <f>IF(AND(AW20&gt;=$F$13,AW23&lt;=Inputs!$F$192),1,0)</f>
        <v/>
      </c>
      <c r="AX53" s="10">
        <f>IF(AND(AX20&gt;=$F$13,AX23&lt;=Inputs!$F$192),1,0)</f>
        <v/>
      </c>
      <c r="AY53" s="10">
        <f>IF(AND(AY20&gt;=$F$13,AY23&lt;=Inputs!$F$192),1,0)</f>
        <v/>
      </c>
      <c r="AZ53" s="10">
        <f>IF(AND(AZ20&gt;=$F$13,AZ23&lt;=Inputs!$F$192),1,0)</f>
        <v/>
      </c>
      <c r="BA53" s="10">
        <f>IF(AND(BA20&gt;=$F$13,BA23&lt;=Inputs!$F$192),1,0)</f>
        <v/>
      </c>
      <c r="BB53" s="10">
        <f>IF(AND(BB20&gt;=$F$13,BB23&lt;=Inputs!$F$192),1,0)</f>
        <v/>
      </c>
      <c r="BC53" s="10">
        <f>IF(AND(BC20&gt;=$F$13,BC23&lt;=Inputs!$F$192),1,0)</f>
        <v/>
      </c>
      <c r="BD53" s="10">
        <f>IF(AND(BD20&gt;=$F$13,BD23&lt;=Inputs!$F$192),1,0)</f>
        <v/>
      </c>
      <c r="BE53" s="10">
        <f>IF(AND(BE20&gt;=$F$13,BE23&lt;=Inputs!$F$192),1,0)</f>
        <v/>
      </c>
      <c r="BF53" s="10">
        <f>IF(AND(BF20&gt;=$F$13,BF23&lt;=Inputs!$F$192),1,0)</f>
        <v/>
      </c>
      <c r="BG53" s="10">
        <f>IF(AND(BG20&gt;=$F$13,BG23&lt;=Inputs!$F$192),1,0)</f>
        <v/>
      </c>
      <c r="BH53" s="10">
        <f>IF(AND(BH20&gt;=$F$13,BH23&lt;=Inputs!$F$192),1,0)</f>
        <v/>
      </c>
      <c r="BI53" s="10">
        <f>IF(AND(BI20&gt;=$F$13,BI23&lt;=Inputs!$F$192),1,0)</f>
        <v/>
      </c>
      <c r="BJ53" s="10">
        <f>IF(AND(BJ20&gt;=$F$13,BJ23&lt;=Inputs!$F$192),1,0)</f>
        <v/>
      </c>
      <c r="BK53" s="10">
        <f>IF(AND(BK20&gt;=$F$13,BK23&lt;=Inputs!$F$192),1,0)</f>
        <v/>
      </c>
      <c r="BL53" s="10">
        <f>IF(AND(BL20&gt;=$F$13,BL23&lt;=Inputs!$F$192),1,0)</f>
        <v/>
      </c>
      <c r="BM53" s="10">
        <f>IF(AND(BM20&gt;=$F$13,BM23&lt;=Inputs!$F$192),1,0)</f>
        <v/>
      </c>
      <c r="BN53" s="10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10">
        <f>IF(J22&gt;=Inputs!$F$194,1,0)</f>
        <v/>
      </c>
      <c r="K54" s="10">
        <f>IF(K22&gt;=Inputs!$F$194,1,0)</f>
        <v/>
      </c>
      <c r="L54" s="10">
        <f>IF(L22&gt;=Inputs!$F$194,1,0)</f>
        <v/>
      </c>
      <c r="M54" s="10">
        <f>IF(M22&gt;=Inputs!$F$194,1,0)</f>
        <v/>
      </c>
      <c r="N54" s="10">
        <f>IF(N22&gt;=Inputs!$F$194,1,0)</f>
        <v/>
      </c>
      <c r="O54" s="10">
        <f>IF(O22&gt;=Inputs!$F$194,1,0)</f>
        <v/>
      </c>
      <c r="P54" s="10">
        <f>IF(P22&gt;=Inputs!$F$194,1,0)</f>
        <v/>
      </c>
      <c r="Q54" s="10">
        <f>IF(Q22&gt;=Inputs!$F$194,1,0)</f>
        <v/>
      </c>
      <c r="R54" s="10">
        <f>IF(R22&gt;=Inputs!$F$194,1,0)</f>
        <v/>
      </c>
      <c r="S54" s="10">
        <f>IF(S22&gt;=Inputs!$F$194,1,0)</f>
        <v/>
      </c>
      <c r="T54" s="10">
        <f>IF(T22&gt;=Inputs!$F$194,1,0)</f>
        <v/>
      </c>
      <c r="U54" s="10">
        <f>IF(U22&gt;=Inputs!$F$194,1,0)</f>
        <v/>
      </c>
      <c r="V54" s="10">
        <f>IF(V22&gt;=Inputs!$F$194,1,0)</f>
        <v/>
      </c>
      <c r="W54" s="10">
        <f>IF(W22&gt;=Inputs!$F$194,1,0)</f>
        <v/>
      </c>
      <c r="X54" s="10">
        <f>IF(X22&gt;=Inputs!$F$194,1,0)</f>
        <v/>
      </c>
      <c r="Y54" s="10">
        <f>IF(Y22&gt;=Inputs!$F$194,1,0)</f>
        <v/>
      </c>
      <c r="Z54" s="10">
        <f>IF(Z22&gt;=Inputs!$F$194,1,0)</f>
        <v/>
      </c>
      <c r="AA54" s="10">
        <f>IF(AA22&gt;=Inputs!$F$194,1,0)</f>
        <v/>
      </c>
      <c r="AB54" s="10">
        <f>IF(AB22&gt;=Inputs!$F$194,1,0)</f>
        <v/>
      </c>
      <c r="AC54" s="10">
        <f>IF(AC22&gt;=Inputs!$F$194,1,0)</f>
        <v/>
      </c>
      <c r="AD54" s="10">
        <f>IF(AD22&gt;=Inputs!$F$194,1,0)</f>
        <v/>
      </c>
      <c r="AE54" s="10">
        <f>IF(AE22&gt;=Inputs!$F$194,1,0)</f>
        <v/>
      </c>
      <c r="AF54" s="10">
        <f>IF(AF22&gt;=Inputs!$F$194,1,0)</f>
        <v/>
      </c>
      <c r="AG54" s="10">
        <f>IF(AG22&gt;=Inputs!$F$194,1,0)</f>
        <v/>
      </c>
      <c r="AH54" s="10">
        <f>IF(AH22&gt;=Inputs!$F$194,1,0)</f>
        <v/>
      </c>
      <c r="AI54" s="10">
        <f>IF(AI22&gt;=Inputs!$F$194,1,0)</f>
        <v/>
      </c>
      <c r="AJ54" s="10">
        <f>IF(AJ22&gt;=Inputs!$F$194,1,0)</f>
        <v/>
      </c>
      <c r="AK54" s="10">
        <f>IF(AK22&gt;=Inputs!$F$194,1,0)</f>
        <v/>
      </c>
      <c r="AL54" s="10">
        <f>IF(AL22&gt;=Inputs!$F$194,1,0)</f>
        <v/>
      </c>
      <c r="AM54" s="10">
        <f>IF(AM22&gt;=Inputs!$F$194,1,0)</f>
        <v/>
      </c>
      <c r="AN54" s="10">
        <f>IF(AN22&gt;=Inputs!$F$194,1,0)</f>
        <v/>
      </c>
      <c r="AO54" s="10">
        <f>IF(AO22&gt;=Inputs!$F$194,1,0)</f>
        <v/>
      </c>
      <c r="AP54" s="10">
        <f>IF(AP22&gt;=Inputs!$F$194,1,0)</f>
        <v/>
      </c>
      <c r="AQ54" s="10">
        <f>IF(AQ22&gt;=Inputs!$F$194,1,0)</f>
        <v/>
      </c>
      <c r="AR54" s="10">
        <f>IF(AR22&gt;=Inputs!$F$194,1,0)</f>
        <v/>
      </c>
      <c r="AS54" s="10">
        <f>IF(AS22&gt;=Inputs!$F$194,1,0)</f>
        <v/>
      </c>
      <c r="AT54" s="10">
        <f>IF(AT22&gt;=Inputs!$F$194,1,0)</f>
        <v/>
      </c>
      <c r="AU54" s="10">
        <f>IF(AU22&gt;=Inputs!$F$194,1,0)</f>
        <v/>
      </c>
      <c r="AV54" s="10">
        <f>IF(AV22&gt;=Inputs!$F$194,1,0)</f>
        <v/>
      </c>
      <c r="AW54" s="10">
        <f>IF(AW22&gt;=Inputs!$F$194,1,0)</f>
        <v/>
      </c>
      <c r="AX54" s="10">
        <f>IF(AX22&gt;=Inputs!$F$194,1,0)</f>
        <v/>
      </c>
      <c r="AY54" s="10">
        <f>IF(AY22&gt;=Inputs!$F$194,1,0)</f>
        <v/>
      </c>
      <c r="AZ54" s="10">
        <f>IF(AZ22&gt;=Inputs!$F$194,1,0)</f>
        <v/>
      </c>
      <c r="BA54" s="10">
        <f>IF(BA22&gt;=Inputs!$F$194,1,0)</f>
        <v/>
      </c>
      <c r="BB54" s="10">
        <f>IF(BB22&gt;=Inputs!$F$194,1,0)</f>
        <v/>
      </c>
      <c r="BC54" s="10">
        <f>IF(BC22&gt;=Inputs!$F$194,1,0)</f>
        <v/>
      </c>
      <c r="BD54" s="10">
        <f>IF(BD22&gt;=Inputs!$F$194,1,0)</f>
        <v/>
      </c>
      <c r="BE54" s="10">
        <f>IF(BE22&gt;=Inputs!$F$194,1,0)</f>
        <v/>
      </c>
      <c r="BF54" s="10">
        <f>IF(BF22&gt;=Inputs!$F$194,1,0)</f>
        <v/>
      </c>
      <c r="BG54" s="10">
        <f>IF(BG22&gt;=Inputs!$F$194,1,0)</f>
        <v/>
      </c>
      <c r="BH54" s="10">
        <f>IF(BH22&gt;=Inputs!$F$194,1,0)</f>
        <v/>
      </c>
      <c r="BI54" s="10">
        <f>IF(BI22&gt;=Inputs!$F$194,1,0)</f>
        <v/>
      </c>
      <c r="BJ54" s="10">
        <f>IF(BJ22&gt;=Inputs!$F$194,1,0)</f>
        <v/>
      </c>
      <c r="BK54" s="10">
        <f>IF(BK22&gt;=Inputs!$F$194,1,0)</f>
        <v/>
      </c>
      <c r="BL54" s="10">
        <f>IF(BL22&gt;=Inputs!$F$194,1,0)</f>
        <v/>
      </c>
      <c r="BM54" s="10">
        <f>IF(BM22&gt;=Inputs!$F$194,1,0)</f>
        <v/>
      </c>
      <c r="BN54" s="10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10">
        <f>MAX(0,MIN(J25,Inputs!$F$197-J22))</f>
        <v/>
      </c>
      <c r="K55" s="10">
        <f>MAX(0,MIN(K25,Inputs!$F$197-K22))</f>
        <v/>
      </c>
      <c r="L55" s="10">
        <f>MAX(0,MIN(L25,Inputs!$F$197-L22))</f>
        <v/>
      </c>
      <c r="M55" s="10">
        <f>MAX(0,MIN(M25,Inputs!$F$197-M22))</f>
        <v/>
      </c>
      <c r="N55" s="10">
        <f>MAX(0,MIN(N25,Inputs!$F$197-N22))</f>
        <v/>
      </c>
      <c r="O55" s="10">
        <f>MAX(0,MIN(O25,Inputs!$F$197-O22))</f>
        <v/>
      </c>
      <c r="P55" s="10">
        <f>MAX(0,MIN(P25,Inputs!$F$197-P22))</f>
        <v/>
      </c>
      <c r="Q55" s="10">
        <f>MAX(0,MIN(Q25,Inputs!$F$197-Q22))</f>
        <v/>
      </c>
      <c r="R55" s="10">
        <f>MAX(0,MIN(R25,Inputs!$F$197-R22))</f>
        <v/>
      </c>
      <c r="S55" s="10">
        <f>MAX(0,MIN(S25,Inputs!$F$197-S22))</f>
        <v/>
      </c>
      <c r="T55" s="10">
        <f>MAX(0,MIN(T25,Inputs!$F$197-T22))</f>
        <v/>
      </c>
      <c r="U55" s="10">
        <f>MAX(0,MIN(U25,Inputs!$F$197-U22))</f>
        <v/>
      </c>
      <c r="V55" s="10">
        <f>MAX(0,MIN(V25,Inputs!$F$197-V22))</f>
        <v/>
      </c>
      <c r="W55" s="10">
        <f>MAX(0,MIN(W25,Inputs!$F$197-W22))</f>
        <v/>
      </c>
      <c r="X55" s="10">
        <f>MAX(0,MIN(X25,Inputs!$F$197-X22))</f>
        <v/>
      </c>
      <c r="Y55" s="10">
        <f>MAX(0,MIN(Y25,Inputs!$F$197-Y22))</f>
        <v/>
      </c>
      <c r="Z55" s="10">
        <f>MAX(0,MIN(Z25,Inputs!$F$197-Z22))</f>
        <v/>
      </c>
      <c r="AA55" s="10">
        <f>MAX(0,MIN(AA25,Inputs!$F$197-AA22))</f>
        <v/>
      </c>
      <c r="AB55" s="10">
        <f>MAX(0,MIN(AB25,Inputs!$F$197-AB22))</f>
        <v/>
      </c>
      <c r="AC55" s="10">
        <f>MAX(0,MIN(AC25,Inputs!$F$197-AC22))</f>
        <v/>
      </c>
      <c r="AD55" s="10">
        <f>MAX(0,MIN(AD25,Inputs!$F$197-AD22))</f>
        <v/>
      </c>
      <c r="AE55" s="10">
        <f>MAX(0,MIN(AE25,Inputs!$F$197-AE22))</f>
        <v/>
      </c>
      <c r="AF55" s="10">
        <f>MAX(0,MIN(AF25,Inputs!$F$197-AF22))</f>
        <v/>
      </c>
      <c r="AG55" s="10">
        <f>MAX(0,MIN(AG25,Inputs!$F$197-AG22))</f>
        <v/>
      </c>
      <c r="AH55" s="10">
        <f>MAX(0,MIN(AH25,Inputs!$F$197-AH22))</f>
        <v/>
      </c>
      <c r="AI55" s="10">
        <f>MAX(0,MIN(AI25,Inputs!$F$197-AI22))</f>
        <v/>
      </c>
      <c r="AJ55" s="10">
        <f>MAX(0,MIN(AJ25,Inputs!$F$197-AJ22))</f>
        <v/>
      </c>
      <c r="AK55" s="10">
        <f>MAX(0,MIN(AK25,Inputs!$F$197-AK22))</f>
        <v/>
      </c>
      <c r="AL55" s="10">
        <f>MAX(0,MIN(AL25,Inputs!$F$197-AL22))</f>
        <v/>
      </c>
      <c r="AM55" s="10">
        <f>MAX(0,MIN(AM25,Inputs!$F$197-AM22))</f>
        <v/>
      </c>
      <c r="AN55" s="10">
        <f>MAX(0,MIN(AN25,Inputs!$F$197-AN22))</f>
        <v/>
      </c>
      <c r="AO55" s="10">
        <f>MAX(0,MIN(AO25,Inputs!$F$197-AO22))</f>
        <v/>
      </c>
      <c r="AP55" s="10">
        <f>MAX(0,MIN(AP25,Inputs!$F$197-AP22))</f>
        <v/>
      </c>
      <c r="AQ55" s="10">
        <f>MAX(0,MIN(AQ25,Inputs!$F$197-AQ22))</f>
        <v/>
      </c>
      <c r="AR55" s="10">
        <f>MAX(0,MIN(AR25,Inputs!$F$197-AR22))</f>
        <v/>
      </c>
      <c r="AS55" s="10">
        <f>MAX(0,MIN(AS25,Inputs!$F$197-AS22))</f>
        <v/>
      </c>
      <c r="AT55" s="10">
        <f>MAX(0,MIN(AT25,Inputs!$F$197-AT22))</f>
        <v/>
      </c>
      <c r="AU55" s="10">
        <f>MAX(0,MIN(AU25,Inputs!$F$197-AU22))</f>
        <v/>
      </c>
      <c r="AV55" s="10">
        <f>MAX(0,MIN(AV25,Inputs!$F$197-AV22))</f>
        <v/>
      </c>
      <c r="AW55" s="10">
        <f>MAX(0,MIN(AW25,Inputs!$F$197-AW22))</f>
        <v/>
      </c>
      <c r="AX55" s="10">
        <f>MAX(0,MIN(AX25,Inputs!$F$197-AX22))</f>
        <v/>
      </c>
      <c r="AY55" s="10">
        <f>MAX(0,MIN(AY25,Inputs!$F$197-AY22))</f>
        <v/>
      </c>
      <c r="AZ55" s="10">
        <f>MAX(0,MIN(AZ25,Inputs!$F$197-AZ22))</f>
        <v/>
      </c>
      <c r="BA55" s="10">
        <f>MAX(0,MIN(BA25,Inputs!$F$197-BA22))</f>
        <v/>
      </c>
      <c r="BB55" s="10">
        <f>MAX(0,MIN(BB25,Inputs!$F$197-BB22))</f>
        <v/>
      </c>
      <c r="BC55" s="10">
        <f>MAX(0,MIN(BC25,Inputs!$F$197-BC22))</f>
        <v/>
      </c>
      <c r="BD55" s="10">
        <f>MAX(0,MIN(BD25,Inputs!$F$197-BD22))</f>
        <v/>
      </c>
      <c r="BE55" s="10">
        <f>MAX(0,MIN(BE25,Inputs!$F$197-BE22))</f>
        <v/>
      </c>
      <c r="BF55" s="10">
        <f>MAX(0,MIN(BF25,Inputs!$F$197-BF22))</f>
        <v/>
      </c>
      <c r="BG55" s="10">
        <f>MAX(0,MIN(BG25,Inputs!$F$197-BG22))</f>
        <v/>
      </c>
      <c r="BH55" s="10">
        <f>MAX(0,MIN(BH25,Inputs!$F$197-BH22))</f>
        <v/>
      </c>
      <c r="BI55" s="10">
        <f>MAX(0,MIN(BI25,Inputs!$F$197-BI22))</f>
        <v/>
      </c>
      <c r="BJ55" s="10">
        <f>MAX(0,MIN(BJ25,Inputs!$F$197-BJ22))</f>
        <v/>
      </c>
      <c r="BK55" s="10">
        <f>MAX(0,MIN(BK25,Inputs!$F$197-BK22))</f>
        <v/>
      </c>
      <c r="BL55" s="10">
        <f>MAX(0,MIN(BL25,Inputs!$F$197-BL22))</f>
        <v/>
      </c>
      <c r="BM55" s="10">
        <f>MAX(0,MIN(BM25,Inputs!$F$197-BM22))</f>
        <v/>
      </c>
      <c r="BN55" s="10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10">
        <f>I8+1</f>
        <v/>
      </c>
      <c r="K8" s="10">
        <f>J8+1</f>
        <v/>
      </c>
      <c r="L8" s="10">
        <f>K8+1</f>
        <v/>
      </c>
      <c r="M8" s="10">
        <f>L8+1</f>
        <v/>
      </c>
      <c r="N8" s="10">
        <f>M8+1</f>
        <v/>
      </c>
      <c r="O8" s="10">
        <f>N8+1</f>
        <v/>
      </c>
      <c r="P8" s="10">
        <f>O8+1</f>
        <v/>
      </c>
      <c r="Q8" s="10">
        <f>P8+1</f>
        <v/>
      </c>
      <c r="R8" s="10">
        <f>Q8+1</f>
        <v/>
      </c>
      <c r="S8" s="10">
        <f>R8+1</f>
        <v/>
      </c>
      <c r="T8" s="10">
        <f>S8+1</f>
        <v/>
      </c>
      <c r="U8" s="10">
        <f>T8+1</f>
        <v/>
      </c>
      <c r="V8" s="10">
        <f>U8+1</f>
        <v/>
      </c>
      <c r="W8" s="10">
        <f>V8+1</f>
        <v/>
      </c>
      <c r="X8" s="10">
        <f>W8+1</f>
        <v/>
      </c>
      <c r="Y8" s="10">
        <f>X8+1</f>
        <v/>
      </c>
      <c r="Z8" s="10">
        <f>Y8+1</f>
        <v/>
      </c>
      <c r="AA8" s="10">
        <f>Z8+1</f>
        <v/>
      </c>
      <c r="AB8" s="10">
        <f>AA8+1</f>
        <v/>
      </c>
      <c r="AC8" s="10">
        <f>AB8+1</f>
        <v/>
      </c>
      <c r="AD8" s="10">
        <f>AC8+1</f>
        <v/>
      </c>
      <c r="AE8" s="10">
        <f>AD8+1</f>
        <v/>
      </c>
      <c r="AF8" s="10">
        <f>AE8+1</f>
        <v/>
      </c>
      <c r="AG8" s="10">
        <f>AF8+1</f>
        <v/>
      </c>
      <c r="AH8" s="10">
        <f>AG8+1</f>
        <v/>
      </c>
      <c r="AI8" s="10">
        <f>AH8+1</f>
        <v/>
      </c>
      <c r="AJ8" s="10">
        <f>AI8+1</f>
        <v/>
      </c>
      <c r="AK8" s="10">
        <f>AJ8+1</f>
        <v/>
      </c>
      <c r="AL8" s="10">
        <f>AK8+1</f>
        <v/>
      </c>
      <c r="AM8" s="10">
        <f>AL8+1</f>
        <v/>
      </c>
      <c r="AN8" s="10">
        <f>AM8+1</f>
        <v/>
      </c>
      <c r="AO8" s="10">
        <f>AN8+1</f>
        <v/>
      </c>
      <c r="AP8" s="10">
        <f>AO8+1</f>
        <v/>
      </c>
      <c r="AQ8" s="10">
        <f>AP8+1</f>
        <v/>
      </c>
      <c r="AR8" s="10">
        <f>AQ8+1</f>
        <v/>
      </c>
      <c r="AS8" s="10">
        <f>AR8+1</f>
        <v/>
      </c>
      <c r="AT8" s="10">
        <f>AS8+1</f>
        <v/>
      </c>
      <c r="AU8" s="10">
        <f>AT8+1</f>
        <v/>
      </c>
      <c r="AV8" s="10">
        <f>AU8+1</f>
        <v/>
      </c>
      <c r="AW8" s="10">
        <f>AV8+1</f>
        <v/>
      </c>
      <c r="AX8" s="10">
        <f>AW8+1</f>
        <v/>
      </c>
      <c r="AY8" s="10">
        <f>AX8+1</f>
        <v/>
      </c>
      <c r="AZ8" s="10">
        <f>AY8+1</f>
        <v/>
      </c>
      <c r="BA8" s="10">
        <f>AZ8+1</f>
        <v/>
      </c>
      <c r="BB8" s="10">
        <f>BA8+1</f>
        <v/>
      </c>
      <c r="BC8" s="10">
        <f>BB8+1</f>
        <v/>
      </c>
      <c r="BD8" s="10">
        <f>BC8+1</f>
        <v/>
      </c>
      <c r="BE8" s="10">
        <f>BD8+1</f>
        <v/>
      </c>
      <c r="BF8" s="10">
        <f>BE8+1</f>
        <v/>
      </c>
      <c r="BG8" s="10">
        <f>BF8+1</f>
        <v/>
      </c>
      <c r="BH8" s="10">
        <f>BG8+1</f>
        <v/>
      </c>
      <c r="BI8" s="10">
        <f>BH8+1</f>
        <v/>
      </c>
      <c r="BJ8" s="10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9">
        <f>IF(J8=1,Inputs!$F$188,EDATE(I9,1))</f>
        <v/>
      </c>
      <c r="K9" s="9">
        <f>IF(K8=1,Inputs!$F$188,EDATE(J9,1))</f>
        <v/>
      </c>
      <c r="L9" s="9">
        <f>IF(L8=1,Inputs!$F$188,EDATE(K9,1))</f>
        <v/>
      </c>
      <c r="M9" s="9">
        <f>IF(M8=1,Inputs!$F$188,EDATE(L9,1))</f>
        <v/>
      </c>
      <c r="N9" s="9">
        <f>IF(N8=1,Inputs!$F$188,EDATE(M9,1))</f>
        <v/>
      </c>
      <c r="O9" s="9">
        <f>IF(O8=1,Inputs!$F$188,EDATE(N9,1))</f>
        <v/>
      </c>
      <c r="P9" s="9">
        <f>IF(P8=1,Inputs!$F$188,EDATE(O9,1))</f>
        <v/>
      </c>
      <c r="Q9" s="9">
        <f>IF(Q8=1,Inputs!$F$188,EDATE(P9,1))</f>
        <v/>
      </c>
      <c r="R9" s="9">
        <f>IF(R8=1,Inputs!$F$188,EDATE(Q9,1))</f>
        <v/>
      </c>
      <c r="S9" s="9">
        <f>IF(S8=1,Inputs!$F$188,EDATE(R9,1))</f>
        <v/>
      </c>
      <c r="T9" s="9">
        <f>IF(T8=1,Inputs!$F$188,EDATE(S9,1))</f>
        <v/>
      </c>
      <c r="U9" s="9">
        <f>IF(U8=1,Inputs!$F$188,EDATE(T9,1))</f>
        <v/>
      </c>
      <c r="V9" s="9">
        <f>IF(V8=1,Inputs!$F$188,EDATE(U9,1))</f>
        <v/>
      </c>
      <c r="W9" s="9">
        <f>IF(W8=1,Inputs!$F$188,EDATE(V9,1))</f>
        <v/>
      </c>
      <c r="X9" s="9">
        <f>IF(X8=1,Inputs!$F$188,EDATE(W9,1))</f>
        <v/>
      </c>
      <c r="Y9" s="9">
        <f>IF(Y8=1,Inputs!$F$188,EDATE(X9,1))</f>
        <v/>
      </c>
      <c r="Z9" s="9">
        <f>IF(Z8=1,Inputs!$F$188,EDATE(Y9,1))</f>
        <v/>
      </c>
      <c r="AA9" s="9">
        <f>IF(AA8=1,Inputs!$F$188,EDATE(Z9,1))</f>
        <v/>
      </c>
      <c r="AB9" s="9">
        <f>IF(AB8=1,Inputs!$F$188,EDATE(AA9,1))</f>
        <v/>
      </c>
      <c r="AC9" s="9">
        <f>IF(AC8=1,Inputs!$F$188,EDATE(AB9,1))</f>
        <v/>
      </c>
      <c r="AD9" s="9">
        <f>IF(AD8=1,Inputs!$F$188,EDATE(AC9,1))</f>
        <v/>
      </c>
      <c r="AE9" s="9">
        <f>IF(AE8=1,Inputs!$F$188,EDATE(AD9,1))</f>
        <v/>
      </c>
      <c r="AF9" s="9">
        <f>IF(AF8=1,Inputs!$F$188,EDATE(AE9,1))</f>
        <v/>
      </c>
      <c r="AG9" s="9">
        <f>IF(AG8=1,Inputs!$F$188,EDATE(AF9,1))</f>
        <v/>
      </c>
      <c r="AH9" s="9">
        <f>IF(AH8=1,Inputs!$F$188,EDATE(AG9,1))</f>
        <v/>
      </c>
      <c r="AI9" s="9">
        <f>IF(AI8=1,Inputs!$F$188,EDATE(AH9,1))</f>
        <v/>
      </c>
      <c r="AJ9" s="9">
        <f>IF(AJ8=1,Inputs!$F$188,EDATE(AI9,1))</f>
        <v/>
      </c>
      <c r="AK9" s="9">
        <f>IF(AK8=1,Inputs!$F$188,EDATE(AJ9,1))</f>
        <v/>
      </c>
      <c r="AL9" s="9">
        <f>IF(AL8=1,Inputs!$F$188,EDATE(AK9,1))</f>
        <v/>
      </c>
      <c r="AM9" s="9">
        <f>IF(AM8=1,Inputs!$F$188,EDATE(AL9,1))</f>
        <v/>
      </c>
      <c r="AN9" s="9">
        <f>IF(AN8=1,Inputs!$F$188,EDATE(AM9,1))</f>
        <v/>
      </c>
      <c r="AO9" s="9">
        <f>IF(AO8=1,Inputs!$F$188,EDATE(AN9,1))</f>
        <v/>
      </c>
      <c r="AP9" s="9">
        <f>IF(AP8=1,Inputs!$F$188,EDATE(AO9,1))</f>
        <v/>
      </c>
      <c r="AQ9" s="9">
        <f>IF(AQ8=1,Inputs!$F$188,EDATE(AP9,1))</f>
        <v/>
      </c>
      <c r="AR9" s="9">
        <f>IF(AR8=1,Inputs!$F$188,EDATE(AQ9,1))</f>
        <v/>
      </c>
      <c r="AS9" s="9">
        <f>IF(AS8=1,Inputs!$F$188,EDATE(AR9,1))</f>
        <v/>
      </c>
      <c r="AT9" s="9">
        <f>IF(AT8=1,Inputs!$F$188,EDATE(AS9,1))</f>
        <v/>
      </c>
      <c r="AU9" s="9">
        <f>IF(AU8=1,Inputs!$F$188,EDATE(AT9,1))</f>
        <v/>
      </c>
      <c r="AV9" s="9">
        <f>IF(AV8=1,Inputs!$F$188,EDATE(AU9,1))</f>
        <v/>
      </c>
      <c r="AW9" s="9">
        <f>IF(AW8=1,Inputs!$F$188,EDATE(AV9,1))</f>
        <v/>
      </c>
      <c r="AX9" s="9">
        <f>IF(AX8=1,Inputs!$F$188,EDATE(AW9,1))</f>
        <v/>
      </c>
      <c r="AY9" s="9">
        <f>IF(AY8=1,Inputs!$F$188,EDATE(AX9,1))</f>
        <v/>
      </c>
      <c r="AZ9" s="9">
        <f>IF(AZ8=1,Inputs!$F$188,EDATE(AY9,1))</f>
        <v/>
      </c>
      <c r="BA9" s="9">
        <f>IF(BA8=1,Inputs!$F$188,EDATE(AZ9,1))</f>
        <v/>
      </c>
      <c r="BB9" s="9">
        <f>IF(BB8=1,Inputs!$F$188,EDATE(BA9,1))</f>
        <v/>
      </c>
      <c r="BC9" s="9">
        <f>IF(BC8=1,Inputs!$F$188,EDATE(BB9,1))</f>
        <v/>
      </c>
      <c r="BD9" s="9">
        <f>IF(BD8=1,Inputs!$F$188,EDATE(BC9,1))</f>
        <v/>
      </c>
      <c r="BE9" s="9">
        <f>IF(BE8=1,Inputs!$F$188,EDATE(BD9,1))</f>
        <v/>
      </c>
      <c r="BF9" s="9">
        <f>IF(BF8=1,Inputs!$F$188,EDATE(BE9,1))</f>
        <v/>
      </c>
      <c r="BG9" s="9">
        <f>IF(BG8=1,Inputs!$F$188,EDATE(BF9,1))</f>
        <v/>
      </c>
      <c r="BH9" s="9">
        <f>IF(BH8=1,Inputs!$F$188,EDATE(BG9,1))</f>
        <v/>
      </c>
      <c r="BI9" s="9">
        <f>IF(BI8=1,Inputs!$F$188,EDATE(BH9,1))</f>
        <v/>
      </c>
      <c r="BJ9" s="9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9">
        <f>EOMONTH(J9,0)</f>
        <v/>
      </c>
      <c r="K10" s="9">
        <f>EOMONTH(K9,0)</f>
        <v/>
      </c>
      <c r="L10" s="9">
        <f>EOMONTH(L9,0)</f>
        <v/>
      </c>
      <c r="M10" s="9">
        <f>EOMONTH(M9,0)</f>
        <v/>
      </c>
      <c r="N10" s="9">
        <f>EOMONTH(N9,0)</f>
        <v/>
      </c>
      <c r="O10" s="9">
        <f>EOMONTH(O9,0)</f>
        <v/>
      </c>
      <c r="P10" s="9">
        <f>EOMONTH(P9,0)</f>
        <v/>
      </c>
      <c r="Q10" s="9">
        <f>EOMONTH(Q9,0)</f>
        <v/>
      </c>
      <c r="R10" s="9">
        <f>EOMONTH(R9,0)</f>
        <v/>
      </c>
      <c r="S10" s="9">
        <f>EOMONTH(S9,0)</f>
        <v/>
      </c>
      <c r="T10" s="9">
        <f>EOMONTH(T9,0)</f>
        <v/>
      </c>
      <c r="U10" s="9">
        <f>EOMONTH(U9,0)</f>
        <v/>
      </c>
      <c r="V10" s="9">
        <f>EOMONTH(V9,0)</f>
        <v/>
      </c>
      <c r="W10" s="9">
        <f>EOMONTH(W9,0)</f>
        <v/>
      </c>
      <c r="X10" s="9">
        <f>EOMONTH(X9,0)</f>
        <v/>
      </c>
      <c r="Y10" s="9">
        <f>EOMONTH(Y9,0)</f>
        <v/>
      </c>
      <c r="Z10" s="9">
        <f>EOMONTH(Z9,0)</f>
        <v/>
      </c>
      <c r="AA10" s="9">
        <f>EOMONTH(AA9,0)</f>
        <v/>
      </c>
      <c r="AB10" s="9">
        <f>EOMONTH(AB9,0)</f>
        <v/>
      </c>
      <c r="AC10" s="9">
        <f>EOMONTH(AC9,0)</f>
        <v/>
      </c>
      <c r="AD10" s="9">
        <f>EOMONTH(AD9,0)</f>
        <v/>
      </c>
      <c r="AE10" s="9">
        <f>EOMONTH(AE9,0)</f>
        <v/>
      </c>
      <c r="AF10" s="9">
        <f>EOMONTH(AF9,0)</f>
        <v/>
      </c>
      <c r="AG10" s="9">
        <f>EOMONTH(AG9,0)</f>
        <v/>
      </c>
      <c r="AH10" s="9">
        <f>EOMONTH(AH9,0)</f>
        <v/>
      </c>
      <c r="AI10" s="9">
        <f>EOMONTH(AI9,0)</f>
        <v/>
      </c>
      <c r="AJ10" s="9">
        <f>EOMONTH(AJ9,0)</f>
        <v/>
      </c>
      <c r="AK10" s="9">
        <f>EOMONTH(AK9,0)</f>
        <v/>
      </c>
      <c r="AL10" s="9">
        <f>EOMONTH(AL9,0)</f>
        <v/>
      </c>
      <c r="AM10" s="9">
        <f>EOMONTH(AM9,0)</f>
        <v/>
      </c>
      <c r="AN10" s="9">
        <f>EOMONTH(AN9,0)</f>
        <v/>
      </c>
      <c r="AO10" s="9">
        <f>EOMONTH(AO9,0)</f>
        <v/>
      </c>
      <c r="AP10" s="9">
        <f>EOMONTH(AP9,0)</f>
        <v/>
      </c>
      <c r="AQ10" s="9">
        <f>EOMONTH(AQ9,0)</f>
        <v/>
      </c>
      <c r="AR10" s="9">
        <f>EOMONTH(AR9,0)</f>
        <v/>
      </c>
      <c r="AS10" s="9">
        <f>EOMONTH(AS9,0)</f>
        <v/>
      </c>
      <c r="AT10" s="9">
        <f>EOMONTH(AT9,0)</f>
        <v/>
      </c>
      <c r="AU10" s="9">
        <f>EOMONTH(AU9,0)</f>
        <v/>
      </c>
      <c r="AV10" s="9">
        <f>EOMONTH(AV9,0)</f>
        <v/>
      </c>
      <c r="AW10" s="9">
        <f>EOMONTH(AW9,0)</f>
        <v/>
      </c>
      <c r="AX10" s="9">
        <f>EOMONTH(AX9,0)</f>
        <v/>
      </c>
      <c r="AY10" s="9">
        <f>EOMONTH(AY9,0)</f>
        <v/>
      </c>
      <c r="AZ10" s="9">
        <f>EOMONTH(AZ9,0)</f>
        <v/>
      </c>
      <c r="BA10" s="9">
        <f>EOMONTH(BA9,0)</f>
        <v/>
      </c>
      <c r="BB10" s="9">
        <f>EOMONTH(BB9,0)</f>
        <v/>
      </c>
      <c r="BC10" s="9">
        <f>EOMONTH(BC9,0)</f>
        <v/>
      </c>
      <c r="BD10" s="9">
        <f>EOMONTH(BD9,0)</f>
        <v/>
      </c>
      <c r="BE10" s="9">
        <f>EOMONTH(BE9,0)</f>
        <v/>
      </c>
      <c r="BF10" s="9">
        <f>EOMONTH(BF9,0)</f>
        <v/>
      </c>
      <c r="BG10" s="9">
        <f>EOMONTH(BG9,0)</f>
        <v/>
      </c>
      <c r="BH10" s="9">
        <f>EOMONTH(BH9,0)</f>
        <v/>
      </c>
      <c r="BI10" s="9">
        <f>EOMONTH(BI9,0)</f>
        <v/>
      </c>
      <c r="BJ10" s="9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10">
        <f>J10-J9+1</f>
        <v/>
      </c>
      <c r="K11" s="10">
        <f>K10-K9+1</f>
        <v/>
      </c>
      <c r="L11" s="10">
        <f>L10-L9+1</f>
        <v/>
      </c>
      <c r="M11" s="10">
        <f>M10-M9+1</f>
        <v/>
      </c>
      <c r="N11" s="10">
        <f>N10-N9+1</f>
        <v/>
      </c>
      <c r="O11" s="10">
        <f>O10-O9+1</f>
        <v/>
      </c>
      <c r="P11" s="10">
        <f>P10-P9+1</f>
        <v/>
      </c>
      <c r="Q11" s="10">
        <f>Q10-Q9+1</f>
        <v/>
      </c>
      <c r="R11" s="10">
        <f>R10-R9+1</f>
        <v/>
      </c>
      <c r="S11" s="10">
        <f>S10-S9+1</f>
        <v/>
      </c>
      <c r="T11" s="10">
        <f>T10-T9+1</f>
        <v/>
      </c>
      <c r="U11" s="10">
        <f>U10-U9+1</f>
        <v/>
      </c>
      <c r="V11" s="10">
        <f>V10-V9+1</f>
        <v/>
      </c>
      <c r="W11" s="10">
        <f>W10-W9+1</f>
        <v/>
      </c>
      <c r="X11" s="10">
        <f>X10-X9+1</f>
        <v/>
      </c>
      <c r="Y11" s="10">
        <f>Y10-Y9+1</f>
        <v/>
      </c>
      <c r="Z11" s="10">
        <f>Z10-Z9+1</f>
        <v/>
      </c>
      <c r="AA11" s="10">
        <f>AA10-AA9+1</f>
        <v/>
      </c>
      <c r="AB11" s="10">
        <f>AB10-AB9+1</f>
        <v/>
      </c>
      <c r="AC11" s="10">
        <f>AC10-AC9+1</f>
        <v/>
      </c>
      <c r="AD11" s="10">
        <f>AD10-AD9+1</f>
        <v/>
      </c>
      <c r="AE11" s="10">
        <f>AE10-AE9+1</f>
        <v/>
      </c>
      <c r="AF11" s="10">
        <f>AF10-AF9+1</f>
        <v/>
      </c>
      <c r="AG11" s="10">
        <f>AG10-AG9+1</f>
        <v/>
      </c>
      <c r="AH11" s="10">
        <f>AH10-AH9+1</f>
        <v/>
      </c>
      <c r="AI11" s="10">
        <f>AI10-AI9+1</f>
        <v/>
      </c>
      <c r="AJ11" s="10">
        <f>AJ10-AJ9+1</f>
        <v/>
      </c>
      <c r="AK11" s="10">
        <f>AK10-AK9+1</f>
        <v/>
      </c>
      <c r="AL11" s="10">
        <f>AL10-AL9+1</f>
        <v/>
      </c>
      <c r="AM11" s="10">
        <f>AM10-AM9+1</f>
        <v/>
      </c>
      <c r="AN11" s="10">
        <f>AN10-AN9+1</f>
        <v/>
      </c>
      <c r="AO11" s="10">
        <f>AO10-AO9+1</f>
        <v/>
      </c>
      <c r="AP11" s="10">
        <f>AP10-AP9+1</f>
        <v/>
      </c>
      <c r="AQ11" s="10">
        <f>AQ10-AQ9+1</f>
        <v/>
      </c>
      <c r="AR11" s="10">
        <f>AR10-AR9+1</f>
        <v/>
      </c>
      <c r="AS11" s="10">
        <f>AS10-AS9+1</f>
        <v/>
      </c>
      <c r="AT11" s="10">
        <f>AT10-AT9+1</f>
        <v/>
      </c>
      <c r="AU11" s="10">
        <f>AU10-AU9+1</f>
        <v/>
      </c>
      <c r="AV11" s="10">
        <f>AV10-AV9+1</f>
        <v/>
      </c>
      <c r="AW11" s="10">
        <f>AW10-AW9+1</f>
        <v/>
      </c>
      <c r="AX11" s="10">
        <f>AX10-AX9+1</f>
        <v/>
      </c>
      <c r="AY11" s="10">
        <f>AY10-AY9+1</f>
        <v/>
      </c>
      <c r="AZ11" s="10">
        <f>AZ10-AZ9+1</f>
        <v/>
      </c>
      <c r="BA11" s="10">
        <f>BA10-BA9+1</f>
        <v/>
      </c>
      <c r="BB11" s="10">
        <f>BB10-BB9+1</f>
        <v/>
      </c>
      <c r="BC11" s="10">
        <f>BC10-BC9+1</f>
        <v/>
      </c>
      <c r="BD11" s="10">
        <f>BD10-BD9+1</f>
        <v/>
      </c>
      <c r="BE11" s="10">
        <f>BE10-BE9+1</f>
        <v/>
      </c>
      <c r="BF11" s="10">
        <f>BF10-BF9+1</f>
        <v/>
      </c>
      <c r="BG11" s="10">
        <f>BG10-BG9+1</f>
        <v/>
      </c>
      <c r="BH11" s="10">
        <f>BH10-BH9+1</f>
        <v/>
      </c>
      <c r="BI11" s="10">
        <f>BI10-BI9+1</f>
        <v/>
      </c>
      <c r="BJ11" s="10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10">
        <f>MATCH(J9,Time!$J$22:$BN$22,1)</f>
        <v/>
      </c>
      <c r="K12" s="10">
        <f>MATCH(K9,Time!$J$22:$BN$22,1)</f>
        <v/>
      </c>
      <c r="L12" s="10">
        <f>MATCH(L9,Time!$J$22:$BN$22,1)</f>
        <v/>
      </c>
      <c r="M12" s="10">
        <f>MATCH(M9,Time!$J$22:$BN$22,1)</f>
        <v/>
      </c>
      <c r="N12" s="10">
        <f>MATCH(N9,Time!$J$22:$BN$22,1)</f>
        <v/>
      </c>
      <c r="O12" s="10">
        <f>MATCH(O9,Time!$J$22:$BN$22,1)</f>
        <v/>
      </c>
      <c r="P12" s="10">
        <f>MATCH(P9,Time!$J$22:$BN$22,1)</f>
        <v/>
      </c>
      <c r="Q12" s="10">
        <f>MATCH(Q9,Time!$J$22:$BN$22,1)</f>
        <v/>
      </c>
      <c r="R12" s="10">
        <f>MATCH(R9,Time!$J$22:$BN$22,1)</f>
        <v/>
      </c>
      <c r="S12" s="10">
        <f>MATCH(S9,Time!$J$22:$BN$22,1)</f>
        <v/>
      </c>
      <c r="T12" s="10">
        <f>MATCH(T9,Time!$J$22:$BN$22,1)</f>
        <v/>
      </c>
      <c r="U12" s="10">
        <f>MATCH(U9,Time!$J$22:$BN$22,1)</f>
        <v/>
      </c>
      <c r="V12" s="10">
        <f>MATCH(V9,Time!$J$22:$BN$22,1)</f>
        <v/>
      </c>
      <c r="W12" s="10">
        <f>MATCH(W9,Time!$J$22:$BN$22,1)</f>
        <v/>
      </c>
      <c r="X12" s="10">
        <f>MATCH(X9,Time!$J$22:$BN$22,1)</f>
        <v/>
      </c>
      <c r="Y12" s="10">
        <f>MATCH(Y9,Time!$J$22:$BN$22,1)</f>
        <v/>
      </c>
      <c r="Z12" s="10">
        <f>MATCH(Z9,Time!$J$22:$BN$22,1)</f>
        <v/>
      </c>
      <c r="AA12" s="10">
        <f>MATCH(AA9,Time!$J$22:$BN$22,1)</f>
        <v/>
      </c>
      <c r="AB12" s="10">
        <f>MATCH(AB9,Time!$J$22:$BN$22,1)</f>
        <v/>
      </c>
      <c r="AC12" s="10">
        <f>MATCH(AC9,Time!$J$22:$BN$22,1)</f>
        <v/>
      </c>
      <c r="AD12" s="10">
        <f>MATCH(AD9,Time!$J$22:$BN$22,1)</f>
        <v/>
      </c>
      <c r="AE12" s="10">
        <f>MATCH(AE9,Time!$J$22:$BN$22,1)</f>
        <v/>
      </c>
      <c r="AF12" s="10">
        <f>MATCH(AF9,Time!$J$22:$BN$22,1)</f>
        <v/>
      </c>
      <c r="AG12" s="10">
        <f>MATCH(AG9,Time!$J$22:$BN$22,1)</f>
        <v/>
      </c>
      <c r="AH12" s="10">
        <f>MATCH(AH9,Time!$J$22:$BN$22,1)</f>
        <v/>
      </c>
      <c r="AI12" s="10">
        <f>MATCH(AI9,Time!$J$22:$BN$22,1)</f>
        <v/>
      </c>
      <c r="AJ12" s="10">
        <f>MATCH(AJ9,Time!$J$22:$BN$22,1)</f>
        <v/>
      </c>
      <c r="AK12" s="10">
        <f>MATCH(AK9,Time!$J$22:$BN$22,1)</f>
        <v/>
      </c>
      <c r="AL12" s="10">
        <f>MATCH(AL9,Time!$J$22:$BN$22,1)</f>
        <v/>
      </c>
      <c r="AM12" s="10">
        <f>MATCH(AM9,Time!$J$22:$BN$22,1)</f>
        <v/>
      </c>
      <c r="AN12" s="10">
        <f>MATCH(AN9,Time!$J$22:$BN$22,1)</f>
        <v/>
      </c>
      <c r="AO12" s="10">
        <f>MATCH(AO9,Time!$J$22:$BN$22,1)</f>
        <v/>
      </c>
      <c r="AP12" s="10">
        <f>MATCH(AP9,Time!$J$22:$BN$22,1)</f>
        <v/>
      </c>
      <c r="AQ12" s="10">
        <f>MATCH(AQ9,Time!$J$22:$BN$22,1)</f>
        <v/>
      </c>
      <c r="AR12" s="10">
        <f>MATCH(AR9,Time!$J$22:$BN$22,1)</f>
        <v/>
      </c>
      <c r="AS12" s="10">
        <f>MATCH(AS9,Time!$J$22:$BN$22,1)</f>
        <v/>
      </c>
      <c r="AT12" s="10">
        <f>MATCH(AT9,Time!$J$22:$BN$22,1)</f>
        <v/>
      </c>
      <c r="AU12" s="10">
        <f>MATCH(AU9,Time!$J$22:$BN$22,1)</f>
        <v/>
      </c>
      <c r="AV12" s="10">
        <f>MATCH(AV9,Time!$J$22:$BN$22,1)</f>
        <v/>
      </c>
      <c r="AW12" s="10">
        <f>MATCH(AW9,Time!$J$22:$BN$22,1)</f>
        <v/>
      </c>
      <c r="AX12" s="10">
        <f>MATCH(AX9,Time!$J$22:$BN$22,1)</f>
        <v/>
      </c>
      <c r="AY12" s="10">
        <f>MATCH(AY9,Time!$J$22:$BN$22,1)</f>
        <v/>
      </c>
      <c r="AZ12" s="10">
        <f>MATCH(AZ9,Time!$J$22:$BN$22,1)</f>
        <v/>
      </c>
      <c r="BA12" s="10">
        <f>MATCH(BA9,Time!$J$22:$BN$22,1)</f>
        <v/>
      </c>
      <c r="BB12" s="10">
        <f>MATCH(BB9,Time!$J$22:$BN$22,1)</f>
        <v/>
      </c>
      <c r="BC12" s="10">
        <f>MATCH(BC9,Time!$J$22:$BN$22,1)</f>
        <v/>
      </c>
      <c r="BD12" s="10">
        <f>MATCH(BD9,Time!$J$22:$BN$22,1)</f>
        <v/>
      </c>
      <c r="BE12" s="10">
        <f>MATCH(BE9,Time!$J$22:$BN$22,1)</f>
        <v/>
      </c>
      <c r="BF12" s="10">
        <f>MATCH(BF9,Time!$J$22:$BN$22,1)</f>
        <v/>
      </c>
      <c r="BG12" s="10">
        <f>MATCH(BG9,Time!$J$22:$BN$22,1)</f>
        <v/>
      </c>
      <c r="BH12" s="10">
        <f>MATCH(BH9,Time!$J$22:$BN$22,1)</f>
        <v/>
      </c>
      <c r="BI12" s="10">
        <f>MATCH(BI9,Time!$J$22:$BN$22,1)</f>
        <v/>
      </c>
      <c r="BJ12" s="10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10">
        <f>IF(J8&lt;=Time!$F$11,1,0)</f>
        <v/>
      </c>
      <c r="K13" s="10">
        <f>IF(K8&lt;=Time!$F$11,1,0)</f>
        <v/>
      </c>
      <c r="L13" s="10">
        <f>IF(L8&lt;=Time!$F$11,1,0)</f>
        <v/>
      </c>
      <c r="M13" s="10">
        <f>IF(M8&lt;=Time!$F$11,1,0)</f>
        <v/>
      </c>
      <c r="N13" s="10">
        <f>IF(N8&lt;=Time!$F$11,1,0)</f>
        <v/>
      </c>
      <c r="O13" s="10">
        <f>IF(O8&lt;=Time!$F$11,1,0)</f>
        <v/>
      </c>
      <c r="P13" s="10">
        <f>IF(P8&lt;=Time!$F$11,1,0)</f>
        <v/>
      </c>
      <c r="Q13" s="10">
        <f>IF(Q8&lt;=Time!$F$11,1,0)</f>
        <v/>
      </c>
      <c r="R13" s="10">
        <f>IF(R8&lt;=Time!$F$11,1,0)</f>
        <v/>
      </c>
      <c r="S13" s="10">
        <f>IF(S8&lt;=Time!$F$11,1,0)</f>
        <v/>
      </c>
      <c r="T13" s="10">
        <f>IF(T8&lt;=Time!$F$11,1,0)</f>
        <v/>
      </c>
      <c r="U13" s="10">
        <f>IF(U8&lt;=Time!$F$11,1,0)</f>
        <v/>
      </c>
      <c r="V13" s="10">
        <f>IF(V8&lt;=Time!$F$11,1,0)</f>
        <v/>
      </c>
      <c r="W13" s="10">
        <f>IF(W8&lt;=Time!$F$11,1,0)</f>
        <v/>
      </c>
      <c r="X13" s="10">
        <f>IF(X8&lt;=Time!$F$11,1,0)</f>
        <v/>
      </c>
      <c r="Y13" s="10">
        <f>IF(Y8&lt;=Time!$F$11,1,0)</f>
        <v/>
      </c>
      <c r="Z13" s="10">
        <f>IF(Z8&lt;=Time!$F$11,1,0)</f>
        <v/>
      </c>
      <c r="AA13" s="10">
        <f>IF(AA8&lt;=Time!$F$11,1,0)</f>
        <v/>
      </c>
      <c r="AB13" s="10">
        <f>IF(AB8&lt;=Time!$F$11,1,0)</f>
        <v/>
      </c>
      <c r="AC13" s="10">
        <f>IF(AC8&lt;=Time!$F$11,1,0)</f>
        <v/>
      </c>
      <c r="AD13" s="10">
        <f>IF(AD8&lt;=Time!$F$11,1,0)</f>
        <v/>
      </c>
      <c r="AE13" s="10">
        <f>IF(AE8&lt;=Time!$F$11,1,0)</f>
        <v/>
      </c>
      <c r="AF13" s="10">
        <f>IF(AF8&lt;=Time!$F$11,1,0)</f>
        <v/>
      </c>
      <c r="AG13" s="10">
        <f>IF(AG8&lt;=Time!$F$11,1,0)</f>
        <v/>
      </c>
      <c r="AH13" s="10">
        <f>IF(AH8&lt;=Time!$F$11,1,0)</f>
        <v/>
      </c>
      <c r="AI13" s="10">
        <f>IF(AI8&lt;=Time!$F$11,1,0)</f>
        <v/>
      </c>
      <c r="AJ13" s="10">
        <f>IF(AJ8&lt;=Time!$F$11,1,0)</f>
        <v/>
      </c>
      <c r="AK13" s="10">
        <f>IF(AK8&lt;=Time!$F$11,1,0)</f>
        <v/>
      </c>
      <c r="AL13" s="10">
        <f>IF(AL8&lt;=Time!$F$11,1,0)</f>
        <v/>
      </c>
      <c r="AM13" s="10">
        <f>IF(AM8&lt;=Time!$F$11,1,0)</f>
        <v/>
      </c>
      <c r="AN13" s="10">
        <f>IF(AN8&lt;=Time!$F$11,1,0)</f>
        <v/>
      </c>
      <c r="AO13" s="10">
        <f>IF(AO8&lt;=Time!$F$11,1,0)</f>
        <v/>
      </c>
      <c r="AP13" s="10">
        <f>IF(AP8&lt;=Time!$F$11,1,0)</f>
        <v/>
      </c>
      <c r="AQ13" s="10">
        <f>IF(AQ8&lt;=Time!$F$11,1,0)</f>
        <v/>
      </c>
      <c r="AR13" s="10">
        <f>IF(AR8&lt;=Time!$F$11,1,0)</f>
        <v/>
      </c>
      <c r="AS13" s="10">
        <f>IF(AS8&lt;=Time!$F$11,1,0)</f>
        <v/>
      </c>
      <c r="AT13" s="10">
        <f>IF(AT8&lt;=Time!$F$11,1,0)</f>
        <v/>
      </c>
      <c r="AU13" s="10">
        <f>IF(AU8&lt;=Time!$F$11,1,0)</f>
        <v/>
      </c>
      <c r="AV13" s="10">
        <f>IF(AV8&lt;=Time!$F$11,1,0)</f>
        <v/>
      </c>
      <c r="AW13" s="10">
        <f>IF(AW8&lt;=Time!$F$11,1,0)</f>
        <v/>
      </c>
      <c r="AX13" s="10">
        <f>IF(AX8&lt;=Time!$F$11,1,0)</f>
        <v/>
      </c>
      <c r="AY13" s="10">
        <f>IF(AY8&lt;=Time!$F$11,1,0)</f>
        <v/>
      </c>
      <c r="AZ13" s="10">
        <f>IF(AZ8&lt;=Time!$F$11,1,0)</f>
        <v/>
      </c>
      <c r="BA13" s="10">
        <f>IF(BA8&lt;=Time!$F$11,1,0)</f>
        <v/>
      </c>
      <c r="BB13" s="10">
        <f>IF(BB8&lt;=Time!$F$11,1,0)</f>
        <v/>
      </c>
      <c r="BC13" s="10">
        <f>IF(BC8&lt;=Time!$F$11,1,0)</f>
        <v/>
      </c>
      <c r="BD13" s="10">
        <f>IF(BD8&lt;=Time!$F$11,1,0)</f>
        <v/>
      </c>
      <c r="BE13" s="10">
        <f>IF(BE8&lt;=Time!$F$11,1,0)</f>
        <v/>
      </c>
      <c r="BF13" s="10">
        <f>IF(BF8&lt;=Time!$F$11,1,0)</f>
        <v/>
      </c>
      <c r="BG13" s="10">
        <f>IF(BG8&lt;=Time!$F$11,1,0)</f>
        <v/>
      </c>
      <c r="BH13" s="10">
        <f>IF(BH8&lt;=Time!$F$11,1,0)</f>
        <v/>
      </c>
      <c r="BI13" s="10">
        <f>IF(BI8&lt;=Time!$F$11,1,0)</f>
        <v/>
      </c>
      <c r="BJ13" s="10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10">
        <f>IF(J8&lt;=Time!$F$14,1,0)</f>
        <v/>
      </c>
      <c r="K14" s="10">
        <f>IF(K8&lt;=Time!$F$14,1,0)</f>
        <v/>
      </c>
      <c r="L14" s="10">
        <f>IF(L8&lt;=Time!$F$14,1,0)</f>
        <v/>
      </c>
      <c r="M14" s="10">
        <f>IF(M8&lt;=Time!$F$14,1,0)</f>
        <v/>
      </c>
      <c r="N14" s="10">
        <f>IF(N8&lt;=Time!$F$14,1,0)</f>
        <v/>
      </c>
      <c r="O14" s="10">
        <f>IF(O8&lt;=Time!$F$14,1,0)</f>
        <v/>
      </c>
      <c r="P14" s="10">
        <f>IF(P8&lt;=Time!$F$14,1,0)</f>
        <v/>
      </c>
      <c r="Q14" s="10">
        <f>IF(Q8&lt;=Time!$F$14,1,0)</f>
        <v/>
      </c>
      <c r="R14" s="10">
        <f>IF(R8&lt;=Time!$F$14,1,0)</f>
        <v/>
      </c>
      <c r="S14" s="10">
        <f>IF(S8&lt;=Time!$F$14,1,0)</f>
        <v/>
      </c>
      <c r="T14" s="10">
        <f>IF(T8&lt;=Time!$F$14,1,0)</f>
        <v/>
      </c>
      <c r="U14" s="10">
        <f>IF(U8&lt;=Time!$F$14,1,0)</f>
        <v/>
      </c>
      <c r="V14" s="10">
        <f>IF(V8&lt;=Time!$F$14,1,0)</f>
        <v/>
      </c>
      <c r="W14" s="10">
        <f>IF(W8&lt;=Time!$F$14,1,0)</f>
        <v/>
      </c>
      <c r="X14" s="10">
        <f>IF(X8&lt;=Time!$F$14,1,0)</f>
        <v/>
      </c>
      <c r="Y14" s="10">
        <f>IF(Y8&lt;=Time!$F$14,1,0)</f>
        <v/>
      </c>
      <c r="Z14" s="10">
        <f>IF(Z8&lt;=Time!$F$14,1,0)</f>
        <v/>
      </c>
      <c r="AA14" s="10">
        <f>IF(AA8&lt;=Time!$F$14,1,0)</f>
        <v/>
      </c>
      <c r="AB14" s="10">
        <f>IF(AB8&lt;=Time!$F$14,1,0)</f>
        <v/>
      </c>
      <c r="AC14" s="10">
        <f>IF(AC8&lt;=Time!$F$14,1,0)</f>
        <v/>
      </c>
      <c r="AD14" s="10">
        <f>IF(AD8&lt;=Time!$F$14,1,0)</f>
        <v/>
      </c>
      <c r="AE14" s="10">
        <f>IF(AE8&lt;=Time!$F$14,1,0)</f>
        <v/>
      </c>
      <c r="AF14" s="10">
        <f>IF(AF8&lt;=Time!$F$14,1,0)</f>
        <v/>
      </c>
      <c r="AG14" s="10">
        <f>IF(AG8&lt;=Time!$F$14,1,0)</f>
        <v/>
      </c>
      <c r="AH14" s="10">
        <f>IF(AH8&lt;=Time!$F$14,1,0)</f>
        <v/>
      </c>
      <c r="AI14" s="10">
        <f>IF(AI8&lt;=Time!$F$14,1,0)</f>
        <v/>
      </c>
      <c r="AJ14" s="10">
        <f>IF(AJ8&lt;=Time!$F$14,1,0)</f>
        <v/>
      </c>
      <c r="AK14" s="10">
        <f>IF(AK8&lt;=Time!$F$14,1,0)</f>
        <v/>
      </c>
      <c r="AL14" s="10">
        <f>IF(AL8&lt;=Time!$F$14,1,0)</f>
        <v/>
      </c>
      <c r="AM14" s="10">
        <f>IF(AM8&lt;=Time!$F$14,1,0)</f>
        <v/>
      </c>
      <c r="AN14" s="10">
        <f>IF(AN8&lt;=Time!$F$14,1,0)</f>
        <v/>
      </c>
      <c r="AO14" s="10">
        <f>IF(AO8&lt;=Time!$F$14,1,0)</f>
        <v/>
      </c>
      <c r="AP14" s="10">
        <f>IF(AP8&lt;=Time!$F$14,1,0)</f>
        <v/>
      </c>
      <c r="AQ14" s="10">
        <f>IF(AQ8&lt;=Time!$F$14,1,0)</f>
        <v/>
      </c>
      <c r="AR14" s="10">
        <f>IF(AR8&lt;=Time!$F$14,1,0)</f>
        <v/>
      </c>
      <c r="AS14" s="10">
        <f>IF(AS8&lt;=Time!$F$14,1,0)</f>
        <v/>
      </c>
      <c r="AT14" s="10">
        <f>IF(AT8&lt;=Time!$F$14,1,0)</f>
        <v/>
      </c>
      <c r="AU14" s="10">
        <f>IF(AU8&lt;=Time!$F$14,1,0)</f>
        <v/>
      </c>
      <c r="AV14" s="10">
        <f>IF(AV8&lt;=Time!$F$14,1,0)</f>
        <v/>
      </c>
      <c r="AW14" s="10">
        <f>IF(AW8&lt;=Time!$F$14,1,0)</f>
        <v/>
      </c>
      <c r="AX14" s="10">
        <f>IF(AX8&lt;=Time!$F$14,1,0)</f>
        <v/>
      </c>
      <c r="AY14" s="10">
        <f>IF(AY8&lt;=Time!$F$14,1,0)</f>
        <v/>
      </c>
      <c r="AZ14" s="10">
        <f>IF(AZ8&lt;=Time!$F$14,1,0)</f>
        <v/>
      </c>
      <c r="BA14" s="10">
        <f>IF(BA8&lt;=Time!$F$14,1,0)</f>
        <v/>
      </c>
      <c r="BB14" s="10">
        <f>IF(BB8&lt;=Time!$F$14,1,0)</f>
        <v/>
      </c>
      <c r="BC14" s="10">
        <f>IF(BC8&lt;=Time!$F$14,1,0)</f>
        <v/>
      </c>
      <c r="BD14" s="10">
        <f>IF(BD8&lt;=Time!$F$14,1,0)</f>
        <v/>
      </c>
      <c r="BE14" s="10">
        <f>IF(BE8&lt;=Time!$F$14,1,0)</f>
        <v/>
      </c>
      <c r="BF14" s="10">
        <f>IF(BF8&lt;=Time!$F$14,1,0)</f>
        <v/>
      </c>
      <c r="BG14" s="10">
        <f>IF(BG8&lt;=Time!$F$14,1,0)</f>
        <v/>
      </c>
      <c r="BH14" s="10">
        <f>IF(BH8&lt;=Time!$F$14,1,0)</f>
        <v/>
      </c>
      <c r="BI14" s="10">
        <f>IF(BI8&lt;=Time!$F$14,1,0)</f>
        <v/>
      </c>
      <c r="BJ14" s="10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10">
        <f>IF(J8=Time!$F$11+1,1,0)</f>
        <v/>
      </c>
      <c r="K15" s="10">
        <f>IF(K8=Time!$F$11+1,1,0)</f>
        <v/>
      </c>
      <c r="L15" s="10">
        <f>IF(L8=Time!$F$11+1,1,0)</f>
        <v/>
      </c>
      <c r="M15" s="10">
        <f>IF(M8=Time!$F$11+1,1,0)</f>
        <v/>
      </c>
      <c r="N15" s="10">
        <f>IF(N8=Time!$F$11+1,1,0)</f>
        <v/>
      </c>
      <c r="O15" s="10">
        <f>IF(O8=Time!$F$11+1,1,0)</f>
        <v/>
      </c>
      <c r="P15" s="10">
        <f>IF(P8=Time!$F$11+1,1,0)</f>
        <v/>
      </c>
      <c r="Q15" s="10">
        <f>IF(Q8=Time!$F$11+1,1,0)</f>
        <v/>
      </c>
      <c r="R15" s="10">
        <f>IF(R8=Time!$F$11+1,1,0)</f>
        <v/>
      </c>
      <c r="S15" s="10">
        <f>IF(S8=Time!$F$11+1,1,0)</f>
        <v/>
      </c>
      <c r="T15" s="10">
        <f>IF(T8=Time!$F$11+1,1,0)</f>
        <v/>
      </c>
      <c r="U15" s="10">
        <f>IF(U8=Time!$F$11+1,1,0)</f>
        <v/>
      </c>
      <c r="V15" s="10">
        <f>IF(V8=Time!$F$11+1,1,0)</f>
        <v/>
      </c>
      <c r="W15" s="10">
        <f>IF(W8=Time!$F$11+1,1,0)</f>
        <v/>
      </c>
      <c r="X15" s="10">
        <f>IF(X8=Time!$F$11+1,1,0)</f>
        <v/>
      </c>
      <c r="Y15" s="10">
        <f>IF(Y8=Time!$F$11+1,1,0)</f>
        <v/>
      </c>
      <c r="Z15" s="10">
        <f>IF(Z8=Time!$F$11+1,1,0)</f>
        <v/>
      </c>
      <c r="AA15" s="10">
        <f>IF(AA8=Time!$F$11+1,1,0)</f>
        <v/>
      </c>
      <c r="AB15" s="10">
        <f>IF(AB8=Time!$F$11+1,1,0)</f>
        <v/>
      </c>
      <c r="AC15" s="10">
        <f>IF(AC8=Time!$F$11+1,1,0)</f>
        <v/>
      </c>
      <c r="AD15" s="10">
        <f>IF(AD8=Time!$F$11+1,1,0)</f>
        <v/>
      </c>
      <c r="AE15" s="10">
        <f>IF(AE8=Time!$F$11+1,1,0)</f>
        <v/>
      </c>
      <c r="AF15" s="10">
        <f>IF(AF8=Time!$F$11+1,1,0)</f>
        <v/>
      </c>
      <c r="AG15" s="10">
        <f>IF(AG8=Time!$F$11+1,1,0)</f>
        <v/>
      </c>
      <c r="AH15" s="10">
        <f>IF(AH8=Time!$F$11+1,1,0)</f>
        <v/>
      </c>
      <c r="AI15" s="10">
        <f>IF(AI8=Time!$F$11+1,1,0)</f>
        <v/>
      </c>
      <c r="AJ15" s="10">
        <f>IF(AJ8=Time!$F$11+1,1,0)</f>
        <v/>
      </c>
      <c r="AK15" s="10">
        <f>IF(AK8=Time!$F$11+1,1,0)</f>
        <v/>
      </c>
      <c r="AL15" s="10">
        <f>IF(AL8=Time!$F$11+1,1,0)</f>
        <v/>
      </c>
      <c r="AM15" s="10">
        <f>IF(AM8=Time!$F$11+1,1,0)</f>
        <v/>
      </c>
      <c r="AN15" s="10">
        <f>IF(AN8=Time!$F$11+1,1,0)</f>
        <v/>
      </c>
      <c r="AO15" s="10">
        <f>IF(AO8=Time!$F$11+1,1,0)</f>
        <v/>
      </c>
      <c r="AP15" s="10">
        <f>IF(AP8=Time!$F$11+1,1,0)</f>
        <v/>
      </c>
      <c r="AQ15" s="10">
        <f>IF(AQ8=Time!$F$11+1,1,0)</f>
        <v/>
      </c>
      <c r="AR15" s="10">
        <f>IF(AR8=Time!$F$11+1,1,0)</f>
        <v/>
      </c>
      <c r="AS15" s="10">
        <f>IF(AS8=Time!$F$11+1,1,0)</f>
        <v/>
      </c>
      <c r="AT15" s="10">
        <f>IF(AT8=Time!$F$11+1,1,0)</f>
        <v/>
      </c>
      <c r="AU15" s="10">
        <f>IF(AU8=Time!$F$11+1,1,0)</f>
        <v/>
      </c>
      <c r="AV15" s="10">
        <f>IF(AV8=Time!$F$11+1,1,0)</f>
        <v/>
      </c>
      <c r="AW15" s="10">
        <f>IF(AW8=Time!$F$11+1,1,0)</f>
        <v/>
      </c>
      <c r="AX15" s="10">
        <f>IF(AX8=Time!$F$11+1,1,0)</f>
        <v/>
      </c>
      <c r="AY15" s="10">
        <f>IF(AY8=Time!$F$11+1,1,0)</f>
        <v/>
      </c>
      <c r="AZ15" s="10">
        <f>IF(AZ8=Time!$F$11+1,1,0)</f>
        <v/>
      </c>
      <c r="BA15" s="10">
        <f>IF(BA8=Time!$F$11+1,1,0)</f>
        <v/>
      </c>
      <c r="BB15" s="10">
        <f>IF(BB8=Time!$F$11+1,1,0)</f>
        <v/>
      </c>
      <c r="BC15" s="10">
        <f>IF(BC8=Time!$F$11+1,1,0)</f>
        <v/>
      </c>
      <c r="BD15" s="10">
        <f>IF(BD8=Time!$F$11+1,1,0)</f>
        <v/>
      </c>
      <c r="BE15" s="10">
        <f>IF(BE8=Time!$F$11+1,1,0)</f>
        <v/>
      </c>
      <c r="BF15" s="10">
        <f>IF(BF8=Time!$F$11+1,1,0)</f>
        <v/>
      </c>
      <c r="BG15" s="10">
        <f>IF(BG8=Time!$F$11+1,1,0)</f>
        <v/>
      </c>
      <c r="BH15" s="10">
        <f>IF(BH8=Time!$F$11+1,1,0)</f>
        <v/>
      </c>
      <c r="BI15" s="10">
        <f>IF(BI8=Time!$F$11+1,1,0)</f>
        <v/>
      </c>
      <c r="BJ15" s="10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10">
        <f>INT(Time!J32/12)+1</f>
        <v/>
      </c>
      <c r="K29" s="10">
        <f>INT(Time!K32/12)+1</f>
        <v/>
      </c>
      <c r="L29" s="10">
        <f>INT(Time!L32/12)+1</f>
        <v/>
      </c>
      <c r="M29" s="10">
        <f>INT(Time!M32/12)+1</f>
        <v/>
      </c>
      <c r="N29" s="10">
        <f>INT(Time!N32/12)+1</f>
        <v/>
      </c>
      <c r="O29" s="10">
        <f>INT(Time!O32/12)+1</f>
        <v/>
      </c>
      <c r="P29" s="10">
        <f>INT(Time!P32/12)+1</f>
        <v/>
      </c>
      <c r="Q29" s="10">
        <f>INT(Time!Q32/12)+1</f>
        <v/>
      </c>
      <c r="R29" s="10">
        <f>INT(Time!R32/12)+1</f>
        <v/>
      </c>
      <c r="S29" s="10">
        <f>INT(Time!S32/12)+1</f>
        <v/>
      </c>
      <c r="T29" s="10">
        <f>INT(Time!T32/12)+1</f>
        <v/>
      </c>
      <c r="U29" s="10">
        <f>INT(Time!U32/12)+1</f>
        <v/>
      </c>
      <c r="V29" s="10">
        <f>INT(Time!V32/12)+1</f>
        <v/>
      </c>
      <c r="W29" s="10">
        <f>INT(Time!W32/12)+1</f>
        <v/>
      </c>
      <c r="X29" s="10">
        <f>INT(Time!X32/12)+1</f>
        <v/>
      </c>
      <c r="Y29" s="10">
        <f>INT(Time!Y32/12)+1</f>
        <v/>
      </c>
      <c r="Z29" s="10">
        <f>INT(Time!Z32/12)+1</f>
        <v/>
      </c>
      <c r="AA29" s="10">
        <f>INT(Time!AA32/12)+1</f>
        <v/>
      </c>
      <c r="AB29" s="10">
        <f>INT(Time!AB32/12)+1</f>
        <v/>
      </c>
      <c r="AC29" s="10">
        <f>INT(Time!AC32/12)+1</f>
        <v/>
      </c>
      <c r="AD29" s="10">
        <f>INT(Time!AD32/12)+1</f>
        <v/>
      </c>
      <c r="AE29" s="10">
        <f>INT(Time!AE32/12)+1</f>
        <v/>
      </c>
      <c r="AF29" s="10">
        <f>INT(Time!AF32/12)+1</f>
        <v/>
      </c>
      <c r="AG29" s="10">
        <f>INT(Time!AG32/12)+1</f>
        <v/>
      </c>
      <c r="AH29" s="10">
        <f>INT(Time!AH32/12)+1</f>
        <v/>
      </c>
      <c r="AI29" s="10">
        <f>INT(Time!AI32/12)+1</f>
        <v/>
      </c>
      <c r="AJ29" s="10">
        <f>INT(Time!AJ32/12)+1</f>
        <v/>
      </c>
      <c r="AK29" s="10">
        <f>INT(Time!AK32/12)+1</f>
        <v/>
      </c>
      <c r="AL29" s="10">
        <f>INT(Time!AL32/12)+1</f>
        <v/>
      </c>
      <c r="AM29" s="10">
        <f>INT(Time!AM32/12)+1</f>
        <v/>
      </c>
      <c r="AN29" s="10">
        <f>INT(Time!AN32/12)+1</f>
        <v/>
      </c>
      <c r="AO29" s="10">
        <f>INT(Time!AO32/12)+1</f>
        <v/>
      </c>
      <c r="AP29" s="10">
        <f>INT(Time!AP32/12)+1</f>
        <v/>
      </c>
      <c r="AQ29" s="10">
        <f>INT(Time!AQ32/12)+1</f>
        <v/>
      </c>
      <c r="AR29" s="10">
        <f>INT(Time!AR32/12)+1</f>
        <v/>
      </c>
      <c r="AS29" s="10">
        <f>INT(Time!AS32/12)+1</f>
        <v/>
      </c>
      <c r="AT29" s="10">
        <f>INT(Time!AT32/12)+1</f>
        <v/>
      </c>
      <c r="AU29" s="10">
        <f>INT(Time!AU32/12)+1</f>
        <v/>
      </c>
      <c r="AV29" s="10">
        <f>INT(Time!AV32/12)+1</f>
        <v/>
      </c>
      <c r="AW29" s="10">
        <f>INT(Time!AW32/12)+1</f>
        <v/>
      </c>
      <c r="AX29" s="10">
        <f>INT(Time!AX32/12)+1</f>
        <v/>
      </c>
      <c r="AY29" s="10">
        <f>INT(Time!AY32/12)+1</f>
        <v/>
      </c>
      <c r="AZ29" s="10">
        <f>INT(Time!AZ32/12)+1</f>
        <v/>
      </c>
      <c r="BA29" s="10">
        <f>INT(Time!BA32/12)+1</f>
        <v/>
      </c>
      <c r="BB29" s="10">
        <f>INT(Time!BB32/12)+1</f>
        <v/>
      </c>
      <c r="BC29" s="10">
        <f>INT(Time!BC32/12)+1</f>
        <v/>
      </c>
      <c r="BD29" s="10">
        <f>INT(Time!BD32/12)+1</f>
        <v/>
      </c>
      <c r="BE29" s="10">
        <f>INT(Time!BE32/12)+1</f>
        <v/>
      </c>
      <c r="BF29" s="10">
        <f>INT(Time!BF32/12)+1</f>
        <v/>
      </c>
      <c r="BG29" s="10">
        <f>INT(Time!BG32/12)+1</f>
        <v/>
      </c>
      <c r="BH29" s="10">
        <f>INT(Time!BH32/12)+1</f>
        <v/>
      </c>
      <c r="BI29" s="10">
        <f>INT(Time!BI32/12)+1</f>
        <v/>
      </c>
      <c r="BJ29" s="10">
        <f>INT(Time!BJ32/12)+1</f>
        <v/>
      </c>
      <c r="BK29" s="10">
        <f>INT(Time!BK32/12)+1</f>
        <v/>
      </c>
      <c r="BL29" s="10">
        <f>INT(Time!BL32/12)+1</f>
        <v/>
      </c>
      <c r="BM29" s="10">
        <f>INT(Time!BM32/12)+1</f>
        <v/>
      </c>
      <c r="BN29" s="10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10">
        <f>MIN(Time!J33,J29*12)-Time!J32</f>
        <v/>
      </c>
      <c r="K30" s="10">
        <f>MIN(Time!K33,K29*12)-Time!K32</f>
        <v/>
      </c>
      <c r="L30" s="10">
        <f>MIN(Time!L33,L29*12)-Time!L32</f>
        <v/>
      </c>
      <c r="M30" s="10">
        <f>MIN(Time!M33,M29*12)-Time!M32</f>
        <v/>
      </c>
      <c r="N30" s="10">
        <f>MIN(Time!N33,N29*12)-Time!N32</f>
        <v/>
      </c>
      <c r="O30" s="10">
        <f>MIN(Time!O33,O29*12)-Time!O32</f>
        <v/>
      </c>
      <c r="P30" s="10">
        <f>MIN(Time!P33,P29*12)-Time!P32</f>
        <v/>
      </c>
      <c r="Q30" s="10">
        <f>MIN(Time!Q33,Q29*12)-Time!Q32</f>
        <v/>
      </c>
      <c r="R30" s="10">
        <f>MIN(Time!R33,R29*12)-Time!R32</f>
        <v/>
      </c>
      <c r="S30" s="10">
        <f>MIN(Time!S33,S29*12)-Time!S32</f>
        <v/>
      </c>
      <c r="T30" s="10">
        <f>MIN(Time!T33,T29*12)-Time!T32</f>
        <v/>
      </c>
      <c r="U30" s="10">
        <f>MIN(Time!U33,U29*12)-Time!U32</f>
        <v/>
      </c>
      <c r="V30" s="10">
        <f>MIN(Time!V33,V29*12)-Time!V32</f>
        <v/>
      </c>
      <c r="W30" s="10">
        <f>MIN(Time!W33,W29*12)-Time!W32</f>
        <v/>
      </c>
      <c r="X30" s="10">
        <f>MIN(Time!X33,X29*12)-Time!X32</f>
        <v/>
      </c>
      <c r="Y30" s="10">
        <f>MIN(Time!Y33,Y29*12)-Time!Y32</f>
        <v/>
      </c>
      <c r="Z30" s="10">
        <f>MIN(Time!Z33,Z29*12)-Time!Z32</f>
        <v/>
      </c>
      <c r="AA30" s="10">
        <f>MIN(Time!AA33,AA29*12)-Time!AA32</f>
        <v/>
      </c>
      <c r="AB30" s="10">
        <f>MIN(Time!AB33,AB29*12)-Time!AB32</f>
        <v/>
      </c>
      <c r="AC30" s="10">
        <f>MIN(Time!AC33,AC29*12)-Time!AC32</f>
        <v/>
      </c>
      <c r="AD30" s="10">
        <f>MIN(Time!AD33,AD29*12)-Time!AD32</f>
        <v/>
      </c>
      <c r="AE30" s="10">
        <f>MIN(Time!AE33,AE29*12)-Time!AE32</f>
        <v/>
      </c>
      <c r="AF30" s="10">
        <f>MIN(Time!AF33,AF29*12)-Time!AF32</f>
        <v/>
      </c>
      <c r="AG30" s="10">
        <f>MIN(Time!AG33,AG29*12)-Time!AG32</f>
        <v/>
      </c>
      <c r="AH30" s="10">
        <f>MIN(Time!AH33,AH29*12)-Time!AH32</f>
        <v/>
      </c>
      <c r="AI30" s="10">
        <f>MIN(Time!AI33,AI29*12)-Time!AI32</f>
        <v/>
      </c>
      <c r="AJ30" s="10">
        <f>MIN(Time!AJ33,AJ29*12)-Time!AJ32</f>
        <v/>
      </c>
      <c r="AK30" s="10">
        <f>MIN(Time!AK33,AK29*12)-Time!AK32</f>
        <v/>
      </c>
      <c r="AL30" s="10">
        <f>MIN(Time!AL33,AL29*12)-Time!AL32</f>
        <v/>
      </c>
      <c r="AM30" s="10">
        <f>MIN(Time!AM33,AM29*12)-Time!AM32</f>
        <v/>
      </c>
      <c r="AN30" s="10">
        <f>MIN(Time!AN33,AN29*12)-Time!AN32</f>
        <v/>
      </c>
      <c r="AO30" s="10">
        <f>MIN(Time!AO33,AO29*12)-Time!AO32</f>
        <v/>
      </c>
      <c r="AP30" s="10">
        <f>MIN(Time!AP33,AP29*12)-Time!AP32</f>
        <v/>
      </c>
      <c r="AQ30" s="10">
        <f>MIN(Time!AQ33,AQ29*12)-Time!AQ32</f>
        <v/>
      </c>
      <c r="AR30" s="10">
        <f>MIN(Time!AR33,AR29*12)-Time!AR32</f>
        <v/>
      </c>
      <c r="AS30" s="10">
        <f>MIN(Time!AS33,AS29*12)-Time!AS32</f>
        <v/>
      </c>
      <c r="AT30" s="10">
        <f>MIN(Time!AT33,AT29*12)-Time!AT32</f>
        <v/>
      </c>
      <c r="AU30" s="10">
        <f>MIN(Time!AU33,AU29*12)-Time!AU32</f>
        <v/>
      </c>
      <c r="AV30" s="10">
        <f>MIN(Time!AV33,AV29*12)-Time!AV32</f>
        <v/>
      </c>
      <c r="AW30" s="10">
        <f>MIN(Time!AW33,AW29*12)-Time!AW32</f>
        <v/>
      </c>
      <c r="AX30" s="10">
        <f>MIN(Time!AX33,AX29*12)-Time!AX32</f>
        <v/>
      </c>
      <c r="AY30" s="10">
        <f>MIN(Time!AY33,AY29*12)-Time!AY32</f>
        <v/>
      </c>
      <c r="AZ30" s="10">
        <f>MIN(Time!AZ33,AZ29*12)-Time!AZ32</f>
        <v/>
      </c>
      <c r="BA30" s="10">
        <f>MIN(Time!BA33,BA29*12)-Time!BA32</f>
        <v/>
      </c>
      <c r="BB30" s="10">
        <f>MIN(Time!BB33,BB29*12)-Time!BB32</f>
        <v/>
      </c>
      <c r="BC30" s="10">
        <f>MIN(Time!BC33,BC29*12)-Time!BC32</f>
        <v/>
      </c>
      <c r="BD30" s="10">
        <f>MIN(Time!BD33,BD29*12)-Time!BD32</f>
        <v/>
      </c>
      <c r="BE30" s="10">
        <f>MIN(Time!BE33,BE29*12)-Time!BE32</f>
        <v/>
      </c>
      <c r="BF30" s="10">
        <f>MIN(Time!BF33,BF29*12)-Time!BF32</f>
        <v/>
      </c>
      <c r="BG30" s="10">
        <f>MIN(Time!BG33,BG29*12)-Time!BG32</f>
        <v/>
      </c>
      <c r="BH30" s="10">
        <f>MIN(Time!BH33,BH29*12)-Time!BH32</f>
        <v/>
      </c>
      <c r="BI30" s="10">
        <f>MIN(Time!BI33,BI29*12)-Time!BI32</f>
        <v/>
      </c>
      <c r="BJ30" s="10">
        <f>MIN(Time!BJ33,BJ29*12)-Time!BJ32</f>
        <v/>
      </c>
      <c r="BK30" s="10">
        <f>MIN(Time!BK33,BK29*12)-Time!BK32</f>
        <v/>
      </c>
      <c r="BL30" s="10">
        <f>MIN(Time!BL33,BL29*12)-Time!BL32</f>
        <v/>
      </c>
      <c r="BM30" s="10">
        <f>MIN(Time!BM33,BM29*12)-Time!BM32</f>
        <v/>
      </c>
      <c r="BN30" s="10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10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10">
        <f>INT((Time!J33-Inputs!$F$221)/12)+1</f>
        <v/>
      </c>
      <c r="K77" s="10">
        <f>INT((Time!K33-Inputs!$F$221)/12)+1</f>
        <v/>
      </c>
      <c r="L77" s="10">
        <f>INT((Time!L33-Inputs!$F$221)/12)+1</f>
        <v/>
      </c>
      <c r="M77" s="10">
        <f>INT((Time!M33-Inputs!$F$221)/12)+1</f>
        <v/>
      </c>
      <c r="N77" s="10">
        <f>INT((Time!N33-Inputs!$F$221)/12)+1</f>
        <v/>
      </c>
      <c r="O77" s="10">
        <f>INT((Time!O33-Inputs!$F$221)/12)+1</f>
        <v/>
      </c>
      <c r="P77" s="10">
        <f>INT((Time!P33-Inputs!$F$221)/12)+1</f>
        <v/>
      </c>
      <c r="Q77" s="10">
        <f>INT((Time!Q33-Inputs!$F$221)/12)+1</f>
        <v/>
      </c>
      <c r="R77" s="10">
        <f>INT((Time!R33-Inputs!$F$221)/12)+1</f>
        <v/>
      </c>
      <c r="S77" s="10">
        <f>INT((Time!S33-Inputs!$F$221)/12)+1</f>
        <v/>
      </c>
      <c r="T77" s="10">
        <f>INT((Time!T33-Inputs!$F$221)/12)+1</f>
        <v/>
      </c>
      <c r="U77" s="10">
        <f>INT((Time!U33-Inputs!$F$221)/12)+1</f>
        <v/>
      </c>
      <c r="V77" s="10">
        <f>INT((Time!V33-Inputs!$F$221)/12)+1</f>
        <v/>
      </c>
      <c r="W77" s="10">
        <f>INT((Time!W33-Inputs!$F$221)/12)+1</f>
        <v/>
      </c>
      <c r="X77" s="10">
        <f>INT((Time!X33-Inputs!$F$221)/12)+1</f>
        <v/>
      </c>
      <c r="Y77" s="10">
        <f>INT((Time!Y33-Inputs!$F$221)/12)+1</f>
        <v/>
      </c>
      <c r="Z77" s="10">
        <f>INT((Time!Z33-Inputs!$F$221)/12)+1</f>
        <v/>
      </c>
      <c r="AA77" s="10">
        <f>INT((Time!AA33-Inputs!$F$221)/12)+1</f>
        <v/>
      </c>
      <c r="AB77" s="10">
        <f>INT((Time!AB33-Inputs!$F$221)/12)+1</f>
        <v/>
      </c>
      <c r="AC77" s="10">
        <f>INT((Time!AC33-Inputs!$F$221)/12)+1</f>
        <v/>
      </c>
      <c r="AD77" s="10">
        <f>INT((Time!AD33-Inputs!$F$221)/12)+1</f>
        <v/>
      </c>
      <c r="AE77" s="10">
        <f>INT((Time!AE33-Inputs!$F$221)/12)+1</f>
        <v/>
      </c>
      <c r="AF77" s="10">
        <f>INT((Time!AF33-Inputs!$F$221)/12)+1</f>
        <v/>
      </c>
      <c r="AG77" s="10">
        <f>INT((Time!AG33-Inputs!$F$221)/12)+1</f>
        <v/>
      </c>
      <c r="AH77" s="10">
        <f>INT((Time!AH33-Inputs!$F$221)/12)+1</f>
        <v/>
      </c>
      <c r="AI77" s="10">
        <f>INT((Time!AI33-Inputs!$F$221)/12)+1</f>
        <v/>
      </c>
      <c r="AJ77" s="10">
        <f>INT((Time!AJ33-Inputs!$F$221)/12)+1</f>
        <v/>
      </c>
      <c r="AK77" s="10">
        <f>INT((Time!AK33-Inputs!$F$221)/12)+1</f>
        <v/>
      </c>
      <c r="AL77" s="10">
        <f>INT((Time!AL33-Inputs!$F$221)/12)+1</f>
        <v/>
      </c>
      <c r="AM77" s="10">
        <f>INT((Time!AM33-Inputs!$F$221)/12)+1</f>
        <v/>
      </c>
      <c r="AN77" s="10">
        <f>INT((Time!AN33-Inputs!$F$221)/12)+1</f>
        <v/>
      </c>
      <c r="AO77" s="10">
        <f>INT((Time!AO33-Inputs!$F$221)/12)+1</f>
        <v/>
      </c>
      <c r="AP77" s="10">
        <f>INT((Time!AP33-Inputs!$F$221)/12)+1</f>
        <v/>
      </c>
      <c r="AQ77" s="10">
        <f>INT((Time!AQ33-Inputs!$F$221)/12)+1</f>
        <v/>
      </c>
      <c r="AR77" s="10">
        <f>INT((Time!AR33-Inputs!$F$221)/12)+1</f>
        <v/>
      </c>
      <c r="AS77" s="10">
        <f>INT((Time!AS33-Inputs!$F$221)/12)+1</f>
        <v/>
      </c>
      <c r="AT77" s="10">
        <f>INT((Time!AT33-Inputs!$F$221)/12)+1</f>
        <v/>
      </c>
      <c r="AU77" s="10">
        <f>INT((Time!AU33-Inputs!$F$221)/12)+1</f>
        <v/>
      </c>
      <c r="AV77" s="10">
        <f>INT((Time!AV33-Inputs!$F$221)/12)+1</f>
        <v/>
      </c>
      <c r="AW77" s="10">
        <f>INT((Time!AW33-Inputs!$F$221)/12)+1</f>
        <v/>
      </c>
      <c r="AX77" s="10">
        <f>INT((Time!AX33-Inputs!$F$221)/12)+1</f>
        <v/>
      </c>
      <c r="AY77" s="10">
        <f>INT((Time!AY33-Inputs!$F$221)/12)+1</f>
        <v/>
      </c>
      <c r="AZ77" s="10">
        <f>INT((Time!AZ33-Inputs!$F$221)/12)+1</f>
        <v/>
      </c>
      <c r="BA77" s="10">
        <f>INT((Time!BA33-Inputs!$F$221)/12)+1</f>
        <v/>
      </c>
      <c r="BB77" s="10">
        <f>INT((Time!BB33-Inputs!$F$221)/12)+1</f>
        <v/>
      </c>
      <c r="BC77" s="10">
        <f>INT((Time!BC33-Inputs!$F$221)/12)+1</f>
        <v/>
      </c>
      <c r="BD77" s="10">
        <f>INT((Time!BD33-Inputs!$F$221)/12)+1</f>
        <v/>
      </c>
      <c r="BE77" s="10">
        <f>INT((Time!BE33-Inputs!$F$221)/12)+1</f>
        <v/>
      </c>
      <c r="BF77" s="10">
        <f>INT((Time!BF33-Inputs!$F$221)/12)+1</f>
        <v/>
      </c>
      <c r="BG77" s="10">
        <f>INT((Time!BG33-Inputs!$F$221)/12)+1</f>
        <v/>
      </c>
      <c r="BH77" s="10">
        <f>INT((Time!BH33-Inputs!$F$221)/12)+1</f>
        <v/>
      </c>
      <c r="BI77" s="10">
        <f>INT((Time!BI33-Inputs!$F$221)/12)+1</f>
        <v/>
      </c>
      <c r="BJ77" s="10">
        <f>INT((Time!BJ33-Inputs!$F$221)/12)+1</f>
        <v/>
      </c>
      <c r="BK77" s="10">
        <f>INT((Time!BK33-Inputs!$F$221)/12)+1</f>
        <v/>
      </c>
      <c r="BL77" s="10">
        <f>INT((Time!BL33-Inputs!$F$221)/12)+1</f>
        <v/>
      </c>
      <c r="BM77" s="10">
        <f>INT((Time!BM33-Inputs!$F$221)/12)+1</f>
        <v/>
      </c>
      <c r="BN77" s="10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10">
        <f>MAX(0,MIN(Time!J33,Time!$F$9)-MAX(Time!J32,(Inputs!$F$227-1)*12))</f>
        <v/>
      </c>
      <c r="K80" s="10">
        <f>MAX(0,MIN(Time!K33,Time!$F$9)-MAX(Time!K32,(Inputs!$F$227-1)*12))</f>
        <v/>
      </c>
      <c r="L80" s="10">
        <f>MAX(0,MIN(Time!L33,Time!$F$9)-MAX(Time!L32,(Inputs!$F$227-1)*12))</f>
        <v/>
      </c>
      <c r="M80" s="10">
        <f>MAX(0,MIN(Time!M33,Time!$F$9)-MAX(Time!M32,(Inputs!$F$227-1)*12))</f>
        <v/>
      </c>
      <c r="N80" s="10">
        <f>MAX(0,MIN(Time!N33,Time!$F$9)-MAX(Time!N32,(Inputs!$F$227-1)*12))</f>
        <v/>
      </c>
      <c r="O80" s="10">
        <f>MAX(0,MIN(Time!O33,Time!$F$9)-MAX(Time!O32,(Inputs!$F$227-1)*12))</f>
        <v/>
      </c>
      <c r="P80" s="10">
        <f>MAX(0,MIN(Time!P33,Time!$F$9)-MAX(Time!P32,(Inputs!$F$227-1)*12))</f>
        <v/>
      </c>
      <c r="Q80" s="10">
        <f>MAX(0,MIN(Time!Q33,Time!$F$9)-MAX(Time!Q32,(Inputs!$F$227-1)*12))</f>
        <v/>
      </c>
      <c r="R80" s="10">
        <f>MAX(0,MIN(Time!R33,Time!$F$9)-MAX(Time!R32,(Inputs!$F$227-1)*12))</f>
        <v/>
      </c>
      <c r="S80" s="10">
        <f>MAX(0,MIN(Time!S33,Time!$F$9)-MAX(Time!S32,(Inputs!$F$227-1)*12))</f>
        <v/>
      </c>
      <c r="T80" s="10">
        <f>MAX(0,MIN(Time!T33,Time!$F$9)-MAX(Time!T32,(Inputs!$F$227-1)*12))</f>
        <v/>
      </c>
      <c r="U80" s="10">
        <f>MAX(0,MIN(Time!U33,Time!$F$9)-MAX(Time!U32,(Inputs!$F$227-1)*12))</f>
        <v/>
      </c>
      <c r="V80" s="10">
        <f>MAX(0,MIN(Time!V33,Time!$F$9)-MAX(Time!V32,(Inputs!$F$227-1)*12))</f>
        <v/>
      </c>
      <c r="W80" s="10">
        <f>MAX(0,MIN(Time!W33,Time!$F$9)-MAX(Time!W32,(Inputs!$F$227-1)*12))</f>
        <v/>
      </c>
      <c r="X80" s="10">
        <f>MAX(0,MIN(Time!X33,Time!$F$9)-MAX(Time!X32,(Inputs!$F$227-1)*12))</f>
        <v/>
      </c>
      <c r="Y80" s="10">
        <f>MAX(0,MIN(Time!Y33,Time!$F$9)-MAX(Time!Y32,(Inputs!$F$227-1)*12))</f>
        <v/>
      </c>
      <c r="Z80" s="10">
        <f>MAX(0,MIN(Time!Z33,Time!$F$9)-MAX(Time!Z32,(Inputs!$F$227-1)*12))</f>
        <v/>
      </c>
      <c r="AA80" s="10">
        <f>MAX(0,MIN(Time!AA33,Time!$F$9)-MAX(Time!AA32,(Inputs!$F$227-1)*12))</f>
        <v/>
      </c>
      <c r="AB80" s="10">
        <f>MAX(0,MIN(Time!AB33,Time!$F$9)-MAX(Time!AB32,(Inputs!$F$227-1)*12))</f>
        <v/>
      </c>
      <c r="AC80" s="10">
        <f>MAX(0,MIN(Time!AC33,Time!$F$9)-MAX(Time!AC32,(Inputs!$F$227-1)*12))</f>
        <v/>
      </c>
      <c r="AD80" s="10">
        <f>MAX(0,MIN(Time!AD33,Time!$F$9)-MAX(Time!AD32,(Inputs!$F$227-1)*12))</f>
        <v/>
      </c>
      <c r="AE80" s="10">
        <f>MAX(0,MIN(Time!AE33,Time!$F$9)-MAX(Time!AE32,(Inputs!$F$227-1)*12))</f>
        <v/>
      </c>
      <c r="AF80" s="10">
        <f>MAX(0,MIN(Time!AF33,Time!$F$9)-MAX(Time!AF32,(Inputs!$F$227-1)*12))</f>
        <v/>
      </c>
      <c r="AG80" s="10">
        <f>MAX(0,MIN(Time!AG33,Time!$F$9)-MAX(Time!AG32,(Inputs!$F$227-1)*12))</f>
        <v/>
      </c>
      <c r="AH80" s="10">
        <f>MAX(0,MIN(Time!AH33,Time!$F$9)-MAX(Time!AH32,(Inputs!$F$227-1)*12))</f>
        <v/>
      </c>
      <c r="AI80" s="10">
        <f>MAX(0,MIN(Time!AI33,Time!$F$9)-MAX(Time!AI32,(Inputs!$F$227-1)*12))</f>
        <v/>
      </c>
      <c r="AJ80" s="10">
        <f>MAX(0,MIN(Time!AJ33,Time!$F$9)-MAX(Time!AJ32,(Inputs!$F$227-1)*12))</f>
        <v/>
      </c>
      <c r="AK80" s="10">
        <f>MAX(0,MIN(Time!AK33,Time!$F$9)-MAX(Time!AK32,(Inputs!$F$227-1)*12))</f>
        <v/>
      </c>
      <c r="AL80" s="10">
        <f>MAX(0,MIN(Time!AL33,Time!$F$9)-MAX(Time!AL32,(Inputs!$F$227-1)*12))</f>
        <v/>
      </c>
      <c r="AM80" s="10">
        <f>MAX(0,MIN(Time!AM33,Time!$F$9)-MAX(Time!AM32,(Inputs!$F$227-1)*12))</f>
        <v/>
      </c>
      <c r="AN80" s="10">
        <f>MAX(0,MIN(Time!AN33,Time!$F$9)-MAX(Time!AN32,(Inputs!$F$227-1)*12))</f>
        <v/>
      </c>
      <c r="AO80" s="10">
        <f>MAX(0,MIN(Time!AO33,Time!$F$9)-MAX(Time!AO32,(Inputs!$F$227-1)*12))</f>
        <v/>
      </c>
      <c r="AP80" s="10">
        <f>MAX(0,MIN(Time!AP33,Time!$F$9)-MAX(Time!AP32,(Inputs!$F$227-1)*12))</f>
        <v/>
      </c>
      <c r="AQ80" s="10">
        <f>MAX(0,MIN(Time!AQ33,Time!$F$9)-MAX(Time!AQ32,(Inputs!$F$227-1)*12))</f>
        <v/>
      </c>
      <c r="AR80" s="10">
        <f>MAX(0,MIN(Time!AR33,Time!$F$9)-MAX(Time!AR32,(Inputs!$F$227-1)*12))</f>
        <v/>
      </c>
      <c r="AS80" s="10">
        <f>MAX(0,MIN(Time!AS33,Time!$F$9)-MAX(Time!AS32,(Inputs!$F$227-1)*12))</f>
        <v/>
      </c>
      <c r="AT80" s="10">
        <f>MAX(0,MIN(Time!AT33,Time!$F$9)-MAX(Time!AT32,(Inputs!$F$227-1)*12))</f>
        <v/>
      </c>
      <c r="AU80" s="10">
        <f>MAX(0,MIN(Time!AU33,Time!$F$9)-MAX(Time!AU32,(Inputs!$F$227-1)*12))</f>
        <v/>
      </c>
      <c r="AV80" s="10">
        <f>MAX(0,MIN(Time!AV33,Time!$F$9)-MAX(Time!AV32,(Inputs!$F$227-1)*12))</f>
        <v/>
      </c>
      <c r="AW80" s="10">
        <f>MAX(0,MIN(Time!AW33,Time!$F$9)-MAX(Time!AW32,(Inputs!$F$227-1)*12))</f>
        <v/>
      </c>
      <c r="AX80" s="10">
        <f>MAX(0,MIN(Time!AX33,Time!$F$9)-MAX(Time!AX32,(Inputs!$F$227-1)*12))</f>
        <v/>
      </c>
      <c r="AY80" s="10">
        <f>MAX(0,MIN(Time!AY33,Time!$F$9)-MAX(Time!AY32,(Inputs!$F$227-1)*12))</f>
        <v/>
      </c>
      <c r="AZ80" s="10">
        <f>MAX(0,MIN(Time!AZ33,Time!$F$9)-MAX(Time!AZ32,(Inputs!$F$227-1)*12))</f>
        <v/>
      </c>
      <c r="BA80" s="10">
        <f>MAX(0,MIN(Time!BA33,Time!$F$9)-MAX(Time!BA32,(Inputs!$F$227-1)*12))</f>
        <v/>
      </c>
      <c r="BB80" s="10">
        <f>MAX(0,MIN(Time!BB33,Time!$F$9)-MAX(Time!BB32,(Inputs!$F$227-1)*12))</f>
        <v/>
      </c>
      <c r="BC80" s="10">
        <f>MAX(0,MIN(Time!BC33,Time!$F$9)-MAX(Time!BC32,(Inputs!$F$227-1)*12))</f>
        <v/>
      </c>
      <c r="BD80" s="10">
        <f>MAX(0,MIN(Time!BD33,Time!$F$9)-MAX(Time!BD32,(Inputs!$F$227-1)*12))</f>
        <v/>
      </c>
      <c r="BE80" s="10">
        <f>MAX(0,MIN(Time!BE33,Time!$F$9)-MAX(Time!BE32,(Inputs!$F$227-1)*12))</f>
        <v/>
      </c>
      <c r="BF80" s="10">
        <f>MAX(0,MIN(Time!BF33,Time!$F$9)-MAX(Time!BF32,(Inputs!$F$227-1)*12))</f>
        <v/>
      </c>
      <c r="BG80" s="10">
        <f>MAX(0,MIN(Time!BG33,Time!$F$9)-MAX(Time!BG32,(Inputs!$F$227-1)*12))</f>
        <v/>
      </c>
      <c r="BH80" s="10">
        <f>MAX(0,MIN(Time!BH33,Time!$F$9)-MAX(Time!BH32,(Inputs!$F$227-1)*12))</f>
        <v/>
      </c>
      <c r="BI80" s="10">
        <f>MAX(0,MIN(Time!BI33,Time!$F$9)-MAX(Time!BI32,(Inputs!$F$227-1)*12))</f>
        <v/>
      </c>
      <c r="BJ80" s="10">
        <f>MAX(0,MIN(Time!BJ33,Time!$F$9)-MAX(Time!BJ32,(Inputs!$F$227-1)*12))</f>
        <v/>
      </c>
      <c r="BK80" s="10">
        <f>MAX(0,MIN(Time!BK33,Time!$F$9)-MAX(Time!BK32,(Inputs!$F$227-1)*12))</f>
        <v/>
      </c>
      <c r="BL80" s="10">
        <f>MAX(0,MIN(Time!BL33,Time!$F$9)-MAX(Time!BL32,(Inputs!$F$227-1)*12))</f>
        <v/>
      </c>
      <c r="BM80" s="10">
        <f>MAX(0,MIN(Time!BM33,Time!$F$9)-MAX(Time!BM32,(Inputs!$F$227-1)*12))</f>
        <v/>
      </c>
      <c r="BN80" s="10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10">
        <f>IF(Time!J20&gt;=Time!$F$15,1,0)</f>
        <v/>
      </c>
      <c r="K86" s="10">
        <f>IF(Time!K20&gt;=Time!$F$15,1,0)</f>
        <v/>
      </c>
      <c r="L86" s="10">
        <f>IF(Time!L20&gt;=Time!$F$15,1,0)</f>
        <v/>
      </c>
      <c r="M86" s="10">
        <f>IF(Time!M20&gt;=Time!$F$15,1,0)</f>
        <v/>
      </c>
      <c r="N86" s="10">
        <f>IF(Time!N20&gt;=Time!$F$15,1,0)</f>
        <v/>
      </c>
      <c r="O86" s="10">
        <f>IF(Time!O20&gt;=Time!$F$15,1,0)</f>
        <v/>
      </c>
      <c r="P86" s="10">
        <f>IF(Time!P20&gt;=Time!$F$15,1,0)</f>
        <v/>
      </c>
      <c r="Q86" s="10">
        <f>IF(Time!Q20&gt;=Time!$F$15,1,0)</f>
        <v/>
      </c>
      <c r="R86" s="10">
        <f>IF(Time!R20&gt;=Time!$F$15,1,0)</f>
        <v/>
      </c>
      <c r="S86" s="10">
        <f>IF(Time!S20&gt;=Time!$F$15,1,0)</f>
        <v/>
      </c>
      <c r="T86" s="10">
        <f>IF(Time!T20&gt;=Time!$F$15,1,0)</f>
        <v/>
      </c>
      <c r="U86" s="10">
        <f>IF(Time!U20&gt;=Time!$F$15,1,0)</f>
        <v/>
      </c>
      <c r="V86" s="10">
        <f>IF(Time!V20&gt;=Time!$F$15,1,0)</f>
        <v/>
      </c>
      <c r="W86" s="10">
        <f>IF(Time!W20&gt;=Time!$F$15,1,0)</f>
        <v/>
      </c>
      <c r="X86" s="10">
        <f>IF(Time!X20&gt;=Time!$F$15,1,0)</f>
        <v/>
      </c>
      <c r="Y86" s="10">
        <f>IF(Time!Y20&gt;=Time!$F$15,1,0)</f>
        <v/>
      </c>
      <c r="Z86" s="10">
        <f>IF(Time!Z20&gt;=Time!$F$15,1,0)</f>
        <v/>
      </c>
      <c r="AA86" s="10">
        <f>IF(Time!AA20&gt;=Time!$F$15,1,0)</f>
        <v/>
      </c>
      <c r="AB86" s="10">
        <f>IF(Time!AB20&gt;=Time!$F$15,1,0)</f>
        <v/>
      </c>
      <c r="AC86" s="10">
        <f>IF(Time!AC20&gt;=Time!$F$15,1,0)</f>
        <v/>
      </c>
      <c r="AD86" s="10">
        <f>IF(Time!AD20&gt;=Time!$F$15,1,0)</f>
        <v/>
      </c>
      <c r="AE86" s="10">
        <f>IF(Time!AE20&gt;=Time!$F$15,1,0)</f>
        <v/>
      </c>
      <c r="AF86" s="10">
        <f>IF(Time!AF20&gt;=Time!$F$15,1,0)</f>
        <v/>
      </c>
      <c r="AG86" s="10">
        <f>IF(Time!AG20&gt;=Time!$F$15,1,0)</f>
        <v/>
      </c>
      <c r="AH86" s="10">
        <f>IF(Time!AH20&gt;=Time!$F$15,1,0)</f>
        <v/>
      </c>
      <c r="AI86" s="10">
        <f>IF(Time!AI20&gt;=Time!$F$15,1,0)</f>
        <v/>
      </c>
      <c r="AJ86" s="10">
        <f>IF(Time!AJ20&gt;=Time!$F$15,1,0)</f>
        <v/>
      </c>
      <c r="AK86" s="10">
        <f>IF(Time!AK20&gt;=Time!$F$15,1,0)</f>
        <v/>
      </c>
      <c r="AL86" s="10">
        <f>IF(Time!AL20&gt;=Time!$F$15,1,0)</f>
        <v/>
      </c>
      <c r="AM86" s="10">
        <f>IF(Time!AM20&gt;=Time!$F$15,1,0)</f>
        <v/>
      </c>
      <c r="AN86" s="10">
        <f>IF(Time!AN20&gt;=Time!$F$15,1,0)</f>
        <v/>
      </c>
      <c r="AO86" s="10">
        <f>IF(Time!AO20&gt;=Time!$F$15,1,0)</f>
        <v/>
      </c>
      <c r="AP86" s="10">
        <f>IF(Time!AP20&gt;=Time!$F$15,1,0)</f>
        <v/>
      </c>
      <c r="AQ86" s="10">
        <f>IF(Time!AQ20&gt;=Time!$F$15,1,0)</f>
        <v/>
      </c>
      <c r="AR86" s="10">
        <f>IF(Time!AR20&gt;=Time!$F$15,1,0)</f>
        <v/>
      </c>
      <c r="AS86" s="10">
        <f>IF(Time!AS20&gt;=Time!$F$15,1,0)</f>
        <v/>
      </c>
      <c r="AT86" s="10">
        <f>IF(Time!AT20&gt;=Time!$F$15,1,0)</f>
        <v/>
      </c>
      <c r="AU86" s="10">
        <f>IF(Time!AU20&gt;=Time!$F$15,1,0)</f>
        <v/>
      </c>
      <c r="AV86" s="10">
        <f>IF(Time!AV20&gt;=Time!$F$15,1,0)</f>
        <v/>
      </c>
      <c r="AW86" s="10">
        <f>IF(Time!AW20&gt;=Time!$F$15,1,0)</f>
        <v/>
      </c>
      <c r="AX86" s="10">
        <f>IF(Time!AX20&gt;=Time!$F$15,1,0)</f>
        <v/>
      </c>
      <c r="AY86" s="10">
        <f>IF(Time!AY20&gt;=Time!$F$15,1,0)</f>
        <v/>
      </c>
      <c r="AZ86" s="10">
        <f>IF(Time!AZ20&gt;=Time!$F$15,1,0)</f>
        <v/>
      </c>
      <c r="BA86" s="10">
        <f>IF(Time!BA20&gt;=Time!$F$15,1,0)</f>
        <v/>
      </c>
      <c r="BB86" s="10">
        <f>IF(Time!BB20&gt;=Time!$F$15,1,0)</f>
        <v/>
      </c>
      <c r="BC86" s="10">
        <f>IF(Time!BC20&gt;=Time!$F$15,1,0)</f>
        <v/>
      </c>
      <c r="BD86" s="10">
        <f>IF(Time!BD20&gt;=Time!$F$15,1,0)</f>
        <v/>
      </c>
      <c r="BE86" s="10">
        <f>IF(Time!BE20&gt;=Time!$F$15,1,0)</f>
        <v/>
      </c>
      <c r="BF86" s="10">
        <f>IF(Time!BF20&gt;=Time!$F$15,1,0)</f>
        <v/>
      </c>
      <c r="BG86" s="10">
        <f>IF(Time!BG20&gt;=Time!$F$15,1,0)</f>
        <v/>
      </c>
      <c r="BH86" s="10">
        <f>IF(Time!BH20&gt;=Time!$F$15,1,0)</f>
        <v/>
      </c>
      <c r="BI86" s="10">
        <f>IF(Time!BI20&gt;=Time!$F$15,1,0)</f>
        <v/>
      </c>
      <c r="BJ86" s="10">
        <f>IF(Time!BJ20&gt;=Time!$F$15,1,0)</f>
        <v/>
      </c>
      <c r="BK86" s="10">
        <f>IF(Time!BK20&gt;=Time!$F$15,1,0)</f>
        <v/>
      </c>
      <c r="BL86" s="10">
        <f>IF(Time!BL20&gt;=Time!$F$15,1,0)</f>
        <v/>
      </c>
      <c r="BM86" s="10">
        <f>IF(Time!BM20&gt;=Time!$F$15,1,0)</f>
        <v/>
      </c>
      <c r="BN86" s="10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10">
        <f>Inputs!$F$44*Time!J38</f>
        <v/>
      </c>
      <c r="K87" s="10">
        <f>Inputs!$F$44*Time!K38</f>
        <v/>
      </c>
      <c r="L87" s="10">
        <f>Inputs!$F$44*Time!L38</f>
        <v/>
      </c>
      <c r="M87" s="10">
        <f>Inputs!$F$44*Time!M38</f>
        <v/>
      </c>
      <c r="N87" s="10">
        <f>Inputs!$F$44*Time!N38</f>
        <v/>
      </c>
      <c r="O87" s="10">
        <f>Inputs!$F$44*Time!O38</f>
        <v/>
      </c>
      <c r="P87" s="10">
        <f>Inputs!$F$44*Time!P38</f>
        <v/>
      </c>
      <c r="Q87" s="10">
        <f>Inputs!$F$44*Time!Q38</f>
        <v/>
      </c>
      <c r="R87" s="10">
        <f>Inputs!$F$44*Time!R38</f>
        <v/>
      </c>
      <c r="S87" s="10">
        <f>Inputs!$F$44*Time!S38</f>
        <v/>
      </c>
      <c r="T87" s="10">
        <f>Inputs!$F$44*Time!T38</f>
        <v/>
      </c>
      <c r="U87" s="10">
        <f>Inputs!$F$44*Time!U38</f>
        <v/>
      </c>
      <c r="V87" s="10">
        <f>Inputs!$F$44*Time!V38</f>
        <v/>
      </c>
      <c r="W87" s="10">
        <f>Inputs!$F$44*Time!W38</f>
        <v/>
      </c>
      <c r="X87" s="10">
        <f>Inputs!$F$44*Time!X38</f>
        <v/>
      </c>
      <c r="Y87" s="10">
        <f>Inputs!$F$44*Time!Y38</f>
        <v/>
      </c>
      <c r="Z87" s="10">
        <f>Inputs!$F$44*Time!Z38</f>
        <v/>
      </c>
      <c r="AA87" s="10">
        <f>Inputs!$F$44*Time!AA38</f>
        <v/>
      </c>
      <c r="AB87" s="10">
        <f>Inputs!$F$44*Time!AB38</f>
        <v/>
      </c>
      <c r="AC87" s="10">
        <f>Inputs!$F$44*Time!AC38</f>
        <v/>
      </c>
      <c r="AD87" s="10">
        <f>Inputs!$F$44*Time!AD38</f>
        <v/>
      </c>
      <c r="AE87" s="10">
        <f>Inputs!$F$44*Time!AE38</f>
        <v/>
      </c>
      <c r="AF87" s="10">
        <f>Inputs!$F$44*Time!AF38</f>
        <v/>
      </c>
      <c r="AG87" s="10">
        <f>Inputs!$F$44*Time!AG38</f>
        <v/>
      </c>
      <c r="AH87" s="10">
        <f>Inputs!$F$44*Time!AH38</f>
        <v/>
      </c>
      <c r="AI87" s="10">
        <f>Inputs!$F$44*Time!AI38</f>
        <v/>
      </c>
      <c r="AJ87" s="10">
        <f>Inputs!$F$44*Time!AJ38</f>
        <v/>
      </c>
      <c r="AK87" s="10">
        <f>Inputs!$F$44*Time!AK38</f>
        <v/>
      </c>
      <c r="AL87" s="10">
        <f>Inputs!$F$44*Time!AL38</f>
        <v/>
      </c>
      <c r="AM87" s="10">
        <f>Inputs!$F$44*Time!AM38</f>
        <v/>
      </c>
      <c r="AN87" s="10">
        <f>Inputs!$F$44*Time!AN38</f>
        <v/>
      </c>
      <c r="AO87" s="10">
        <f>Inputs!$F$44*Time!AO38</f>
        <v/>
      </c>
      <c r="AP87" s="10">
        <f>Inputs!$F$44*Time!AP38</f>
        <v/>
      </c>
      <c r="AQ87" s="10">
        <f>Inputs!$F$44*Time!AQ38</f>
        <v/>
      </c>
      <c r="AR87" s="10">
        <f>Inputs!$F$44*Time!AR38</f>
        <v/>
      </c>
      <c r="AS87" s="10">
        <f>Inputs!$F$44*Time!AS38</f>
        <v/>
      </c>
      <c r="AT87" s="10">
        <f>Inputs!$F$44*Time!AT38</f>
        <v/>
      </c>
      <c r="AU87" s="10">
        <f>Inputs!$F$44*Time!AU38</f>
        <v/>
      </c>
      <c r="AV87" s="10">
        <f>Inputs!$F$44*Time!AV38</f>
        <v/>
      </c>
      <c r="AW87" s="10">
        <f>Inputs!$F$44*Time!AW38</f>
        <v/>
      </c>
      <c r="AX87" s="10">
        <f>Inputs!$F$44*Time!AX38</f>
        <v/>
      </c>
      <c r="AY87" s="10">
        <f>Inputs!$F$44*Time!AY38</f>
        <v/>
      </c>
      <c r="AZ87" s="10">
        <f>Inputs!$F$44*Time!AZ38</f>
        <v/>
      </c>
      <c r="BA87" s="10">
        <f>Inputs!$F$44*Time!BA38</f>
        <v/>
      </c>
      <c r="BB87" s="10">
        <f>Inputs!$F$44*Time!BB38</f>
        <v/>
      </c>
      <c r="BC87" s="10">
        <f>Inputs!$F$44*Time!BC38</f>
        <v/>
      </c>
      <c r="BD87" s="10">
        <f>Inputs!$F$44*Time!BD38</f>
        <v/>
      </c>
      <c r="BE87" s="10">
        <f>Inputs!$F$44*Time!BE38</f>
        <v/>
      </c>
      <c r="BF87" s="10">
        <f>Inputs!$F$44*Time!BF38</f>
        <v/>
      </c>
      <c r="BG87" s="10">
        <f>Inputs!$F$44*Time!BG38</f>
        <v/>
      </c>
      <c r="BH87" s="10">
        <f>Inputs!$F$44*Time!BH38</f>
        <v/>
      </c>
      <c r="BI87" s="10">
        <f>Inputs!$F$44*Time!BI38</f>
        <v/>
      </c>
      <c r="BJ87" s="10">
        <f>Inputs!$F$44*Time!BJ38</f>
        <v/>
      </c>
      <c r="BK87" s="10">
        <f>Inputs!$F$44*Time!BK38</f>
        <v/>
      </c>
      <c r="BL87" s="10">
        <f>Inputs!$F$44*Time!BL38</f>
        <v/>
      </c>
      <c r="BM87" s="10">
        <f>Inputs!$F$44*Time!BM38</f>
        <v/>
      </c>
      <c r="BN87" s="10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10">
        <f>MAX(0,MIN(Time!J33,Inputs!$F$228*12)-MIN(Time!J32,Inputs!$F$228*12))</f>
        <v/>
      </c>
      <c r="K7" s="10">
        <f>MAX(0,MIN(Time!K33,Inputs!$F$228*12)-MIN(Time!K32,Inputs!$F$228*12))</f>
        <v/>
      </c>
      <c r="L7" s="10">
        <f>MAX(0,MIN(Time!L33,Inputs!$F$228*12)-MIN(Time!L32,Inputs!$F$228*12))</f>
        <v/>
      </c>
      <c r="M7" s="10">
        <f>MAX(0,MIN(Time!M33,Inputs!$F$228*12)-MIN(Time!M32,Inputs!$F$228*12))</f>
        <v/>
      </c>
      <c r="N7" s="10">
        <f>MAX(0,MIN(Time!N33,Inputs!$F$228*12)-MIN(Time!N32,Inputs!$F$228*12))</f>
        <v/>
      </c>
      <c r="O7" s="10">
        <f>MAX(0,MIN(Time!O33,Inputs!$F$228*12)-MIN(Time!O32,Inputs!$F$228*12))</f>
        <v/>
      </c>
      <c r="P7" s="10">
        <f>MAX(0,MIN(Time!P33,Inputs!$F$228*12)-MIN(Time!P32,Inputs!$F$228*12))</f>
        <v/>
      </c>
      <c r="Q7" s="10">
        <f>MAX(0,MIN(Time!Q33,Inputs!$F$228*12)-MIN(Time!Q32,Inputs!$F$228*12))</f>
        <v/>
      </c>
      <c r="R7" s="10">
        <f>MAX(0,MIN(Time!R33,Inputs!$F$228*12)-MIN(Time!R32,Inputs!$F$228*12))</f>
        <v/>
      </c>
      <c r="S7" s="10">
        <f>MAX(0,MIN(Time!S33,Inputs!$F$228*12)-MIN(Time!S32,Inputs!$F$228*12))</f>
        <v/>
      </c>
      <c r="T7" s="10">
        <f>MAX(0,MIN(Time!T33,Inputs!$F$228*12)-MIN(Time!T32,Inputs!$F$228*12))</f>
        <v/>
      </c>
      <c r="U7" s="10">
        <f>MAX(0,MIN(Time!U33,Inputs!$F$228*12)-MIN(Time!U32,Inputs!$F$228*12))</f>
        <v/>
      </c>
      <c r="V7" s="10">
        <f>MAX(0,MIN(Time!V33,Inputs!$F$228*12)-MIN(Time!V32,Inputs!$F$228*12))</f>
        <v/>
      </c>
      <c r="W7" s="10">
        <f>MAX(0,MIN(Time!W33,Inputs!$F$228*12)-MIN(Time!W32,Inputs!$F$228*12))</f>
        <v/>
      </c>
      <c r="X7" s="10">
        <f>MAX(0,MIN(Time!X33,Inputs!$F$228*12)-MIN(Time!X32,Inputs!$F$228*12))</f>
        <v/>
      </c>
      <c r="Y7" s="10">
        <f>MAX(0,MIN(Time!Y33,Inputs!$F$228*12)-MIN(Time!Y32,Inputs!$F$228*12))</f>
        <v/>
      </c>
      <c r="Z7" s="10">
        <f>MAX(0,MIN(Time!Z33,Inputs!$F$228*12)-MIN(Time!Z32,Inputs!$F$228*12))</f>
        <v/>
      </c>
      <c r="AA7" s="10">
        <f>MAX(0,MIN(Time!AA33,Inputs!$F$228*12)-MIN(Time!AA32,Inputs!$F$228*12))</f>
        <v/>
      </c>
      <c r="AB7" s="10">
        <f>MAX(0,MIN(Time!AB33,Inputs!$F$228*12)-MIN(Time!AB32,Inputs!$F$228*12))</f>
        <v/>
      </c>
      <c r="AC7" s="10">
        <f>MAX(0,MIN(Time!AC33,Inputs!$F$228*12)-MIN(Time!AC32,Inputs!$F$228*12))</f>
        <v/>
      </c>
      <c r="AD7" s="10">
        <f>MAX(0,MIN(Time!AD33,Inputs!$F$228*12)-MIN(Time!AD32,Inputs!$F$228*12))</f>
        <v/>
      </c>
      <c r="AE7" s="10">
        <f>MAX(0,MIN(Time!AE33,Inputs!$F$228*12)-MIN(Time!AE32,Inputs!$F$228*12))</f>
        <v/>
      </c>
      <c r="AF7" s="10">
        <f>MAX(0,MIN(Time!AF33,Inputs!$F$228*12)-MIN(Time!AF32,Inputs!$F$228*12))</f>
        <v/>
      </c>
      <c r="AG7" s="10">
        <f>MAX(0,MIN(Time!AG33,Inputs!$F$228*12)-MIN(Time!AG32,Inputs!$F$228*12))</f>
        <v/>
      </c>
      <c r="AH7" s="10">
        <f>MAX(0,MIN(Time!AH33,Inputs!$F$228*12)-MIN(Time!AH32,Inputs!$F$228*12))</f>
        <v/>
      </c>
      <c r="AI7" s="10">
        <f>MAX(0,MIN(Time!AI33,Inputs!$F$228*12)-MIN(Time!AI32,Inputs!$F$228*12))</f>
        <v/>
      </c>
      <c r="AJ7" s="10">
        <f>MAX(0,MIN(Time!AJ33,Inputs!$F$228*12)-MIN(Time!AJ32,Inputs!$F$228*12))</f>
        <v/>
      </c>
      <c r="AK7" s="10">
        <f>MAX(0,MIN(Time!AK33,Inputs!$F$228*12)-MIN(Time!AK32,Inputs!$F$228*12))</f>
        <v/>
      </c>
      <c r="AL7" s="10">
        <f>MAX(0,MIN(Time!AL33,Inputs!$F$228*12)-MIN(Time!AL32,Inputs!$F$228*12))</f>
        <v/>
      </c>
      <c r="AM7" s="10">
        <f>MAX(0,MIN(Time!AM33,Inputs!$F$228*12)-MIN(Time!AM32,Inputs!$F$228*12))</f>
        <v/>
      </c>
      <c r="AN7" s="10">
        <f>MAX(0,MIN(Time!AN33,Inputs!$F$228*12)-MIN(Time!AN32,Inputs!$F$228*12))</f>
        <v/>
      </c>
      <c r="AO7" s="10">
        <f>MAX(0,MIN(Time!AO33,Inputs!$F$228*12)-MIN(Time!AO32,Inputs!$F$228*12))</f>
        <v/>
      </c>
      <c r="AP7" s="10">
        <f>MAX(0,MIN(Time!AP33,Inputs!$F$228*12)-MIN(Time!AP32,Inputs!$F$228*12))</f>
        <v/>
      </c>
      <c r="AQ7" s="10">
        <f>MAX(0,MIN(Time!AQ33,Inputs!$F$228*12)-MIN(Time!AQ32,Inputs!$F$228*12))</f>
        <v/>
      </c>
      <c r="AR7" s="10">
        <f>MAX(0,MIN(Time!AR33,Inputs!$F$228*12)-MIN(Time!AR32,Inputs!$F$228*12))</f>
        <v/>
      </c>
      <c r="AS7" s="10">
        <f>MAX(0,MIN(Time!AS33,Inputs!$F$228*12)-MIN(Time!AS32,Inputs!$F$228*12))</f>
        <v/>
      </c>
      <c r="AT7" s="10">
        <f>MAX(0,MIN(Time!AT33,Inputs!$F$228*12)-MIN(Time!AT32,Inputs!$F$228*12))</f>
        <v/>
      </c>
      <c r="AU7" s="10">
        <f>MAX(0,MIN(Time!AU33,Inputs!$F$228*12)-MIN(Time!AU32,Inputs!$F$228*12))</f>
        <v/>
      </c>
      <c r="AV7" s="10">
        <f>MAX(0,MIN(Time!AV33,Inputs!$F$228*12)-MIN(Time!AV32,Inputs!$F$228*12))</f>
        <v/>
      </c>
      <c r="AW7" s="10">
        <f>MAX(0,MIN(Time!AW33,Inputs!$F$228*12)-MIN(Time!AW32,Inputs!$F$228*12))</f>
        <v/>
      </c>
      <c r="AX7" s="10">
        <f>MAX(0,MIN(Time!AX33,Inputs!$F$228*12)-MIN(Time!AX32,Inputs!$F$228*12))</f>
        <v/>
      </c>
      <c r="AY7" s="10">
        <f>MAX(0,MIN(Time!AY33,Inputs!$F$228*12)-MIN(Time!AY32,Inputs!$F$228*12))</f>
        <v/>
      </c>
      <c r="AZ7" s="10">
        <f>MAX(0,MIN(Time!AZ33,Inputs!$F$228*12)-MIN(Time!AZ32,Inputs!$F$228*12))</f>
        <v/>
      </c>
      <c r="BA7" s="10">
        <f>MAX(0,MIN(Time!BA33,Inputs!$F$228*12)-MIN(Time!BA32,Inputs!$F$228*12))</f>
        <v/>
      </c>
      <c r="BB7" s="10">
        <f>MAX(0,MIN(Time!BB33,Inputs!$F$228*12)-MIN(Time!BB32,Inputs!$F$228*12))</f>
        <v/>
      </c>
      <c r="BC7" s="10">
        <f>MAX(0,MIN(Time!BC33,Inputs!$F$228*12)-MIN(Time!BC32,Inputs!$F$228*12))</f>
        <v/>
      </c>
      <c r="BD7" s="10">
        <f>MAX(0,MIN(Time!BD33,Inputs!$F$228*12)-MIN(Time!BD32,Inputs!$F$228*12))</f>
        <v/>
      </c>
      <c r="BE7" s="10">
        <f>MAX(0,MIN(Time!BE33,Inputs!$F$228*12)-MIN(Time!BE32,Inputs!$F$228*12))</f>
        <v/>
      </c>
      <c r="BF7" s="10">
        <f>MAX(0,MIN(Time!BF33,Inputs!$F$228*12)-MIN(Time!BF32,Inputs!$F$228*12))</f>
        <v/>
      </c>
      <c r="BG7" s="10">
        <f>MAX(0,MIN(Time!BG33,Inputs!$F$228*12)-MIN(Time!BG32,Inputs!$F$228*12))</f>
        <v/>
      </c>
      <c r="BH7" s="10">
        <f>MAX(0,MIN(Time!BH33,Inputs!$F$228*12)-MIN(Time!BH32,Inputs!$F$228*12))</f>
        <v/>
      </c>
      <c r="BI7" s="10">
        <f>MAX(0,MIN(Time!BI33,Inputs!$F$228*12)-MIN(Time!BI32,Inputs!$F$228*12))</f>
        <v/>
      </c>
      <c r="BJ7" s="10">
        <f>MAX(0,MIN(Time!BJ33,Inputs!$F$228*12)-MIN(Time!BJ32,Inputs!$F$228*12))</f>
        <v/>
      </c>
      <c r="BK7" s="10">
        <f>MAX(0,MIN(Time!BK33,Inputs!$F$228*12)-MIN(Time!BK32,Inputs!$F$228*12))</f>
        <v/>
      </c>
      <c r="BL7" s="10">
        <f>MAX(0,MIN(Time!BL33,Inputs!$F$228*12)-MIN(Time!BL32,Inputs!$F$228*12))</f>
        <v/>
      </c>
      <c r="BM7" s="10">
        <f>MAX(0,MIN(Time!BM33,Inputs!$F$228*12)-MIN(Time!BM32,Inputs!$F$228*12))</f>
        <v/>
      </c>
      <c r="BN7" s="10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10">
        <f>MAX(0,MIN(Time!J33,Inputs!$F$229*12)-MIN(MAX(Time!J32,Inputs!$F$228*12),Inputs!$F$229*12))</f>
        <v/>
      </c>
      <c r="K8" s="10">
        <f>MAX(0,MIN(Time!K33,Inputs!$F$229*12)-MIN(MAX(Time!K32,Inputs!$F$228*12),Inputs!$F$229*12))</f>
        <v/>
      </c>
      <c r="L8" s="10">
        <f>MAX(0,MIN(Time!L33,Inputs!$F$229*12)-MIN(MAX(Time!L32,Inputs!$F$228*12),Inputs!$F$229*12))</f>
        <v/>
      </c>
      <c r="M8" s="10">
        <f>MAX(0,MIN(Time!M33,Inputs!$F$229*12)-MIN(MAX(Time!M32,Inputs!$F$228*12),Inputs!$F$229*12))</f>
        <v/>
      </c>
      <c r="N8" s="10">
        <f>MAX(0,MIN(Time!N33,Inputs!$F$229*12)-MIN(MAX(Time!N32,Inputs!$F$228*12),Inputs!$F$229*12))</f>
        <v/>
      </c>
      <c r="O8" s="10">
        <f>MAX(0,MIN(Time!O33,Inputs!$F$229*12)-MIN(MAX(Time!O32,Inputs!$F$228*12),Inputs!$F$229*12))</f>
        <v/>
      </c>
      <c r="P8" s="10">
        <f>MAX(0,MIN(Time!P33,Inputs!$F$229*12)-MIN(MAX(Time!P32,Inputs!$F$228*12),Inputs!$F$229*12))</f>
        <v/>
      </c>
      <c r="Q8" s="10">
        <f>MAX(0,MIN(Time!Q33,Inputs!$F$229*12)-MIN(MAX(Time!Q32,Inputs!$F$228*12),Inputs!$F$229*12))</f>
        <v/>
      </c>
      <c r="R8" s="10">
        <f>MAX(0,MIN(Time!R33,Inputs!$F$229*12)-MIN(MAX(Time!R32,Inputs!$F$228*12),Inputs!$F$229*12))</f>
        <v/>
      </c>
      <c r="S8" s="10">
        <f>MAX(0,MIN(Time!S33,Inputs!$F$229*12)-MIN(MAX(Time!S32,Inputs!$F$228*12),Inputs!$F$229*12))</f>
        <v/>
      </c>
      <c r="T8" s="10">
        <f>MAX(0,MIN(Time!T33,Inputs!$F$229*12)-MIN(MAX(Time!T32,Inputs!$F$228*12),Inputs!$F$229*12))</f>
        <v/>
      </c>
      <c r="U8" s="10">
        <f>MAX(0,MIN(Time!U33,Inputs!$F$229*12)-MIN(MAX(Time!U32,Inputs!$F$228*12),Inputs!$F$229*12))</f>
        <v/>
      </c>
      <c r="V8" s="10">
        <f>MAX(0,MIN(Time!V33,Inputs!$F$229*12)-MIN(MAX(Time!V32,Inputs!$F$228*12),Inputs!$F$229*12))</f>
        <v/>
      </c>
      <c r="W8" s="10">
        <f>MAX(0,MIN(Time!W33,Inputs!$F$229*12)-MIN(MAX(Time!W32,Inputs!$F$228*12),Inputs!$F$229*12))</f>
        <v/>
      </c>
      <c r="X8" s="10">
        <f>MAX(0,MIN(Time!X33,Inputs!$F$229*12)-MIN(MAX(Time!X32,Inputs!$F$228*12),Inputs!$F$229*12))</f>
        <v/>
      </c>
      <c r="Y8" s="10">
        <f>MAX(0,MIN(Time!Y33,Inputs!$F$229*12)-MIN(MAX(Time!Y32,Inputs!$F$228*12),Inputs!$F$229*12))</f>
        <v/>
      </c>
      <c r="Z8" s="10">
        <f>MAX(0,MIN(Time!Z33,Inputs!$F$229*12)-MIN(MAX(Time!Z32,Inputs!$F$228*12),Inputs!$F$229*12))</f>
        <v/>
      </c>
      <c r="AA8" s="10">
        <f>MAX(0,MIN(Time!AA33,Inputs!$F$229*12)-MIN(MAX(Time!AA32,Inputs!$F$228*12),Inputs!$F$229*12))</f>
        <v/>
      </c>
      <c r="AB8" s="10">
        <f>MAX(0,MIN(Time!AB33,Inputs!$F$229*12)-MIN(MAX(Time!AB32,Inputs!$F$228*12),Inputs!$F$229*12))</f>
        <v/>
      </c>
      <c r="AC8" s="10">
        <f>MAX(0,MIN(Time!AC33,Inputs!$F$229*12)-MIN(MAX(Time!AC32,Inputs!$F$228*12),Inputs!$F$229*12))</f>
        <v/>
      </c>
      <c r="AD8" s="10">
        <f>MAX(0,MIN(Time!AD33,Inputs!$F$229*12)-MIN(MAX(Time!AD32,Inputs!$F$228*12),Inputs!$F$229*12))</f>
        <v/>
      </c>
      <c r="AE8" s="10">
        <f>MAX(0,MIN(Time!AE33,Inputs!$F$229*12)-MIN(MAX(Time!AE32,Inputs!$F$228*12),Inputs!$F$229*12))</f>
        <v/>
      </c>
      <c r="AF8" s="10">
        <f>MAX(0,MIN(Time!AF33,Inputs!$F$229*12)-MIN(MAX(Time!AF32,Inputs!$F$228*12),Inputs!$F$229*12))</f>
        <v/>
      </c>
      <c r="AG8" s="10">
        <f>MAX(0,MIN(Time!AG33,Inputs!$F$229*12)-MIN(MAX(Time!AG32,Inputs!$F$228*12),Inputs!$F$229*12))</f>
        <v/>
      </c>
      <c r="AH8" s="10">
        <f>MAX(0,MIN(Time!AH33,Inputs!$F$229*12)-MIN(MAX(Time!AH32,Inputs!$F$228*12),Inputs!$F$229*12))</f>
        <v/>
      </c>
      <c r="AI8" s="10">
        <f>MAX(0,MIN(Time!AI33,Inputs!$F$229*12)-MIN(MAX(Time!AI32,Inputs!$F$228*12),Inputs!$F$229*12))</f>
        <v/>
      </c>
      <c r="AJ8" s="10">
        <f>MAX(0,MIN(Time!AJ33,Inputs!$F$229*12)-MIN(MAX(Time!AJ32,Inputs!$F$228*12),Inputs!$F$229*12))</f>
        <v/>
      </c>
      <c r="AK8" s="10">
        <f>MAX(0,MIN(Time!AK33,Inputs!$F$229*12)-MIN(MAX(Time!AK32,Inputs!$F$228*12),Inputs!$F$229*12))</f>
        <v/>
      </c>
      <c r="AL8" s="10">
        <f>MAX(0,MIN(Time!AL33,Inputs!$F$229*12)-MIN(MAX(Time!AL32,Inputs!$F$228*12),Inputs!$F$229*12))</f>
        <v/>
      </c>
      <c r="AM8" s="10">
        <f>MAX(0,MIN(Time!AM33,Inputs!$F$229*12)-MIN(MAX(Time!AM32,Inputs!$F$228*12),Inputs!$F$229*12))</f>
        <v/>
      </c>
      <c r="AN8" s="10">
        <f>MAX(0,MIN(Time!AN33,Inputs!$F$229*12)-MIN(MAX(Time!AN32,Inputs!$F$228*12),Inputs!$F$229*12))</f>
        <v/>
      </c>
      <c r="AO8" s="10">
        <f>MAX(0,MIN(Time!AO33,Inputs!$F$229*12)-MIN(MAX(Time!AO32,Inputs!$F$228*12),Inputs!$F$229*12))</f>
        <v/>
      </c>
      <c r="AP8" s="10">
        <f>MAX(0,MIN(Time!AP33,Inputs!$F$229*12)-MIN(MAX(Time!AP32,Inputs!$F$228*12),Inputs!$F$229*12))</f>
        <v/>
      </c>
      <c r="AQ8" s="10">
        <f>MAX(0,MIN(Time!AQ33,Inputs!$F$229*12)-MIN(MAX(Time!AQ32,Inputs!$F$228*12),Inputs!$F$229*12))</f>
        <v/>
      </c>
      <c r="AR8" s="10">
        <f>MAX(0,MIN(Time!AR33,Inputs!$F$229*12)-MIN(MAX(Time!AR32,Inputs!$F$228*12),Inputs!$F$229*12))</f>
        <v/>
      </c>
      <c r="AS8" s="10">
        <f>MAX(0,MIN(Time!AS33,Inputs!$F$229*12)-MIN(MAX(Time!AS32,Inputs!$F$228*12),Inputs!$F$229*12))</f>
        <v/>
      </c>
      <c r="AT8" s="10">
        <f>MAX(0,MIN(Time!AT33,Inputs!$F$229*12)-MIN(MAX(Time!AT32,Inputs!$F$228*12),Inputs!$F$229*12))</f>
        <v/>
      </c>
      <c r="AU8" s="10">
        <f>MAX(0,MIN(Time!AU33,Inputs!$F$229*12)-MIN(MAX(Time!AU32,Inputs!$F$228*12),Inputs!$F$229*12))</f>
        <v/>
      </c>
      <c r="AV8" s="10">
        <f>MAX(0,MIN(Time!AV33,Inputs!$F$229*12)-MIN(MAX(Time!AV32,Inputs!$F$228*12),Inputs!$F$229*12))</f>
        <v/>
      </c>
      <c r="AW8" s="10">
        <f>MAX(0,MIN(Time!AW33,Inputs!$F$229*12)-MIN(MAX(Time!AW32,Inputs!$F$228*12),Inputs!$F$229*12))</f>
        <v/>
      </c>
      <c r="AX8" s="10">
        <f>MAX(0,MIN(Time!AX33,Inputs!$F$229*12)-MIN(MAX(Time!AX32,Inputs!$F$228*12),Inputs!$F$229*12))</f>
        <v/>
      </c>
      <c r="AY8" s="10">
        <f>MAX(0,MIN(Time!AY33,Inputs!$F$229*12)-MIN(MAX(Time!AY32,Inputs!$F$228*12),Inputs!$F$229*12))</f>
        <v/>
      </c>
      <c r="AZ8" s="10">
        <f>MAX(0,MIN(Time!AZ33,Inputs!$F$229*12)-MIN(MAX(Time!AZ32,Inputs!$F$228*12),Inputs!$F$229*12))</f>
        <v/>
      </c>
      <c r="BA8" s="10">
        <f>MAX(0,MIN(Time!BA33,Inputs!$F$229*12)-MIN(MAX(Time!BA32,Inputs!$F$228*12),Inputs!$F$229*12))</f>
        <v/>
      </c>
      <c r="BB8" s="10">
        <f>MAX(0,MIN(Time!BB33,Inputs!$F$229*12)-MIN(MAX(Time!BB32,Inputs!$F$228*12),Inputs!$F$229*12))</f>
        <v/>
      </c>
      <c r="BC8" s="10">
        <f>MAX(0,MIN(Time!BC33,Inputs!$F$229*12)-MIN(MAX(Time!BC32,Inputs!$F$228*12),Inputs!$F$229*12))</f>
        <v/>
      </c>
      <c r="BD8" s="10">
        <f>MAX(0,MIN(Time!BD33,Inputs!$F$229*12)-MIN(MAX(Time!BD32,Inputs!$F$228*12),Inputs!$F$229*12))</f>
        <v/>
      </c>
      <c r="BE8" s="10">
        <f>MAX(0,MIN(Time!BE33,Inputs!$F$229*12)-MIN(MAX(Time!BE32,Inputs!$F$228*12),Inputs!$F$229*12))</f>
        <v/>
      </c>
      <c r="BF8" s="10">
        <f>MAX(0,MIN(Time!BF33,Inputs!$F$229*12)-MIN(MAX(Time!BF32,Inputs!$F$228*12),Inputs!$F$229*12))</f>
        <v/>
      </c>
      <c r="BG8" s="10">
        <f>MAX(0,MIN(Time!BG33,Inputs!$F$229*12)-MIN(MAX(Time!BG32,Inputs!$F$228*12),Inputs!$F$229*12))</f>
        <v/>
      </c>
      <c r="BH8" s="10">
        <f>MAX(0,MIN(Time!BH33,Inputs!$F$229*12)-MIN(MAX(Time!BH32,Inputs!$F$228*12),Inputs!$F$229*12))</f>
        <v/>
      </c>
      <c r="BI8" s="10">
        <f>MAX(0,MIN(Time!BI33,Inputs!$F$229*12)-MIN(MAX(Time!BI32,Inputs!$F$228*12),Inputs!$F$229*12))</f>
        <v/>
      </c>
      <c r="BJ8" s="10">
        <f>MAX(0,MIN(Time!BJ33,Inputs!$F$229*12)-MIN(MAX(Time!BJ32,Inputs!$F$228*12),Inputs!$F$229*12))</f>
        <v/>
      </c>
      <c r="BK8" s="10">
        <f>MAX(0,MIN(Time!BK33,Inputs!$F$229*12)-MIN(MAX(Time!BK32,Inputs!$F$228*12),Inputs!$F$229*12))</f>
        <v/>
      </c>
      <c r="BL8" s="10">
        <f>MAX(0,MIN(Time!BL33,Inputs!$F$229*12)-MIN(MAX(Time!BL32,Inputs!$F$228*12),Inputs!$F$229*12))</f>
        <v/>
      </c>
      <c r="BM8" s="10">
        <f>MAX(0,MIN(Time!BM33,Inputs!$F$229*12)-MIN(MAX(Time!BM32,Inputs!$F$228*12),Inputs!$F$229*12))</f>
        <v/>
      </c>
      <c r="BN8" s="10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10">
        <f>Time!J30-J7-J8</f>
        <v/>
      </c>
      <c r="K9" s="10">
        <f>Time!K30-K7-K8</f>
        <v/>
      </c>
      <c r="L9" s="10">
        <f>Time!L30-L7-L8</f>
        <v/>
      </c>
      <c r="M9" s="10">
        <f>Time!M30-M7-M8</f>
        <v/>
      </c>
      <c r="N9" s="10">
        <f>Time!N30-N7-N8</f>
        <v/>
      </c>
      <c r="O9" s="10">
        <f>Time!O30-O7-O8</f>
        <v/>
      </c>
      <c r="P9" s="10">
        <f>Time!P30-P7-P8</f>
        <v/>
      </c>
      <c r="Q9" s="10">
        <f>Time!Q30-Q7-Q8</f>
        <v/>
      </c>
      <c r="R9" s="10">
        <f>Time!R30-R7-R8</f>
        <v/>
      </c>
      <c r="S9" s="10">
        <f>Time!S30-S7-S8</f>
        <v/>
      </c>
      <c r="T9" s="10">
        <f>Time!T30-T7-T8</f>
        <v/>
      </c>
      <c r="U9" s="10">
        <f>Time!U30-U7-U8</f>
        <v/>
      </c>
      <c r="V9" s="10">
        <f>Time!V30-V7-V8</f>
        <v/>
      </c>
      <c r="W9" s="10">
        <f>Time!W30-W7-W8</f>
        <v/>
      </c>
      <c r="X9" s="10">
        <f>Time!X30-X7-X8</f>
        <v/>
      </c>
      <c r="Y9" s="10">
        <f>Time!Y30-Y7-Y8</f>
        <v/>
      </c>
      <c r="Z9" s="10">
        <f>Time!Z30-Z7-Z8</f>
        <v/>
      </c>
      <c r="AA9" s="10">
        <f>Time!AA30-AA7-AA8</f>
        <v/>
      </c>
      <c r="AB9" s="10">
        <f>Time!AB30-AB7-AB8</f>
        <v/>
      </c>
      <c r="AC9" s="10">
        <f>Time!AC30-AC7-AC8</f>
        <v/>
      </c>
      <c r="AD9" s="10">
        <f>Time!AD30-AD7-AD8</f>
        <v/>
      </c>
      <c r="AE9" s="10">
        <f>Time!AE30-AE7-AE8</f>
        <v/>
      </c>
      <c r="AF9" s="10">
        <f>Time!AF30-AF7-AF8</f>
        <v/>
      </c>
      <c r="AG9" s="10">
        <f>Time!AG30-AG7-AG8</f>
        <v/>
      </c>
      <c r="AH9" s="10">
        <f>Time!AH30-AH7-AH8</f>
        <v/>
      </c>
      <c r="AI9" s="10">
        <f>Time!AI30-AI7-AI8</f>
        <v/>
      </c>
      <c r="AJ9" s="10">
        <f>Time!AJ30-AJ7-AJ8</f>
        <v/>
      </c>
      <c r="AK9" s="10">
        <f>Time!AK30-AK7-AK8</f>
        <v/>
      </c>
      <c r="AL9" s="10">
        <f>Time!AL30-AL7-AL8</f>
        <v/>
      </c>
      <c r="AM9" s="10">
        <f>Time!AM30-AM7-AM8</f>
        <v/>
      </c>
      <c r="AN9" s="10">
        <f>Time!AN30-AN7-AN8</f>
        <v/>
      </c>
      <c r="AO9" s="10">
        <f>Time!AO30-AO7-AO8</f>
        <v/>
      </c>
      <c r="AP9" s="10">
        <f>Time!AP30-AP7-AP8</f>
        <v/>
      </c>
      <c r="AQ9" s="10">
        <f>Time!AQ30-AQ7-AQ8</f>
        <v/>
      </c>
      <c r="AR9" s="10">
        <f>Time!AR30-AR7-AR8</f>
        <v/>
      </c>
      <c r="AS9" s="10">
        <f>Time!AS30-AS7-AS8</f>
        <v/>
      </c>
      <c r="AT9" s="10">
        <f>Time!AT30-AT7-AT8</f>
        <v/>
      </c>
      <c r="AU9" s="10">
        <f>Time!AU30-AU7-AU8</f>
        <v/>
      </c>
      <c r="AV9" s="10">
        <f>Time!AV30-AV7-AV8</f>
        <v/>
      </c>
      <c r="AW9" s="10">
        <f>Time!AW30-AW7-AW8</f>
        <v/>
      </c>
      <c r="AX9" s="10">
        <f>Time!AX30-AX7-AX8</f>
        <v/>
      </c>
      <c r="AY9" s="10">
        <f>Time!AY30-AY7-AY8</f>
        <v/>
      </c>
      <c r="AZ9" s="10">
        <f>Time!AZ30-AZ7-AZ8</f>
        <v/>
      </c>
      <c r="BA9" s="10">
        <f>Time!BA30-BA7-BA8</f>
        <v/>
      </c>
      <c r="BB9" s="10">
        <f>Time!BB30-BB7-BB8</f>
        <v/>
      </c>
      <c r="BC9" s="10">
        <f>Time!BC30-BC7-BC8</f>
        <v/>
      </c>
      <c r="BD9" s="10">
        <f>Time!BD30-BD7-BD8</f>
        <v/>
      </c>
      <c r="BE9" s="10">
        <f>Time!BE30-BE7-BE8</f>
        <v/>
      </c>
      <c r="BF9" s="10">
        <f>Time!BF30-BF7-BF8</f>
        <v/>
      </c>
      <c r="BG9" s="10">
        <f>Time!BG30-BG7-BG8</f>
        <v/>
      </c>
      <c r="BH9" s="10">
        <f>Time!BH30-BH7-BH8</f>
        <v/>
      </c>
      <c r="BI9" s="10">
        <f>Time!BI30-BI7-BI8</f>
        <v/>
      </c>
      <c r="BJ9" s="10">
        <f>Time!BJ30-BJ7-BJ8</f>
        <v/>
      </c>
      <c r="BK9" s="10">
        <f>Time!BK30-BK7-BK8</f>
        <v/>
      </c>
      <c r="BL9" s="10">
        <f>Time!BL30-BL7-BL8</f>
        <v/>
      </c>
      <c r="BM9" s="10">
        <f>Time!BM30-BM7-BM8</f>
        <v/>
      </c>
      <c r="BN9" s="10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IF(Waterfall!J33&gt;0,MIN(1,Inputs!$F$183*(Waterfall!$F$32+MAX(0,Waterfall!I43))/Waterfall!J33),1)</f>
        <v/>
      </c>
      <c r="K14" s="6">
        <f>IF(Waterfall!K33&gt;0,MIN(1,Inputs!$F$183*(Waterfall!$F$32+MAX(0,Waterfall!J43))/Waterfall!K33),1)</f>
        <v/>
      </c>
      <c r="L14" s="6">
        <f>IF(Waterfall!L33&gt;0,MIN(1,Inputs!$F$183*(Waterfall!$F$32+MAX(0,Waterfall!K43))/Waterfall!L33),1)</f>
        <v/>
      </c>
      <c r="M14" s="6">
        <f>IF(Waterfall!M33&gt;0,MIN(1,Inputs!$F$183*(Waterfall!$F$32+MAX(0,Waterfall!L43))/Waterfall!M33),1)</f>
        <v/>
      </c>
      <c r="N14" s="6">
        <f>IF(Waterfall!N33&gt;0,MIN(1,Inputs!$F$183*(Waterfall!$F$32+MAX(0,Waterfall!M43))/Waterfall!N33),1)</f>
        <v/>
      </c>
      <c r="O14" s="6">
        <f>IF(Waterfall!O33&gt;0,MIN(1,Inputs!$F$183*(Waterfall!$F$32+MAX(0,Waterfall!N43))/Waterfall!O33),1)</f>
        <v/>
      </c>
      <c r="P14" s="6">
        <f>IF(Waterfall!P33&gt;0,MIN(1,Inputs!$F$183*(Waterfall!$F$32+MAX(0,Waterfall!O43))/Waterfall!P33),1)</f>
        <v/>
      </c>
      <c r="Q14" s="6">
        <f>IF(Waterfall!Q33&gt;0,MIN(1,Inputs!$F$183*(Waterfall!$F$32+MAX(0,Waterfall!P43))/Waterfall!Q33),1)</f>
        <v/>
      </c>
      <c r="R14" s="6">
        <f>IF(Waterfall!R33&gt;0,MIN(1,Inputs!$F$183*(Waterfall!$F$32+MAX(0,Waterfall!Q43))/Waterfall!R33),1)</f>
        <v/>
      </c>
      <c r="S14" s="6">
        <f>IF(Waterfall!S33&gt;0,MIN(1,Inputs!$F$183*(Waterfall!$F$32+MAX(0,Waterfall!R43))/Waterfall!S33),1)</f>
        <v/>
      </c>
      <c r="T14" s="6">
        <f>IF(Waterfall!T33&gt;0,MIN(1,Inputs!$F$183*(Waterfall!$F$32+MAX(0,Waterfall!S43))/Waterfall!T33),1)</f>
        <v/>
      </c>
      <c r="U14" s="6">
        <f>IF(Waterfall!U33&gt;0,MIN(1,Inputs!$F$183*(Waterfall!$F$32+MAX(0,Waterfall!T43))/Waterfall!U33),1)</f>
        <v/>
      </c>
      <c r="V14" s="6">
        <f>IF(Waterfall!V33&gt;0,MIN(1,Inputs!$F$183*(Waterfall!$F$32+MAX(0,Waterfall!U43))/Waterfall!V33),1)</f>
        <v/>
      </c>
      <c r="W14" s="6">
        <f>IF(Waterfall!W33&gt;0,MIN(1,Inputs!$F$183*(Waterfall!$F$32+MAX(0,Waterfall!V43))/Waterfall!W33),1)</f>
        <v/>
      </c>
      <c r="X14" s="6">
        <f>IF(Waterfall!X33&gt;0,MIN(1,Inputs!$F$183*(Waterfall!$F$32+MAX(0,Waterfall!W43))/Waterfall!X33),1)</f>
        <v/>
      </c>
      <c r="Y14" s="6">
        <f>IF(Waterfall!Y33&gt;0,MIN(1,Inputs!$F$183*(Waterfall!$F$32+MAX(0,Waterfall!X43))/Waterfall!Y33),1)</f>
        <v/>
      </c>
      <c r="Z14" s="6">
        <f>IF(Waterfall!Z33&gt;0,MIN(1,Inputs!$F$183*(Waterfall!$F$32+MAX(0,Waterfall!Y43))/Waterfall!Z33),1)</f>
        <v/>
      </c>
      <c r="AA14" s="6">
        <f>IF(Waterfall!AA33&gt;0,MIN(1,Inputs!$F$183*(Waterfall!$F$32+MAX(0,Waterfall!Z43))/Waterfall!AA33),1)</f>
        <v/>
      </c>
      <c r="AB14" s="6">
        <f>IF(Waterfall!AB33&gt;0,MIN(1,Inputs!$F$183*(Waterfall!$F$32+MAX(0,Waterfall!AA43))/Waterfall!AB33),1)</f>
        <v/>
      </c>
      <c r="AC14" s="6">
        <f>IF(Waterfall!AC33&gt;0,MIN(1,Inputs!$F$183*(Waterfall!$F$32+MAX(0,Waterfall!AB43))/Waterfall!AC33),1)</f>
        <v/>
      </c>
      <c r="AD14" s="6">
        <f>IF(Waterfall!AD33&gt;0,MIN(1,Inputs!$F$183*(Waterfall!$F$32+MAX(0,Waterfall!AC43))/Waterfall!AD33),1)</f>
        <v/>
      </c>
      <c r="AE14" s="6">
        <f>IF(Waterfall!AE33&gt;0,MIN(1,Inputs!$F$183*(Waterfall!$F$32+MAX(0,Waterfall!AD43))/Waterfall!AE33),1)</f>
        <v/>
      </c>
      <c r="AF14" s="6">
        <f>IF(Waterfall!AF33&gt;0,MIN(1,Inputs!$F$183*(Waterfall!$F$32+MAX(0,Waterfall!AE43))/Waterfall!AF33),1)</f>
        <v/>
      </c>
      <c r="AG14" s="6">
        <f>IF(Waterfall!AG33&gt;0,MIN(1,Inputs!$F$183*(Waterfall!$F$32+MAX(0,Waterfall!AF43))/Waterfall!AG33),1)</f>
        <v/>
      </c>
      <c r="AH14" s="6">
        <f>IF(Waterfall!AH33&gt;0,MIN(1,Inputs!$F$183*(Waterfall!$F$32+MAX(0,Waterfall!AG43))/Waterfall!AH33),1)</f>
        <v/>
      </c>
      <c r="AI14" s="6">
        <f>IF(Waterfall!AI33&gt;0,MIN(1,Inputs!$F$183*(Waterfall!$F$32+MAX(0,Waterfall!AH43))/Waterfall!AI33),1)</f>
        <v/>
      </c>
      <c r="AJ14" s="6">
        <f>IF(Waterfall!AJ33&gt;0,MIN(1,Inputs!$F$183*(Waterfall!$F$32+MAX(0,Waterfall!AI43))/Waterfall!AJ33),1)</f>
        <v/>
      </c>
      <c r="AK14" s="6">
        <f>IF(Waterfall!AK33&gt;0,MIN(1,Inputs!$F$183*(Waterfall!$F$32+MAX(0,Waterfall!AJ43))/Waterfall!AK33),1)</f>
        <v/>
      </c>
      <c r="AL14" s="6">
        <f>IF(Waterfall!AL33&gt;0,MIN(1,Inputs!$F$183*(Waterfall!$F$32+MAX(0,Waterfall!AK43))/Waterfall!AL33),1)</f>
        <v/>
      </c>
      <c r="AM14" s="6">
        <f>IF(Waterfall!AM33&gt;0,MIN(1,Inputs!$F$183*(Waterfall!$F$32+MAX(0,Waterfall!AL43))/Waterfall!AM33),1)</f>
        <v/>
      </c>
      <c r="AN14" s="6">
        <f>IF(Waterfall!AN33&gt;0,MIN(1,Inputs!$F$183*(Waterfall!$F$32+MAX(0,Waterfall!AM43))/Waterfall!AN33),1)</f>
        <v/>
      </c>
      <c r="AO14" s="6">
        <f>IF(Waterfall!AO33&gt;0,MIN(1,Inputs!$F$183*(Waterfall!$F$32+MAX(0,Waterfall!AN43))/Waterfall!AO33),1)</f>
        <v/>
      </c>
      <c r="AP14" s="6">
        <f>IF(Waterfall!AP33&gt;0,MIN(1,Inputs!$F$183*(Waterfall!$F$32+MAX(0,Waterfall!AO43))/Waterfall!AP33),1)</f>
        <v/>
      </c>
      <c r="AQ14" s="6">
        <f>IF(Waterfall!AQ33&gt;0,MIN(1,Inputs!$F$183*(Waterfall!$F$32+MAX(0,Waterfall!AP43))/Waterfall!AQ33),1)</f>
        <v/>
      </c>
      <c r="AR14" s="6">
        <f>IF(Waterfall!AR33&gt;0,MIN(1,Inputs!$F$183*(Waterfall!$F$32+MAX(0,Waterfall!AQ43))/Waterfall!AR33),1)</f>
        <v/>
      </c>
      <c r="AS14" s="6">
        <f>IF(Waterfall!AS33&gt;0,MIN(1,Inputs!$F$183*(Waterfall!$F$32+MAX(0,Waterfall!AR43))/Waterfall!AS33),1)</f>
        <v/>
      </c>
      <c r="AT14" s="6">
        <f>IF(Waterfall!AT33&gt;0,MIN(1,Inputs!$F$183*(Waterfall!$F$32+MAX(0,Waterfall!AS43))/Waterfall!AT33),1)</f>
        <v/>
      </c>
      <c r="AU14" s="6">
        <f>IF(Waterfall!AU33&gt;0,MIN(1,Inputs!$F$183*(Waterfall!$F$32+MAX(0,Waterfall!AT43))/Waterfall!AU33),1)</f>
        <v/>
      </c>
      <c r="AV14" s="6">
        <f>IF(Waterfall!AV33&gt;0,MIN(1,Inputs!$F$183*(Waterfall!$F$32+MAX(0,Waterfall!AU43))/Waterfall!AV33),1)</f>
        <v/>
      </c>
      <c r="AW14" s="6">
        <f>IF(Waterfall!AW33&gt;0,MIN(1,Inputs!$F$183*(Waterfall!$F$32+MAX(0,Waterfall!AV43))/Waterfall!AW33),1)</f>
        <v/>
      </c>
      <c r="AX14" s="6">
        <f>IF(Waterfall!AX33&gt;0,MIN(1,Inputs!$F$183*(Waterfall!$F$32+MAX(0,Waterfall!AW43))/Waterfall!AX33),1)</f>
        <v/>
      </c>
      <c r="AY14" s="6">
        <f>IF(Waterfall!AY33&gt;0,MIN(1,Inputs!$F$183*(Waterfall!$F$32+MAX(0,Waterfall!AX43))/Waterfall!AY33),1)</f>
        <v/>
      </c>
      <c r="AZ14" s="6">
        <f>IF(Waterfall!AZ33&gt;0,MIN(1,Inputs!$F$183*(Waterfall!$F$32+MAX(0,Waterfall!AY43))/Waterfall!AZ33),1)</f>
        <v/>
      </c>
      <c r="BA14" s="6">
        <f>IF(Waterfall!BA33&gt;0,MIN(1,Inputs!$F$183*(Waterfall!$F$32+MAX(0,Waterfall!AZ43))/Waterfall!BA33),1)</f>
        <v/>
      </c>
      <c r="BB14" s="6">
        <f>IF(Waterfall!BB33&gt;0,MIN(1,Inputs!$F$183*(Waterfall!$F$32+MAX(0,Waterfall!BA43))/Waterfall!BB33),1)</f>
        <v/>
      </c>
      <c r="BC14" s="6">
        <f>IF(Waterfall!BC33&gt;0,MIN(1,Inputs!$F$183*(Waterfall!$F$32+MAX(0,Waterfall!BB43))/Waterfall!BC33),1)</f>
        <v/>
      </c>
      <c r="BD14" s="6">
        <f>IF(Waterfall!BD33&gt;0,MIN(1,Inputs!$F$183*(Waterfall!$F$32+MAX(0,Waterfall!BC43))/Waterfall!BD33),1)</f>
        <v/>
      </c>
      <c r="BE14" s="6">
        <f>IF(Waterfall!BE33&gt;0,MIN(1,Inputs!$F$183*(Waterfall!$F$32+MAX(0,Waterfall!BD43))/Waterfall!BE33),1)</f>
        <v/>
      </c>
      <c r="BF14" s="6">
        <f>IF(Waterfall!BF33&gt;0,MIN(1,Inputs!$F$183*(Waterfall!$F$32+MAX(0,Waterfall!BE43))/Waterfall!BF33),1)</f>
        <v/>
      </c>
      <c r="BG14" s="6">
        <f>IF(Waterfall!BG33&gt;0,MIN(1,Inputs!$F$183*(Waterfall!$F$32+MAX(0,Waterfall!BF43))/Waterfall!BG33),1)</f>
        <v/>
      </c>
      <c r="BH14" s="6">
        <f>IF(Waterfall!BH33&gt;0,MIN(1,Inputs!$F$183*(Waterfall!$F$32+MAX(0,Waterfall!BG43))/Waterfall!BH33),1)</f>
        <v/>
      </c>
      <c r="BI14" s="6">
        <f>IF(Waterfall!BI33&gt;0,MIN(1,Inputs!$F$183*(Waterfall!$F$32+MAX(0,Waterfall!BH43))/Waterfall!BI33),1)</f>
        <v/>
      </c>
      <c r="BJ14" s="6">
        <f>IF(Waterfall!BJ33&gt;0,MIN(1,Inputs!$F$183*(Waterfall!$F$32+MAX(0,Waterfall!BI43))/Waterfall!BJ33),1)</f>
        <v/>
      </c>
      <c r="BK14" s="6">
        <f>IF(Waterfall!BK33&gt;0,MIN(1,Inputs!$F$183*(Waterfall!$F$32+MAX(0,Waterfall!BJ43))/Waterfall!BK33),1)</f>
        <v/>
      </c>
      <c r="BL14" s="6">
        <f>IF(Waterfall!BL33&gt;0,MIN(1,Inputs!$F$183*(Waterfall!$F$32+MAX(0,Waterfall!BK43))/Waterfall!BL33),1)</f>
        <v/>
      </c>
      <c r="BM14" s="6">
        <f>IF(Waterfall!BM33&gt;0,MIN(1,Inputs!$F$183*(Waterfall!$F$32+MAX(0,Waterfall!BL43))/Waterfall!BM33),1)</f>
        <v/>
      </c>
      <c r="BN14" s="6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IF(J8+J9&gt;0,(J8*Inputs!$F$175+J9*Inputs!$F$174)/(J8+J9)/100,0)</f>
        <v/>
      </c>
      <c r="K24" s="6">
        <f>IF(K8+K9&gt;0,(K8*Inputs!$F$175+K9*Inputs!$F$174)/(K8+K9)/100,0)</f>
        <v/>
      </c>
      <c r="L24" s="6">
        <f>IF(L8+L9&gt;0,(L8*Inputs!$F$175+L9*Inputs!$F$174)/(L8+L9)/100,0)</f>
        <v/>
      </c>
      <c r="M24" s="6">
        <f>IF(M8+M9&gt;0,(M8*Inputs!$F$175+M9*Inputs!$F$174)/(M8+M9)/100,0)</f>
        <v/>
      </c>
      <c r="N24" s="6">
        <f>IF(N8+N9&gt;0,(N8*Inputs!$F$175+N9*Inputs!$F$174)/(N8+N9)/100,0)</f>
        <v/>
      </c>
      <c r="O24" s="6">
        <f>IF(O8+O9&gt;0,(O8*Inputs!$F$175+O9*Inputs!$F$174)/(O8+O9)/100,0)</f>
        <v/>
      </c>
      <c r="P24" s="6">
        <f>IF(P8+P9&gt;0,(P8*Inputs!$F$175+P9*Inputs!$F$174)/(P8+P9)/100,0)</f>
        <v/>
      </c>
      <c r="Q24" s="6">
        <f>IF(Q8+Q9&gt;0,(Q8*Inputs!$F$175+Q9*Inputs!$F$174)/(Q8+Q9)/100,0)</f>
        <v/>
      </c>
      <c r="R24" s="6">
        <f>IF(R8+R9&gt;0,(R8*Inputs!$F$175+R9*Inputs!$F$174)/(R8+R9)/100,0)</f>
        <v/>
      </c>
      <c r="S24" s="6">
        <f>IF(S8+S9&gt;0,(S8*Inputs!$F$175+S9*Inputs!$F$174)/(S8+S9)/100,0)</f>
        <v/>
      </c>
      <c r="T24" s="6">
        <f>IF(T8+T9&gt;0,(T8*Inputs!$F$175+T9*Inputs!$F$174)/(T8+T9)/100,0)</f>
        <v/>
      </c>
      <c r="U24" s="6">
        <f>IF(U8+U9&gt;0,(U8*Inputs!$F$175+U9*Inputs!$F$174)/(U8+U9)/100,0)</f>
        <v/>
      </c>
      <c r="V24" s="6">
        <f>IF(V8+V9&gt;0,(V8*Inputs!$F$175+V9*Inputs!$F$174)/(V8+V9)/100,0)</f>
        <v/>
      </c>
      <c r="W24" s="6">
        <f>IF(W8+W9&gt;0,(W8*Inputs!$F$175+W9*Inputs!$F$174)/(W8+W9)/100,0)</f>
        <v/>
      </c>
      <c r="X24" s="6">
        <f>IF(X8+X9&gt;0,(X8*Inputs!$F$175+X9*Inputs!$F$174)/(X8+X9)/100,0)</f>
        <v/>
      </c>
      <c r="Y24" s="6">
        <f>IF(Y8+Y9&gt;0,(Y8*Inputs!$F$175+Y9*Inputs!$F$174)/(Y8+Y9)/100,0)</f>
        <v/>
      </c>
      <c r="Z24" s="6">
        <f>IF(Z8+Z9&gt;0,(Z8*Inputs!$F$175+Z9*Inputs!$F$174)/(Z8+Z9)/100,0)</f>
        <v/>
      </c>
      <c r="AA24" s="6">
        <f>IF(AA8+AA9&gt;0,(AA8*Inputs!$F$175+AA9*Inputs!$F$174)/(AA8+AA9)/100,0)</f>
        <v/>
      </c>
      <c r="AB24" s="6">
        <f>IF(AB8+AB9&gt;0,(AB8*Inputs!$F$175+AB9*Inputs!$F$174)/(AB8+AB9)/100,0)</f>
        <v/>
      </c>
      <c r="AC24" s="6">
        <f>IF(AC8+AC9&gt;0,(AC8*Inputs!$F$175+AC9*Inputs!$F$174)/(AC8+AC9)/100,0)</f>
        <v/>
      </c>
      <c r="AD24" s="6">
        <f>IF(AD8+AD9&gt;0,(AD8*Inputs!$F$175+AD9*Inputs!$F$174)/(AD8+AD9)/100,0)</f>
        <v/>
      </c>
      <c r="AE24" s="6">
        <f>IF(AE8+AE9&gt;0,(AE8*Inputs!$F$175+AE9*Inputs!$F$174)/(AE8+AE9)/100,0)</f>
        <v/>
      </c>
      <c r="AF24" s="6">
        <f>IF(AF8+AF9&gt;0,(AF8*Inputs!$F$175+AF9*Inputs!$F$174)/(AF8+AF9)/100,0)</f>
        <v/>
      </c>
      <c r="AG24" s="6">
        <f>IF(AG8+AG9&gt;0,(AG8*Inputs!$F$175+AG9*Inputs!$F$174)/(AG8+AG9)/100,0)</f>
        <v/>
      </c>
      <c r="AH24" s="6">
        <f>IF(AH8+AH9&gt;0,(AH8*Inputs!$F$175+AH9*Inputs!$F$174)/(AH8+AH9)/100,0)</f>
        <v/>
      </c>
      <c r="AI24" s="6">
        <f>IF(AI8+AI9&gt;0,(AI8*Inputs!$F$175+AI9*Inputs!$F$174)/(AI8+AI9)/100,0)</f>
        <v/>
      </c>
      <c r="AJ24" s="6">
        <f>IF(AJ8+AJ9&gt;0,(AJ8*Inputs!$F$175+AJ9*Inputs!$F$174)/(AJ8+AJ9)/100,0)</f>
        <v/>
      </c>
      <c r="AK24" s="6">
        <f>IF(AK8+AK9&gt;0,(AK8*Inputs!$F$175+AK9*Inputs!$F$174)/(AK8+AK9)/100,0)</f>
        <v/>
      </c>
      <c r="AL24" s="6">
        <f>IF(AL8+AL9&gt;0,(AL8*Inputs!$F$175+AL9*Inputs!$F$174)/(AL8+AL9)/100,0)</f>
        <v/>
      </c>
      <c r="AM24" s="6">
        <f>IF(AM8+AM9&gt;0,(AM8*Inputs!$F$175+AM9*Inputs!$F$174)/(AM8+AM9)/100,0)</f>
        <v/>
      </c>
      <c r="AN24" s="6">
        <f>IF(AN8+AN9&gt;0,(AN8*Inputs!$F$175+AN9*Inputs!$F$174)/(AN8+AN9)/100,0)</f>
        <v/>
      </c>
      <c r="AO24" s="6">
        <f>IF(AO8+AO9&gt;0,(AO8*Inputs!$F$175+AO9*Inputs!$F$174)/(AO8+AO9)/100,0)</f>
        <v/>
      </c>
      <c r="AP24" s="6">
        <f>IF(AP8+AP9&gt;0,(AP8*Inputs!$F$175+AP9*Inputs!$F$174)/(AP8+AP9)/100,0)</f>
        <v/>
      </c>
      <c r="AQ24" s="6">
        <f>IF(AQ8+AQ9&gt;0,(AQ8*Inputs!$F$175+AQ9*Inputs!$F$174)/(AQ8+AQ9)/100,0)</f>
        <v/>
      </c>
      <c r="AR24" s="6">
        <f>IF(AR8+AR9&gt;0,(AR8*Inputs!$F$175+AR9*Inputs!$F$174)/(AR8+AR9)/100,0)</f>
        <v/>
      </c>
      <c r="AS24" s="6">
        <f>IF(AS8+AS9&gt;0,(AS8*Inputs!$F$175+AS9*Inputs!$F$174)/(AS8+AS9)/100,0)</f>
        <v/>
      </c>
      <c r="AT24" s="6">
        <f>IF(AT8+AT9&gt;0,(AT8*Inputs!$F$175+AT9*Inputs!$F$174)/(AT8+AT9)/100,0)</f>
        <v/>
      </c>
      <c r="AU24" s="6">
        <f>IF(AU8+AU9&gt;0,(AU8*Inputs!$F$175+AU9*Inputs!$F$174)/(AU8+AU9)/100,0)</f>
        <v/>
      </c>
      <c r="AV24" s="6">
        <f>IF(AV8+AV9&gt;0,(AV8*Inputs!$F$175+AV9*Inputs!$F$174)/(AV8+AV9)/100,0)</f>
        <v/>
      </c>
      <c r="AW24" s="6">
        <f>IF(AW8+AW9&gt;0,(AW8*Inputs!$F$175+AW9*Inputs!$F$174)/(AW8+AW9)/100,0)</f>
        <v/>
      </c>
      <c r="AX24" s="6">
        <f>IF(AX8+AX9&gt;0,(AX8*Inputs!$F$175+AX9*Inputs!$F$174)/(AX8+AX9)/100,0)</f>
        <v/>
      </c>
      <c r="AY24" s="6">
        <f>IF(AY8+AY9&gt;0,(AY8*Inputs!$F$175+AY9*Inputs!$F$174)/(AY8+AY9)/100,0)</f>
        <v/>
      </c>
      <c r="AZ24" s="6">
        <f>IF(AZ8+AZ9&gt;0,(AZ8*Inputs!$F$175+AZ9*Inputs!$F$174)/(AZ8+AZ9)/100,0)</f>
        <v/>
      </c>
      <c r="BA24" s="6">
        <f>IF(BA8+BA9&gt;0,(BA8*Inputs!$F$175+BA9*Inputs!$F$174)/(BA8+BA9)/100,0)</f>
        <v/>
      </c>
      <c r="BB24" s="6">
        <f>IF(BB8+BB9&gt;0,(BB8*Inputs!$F$175+BB9*Inputs!$F$174)/(BB8+BB9)/100,0)</f>
        <v/>
      </c>
      <c r="BC24" s="6">
        <f>IF(BC8+BC9&gt;0,(BC8*Inputs!$F$175+BC9*Inputs!$F$174)/(BC8+BC9)/100,0)</f>
        <v/>
      </c>
      <c r="BD24" s="6">
        <f>IF(BD8+BD9&gt;0,(BD8*Inputs!$F$175+BD9*Inputs!$F$174)/(BD8+BD9)/100,0)</f>
        <v/>
      </c>
      <c r="BE24" s="6">
        <f>IF(BE8+BE9&gt;0,(BE8*Inputs!$F$175+BE9*Inputs!$F$174)/(BE8+BE9)/100,0)</f>
        <v/>
      </c>
      <c r="BF24" s="6">
        <f>IF(BF8+BF9&gt;0,(BF8*Inputs!$F$175+BF9*Inputs!$F$174)/(BF8+BF9)/100,0)</f>
        <v/>
      </c>
      <c r="BG24" s="6">
        <f>IF(BG8+BG9&gt;0,(BG8*Inputs!$F$175+BG9*Inputs!$F$174)/(BG8+BG9)/100,0)</f>
        <v/>
      </c>
      <c r="BH24" s="6">
        <f>IF(BH8+BH9&gt;0,(BH8*Inputs!$F$175+BH9*Inputs!$F$174)/(BH8+BH9)/100,0)</f>
        <v/>
      </c>
      <c r="BI24" s="6">
        <f>IF(BI8+BI9&gt;0,(BI8*Inputs!$F$175+BI9*Inputs!$F$174)/(BI8+BI9)/100,0)</f>
        <v/>
      </c>
      <c r="BJ24" s="6">
        <f>IF(BJ8+BJ9&gt;0,(BJ8*Inputs!$F$175+BJ9*Inputs!$F$174)/(BJ8+BJ9)/100,0)</f>
        <v/>
      </c>
      <c r="BK24" s="6">
        <f>IF(BK8+BK9&gt;0,(BK8*Inputs!$F$175+BK9*Inputs!$F$174)/(BK8+BK9)/100,0)</f>
        <v/>
      </c>
      <c r="BL24" s="6">
        <f>IF(BL8+BL9&gt;0,(BL8*Inputs!$F$175+BL9*Inputs!$F$174)/(BL8+BL9)/100,0)</f>
        <v/>
      </c>
      <c r="BM24" s="6">
        <f>IF(BM8+BM9&gt;0,(BM8*Inputs!$F$175+BM9*Inputs!$F$174)/(BM8+BM9)/100,0)</f>
        <v/>
      </c>
      <c r="BN24" s="6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3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IF(Debt!J114&gt;Inputs!$F$253,J7/Debt!J114,0)</f>
        <v/>
      </c>
      <c r="K17" s="6">
        <f>IF(Debt!K114&gt;Inputs!$F$253,K7/Debt!K114,0)</f>
        <v/>
      </c>
      <c r="L17" s="6">
        <f>IF(Debt!L114&gt;Inputs!$F$253,L7/Debt!L114,0)</f>
        <v/>
      </c>
      <c r="M17" s="6">
        <f>IF(Debt!M114&gt;Inputs!$F$253,M7/Debt!M114,0)</f>
        <v/>
      </c>
      <c r="N17" s="6">
        <f>IF(Debt!N114&gt;Inputs!$F$253,N7/Debt!N114,0)</f>
        <v/>
      </c>
      <c r="O17" s="6">
        <f>IF(Debt!O114&gt;Inputs!$F$253,O7/Debt!O114,0)</f>
        <v/>
      </c>
      <c r="P17" s="6">
        <f>IF(Debt!P114&gt;Inputs!$F$253,P7/Debt!P114,0)</f>
        <v/>
      </c>
      <c r="Q17" s="6">
        <f>IF(Debt!Q114&gt;Inputs!$F$253,Q7/Debt!Q114,0)</f>
        <v/>
      </c>
      <c r="R17" s="6">
        <f>IF(Debt!R114&gt;Inputs!$F$253,R7/Debt!R114,0)</f>
        <v/>
      </c>
      <c r="S17" s="6">
        <f>IF(Debt!S114&gt;Inputs!$F$253,S7/Debt!S114,0)</f>
        <v/>
      </c>
      <c r="T17" s="6">
        <f>IF(Debt!T114&gt;Inputs!$F$253,T7/Debt!T114,0)</f>
        <v/>
      </c>
      <c r="U17" s="6">
        <f>IF(Debt!U114&gt;Inputs!$F$253,U7/Debt!U114,0)</f>
        <v/>
      </c>
      <c r="V17" s="6">
        <f>IF(Debt!V114&gt;Inputs!$F$253,V7/Debt!V114,0)</f>
        <v/>
      </c>
      <c r="W17" s="6">
        <f>IF(Debt!W114&gt;Inputs!$F$253,W7/Debt!W114,0)</f>
        <v/>
      </c>
      <c r="X17" s="6">
        <f>IF(Debt!X114&gt;Inputs!$F$253,X7/Debt!X114,0)</f>
        <v/>
      </c>
      <c r="Y17" s="6">
        <f>IF(Debt!Y114&gt;Inputs!$F$253,Y7/Debt!Y114,0)</f>
        <v/>
      </c>
      <c r="Z17" s="6">
        <f>IF(Debt!Z114&gt;Inputs!$F$253,Z7/Debt!Z114,0)</f>
        <v/>
      </c>
      <c r="AA17" s="6">
        <f>IF(Debt!AA114&gt;Inputs!$F$253,AA7/Debt!AA114,0)</f>
        <v/>
      </c>
      <c r="AB17" s="6">
        <f>IF(Debt!AB114&gt;Inputs!$F$253,AB7/Debt!AB114,0)</f>
        <v/>
      </c>
      <c r="AC17" s="6">
        <f>IF(Debt!AC114&gt;Inputs!$F$253,AC7/Debt!AC114,0)</f>
        <v/>
      </c>
      <c r="AD17" s="6">
        <f>IF(Debt!AD114&gt;Inputs!$F$253,AD7/Debt!AD114,0)</f>
        <v/>
      </c>
      <c r="AE17" s="6">
        <f>IF(Debt!AE114&gt;Inputs!$F$253,AE7/Debt!AE114,0)</f>
        <v/>
      </c>
      <c r="AF17" s="6">
        <f>IF(Debt!AF114&gt;Inputs!$F$253,AF7/Debt!AF114,0)</f>
        <v/>
      </c>
      <c r="AG17" s="6">
        <f>IF(Debt!AG114&gt;Inputs!$F$253,AG7/Debt!AG114,0)</f>
        <v/>
      </c>
      <c r="AH17" s="6">
        <f>IF(Debt!AH114&gt;Inputs!$F$253,AH7/Debt!AH114,0)</f>
        <v/>
      </c>
      <c r="AI17" s="6">
        <f>IF(Debt!AI114&gt;Inputs!$F$253,AI7/Debt!AI114,0)</f>
        <v/>
      </c>
      <c r="AJ17" s="6">
        <f>IF(Debt!AJ114&gt;Inputs!$F$253,AJ7/Debt!AJ114,0)</f>
        <v/>
      </c>
      <c r="AK17" s="6">
        <f>IF(Debt!AK114&gt;Inputs!$F$253,AK7/Debt!AK114,0)</f>
        <v/>
      </c>
      <c r="AL17" s="6">
        <f>IF(Debt!AL114&gt;Inputs!$F$253,AL7/Debt!AL114,0)</f>
        <v/>
      </c>
      <c r="AM17" s="6">
        <f>IF(Debt!AM114&gt;Inputs!$F$253,AM7/Debt!AM114,0)</f>
        <v/>
      </c>
      <c r="AN17" s="6">
        <f>IF(Debt!AN114&gt;Inputs!$F$253,AN7/Debt!AN114,0)</f>
        <v/>
      </c>
      <c r="AO17" s="6">
        <f>IF(Debt!AO114&gt;Inputs!$F$253,AO7/Debt!AO114,0)</f>
        <v/>
      </c>
      <c r="AP17" s="6">
        <f>IF(Debt!AP114&gt;Inputs!$F$253,AP7/Debt!AP114,0)</f>
        <v/>
      </c>
      <c r="AQ17" s="6">
        <f>IF(Debt!AQ114&gt;Inputs!$F$253,AQ7/Debt!AQ114,0)</f>
        <v/>
      </c>
      <c r="AR17" s="6">
        <f>IF(Debt!AR114&gt;Inputs!$F$253,AR7/Debt!AR114,0)</f>
        <v/>
      </c>
      <c r="AS17" s="6">
        <f>IF(Debt!AS114&gt;Inputs!$F$253,AS7/Debt!AS114,0)</f>
        <v/>
      </c>
      <c r="AT17" s="6">
        <f>IF(Debt!AT114&gt;Inputs!$F$253,AT7/Debt!AT114,0)</f>
        <v/>
      </c>
      <c r="AU17" s="6">
        <f>IF(Debt!AU114&gt;Inputs!$F$253,AU7/Debt!AU114,0)</f>
        <v/>
      </c>
      <c r="AV17" s="6">
        <f>IF(Debt!AV114&gt;Inputs!$F$253,AV7/Debt!AV114,0)</f>
        <v/>
      </c>
      <c r="AW17" s="6">
        <f>IF(Debt!AW114&gt;Inputs!$F$253,AW7/Debt!AW114,0)</f>
        <v/>
      </c>
      <c r="AX17" s="6">
        <f>IF(Debt!AX114&gt;Inputs!$F$253,AX7/Debt!AX114,0)</f>
        <v/>
      </c>
      <c r="AY17" s="6">
        <f>IF(Debt!AY114&gt;Inputs!$F$253,AY7/Debt!AY114,0)</f>
        <v/>
      </c>
      <c r="AZ17" s="6">
        <f>IF(Debt!AZ114&gt;Inputs!$F$253,AZ7/Debt!AZ114,0)</f>
        <v/>
      </c>
      <c r="BA17" s="6">
        <f>IF(Debt!BA114&gt;Inputs!$F$253,BA7/Debt!BA114,0)</f>
        <v/>
      </c>
      <c r="BB17" s="6">
        <f>IF(Debt!BB114&gt;Inputs!$F$253,BB7/Debt!BB114,0)</f>
        <v/>
      </c>
      <c r="BC17" s="6">
        <f>IF(Debt!BC114&gt;Inputs!$F$253,BC7/Debt!BC114,0)</f>
        <v/>
      </c>
      <c r="BD17" s="6">
        <f>IF(Debt!BD114&gt;Inputs!$F$253,BD7/Debt!BD114,0)</f>
        <v/>
      </c>
      <c r="BE17" s="6">
        <f>IF(Debt!BE114&gt;Inputs!$F$253,BE7/Debt!BE114,0)</f>
        <v/>
      </c>
      <c r="BF17" s="6">
        <f>IF(Debt!BF114&gt;Inputs!$F$253,BF7/Debt!BF114,0)</f>
        <v/>
      </c>
      <c r="BG17" s="6">
        <f>IF(Debt!BG114&gt;Inputs!$F$253,BG7/Debt!BG114,0)</f>
        <v/>
      </c>
      <c r="BH17" s="6">
        <f>IF(Debt!BH114&gt;Inputs!$F$253,BH7/Debt!BH114,0)</f>
        <v/>
      </c>
      <c r="BI17" s="6">
        <f>IF(Debt!BI114&gt;Inputs!$F$253,BI7/Debt!BI114,0)</f>
        <v/>
      </c>
      <c r="BJ17" s="6">
        <f>IF(Debt!BJ114&gt;Inputs!$F$253,BJ7/Debt!BJ114,0)</f>
        <v/>
      </c>
      <c r="BK17" s="6">
        <f>IF(Debt!BK114&gt;Inputs!$F$253,BK7/Debt!BK114,0)</f>
        <v/>
      </c>
      <c r="BL17" s="6">
        <f>IF(Debt!BL114&gt;Inputs!$F$253,BL7/Debt!BL114,0)</f>
        <v/>
      </c>
      <c r="BM17" s="6">
        <f>IF(Debt!BM114&gt;Inputs!$F$253,BM7/Debt!BM114,0)</f>
        <v/>
      </c>
      <c r="BN17" s="6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IF(Debt!J114&gt;Inputs!$F$253,IF(Debt!I114&gt;Inputs!$F$253,(J7+I7)/(Debt!J114+Debt!I114),J17),0)</f>
        <v/>
      </c>
      <c r="K18" s="6">
        <f>IF(Debt!K114&gt;Inputs!$F$253,IF(Debt!J114&gt;Inputs!$F$253,(K7+J7)/(Debt!K114+Debt!J114),K17),0)</f>
        <v/>
      </c>
      <c r="L18" s="6">
        <f>IF(Debt!L114&gt;Inputs!$F$253,IF(Debt!K114&gt;Inputs!$F$253,(L7+K7)/(Debt!L114+Debt!K114),L17),0)</f>
        <v/>
      </c>
      <c r="M18" s="6">
        <f>IF(Debt!M114&gt;Inputs!$F$253,IF(Debt!L114&gt;Inputs!$F$253,(M7+L7)/(Debt!M114+Debt!L114),M17),0)</f>
        <v/>
      </c>
      <c r="N18" s="6">
        <f>IF(Debt!N114&gt;Inputs!$F$253,IF(Debt!M114&gt;Inputs!$F$253,(N7+M7)/(Debt!N114+Debt!M114),N17),0)</f>
        <v/>
      </c>
      <c r="O18" s="6">
        <f>IF(Debt!O114&gt;Inputs!$F$253,IF(Debt!N114&gt;Inputs!$F$253,(O7+N7)/(Debt!O114+Debt!N114),O17),0)</f>
        <v/>
      </c>
      <c r="P18" s="6">
        <f>IF(Debt!P114&gt;Inputs!$F$253,IF(Debt!O114&gt;Inputs!$F$253,(P7+O7)/(Debt!P114+Debt!O114),P17),0)</f>
        <v/>
      </c>
      <c r="Q18" s="6">
        <f>IF(Debt!Q114&gt;Inputs!$F$253,IF(Debt!P114&gt;Inputs!$F$253,(Q7+P7)/(Debt!Q114+Debt!P114),Q17),0)</f>
        <v/>
      </c>
      <c r="R18" s="6">
        <f>IF(Debt!R114&gt;Inputs!$F$253,IF(Debt!Q114&gt;Inputs!$F$253,(R7+Q7)/(Debt!R114+Debt!Q114),R17),0)</f>
        <v/>
      </c>
      <c r="S18" s="6">
        <f>IF(Debt!S114&gt;Inputs!$F$253,IF(Debt!R114&gt;Inputs!$F$253,(S7+R7)/(Debt!S114+Debt!R114),S17),0)</f>
        <v/>
      </c>
      <c r="T18" s="6">
        <f>IF(Debt!T114&gt;Inputs!$F$253,IF(Debt!S114&gt;Inputs!$F$253,(T7+S7)/(Debt!T114+Debt!S114),T17),0)</f>
        <v/>
      </c>
      <c r="U18" s="6">
        <f>IF(Debt!U114&gt;Inputs!$F$253,IF(Debt!T114&gt;Inputs!$F$253,(U7+T7)/(Debt!U114+Debt!T114),U17),0)</f>
        <v/>
      </c>
      <c r="V18" s="6">
        <f>IF(Debt!V114&gt;Inputs!$F$253,IF(Debt!U114&gt;Inputs!$F$253,(V7+U7)/(Debt!V114+Debt!U114),V17),0)</f>
        <v/>
      </c>
      <c r="W18" s="6">
        <f>IF(Debt!W114&gt;Inputs!$F$253,IF(Debt!V114&gt;Inputs!$F$253,(W7+V7)/(Debt!W114+Debt!V114),W17),0)</f>
        <v/>
      </c>
      <c r="X18" s="6">
        <f>IF(Debt!X114&gt;Inputs!$F$253,IF(Debt!W114&gt;Inputs!$F$253,(X7+W7)/(Debt!X114+Debt!W114),X17),0)</f>
        <v/>
      </c>
      <c r="Y18" s="6">
        <f>IF(Debt!Y114&gt;Inputs!$F$253,IF(Debt!X114&gt;Inputs!$F$253,(Y7+X7)/(Debt!Y114+Debt!X114),Y17),0)</f>
        <v/>
      </c>
      <c r="Z18" s="6">
        <f>IF(Debt!Z114&gt;Inputs!$F$253,IF(Debt!Y114&gt;Inputs!$F$253,(Z7+Y7)/(Debt!Z114+Debt!Y114),Z17),0)</f>
        <v/>
      </c>
      <c r="AA18" s="6">
        <f>IF(Debt!AA114&gt;Inputs!$F$253,IF(Debt!Z114&gt;Inputs!$F$253,(AA7+Z7)/(Debt!AA114+Debt!Z114),AA17),0)</f>
        <v/>
      </c>
      <c r="AB18" s="6">
        <f>IF(Debt!AB114&gt;Inputs!$F$253,IF(Debt!AA114&gt;Inputs!$F$253,(AB7+AA7)/(Debt!AB114+Debt!AA114),AB17),0)</f>
        <v/>
      </c>
      <c r="AC18" s="6">
        <f>IF(Debt!AC114&gt;Inputs!$F$253,IF(Debt!AB114&gt;Inputs!$F$253,(AC7+AB7)/(Debt!AC114+Debt!AB114),AC17),0)</f>
        <v/>
      </c>
      <c r="AD18" s="6">
        <f>IF(Debt!AD114&gt;Inputs!$F$253,IF(Debt!AC114&gt;Inputs!$F$253,(AD7+AC7)/(Debt!AD114+Debt!AC114),AD17),0)</f>
        <v/>
      </c>
      <c r="AE18" s="6">
        <f>IF(Debt!AE114&gt;Inputs!$F$253,IF(Debt!AD114&gt;Inputs!$F$253,(AE7+AD7)/(Debt!AE114+Debt!AD114),AE17),0)</f>
        <v/>
      </c>
      <c r="AF18" s="6">
        <f>IF(Debt!AF114&gt;Inputs!$F$253,IF(Debt!AE114&gt;Inputs!$F$253,(AF7+AE7)/(Debt!AF114+Debt!AE114),AF17),0)</f>
        <v/>
      </c>
      <c r="AG18" s="6">
        <f>IF(Debt!AG114&gt;Inputs!$F$253,IF(Debt!AF114&gt;Inputs!$F$253,(AG7+AF7)/(Debt!AG114+Debt!AF114),AG17),0)</f>
        <v/>
      </c>
      <c r="AH18" s="6">
        <f>IF(Debt!AH114&gt;Inputs!$F$253,IF(Debt!AG114&gt;Inputs!$F$253,(AH7+AG7)/(Debt!AH114+Debt!AG114),AH17),0)</f>
        <v/>
      </c>
      <c r="AI18" s="6">
        <f>IF(Debt!AI114&gt;Inputs!$F$253,IF(Debt!AH114&gt;Inputs!$F$253,(AI7+AH7)/(Debt!AI114+Debt!AH114),AI17),0)</f>
        <v/>
      </c>
      <c r="AJ18" s="6">
        <f>IF(Debt!AJ114&gt;Inputs!$F$253,IF(Debt!AI114&gt;Inputs!$F$253,(AJ7+AI7)/(Debt!AJ114+Debt!AI114),AJ17),0)</f>
        <v/>
      </c>
      <c r="AK18" s="6">
        <f>IF(Debt!AK114&gt;Inputs!$F$253,IF(Debt!AJ114&gt;Inputs!$F$253,(AK7+AJ7)/(Debt!AK114+Debt!AJ114),AK17),0)</f>
        <v/>
      </c>
      <c r="AL18" s="6">
        <f>IF(Debt!AL114&gt;Inputs!$F$253,IF(Debt!AK114&gt;Inputs!$F$253,(AL7+AK7)/(Debt!AL114+Debt!AK114),AL17),0)</f>
        <v/>
      </c>
      <c r="AM18" s="6">
        <f>IF(Debt!AM114&gt;Inputs!$F$253,IF(Debt!AL114&gt;Inputs!$F$253,(AM7+AL7)/(Debt!AM114+Debt!AL114),AM17),0)</f>
        <v/>
      </c>
      <c r="AN18" s="6">
        <f>IF(Debt!AN114&gt;Inputs!$F$253,IF(Debt!AM114&gt;Inputs!$F$253,(AN7+AM7)/(Debt!AN114+Debt!AM114),AN17),0)</f>
        <v/>
      </c>
      <c r="AO18" s="6">
        <f>IF(Debt!AO114&gt;Inputs!$F$253,IF(Debt!AN114&gt;Inputs!$F$253,(AO7+AN7)/(Debt!AO114+Debt!AN114),AO17),0)</f>
        <v/>
      </c>
      <c r="AP18" s="6">
        <f>IF(Debt!AP114&gt;Inputs!$F$253,IF(Debt!AO114&gt;Inputs!$F$253,(AP7+AO7)/(Debt!AP114+Debt!AO114),AP17),0)</f>
        <v/>
      </c>
      <c r="AQ18" s="6">
        <f>IF(Debt!AQ114&gt;Inputs!$F$253,IF(Debt!AP114&gt;Inputs!$F$253,(AQ7+AP7)/(Debt!AQ114+Debt!AP114),AQ17),0)</f>
        <v/>
      </c>
      <c r="AR18" s="6">
        <f>IF(Debt!AR114&gt;Inputs!$F$253,IF(Debt!AQ114&gt;Inputs!$F$253,(AR7+AQ7)/(Debt!AR114+Debt!AQ114),AR17),0)</f>
        <v/>
      </c>
      <c r="AS18" s="6">
        <f>IF(Debt!AS114&gt;Inputs!$F$253,IF(Debt!AR114&gt;Inputs!$F$253,(AS7+AR7)/(Debt!AS114+Debt!AR114),AS17),0)</f>
        <v/>
      </c>
      <c r="AT18" s="6">
        <f>IF(Debt!AT114&gt;Inputs!$F$253,IF(Debt!AS114&gt;Inputs!$F$253,(AT7+AS7)/(Debt!AT114+Debt!AS114),AT17),0)</f>
        <v/>
      </c>
      <c r="AU18" s="6">
        <f>IF(Debt!AU114&gt;Inputs!$F$253,IF(Debt!AT114&gt;Inputs!$F$253,(AU7+AT7)/(Debt!AU114+Debt!AT114),AU17),0)</f>
        <v/>
      </c>
      <c r="AV18" s="6">
        <f>IF(Debt!AV114&gt;Inputs!$F$253,IF(Debt!AU114&gt;Inputs!$F$253,(AV7+AU7)/(Debt!AV114+Debt!AU114),AV17),0)</f>
        <v/>
      </c>
      <c r="AW18" s="6">
        <f>IF(Debt!AW114&gt;Inputs!$F$253,IF(Debt!AV114&gt;Inputs!$F$253,(AW7+AV7)/(Debt!AW114+Debt!AV114),AW17),0)</f>
        <v/>
      </c>
      <c r="AX18" s="6">
        <f>IF(Debt!AX114&gt;Inputs!$F$253,IF(Debt!AW114&gt;Inputs!$F$253,(AX7+AW7)/(Debt!AX114+Debt!AW114),AX17),0)</f>
        <v/>
      </c>
      <c r="AY18" s="6">
        <f>IF(Debt!AY114&gt;Inputs!$F$253,IF(Debt!AX114&gt;Inputs!$F$253,(AY7+AX7)/(Debt!AY114+Debt!AX114),AY17),0)</f>
        <v/>
      </c>
      <c r="AZ18" s="6">
        <f>IF(Debt!AZ114&gt;Inputs!$F$253,IF(Debt!AY114&gt;Inputs!$F$253,(AZ7+AY7)/(Debt!AZ114+Debt!AY114),AZ17),0)</f>
        <v/>
      </c>
      <c r="BA18" s="6">
        <f>IF(Debt!BA114&gt;Inputs!$F$253,IF(Debt!AZ114&gt;Inputs!$F$253,(BA7+AZ7)/(Debt!BA114+Debt!AZ114),BA17),0)</f>
        <v/>
      </c>
      <c r="BB18" s="6">
        <f>IF(Debt!BB114&gt;Inputs!$F$253,IF(Debt!BA114&gt;Inputs!$F$253,(BB7+BA7)/(Debt!BB114+Debt!BA114),BB17),0)</f>
        <v/>
      </c>
      <c r="BC18" s="6">
        <f>IF(Debt!BC114&gt;Inputs!$F$253,IF(Debt!BB114&gt;Inputs!$F$253,(BC7+BB7)/(Debt!BC114+Debt!BB114),BC17),0)</f>
        <v/>
      </c>
      <c r="BD18" s="6">
        <f>IF(Debt!BD114&gt;Inputs!$F$253,IF(Debt!BC114&gt;Inputs!$F$253,(BD7+BC7)/(Debt!BD114+Debt!BC114),BD17),0)</f>
        <v/>
      </c>
      <c r="BE18" s="6">
        <f>IF(Debt!BE114&gt;Inputs!$F$253,IF(Debt!BD114&gt;Inputs!$F$253,(BE7+BD7)/(Debt!BE114+Debt!BD114),BE17),0)</f>
        <v/>
      </c>
      <c r="BF18" s="6">
        <f>IF(Debt!BF114&gt;Inputs!$F$253,IF(Debt!BE114&gt;Inputs!$F$253,(BF7+BE7)/(Debt!BF114+Debt!BE114),BF17),0)</f>
        <v/>
      </c>
      <c r="BG18" s="6">
        <f>IF(Debt!BG114&gt;Inputs!$F$253,IF(Debt!BF114&gt;Inputs!$F$253,(BG7+BF7)/(Debt!BG114+Debt!BF114),BG17),0)</f>
        <v/>
      </c>
      <c r="BH18" s="6">
        <f>IF(Debt!BH114&gt;Inputs!$F$253,IF(Debt!BG114&gt;Inputs!$F$253,(BH7+BG7)/(Debt!BH114+Debt!BG114),BH17),0)</f>
        <v/>
      </c>
      <c r="BI18" s="6">
        <f>IF(Debt!BI114&gt;Inputs!$F$253,IF(Debt!BH114&gt;Inputs!$F$253,(BI7+BH7)/(Debt!BI114+Debt!BH114),BI17),0)</f>
        <v/>
      </c>
      <c r="BJ18" s="6">
        <f>IF(Debt!BJ114&gt;Inputs!$F$253,IF(Debt!BI114&gt;Inputs!$F$253,(BJ7+BI7)/(Debt!BJ114+Debt!BI114),BJ17),0)</f>
        <v/>
      </c>
      <c r="BK18" s="6">
        <f>IF(Debt!BK114&gt;Inputs!$F$253,IF(Debt!BJ114&gt;Inputs!$F$253,(BK7+BJ7)/(Debt!BK114+Debt!BJ114),BK17),0)</f>
        <v/>
      </c>
      <c r="BL18" s="6">
        <f>IF(Debt!BL114&gt;Inputs!$F$253,IF(Debt!BK114&gt;Inputs!$F$253,(BL7+BK7)/(Debt!BL114+Debt!BK114),BL17),0)</f>
        <v/>
      </c>
      <c r="BM18" s="6">
        <f>IF(Debt!BM114&gt;Inputs!$F$253,IF(Debt!BL114&gt;Inputs!$F$253,(BM7+BL7)/(Debt!BM114+Debt!BL114),BM17),0)</f>
        <v/>
      </c>
      <c r="BN18" s="6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10">
        <f>IF(SUM(Debt!J$113:J$113)&gt;Inputs!$F$253,1,0)</f>
        <v/>
      </c>
      <c r="K19" s="10">
        <f>IF(SUM(Debt!$J$113:K$113)&gt;Inputs!$F$253,1,0)</f>
        <v/>
      </c>
      <c r="L19" s="10">
        <f>IF(SUM(Debt!$J$113:L$113)&gt;Inputs!$F$253,1,0)</f>
        <v/>
      </c>
      <c r="M19" s="10">
        <f>IF(SUM(Debt!$J$113:M$113)&gt;Inputs!$F$253,1,0)</f>
        <v/>
      </c>
      <c r="N19" s="10">
        <f>IF(SUM(Debt!$J$113:N$113)&gt;Inputs!$F$253,1,0)</f>
        <v/>
      </c>
      <c r="O19" s="10">
        <f>IF(SUM(Debt!$J$113:O$113)&gt;Inputs!$F$253,1,0)</f>
        <v/>
      </c>
      <c r="P19" s="10">
        <f>IF(SUM(Debt!$J$113:P$113)&gt;Inputs!$F$253,1,0)</f>
        <v/>
      </c>
      <c r="Q19" s="10">
        <f>IF(SUM(Debt!$J$113:Q$113)&gt;Inputs!$F$253,1,0)</f>
        <v/>
      </c>
      <c r="R19" s="10">
        <f>IF(SUM(Debt!$J$113:R$113)&gt;Inputs!$F$253,1,0)</f>
        <v/>
      </c>
      <c r="S19" s="10">
        <f>IF(SUM(Debt!$J$113:S$113)&gt;Inputs!$F$253,1,0)</f>
        <v/>
      </c>
      <c r="T19" s="10">
        <f>IF(SUM(Debt!$J$113:T$113)&gt;Inputs!$F$253,1,0)</f>
        <v/>
      </c>
      <c r="U19" s="10">
        <f>IF(SUM(Debt!$J$113:U$113)&gt;Inputs!$F$253,1,0)</f>
        <v/>
      </c>
      <c r="V19" s="10">
        <f>IF(SUM(Debt!$J$113:V$113)&gt;Inputs!$F$253,1,0)</f>
        <v/>
      </c>
      <c r="W19" s="10">
        <f>IF(SUM(Debt!$J$113:W$113)&gt;Inputs!$F$253,1,0)</f>
        <v/>
      </c>
      <c r="X19" s="10">
        <f>IF(SUM(Debt!$J$113:X$113)&gt;Inputs!$F$253,1,0)</f>
        <v/>
      </c>
      <c r="Y19" s="10">
        <f>IF(SUM(Debt!$J$113:Y$113)&gt;Inputs!$F$253,1,0)</f>
        <v/>
      </c>
      <c r="Z19" s="10">
        <f>IF(SUM(Debt!$J$113:Z$113)&gt;Inputs!$F$253,1,0)</f>
        <v/>
      </c>
      <c r="AA19" s="10">
        <f>IF(SUM(Debt!$J$113:AA$113)&gt;Inputs!$F$253,1,0)</f>
        <v/>
      </c>
      <c r="AB19" s="10">
        <f>IF(SUM(Debt!$J$113:AB$113)&gt;Inputs!$F$253,1,0)</f>
        <v/>
      </c>
      <c r="AC19" s="10">
        <f>IF(SUM(Debt!$J$113:AC$113)&gt;Inputs!$F$253,1,0)</f>
        <v/>
      </c>
      <c r="AD19" s="10">
        <f>IF(SUM(Debt!$J$113:AD$113)&gt;Inputs!$F$253,1,0)</f>
        <v/>
      </c>
      <c r="AE19" s="10">
        <f>IF(SUM(Debt!$J$113:AE$113)&gt;Inputs!$F$253,1,0)</f>
        <v/>
      </c>
      <c r="AF19" s="10">
        <f>IF(SUM(Debt!$J$113:AF$113)&gt;Inputs!$F$253,1,0)</f>
        <v/>
      </c>
      <c r="AG19" s="10">
        <f>IF(SUM(Debt!$J$113:AG$113)&gt;Inputs!$F$253,1,0)</f>
        <v/>
      </c>
      <c r="AH19" s="10">
        <f>IF(SUM(Debt!$J$113:AH$113)&gt;Inputs!$F$253,1,0)</f>
        <v/>
      </c>
      <c r="AI19" s="10">
        <f>IF(SUM(Debt!$J$113:AI$113)&gt;Inputs!$F$253,1,0)</f>
        <v/>
      </c>
      <c r="AJ19" s="10">
        <f>IF(SUM(Debt!$J$113:AJ$113)&gt;Inputs!$F$253,1,0)</f>
        <v/>
      </c>
      <c r="AK19" s="10">
        <f>IF(SUM(Debt!$J$113:AK$113)&gt;Inputs!$F$253,1,0)</f>
        <v/>
      </c>
      <c r="AL19" s="10">
        <f>IF(SUM(Debt!$J$113:AL$113)&gt;Inputs!$F$253,1,0)</f>
        <v/>
      </c>
      <c r="AM19" s="10">
        <f>IF(SUM(Debt!$J$113:AM$113)&gt;Inputs!$F$253,1,0)</f>
        <v/>
      </c>
      <c r="AN19" s="10">
        <f>IF(SUM(Debt!$J$113:AN$113)&gt;Inputs!$F$253,1,0)</f>
        <v/>
      </c>
      <c r="AO19" s="10">
        <f>IF(SUM(Debt!$J$113:AO$113)&gt;Inputs!$F$253,1,0)</f>
        <v/>
      </c>
      <c r="AP19" s="10">
        <f>IF(SUM(Debt!$J$113:AP$113)&gt;Inputs!$F$253,1,0)</f>
        <v/>
      </c>
      <c r="AQ19" s="10">
        <f>IF(SUM(Debt!$J$113:AQ$113)&gt;Inputs!$F$253,1,0)</f>
        <v/>
      </c>
      <c r="AR19" s="10">
        <f>IF(SUM(Debt!$J$113:AR$113)&gt;Inputs!$F$253,1,0)</f>
        <v/>
      </c>
      <c r="AS19" s="10">
        <f>IF(SUM(Debt!$J$113:AS$113)&gt;Inputs!$F$253,1,0)</f>
        <v/>
      </c>
      <c r="AT19" s="10">
        <f>IF(SUM(Debt!$J$113:AT$113)&gt;Inputs!$F$253,1,0)</f>
        <v/>
      </c>
      <c r="AU19" s="10">
        <f>IF(SUM(Debt!$J$113:AU$113)&gt;Inputs!$F$253,1,0)</f>
        <v/>
      </c>
      <c r="AV19" s="10">
        <f>IF(SUM(Debt!$J$113:AV$113)&gt;Inputs!$F$253,1,0)</f>
        <v/>
      </c>
      <c r="AW19" s="10">
        <f>IF(SUM(Debt!$J$113:AW$113)&gt;Inputs!$F$253,1,0)</f>
        <v/>
      </c>
      <c r="AX19" s="10">
        <f>IF(SUM(Debt!$J$113:AX$113)&gt;Inputs!$F$253,1,0)</f>
        <v/>
      </c>
      <c r="AY19" s="10">
        <f>IF(SUM(Debt!$J$113:AY$113)&gt;Inputs!$F$253,1,0)</f>
        <v/>
      </c>
      <c r="AZ19" s="10">
        <f>IF(SUM(Debt!$J$113:AZ$113)&gt;Inputs!$F$253,1,0)</f>
        <v/>
      </c>
      <c r="BA19" s="10">
        <f>IF(SUM(Debt!$J$113:BA$113)&gt;Inputs!$F$253,1,0)</f>
        <v/>
      </c>
      <c r="BB19" s="10">
        <f>IF(SUM(Debt!$J$113:BB$113)&gt;Inputs!$F$253,1,0)</f>
        <v/>
      </c>
      <c r="BC19" s="10">
        <f>IF(SUM(Debt!$J$113:BC$113)&gt;Inputs!$F$253,1,0)</f>
        <v/>
      </c>
      <c r="BD19" s="10">
        <f>IF(SUM(Debt!$J$113:BD$113)&gt;Inputs!$F$253,1,0)</f>
        <v/>
      </c>
      <c r="BE19" s="10">
        <f>IF(SUM(Debt!$J$113:BE$113)&gt;Inputs!$F$253,1,0)</f>
        <v/>
      </c>
      <c r="BF19" s="10">
        <f>IF(SUM(Debt!$J$113:BF$113)&gt;Inputs!$F$253,1,0)</f>
        <v/>
      </c>
      <c r="BG19" s="10">
        <f>IF(SUM(Debt!$J$113:BG$113)&gt;Inputs!$F$253,1,0)</f>
        <v/>
      </c>
      <c r="BH19" s="10">
        <f>IF(SUM(Debt!$J$113:BH$113)&gt;Inputs!$F$253,1,0)</f>
        <v/>
      </c>
      <c r="BI19" s="10">
        <f>IF(SUM(Debt!$J$113:BI$113)&gt;Inputs!$F$253,1,0)</f>
        <v/>
      </c>
      <c r="BJ19" s="10">
        <f>IF(SUM(Debt!$J$113:BJ$113)&gt;Inputs!$F$253,1,0)</f>
        <v/>
      </c>
      <c r="BK19" s="10">
        <f>IF(SUM(Debt!$J$113:BK$113)&gt;Inputs!$F$253,1,0)</f>
        <v/>
      </c>
      <c r="BL19" s="10">
        <f>IF(SUM(Debt!$J$113:BL$113)&gt;Inputs!$F$253,1,0)</f>
        <v/>
      </c>
      <c r="BM19" s="10">
        <f>IF(SUM(Debt!$J$113:BM$113)&gt;Inputs!$F$253,1,0)</f>
        <v/>
      </c>
      <c r="BN19" s="10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10">
        <f>IF(AND(Debt!J114&gt;Inputs!$F$253,J18&lt;Inputs!$F$109),1,0)</f>
        <v/>
      </c>
      <c r="K20" s="10">
        <f>IF(AND(Debt!K114&gt;Inputs!$F$253,K18&lt;Inputs!$F$109),1,0)</f>
        <v/>
      </c>
      <c r="L20" s="10">
        <f>IF(AND(Debt!L114&gt;Inputs!$F$253,L18&lt;Inputs!$F$109),1,0)</f>
        <v/>
      </c>
      <c r="M20" s="10">
        <f>IF(AND(Debt!M114&gt;Inputs!$F$253,M18&lt;Inputs!$F$109),1,0)</f>
        <v/>
      </c>
      <c r="N20" s="10">
        <f>IF(AND(Debt!N114&gt;Inputs!$F$253,N18&lt;Inputs!$F$109),1,0)</f>
        <v/>
      </c>
      <c r="O20" s="10">
        <f>IF(AND(Debt!O114&gt;Inputs!$F$253,O18&lt;Inputs!$F$109),1,0)</f>
        <v/>
      </c>
      <c r="P20" s="10">
        <f>IF(AND(Debt!P114&gt;Inputs!$F$253,P18&lt;Inputs!$F$109),1,0)</f>
        <v/>
      </c>
      <c r="Q20" s="10">
        <f>IF(AND(Debt!Q114&gt;Inputs!$F$253,Q18&lt;Inputs!$F$109),1,0)</f>
        <v/>
      </c>
      <c r="R20" s="10">
        <f>IF(AND(Debt!R114&gt;Inputs!$F$253,R18&lt;Inputs!$F$109),1,0)</f>
        <v/>
      </c>
      <c r="S20" s="10">
        <f>IF(AND(Debt!S114&gt;Inputs!$F$253,S18&lt;Inputs!$F$109),1,0)</f>
        <v/>
      </c>
      <c r="T20" s="10">
        <f>IF(AND(Debt!T114&gt;Inputs!$F$253,T18&lt;Inputs!$F$109),1,0)</f>
        <v/>
      </c>
      <c r="U20" s="10">
        <f>IF(AND(Debt!U114&gt;Inputs!$F$253,U18&lt;Inputs!$F$109),1,0)</f>
        <v/>
      </c>
      <c r="V20" s="10">
        <f>IF(AND(Debt!V114&gt;Inputs!$F$253,V18&lt;Inputs!$F$109),1,0)</f>
        <v/>
      </c>
      <c r="W20" s="10">
        <f>IF(AND(Debt!W114&gt;Inputs!$F$253,W18&lt;Inputs!$F$109),1,0)</f>
        <v/>
      </c>
      <c r="X20" s="10">
        <f>IF(AND(Debt!X114&gt;Inputs!$F$253,X18&lt;Inputs!$F$109),1,0)</f>
        <v/>
      </c>
      <c r="Y20" s="10">
        <f>IF(AND(Debt!Y114&gt;Inputs!$F$253,Y18&lt;Inputs!$F$109),1,0)</f>
        <v/>
      </c>
      <c r="Z20" s="10">
        <f>IF(AND(Debt!Z114&gt;Inputs!$F$253,Z18&lt;Inputs!$F$109),1,0)</f>
        <v/>
      </c>
      <c r="AA20" s="10">
        <f>IF(AND(Debt!AA114&gt;Inputs!$F$253,AA18&lt;Inputs!$F$109),1,0)</f>
        <v/>
      </c>
      <c r="AB20" s="10">
        <f>IF(AND(Debt!AB114&gt;Inputs!$F$253,AB18&lt;Inputs!$F$109),1,0)</f>
        <v/>
      </c>
      <c r="AC20" s="10">
        <f>IF(AND(Debt!AC114&gt;Inputs!$F$253,AC18&lt;Inputs!$F$109),1,0)</f>
        <v/>
      </c>
      <c r="AD20" s="10">
        <f>IF(AND(Debt!AD114&gt;Inputs!$F$253,AD18&lt;Inputs!$F$109),1,0)</f>
        <v/>
      </c>
      <c r="AE20" s="10">
        <f>IF(AND(Debt!AE114&gt;Inputs!$F$253,AE18&lt;Inputs!$F$109),1,0)</f>
        <v/>
      </c>
      <c r="AF20" s="10">
        <f>IF(AND(Debt!AF114&gt;Inputs!$F$253,AF18&lt;Inputs!$F$109),1,0)</f>
        <v/>
      </c>
      <c r="AG20" s="10">
        <f>IF(AND(Debt!AG114&gt;Inputs!$F$253,AG18&lt;Inputs!$F$109),1,0)</f>
        <v/>
      </c>
      <c r="AH20" s="10">
        <f>IF(AND(Debt!AH114&gt;Inputs!$F$253,AH18&lt;Inputs!$F$109),1,0)</f>
        <v/>
      </c>
      <c r="AI20" s="10">
        <f>IF(AND(Debt!AI114&gt;Inputs!$F$253,AI18&lt;Inputs!$F$109),1,0)</f>
        <v/>
      </c>
      <c r="AJ20" s="10">
        <f>IF(AND(Debt!AJ114&gt;Inputs!$F$253,AJ18&lt;Inputs!$F$109),1,0)</f>
        <v/>
      </c>
      <c r="AK20" s="10">
        <f>IF(AND(Debt!AK114&gt;Inputs!$F$253,AK18&lt;Inputs!$F$109),1,0)</f>
        <v/>
      </c>
      <c r="AL20" s="10">
        <f>IF(AND(Debt!AL114&gt;Inputs!$F$253,AL18&lt;Inputs!$F$109),1,0)</f>
        <v/>
      </c>
      <c r="AM20" s="10">
        <f>IF(AND(Debt!AM114&gt;Inputs!$F$253,AM18&lt;Inputs!$F$109),1,0)</f>
        <v/>
      </c>
      <c r="AN20" s="10">
        <f>IF(AND(Debt!AN114&gt;Inputs!$F$253,AN18&lt;Inputs!$F$109),1,0)</f>
        <v/>
      </c>
      <c r="AO20" s="10">
        <f>IF(AND(Debt!AO114&gt;Inputs!$F$253,AO18&lt;Inputs!$F$109),1,0)</f>
        <v/>
      </c>
      <c r="AP20" s="10">
        <f>IF(AND(Debt!AP114&gt;Inputs!$F$253,AP18&lt;Inputs!$F$109),1,0)</f>
        <v/>
      </c>
      <c r="AQ20" s="10">
        <f>IF(AND(Debt!AQ114&gt;Inputs!$F$253,AQ18&lt;Inputs!$F$109),1,0)</f>
        <v/>
      </c>
      <c r="AR20" s="10">
        <f>IF(AND(Debt!AR114&gt;Inputs!$F$253,AR18&lt;Inputs!$F$109),1,0)</f>
        <v/>
      </c>
      <c r="AS20" s="10">
        <f>IF(AND(Debt!AS114&gt;Inputs!$F$253,AS18&lt;Inputs!$F$109),1,0)</f>
        <v/>
      </c>
      <c r="AT20" s="10">
        <f>IF(AND(Debt!AT114&gt;Inputs!$F$253,AT18&lt;Inputs!$F$109),1,0)</f>
        <v/>
      </c>
      <c r="AU20" s="10">
        <f>IF(AND(Debt!AU114&gt;Inputs!$F$253,AU18&lt;Inputs!$F$109),1,0)</f>
        <v/>
      </c>
      <c r="AV20" s="10">
        <f>IF(AND(Debt!AV114&gt;Inputs!$F$253,AV18&lt;Inputs!$F$109),1,0)</f>
        <v/>
      </c>
      <c r="AW20" s="10">
        <f>IF(AND(Debt!AW114&gt;Inputs!$F$253,AW18&lt;Inputs!$F$109),1,0)</f>
        <v/>
      </c>
      <c r="AX20" s="10">
        <f>IF(AND(Debt!AX114&gt;Inputs!$F$253,AX18&lt;Inputs!$F$109),1,0)</f>
        <v/>
      </c>
      <c r="AY20" s="10">
        <f>IF(AND(Debt!AY114&gt;Inputs!$F$253,AY18&lt;Inputs!$F$109),1,0)</f>
        <v/>
      </c>
      <c r="AZ20" s="10">
        <f>IF(AND(Debt!AZ114&gt;Inputs!$F$253,AZ18&lt;Inputs!$F$109),1,0)</f>
        <v/>
      </c>
      <c r="BA20" s="10">
        <f>IF(AND(Debt!BA114&gt;Inputs!$F$253,BA18&lt;Inputs!$F$109),1,0)</f>
        <v/>
      </c>
      <c r="BB20" s="10">
        <f>IF(AND(Debt!BB114&gt;Inputs!$F$253,BB18&lt;Inputs!$F$109),1,0)</f>
        <v/>
      </c>
      <c r="BC20" s="10">
        <f>IF(AND(Debt!BC114&gt;Inputs!$F$253,BC18&lt;Inputs!$F$109),1,0)</f>
        <v/>
      </c>
      <c r="BD20" s="10">
        <f>IF(AND(Debt!BD114&gt;Inputs!$F$253,BD18&lt;Inputs!$F$109),1,0)</f>
        <v/>
      </c>
      <c r="BE20" s="10">
        <f>IF(AND(Debt!BE114&gt;Inputs!$F$253,BE18&lt;Inputs!$F$109),1,0)</f>
        <v/>
      </c>
      <c r="BF20" s="10">
        <f>IF(AND(Debt!BF114&gt;Inputs!$F$253,BF18&lt;Inputs!$F$109),1,0)</f>
        <v/>
      </c>
      <c r="BG20" s="10">
        <f>IF(AND(Debt!BG114&gt;Inputs!$F$253,BG18&lt;Inputs!$F$109),1,0)</f>
        <v/>
      </c>
      <c r="BH20" s="10">
        <f>IF(AND(Debt!BH114&gt;Inputs!$F$253,BH18&lt;Inputs!$F$109),1,0)</f>
        <v/>
      </c>
      <c r="BI20" s="10">
        <f>IF(AND(Debt!BI114&gt;Inputs!$F$253,BI18&lt;Inputs!$F$109),1,0)</f>
        <v/>
      </c>
      <c r="BJ20" s="10">
        <f>IF(AND(Debt!BJ114&gt;Inputs!$F$253,BJ18&lt;Inputs!$F$109),1,0)</f>
        <v/>
      </c>
      <c r="BK20" s="10">
        <f>IF(AND(Debt!BK114&gt;Inputs!$F$253,BK18&lt;Inputs!$F$109),1,0)</f>
        <v/>
      </c>
      <c r="BL20" s="10">
        <f>IF(AND(Debt!BL114&gt;Inputs!$F$253,BL18&lt;Inputs!$F$109),1,0)</f>
        <v/>
      </c>
      <c r="BM20" s="10">
        <f>IF(AND(Debt!BM114&gt;Inputs!$F$253,BM18&lt;Inputs!$F$109),1,0)</f>
        <v/>
      </c>
      <c r="BN20" s="10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10">
        <f>MAX(I23,IF(AND(J22=1,Time!J51=1,J18&gt;=Inputs!$F$110,Time!I51=1,I18&gt;=Inputs!$F$110,Reserves!J13&gt;=Debt!J125-Inputs!$F$254),1,0))</f>
        <v/>
      </c>
      <c r="K23" s="10">
        <f>MAX(J23,IF(AND(K22=1,Time!K51=1,K18&gt;=Inputs!$F$110,Time!J51=1,J18&gt;=Inputs!$F$110,Reserves!K13&gt;=Debt!K125-Inputs!$F$254),1,0))</f>
        <v/>
      </c>
      <c r="L23" s="10">
        <f>MAX(K23,IF(AND(L22=1,Time!L51=1,L18&gt;=Inputs!$F$110,Time!K51=1,K18&gt;=Inputs!$F$110,Reserves!L13&gt;=Debt!L125-Inputs!$F$254),1,0))</f>
        <v/>
      </c>
      <c r="M23" s="10">
        <f>MAX(L23,IF(AND(M22=1,Time!M51=1,M18&gt;=Inputs!$F$110,Time!L51=1,L18&gt;=Inputs!$F$110,Reserves!M13&gt;=Debt!M125-Inputs!$F$254),1,0))</f>
        <v/>
      </c>
      <c r="N23" s="10">
        <f>MAX(M23,IF(AND(N22=1,Time!N51=1,N18&gt;=Inputs!$F$110,Time!M51=1,M18&gt;=Inputs!$F$110,Reserves!N13&gt;=Debt!N125-Inputs!$F$254),1,0))</f>
        <v/>
      </c>
      <c r="O23" s="10">
        <f>MAX(N23,IF(AND(O22=1,Time!O51=1,O18&gt;=Inputs!$F$110,Time!N51=1,N18&gt;=Inputs!$F$110,Reserves!O13&gt;=Debt!O125-Inputs!$F$254),1,0))</f>
        <v/>
      </c>
      <c r="P23" s="10">
        <f>MAX(O23,IF(AND(P22=1,Time!P51=1,P18&gt;=Inputs!$F$110,Time!O51=1,O18&gt;=Inputs!$F$110,Reserves!P13&gt;=Debt!P125-Inputs!$F$254),1,0))</f>
        <v/>
      </c>
      <c r="Q23" s="10">
        <f>MAX(P23,IF(AND(Q22=1,Time!Q51=1,Q18&gt;=Inputs!$F$110,Time!P51=1,P18&gt;=Inputs!$F$110,Reserves!Q13&gt;=Debt!Q125-Inputs!$F$254),1,0))</f>
        <v/>
      </c>
      <c r="R23" s="10">
        <f>MAX(Q23,IF(AND(R22=1,Time!R51=1,R18&gt;=Inputs!$F$110,Time!Q51=1,Q18&gt;=Inputs!$F$110,Reserves!R13&gt;=Debt!R125-Inputs!$F$254),1,0))</f>
        <v/>
      </c>
      <c r="S23" s="10">
        <f>MAX(R23,IF(AND(S22=1,Time!S51=1,S18&gt;=Inputs!$F$110,Time!R51=1,R18&gt;=Inputs!$F$110,Reserves!S13&gt;=Debt!S125-Inputs!$F$254),1,0))</f>
        <v/>
      </c>
      <c r="T23" s="10">
        <f>MAX(S23,IF(AND(T22=1,Time!T51=1,T18&gt;=Inputs!$F$110,Time!S51=1,S18&gt;=Inputs!$F$110,Reserves!T13&gt;=Debt!T125-Inputs!$F$254),1,0))</f>
        <v/>
      </c>
      <c r="U23" s="10">
        <f>MAX(T23,IF(AND(U22=1,Time!U51=1,U18&gt;=Inputs!$F$110,Time!T51=1,T18&gt;=Inputs!$F$110,Reserves!U13&gt;=Debt!U125-Inputs!$F$254),1,0))</f>
        <v/>
      </c>
      <c r="V23" s="10">
        <f>MAX(U23,IF(AND(V22=1,Time!V51=1,V18&gt;=Inputs!$F$110,Time!U51=1,U18&gt;=Inputs!$F$110,Reserves!V13&gt;=Debt!V125-Inputs!$F$254),1,0))</f>
        <v/>
      </c>
      <c r="W23" s="10">
        <f>MAX(V23,IF(AND(W22=1,Time!W51=1,W18&gt;=Inputs!$F$110,Time!V51=1,V18&gt;=Inputs!$F$110,Reserves!W13&gt;=Debt!W125-Inputs!$F$254),1,0))</f>
        <v/>
      </c>
      <c r="X23" s="10">
        <f>MAX(W23,IF(AND(X22=1,Time!X51=1,X18&gt;=Inputs!$F$110,Time!W51=1,W18&gt;=Inputs!$F$110,Reserves!X13&gt;=Debt!X125-Inputs!$F$254),1,0))</f>
        <v/>
      </c>
      <c r="Y23" s="10">
        <f>MAX(X23,IF(AND(Y22=1,Time!Y51=1,Y18&gt;=Inputs!$F$110,Time!X51=1,X18&gt;=Inputs!$F$110,Reserves!Y13&gt;=Debt!Y125-Inputs!$F$254),1,0))</f>
        <v/>
      </c>
      <c r="Z23" s="10">
        <f>MAX(Y23,IF(AND(Z22=1,Time!Z51=1,Z18&gt;=Inputs!$F$110,Time!Y51=1,Y18&gt;=Inputs!$F$110,Reserves!Z13&gt;=Debt!Z125-Inputs!$F$254),1,0))</f>
        <v/>
      </c>
      <c r="AA23" s="10">
        <f>MAX(Z23,IF(AND(AA22=1,Time!AA51=1,AA18&gt;=Inputs!$F$110,Time!Z51=1,Z18&gt;=Inputs!$F$110,Reserves!AA13&gt;=Debt!AA125-Inputs!$F$254),1,0))</f>
        <v/>
      </c>
      <c r="AB23" s="10">
        <f>MAX(AA23,IF(AND(AB22=1,Time!AB51=1,AB18&gt;=Inputs!$F$110,Time!AA51=1,AA18&gt;=Inputs!$F$110,Reserves!AB13&gt;=Debt!AB125-Inputs!$F$254),1,0))</f>
        <v/>
      </c>
      <c r="AC23" s="10">
        <f>MAX(AB23,IF(AND(AC22=1,Time!AC51=1,AC18&gt;=Inputs!$F$110,Time!AB51=1,AB18&gt;=Inputs!$F$110,Reserves!AC13&gt;=Debt!AC125-Inputs!$F$254),1,0))</f>
        <v/>
      </c>
      <c r="AD23" s="10">
        <f>MAX(AC23,IF(AND(AD22=1,Time!AD51=1,AD18&gt;=Inputs!$F$110,Time!AC51=1,AC18&gt;=Inputs!$F$110,Reserves!AD13&gt;=Debt!AD125-Inputs!$F$254),1,0))</f>
        <v/>
      </c>
      <c r="AE23" s="10">
        <f>MAX(AD23,IF(AND(AE22=1,Time!AE51=1,AE18&gt;=Inputs!$F$110,Time!AD51=1,AD18&gt;=Inputs!$F$110,Reserves!AE13&gt;=Debt!AE125-Inputs!$F$254),1,0))</f>
        <v/>
      </c>
      <c r="AF23" s="10">
        <f>MAX(AE23,IF(AND(AF22=1,Time!AF51=1,AF18&gt;=Inputs!$F$110,Time!AE51=1,AE18&gt;=Inputs!$F$110,Reserves!AF13&gt;=Debt!AF125-Inputs!$F$254),1,0))</f>
        <v/>
      </c>
      <c r="AG23" s="10">
        <f>MAX(AF23,IF(AND(AG22=1,Time!AG51=1,AG18&gt;=Inputs!$F$110,Time!AF51=1,AF18&gt;=Inputs!$F$110,Reserves!AG13&gt;=Debt!AG125-Inputs!$F$254),1,0))</f>
        <v/>
      </c>
      <c r="AH23" s="10">
        <f>MAX(AG23,IF(AND(AH22=1,Time!AH51=1,AH18&gt;=Inputs!$F$110,Time!AG51=1,AG18&gt;=Inputs!$F$110,Reserves!AH13&gt;=Debt!AH125-Inputs!$F$254),1,0))</f>
        <v/>
      </c>
      <c r="AI23" s="10">
        <f>MAX(AH23,IF(AND(AI22=1,Time!AI51=1,AI18&gt;=Inputs!$F$110,Time!AH51=1,AH18&gt;=Inputs!$F$110,Reserves!AI13&gt;=Debt!AI125-Inputs!$F$254),1,0))</f>
        <v/>
      </c>
      <c r="AJ23" s="10">
        <f>MAX(AI23,IF(AND(AJ22=1,Time!AJ51=1,AJ18&gt;=Inputs!$F$110,Time!AI51=1,AI18&gt;=Inputs!$F$110,Reserves!AJ13&gt;=Debt!AJ125-Inputs!$F$254),1,0))</f>
        <v/>
      </c>
      <c r="AK23" s="10">
        <f>MAX(AJ23,IF(AND(AK22=1,Time!AK51=1,AK18&gt;=Inputs!$F$110,Time!AJ51=1,AJ18&gt;=Inputs!$F$110,Reserves!AK13&gt;=Debt!AK125-Inputs!$F$254),1,0))</f>
        <v/>
      </c>
      <c r="AL23" s="10">
        <f>MAX(AK23,IF(AND(AL22=1,Time!AL51=1,AL18&gt;=Inputs!$F$110,Time!AK51=1,AK18&gt;=Inputs!$F$110,Reserves!AL13&gt;=Debt!AL125-Inputs!$F$254),1,0))</f>
        <v/>
      </c>
      <c r="AM23" s="10">
        <f>MAX(AL23,IF(AND(AM22=1,Time!AM51=1,AM18&gt;=Inputs!$F$110,Time!AL51=1,AL18&gt;=Inputs!$F$110,Reserves!AM13&gt;=Debt!AM125-Inputs!$F$254),1,0))</f>
        <v/>
      </c>
      <c r="AN23" s="10">
        <f>MAX(AM23,IF(AND(AN22=1,Time!AN51=1,AN18&gt;=Inputs!$F$110,Time!AM51=1,AM18&gt;=Inputs!$F$110,Reserves!AN13&gt;=Debt!AN125-Inputs!$F$254),1,0))</f>
        <v/>
      </c>
      <c r="AO23" s="10">
        <f>MAX(AN23,IF(AND(AO22=1,Time!AO51=1,AO18&gt;=Inputs!$F$110,Time!AN51=1,AN18&gt;=Inputs!$F$110,Reserves!AO13&gt;=Debt!AO125-Inputs!$F$254),1,0))</f>
        <v/>
      </c>
      <c r="AP23" s="10">
        <f>MAX(AO23,IF(AND(AP22=1,Time!AP51=1,AP18&gt;=Inputs!$F$110,Time!AO51=1,AO18&gt;=Inputs!$F$110,Reserves!AP13&gt;=Debt!AP125-Inputs!$F$254),1,0))</f>
        <v/>
      </c>
      <c r="AQ23" s="10">
        <f>MAX(AP23,IF(AND(AQ22=1,Time!AQ51=1,AQ18&gt;=Inputs!$F$110,Time!AP51=1,AP18&gt;=Inputs!$F$110,Reserves!AQ13&gt;=Debt!AQ125-Inputs!$F$254),1,0))</f>
        <v/>
      </c>
      <c r="AR23" s="10">
        <f>MAX(AQ23,IF(AND(AR22=1,Time!AR51=1,AR18&gt;=Inputs!$F$110,Time!AQ51=1,AQ18&gt;=Inputs!$F$110,Reserves!AR13&gt;=Debt!AR125-Inputs!$F$254),1,0))</f>
        <v/>
      </c>
      <c r="AS23" s="10">
        <f>MAX(AR23,IF(AND(AS22=1,Time!AS51=1,AS18&gt;=Inputs!$F$110,Time!AR51=1,AR18&gt;=Inputs!$F$110,Reserves!AS13&gt;=Debt!AS125-Inputs!$F$254),1,0))</f>
        <v/>
      </c>
      <c r="AT23" s="10">
        <f>MAX(AS23,IF(AND(AT22=1,Time!AT51=1,AT18&gt;=Inputs!$F$110,Time!AS51=1,AS18&gt;=Inputs!$F$110,Reserves!AT13&gt;=Debt!AT125-Inputs!$F$254),1,0))</f>
        <v/>
      </c>
      <c r="AU23" s="10">
        <f>MAX(AT23,IF(AND(AU22=1,Time!AU51=1,AU18&gt;=Inputs!$F$110,Time!AT51=1,AT18&gt;=Inputs!$F$110,Reserves!AU13&gt;=Debt!AU125-Inputs!$F$254),1,0))</f>
        <v/>
      </c>
      <c r="AV23" s="10">
        <f>MAX(AU23,IF(AND(AV22=1,Time!AV51=1,AV18&gt;=Inputs!$F$110,Time!AU51=1,AU18&gt;=Inputs!$F$110,Reserves!AV13&gt;=Debt!AV125-Inputs!$F$254),1,0))</f>
        <v/>
      </c>
      <c r="AW23" s="10">
        <f>MAX(AV23,IF(AND(AW22=1,Time!AW51=1,AW18&gt;=Inputs!$F$110,Time!AV51=1,AV18&gt;=Inputs!$F$110,Reserves!AW13&gt;=Debt!AW125-Inputs!$F$254),1,0))</f>
        <v/>
      </c>
      <c r="AX23" s="10">
        <f>MAX(AW23,IF(AND(AX22=1,Time!AX51=1,AX18&gt;=Inputs!$F$110,Time!AW51=1,AW18&gt;=Inputs!$F$110,Reserves!AX13&gt;=Debt!AX125-Inputs!$F$254),1,0))</f>
        <v/>
      </c>
      <c r="AY23" s="10">
        <f>MAX(AX23,IF(AND(AY22=1,Time!AY51=1,AY18&gt;=Inputs!$F$110,Time!AX51=1,AX18&gt;=Inputs!$F$110,Reserves!AY13&gt;=Debt!AY125-Inputs!$F$254),1,0))</f>
        <v/>
      </c>
      <c r="AZ23" s="10">
        <f>MAX(AY23,IF(AND(AZ22=1,Time!AZ51=1,AZ18&gt;=Inputs!$F$110,Time!AY51=1,AY18&gt;=Inputs!$F$110,Reserves!AZ13&gt;=Debt!AZ125-Inputs!$F$254),1,0))</f>
        <v/>
      </c>
      <c r="BA23" s="10">
        <f>MAX(AZ23,IF(AND(BA22=1,Time!BA51=1,BA18&gt;=Inputs!$F$110,Time!AZ51=1,AZ18&gt;=Inputs!$F$110,Reserves!BA13&gt;=Debt!BA125-Inputs!$F$254),1,0))</f>
        <v/>
      </c>
      <c r="BB23" s="10">
        <f>MAX(BA23,IF(AND(BB22=1,Time!BB51=1,BB18&gt;=Inputs!$F$110,Time!BA51=1,BA18&gt;=Inputs!$F$110,Reserves!BB13&gt;=Debt!BB125-Inputs!$F$254),1,0))</f>
        <v/>
      </c>
      <c r="BC23" s="10">
        <f>MAX(BB23,IF(AND(BC22=1,Time!BC51=1,BC18&gt;=Inputs!$F$110,Time!BB51=1,BB18&gt;=Inputs!$F$110,Reserves!BC13&gt;=Debt!BC125-Inputs!$F$254),1,0))</f>
        <v/>
      </c>
      <c r="BD23" s="10">
        <f>MAX(BC23,IF(AND(BD22=1,Time!BD51=1,BD18&gt;=Inputs!$F$110,Time!BC51=1,BC18&gt;=Inputs!$F$110,Reserves!BD13&gt;=Debt!BD125-Inputs!$F$254),1,0))</f>
        <v/>
      </c>
      <c r="BE23" s="10">
        <f>MAX(BD23,IF(AND(BE22=1,Time!BE51=1,BE18&gt;=Inputs!$F$110,Time!BD51=1,BD18&gt;=Inputs!$F$110,Reserves!BE13&gt;=Debt!BE125-Inputs!$F$254),1,0))</f>
        <v/>
      </c>
      <c r="BF23" s="10">
        <f>MAX(BE23,IF(AND(BF22=1,Time!BF51=1,BF18&gt;=Inputs!$F$110,Time!BE51=1,BE18&gt;=Inputs!$F$110,Reserves!BF13&gt;=Debt!BF125-Inputs!$F$254),1,0))</f>
        <v/>
      </c>
      <c r="BG23" s="10">
        <f>MAX(BF23,IF(AND(BG22=1,Time!BG51=1,BG18&gt;=Inputs!$F$110,Time!BF51=1,BF18&gt;=Inputs!$F$110,Reserves!BG13&gt;=Debt!BG125-Inputs!$F$254),1,0))</f>
        <v/>
      </c>
      <c r="BH23" s="10">
        <f>MAX(BG23,IF(AND(BH22=1,Time!BH51=1,BH18&gt;=Inputs!$F$110,Time!BG51=1,BG18&gt;=Inputs!$F$110,Reserves!BH13&gt;=Debt!BH125-Inputs!$F$254),1,0))</f>
        <v/>
      </c>
      <c r="BI23" s="10">
        <f>MAX(BH23,IF(AND(BI22=1,Time!BI51=1,BI18&gt;=Inputs!$F$110,Time!BH51=1,BH18&gt;=Inputs!$F$110,Reserves!BI13&gt;=Debt!BI125-Inputs!$F$254),1,0))</f>
        <v/>
      </c>
      <c r="BJ23" s="10">
        <f>MAX(BI23,IF(AND(BJ22=1,Time!BJ51=1,BJ18&gt;=Inputs!$F$110,Time!BI51=1,BI18&gt;=Inputs!$F$110,Reserves!BJ13&gt;=Debt!BJ125-Inputs!$F$254),1,0))</f>
        <v/>
      </c>
      <c r="BK23" s="10">
        <f>MAX(BJ23,IF(AND(BK22=1,Time!BK51=1,BK18&gt;=Inputs!$F$110,Time!BJ51=1,BJ18&gt;=Inputs!$F$110,Reserves!BK13&gt;=Debt!BK125-Inputs!$F$254),1,0))</f>
        <v/>
      </c>
      <c r="BL23" s="10">
        <f>MAX(BK23,IF(AND(BL22=1,Time!BL51=1,BL18&gt;=Inputs!$F$110,Time!BK51=1,BK18&gt;=Inputs!$F$110,Reserves!BL13&gt;=Debt!BL125-Inputs!$F$254),1,0))</f>
        <v/>
      </c>
      <c r="BM23" s="10">
        <f>MAX(BL23,IF(AND(BM22=1,Time!BM51=1,BM18&gt;=Inputs!$F$110,Time!BL51=1,BL18&gt;=Inputs!$F$110,Reserves!BM13&gt;=Debt!BM125-Inputs!$F$254),1,0))</f>
        <v/>
      </c>
      <c r="BN23" s="10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10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10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10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10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10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10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10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10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10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10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10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10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10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10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10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10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10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10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10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10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10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10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10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10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10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10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10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10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10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10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10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10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10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10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10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10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10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10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10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10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10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10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10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10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10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10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10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10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10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10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10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10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10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10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10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10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10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10">
        <f>IF(AND(J24=0,J19=1,Debt!J114&gt;Inputs!$F$253),1,0)</f>
        <v/>
      </c>
      <c r="K25" s="10">
        <f>IF(AND(K24=0,K19=1,Debt!K114&gt;Inputs!$F$253),1,0)</f>
        <v/>
      </c>
      <c r="L25" s="10">
        <f>IF(AND(L24=0,L19=1,Debt!L114&gt;Inputs!$F$253),1,0)</f>
        <v/>
      </c>
      <c r="M25" s="10">
        <f>IF(AND(M24=0,M19=1,Debt!M114&gt;Inputs!$F$253),1,0)</f>
        <v/>
      </c>
      <c r="N25" s="10">
        <f>IF(AND(N24=0,N19=1,Debt!N114&gt;Inputs!$F$253),1,0)</f>
        <v/>
      </c>
      <c r="O25" s="10">
        <f>IF(AND(O24=0,O19=1,Debt!O114&gt;Inputs!$F$253),1,0)</f>
        <v/>
      </c>
      <c r="P25" s="10">
        <f>IF(AND(P24=0,P19=1,Debt!P114&gt;Inputs!$F$253),1,0)</f>
        <v/>
      </c>
      <c r="Q25" s="10">
        <f>IF(AND(Q24=0,Q19=1,Debt!Q114&gt;Inputs!$F$253),1,0)</f>
        <v/>
      </c>
      <c r="R25" s="10">
        <f>IF(AND(R24=0,R19=1,Debt!R114&gt;Inputs!$F$253),1,0)</f>
        <v/>
      </c>
      <c r="S25" s="10">
        <f>IF(AND(S24=0,S19=1,Debt!S114&gt;Inputs!$F$253),1,0)</f>
        <v/>
      </c>
      <c r="T25" s="10">
        <f>IF(AND(T24=0,T19=1,Debt!T114&gt;Inputs!$F$253),1,0)</f>
        <v/>
      </c>
      <c r="U25" s="10">
        <f>IF(AND(U24=0,U19=1,Debt!U114&gt;Inputs!$F$253),1,0)</f>
        <v/>
      </c>
      <c r="V25" s="10">
        <f>IF(AND(V24=0,V19=1,Debt!V114&gt;Inputs!$F$253),1,0)</f>
        <v/>
      </c>
      <c r="W25" s="10">
        <f>IF(AND(W24=0,W19=1,Debt!W114&gt;Inputs!$F$253),1,0)</f>
        <v/>
      </c>
      <c r="X25" s="10">
        <f>IF(AND(X24=0,X19=1,Debt!X114&gt;Inputs!$F$253),1,0)</f>
        <v/>
      </c>
      <c r="Y25" s="10">
        <f>IF(AND(Y24=0,Y19=1,Debt!Y114&gt;Inputs!$F$253),1,0)</f>
        <v/>
      </c>
      <c r="Z25" s="10">
        <f>IF(AND(Z24=0,Z19=1,Debt!Z114&gt;Inputs!$F$253),1,0)</f>
        <v/>
      </c>
      <c r="AA25" s="10">
        <f>IF(AND(AA24=0,AA19=1,Debt!AA114&gt;Inputs!$F$253),1,0)</f>
        <v/>
      </c>
      <c r="AB25" s="10">
        <f>IF(AND(AB24=0,AB19=1,Debt!AB114&gt;Inputs!$F$253),1,0)</f>
        <v/>
      </c>
      <c r="AC25" s="10">
        <f>IF(AND(AC24=0,AC19=1,Debt!AC114&gt;Inputs!$F$253),1,0)</f>
        <v/>
      </c>
      <c r="AD25" s="10">
        <f>IF(AND(AD24=0,AD19=1,Debt!AD114&gt;Inputs!$F$253),1,0)</f>
        <v/>
      </c>
      <c r="AE25" s="10">
        <f>IF(AND(AE24=0,AE19=1,Debt!AE114&gt;Inputs!$F$253),1,0)</f>
        <v/>
      </c>
      <c r="AF25" s="10">
        <f>IF(AND(AF24=0,AF19=1,Debt!AF114&gt;Inputs!$F$253),1,0)</f>
        <v/>
      </c>
      <c r="AG25" s="10">
        <f>IF(AND(AG24=0,AG19=1,Debt!AG114&gt;Inputs!$F$253),1,0)</f>
        <v/>
      </c>
      <c r="AH25" s="10">
        <f>IF(AND(AH24=0,AH19=1,Debt!AH114&gt;Inputs!$F$253),1,0)</f>
        <v/>
      </c>
      <c r="AI25" s="10">
        <f>IF(AND(AI24=0,AI19=1,Debt!AI114&gt;Inputs!$F$253),1,0)</f>
        <v/>
      </c>
      <c r="AJ25" s="10">
        <f>IF(AND(AJ24=0,AJ19=1,Debt!AJ114&gt;Inputs!$F$253),1,0)</f>
        <v/>
      </c>
      <c r="AK25" s="10">
        <f>IF(AND(AK24=0,AK19=1,Debt!AK114&gt;Inputs!$F$253),1,0)</f>
        <v/>
      </c>
      <c r="AL25" s="10">
        <f>IF(AND(AL24=0,AL19=1,Debt!AL114&gt;Inputs!$F$253),1,0)</f>
        <v/>
      </c>
      <c r="AM25" s="10">
        <f>IF(AND(AM24=0,AM19=1,Debt!AM114&gt;Inputs!$F$253),1,0)</f>
        <v/>
      </c>
      <c r="AN25" s="10">
        <f>IF(AND(AN24=0,AN19=1,Debt!AN114&gt;Inputs!$F$253),1,0)</f>
        <v/>
      </c>
      <c r="AO25" s="10">
        <f>IF(AND(AO24=0,AO19=1,Debt!AO114&gt;Inputs!$F$253),1,0)</f>
        <v/>
      </c>
      <c r="AP25" s="10">
        <f>IF(AND(AP24=0,AP19=1,Debt!AP114&gt;Inputs!$F$253),1,0)</f>
        <v/>
      </c>
      <c r="AQ25" s="10">
        <f>IF(AND(AQ24=0,AQ19=1,Debt!AQ114&gt;Inputs!$F$253),1,0)</f>
        <v/>
      </c>
      <c r="AR25" s="10">
        <f>IF(AND(AR24=0,AR19=1,Debt!AR114&gt;Inputs!$F$253),1,0)</f>
        <v/>
      </c>
      <c r="AS25" s="10">
        <f>IF(AND(AS24=0,AS19=1,Debt!AS114&gt;Inputs!$F$253),1,0)</f>
        <v/>
      </c>
      <c r="AT25" s="10">
        <f>IF(AND(AT24=0,AT19=1,Debt!AT114&gt;Inputs!$F$253),1,0)</f>
        <v/>
      </c>
      <c r="AU25" s="10">
        <f>IF(AND(AU24=0,AU19=1,Debt!AU114&gt;Inputs!$F$253),1,0)</f>
        <v/>
      </c>
      <c r="AV25" s="10">
        <f>IF(AND(AV24=0,AV19=1,Debt!AV114&gt;Inputs!$F$253),1,0)</f>
        <v/>
      </c>
      <c r="AW25" s="10">
        <f>IF(AND(AW24=0,AW19=1,Debt!AW114&gt;Inputs!$F$253),1,0)</f>
        <v/>
      </c>
      <c r="AX25" s="10">
        <f>IF(AND(AX24=0,AX19=1,Debt!AX114&gt;Inputs!$F$253),1,0)</f>
        <v/>
      </c>
      <c r="AY25" s="10">
        <f>IF(AND(AY24=0,AY19=1,Debt!AY114&gt;Inputs!$F$253),1,0)</f>
        <v/>
      </c>
      <c r="AZ25" s="10">
        <f>IF(AND(AZ24=0,AZ19=1,Debt!AZ114&gt;Inputs!$F$253),1,0)</f>
        <v/>
      </c>
      <c r="BA25" s="10">
        <f>IF(AND(BA24=0,BA19=1,Debt!BA114&gt;Inputs!$F$253),1,0)</f>
        <v/>
      </c>
      <c r="BB25" s="10">
        <f>IF(AND(BB24=0,BB19=1,Debt!BB114&gt;Inputs!$F$253),1,0)</f>
        <v/>
      </c>
      <c r="BC25" s="10">
        <f>IF(AND(BC24=0,BC19=1,Debt!BC114&gt;Inputs!$F$253),1,0)</f>
        <v/>
      </c>
      <c r="BD25" s="10">
        <f>IF(AND(BD24=0,BD19=1,Debt!BD114&gt;Inputs!$F$253),1,0)</f>
        <v/>
      </c>
      <c r="BE25" s="10">
        <f>IF(AND(BE24=0,BE19=1,Debt!BE114&gt;Inputs!$F$253),1,0)</f>
        <v/>
      </c>
      <c r="BF25" s="10">
        <f>IF(AND(BF24=0,BF19=1,Debt!BF114&gt;Inputs!$F$253),1,0)</f>
        <v/>
      </c>
      <c r="BG25" s="10">
        <f>IF(AND(BG24=0,BG19=1,Debt!BG114&gt;Inputs!$F$253),1,0)</f>
        <v/>
      </c>
      <c r="BH25" s="10">
        <f>IF(AND(BH24=0,BH19=1,Debt!BH114&gt;Inputs!$F$253),1,0)</f>
        <v/>
      </c>
      <c r="BI25" s="10">
        <f>IF(AND(BI24=0,BI19=1,Debt!BI114&gt;Inputs!$F$253),1,0)</f>
        <v/>
      </c>
      <c r="BJ25" s="10">
        <f>IF(AND(BJ24=0,BJ19=1,Debt!BJ114&gt;Inputs!$F$253),1,0)</f>
        <v/>
      </c>
      <c r="BK25" s="10">
        <f>IF(AND(BK24=0,BK19=1,Debt!BK114&gt;Inputs!$F$253),1,0)</f>
        <v/>
      </c>
      <c r="BL25" s="10">
        <f>IF(AND(BL24=0,BL19=1,Debt!BL114&gt;Inputs!$F$253),1,0)</f>
        <v/>
      </c>
      <c r="BM25" s="10">
        <f>IF(AND(BM24=0,BM19=1,Debt!BM114&gt;Inputs!$F$253),1,0)</f>
        <v/>
      </c>
      <c r="BN25" s="10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10">
        <f>IF(J25=1,I26+1,0)</f>
        <v/>
      </c>
      <c r="K26" s="10">
        <f>IF(K25=1,J26+1,0)</f>
        <v/>
      </c>
      <c r="L26" s="10">
        <f>IF(L25=1,K26+1,0)</f>
        <v/>
      </c>
      <c r="M26" s="10">
        <f>IF(M25=1,L26+1,0)</f>
        <v/>
      </c>
      <c r="N26" s="10">
        <f>IF(N25=1,M26+1,0)</f>
        <v/>
      </c>
      <c r="O26" s="10">
        <f>IF(O25=1,N26+1,0)</f>
        <v/>
      </c>
      <c r="P26" s="10">
        <f>IF(P25=1,O26+1,0)</f>
        <v/>
      </c>
      <c r="Q26" s="10">
        <f>IF(Q25=1,P26+1,0)</f>
        <v/>
      </c>
      <c r="R26" s="10">
        <f>IF(R25=1,Q26+1,0)</f>
        <v/>
      </c>
      <c r="S26" s="10">
        <f>IF(S25=1,R26+1,0)</f>
        <v/>
      </c>
      <c r="T26" s="10">
        <f>IF(T25=1,S26+1,0)</f>
        <v/>
      </c>
      <c r="U26" s="10">
        <f>IF(U25=1,T26+1,0)</f>
        <v/>
      </c>
      <c r="V26" s="10">
        <f>IF(V25=1,U26+1,0)</f>
        <v/>
      </c>
      <c r="W26" s="10">
        <f>IF(W25=1,V26+1,0)</f>
        <v/>
      </c>
      <c r="X26" s="10">
        <f>IF(X25=1,W26+1,0)</f>
        <v/>
      </c>
      <c r="Y26" s="10">
        <f>IF(Y25=1,X26+1,0)</f>
        <v/>
      </c>
      <c r="Z26" s="10">
        <f>IF(Z25=1,Y26+1,0)</f>
        <v/>
      </c>
      <c r="AA26" s="10">
        <f>IF(AA25=1,Z26+1,0)</f>
        <v/>
      </c>
      <c r="AB26" s="10">
        <f>IF(AB25=1,AA26+1,0)</f>
        <v/>
      </c>
      <c r="AC26" s="10">
        <f>IF(AC25=1,AB26+1,0)</f>
        <v/>
      </c>
      <c r="AD26" s="10">
        <f>IF(AD25=1,AC26+1,0)</f>
        <v/>
      </c>
      <c r="AE26" s="10">
        <f>IF(AE25=1,AD26+1,0)</f>
        <v/>
      </c>
      <c r="AF26" s="10">
        <f>IF(AF25=1,AE26+1,0)</f>
        <v/>
      </c>
      <c r="AG26" s="10">
        <f>IF(AG25=1,AF26+1,0)</f>
        <v/>
      </c>
      <c r="AH26" s="10">
        <f>IF(AH25=1,AG26+1,0)</f>
        <v/>
      </c>
      <c r="AI26" s="10">
        <f>IF(AI25=1,AH26+1,0)</f>
        <v/>
      </c>
      <c r="AJ26" s="10">
        <f>IF(AJ25=1,AI26+1,0)</f>
        <v/>
      </c>
      <c r="AK26" s="10">
        <f>IF(AK25=1,AJ26+1,0)</f>
        <v/>
      </c>
      <c r="AL26" s="10">
        <f>IF(AL25=1,AK26+1,0)</f>
        <v/>
      </c>
      <c r="AM26" s="10">
        <f>IF(AM25=1,AL26+1,0)</f>
        <v/>
      </c>
      <c r="AN26" s="10">
        <f>IF(AN25=1,AM26+1,0)</f>
        <v/>
      </c>
      <c r="AO26" s="10">
        <f>IF(AO25=1,AN26+1,0)</f>
        <v/>
      </c>
      <c r="AP26" s="10">
        <f>IF(AP25=1,AO26+1,0)</f>
        <v/>
      </c>
      <c r="AQ26" s="10">
        <f>IF(AQ25=1,AP26+1,0)</f>
        <v/>
      </c>
      <c r="AR26" s="10">
        <f>IF(AR25=1,AQ26+1,0)</f>
        <v/>
      </c>
      <c r="AS26" s="10">
        <f>IF(AS25=1,AR26+1,0)</f>
        <v/>
      </c>
      <c r="AT26" s="10">
        <f>IF(AT25=1,AS26+1,0)</f>
        <v/>
      </c>
      <c r="AU26" s="10">
        <f>IF(AU25=1,AT26+1,0)</f>
        <v/>
      </c>
      <c r="AV26" s="10">
        <f>IF(AV25=1,AU26+1,0)</f>
        <v/>
      </c>
      <c r="AW26" s="10">
        <f>IF(AW25=1,AV26+1,0)</f>
        <v/>
      </c>
      <c r="AX26" s="10">
        <f>IF(AX25=1,AW26+1,0)</f>
        <v/>
      </c>
      <c r="AY26" s="10">
        <f>IF(AY25=1,AX26+1,0)</f>
        <v/>
      </c>
      <c r="AZ26" s="10">
        <f>IF(AZ25=1,AY26+1,0)</f>
        <v/>
      </c>
      <c r="BA26" s="10">
        <f>IF(BA25=1,AZ26+1,0)</f>
        <v/>
      </c>
      <c r="BB26" s="10">
        <f>IF(BB25=1,BA26+1,0)</f>
        <v/>
      </c>
      <c r="BC26" s="10">
        <f>IF(BC25=1,BB26+1,0)</f>
        <v/>
      </c>
      <c r="BD26" s="10">
        <f>IF(BD25=1,BC26+1,0)</f>
        <v/>
      </c>
      <c r="BE26" s="10">
        <f>IF(BE25=1,BD26+1,0)</f>
        <v/>
      </c>
      <c r="BF26" s="10">
        <f>IF(BF25=1,BE26+1,0)</f>
        <v/>
      </c>
      <c r="BG26" s="10">
        <f>IF(BG25=1,BF26+1,0)</f>
        <v/>
      </c>
      <c r="BH26" s="10">
        <f>IF(BH25=1,BG26+1,0)</f>
        <v/>
      </c>
      <c r="BI26" s="10">
        <f>IF(BI25=1,BH26+1,0)</f>
        <v/>
      </c>
      <c r="BJ26" s="10">
        <f>IF(BJ25=1,BI26+1,0)</f>
        <v/>
      </c>
      <c r="BK26" s="10">
        <f>IF(BK25=1,BJ26+1,0)</f>
        <v/>
      </c>
      <c r="BL26" s="10">
        <f>IF(BL25=1,BK26+1,0)</f>
        <v/>
      </c>
      <c r="BM26" s="10">
        <f>IF(BM25=1,BL26+1,0)</f>
        <v/>
      </c>
      <c r="BN26" s="10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10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IF(Debt!J115&gt;Inputs!$F$253,(J11+Reserves!J9)/Debt!J115,0)</f>
        <v/>
      </c>
      <c r="K13" s="6">
        <f>IF(Debt!K115&gt;Inputs!$F$253,(K11+Reserves!K9)/Debt!K115,0)</f>
        <v/>
      </c>
      <c r="L13" s="6">
        <f>IF(Debt!L115&gt;Inputs!$F$253,(L11+Reserves!L9)/Debt!L115,0)</f>
        <v/>
      </c>
      <c r="M13" s="6">
        <f>IF(Debt!M115&gt;Inputs!$F$253,(M11+Reserves!M9)/Debt!M115,0)</f>
        <v/>
      </c>
      <c r="N13" s="6">
        <f>IF(Debt!N115&gt;Inputs!$F$253,(N11+Reserves!N9)/Debt!N115,0)</f>
        <v/>
      </c>
      <c r="O13" s="6">
        <f>IF(Debt!O115&gt;Inputs!$F$253,(O11+Reserves!O9)/Debt!O115,0)</f>
        <v/>
      </c>
      <c r="P13" s="6">
        <f>IF(Debt!P115&gt;Inputs!$F$253,(P11+Reserves!P9)/Debt!P115,0)</f>
        <v/>
      </c>
      <c r="Q13" s="6">
        <f>IF(Debt!Q115&gt;Inputs!$F$253,(Q11+Reserves!Q9)/Debt!Q115,0)</f>
        <v/>
      </c>
      <c r="R13" s="6">
        <f>IF(Debt!R115&gt;Inputs!$F$253,(R11+Reserves!R9)/Debt!R115,0)</f>
        <v/>
      </c>
      <c r="S13" s="6">
        <f>IF(Debt!S115&gt;Inputs!$F$253,(S11+Reserves!S9)/Debt!S115,0)</f>
        <v/>
      </c>
      <c r="T13" s="6">
        <f>IF(Debt!T115&gt;Inputs!$F$253,(T11+Reserves!T9)/Debt!T115,0)</f>
        <v/>
      </c>
      <c r="U13" s="6">
        <f>IF(Debt!U115&gt;Inputs!$F$253,(U11+Reserves!U9)/Debt!U115,0)</f>
        <v/>
      </c>
      <c r="V13" s="6">
        <f>IF(Debt!V115&gt;Inputs!$F$253,(V11+Reserves!V9)/Debt!V115,0)</f>
        <v/>
      </c>
      <c r="W13" s="6">
        <f>IF(Debt!W115&gt;Inputs!$F$253,(W11+Reserves!W9)/Debt!W115,0)</f>
        <v/>
      </c>
      <c r="X13" s="6">
        <f>IF(Debt!X115&gt;Inputs!$F$253,(X11+Reserves!X9)/Debt!X115,0)</f>
        <v/>
      </c>
      <c r="Y13" s="6">
        <f>IF(Debt!Y115&gt;Inputs!$F$253,(Y11+Reserves!Y9)/Debt!Y115,0)</f>
        <v/>
      </c>
      <c r="Z13" s="6">
        <f>IF(Debt!Z115&gt;Inputs!$F$253,(Z11+Reserves!Z9)/Debt!Z115,0)</f>
        <v/>
      </c>
      <c r="AA13" s="6">
        <f>IF(Debt!AA115&gt;Inputs!$F$253,(AA11+Reserves!AA9)/Debt!AA115,0)</f>
        <v/>
      </c>
      <c r="AB13" s="6">
        <f>IF(Debt!AB115&gt;Inputs!$F$253,(AB11+Reserves!AB9)/Debt!AB115,0)</f>
        <v/>
      </c>
      <c r="AC13" s="6">
        <f>IF(Debt!AC115&gt;Inputs!$F$253,(AC11+Reserves!AC9)/Debt!AC115,0)</f>
        <v/>
      </c>
      <c r="AD13" s="6">
        <f>IF(Debt!AD115&gt;Inputs!$F$253,(AD11+Reserves!AD9)/Debt!AD115,0)</f>
        <v/>
      </c>
      <c r="AE13" s="6">
        <f>IF(Debt!AE115&gt;Inputs!$F$253,(AE11+Reserves!AE9)/Debt!AE115,0)</f>
        <v/>
      </c>
      <c r="AF13" s="6">
        <f>IF(Debt!AF115&gt;Inputs!$F$253,(AF11+Reserves!AF9)/Debt!AF115,0)</f>
        <v/>
      </c>
      <c r="AG13" s="6">
        <f>IF(Debt!AG115&gt;Inputs!$F$253,(AG11+Reserves!AG9)/Debt!AG115,0)</f>
        <v/>
      </c>
      <c r="AH13" s="6">
        <f>IF(Debt!AH115&gt;Inputs!$F$253,(AH11+Reserves!AH9)/Debt!AH115,0)</f>
        <v/>
      </c>
      <c r="AI13" s="6">
        <f>IF(Debt!AI115&gt;Inputs!$F$253,(AI11+Reserves!AI9)/Debt!AI115,0)</f>
        <v/>
      </c>
      <c r="AJ13" s="6">
        <f>IF(Debt!AJ115&gt;Inputs!$F$253,(AJ11+Reserves!AJ9)/Debt!AJ115,0)</f>
        <v/>
      </c>
      <c r="AK13" s="6">
        <f>IF(Debt!AK115&gt;Inputs!$F$253,(AK11+Reserves!AK9)/Debt!AK115,0)</f>
        <v/>
      </c>
      <c r="AL13" s="6">
        <f>IF(Debt!AL115&gt;Inputs!$F$253,(AL11+Reserves!AL9)/Debt!AL115,0)</f>
        <v/>
      </c>
      <c r="AM13" s="6">
        <f>IF(Debt!AM115&gt;Inputs!$F$253,(AM11+Reserves!AM9)/Debt!AM115,0)</f>
        <v/>
      </c>
      <c r="AN13" s="6">
        <f>IF(Debt!AN115&gt;Inputs!$F$253,(AN11+Reserves!AN9)/Debt!AN115,0)</f>
        <v/>
      </c>
      <c r="AO13" s="6">
        <f>IF(Debt!AO115&gt;Inputs!$F$253,(AO11+Reserves!AO9)/Debt!AO115,0)</f>
        <v/>
      </c>
      <c r="AP13" s="6">
        <f>IF(Debt!AP115&gt;Inputs!$F$253,(AP11+Reserves!AP9)/Debt!AP115,0)</f>
        <v/>
      </c>
      <c r="AQ13" s="6">
        <f>IF(Debt!AQ115&gt;Inputs!$F$253,(AQ11+Reserves!AQ9)/Debt!AQ115,0)</f>
        <v/>
      </c>
      <c r="AR13" s="6">
        <f>IF(Debt!AR115&gt;Inputs!$F$253,(AR11+Reserves!AR9)/Debt!AR115,0)</f>
        <v/>
      </c>
      <c r="AS13" s="6">
        <f>IF(Debt!AS115&gt;Inputs!$F$253,(AS11+Reserves!AS9)/Debt!AS115,0)</f>
        <v/>
      </c>
      <c r="AT13" s="6">
        <f>IF(Debt!AT115&gt;Inputs!$F$253,(AT11+Reserves!AT9)/Debt!AT115,0)</f>
        <v/>
      </c>
      <c r="AU13" s="6">
        <f>IF(Debt!AU115&gt;Inputs!$F$253,(AU11+Reserves!AU9)/Debt!AU115,0)</f>
        <v/>
      </c>
      <c r="AV13" s="6">
        <f>IF(Debt!AV115&gt;Inputs!$F$253,(AV11+Reserves!AV9)/Debt!AV115,0)</f>
        <v/>
      </c>
      <c r="AW13" s="6">
        <f>IF(Debt!AW115&gt;Inputs!$F$253,(AW11+Reserves!AW9)/Debt!AW115,0)</f>
        <v/>
      </c>
      <c r="AX13" s="6">
        <f>IF(Debt!AX115&gt;Inputs!$F$253,(AX11+Reserves!AX9)/Debt!AX115,0)</f>
        <v/>
      </c>
      <c r="AY13" s="6">
        <f>IF(Debt!AY115&gt;Inputs!$F$253,(AY11+Reserves!AY9)/Debt!AY115,0)</f>
        <v/>
      </c>
      <c r="AZ13" s="6">
        <f>IF(Debt!AZ115&gt;Inputs!$F$253,(AZ11+Reserves!AZ9)/Debt!AZ115,0)</f>
        <v/>
      </c>
      <c r="BA13" s="6">
        <f>IF(Debt!BA115&gt;Inputs!$F$253,(BA11+Reserves!BA9)/Debt!BA115,0)</f>
        <v/>
      </c>
      <c r="BB13" s="6">
        <f>IF(Debt!BB115&gt;Inputs!$F$253,(BB11+Reserves!BB9)/Debt!BB115,0)</f>
        <v/>
      </c>
      <c r="BC13" s="6">
        <f>IF(Debt!BC115&gt;Inputs!$F$253,(BC11+Reserves!BC9)/Debt!BC115,0)</f>
        <v/>
      </c>
      <c r="BD13" s="6">
        <f>IF(Debt!BD115&gt;Inputs!$F$253,(BD11+Reserves!BD9)/Debt!BD115,0)</f>
        <v/>
      </c>
      <c r="BE13" s="6">
        <f>IF(Debt!BE115&gt;Inputs!$F$253,(BE11+Reserves!BE9)/Debt!BE115,0)</f>
        <v/>
      </c>
      <c r="BF13" s="6">
        <f>IF(Debt!BF115&gt;Inputs!$F$253,(BF11+Reserves!BF9)/Debt!BF115,0)</f>
        <v/>
      </c>
      <c r="BG13" s="6">
        <f>IF(Debt!BG115&gt;Inputs!$F$253,(BG11+Reserves!BG9)/Debt!BG115,0)</f>
        <v/>
      </c>
      <c r="BH13" s="6">
        <f>IF(Debt!BH115&gt;Inputs!$F$253,(BH11+Reserves!BH9)/Debt!BH115,0)</f>
        <v/>
      </c>
      <c r="BI13" s="6">
        <f>IF(Debt!BI115&gt;Inputs!$F$253,(BI11+Reserves!BI9)/Debt!BI115,0)</f>
        <v/>
      </c>
      <c r="BJ13" s="6">
        <f>IF(Debt!BJ115&gt;Inputs!$F$253,(BJ11+Reserves!BJ9)/Debt!BJ115,0)</f>
        <v/>
      </c>
      <c r="BK13" s="6">
        <f>IF(Debt!BK115&gt;Inputs!$F$253,(BK11+Reserves!BK9)/Debt!BK115,0)</f>
        <v/>
      </c>
      <c r="BL13" s="6">
        <f>IF(Debt!BL115&gt;Inputs!$F$253,(BL11+Reserves!BL9)/Debt!BL115,0)</f>
        <v/>
      </c>
      <c r="BM13" s="6">
        <f>IF(Debt!BM115&gt;Inputs!$F$253,(BM11+Reserves!BM9)/Debt!BM115,0)</f>
        <v/>
      </c>
      <c r="BN13" s="6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IF(Debt!J115&gt;Inputs!$F$253,J11/Debt!J115,0)</f>
        <v/>
      </c>
      <c r="K14" s="6">
        <f>IF(Debt!K115&gt;Inputs!$F$253,K11/Debt!K115,0)</f>
        <v/>
      </c>
      <c r="L14" s="6">
        <f>IF(Debt!L115&gt;Inputs!$F$253,L11/Debt!L115,0)</f>
        <v/>
      </c>
      <c r="M14" s="6">
        <f>IF(Debt!M115&gt;Inputs!$F$253,M11/Debt!M115,0)</f>
        <v/>
      </c>
      <c r="N14" s="6">
        <f>IF(Debt!N115&gt;Inputs!$F$253,N11/Debt!N115,0)</f>
        <v/>
      </c>
      <c r="O14" s="6">
        <f>IF(Debt!O115&gt;Inputs!$F$253,O11/Debt!O115,0)</f>
        <v/>
      </c>
      <c r="P14" s="6">
        <f>IF(Debt!P115&gt;Inputs!$F$253,P11/Debt!P115,0)</f>
        <v/>
      </c>
      <c r="Q14" s="6">
        <f>IF(Debt!Q115&gt;Inputs!$F$253,Q11/Debt!Q115,0)</f>
        <v/>
      </c>
      <c r="R14" s="6">
        <f>IF(Debt!R115&gt;Inputs!$F$253,R11/Debt!R115,0)</f>
        <v/>
      </c>
      <c r="S14" s="6">
        <f>IF(Debt!S115&gt;Inputs!$F$253,S11/Debt!S115,0)</f>
        <v/>
      </c>
      <c r="T14" s="6">
        <f>IF(Debt!T115&gt;Inputs!$F$253,T11/Debt!T115,0)</f>
        <v/>
      </c>
      <c r="U14" s="6">
        <f>IF(Debt!U115&gt;Inputs!$F$253,U11/Debt!U115,0)</f>
        <v/>
      </c>
      <c r="V14" s="6">
        <f>IF(Debt!V115&gt;Inputs!$F$253,V11/Debt!V115,0)</f>
        <v/>
      </c>
      <c r="W14" s="6">
        <f>IF(Debt!W115&gt;Inputs!$F$253,W11/Debt!W115,0)</f>
        <v/>
      </c>
      <c r="X14" s="6">
        <f>IF(Debt!X115&gt;Inputs!$F$253,X11/Debt!X115,0)</f>
        <v/>
      </c>
      <c r="Y14" s="6">
        <f>IF(Debt!Y115&gt;Inputs!$F$253,Y11/Debt!Y115,0)</f>
        <v/>
      </c>
      <c r="Z14" s="6">
        <f>IF(Debt!Z115&gt;Inputs!$F$253,Z11/Debt!Z115,0)</f>
        <v/>
      </c>
      <c r="AA14" s="6">
        <f>IF(Debt!AA115&gt;Inputs!$F$253,AA11/Debt!AA115,0)</f>
        <v/>
      </c>
      <c r="AB14" s="6">
        <f>IF(Debt!AB115&gt;Inputs!$F$253,AB11/Debt!AB115,0)</f>
        <v/>
      </c>
      <c r="AC14" s="6">
        <f>IF(Debt!AC115&gt;Inputs!$F$253,AC11/Debt!AC115,0)</f>
        <v/>
      </c>
      <c r="AD14" s="6">
        <f>IF(Debt!AD115&gt;Inputs!$F$253,AD11/Debt!AD115,0)</f>
        <v/>
      </c>
      <c r="AE14" s="6">
        <f>IF(Debt!AE115&gt;Inputs!$F$253,AE11/Debt!AE115,0)</f>
        <v/>
      </c>
      <c r="AF14" s="6">
        <f>IF(Debt!AF115&gt;Inputs!$F$253,AF11/Debt!AF115,0)</f>
        <v/>
      </c>
      <c r="AG14" s="6">
        <f>IF(Debt!AG115&gt;Inputs!$F$253,AG11/Debt!AG115,0)</f>
        <v/>
      </c>
      <c r="AH14" s="6">
        <f>IF(Debt!AH115&gt;Inputs!$F$253,AH11/Debt!AH115,0)</f>
        <v/>
      </c>
      <c r="AI14" s="6">
        <f>IF(Debt!AI115&gt;Inputs!$F$253,AI11/Debt!AI115,0)</f>
        <v/>
      </c>
      <c r="AJ14" s="6">
        <f>IF(Debt!AJ115&gt;Inputs!$F$253,AJ11/Debt!AJ115,0)</f>
        <v/>
      </c>
      <c r="AK14" s="6">
        <f>IF(Debt!AK115&gt;Inputs!$F$253,AK11/Debt!AK115,0)</f>
        <v/>
      </c>
      <c r="AL14" s="6">
        <f>IF(Debt!AL115&gt;Inputs!$F$253,AL11/Debt!AL115,0)</f>
        <v/>
      </c>
      <c r="AM14" s="6">
        <f>IF(Debt!AM115&gt;Inputs!$F$253,AM11/Debt!AM115,0)</f>
        <v/>
      </c>
      <c r="AN14" s="6">
        <f>IF(Debt!AN115&gt;Inputs!$F$253,AN11/Debt!AN115,0)</f>
        <v/>
      </c>
      <c r="AO14" s="6">
        <f>IF(Debt!AO115&gt;Inputs!$F$253,AO11/Debt!AO115,0)</f>
        <v/>
      </c>
      <c r="AP14" s="6">
        <f>IF(Debt!AP115&gt;Inputs!$F$253,AP11/Debt!AP115,0)</f>
        <v/>
      </c>
      <c r="AQ14" s="6">
        <f>IF(Debt!AQ115&gt;Inputs!$F$253,AQ11/Debt!AQ115,0)</f>
        <v/>
      </c>
      <c r="AR14" s="6">
        <f>IF(Debt!AR115&gt;Inputs!$F$253,AR11/Debt!AR115,0)</f>
        <v/>
      </c>
      <c r="AS14" s="6">
        <f>IF(Debt!AS115&gt;Inputs!$F$253,AS11/Debt!AS115,0)</f>
        <v/>
      </c>
      <c r="AT14" s="6">
        <f>IF(Debt!AT115&gt;Inputs!$F$253,AT11/Debt!AT115,0)</f>
        <v/>
      </c>
      <c r="AU14" s="6">
        <f>IF(Debt!AU115&gt;Inputs!$F$253,AU11/Debt!AU115,0)</f>
        <v/>
      </c>
      <c r="AV14" s="6">
        <f>IF(Debt!AV115&gt;Inputs!$F$253,AV11/Debt!AV115,0)</f>
        <v/>
      </c>
      <c r="AW14" s="6">
        <f>IF(Debt!AW115&gt;Inputs!$F$253,AW11/Debt!AW115,0)</f>
        <v/>
      </c>
      <c r="AX14" s="6">
        <f>IF(Debt!AX115&gt;Inputs!$F$253,AX11/Debt!AX115,0)</f>
        <v/>
      </c>
      <c r="AY14" s="6">
        <f>IF(Debt!AY115&gt;Inputs!$F$253,AY11/Debt!AY115,0)</f>
        <v/>
      </c>
      <c r="AZ14" s="6">
        <f>IF(Debt!AZ115&gt;Inputs!$F$253,AZ11/Debt!AZ115,0)</f>
        <v/>
      </c>
      <c r="BA14" s="6">
        <f>IF(Debt!BA115&gt;Inputs!$F$253,BA11/Debt!BA115,0)</f>
        <v/>
      </c>
      <c r="BB14" s="6">
        <f>IF(Debt!BB115&gt;Inputs!$F$253,BB11/Debt!BB115,0)</f>
        <v/>
      </c>
      <c r="BC14" s="6">
        <f>IF(Debt!BC115&gt;Inputs!$F$253,BC11/Debt!BC115,0)</f>
        <v/>
      </c>
      <c r="BD14" s="6">
        <f>IF(Debt!BD115&gt;Inputs!$F$253,BD11/Debt!BD115,0)</f>
        <v/>
      </c>
      <c r="BE14" s="6">
        <f>IF(Debt!BE115&gt;Inputs!$F$253,BE11/Debt!BE115,0)</f>
        <v/>
      </c>
      <c r="BF14" s="6">
        <f>IF(Debt!BF115&gt;Inputs!$F$253,BF11/Debt!BF115,0)</f>
        <v/>
      </c>
      <c r="BG14" s="6">
        <f>IF(Debt!BG115&gt;Inputs!$F$253,BG11/Debt!BG115,0)</f>
        <v/>
      </c>
      <c r="BH14" s="6">
        <f>IF(Debt!BH115&gt;Inputs!$F$253,BH11/Debt!BH115,0)</f>
        <v/>
      </c>
      <c r="BI14" s="6">
        <f>IF(Debt!BI115&gt;Inputs!$F$253,BI11/Debt!BI115,0)</f>
        <v/>
      </c>
      <c r="BJ14" s="6">
        <f>IF(Debt!BJ115&gt;Inputs!$F$253,BJ11/Debt!BJ115,0)</f>
        <v/>
      </c>
      <c r="BK14" s="6">
        <f>IF(Debt!BK115&gt;Inputs!$F$253,BK11/Debt!BK115,0)</f>
        <v/>
      </c>
      <c r="BL14" s="6">
        <f>IF(Debt!BL115&gt;Inputs!$F$253,BL11/Debt!BL115,0)</f>
        <v/>
      </c>
      <c r="BM14" s="6">
        <f>IF(Debt!BM115&gt;Inputs!$F$253,BM11/Debt!BM115,0)</f>
        <v/>
      </c>
      <c r="BN14" s="6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IF(Debt!J115&gt;Inputs!$F$253,J12/Debt!J115,0)</f>
        <v/>
      </c>
      <c r="K15" s="6">
        <f>IF(Debt!K115&gt;Inputs!$F$253,K12/Debt!K115,0)</f>
        <v/>
      </c>
      <c r="L15" s="6">
        <f>IF(Debt!L115&gt;Inputs!$F$253,L12/Debt!L115,0)</f>
        <v/>
      </c>
      <c r="M15" s="6">
        <f>IF(Debt!M115&gt;Inputs!$F$253,M12/Debt!M115,0)</f>
        <v/>
      </c>
      <c r="N15" s="6">
        <f>IF(Debt!N115&gt;Inputs!$F$253,N12/Debt!N115,0)</f>
        <v/>
      </c>
      <c r="O15" s="6">
        <f>IF(Debt!O115&gt;Inputs!$F$253,O12/Debt!O115,0)</f>
        <v/>
      </c>
      <c r="P15" s="6">
        <f>IF(Debt!P115&gt;Inputs!$F$253,P12/Debt!P115,0)</f>
        <v/>
      </c>
      <c r="Q15" s="6">
        <f>IF(Debt!Q115&gt;Inputs!$F$253,Q12/Debt!Q115,0)</f>
        <v/>
      </c>
      <c r="R15" s="6">
        <f>IF(Debt!R115&gt;Inputs!$F$253,R12/Debt!R115,0)</f>
        <v/>
      </c>
      <c r="S15" s="6">
        <f>IF(Debt!S115&gt;Inputs!$F$253,S12/Debt!S115,0)</f>
        <v/>
      </c>
      <c r="T15" s="6">
        <f>IF(Debt!T115&gt;Inputs!$F$253,T12/Debt!T115,0)</f>
        <v/>
      </c>
      <c r="U15" s="6">
        <f>IF(Debt!U115&gt;Inputs!$F$253,U12/Debt!U115,0)</f>
        <v/>
      </c>
      <c r="V15" s="6">
        <f>IF(Debt!V115&gt;Inputs!$F$253,V12/Debt!V115,0)</f>
        <v/>
      </c>
      <c r="W15" s="6">
        <f>IF(Debt!W115&gt;Inputs!$F$253,W12/Debt!W115,0)</f>
        <v/>
      </c>
      <c r="X15" s="6">
        <f>IF(Debt!X115&gt;Inputs!$F$253,X12/Debt!X115,0)</f>
        <v/>
      </c>
      <c r="Y15" s="6">
        <f>IF(Debt!Y115&gt;Inputs!$F$253,Y12/Debt!Y115,0)</f>
        <v/>
      </c>
      <c r="Z15" s="6">
        <f>IF(Debt!Z115&gt;Inputs!$F$253,Z12/Debt!Z115,0)</f>
        <v/>
      </c>
      <c r="AA15" s="6">
        <f>IF(Debt!AA115&gt;Inputs!$F$253,AA12/Debt!AA115,0)</f>
        <v/>
      </c>
      <c r="AB15" s="6">
        <f>IF(Debt!AB115&gt;Inputs!$F$253,AB12/Debt!AB115,0)</f>
        <v/>
      </c>
      <c r="AC15" s="6">
        <f>IF(Debt!AC115&gt;Inputs!$F$253,AC12/Debt!AC115,0)</f>
        <v/>
      </c>
      <c r="AD15" s="6">
        <f>IF(Debt!AD115&gt;Inputs!$F$253,AD12/Debt!AD115,0)</f>
        <v/>
      </c>
      <c r="AE15" s="6">
        <f>IF(Debt!AE115&gt;Inputs!$F$253,AE12/Debt!AE115,0)</f>
        <v/>
      </c>
      <c r="AF15" s="6">
        <f>IF(Debt!AF115&gt;Inputs!$F$253,AF12/Debt!AF115,0)</f>
        <v/>
      </c>
      <c r="AG15" s="6">
        <f>IF(Debt!AG115&gt;Inputs!$F$253,AG12/Debt!AG115,0)</f>
        <v/>
      </c>
      <c r="AH15" s="6">
        <f>IF(Debt!AH115&gt;Inputs!$F$253,AH12/Debt!AH115,0)</f>
        <v/>
      </c>
      <c r="AI15" s="6">
        <f>IF(Debt!AI115&gt;Inputs!$F$253,AI12/Debt!AI115,0)</f>
        <v/>
      </c>
      <c r="AJ15" s="6">
        <f>IF(Debt!AJ115&gt;Inputs!$F$253,AJ12/Debt!AJ115,0)</f>
        <v/>
      </c>
      <c r="AK15" s="6">
        <f>IF(Debt!AK115&gt;Inputs!$F$253,AK12/Debt!AK115,0)</f>
        <v/>
      </c>
      <c r="AL15" s="6">
        <f>IF(Debt!AL115&gt;Inputs!$F$253,AL12/Debt!AL115,0)</f>
        <v/>
      </c>
      <c r="AM15" s="6">
        <f>IF(Debt!AM115&gt;Inputs!$F$253,AM12/Debt!AM115,0)</f>
        <v/>
      </c>
      <c r="AN15" s="6">
        <f>IF(Debt!AN115&gt;Inputs!$F$253,AN12/Debt!AN115,0)</f>
        <v/>
      </c>
      <c r="AO15" s="6">
        <f>IF(Debt!AO115&gt;Inputs!$F$253,AO12/Debt!AO115,0)</f>
        <v/>
      </c>
      <c r="AP15" s="6">
        <f>IF(Debt!AP115&gt;Inputs!$F$253,AP12/Debt!AP115,0)</f>
        <v/>
      </c>
      <c r="AQ15" s="6">
        <f>IF(Debt!AQ115&gt;Inputs!$F$253,AQ12/Debt!AQ115,0)</f>
        <v/>
      </c>
      <c r="AR15" s="6">
        <f>IF(Debt!AR115&gt;Inputs!$F$253,AR12/Debt!AR115,0)</f>
        <v/>
      </c>
      <c r="AS15" s="6">
        <f>IF(Debt!AS115&gt;Inputs!$F$253,AS12/Debt!AS115,0)</f>
        <v/>
      </c>
      <c r="AT15" s="6">
        <f>IF(Debt!AT115&gt;Inputs!$F$253,AT12/Debt!AT115,0)</f>
        <v/>
      </c>
      <c r="AU15" s="6">
        <f>IF(Debt!AU115&gt;Inputs!$F$253,AU12/Debt!AU115,0)</f>
        <v/>
      </c>
      <c r="AV15" s="6">
        <f>IF(Debt!AV115&gt;Inputs!$F$253,AV12/Debt!AV115,0)</f>
        <v/>
      </c>
      <c r="AW15" s="6">
        <f>IF(Debt!AW115&gt;Inputs!$F$253,AW12/Debt!AW115,0)</f>
        <v/>
      </c>
      <c r="AX15" s="6">
        <f>IF(Debt!AX115&gt;Inputs!$F$253,AX12/Debt!AX115,0)</f>
        <v/>
      </c>
      <c r="AY15" s="6">
        <f>IF(Debt!AY115&gt;Inputs!$F$253,AY12/Debt!AY115,0)</f>
        <v/>
      </c>
      <c r="AZ15" s="6">
        <f>IF(Debt!AZ115&gt;Inputs!$F$253,AZ12/Debt!AZ115,0)</f>
        <v/>
      </c>
      <c r="BA15" s="6">
        <f>IF(Debt!BA115&gt;Inputs!$F$253,BA12/Debt!BA115,0)</f>
        <v/>
      </c>
      <c r="BB15" s="6">
        <f>IF(Debt!BB115&gt;Inputs!$F$253,BB12/Debt!BB115,0)</f>
        <v/>
      </c>
      <c r="BC15" s="6">
        <f>IF(Debt!BC115&gt;Inputs!$F$253,BC12/Debt!BC115,0)</f>
        <v/>
      </c>
      <c r="BD15" s="6">
        <f>IF(Debt!BD115&gt;Inputs!$F$253,BD12/Debt!BD115,0)</f>
        <v/>
      </c>
      <c r="BE15" s="6">
        <f>IF(Debt!BE115&gt;Inputs!$F$253,BE12/Debt!BE115,0)</f>
        <v/>
      </c>
      <c r="BF15" s="6">
        <f>IF(Debt!BF115&gt;Inputs!$F$253,BF12/Debt!BF115,0)</f>
        <v/>
      </c>
      <c r="BG15" s="6">
        <f>IF(Debt!BG115&gt;Inputs!$F$253,BG12/Debt!BG115,0)</f>
        <v/>
      </c>
      <c r="BH15" s="6">
        <f>IF(Debt!BH115&gt;Inputs!$F$253,BH12/Debt!BH115,0)</f>
        <v/>
      </c>
      <c r="BI15" s="6">
        <f>IF(Debt!BI115&gt;Inputs!$F$253,BI12/Debt!BI115,0)</f>
        <v/>
      </c>
      <c r="BJ15" s="6">
        <f>IF(Debt!BJ115&gt;Inputs!$F$253,BJ12/Debt!BJ115,0)</f>
        <v/>
      </c>
      <c r="BK15" s="6">
        <f>IF(Debt!BK115&gt;Inputs!$F$253,BK12/Debt!BK115,0)</f>
        <v/>
      </c>
      <c r="BL15" s="6">
        <f>IF(Debt!BL115&gt;Inputs!$F$253,BL12/Debt!BL115,0)</f>
        <v/>
      </c>
      <c r="BM15" s="6">
        <f>IF(Debt!BM115&gt;Inputs!$F$253,BM12/Debt!BM115,0)</f>
        <v/>
      </c>
      <c r="BN15" s="6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6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2026-10-03T21:37:00Z</dcterms:created>
  <dcterms:modified xsi:type="dcterms:W3CDTF">2026-10-03T21:37:00Z</dcterms:modified>
</cp:coreProperties>
</file>