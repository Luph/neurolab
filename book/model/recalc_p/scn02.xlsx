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2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629.9496747784333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224.6022195891398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FC, A-loan, B-loan, commercial and standby (share of their amount; ECA in equal installments)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0.01890095694428932</v>
      </c>
      <c r="Q298" s="6" t="n">
        <v>0.0202905789790784</v>
      </c>
      <c r="R298" s="6" t="n">
        <v>0.02200332954137934</v>
      </c>
      <c r="S298" s="6" t="n">
        <v>0.0230513965167324</v>
      </c>
      <c r="T298" s="6" t="n">
        <v>0.02478569830568763</v>
      </c>
      <c r="U298" s="6" t="n">
        <v>0.026031162687892</v>
      </c>
      <c r="V298" s="6" t="n">
        <v>0.02874437196072473</v>
      </c>
      <c r="W298" s="6" t="n">
        <v>0.03008036171890596</v>
      </c>
      <c r="X298" s="6" t="n">
        <v>0.0287176079977811</v>
      </c>
      <c r="Y298" s="6" t="n">
        <v>0.02863354718565791</v>
      </c>
      <c r="Z298" s="6" t="n">
        <v>0.03043907604633617</v>
      </c>
      <c r="AA298" s="6" t="n">
        <v>0.03176938173911321</v>
      </c>
      <c r="AB298" s="6" t="n">
        <v>0.03403191413177876</v>
      </c>
      <c r="AC298" s="6" t="n">
        <v>0.03568651766808281</v>
      </c>
      <c r="AD298" s="6" t="n">
        <v>0.0404984098748</v>
      </c>
      <c r="AE298" s="6" t="n">
        <v>0.04297859472667483</v>
      </c>
      <c r="AF298" s="6" t="n">
        <v>0.0450772391622633</v>
      </c>
      <c r="AG298" s="6" t="n">
        <v>0.04620125941456013</v>
      </c>
      <c r="AH298" s="6" t="n">
        <v>0.04939410723905355</v>
      </c>
      <c r="AI298" s="6" t="n">
        <v>0.05140402574797549</v>
      </c>
      <c r="AJ298" s="6" t="n">
        <v>0.05475917262981699</v>
      </c>
      <c r="AK298" s="6" t="n">
        <v>0.05717151219099544</v>
      </c>
      <c r="AL298" s="6" t="n">
        <v>0.06174196213781533</v>
      </c>
      <c r="AM298" s="6" t="n">
        <v>0.06420920211471677</v>
      </c>
      <c r="AN298" s="6" t="n">
        <v>0.05246029368361199</v>
      </c>
      <c r="AO298" s="6" t="n">
        <v>0.05093831965427672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profile, tranches other than ECA (share of their amount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0.01921417366754289</v>
      </c>
      <c r="R299" s="6" t="n">
        <v>0.02157269950645734</v>
      </c>
      <c r="S299" s="6" t="n">
        <v>0.02283740847623811</v>
      </c>
      <c r="T299" s="6" t="n">
        <v>0.02458937441572511</v>
      </c>
      <c r="U299" s="6" t="n">
        <v>0.02566745112012972</v>
      </c>
      <c r="V299" s="6" t="n">
        <v>0.02752446381791911</v>
      </c>
      <c r="W299" s="6" t="n">
        <v>0.02990797894283567</v>
      </c>
      <c r="X299" s="6" t="n">
        <v>0.03198133257590892</v>
      </c>
      <c r="Y299" s="6" t="n">
        <v>0.0284421046120348</v>
      </c>
      <c r="Z299" s="6" t="n">
        <v>0.0304883783875258</v>
      </c>
      <c r="AA299" s="6" t="n">
        <v>0.03142433609032401</v>
      </c>
      <c r="AB299" s="6" t="n">
        <v>0.03370679972173535</v>
      </c>
      <c r="AC299" s="6" t="n">
        <v>0.03510603390811671</v>
      </c>
      <c r="AD299" s="6" t="n">
        <v>0.03753764662313459</v>
      </c>
      <c r="AE299" s="6" t="n">
        <v>0.04194862089003002</v>
      </c>
      <c r="AF299" s="6" t="n">
        <v>0.04510869970601768</v>
      </c>
      <c r="AG299" s="6" t="n">
        <v>0.0455134680115367</v>
      </c>
      <c r="AH299" s="6" t="n">
        <v>0.04875435850040231</v>
      </c>
      <c r="AI299" s="6" t="n">
        <v>0.05086119220467461</v>
      </c>
      <c r="AJ299" s="6" t="n">
        <v>0.05423126140990044</v>
      </c>
      <c r="AK299" s="6" t="n">
        <v>0.05642261454693288</v>
      </c>
      <c r="AL299" s="6" t="n">
        <v>0.05995332960660026</v>
      </c>
      <c r="AM299" s="6" t="n">
        <v>0.06365654050982973</v>
      </c>
      <c r="AN299" s="6" t="n">
        <v>0.06767953112917635</v>
      </c>
      <c r="AO299" s="6" t="n">
        <v>0.06587020161927079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0.007128942240394664</v>
      </c>
      <c r="Y300" s="6" t="n">
        <v>0.01135069474925833</v>
      </c>
      <c r="Z300" s="6" t="n">
        <v>0.01350996608273518</v>
      </c>
      <c r="AA300" s="6" t="n">
        <v>0.01370199284980906</v>
      </c>
      <c r="AB300" s="6" t="n">
        <v>0.01578069269993389</v>
      </c>
      <c r="AC300" s="6" t="n">
        <v>0.01627456561789091</v>
      </c>
      <c r="AD300" s="6" t="n">
        <v>0.01821015878564587</v>
      </c>
      <c r="AE300" s="6" t="n">
        <v>0.02166148064467311</v>
      </c>
      <c r="AF300" s="6" t="n">
        <v>0.02424153111889893</v>
      </c>
      <c r="AG300" s="6" t="n">
        <v>0.02462584406453995</v>
      </c>
      <c r="AH300" s="6" t="n">
        <v>0.02713415659998876</v>
      </c>
      <c r="AI300" s="6" t="n">
        <v>0.02793654915128947</v>
      </c>
      <c r="AJ300" s="6" t="n">
        <v>0.03038690403972586</v>
      </c>
      <c r="AK300" s="6" t="n">
        <v>0.03127209105052551</v>
      </c>
      <c r="AL300" s="6" t="n">
        <v>0.03363377355246962</v>
      </c>
      <c r="AM300" s="6" t="n">
        <v>0.0359172051405813</v>
      </c>
      <c r="AN300" s="6" t="n">
        <v>0.03859177597777853</v>
      </c>
      <c r="AO300" s="6" t="n">
        <v>0.03506482728766249</v>
      </c>
      <c r="AP300" s="6" t="n">
        <v>0.09396239592736523</v>
      </c>
      <c r="AQ300" s="6" t="n">
        <v>0.0853801436619559</v>
      </c>
      <c r="AR300" s="6" t="n">
        <v>0.08983408186377174</v>
      </c>
      <c r="AS300" s="6" t="n">
        <v>0.0918858686342667</v>
      </c>
      <c r="AT300" s="6" t="n">
        <v>0.09627021746091165</v>
      </c>
      <c r="AU300" s="6" t="n">
        <v>0.1162441407979283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503.9597395935223</v>
      </c>
      <c r="Q301" s="6" t="n">
        <v>491.4770945834908</v>
      </c>
      <c r="R301" s="6" t="n">
        <v>478.5042300823091</v>
      </c>
      <c r="S301" s="6" t="n">
        <v>464.9271554519713</v>
      </c>
      <c r="T301" s="6" t="n">
        <v>450.9803523296507</v>
      </c>
      <c r="U301" s="6" t="n">
        <v>436.4217364127733</v>
      </c>
      <c r="V301" s="6" t="n">
        <v>421.4237557618857</v>
      </c>
      <c r="W301" s="6" t="n">
        <v>405.4686313439784</v>
      </c>
      <c r="X301" s="6" t="n">
        <v>389.0422073906283</v>
      </c>
      <c r="Y301" s="6" t="n">
        <v>373.0965245445778</v>
      </c>
      <c r="Z301" s="6" t="n">
        <v>357.1804959840188</v>
      </c>
      <c r="AA301" s="6" t="n">
        <v>340.6275277253407</v>
      </c>
      <c r="AB301" s="6" t="n">
        <v>323.6052651093041</v>
      </c>
      <c r="AC301" s="6" t="n">
        <v>305.7848448284669</v>
      </c>
      <c r="AD301" s="6" t="n">
        <v>287.3807270505294</v>
      </c>
      <c r="AE301" s="6" t="n">
        <v>267.2791093121773</v>
      </c>
      <c r="AF301" s="6" t="n">
        <v>246.3025522553589</v>
      </c>
      <c r="AG301" s="6" t="n">
        <v>224.5856525862596</v>
      </c>
      <c r="AH301" s="6" t="n">
        <v>202.4722302496085</v>
      </c>
      <c r="AI301" s="6" t="n">
        <v>179.232461182222</v>
      </c>
      <c r="AJ301" s="6" t="n">
        <v>155.2836495089831</v>
      </c>
      <c r="AK301" s="6" t="n">
        <v>130.1512365715346</v>
      </c>
      <c r="AL301" s="6" t="n">
        <v>104.1678182221423</v>
      </c>
      <c r="AM301" s="6" t="n">
        <v>76.57207393723277</v>
      </c>
      <c r="AN301" s="6" t="n">
        <v>48.10595692093149</v>
      </c>
      <c r="AO301" s="6" t="n">
        <v>23.78452368804357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71.66600088348895</v>
      </c>
      <c r="L309" s="6" t="n">
        <v>73.13661140292268</v>
      </c>
      <c r="M309" s="6" t="n">
        <v>75.01191436182141</v>
      </c>
      <c r="N309" s="6" t="n">
        <v>77.66431772698481</v>
      </c>
      <c r="O309" s="6" t="n">
        <v>81.48479486598529</v>
      </c>
      <c r="P309" s="6" t="n">
        <v>86.75057095409854</v>
      </c>
      <c r="Q309" s="6" t="n">
        <v>93.62109286393991</v>
      </c>
      <c r="R309" s="6" t="n">
        <v>102.3424337527551</v>
      </c>
      <c r="S309" s="6" t="n">
        <v>112.9087224737133</v>
      </c>
      <c r="T309" s="6" t="n">
        <v>125.353413462763</v>
      </c>
      <c r="U309" s="6" t="n">
        <v>139.5560811486539</v>
      </c>
      <c r="V309" s="6" t="n">
        <v>155.4440229952658</v>
      </c>
      <c r="W309" s="6" t="n">
        <v>172.8136949435213</v>
      </c>
      <c r="X309" s="6" t="n">
        <v>191.4156366380475</v>
      </c>
      <c r="Y309" s="6" t="n">
        <v>211.037368268875</v>
      </c>
      <c r="Z309" s="6" t="n">
        <v>231.338225423894</v>
      </c>
      <c r="AA309" s="6" t="n">
        <v>252.0641169680273</v>
      </c>
      <c r="AB309" s="6" t="n">
        <v>273.5633491669572</v>
      </c>
      <c r="AC309" s="6" t="n">
        <v>294.0705657603964</v>
      </c>
      <c r="AD309" s="6" t="n">
        <v>314.0894994948451</v>
      </c>
      <c r="AE309" s="6" t="n">
        <v>333.2257427826887</v>
      </c>
      <c r="AF309" s="6" t="n">
        <v>351.2799287307991</v>
      </c>
      <c r="AG309" s="6" t="n">
        <v>367.9437632657763</v>
      </c>
      <c r="AH309" s="6" t="n">
        <v>383.102103336144</v>
      </c>
      <c r="AI309" s="6" t="n">
        <v>396.5735407491459</v>
      </c>
      <c r="AJ309" s="6" t="n">
        <v>408.2334168264667</v>
      </c>
      <c r="AK309" s="6" t="n">
        <v>418.1443894249751</v>
      </c>
      <c r="AL309" s="6" t="n">
        <v>426.2752805830067</v>
      </c>
      <c r="AM309" s="6" t="n">
        <v>432.8370856977285</v>
      </c>
      <c r="AN309" s="6" t="n">
        <v>437.9936851972857</v>
      </c>
      <c r="AO309" s="6" t="n">
        <v>441.894042737951</v>
      </c>
      <c r="AP309" s="6" t="n">
        <v>445.1472601202943</v>
      </c>
      <c r="AQ309" s="6" t="n">
        <v>477.129138268712</v>
      </c>
      <c r="AR309" s="6" t="n">
        <v>501.7767943702416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1.349268459360587</v>
      </c>
      <c r="AO313" s="6" t="n">
        <v>1.349268459360587</v>
      </c>
      <c r="AP313" s="6" t="n">
        <v>0.1346764825834667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1.347996498659978</v>
      </c>
      <c r="AO314" s="6" t="n">
        <v>1.348670908299698</v>
      </c>
      <c r="AP314" s="6" t="n">
        <v>0.1315344998242534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1.332320689803938</v>
      </c>
      <c r="AO315" s="6" t="n">
        <v>1.332534172686239</v>
      </c>
      <c r="AP315" s="6" t="n">
        <v>0.1288820221780921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1.346613818131373</v>
      </c>
      <c r="AO316" s="6" t="n">
        <v>1.35047003199614</v>
      </c>
      <c r="AP316" s="6" t="n">
        <v>0.1328777691989419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1.325313530240121</v>
      </c>
      <c r="AO317" s="6" t="n">
        <v>1.325570662155964</v>
      </c>
      <c r="AP317" s="6" t="n">
        <v>0.1270254400175953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1.355894145600929</v>
      </c>
      <c r="AO318" s="6" t="n">
        <v>1.355894145600929</v>
      </c>
      <c r="AP318" s="6" t="n">
        <v>0.1384240693155735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1.328499822333211</v>
      </c>
      <c r="AO319" s="6" t="n">
        <v>1.328499822333211</v>
      </c>
      <c r="AP319" s="6" t="n">
        <v>0.1305045085929917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1.347301782935968</v>
      </c>
      <c r="AO320" s="6" t="n">
        <v>1.352921084074254</v>
      </c>
      <c r="AP320" s="6" t="n">
        <v>0.1378036189096376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1.348213060226374</v>
      </c>
      <c r="AO321" s="6" t="n">
        <v>1.348807767077609</v>
      </c>
      <c r="AP321" s="6" t="n">
        <v>0.1317778802522891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1.329151445514715</v>
      </c>
      <c r="AO322" s="6" t="n">
        <v>1.331964869826285</v>
      </c>
      <c r="AP322" s="6" t="n">
        <v>0.1286228720662694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1.348558559952773</v>
      </c>
      <c r="AO323" s="6" t="n">
        <v>1.348558559952773</v>
      </c>
      <c r="AP323" s="6" t="n">
        <v>0.1331822256487179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1.349353107857755</v>
      </c>
      <c r="AO324" s="6" t="n">
        <v>1.349353107857755</v>
      </c>
      <c r="AP324" s="6" t="n">
        <v>0.134774860065219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1.349175281323804</v>
      </c>
      <c r="AO325" s="6" t="n">
        <v>1.349175281323804</v>
      </c>
      <c r="AP325" s="6" t="n">
        <v>0.1360253634872934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1.327179872528122</v>
      </c>
      <c r="AO326" s="6" t="n">
        <v>1.327470256493107</v>
      </c>
      <c r="AP326" s="6" t="n">
        <v>0.1272185250186775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1.343834732756545</v>
      </c>
      <c r="AO327" s="6" t="n">
        <v>1.34384643778647</v>
      </c>
      <c r="AP327" s="6" t="n">
        <v>0.1306066898385685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1.340774244358215</v>
      </c>
      <c r="AO328" s="6" t="n">
        <v>1.340997431917483</v>
      </c>
      <c r="AP328" s="6" t="n">
        <v>0.130169504633303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1.346654239951545</v>
      </c>
      <c r="AO329" s="6" t="n">
        <v>1.346654239951545</v>
      </c>
      <c r="AP329" s="6" t="n">
        <v>0.1352193347623666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1.30842878725664</v>
      </c>
      <c r="AO330" s="6" t="n">
        <v>1.313749128298395</v>
      </c>
      <c r="AP330" s="6" t="n">
        <v>0.1281402219279875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1.338524726594078</v>
      </c>
      <c r="AO331" s="6" t="n">
        <v>1.347916308013477</v>
      </c>
      <c r="AP331" s="6" t="n">
        <v>0.1353536259158339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1.348221459244764</v>
      </c>
      <c r="AO332" s="6" t="n">
        <v>1.349023204938987</v>
      </c>
      <c r="AP332" s="6" t="n">
        <v>0.1327847658513579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1.336733242958217</v>
      </c>
      <c r="AO333" s="6" t="n">
        <v>1.337517017291193</v>
      </c>
      <c r="AP333" s="6" t="n">
        <v>0.1300441094888757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1.354126944305278</v>
      </c>
      <c r="AO334" s="6" t="n">
        <v>1.355430680997783</v>
      </c>
      <c r="AP334" s="6" t="n">
        <v>0.1332456844108569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1.336395435234822</v>
      </c>
      <c r="AO335" s="6" t="n">
        <v>1.336923568846373</v>
      </c>
      <c r="AP335" s="6" t="n">
        <v>0.1290334277495366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1.335656882523195</v>
      </c>
      <c r="AO336" s="6" t="n">
        <v>1.335899714244744</v>
      </c>
      <c r="AP336" s="6" t="n">
        <v>0.1293174509524836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1.310190818859573</v>
      </c>
      <c r="AO337" s="6" t="n">
        <v>1.319992645903234</v>
      </c>
      <c r="AP337" s="6" t="n">
        <v>0.1286493722709294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1.361976518930416</v>
      </c>
      <c r="AO338" s="6" t="n">
        <v>1.362207867458914</v>
      </c>
      <c r="AP338" s="6" t="n">
        <v>0.1366338682524356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1.334679643761687</v>
      </c>
      <c r="AO339" s="6" t="n">
        <v>1.334764974072212</v>
      </c>
      <c r="AP339" s="6" t="n">
        <v>0.1287111990444058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1.323766429386019</v>
      </c>
      <c r="AO340" s="6" t="n">
        <v>1.335232319064067</v>
      </c>
      <c r="AP340" s="6" t="n">
        <v>0.1327112284399539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1.335234286660387</v>
      </c>
      <c r="AO341" s="6" t="n">
        <v>1.344816270902184</v>
      </c>
      <c r="AP341" s="6" t="n">
        <v>0.1347801973772294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1.345126604605417</v>
      </c>
      <c r="AO342" s="6" t="n">
        <v>1.345291321268543</v>
      </c>
      <c r="AP342" s="6" t="n">
        <v>0.1306482290649018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1.347163585899806</v>
      </c>
      <c r="AO343" s="6" t="n">
        <v>1.34773084286982</v>
      </c>
      <c r="AP343" s="6" t="n">
        <v>0.1309754915850508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1.3396703503986</v>
      </c>
      <c r="AO344" s="6" t="n">
        <v>1.340007706616642</v>
      </c>
      <c r="AP344" s="6" t="n">
        <v>0.1301041110624535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1.352140207071155</v>
      </c>
      <c r="AO345" s="6" t="n">
        <v>1.352140207071155</v>
      </c>
      <c r="AP345" s="6" t="n">
        <v>0.1326676917176246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1.34783075902891</v>
      </c>
      <c r="AO346" s="6" t="n">
        <v>1.348561965272871</v>
      </c>
      <c r="AP346" s="6" t="n">
        <v>0.1313310004452464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1.36407053047653</v>
      </c>
      <c r="AO347" s="6" t="n">
        <v>1.364315585906687</v>
      </c>
      <c r="AP347" s="6" t="n">
        <v>0.1391835710083407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1.329082909313607</v>
      </c>
      <c r="AO348" s="6" t="n">
        <v>1.32938357986512</v>
      </c>
      <c r="AP348" s="6" t="n">
        <v>0.1277618692842201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1.339288051039537</v>
      </c>
      <c r="AO349" s="6" t="n">
        <v>1.339391608910755</v>
      </c>
      <c r="AP349" s="6" t="n">
        <v>0.129688721270186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1.325273528017175</v>
      </c>
      <c r="AO350" s="6" t="n">
        <v>1.327174560379129</v>
      </c>
      <c r="AP350" s="6" t="n">
        <v>0.1280770043824049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1.345476774177956</v>
      </c>
      <c r="AO351" s="6" t="n">
        <v>1.346325122495139</v>
      </c>
      <c r="AP351" s="6" t="n">
        <v>0.1313730622799603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1.348268121455122</v>
      </c>
      <c r="AO352" s="6" t="n">
        <v>1.348344847003742</v>
      </c>
      <c r="AP352" s="6" t="n">
        <v>0.1318561168961125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1.333416938094733</v>
      </c>
      <c r="AO353" s="6" t="n">
        <v>1.334647928118782</v>
      </c>
      <c r="AP353" s="6" t="n">
        <v>0.1283468941227507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1.343354926643388</v>
      </c>
      <c r="AO354" s="6" t="n">
        <v>1.345114004241776</v>
      </c>
      <c r="AP354" s="6" t="n">
        <v>0.1302929654727653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1.333465811880312</v>
      </c>
      <c r="AO355" s="6" t="n">
        <v>1.334219489585785</v>
      </c>
      <c r="AP355" s="6" t="n">
        <v>0.128922098369331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1.353976957220096</v>
      </c>
      <c r="AO356" s="6" t="n">
        <v>1.357416058444376</v>
      </c>
      <c r="AP356" s="6" t="n">
        <v>0.1383550408428876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1.325676232809053</v>
      </c>
      <c r="AO357" s="6" t="n">
        <v>1.332854802560107</v>
      </c>
      <c r="AP357" s="6" t="n">
        <v>0.1302711703776238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1.344761701953681</v>
      </c>
      <c r="AO358" s="6" t="n">
        <v>1.345473065436693</v>
      </c>
      <c r="AP358" s="6" t="n">
        <v>0.1305649271102406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1.340983971220601</v>
      </c>
      <c r="AO359" s="6" t="n">
        <v>1.341564365994319</v>
      </c>
      <c r="AP359" s="6" t="n">
        <v>0.1318119435634485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1.323371156071036</v>
      </c>
      <c r="AO360" s="6" t="n">
        <v>1.325288153321605</v>
      </c>
      <c r="AP360" s="6" t="n">
        <v>0.1298535213915417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1.348396039874542</v>
      </c>
      <c r="AO361" s="6" t="n">
        <v>1.348835882612069</v>
      </c>
      <c r="AP361" s="6" t="n">
        <v>0.1313519403781498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1.339996394708022</v>
      </c>
      <c r="AO362" s="6" t="n">
        <v>1.340503733261773</v>
      </c>
      <c r="AP362" s="6" t="n">
        <v>0.1299442098940202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1.343296294739381</v>
      </c>
      <c r="AO363" s="6" t="n">
        <v>1.343653470229935</v>
      </c>
      <c r="AP363" s="6" t="n">
        <v>0.13084384877082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1.33988298317479</v>
      </c>
      <c r="AO364" s="6" t="n">
        <v>1.341868566185736</v>
      </c>
      <c r="AP364" s="6" t="n">
        <v>0.1301573024095342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1.316369354185857</v>
      </c>
      <c r="AO365" s="6" t="n">
        <v>1.326256074154347</v>
      </c>
      <c r="AP365" s="6" t="n">
        <v>0.1301748267149551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1.343193473941861</v>
      </c>
      <c r="AO366" s="6" t="n">
        <v>1.343544274048653</v>
      </c>
      <c r="AP366" s="6" t="n">
        <v>0.1301778540703586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1.346823985995106</v>
      </c>
      <c r="AO367" s="6" t="n">
        <v>1.35469457699247</v>
      </c>
      <c r="AP367" s="6" t="n">
        <v>0.1395119487344225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1.319152190474478</v>
      </c>
      <c r="AO368" s="6" t="n">
        <v>1.31995261871452</v>
      </c>
      <c r="AP368" s="6" t="n">
        <v>0.1265603439063711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1.344069240273133</v>
      </c>
      <c r="AO369" s="6" t="n">
        <v>1.344891642392424</v>
      </c>
      <c r="AP369" s="6" t="n">
        <v>0.1320232365645077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1.31002675102274</v>
      </c>
      <c r="AO370" s="6" t="n">
        <v>1.317020376383423</v>
      </c>
      <c r="AP370" s="6" t="n">
        <v>0.1271066079150684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1.313211966046373</v>
      </c>
      <c r="AO371" s="6" t="n">
        <v>1.327090264065088</v>
      </c>
      <c r="AP371" s="6" t="n">
        <v>0.132361913015695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1.346331074408831</v>
      </c>
      <c r="AO372" s="6" t="n">
        <v>1.347348499838418</v>
      </c>
      <c r="AP372" s="6" t="n">
        <v>0.131053852311211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1.355630922545615</v>
      </c>
      <c r="AO373" s="6" t="n">
        <v>1.355726317078505</v>
      </c>
      <c r="AP373" s="6" t="n">
        <v>0.1345807831070608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1.342521524326263</v>
      </c>
      <c r="AO374" s="6" t="n">
        <v>1.343772151510605</v>
      </c>
      <c r="AP374" s="6" t="n">
        <v>0.131094065411817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1.313562066973086</v>
      </c>
      <c r="AO375" s="6" t="n">
        <v>1.313920210605822</v>
      </c>
      <c r="AP375" s="6" t="n">
        <v>0.1256981576315004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1.34513304299904</v>
      </c>
      <c r="AO376" s="6" t="n">
        <v>1.34717991576944</v>
      </c>
      <c r="AP376" s="6" t="n">
        <v>0.1312557514525886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1.331212998528551</v>
      </c>
      <c r="AO377" s="6" t="n">
        <v>1.336049609182063</v>
      </c>
      <c r="AP377" s="6" t="n">
        <v>0.1300262102459048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1.329152843479864</v>
      </c>
      <c r="AO378" s="6" t="n">
        <v>1.329206735595011</v>
      </c>
      <c r="AP378" s="6" t="n">
        <v>0.1282602647574775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1.34619688476197</v>
      </c>
      <c r="AO379" s="6" t="n">
        <v>1.34644239345908</v>
      </c>
      <c r="AP379" s="6" t="n">
        <v>0.1316482738997403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1.32985712131205</v>
      </c>
      <c r="AO380" s="6" t="n">
        <v>1.33852870936049</v>
      </c>
      <c r="AP380" s="6" t="n">
        <v>0.1348164253828854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1.342741495133856</v>
      </c>
      <c r="AO381" s="6" t="n">
        <v>1.342981005442003</v>
      </c>
      <c r="AP381" s="6" t="n">
        <v>0.1306000498943005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1.318726629396841</v>
      </c>
      <c r="AO382" s="6" t="n">
        <v>1.328088098104901</v>
      </c>
      <c r="AP382" s="6" t="n">
        <v>0.1296354581914381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1.319943040568317</v>
      </c>
      <c r="AO383" s="6" t="n">
        <v>1.320442855174348</v>
      </c>
      <c r="AP383" s="6" t="n">
        <v>0.1281774523787707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1.323908855004925</v>
      </c>
      <c r="AO384" s="6" t="n">
        <v>1.33144066580565</v>
      </c>
      <c r="AP384" s="6" t="n">
        <v>0.1304177877600046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1.351701617372413</v>
      </c>
      <c r="AO385" s="6" t="n">
        <v>1.352510619797092</v>
      </c>
      <c r="AP385" s="6" t="n">
        <v>0.1331331506157298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1.30884615139121</v>
      </c>
      <c r="AO386" s="6" t="n">
        <v>1.321752045349057</v>
      </c>
      <c r="AP386" s="6" t="n">
        <v>0.1299024526652832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1.343322778900673</v>
      </c>
      <c r="AO387" s="6" t="n">
        <v>1.343322778900673</v>
      </c>
      <c r="AP387" s="6" t="n">
        <v>0.1324425016340098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1.35608641428336</v>
      </c>
      <c r="AO388" s="6" t="n">
        <v>1.35608641428336</v>
      </c>
      <c r="AP388" s="6" t="n">
        <v>0.1335812350435938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1.367005710642567</v>
      </c>
      <c r="AO389" s="6" t="n">
        <v>1.367005710642567</v>
      </c>
      <c r="AP389" s="6" t="n">
        <v>0.1445750768911019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1.347935217365376</v>
      </c>
      <c r="AO390" s="6" t="n">
        <v>1.34838997403038</v>
      </c>
      <c r="AP390" s="6" t="n">
        <v>0.1312183621565968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1.326743602410731</v>
      </c>
      <c r="AO391" s="6" t="n">
        <v>1.327164357269816</v>
      </c>
      <c r="AP391" s="6" t="n">
        <v>0.1282463476794143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1.345535633217088</v>
      </c>
      <c r="AO392" s="6" t="n">
        <v>1.350522252045173</v>
      </c>
      <c r="AP392" s="6" t="n">
        <v>0.1332564628204038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1.313563415604644</v>
      </c>
      <c r="AO393" s="6" t="n">
        <v>1.31985548301434</v>
      </c>
      <c r="AP393" s="6" t="n">
        <v>0.1312518111178164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1.347808118680685</v>
      </c>
      <c r="AO394" s="6" t="n">
        <v>1.352305917751644</v>
      </c>
      <c r="AP394" s="6" t="n">
        <v>0.1338832843090514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1.363563689406224</v>
      </c>
      <c r="AO395" s="6" t="n">
        <v>1.363563689406224</v>
      </c>
      <c r="AP395" s="6" t="n">
        <v>0.1414106516999472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1.340426144223261</v>
      </c>
      <c r="AO396" s="6" t="n">
        <v>1.349744466352343</v>
      </c>
      <c r="AP396" s="6" t="n">
        <v>0.1355096190630443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1.291312640950007</v>
      </c>
      <c r="AO397" s="6" t="n">
        <v>1.303043680925554</v>
      </c>
      <c r="AP397" s="6" t="n">
        <v>0.1257808551899803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1.356118516220859</v>
      </c>
      <c r="AO398" s="6" t="n">
        <v>1.356718243359905</v>
      </c>
      <c r="AP398" s="6" t="n">
        <v>0.1339404100528845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1.352776320268632</v>
      </c>
      <c r="AO399" s="6" t="n">
        <v>1.353877052803672</v>
      </c>
      <c r="AP399" s="6" t="n">
        <v>0.1353344447266897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1.334430725200784</v>
      </c>
      <c r="AO400" s="6" t="n">
        <v>1.339340075285681</v>
      </c>
      <c r="AP400" s="6" t="n">
        <v>0.1306690003930967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1.315028811859391</v>
      </c>
      <c r="AO401" s="6" t="n">
        <v>1.32099436083511</v>
      </c>
      <c r="AP401" s="6" t="n">
        <v>0.1285210061263833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1.320692441148261</v>
      </c>
      <c r="AO402" s="6" t="n">
        <v>1.329506889695181</v>
      </c>
      <c r="AP402" s="6" t="n">
        <v>0.1300945880346667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1.336025462218172</v>
      </c>
      <c r="AO403" s="6" t="n">
        <v>1.340188487812739</v>
      </c>
      <c r="AP403" s="6" t="n">
        <v>0.1309101535727886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1.339510162755908</v>
      </c>
      <c r="AO404" s="6" t="n">
        <v>1.339527829185227</v>
      </c>
      <c r="AP404" s="6" t="n">
        <v>0.1299855339784448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1.362859440830283</v>
      </c>
      <c r="AO405" s="6" t="n">
        <v>1.362859440830283</v>
      </c>
      <c r="AP405" s="6" t="n">
        <v>0.1460808148826606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1.348281269950686</v>
      </c>
      <c r="AO406" s="6" t="n">
        <v>1.34862309661492</v>
      </c>
      <c r="AP406" s="6" t="n">
        <v>0.1317043965188223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1.34907549896445</v>
      </c>
      <c r="AO407" s="6" t="n">
        <v>1.349359276211196</v>
      </c>
      <c r="AP407" s="6" t="n">
        <v>0.1319810436490013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1.351912877876339</v>
      </c>
      <c r="AO408" s="6" t="n">
        <v>1.351912877876339</v>
      </c>
      <c r="AP408" s="6" t="n">
        <v>0.1348459071271312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1.351448703404098</v>
      </c>
      <c r="AO409" s="6" t="n">
        <v>1.352819185833986</v>
      </c>
      <c r="AP409" s="6" t="n">
        <v>0.1352370255450107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1.333948560793408</v>
      </c>
      <c r="AO410" s="6" t="n">
        <v>1.338352627502282</v>
      </c>
      <c r="AP410" s="6" t="n">
        <v>0.1308805086096948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1.343854128928109</v>
      </c>
      <c r="AO411" s="6" t="n">
        <v>1.346977664113253</v>
      </c>
      <c r="AP411" s="6" t="n">
        <v>0.1317005970419462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1.331291499441814</v>
      </c>
      <c r="AO412" s="6" t="n">
        <v>1.332217213223298</v>
      </c>
      <c r="AP412" s="6" t="n">
        <v>0.1281853173981494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1.345751023693092</v>
      </c>
      <c r="AO414" s="6" t="n">
        <v>1.345751023693092</v>
      </c>
      <c r="AP414" s="6" t="n">
        <v>0.1317639802489072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1.294625633717477</v>
      </c>
      <c r="AO415" s="6" t="n">
        <v>1.305882933651605</v>
      </c>
      <c r="AP415" s="6" t="n">
        <v>0.1299361050401258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1.355333303414718</v>
      </c>
      <c r="AO416" s="6" t="n">
        <v>1.355333303414718</v>
      </c>
      <c r="AP416" s="6" t="n">
        <v>0.1370245222620737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1.355725845821727</v>
      </c>
      <c r="AO417" s="6" t="n">
        <v>1.355725845821727</v>
      </c>
      <c r="AP417" s="6" t="n">
        <v>0.1378431236199524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1.342562747381703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1.344014565362893</v>
      </c>
      <c r="AO419" s="6" t="n">
        <v>1.344602885499861</v>
      </c>
      <c r="AP419" s="6" t="n">
        <v>0.1303442520149073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1.346104856950289</v>
      </c>
      <c r="AO420" s="6" t="n">
        <v>1.346104856950289</v>
      </c>
      <c r="AP420" s="6" t="n">
        <v>0.133352471342866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1.35893143840045</v>
      </c>
      <c r="AO421" s="6" t="n">
        <v>1.35893143840045</v>
      </c>
      <c r="AP421" s="6" t="n">
        <v>0.1370516437908047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1.33636779156211</v>
      </c>
      <c r="AO422" s="6" t="n">
        <v>1.336605243985115</v>
      </c>
      <c r="AP422" s="6" t="n">
        <v>0.1291746207790855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1.331106665579872</v>
      </c>
      <c r="AO423" s="6" t="n">
        <v>1.339322174673907</v>
      </c>
      <c r="AP423" s="6" t="n">
        <v>0.1323605665946479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1.319927192529078</v>
      </c>
      <c r="AO424" s="6" t="n">
        <v>1.328798395817265</v>
      </c>
      <c r="AP424" s="6" t="n">
        <v>0.1301849944731088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1.325545047554695</v>
      </c>
      <c r="AO425" s="6" t="n">
        <v>1.330517078037287</v>
      </c>
      <c r="AP425" s="6" t="n">
        <v>0.1289026564533403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1.33328073878358</v>
      </c>
      <c r="AO426" s="6" t="n">
        <v>1.339599141402271</v>
      </c>
      <c r="AP426" s="6" t="n">
        <v>0.1317413818986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1.344089481247378</v>
      </c>
      <c r="AO427" s="6" t="n">
        <v>1.345893625010556</v>
      </c>
      <c r="AP427" s="6" t="n">
        <v>0.1333206653248393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1.335157765615511</v>
      </c>
      <c r="AO428" s="6" t="n">
        <v>1.338062280798219</v>
      </c>
      <c r="AP428" s="6" t="n">
        <v>0.130478607115311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1.32953469646003</v>
      </c>
      <c r="AO429" s="6" t="n">
        <v>1.33085174545245</v>
      </c>
      <c r="AP429" s="6" t="n">
        <v>0.1283381950489212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1.332755682208188</v>
      </c>
      <c r="AO430" s="6" t="n">
        <v>1.332755682208188</v>
      </c>
      <c r="AP430" s="6" t="n">
        <v>0.1284056003088921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1.334237277808306</v>
      </c>
      <c r="AO431" s="6" t="n">
        <v>1.340073100257854</v>
      </c>
      <c r="AP431" s="6" t="n">
        <v>0.1312504603170813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1.338949912851809</v>
      </c>
      <c r="AO432" s="6" t="n">
        <v>1.340114835952044</v>
      </c>
      <c r="AP432" s="6" t="n">
        <v>0.1298350475079155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1.353500263734241</v>
      </c>
      <c r="AO433" s="6" t="n">
        <v>1.353500263734241</v>
      </c>
      <c r="AP433" s="6" t="n">
        <v>0.1339149632404601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1.329113297774521</v>
      </c>
      <c r="AO434" s="6" t="n">
        <v>1.329176092040048</v>
      </c>
      <c r="AP434" s="6" t="n">
        <v>0.128186042070478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1.337805561522549</v>
      </c>
      <c r="AO435" s="6" t="n">
        <v>1.338076832962205</v>
      </c>
      <c r="AP435" s="6" t="n">
        <v>0.129594460407353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1.354279830861497</v>
      </c>
      <c r="AO436" s="6" t="n">
        <v>1.354279830861497</v>
      </c>
      <c r="AP436" s="6" t="n">
        <v>0.1365186305526835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1.332903385550557</v>
      </c>
      <c r="AO437" s="6" t="n">
        <v>1.333252387602138</v>
      </c>
      <c r="AP437" s="6" t="n">
        <v>0.129072640365833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1.345782589315142</v>
      </c>
      <c r="AO438" s="6" t="n">
        <v>1.345807493385457</v>
      </c>
      <c r="AP438" s="6" t="n">
        <v>0.1319599918682934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1.350723051849315</v>
      </c>
      <c r="AO439" s="6" t="n">
        <v>1.351347357872856</v>
      </c>
      <c r="AP439" s="6" t="n">
        <v>0.1319928692419763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1.32115369744934</v>
      </c>
      <c r="AO440" s="6" t="n">
        <v>1.329264799648232</v>
      </c>
      <c r="AP440" s="6" t="n">
        <v>0.1337607552670632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1.338530414496974</v>
      </c>
      <c r="AO441" s="6" t="n">
        <v>1.338785728089779</v>
      </c>
      <c r="AP441" s="6" t="n">
        <v>0.1301201777613693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1.352563519202662</v>
      </c>
      <c r="AO442" s="6" t="n">
        <v>1.353013914351395</v>
      </c>
      <c r="AP442" s="6" t="n">
        <v>0.1355077438591996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1.303052330672057</v>
      </c>
      <c r="AO443" s="6" t="n">
        <v>1.307083044694588</v>
      </c>
      <c r="AP443" s="6" t="n">
        <v>0.1319783092167152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1.344294529833688</v>
      </c>
      <c r="AO444" s="6" t="n">
        <v>1.344844028804818</v>
      </c>
      <c r="AP444" s="6" t="n">
        <v>0.1309460803395292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1.343994791115136</v>
      </c>
      <c r="AO445" s="6" t="n">
        <v>1.345955076245606</v>
      </c>
      <c r="AP445" s="6" t="n">
        <v>0.1318055220171628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1.34122139837974</v>
      </c>
      <c r="AO446" s="6" t="n">
        <v>1.342128911902177</v>
      </c>
      <c r="AP446" s="6" t="n">
        <v>0.130350755188216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1.321208234247771</v>
      </c>
      <c r="AO447" s="6" t="n">
        <v>1.321674747629267</v>
      </c>
      <c r="AP447" s="6" t="n">
        <v>0.1262902557430602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1.346745791646475</v>
      </c>
      <c r="AO448" s="6" t="n">
        <v>1.346955437679333</v>
      </c>
      <c r="AP448" s="6" t="n">
        <v>0.131160781434414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1.324065309397784</v>
      </c>
      <c r="AO449" s="6" t="n">
        <v>1.324214941589153</v>
      </c>
      <c r="AP449" s="6" t="n">
        <v>0.1270112191943817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1.297132873398233</v>
      </c>
      <c r="AO450" s="6" t="n">
        <v>1.306261757038021</v>
      </c>
      <c r="AP450" s="6" t="n">
        <v>0.1271174586598527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1.351703876209485</v>
      </c>
      <c r="AO451" s="6" t="n">
        <v>1.356426927723323</v>
      </c>
      <c r="AP451" s="6" t="n">
        <v>0.1356246167546544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1.336058934483644</v>
      </c>
      <c r="AO452" s="6" t="n">
        <v>1.336444483063454</v>
      </c>
      <c r="AP452" s="6" t="n">
        <v>0.1292941047570703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1.315559711927989</v>
      </c>
      <c r="AO453" s="6" t="n">
        <v>1.323398286413417</v>
      </c>
      <c r="AP453" s="6" t="n">
        <v>0.1289847217179687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1.34727637535586</v>
      </c>
      <c r="AO454" s="6" t="n">
        <v>1.349099490115822</v>
      </c>
      <c r="AP454" s="6" t="n">
        <v>0.132958627883877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1.359574074211316</v>
      </c>
      <c r="AO455" s="6" t="n">
        <v>1.367591812211369</v>
      </c>
      <c r="AP455" s="6" t="n">
        <v>0.1436839162579065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1.328372309854306</v>
      </c>
      <c r="AO456" s="6" t="n">
        <v>1.336562829484341</v>
      </c>
      <c r="AP456" s="6" t="n">
        <v>0.131785155892962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1.344237744783774</v>
      </c>
      <c r="AO457" s="6" t="n">
        <v>1.344302548700429</v>
      </c>
      <c r="AP457" s="6" t="n">
        <v>0.130736013364608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1.337113098675413</v>
      </c>
      <c r="AO458" s="6" t="n">
        <v>1.337279593230455</v>
      </c>
      <c r="AP458" s="6" t="n">
        <v>0.1296685025047606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1.335075191927812</v>
      </c>
      <c r="AO459" s="6" t="n">
        <v>1.335834411848047</v>
      </c>
      <c r="AP459" s="6" t="n">
        <v>0.1290092143517242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1.355714428677534</v>
      </c>
      <c r="AO460" s="6" t="n">
        <v>1.355714428677534</v>
      </c>
      <c r="AP460" s="6" t="n">
        <v>0.1347893491790902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1.342707289145209</v>
      </c>
      <c r="AO461" s="6" t="n">
        <v>1.352777632249449</v>
      </c>
      <c r="AP461" s="6" t="n">
        <v>0.1370817403957858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1.348240552994284</v>
      </c>
      <c r="AO462" s="6" t="n">
        <v>1.348444649663091</v>
      </c>
      <c r="AP462" s="6" t="n">
        <v>0.1313815865398968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1.333085232395674</v>
      </c>
      <c r="AO463" s="6" t="n">
        <v>1.333206759779822</v>
      </c>
      <c r="AP463" s="6" t="n">
        <v>0.1280808533383906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1.345332351315808</v>
      </c>
      <c r="AO464" s="6" t="n">
        <v>1.345680997409885</v>
      </c>
      <c r="AP464" s="6" t="n">
        <v>0.1322028703076382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1.360712507153566</v>
      </c>
      <c r="AO465" s="6" t="n">
        <v>1.360712507153566</v>
      </c>
      <c r="AP465" s="6" t="n">
        <v>0.1396648574033879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1.332359359331765</v>
      </c>
      <c r="AO466" s="6" t="n">
        <v>1.332791713215412</v>
      </c>
      <c r="AP466" s="6" t="n">
        <v>0.1289764016103216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1.349538731776241</v>
      </c>
      <c r="AO467" s="6" t="n">
        <v>1.352867510420479</v>
      </c>
      <c r="AP467" s="6" t="n">
        <v>0.1385470181138747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1.320589844815208</v>
      </c>
      <c r="AO468" s="6" t="n">
        <v>1.327368888822797</v>
      </c>
      <c r="AP468" s="6" t="n">
        <v>0.128647978960742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1.295166664818977</v>
      </c>
      <c r="AO469" s="6" t="n">
        <v>1.297182783900117</v>
      </c>
      <c r="AP469" s="6" t="n">
        <v>0.1304894161847815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1.320569215020753</v>
      </c>
      <c r="AO470" s="6" t="n">
        <v>1.321467871560784</v>
      </c>
      <c r="AP470" s="6" t="n">
        <v>0.126605339782838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1.354105101142534</v>
      </c>
      <c r="AO471" s="6" t="n">
        <v>1.354105101142534</v>
      </c>
      <c r="AP471" s="6" t="n">
        <v>0.1357249147662514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1.344732493896014</v>
      </c>
      <c r="AO472" s="6" t="n">
        <v>1.345433058578092</v>
      </c>
      <c r="AP472" s="6" t="n">
        <v>0.1305723916900611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1.320527466709872</v>
      </c>
      <c r="AO473" s="6" t="n">
        <v>1.320910988290363</v>
      </c>
      <c r="AP473" s="6" t="n">
        <v>0.1327373782426537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1.343747352289499</v>
      </c>
      <c r="AO474" s="6" t="n">
        <v>1.34375248542843</v>
      </c>
      <c r="AP474" s="6" t="n">
        <v>0.1307902424371449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1.305260450844462</v>
      </c>
      <c r="AO475" s="6" t="n">
        <v>1.315572923050524</v>
      </c>
      <c r="AP475" s="6" t="n">
        <v>0.1288613956610344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1.352753419936436</v>
      </c>
      <c r="AO476" s="6" t="n">
        <v>1.352753419936436</v>
      </c>
      <c r="AP476" s="6" t="n">
        <v>0.1341142596947112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1.332058760349896</v>
      </c>
      <c r="AO477" s="6" t="n">
        <v>1.332442341211738</v>
      </c>
      <c r="AP477" s="6" t="n">
        <v>0.1282540370647048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1.355142759072002</v>
      </c>
      <c r="AO478" s="6" t="n">
        <v>1.356084492414882</v>
      </c>
      <c r="AP478" s="6" t="n">
        <v>0.1356582176799097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1.357178068087102</v>
      </c>
      <c r="AO479" s="6" t="n">
        <v>1.357533433726247</v>
      </c>
      <c r="AP479" s="6" t="n">
        <v>0.1356339318962017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1.34913956872196</v>
      </c>
      <c r="AO480" s="6" t="n">
        <v>1.349863207050608</v>
      </c>
      <c r="AP480" s="6" t="n">
        <v>0.1322645758451423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1.326501718948124</v>
      </c>
      <c r="AO481" s="6" t="n">
        <v>1.327567833588608</v>
      </c>
      <c r="AP481" s="6" t="n">
        <v>0.1281950282516957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1.345469393083388</v>
      </c>
      <c r="AO482" s="6" t="n">
        <v>1.346000733666006</v>
      </c>
      <c r="AP482" s="6" t="n">
        <v>0.1324174004286523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1.349012744031906</v>
      </c>
      <c r="AO483" s="6" t="n">
        <v>1.349117676649678</v>
      </c>
      <c r="AP483" s="6" t="n">
        <v>0.1331181784997692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1.359757638941443</v>
      </c>
      <c r="AO484" s="6" t="n">
        <v>1.359768037530064</v>
      </c>
      <c r="AP484" s="6" t="n">
        <v>0.1396625166738554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1.339096704443751</v>
      </c>
      <c r="AO485" s="6" t="n">
        <v>1.339117718139586</v>
      </c>
      <c r="AP485" s="6" t="n">
        <v>0.128887257128481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1.334415672314592</v>
      </c>
      <c r="AO486" s="6" t="n">
        <v>1.341610944548455</v>
      </c>
      <c r="AP486" s="6" t="n">
        <v>0.1330772203461371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1.320220157737766</v>
      </c>
      <c r="AO487" s="6" t="n">
        <v>1.32396707923988</v>
      </c>
      <c r="AP487" s="6" t="n">
        <v>0.1294749622596489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1.332069956952847</v>
      </c>
      <c r="AO488" s="6" t="n">
        <v>1.332346270356367</v>
      </c>
      <c r="AP488" s="6" t="n">
        <v>0.1289491983630327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1.349099650477526</v>
      </c>
      <c r="AO489" s="6" t="n">
        <v>1.349410449642535</v>
      </c>
      <c r="AP489" s="6" t="n">
        <v>0.1337689579944194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1.333590651582709</v>
      </c>
      <c r="AO490" s="6" t="n">
        <v>1.342056529785391</v>
      </c>
      <c r="AP490" s="6" t="n">
        <v>0.1320149024759977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1.325649088086084</v>
      </c>
      <c r="AO491" s="6" t="n">
        <v>1.330157609993189</v>
      </c>
      <c r="AP491" s="6" t="n">
        <v>0.1289017951249646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1.339108723940757</v>
      </c>
      <c r="AO492" s="6" t="n">
        <v>1.339538571743515</v>
      </c>
      <c r="AP492" s="6" t="n">
        <v>0.1301799553759533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1.330011395758225</v>
      </c>
      <c r="AO493" s="6" t="n">
        <v>1.337178444356061</v>
      </c>
      <c r="AP493" s="6" t="n">
        <v>0.1306010709199944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1.337309204785449</v>
      </c>
      <c r="AO494" s="6" t="n">
        <v>1.34242267863482</v>
      </c>
      <c r="AP494" s="6" t="n">
        <v>0.1349447053623695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1.344753714291964</v>
      </c>
      <c r="AO495" s="6" t="n">
        <v>1.344990473609785</v>
      </c>
      <c r="AP495" s="6" t="n">
        <v>0.1306923777779136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1.346033700167081</v>
      </c>
      <c r="AO496" s="6" t="n">
        <v>1.346033700167081</v>
      </c>
      <c r="AP496" s="6" t="n">
        <v>0.1326829985732686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1.322013110427525</v>
      </c>
      <c r="AO497" s="6" t="n">
        <v>1.329633526611192</v>
      </c>
      <c r="AP497" s="6" t="n">
        <v>0.1350244181967536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1.356620797880409</v>
      </c>
      <c r="AO498" s="6" t="n">
        <v>1.356620797880409</v>
      </c>
      <c r="AP498" s="6" t="n">
        <v>0.1359018734511145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1.338700862552135</v>
      </c>
      <c r="AO499" s="6" t="n">
        <v>1.339339413571484</v>
      </c>
      <c r="AP499" s="6" t="n">
        <v>0.1301424518069533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1.354694317174321</v>
      </c>
      <c r="AO500" s="6" t="n">
        <v>1.355327905117179</v>
      </c>
      <c r="AP500" s="6" t="n">
        <v>0.1365751492158991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1.347973257755752</v>
      </c>
      <c r="AO501" s="6" t="n">
        <v>1.347973257755752</v>
      </c>
      <c r="AP501" s="6" t="n">
        <v>0.1329183203473979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1.343900999119926</v>
      </c>
      <c r="AO502" s="6" t="n">
        <v>1.347557950516867</v>
      </c>
      <c r="AP502" s="6" t="n">
        <v>0.1330093661963505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1.332991582065784</v>
      </c>
      <c r="AO503" s="6" t="n">
        <v>1.338264780121923</v>
      </c>
      <c r="AP503" s="6" t="n">
        <v>0.1300605385890621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1.359119102564101</v>
      </c>
      <c r="AO504" s="6" t="n">
        <v>1.359847942098684</v>
      </c>
      <c r="AP504" s="6" t="n">
        <v>0.1363319091017522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1.319505851187056</v>
      </c>
      <c r="AO505" s="6" t="n">
        <v>1.328676921678987</v>
      </c>
      <c r="AP505" s="6" t="n">
        <v>0.1300325160300183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1.342339292947594</v>
      </c>
      <c r="AO506" s="6" t="n">
        <v>1.342909476570757</v>
      </c>
      <c r="AP506" s="6" t="n">
        <v>0.1309317893848093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1.336586083155397</v>
      </c>
      <c r="AO507" s="6" t="n">
        <v>1.339438528653878</v>
      </c>
      <c r="AP507" s="6" t="n">
        <v>0.1301779164337239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1.355449635899673</v>
      </c>
      <c r="AO508" s="6" t="n">
        <v>1.35607670455608</v>
      </c>
      <c r="AP508" s="6" t="n">
        <v>0.1351003162721526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1.352187657420571</v>
      </c>
      <c r="AO509" s="6" t="n">
        <v>1.352187657420571</v>
      </c>
      <c r="AP509" s="6" t="n">
        <v>0.1329746540484426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1.338302760298062</v>
      </c>
      <c r="AO510" s="6" t="n">
        <v>1.338604321037392</v>
      </c>
      <c r="AP510" s="6" t="n">
        <v>0.1296356198178094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1.349976993235009</v>
      </c>
      <c r="AO511" s="6" t="n">
        <v>1.349976993235009</v>
      </c>
      <c r="AP511" s="6" t="n">
        <v>0.1361872244136893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1.321754468111834</v>
      </c>
      <c r="AO512" s="6" t="n">
        <v>1.325449370696505</v>
      </c>
      <c r="AP512" s="6" t="n">
        <v>0.1296585382530291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1.339535174526991</v>
      </c>
      <c r="AO513" s="6" t="n">
        <v>1.340810535271509</v>
      </c>
      <c r="AP513" s="6" t="n">
        <v>0.1298310402760929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1.322226348608658</v>
      </c>
      <c r="AO514" s="6" t="n">
        <v>1.322880818820662</v>
      </c>
      <c r="AP514" s="6" t="n">
        <v>0.1266239424943993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1.348058320693477</v>
      </c>
      <c r="AO515" s="6" t="n">
        <v>1.348292922114059</v>
      </c>
      <c r="AP515" s="6" t="n">
        <v>0.1321520905638986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1.35038181204351</v>
      </c>
      <c r="AO516" s="6" t="n">
        <v>1.35115934452934</v>
      </c>
      <c r="AP516" s="6" t="n">
        <v>0.1317935665098138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1.341175270244014</v>
      </c>
      <c r="AO517" s="6" t="n">
        <v>1.342436649286479</v>
      </c>
      <c r="AP517" s="6" t="n">
        <v>0.134508969581359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1.345616898250065</v>
      </c>
      <c r="AO518" s="6" t="n">
        <v>1.350501295934281</v>
      </c>
      <c r="AP518" s="6" t="n">
        <v>0.1342086544406594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1.352528989038112</v>
      </c>
      <c r="AO519" s="6" t="n">
        <v>1.352528989038112</v>
      </c>
      <c r="AP519" s="6" t="n">
        <v>0.1371946204834965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1.326244408016925</v>
      </c>
      <c r="AO520" s="6" t="n">
        <v>1.326590663880986</v>
      </c>
      <c r="AP520" s="6" t="n">
        <v>0.1267259913483556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1.353633770224289</v>
      </c>
      <c r="AO521" s="6" t="n">
        <v>1.353633770224289</v>
      </c>
      <c r="AP521" s="6" t="n">
        <v>0.1349018143382415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1.332482707367538</v>
      </c>
      <c r="AO522" s="6" t="n">
        <v>1.333147744989096</v>
      </c>
      <c r="AP522" s="6" t="n">
        <v>0.1289947377797782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1.356324718599348</v>
      </c>
      <c r="AO523" s="6" t="n">
        <v>1.356324718599348</v>
      </c>
      <c r="AP523" s="6" t="n">
        <v>0.1338600500304328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1.35435218554278</v>
      </c>
      <c r="AO524" s="6" t="n">
        <v>1.355502081202979</v>
      </c>
      <c r="AP524" s="6" t="n">
        <v>0.1391490890556373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1.32396224455589</v>
      </c>
      <c r="AO525" s="6" t="n">
        <v>1.325402650329296</v>
      </c>
      <c r="AP525" s="6" t="n">
        <v>0.1261382297973318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1.335269687380037</v>
      </c>
      <c r="AO526" s="6" t="n">
        <v>1.335629539370384</v>
      </c>
      <c r="AP526" s="6" t="n">
        <v>0.1289707928044994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1.351860857794946</v>
      </c>
      <c r="AO527" s="6" t="n">
        <v>1.352384374829609</v>
      </c>
      <c r="AP527" s="6" t="n">
        <v>0.1336814475991907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1.340151978537913</v>
      </c>
      <c r="AO528" s="6" t="n">
        <v>1.342588335508262</v>
      </c>
      <c r="AP528" s="6" t="n">
        <v>0.1314632105409917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1.340322282554136</v>
      </c>
      <c r="AO529" s="6" t="n">
        <v>1.345685615566224</v>
      </c>
      <c r="AP529" s="6" t="n">
        <v>0.1331270627127059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1.344793454964822</v>
      </c>
      <c r="AO530" s="6" t="n">
        <v>1.345466725721681</v>
      </c>
      <c r="AP530" s="6" t="n">
        <v>0.1308979243218012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1.342605091792134</v>
      </c>
      <c r="AO531" s="6" t="n">
        <v>1.351696622729678</v>
      </c>
      <c r="AP531" s="6" t="n">
        <v>0.1377155795521633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1.321682850353028</v>
      </c>
      <c r="AO532" s="6" t="n">
        <v>1.330040060545342</v>
      </c>
      <c r="AP532" s="6" t="n">
        <v>0.1299778734047795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1.340028585815166</v>
      </c>
      <c r="AO533" s="6" t="n">
        <v>1.340812684903197</v>
      </c>
      <c r="AP533" s="6" t="n">
        <v>0.1308443771127596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1.314474843987326</v>
      </c>
      <c r="AO534" s="6" t="n">
        <v>1.32476863238185</v>
      </c>
      <c r="AP534" s="6" t="n">
        <v>0.1303953131967203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1.340958162245035</v>
      </c>
      <c r="AO535" s="6" t="n">
        <v>1.344425621797372</v>
      </c>
      <c r="AP535" s="6" t="n">
        <v>0.131615360619156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1.29341379157308</v>
      </c>
      <c r="AO536" s="6" t="n">
        <v>1.312147022489389</v>
      </c>
      <c r="AP536" s="6" t="n">
        <v>0.1304506779682147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1.3289974005266</v>
      </c>
      <c r="AO537" s="6" t="n">
        <v>1.333855797341574</v>
      </c>
      <c r="AP537" s="6" t="n">
        <v>0.1306833039979384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1.343052732755783</v>
      </c>
      <c r="AO538" s="6" t="n">
        <v>1.343406881948378</v>
      </c>
      <c r="AP538" s="6" t="n">
        <v>0.1299563624189171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1.350064034950088</v>
      </c>
      <c r="AO539" s="6" t="n">
        <v>1.350064034950088</v>
      </c>
      <c r="AP539" s="6" t="n">
        <v>0.135305568254267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1.333588918067884</v>
      </c>
      <c r="AO540" s="6" t="n">
        <v>1.333831997382483</v>
      </c>
      <c r="AP540" s="6" t="n">
        <v>0.1290373072720266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1.346385842765927</v>
      </c>
      <c r="AO541" s="6" t="n">
        <v>1.346613827465517</v>
      </c>
      <c r="AP541" s="6" t="n">
        <v>0.1308723639758612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1.329483596385983</v>
      </c>
      <c r="AO542" s="6" t="n">
        <v>1.330812439588632</v>
      </c>
      <c r="AP542" s="6" t="n">
        <v>0.1282055294968317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1.327203764001524</v>
      </c>
      <c r="AO543" s="6" t="n">
        <v>1.334411604695925</v>
      </c>
      <c r="AP543" s="6" t="n">
        <v>0.1305803849719096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1.32548608070666</v>
      </c>
      <c r="AO544" s="6" t="n">
        <v>1.330663305986783</v>
      </c>
      <c r="AP544" s="6" t="n">
        <v>0.128689511332483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1.334711256868152</v>
      </c>
      <c r="AO545" s="6" t="n">
        <v>1.334971282279523</v>
      </c>
      <c r="AP545" s="6" t="n">
        <v>0.1288902554554238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1.335460840744784</v>
      </c>
      <c r="AO546" s="6" t="n">
        <v>1.335496862156999</v>
      </c>
      <c r="AP546" s="6" t="n">
        <v>0.1286062505961836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1.306937435460949</v>
      </c>
      <c r="AO547" s="6" t="n">
        <v>1.307280413445409</v>
      </c>
      <c r="AP547" s="6" t="n">
        <v>0.124528069357484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1.350585699999105</v>
      </c>
      <c r="AO548" s="6" t="n">
        <v>1.350993419597566</v>
      </c>
      <c r="AP548" s="6" t="n">
        <v>0.1344104540798059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1.3499261372989</v>
      </c>
      <c r="AO549" s="6" t="n">
        <v>1.3499261372989</v>
      </c>
      <c r="AP549" s="6" t="n">
        <v>0.1334559717458103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1.345294463892088</v>
      </c>
      <c r="AO550" s="6" t="n">
        <v>1.345525803464778</v>
      </c>
      <c r="AP550" s="6" t="n">
        <v>0.1322256699334709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1.338477970582846</v>
      </c>
      <c r="AO551" s="6" t="n">
        <v>1.338502530435415</v>
      </c>
      <c r="AP551" s="6" t="n">
        <v>0.1293862236812048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1.309014960858276</v>
      </c>
      <c r="AO552" s="6" t="n">
        <v>1.31701428363978</v>
      </c>
      <c r="AP552" s="6" t="n">
        <v>0.1282543686735479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1.329844482339416</v>
      </c>
      <c r="AO553" s="6" t="n">
        <v>1.330324547449614</v>
      </c>
      <c r="AP553" s="6" t="n">
        <v>0.1281070180466107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1.336499711801402</v>
      </c>
      <c r="AO554" s="6" t="n">
        <v>1.348682226022833</v>
      </c>
      <c r="AP554" s="6" t="n">
        <v>0.1371222490564099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1.300771958747107</v>
      </c>
      <c r="AO555" s="6" t="n">
        <v>1.312300187970838</v>
      </c>
      <c r="AP555" s="6" t="n">
        <v>0.1266614655138781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1.293102631607709</v>
      </c>
      <c r="AO556" s="6" t="n">
        <v>1.29815087700881</v>
      </c>
      <c r="AP556" s="6" t="n">
        <v>0.1299795850900366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1.349861687477164</v>
      </c>
      <c r="AO557" s="6" t="n">
        <v>1.349861687477164</v>
      </c>
      <c r="AP557" s="6" t="n">
        <v>0.1323275517204733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1.337658081551306</v>
      </c>
      <c r="AO558" s="6" t="n">
        <v>1.338204213360084</v>
      </c>
      <c r="AP558" s="6" t="n">
        <v>0.130170912007716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1.331151165242743</v>
      </c>
      <c r="AO559" s="6" t="n">
        <v>1.331698361165076</v>
      </c>
      <c r="AP559" s="6" t="n">
        <v>0.1287304241547984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1.343366911469451</v>
      </c>
      <c r="AO560" s="6" t="n">
        <v>1.343460168633158</v>
      </c>
      <c r="AP560" s="6" t="n">
        <v>0.1316471617205426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1.348469816815806</v>
      </c>
      <c r="AO561" s="6" t="n">
        <v>1.348728298134388</v>
      </c>
      <c r="AP561" s="6" t="n">
        <v>0.1315514339902467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1.349432470602062</v>
      </c>
      <c r="AO562" s="6" t="n">
        <v>1.349432470602062</v>
      </c>
      <c r="AP562" s="6" t="n">
        <v>0.134455990674755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1.335485022591625</v>
      </c>
      <c r="AO563" s="6" t="n">
        <v>1.343990550962612</v>
      </c>
      <c r="AP563" s="6" t="n">
        <v>0.1341311659111682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1.330481261570458</v>
      </c>
      <c r="AO564" s="6" t="n">
        <v>1.339017602866406</v>
      </c>
      <c r="AP564" s="6" t="n">
        <v>0.1328343248359984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1.348602498892381</v>
      </c>
      <c r="AO565" s="6" t="n">
        <v>1.349405744826248</v>
      </c>
      <c r="AP565" s="6" t="n">
        <v>0.132219741134932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1.316789430552671</v>
      </c>
      <c r="AO566" s="6" t="n">
        <v>1.319566749991128</v>
      </c>
      <c r="AP566" s="6" t="n">
        <v>0.1321951616796922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1.331032231787457</v>
      </c>
      <c r="AO567" s="6" t="n">
        <v>1.331499734238422</v>
      </c>
      <c r="AP567" s="6" t="n">
        <v>0.1280732278998306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1.319241182285155</v>
      </c>
      <c r="AO568" s="6" t="n">
        <v>1.328470143521233</v>
      </c>
      <c r="AP568" s="6" t="n">
        <v>0.1299086987151608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1.348783233686286</v>
      </c>
      <c r="AO569" s="6" t="n">
        <v>1.349269514687725</v>
      </c>
      <c r="AP569" s="6" t="n">
        <v>0.1314771875991262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1.341916858452538</v>
      </c>
      <c r="AO570" s="6" t="n">
        <v>1.342926095482376</v>
      </c>
      <c r="AP570" s="6" t="n">
        <v>0.1306797625482899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1.324671959272242</v>
      </c>
      <c r="AO571" s="6" t="n">
        <v>1.325402516990092</v>
      </c>
      <c r="AP571" s="6" t="n">
        <v>0.1272907671766346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1.350913007457123</v>
      </c>
      <c r="AO572" s="6" t="n">
        <v>1.350913007457123</v>
      </c>
      <c r="AP572" s="6" t="n">
        <v>0.1339436025966972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1.34892973214034</v>
      </c>
      <c r="AO573" s="6" t="n">
        <v>1.349588177268795</v>
      </c>
      <c r="AP573" s="6" t="n">
        <v>0.1318447529896925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1.334473795954382</v>
      </c>
      <c r="AO574" s="6" t="n">
        <v>1.335260032977475</v>
      </c>
      <c r="AP574" s="6" t="n">
        <v>0.1290625530962058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1.345103075819514</v>
      </c>
      <c r="AO575" s="6" t="n">
        <v>1.345272711933251</v>
      </c>
      <c r="AP575" s="6" t="n">
        <v>0.1319751325444834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1.355985622968355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1.344834200605532</v>
      </c>
      <c r="AO577" s="6" t="n">
        <v>1.345396168961276</v>
      </c>
      <c r="AP577" s="6" t="n">
        <v>0.1309882004917957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1.319082020382373</v>
      </c>
      <c r="AO578" s="6" t="n">
        <v>1.320498971992786</v>
      </c>
      <c r="AP578" s="6" t="n">
        <v>0.1256147029112886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1.343435440776318</v>
      </c>
      <c r="AO579" s="6" t="n">
        <v>1.343508348478512</v>
      </c>
      <c r="AP579" s="6" t="n">
        <v>0.1310291901811838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1.339924115790843</v>
      </c>
      <c r="AO580" s="6" t="n">
        <v>1.34000735831243</v>
      </c>
      <c r="AP580" s="6" t="n">
        <v>0.1300659035603612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1.341788443776491</v>
      </c>
      <c r="AO581" s="6" t="n">
        <v>1.341788443776491</v>
      </c>
      <c r="AP581" s="6" t="n">
        <v>0.1313734812707157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1.351735241133154</v>
      </c>
      <c r="AO582" s="6" t="n">
        <v>1.352408438608886</v>
      </c>
      <c r="AP582" s="6" t="n">
        <v>0.1328086743168398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1.335675674133548</v>
      </c>
      <c r="AO583" s="6" t="n">
        <v>1.336607061582148</v>
      </c>
      <c r="AP583" s="6" t="n">
        <v>0.1292266957291461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1.334784699419594</v>
      </c>
      <c r="AO584" s="6" t="n">
        <v>1.334916898808585</v>
      </c>
      <c r="AP584" s="6" t="n">
        <v>0.1292141954416116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1.338463773113413</v>
      </c>
      <c r="AO585" s="6" t="n">
        <v>1.344805741454023</v>
      </c>
      <c r="AP585" s="6" t="n">
        <v>0.1333974945610407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1.348651473424896</v>
      </c>
      <c r="AO586" s="6" t="n">
        <v>1.353566287848027</v>
      </c>
      <c r="AP586" s="6" t="n">
        <v>0.1368391274088664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1.357347387157835</v>
      </c>
      <c r="AO587" s="6" t="n">
        <v>1.357347387157835</v>
      </c>
      <c r="AP587" s="6" t="n">
        <v>0.1343194995632703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1.315481777183622</v>
      </c>
      <c r="AO588" s="6" t="n">
        <v>1.327667351336009</v>
      </c>
      <c r="AP588" s="6" t="n">
        <v>0.1316065310265039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1.345085731277522</v>
      </c>
      <c r="AO589" s="6" t="n">
        <v>1.345408231798246</v>
      </c>
      <c r="AP589" s="6" t="n">
        <v>0.1309510069379143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1.340090787863722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1.347779457229226</v>
      </c>
      <c r="AO591" s="6" t="n">
        <v>1.348162990498198</v>
      </c>
      <c r="AP591" s="6" t="n">
        <v>0.1314225233158772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1.346750018042244</v>
      </c>
      <c r="AO592" s="6" t="n">
        <v>1.347009233002501</v>
      </c>
      <c r="AP592" s="6" t="n">
        <v>0.1315660559253451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1.357854297609165</v>
      </c>
      <c r="AO593" s="6" t="n">
        <v>1.358705195810983</v>
      </c>
      <c r="AP593" s="6" t="n">
        <v>0.1354366659239407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1.348182902226559</v>
      </c>
      <c r="AO594" s="6" t="n">
        <v>1.348182902226559</v>
      </c>
      <c r="AP594" s="6" t="n">
        <v>0.133605837655822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1.33009297541053</v>
      </c>
      <c r="AO595" s="6" t="n">
        <v>1.330295768166678</v>
      </c>
      <c r="AP595" s="6" t="n">
        <v>0.1286728847058443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1.360765300643609</v>
      </c>
      <c r="AO596" s="6" t="n">
        <v>1.361390553019767</v>
      </c>
      <c r="AP596" s="6" t="n">
        <v>0.1374152593916978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1.339091894268243</v>
      </c>
      <c r="AO597" s="6" t="n">
        <v>1.33958186107705</v>
      </c>
      <c r="AP597" s="6" t="n">
        <v>0.1298830543823289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1.350251375095066</v>
      </c>
      <c r="AO598" s="6" t="n">
        <v>1.350251375095066</v>
      </c>
      <c r="AP598" s="6" t="n">
        <v>0.1335311434828204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1.358168732275099</v>
      </c>
      <c r="AO599" s="6" t="n">
        <v>1.358168732275099</v>
      </c>
      <c r="AP599" s="6" t="n">
        <v>0.136134569254271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1.326300062364098</v>
      </c>
      <c r="AO600" s="6" t="n">
        <v>1.328404922067773</v>
      </c>
      <c r="AP600" s="6" t="n">
        <v>0.1282937840771719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1.345475233160805</v>
      </c>
      <c r="AO601" s="6" t="n">
        <v>1.34554768830518</v>
      </c>
      <c r="AP601" s="6" t="n">
        <v>0.1311890775346568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1.339922757620143</v>
      </c>
      <c r="AO602" s="6" t="n">
        <v>1.346172934843774</v>
      </c>
      <c r="AP602" s="6" t="n">
        <v>0.1332023291476384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1.341579528641089</v>
      </c>
      <c r="AO603" s="6" t="n">
        <v>1.341579528641089</v>
      </c>
      <c r="AP603" s="6" t="n">
        <v>0.1311448269739547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1.341836516522249</v>
      </c>
      <c r="AO604" s="6" t="n">
        <v>1.342317658626546</v>
      </c>
      <c r="AP604" s="6" t="n">
        <v>0.1303064349329527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1.343486144452225</v>
      </c>
      <c r="AO605" s="6" t="n">
        <v>1.343486144452225</v>
      </c>
      <c r="AP605" s="6" t="n">
        <v>0.1334805256474818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1.315749975061821</v>
      </c>
      <c r="AO606" s="6" t="n">
        <v>1.32836121685003</v>
      </c>
      <c r="AP606" s="6" t="n">
        <v>0.1314386099645813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1.335418607231216</v>
      </c>
      <c r="AO607" s="6" t="n">
        <v>1.335597995185839</v>
      </c>
      <c r="AP607" s="6" t="n">
        <v>0.1287522326154907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1.339922138756041</v>
      </c>
      <c r="AO608" s="6" t="n">
        <v>1.340323014758563</v>
      </c>
      <c r="AP608" s="6" t="n">
        <v>0.1298392552313632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1.340787795300456</v>
      </c>
      <c r="AO609" s="6" t="n">
        <v>1.340873836368118</v>
      </c>
      <c r="AP609" s="6" t="n">
        <v>0.1302441750441243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1.330982214848739</v>
      </c>
      <c r="AO610" s="6" t="n">
        <v>1.33142687539452</v>
      </c>
      <c r="AP610" s="6" t="n">
        <v>0.1287691479051296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1.334058361161697</v>
      </c>
      <c r="AO611" s="6" t="n">
        <v>1.334067088317083</v>
      </c>
      <c r="AP611" s="6" t="n">
        <v>0.1286852303606944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1.348535378682632</v>
      </c>
      <c r="AO612" s="6" t="n">
        <v>1.349327651882137</v>
      </c>
      <c r="AP612" s="6" t="n">
        <v>0.1347969326194282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1.320232217562914</v>
      </c>
      <c r="AO613" s="6" t="n">
        <v>1.327149336763957</v>
      </c>
      <c r="AP613" s="6" t="n">
        <v>0.1313080110999622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1.336378238756224</v>
      </c>
      <c r="AO614" s="6" t="n">
        <v>1.337404380693383</v>
      </c>
      <c r="AP614" s="6" t="n">
        <v>0.1293602411884212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1.340234775200105</v>
      </c>
      <c r="AO615" s="6" t="n">
        <v>1.340776832109006</v>
      </c>
      <c r="AP615" s="6" t="n">
        <v>0.130271933709645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1.352969193545251</v>
      </c>
      <c r="AO616" s="6" t="n">
        <v>1.355464032429557</v>
      </c>
      <c r="AP616" s="6" t="n">
        <v>0.1348833491404853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1.325892425088001</v>
      </c>
      <c r="AO617" s="6" t="n">
        <v>1.338491142313412</v>
      </c>
      <c r="AP617" s="6" t="n">
        <v>0.134741503002083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1.355395531497939</v>
      </c>
      <c r="AO618" s="6" t="n">
        <v>1.355904889847152</v>
      </c>
      <c r="AP618" s="6" t="n">
        <v>0.13716823816227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1.333881591254555</v>
      </c>
      <c r="AO619" s="6" t="n">
        <v>1.339338104475302</v>
      </c>
      <c r="AP619" s="6" t="n">
        <v>0.1313135234319966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1.345735369735994</v>
      </c>
      <c r="AO620" s="6" t="n">
        <v>1.345955476589573</v>
      </c>
      <c r="AP620" s="6" t="n">
        <v>0.1310216465556652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1.333709399837256</v>
      </c>
      <c r="AO621" s="6" t="n">
        <v>1.333840367734971</v>
      </c>
      <c r="AP621" s="6" t="n">
        <v>0.1291028746143265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1.34963313724372</v>
      </c>
      <c r="AO622" s="6" t="n">
        <v>1.349933625884807</v>
      </c>
      <c r="AP622" s="6" t="n">
        <v>0.1318833746473044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1.333790405448589</v>
      </c>
      <c r="AO623" s="6" t="n">
        <v>1.335181445446805</v>
      </c>
      <c r="AP623" s="6" t="n">
        <v>0.1289437744855469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1.338649786595448</v>
      </c>
      <c r="AO624" s="6" t="n">
        <v>1.338885167629097</v>
      </c>
      <c r="AP624" s="6" t="n">
        <v>0.1303107335184767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1.318302001460285</v>
      </c>
      <c r="AO625" s="6" t="n">
        <v>1.319030133831166</v>
      </c>
      <c r="AP625" s="6" t="n">
        <v>0.1266475210744444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1.32831260003881</v>
      </c>
      <c r="AO626" s="6" t="n">
        <v>1.328365502477564</v>
      </c>
      <c r="AP626" s="6" t="n">
        <v>0.1283151374665721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1.313444772193214</v>
      </c>
      <c r="AO627" s="6" t="n">
        <v>1.317679889590091</v>
      </c>
      <c r="AP627" s="6" t="n">
        <v>0.1276520211964385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1.339297204970883</v>
      </c>
      <c r="AO628" s="6" t="n">
        <v>1.33965263288308</v>
      </c>
      <c r="AP628" s="6" t="n">
        <v>0.1302601230896805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1.345238204531574</v>
      </c>
      <c r="AO629" s="6" t="n">
        <v>1.345680092217392</v>
      </c>
      <c r="AP629" s="6" t="n">
        <v>0.1310283804038842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1.344294546334697</v>
      </c>
      <c r="AO630" s="6" t="n">
        <v>1.34554552451641</v>
      </c>
      <c r="AP630" s="6" t="n">
        <v>0.1316333002269509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1.341872292710541</v>
      </c>
      <c r="AO631" s="6" t="n">
        <v>1.345694813947237</v>
      </c>
      <c r="AP631" s="6" t="n">
        <v>0.1318130261651905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1.358587991892276</v>
      </c>
      <c r="AO632" s="6" t="n">
        <v>1.358587991892276</v>
      </c>
      <c r="AP632" s="6" t="n">
        <v>0.1401091946519283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1.353488379674699</v>
      </c>
      <c r="AO633" s="6" t="n">
        <v>1.35358466954963</v>
      </c>
      <c r="AP633" s="6" t="n">
        <v>0.1335732522663165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1.346745089091801</v>
      </c>
      <c r="AO634" s="6" t="n">
        <v>1.347174160916649</v>
      </c>
      <c r="AP634" s="6" t="n">
        <v>0.1318255432119042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1.350838871725501</v>
      </c>
      <c r="AO635" s="6" t="n">
        <v>1.351262670434047</v>
      </c>
      <c r="AP635" s="6" t="n">
        <v>0.1325336096466604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1.347945719298556</v>
      </c>
      <c r="AO636" s="6" t="n">
        <v>1.34816901073346</v>
      </c>
      <c r="AP636" s="6" t="n">
        <v>0.1318060018673341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0.1310413046542182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1.355983153340925</v>
      </c>
      <c r="AO638" s="6" t="n">
        <v>1.355983153340925</v>
      </c>
      <c r="AP638" s="6" t="n">
        <v>0.1406904374986582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1.352115606413563</v>
      </c>
      <c r="AO639" s="6" t="n">
        <v>1.352253476587953</v>
      </c>
      <c r="AP639" s="6" t="n">
        <v>0.1327961556240919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1.30907494139372</v>
      </c>
      <c r="AO640" s="6" t="n">
        <v>1.314721025758518</v>
      </c>
      <c r="AP640" s="6" t="n">
        <v>0.1303996567295273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1.351977140775948</v>
      </c>
      <c r="AO641" s="6" t="n">
        <v>1.35207656008656</v>
      </c>
      <c r="AP641" s="6" t="n">
        <v>0.1329512084078464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1.336669587911137</v>
      </c>
      <c r="AO642" s="6" t="n">
        <v>1.336896116945247</v>
      </c>
      <c r="AP642" s="6" t="n">
        <v>0.1296197424535586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1.348055827792215</v>
      </c>
      <c r="AO643" s="6" t="n">
        <v>1.348055827792215</v>
      </c>
      <c r="AP643" s="6" t="n">
        <v>0.1328724838463676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1.348378283235838</v>
      </c>
      <c r="AO644" s="6" t="n">
        <v>1.348689188951862</v>
      </c>
      <c r="AP644" s="6" t="n">
        <v>0.1312280328205452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1.330953214748831</v>
      </c>
      <c r="AO645" s="6" t="n">
        <v>1.331292126304654</v>
      </c>
      <c r="AP645" s="6" t="n">
        <v>0.1279829976229649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1.33796872191813</v>
      </c>
      <c r="AO646" s="6" t="n">
        <v>1.344482281621755</v>
      </c>
      <c r="AP646" s="6" t="n">
        <v>0.1334109940457435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1.33551523756082</v>
      </c>
      <c r="AO647" s="6" t="n">
        <v>1.335780964010418</v>
      </c>
      <c r="AP647" s="6" t="n">
        <v>0.1291989581259055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1.323569808288521</v>
      </c>
      <c r="AO648" s="6" t="n">
        <v>1.33241316469781</v>
      </c>
      <c r="AP648" s="6" t="n">
        <v>0.1308657545197584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1.335649684041036</v>
      </c>
      <c r="AO649" s="6" t="n">
        <v>1.336567174376173</v>
      </c>
      <c r="AP649" s="6" t="n">
        <v>0.1296908524525755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1.350214322202425</v>
      </c>
      <c r="AO650" s="6" t="n">
        <v>1.350220100080387</v>
      </c>
      <c r="AP650" s="6" t="n">
        <v>0.1317271571086235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1.352726489371975</v>
      </c>
      <c r="AO651" s="6" t="n">
        <v>1.352726489371975</v>
      </c>
      <c r="AP651" s="6" t="n">
        <v>0.1325082664722752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1.350336935717919</v>
      </c>
      <c r="AO652" s="6" t="n">
        <v>1.35056204153067</v>
      </c>
      <c r="AP652" s="6" t="n">
        <v>0.1313579484673864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1.318380774473067</v>
      </c>
      <c r="AO653" s="6" t="n">
        <v>1.326614600167371</v>
      </c>
      <c r="AP653" s="6" t="n">
        <v>0.1317498004498279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1.303926193410628</v>
      </c>
      <c r="AO654" s="6" t="n">
        <v>1.309758121900378</v>
      </c>
      <c r="AP654" s="6" t="n">
        <v>0.1309735045076187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1.355085702306622</v>
      </c>
      <c r="AO655" s="6" t="n">
        <v>1.355568721940977</v>
      </c>
      <c r="AP655" s="6" t="n">
        <v>0.1348388430908526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1.351172523330654</v>
      </c>
      <c r="AO656" s="6" t="n">
        <v>1.351503065897737</v>
      </c>
      <c r="AP656" s="6" t="n">
        <v>0.133446468400542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1.321985632558493</v>
      </c>
      <c r="AO657" s="6" t="n">
        <v>1.322461049036168</v>
      </c>
      <c r="AP657" s="6" t="n">
        <v>0.1279147347898368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1.332446645011691</v>
      </c>
      <c r="AO658" s="6" t="n">
        <v>1.339202399242847</v>
      </c>
      <c r="AP658" s="6" t="n">
        <v>0.1316978607599256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1.33823170597388</v>
      </c>
      <c r="AO659" s="6" t="n">
        <v>1.338690613890995</v>
      </c>
      <c r="AP659" s="6" t="n">
        <v>0.129993037706326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1.329117265976197</v>
      </c>
      <c r="AO660" s="6" t="n">
        <v>1.32923861423771</v>
      </c>
      <c r="AP660" s="6" t="n">
        <v>0.1279815117809846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1.328530202558154</v>
      </c>
      <c r="AO661" s="6" t="n">
        <v>1.328680841569937</v>
      </c>
      <c r="AP661" s="6" t="n">
        <v>0.1279791115795888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1.347995678550298</v>
      </c>
      <c r="AO662" s="6" t="n">
        <v>1.348743347104045</v>
      </c>
      <c r="AP662" s="6" t="n">
        <v>0.1322993271761548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1.345407626160052</v>
      </c>
      <c r="AO663" s="6" t="n">
        <v>1.346265632861705</v>
      </c>
      <c r="AP663" s="6" t="n">
        <v>0.1313395417865589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1.326287579670229</v>
      </c>
      <c r="AO664" s="6" t="n">
        <v>1.326402297539383</v>
      </c>
      <c r="AP664" s="6" t="n">
        <v>0.1278310360629122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1.335244656982244</v>
      </c>
      <c r="AO665" s="6" t="n">
        <v>1.335463615462765</v>
      </c>
      <c r="AP665" s="6" t="n">
        <v>0.129408952858147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1.351284577866698</v>
      </c>
      <c r="AO666" s="6" t="n">
        <v>1.351284577866698</v>
      </c>
      <c r="AP666" s="6" t="n">
        <v>0.1325059664404175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1.268830382310193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1.354880672681304</v>
      </c>
      <c r="AO668" s="6" t="n">
        <v>1.354880672681304</v>
      </c>
      <c r="AP668" s="6" t="n">
        <v>0.1358366107995017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1.347048126534224</v>
      </c>
      <c r="AO669" s="6" t="n">
        <v>1.349687998478519</v>
      </c>
      <c r="AP669" s="6" t="n">
        <v>0.1331254566535533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1.340486473744245</v>
      </c>
      <c r="AO670" s="6" t="n">
        <v>1.341064291490415</v>
      </c>
      <c r="AP670" s="6" t="n">
        <v>0.1308044396052892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1.343525008750643</v>
      </c>
      <c r="AO671" s="6" t="n">
        <v>1.343525008750643</v>
      </c>
      <c r="AP671" s="6" t="n">
        <v>0.1327217943386977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1.364758275328439</v>
      </c>
      <c r="AO672" s="6" t="n">
        <v>1.364758275328439</v>
      </c>
      <c r="AP672" s="6" t="n">
        <v>0.1401931144787487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1.318486180310475</v>
      </c>
      <c r="AO673" s="6" t="n">
        <v>1.326346284388774</v>
      </c>
      <c r="AP673" s="6" t="n">
        <v>0.1315856349669382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1.354368469412645</v>
      </c>
      <c r="AO674" s="6" t="n">
        <v>1.354557272966679</v>
      </c>
      <c r="AP674" s="6" t="n">
        <v>0.134314153258724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1.32026469218225</v>
      </c>
      <c r="AO675" s="6" t="n">
        <v>1.321744340954525</v>
      </c>
      <c r="AP675" s="6" t="n">
        <v>0.1286641233331776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1.338722789999262</v>
      </c>
      <c r="AO676" s="6" t="n">
        <v>1.345374714949366</v>
      </c>
      <c r="AP676" s="6" t="n">
        <v>0.1334945801533871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1.347946192363344</v>
      </c>
      <c r="AO677" s="6" t="n">
        <v>1.348253010876495</v>
      </c>
      <c r="AP677" s="6" t="n">
        <v>0.1318100760584105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1.353728491533333</v>
      </c>
      <c r="AO678" s="6" t="n">
        <v>1.354076768988292</v>
      </c>
      <c r="AP678" s="6" t="n">
        <v>0.1328570218062403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1.32900401137068</v>
      </c>
      <c r="AO679" s="6" t="n">
        <v>1.32988780586803</v>
      </c>
      <c r="AP679" s="6" t="n">
        <v>0.1284323539176808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1.344839009939617</v>
      </c>
      <c r="AO680" s="6" t="n">
        <v>1.346585731094895</v>
      </c>
      <c r="AP680" s="6" t="n">
        <v>0.1307459894900505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1.331924583957643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1.35266714248893</v>
      </c>
      <c r="AO682" s="6" t="n">
        <v>1.35266714248893</v>
      </c>
      <c r="AP682" s="6" t="n">
        <v>0.1351431937290144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1.352769278608376</v>
      </c>
      <c r="AO683" s="6" t="n">
        <v>1.355170900767333</v>
      </c>
      <c r="AP683" s="6" t="n">
        <v>0.1336406826316455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1.355931569936048</v>
      </c>
      <c r="AO684" s="6" t="n">
        <v>1.355931569936048</v>
      </c>
      <c r="AP684" s="6" t="n">
        <v>0.1354972740666133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1.359242531848296</v>
      </c>
      <c r="AO685" s="6" t="n">
        <v>1.359242531848296</v>
      </c>
      <c r="AP685" s="6" t="n">
        <v>0.1422029116957523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1.333647165281311</v>
      </c>
      <c r="AO686" s="6" t="n">
        <v>1.336968086305945</v>
      </c>
      <c r="AP686" s="6" t="n">
        <v>0.1294314426886602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1.317925588691821</v>
      </c>
      <c r="AO687" s="6" t="n">
        <v>1.318799553064825</v>
      </c>
      <c r="AP687" s="6" t="n">
        <v>0.1256445365219582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1.345209497336403</v>
      </c>
      <c r="AO688" s="6" t="n">
        <v>1.345593276256471</v>
      </c>
      <c r="AP688" s="6" t="n">
        <v>0.1311341195922652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1.348451454541332</v>
      </c>
      <c r="AO689" s="6" t="n">
        <v>1.351571387708887</v>
      </c>
      <c r="AP689" s="6" t="n">
        <v>0.1329668713262972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1.338149284589904</v>
      </c>
      <c r="AO690" s="6" t="n">
        <v>1.344714952574949</v>
      </c>
      <c r="AP690" s="6" t="n">
        <v>0.1329929208020284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1.32946612072579</v>
      </c>
      <c r="AO691" s="6" t="n">
        <v>1.334783025515414</v>
      </c>
      <c r="AP691" s="6" t="n">
        <v>0.1313541402185519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1.3357939720809</v>
      </c>
      <c r="AO692" s="6" t="n">
        <v>1.337809277872946</v>
      </c>
      <c r="AP692" s="6" t="n">
        <v>0.1286109509727553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1.347638265092461</v>
      </c>
      <c r="AO693" s="6" t="n">
        <v>1.347925706025882</v>
      </c>
      <c r="AP693" s="6" t="n">
        <v>0.1310721184098575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1.330055510162445</v>
      </c>
      <c r="AO694" s="6" t="n">
        <v>1.330706677406367</v>
      </c>
      <c r="AP694" s="6" t="n">
        <v>0.1284300870171622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1.343572616307211</v>
      </c>
      <c r="AO695" s="6" t="n">
        <v>1.344003261226683</v>
      </c>
      <c r="AP695" s="6" t="n">
        <v>0.1311649626913816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1.322236070703632</v>
      </c>
      <c r="AO696" s="6" t="n">
        <v>1.324089512280868</v>
      </c>
      <c r="AP696" s="6" t="n">
        <v>0.1306668396666791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1.336711327970674</v>
      </c>
      <c r="AO697" s="6" t="n">
        <v>1.346097870524553</v>
      </c>
      <c r="AP697" s="6" t="n">
        <v>0.1336314344000578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1.324987231371866</v>
      </c>
      <c r="AO698" s="6" t="n">
        <v>1.325928774236588</v>
      </c>
      <c r="AP698" s="6" t="n">
        <v>0.1273405293788062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1.329814918171642</v>
      </c>
      <c r="AO699" s="6" t="n">
        <v>1.340615652378948</v>
      </c>
      <c r="AP699" s="6" t="n">
        <v>0.1334692259960337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1.351335121018338</v>
      </c>
      <c r="AO700" s="6" t="n">
        <v>1.351335121018338</v>
      </c>
      <c r="AP700" s="6" t="n">
        <v>0.134714994021894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1.314874701433789</v>
      </c>
      <c r="AO701" s="6" t="n">
        <v>1.322760111956281</v>
      </c>
      <c r="AP701" s="6" t="n">
        <v>0.1284555399936716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1.353259040628783</v>
      </c>
      <c r="AO702" s="6" t="n">
        <v>1.35365113340016</v>
      </c>
      <c r="AP702" s="6" t="n">
        <v>0.1338306792097129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1.336661098785777</v>
      </c>
      <c r="AO703" s="6" t="n">
        <v>1.340143762094933</v>
      </c>
      <c r="AP703" s="6" t="n">
        <v>0.1301723259892035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1.316992662515602</v>
      </c>
      <c r="AO704" s="6" t="n">
        <v>1.324487836582875</v>
      </c>
      <c r="AP704" s="6" t="n">
        <v>0.1313667930186726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1.353549167467336</v>
      </c>
      <c r="AO705" s="6" t="n">
        <v>1.353633342667475</v>
      </c>
      <c r="AP705" s="6" t="n">
        <v>0.1336111551318419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1.328269514080955</v>
      </c>
      <c r="AO706" s="6" t="n">
        <v>1.328798526153001</v>
      </c>
      <c r="AP706" s="6" t="n">
        <v>0.1277006980044243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1.345402324996312</v>
      </c>
      <c r="AO707" s="6" t="n">
        <v>1.345859126547144</v>
      </c>
      <c r="AP707" s="6" t="n">
        <v>0.1309153756221836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1.341317125278818</v>
      </c>
      <c r="AO708" s="6" t="n">
        <v>1.341536754137422</v>
      </c>
      <c r="AP708" s="6" t="n">
        <v>0.1304174256701282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1.333978936046195</v>
      </c>
      <c r="AO709" s="6" t="n">
        <v>1.333978936046195</v>
      </c>
      <c r="AP709" s="6" t="n">
        <v>0.1312889599117602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1.334854319678024</v>
      </c>
      <c r="AO710" s="6" t="n">
        <v>1.335080505714465</v>
      </c>
      <c r="AP710" s="6" t="n">
        <v>0.1294520914253562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1.334483940236141</v>
      </c>
      <c r="AO711" s="6" t="n">
        <v>1.335347998847269</v>
      </c>
      <c r="AP711" s="6" t="n">
        <v>0.1294773218235124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1.335031879455217</v>
      </c>
      <c r="AO712" s="6" t="n">
        <v>1.335315238309236</v>
      </c>
      <c r="AP712" s="6" t="n">
        <v>0.128510957953521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1.33878999106892</v>
      </c>
      <c r="AO713" s="6" t="n">
        <v>1.339956367177778</v>
      </c>
      <c r="AP713" s="6" t="n">
        <v>0.1297660790580095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1.344322576210544</v>
      </c>
      <c r="AO714" s="6" t="n">
        <v>1.344544579246662</v>
      </c>
      <c r="AP714" s="6" t="n">
        <v>0.1305412072479124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1.350340705128918</v>
      </c>
      <c r="AO715" s="6" t="n">
        <v>1.350701212516614</v>
      </c>
      <c r="AP715" s="6" t="n">
        <v>0.1322199932777268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1.318034961488496</v>
      </c>
      <c r="AO716" s="6" t="n">
        <v>1.319000419065111</v>
      </c>
      <c r="AP716" s="6" t="n">
        <v>0.1268381230117132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1.338566020874189</v>
      </c>
      <c r="AO717" s="6" t="n">
        <v>1.338860572982967</v>
      </c>
      <c r="AP717" s="6" t="n">
        <v>0.1293415772751938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1.32774005072278</v>
      </c>
      <c r="AO718" s="6" t="n">
        <v>1.327862157854959</v>
      </c>
      <c r="AP718" s="6" t="n">
        <v>0.1282369230714168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1.328562316899313</v>
      </c>
      <c r="AO719" s="6" t="n">
        <v>1.33051489712331</v>
      </c>
      <c r="AP719" s="6" t="n">
        <v>0.1322580903614134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1.328087798393958</v>
      </c>
      <c r="AO720" s="6" t="n">
        <v>1.330425619083111</v>
      </c>
      <c r="AP720" s="6" t="n">
        <v>0.1279693580169029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1.298060499780072</v>
      </c>
      <c r="AO721" s="6" t="n">
        <v>1.298060499780072</v>
      </c>
      <c r="AP721" s="6" t="n">
        <v>0.1307173443993328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1.357731483641796</v>
      </c>
      <c r="AO722" s="6" t="n">
        <v>1.357731483641796</v>
      </c>
      <c r="AP722" s="6" t="n">
        <v>0.1358969587449626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1.334326898749636</v>
      </c>
      <c r="AO723" s="6" t="n">
        <v>1.334797282977047</v>
      </c>
      <c r="AP723" s="6" t="n">
        <v>0.1286755721905112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1.345584176955506</v>
      </c>
      <c r="AO724" s="6" t="n">
        <v>1.346160967736736</v>
      </c>
      <c r="AP724" s="6" t="n">
        <v>0.1301049658401399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1.32533236582909</v>
      </c>
      <c r="AO725" s="6" t="n">
        <v>1.338467506973963</v>
      </c>
      <c r="AP725" s="6" t="n">
        <v>0.1335192842013191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1.319116365771851</v>
      </c>
      <c r="AO726" s="6" t="n">
        <v>1.322427954096484</v>
      </c>
      <c r="AP726" s="6" t="n">
        <v>0.1258721224255961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1.353729647246931</v>
      </c>
      <c r="AO727" s="6" t="n">
        <v>1.353729647246931</v>
      </c>
      <c r="AP727" s="6" t="n">
        <v>0.1353364134203908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1.351190874087689</v>
      </c>
      <c r="AO728" s="6" t="n">
        <v>1.351190874087689</v>
      </c>
      <c r="AP728" s="6" t="n">
        <v>0.1350420817580442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1.344101985384125</v>
      </c>
      <c r="AO729" s="6" t="n">
        <v>1.344142735264261</v>
      </c>
      <c r="AP729" s="6" t="n">
        <v>0.1306514321989837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1.342944233093696</v>
      </c>
      <c r="AO730" s="6" t="n">
        <v>1.344119860040912</v>
      </c>
      <c r="AP730" s="6" t="n">
        <v>0.1311230992313644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1.328957747997884</v>
      </c>
      <c r="AO731" s="6" t="n">
        <v>1.338333663794337</v>
      </c>
      <c r="AP731" s="6" t="n">
        <v>0.1331892272611841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1.348209301073096</v>
      </c>
      <c r="AO732" s="6" t="n">
        <v>1.348535938862902</v>
      </c>
      <c r="AP732" s="6" t="n">
        <v>0.1321059411142669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1.34809025063339</v>
      </c>
      <c r="AO733" s="6" t="n">
        <v>1.349427740472662</v>
      </c>
      <c r="AP733" s="6" t="n">
        <v>0.1313808556474952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1.351966808756414</v>
      </c>
      <c r="AO734" s="6" t="n">
        <v>1.351966808756414</v>
      </c>
      <c r="AP734" s="6" t="n">
        <v>0.1341248309753868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1.351021623395066</v>
      </c>
      <c r="AO735" s="6" t="n">
        <v>1.351021623395066</v>
      </c>
      <c r="AP735" s="6" t="n">
        <v>0.1332656513081453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1.357125912034038</v>
      </c>
      <c r="AO736" s="6" t="n">
        <v>1.357125912034038</v>
      </c>
      <c r="AP736" s="6" t="n">
        <v>0.1373428694935633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1.327792471090386</v>
      </c>
      <c r="AO737" s="6" t="n">
        <v>1.335658942042015</v>
      </c>
      <c r="AP737" s="6" t="n">
        <v>0.1320999032292934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1.358659246650974</v>
      </c>
      <c r="AO738" s="6" t="n">
        <v>1.358659246650974</v>
      </c>
      <c r="AP738" s="6" t="n">
        <v>0.1394142004124908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1.35331331695461</v>
      </c>
      <c r="AO739" s="6" t="n">
        <v>1.354749680905359</v>
      </c>
      <c r="AP739" s="6" t="n">
        <v>0.1345837338192496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1.338877590187795</v>
      </c>
      <c r="AO740" s="6" t="n">
        <v>1.339380330461531</v>
      </c>
      <c r="AP740" s="6" t="n">
        <v>0.1295147146953473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1.340848274049389</v>
      </c>
      <c r="AO741" s="6" t="n">
        <v>1.341335724745298</v>
      </c>
      <c r="AP741" s="6" t="n">
        <v>0.1292410846446916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1.339487410705056</v>
      </c>
      <c r="AO742" s="6" t="n">
        <v>1.339542336155388</v>
      </c>
      <c r="AP742" s="6" t="n">
        <v>0.1296428789381907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1.352426890048618</v>
      </c>
      <c r="AO743" s="6" t="n">
        <v>1.35317737108068</v>
      </c>
      <c r="AP743" s="6" t="n">
        <v>0.1327996731673485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1.343335306020331</v>
      </c>
      <c r="AO744" s="6" t="n">
        <v>1.343587400986159</v>
      </c>
      <c r="AP744" s="6" t="n">
        <v>0.1304581536522013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1.33639331207134</v>
      </c>
      <c r="AO745" s="6" t="n">
        <v>1.340337067171131</v>
      </c>
      <c r="AP745" s="6" t="n">
        <v>0.1307601885505192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1.331042018414549</v>
      </c>
      <c r="AO746" s="6" t="n">
        <v>1.33212368245868</v>
      </c>
      <c r="AP746" s="6" t="n">
        <v>0.1283936306113699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1.343153986284704</v>
      </c>
      <c r="AO747" s="6" t="n">
        <v>1.343433932759859</v>
      </c>
      <c r="AP747" s="6" t="n">
        <v>0.1303333851833577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1.341062077289886</v>
      </c>
      <c r="AO748" s="6" t="n">
        <v>1.341601613471831</v>
      </c>
      <c r="AP748" s="6" t="n">
        <v>0.1304794210342785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1.342922218342263</v>
      </c>
      <c r="AO749" s="6" t="n">
        <v>1.344050003375573</v>
      </c>
      <c r="AP749" s="6" t="n">
        <v>0.1311308049060581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1.347213561965257</v>
      </c>
      <c r="AO750" s="6" t="n">
        <v>1.347638560587036</v>
      </c>
      <c r="AP750" s="6" t="n">
        <v>0.131298898854726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1.349499756717523</v>
      </c>
      <c r="AO751" s="6" t="n">
        <v>1.349499756717523</v>
      </c>
      <c r="AP751" s="6" t="n">
        <v>0.1353190260455174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1.338678210332389</v>
      </c>
      <c r="AO752" s="6" t="n">
        <v>1.340557283699607</v>
      </c>
      <c r="AP752" s="6" t="n">
        <v>0.129174951793183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1.352427562621916</v>
      </c>
      <c r="AO753" s="6" t="n">
        <v>1.353425215666529</v>
      </c>
      <c r="AP753" s="6" t="n">
        <v>0.1321122262179059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1.327700775990535</v>
      </c>
      <c r="AO754" s="6" t="n">
        <v>1.329258356646576</v>
      </c>
      <c r="AP754" s="6" t="n">
        <v>0.127253220573424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1.358500243760282</v>
      </c>
      <c r="AO755" s="6" t="n">
        <v>1.358500243760282</v>
      </c>
      <c r="AP755" s="6" t="n">
        <v>0.1419412093240866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1.352281720367384</v>
      </c>
      <c r="AO756" s="6" t="n">
        <v>1.352281720367384</v>
      </c>
      <c r="AP756" s="6" t="n">
        <v>0.1363139673202008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1.311018903231306</v>
      </c>
      <c r="AO757" s="6" t="n">
        <v>1.315511635951032</v>
      </c>
      <c r="AP757" s="6" t="n">
        <v>0.1274504073687602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1.354924878549384</v>
      </c>
      <c r="AO758" s="6" t="n">
        <v>1.356686886825754</v>
      </c>
      <c r="AP758" s="6" t="n">
        <v>0.1371236415613009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1.346011855041425</v>
      </c>
      <c r="AO759" s="6" t="n">
        <v>1.346505567144115</v>
      </c>
      <c r="AP759" s="6" t="n">
        <v>0.1316523806687128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1.344554011726587</v>
      </c>
      <c r="AO760" s="6" t="n">
        <v>1.345550529147511</v>
      </c>
      <c r="AP760" s="6" t="n">
        <v>0.1315534592946925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1.342274745575088</v>
      </c>
      <c r="AO761" s="6" t="n">
        <v>1.347310464576811</v>
      </c>
      <c r="AP761" s="6" t="n">
        <v>0.1331216778442903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1.33161811769241</v>
      </c>
      <c r="AO762" s="6" t="n">
        <v>1.335512219173432</v>
      </c>
      <c r="AP762" s="6" t="n">
        <v>0.1303119840828925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1.319123411392068</v>
      </c>
      <c r="AO763" s="6" t="n">
        <v>1.329539029903035</v>
      </c>
      <c r="AP763" s="6" t="n">
        <v>0.1334179341255417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1.300608883998395</v>
      </c>
      <c r="AO764" s="6" t="n">
        <v>1.303906187993819</v>
      </c>
      <c r="AP764" s="6" t="n">
        <v>0.1274606628255202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1.315630460567327</v>
      </c>
      <c r="AO765" s="6" t="n">
        <v>1.323354733070028</v>
      </c>
      <c r="AP765" s="6" t="n">
        <v>0.1280825476713358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1.341669583711672</v>
      </c>
      <c r="AO766" s="6" t="n">
        <v>1.341886779849384</v>
      </c>
      <c r="AP766" s="6" t="n">
        <v>0.1301600994728674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1.34990383555592</v>
      </c>
      <c r="AO767" s="6" t="n">
        <v>1.34990383555592</v>
      </c>
      <c r="AP767" s="6" t="n">
        <v>0.1339167724667909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1.343283379987635</v>
      </c>
      <c r="AO768" s="6" t="n">
        <v>1.343354965713675</v>
      </c>
      <c r="AP768" s="6" t="n">
        <v>0.130242781068836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1.331573736167277</v>
      </c>
      <c r="AO769" s="6" t="n">
        <v>1.335804064047069</v>
      </c>
      <c r="AP769" s="6" t="n">
        <v>0.1304116167407857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1.349368070925595</v>
      </c>
      <c r="AO770" s="6" t="n">
        <v>1.349754206212196</v>
      </c>
      <c r="AP770" s="6" t="n">
        <v>0.1324188838050553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1.34427625377879</v>
      </c>
      <c r="AO771" s="6" t="n">
        <v>1.344705264889327</v>
      </c>
      <c r="AP771" s="6" t="n">
        <v>0.1306316714636227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1.344927096388562</v>
      </c>
      <c r="AO772" s="6" t="n">
        <v>1.345249333918211</v>
      </c>
      <c r="AP772" s="6" t="n">
        <v>0.1309531740872065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1.346020455554742</v>
      </c>
      <c r="AO773" s="6" t="n">
        <v>1.346447608657373</v>
      </c>
      <c r="AP773" s="6" t="n">
        <v>0.1306239886885235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1.356820271459556</v>
      </c>
      <c r="AO774" s="6" t="n">
        <v>1.3573471611789</v>
      </c>
      <c r="AP774" s="6" t="n">
        <v>0.1345795029655168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1.337149235533713</v>
      </c>
      <c r="AO775" s="6" t="n">
        <v>1.338316524872146</v>
      </c>
      <c r="AP775" s="6" t="n">
        <v>0.1297640677542076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1.356426258268596</v>
      </c>
      <c r="AO776" s="6" t="n">
        <v>1.357324051521821</v>
      </c>
      <c r="AP776" s="6" t="n">
        <v>0.1344357245023201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1.341188267524754</v>
      </c>
      <c r="AO777" s="6" t="n">
        <v>1.342923149483108</v>
      </c>
      <c r="AP777" s="6" t="n">
        <v>0.1303313369325363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1.331845923216651</v>
      </c>
      <c r="AO778" s="6" t="n">
        <v>1.332220357616157</v>
      </c>
      <c r="AP778" s="6" t="n">
        <v>0.12879291820625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1.350901025030616</v>
      </c>
      <c r="AO779" s="6" t="n">
        <v>1.350901025030616</v>
      </c>
      <c r="AP779" s="6" t="n">
        <v>0.1339719104173228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1.334729821696222</v>
      </c>
      <c r="AO780" s="6" t="n">
        <v>1.334777195715667</v>
      </c>
      <c r="AP780" s="6" t="n">
        <v>0.1296439535580469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1.294979121722806</v>
      </c>
      <c r="AO781" s="6" t="n">
        <v>1.301576664103363</v>
      </c>
      <c r="AP781" s="6" t="n">
        <v>0.1259098779579196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1.311907872498738</v>
      </c>
      <c r="AO782" s="6" t="n">
        <v>1.322824916040349</v>
      </c>
      <c r="AP782" s="6" t="n">
        <v>0.1295163391644341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1.337113726030594</v>
      </c>
      <c r="AO783" s="6" t="n">
        <v>1.337170862877561</v>
      </c>
      <c r="AP783" s="6" t="n">
        <v>0.1295265328499333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1.3052850574323</v>
      </c>
      <c r="AO784" s="6" t="n">
        <v>1.309000399430124</v>
      </c>
      <c r="AP784" s="6" t="n">
        <v>0.1298415067007386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1.332827631353155</v>
      </c>
      <c r="AO785" s="6" t="n">
        <v>1.335924067719905</v>
      </c>
      <c r="AP785" s="6" t="n">
        <v>0.1295410924749361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1.32818838345333</v>
      </c>
      <c r="AO786" s="6" t="n">
        <v>1.328384497634797</v>
      </c>
      <c r="AP786" s="6" t="n">
        <v>0.1281718178407918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1.323672493609583</v>
      </c>
      <c r="AO787" s="6" t="n">
        <v>1.324235945903855</v>
      </c>
      <c r="AP787" s="6" t="n">
        <v>0.1267669911736828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1.356063059841069</v>
      </c>
      <c r="AO788" s="6" t="n">
        <v>1.356063059841069</v>
      </c>
      <c r="AP788" s="6" t="n">
        <v>0.1367099046345413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1.34441018679234</v>
      </c>
      <c r="AO789" s="6" t="n">
        <v>1.34441018679234</v>
      </c>
      <c r="AP789" s="6" t="n">
        <v>0.1318708117732168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1.307845791303301</v>
      </c>
      <c r="AO790" s="6" t="n">
        <v>1.319558439590715</v>
      </c>
      <c r="AP790" s="6" t="n">
        <v>0.1289173853499276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1.330333197786495</v>
      </c>
      <c r="AO791" s="6" t="n">
        <v>1.331715610594711</v>
      </c>
      <c r="AP791" s="6" t="n">
        <v>0.1285245785048799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1.347032486236732</v>
      </c>
      <c r="AO792" s="6" t="n">
        <v>1.347138985216896</v>
      </c>
      <c r="AP792" s="6" t="n">
        <v>0.1308662508856158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1.33659055313251</v>
      </c>
      <c r="AO793" s="6" t="n">
        <v>1.338973487303817</v>
      </c>
      <c r="AP793" s="6" t="n">
        <v>0.1297706786491208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1.337460954557693</v>
      </c>
      <c r="AO794" s="6" t="n">
        <v>1.340542566937402</v>
      </c>
      <c r="AP794" s="6" t="n">
        <v>0.1303852229380298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1.341891535975052</v>
      </c>
      <c r="AO795" s="6" t="n">
        <v>1.342701143082284</v>
      </c>
      <c r="AP795" s="6" t="n">
        <v>0.1304552414645433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1.344403753257137</v>
      </c>
      <c r="AO796" s="6" t="n">
        <v>1.344403753257137</v>
      </c>
      <c r="AP796" s="6" t="n">
        <v>0.1332756014498062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1.353646551587958</v>
      </c>
      <c r="AO797" s="6" t="n">
        <v>1.353646551587958</v>
      </c>
      <c r="AP797" s="6" t="n">
        <v>0.1351865996304452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1.324735890102416</v>
      </c>
      <c r="AO798" s="6" t="n">
        <v>1.327618575866032</v>
      </c>
      <c r="AP798" s="6" t="n">
        <v>0.1298028430502622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1.335812312479127</v>
      </c>
      <c r="AO799" s="6" t="n">
        <v>1.336160921821253</v>
      </c>
      <c r="AP799" s="6" t="n">
        <v>0.1300032778497706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1.348160598131916</v>
      </c>
      <c r="AO800" s="6" t="n">
        <v>1.351698414574219</v>
      </c>
      <c r="AP800" s="6" t="n">
        <v>0.1342357663582684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1.337617487177308</v>
      </c>
      <c r="AO801" s="6" t="n">
        <v>1.337992416954975</v>
      </c>
      <c r="AP801" s="6" t="n">
        <v>0.1293205263932872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1.339017879320145</v>
      </c>
      <c r="AO802" s="6" t="n">
        <v>1.342544712026095</v>
      </c>
      <c r="AP802" s="6" t="n">
        <v>0.1316655669305224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1.340167205873229</v>
      </c>
      <c r="AO803" s="6" t="n">
        <v>1.349252630431346</v>
      </c>
      <c r="AP803" s="6" t="n">
        <v>0.1357698256246017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1.331072523344127</v>
      </c>
      <c r="AO804" s="6" t="n">
        <v>1.337627878819813</v>
      </c>
      <c r="AP804" s="6" t="n">
        <v>0.1327306108444103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1.335031736177188</v>
      </c>
      <c r="AO805" s="6" t="n">
        <v>1.336227289071779</v>
      </c>
      <c r="AP805" s="6" t="n">
        <v>0.1286084239393402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1.342395651644278</v>
      </c>
      <c r="AO806" s="6" t="n">
        <v>1.34270830827802</v>
      </c>
      <c r="AP806" s="6" t="n">
        <v>0.1298850664491618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1.332339444234917</v>
      </c>
      <c r="AO807" s="6" t="n">
        <v>1.340134105132742</v>
      </c>
      <c r="AP807" s="6" t="n">
        <v>0.1341416149538679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1.348485420125859</v>
      </c>
      <c r="AO808" s="6" t="n">
        <v>1.348485420125859</v>
      </c>
      <c r="AP808" s="6" t="n">
        <v>0.1328053717511741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1.347129490672421</v>
      </c>
      <c r="AO809" s="6" t="n">
        <v>1.349156449867098</v>
      </c>
      <c r="AP809" s="6" t="n">
        <v>0.1326009639501831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1.334000290422415</v>
      </c>
      <c r="AO810" s="6" t="n">
        <v>1.334591839221003</v>
      </c>
      <c r="AP810" s="6" t="n">
        <v>0.1280125525960475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1.340212851115831</v>
      </c>
      <c r="AO811" s="6" t="n">
        <v>1.349530737994086</v>
      </c>
      <c r="AP811" s="6" t="n">
        <v>0.1359836782722379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1.327417638573484</v>
      </c>
      <c r="AO812" s="6" t="n">
        <v>1.327575781903798</v>
      </c>
      <c r="AP812" s="6" t="n">
        <v>0.1281436447996241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1.30588141530884</v>
      </c>
      <c r="AO813" s="6" t="n">
        <v>1.316264036388568</v>
      </c>
      <c r="AP813" s="6" t="n">
        <v>0.1272937600545364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1.310037317929698</v>
      </c>
      <c r="AO814" s="6" t="n">
        <v>1.318418535335944</v>
      </c>
      <c r="AP814" s="6" t="n">
        <v>0.1283940009726303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1.336051923286867</v>
      </c>
      <c r="AO815" s="6" t="n">
        <v>1.336222272379564</v>
      </c>
      <c r="AP815" s="6" t="n">
        <v>0.129295886860954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1.34454319164047</v>
      </c>
      <c r="AO816" s="6" t="n">
        <v>1.345284101803981</v>
      </c>
      <c r="AP816" s="6" t="n">
        <v>0.1303821330782323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1.350477582744918</v>
      </c>
      <c r="AO817" s="6" t="n">
        <v>1.350876302019448</v>
      </c>
      <c r="AP817" s="6" t="n">
        <v>0.1318096874848964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1.335124819467509</v>
      </c>
      <c r="AO818" s="6" t="n">
        <v>1.343796716509571</v>
      </c>
      <c r="AP818" s="6" t="n">
        <v>0.1337441775322641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1.33101653406945</v>
      </c>
      <c r="AO819" s="6" t="n">
        <v>1.339222754897947</v>
      </c>
      <c r="AP819" s="6" t="n">
        <v>0.1328350010456894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1.353791659995271</v>
      </c>
      <c r="AO820" s="6" t="n">
        <v>1.354099925518712</v>
      </c>
      <c r="AP820" s="6" t="n">
        <v>0.1347658581617762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1.320570547730425</v>
      </c>
      <c r="AO821" s="6" t="n">
        <v>1.320759987392115</v>
      </c>
      <c r="AP821" s="6" t="n">
        <v>0.1269423517670595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1.350247956700692</v>
      </c>
      <c r="AO822" s="6" t="n">
        <v>1.351187586434819</v>
      </c>
      <c r="AP822" s="6" t="n">
        <v>0.133090808320507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1.347182756699589</v>
      </c>
      <c r="AO823" s="6" t="n">
        <v>1.351711343730865</v>
      </c>
      <c r="AP823" s="6" t="n">
        <v>0.1377353142099463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1.331657857184076</v>
      </c>
      <c r="AO824" s="6" t="n">
        <v>1.332103920389678</v>
      </c>
      <c r="AP824" s="6" t="n">
        <v>0.1279826242592843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1.311099832875744</v>
      </c>
      <c r="AO825" s="6" t="n">
        <v>1.321276176762338</v>
      </c>
      <c r="AP825" s="6" t="n">
        <v>0.1295965371623022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1.335294272180619</v>
      </c>
      <c r="AO826" s="6" t="n">
        <v>1.344525823243799</v>
      </c>
      <c r="AP826" s="6" t="n">
        <v>0.1354705696003102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1.331568076023835</v>
      </c>
      <c r="AO827" s="6" t="n">
        <v>1.335595162972652</v>
      </c>
      <c r="AP827" s="6" t="n">
        <v>0.129621682877018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1.357953003498895</v>
      </c>
      <c r="AO828" s="6" t="n">
        <v>1.357953003498895</v>
      </c>
      <c r="AP828" s="6" t="n">
        <v>0.1370683893011109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1.351075632120811</v>
      </c>
      <c r="AO829" s="6" t="n">
        <v>1.351519395974469</v>
      </c>
      <c r="AP829" s="6" t="n">
        <v>0.1319661297066377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1.314735915638942</v>
      </c>
      <c r="AO830" s="6" t="n">
        <v>1.322452258471511</v>
      </c>
      <c r="AP830" s="6" t="n">
        <v>0.1278882817025459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1.347123977081662</v>
      </c>
      <c r="AO831" s="6" t="n">
        <v>1.347491975117612</v>
      </c>
      <c r="AP831" s="6" t="n">
        <v>0.1319335908197811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1.349011402901029</v>
      </c>
      <c r="AO832" s="6" t="n">
        <v>1.350119944069712</v>
      </c>
      <c r="AP832" s="6" t="n">
        <v>0.1322816671421323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1.348636611604052</v>
      </c>
      <c r="AO833" s="6" t="n">
        <v>1.349416068705505</v>
      </c>
      <c r="AP833" s="6" t="n">
        <v>0.1318754735433299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1.336403653132424</v>
      </c>
      <c r="AO834" s="6" t="n">
        <v>1.336470002340127</v>
      </c>
      <c r="AP834" s="6" t="n">
        <v>0.1294363162561818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1.34366629613467</v>
      </c>
      <c r="AO835" s="6" t="n">
        <v>1.344035723080261</v>
      </c>
      <c r="AP835" s="6" t="n">
        <v>0.1304863886880491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1.345426533065068</v>
      </c>
      <c r="AO836" s="6" t="n">
        <v>1.345708712946619</v>
      </c>
      <c r="AP836" s="6" t="n">
        <v>0.1307176639215007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1.331195831229785</v>
      </c>
      <c r="AO837" s="6" t="n">
        <v>1.331479034116408</v>
      </c>
      <c r="AP837" s="6" t="n">
        <v>0.1281355306115615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1.339973771380853</v>
      </c>
      <c r="AO838" s="6" t="n">
        <v>1.340964306140268</v>
      </c>
      <c r="AP838" s="6" t="n">
        <v>0.1299959743117328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1.352740658998122</v>
      </c>
      <c r="AO839" s="6" t="n">
        <v>1.352740658998122</v>
      </c>
      <c r="AP839" s="6" t="n">
        <v>0.1350426972611893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1.356838812883513</v>
      </c>
      <c r="AO840" s="6" t="n">
        <v>1.357356943519645</v>
      </c>
      <c r="AP840" s="6" t="n">
        <v>0.1348516091500174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1.339245835216823</v>
      </c>
      <c r="AO841" s="6" t="n">
        <v>1.344313401091107</v>
      </c>
      <c r="AP841" s="6" t="n">
        <v>0.1323078194014617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1.345192605289158</v>
      </c>
      <c r="AO842" s="6" t="n">
        <v>1.347644281111496</v>
      </c>
      <c r="AP842" s="6" t="n">
        <v>0.1316677325862763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1.318276811699248</v>
      </c>
      <c r="AO843" s="6" t="n">
        <v>1.320311795658134</v>
      </c>
      <c r="AP843" s="6" t="n">
        <v>0.1269671672522197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1.348287120436707</v>
      </c>
      <c r="AO844" s="6" t="n">
        <v>1.349173358539261</v>
      </c>
      <c r="AP844" s="6" t="n">
        <v>0.1315614886430186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1.347496477298999</v>
      </c>
      <c r="AO845" s="6" t="n">
        <v>1.350606160716436</v>
      </c>
      <c r="AP845" s="6" t="n">
        <v>0.1354330930153707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1.326548142486995</v>
      </c>
      <c r="AO846" s="6" t="n">
        <v>1.326810811113402</v>
      </c>
      <c r="AP846" s="6" t="n">
        <v>0.1272919345026063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1.333841648572145</v>
      </c>
      <c r="AO847" s="6" t="n">
        <v>1.334189219130534</v>
      </c>
      <c r="AP847" s="6" t="n">
        <v>0.1287184612821888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1.343627298855717</v>
      </c>
      <c r="AO848" s="6" t="n">
        <v>1.345853205251871</v>
      </c>
      <c r="AP848" s="6" t="n">
        <v>0.1302532245647391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1.348899453823778</v>
      </c>
      <c r="AO849" s="6" t="n">
        <v>1.348899453823778</v>
      </c>
      <c r="AP849" s="6" t="n">
        <v>0.136633193378499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1.350829776436129</v>
      </c>
      <c r="AO850" s="6" t="n">
        <v>1.351492739551004</v>
      </c>
      <c r="AP850" s="6" t="n">
        <v>0.1333854200765368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1.337567466920395</v>
      </c>
      <c r="AO851" s="6" t="n">
        <v>1.337892464778848</v>
      </c>
      <c r="AP851" s="6" t="n">
        <v>0.1296133439631093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1.350013889499005</v>
      </c>
      <c r="AO852" s="6" t="n">
        <v>1.350013889499005</v>
      </c>
      <c r="AP852" s="6" t="n">
        <v>0.1333900037953822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1.345111079753454</v>
      </c>
      <c r="AO853" s="6" t="n">
        <v>1.345213233079243</v>
      </c>
      <c r="AP853" s="6" t="n">
        <v>0.1313961170526365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1.331743357230867</v>
      </c>
      <c r="AO854" s="6" t="n">
        <v>1.33629379706382</v>
      </c>
      <c r="AP854" s="6" t="n">
        <v>0.1313585091777892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1.331873373598955</v>
      </c>
      <c r="AO855" s="6" t="n">
        <v>1.344203633075048</v>
      </c>
      <c r="AP855" s="6" t="n">
        <v>0.1380294589193935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1.321080281146165</v>
      </c>
      <c r="AO856" s="6" t="n">
        <v>1.326513452508391</v>
      </c>
      <c r="AP856" s="6" t="n">
        <v>0.1308183155174449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1.288290535461677</v>
      </c>
      <c r="AO857" s="6" t="n">
        <v>1.301183020763388</v>
      </c>
      <c r="AP857" s="6" t="n">
        <v>0.1285939466830609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1.356506126148936</v>
      </c>
      <c r="AO858" s="6" t="n">
        <v>1.356506126148936</v>
      </c>
      <c r="AP858" s="6" t="n">
        <v>0.1372942741746397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1.336158245595211</v>
      </c>
      <c r="AO859" s="6" t="n">
        <v>1.336282196564253</v>
      </c>
      <c r="AP859" s="6" t="n">
        <v>0.1293831958327271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1.361187278761797</v>
      </c>
      <c r="AO860" s="6" t="n">
        <v>1.362584667832677</v>
      </c>
      <c r="AP860" s="6" t="n">
        <v>0.1355308220718582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1.324875048158366</v>
      </c>
      <c r="AO861" s="6" t="n">
        <v>1.331021478503894</v>
      </c>
      <c r="AP861" s="6" t="n">
        <v>0.1301286360321969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1.32349333412692</v>
      </c>
      <c r="AO862" s="6" t="n">
        <v>1.333114854493924</v>
      </c>
      <c r="AP862" s="6" t="n">
        <v>0.1316268378396161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1.34715224251345</v>
      </c>
      <c r="AO863" s="6" t="n">
        <v>1.347183478740323</v>
      </c>
      <c r="AP863" s="6" t="n">
        <v>0.130845283997326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1.296073312417834</v>
      </c>
      <c r="AO864" s="6" t="n">
        <v>1.308102304457472</v>
      </c>
      <c r="AP864" s="6" t="n">
        <v>0.1303511054494806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1.310905574824014</v>
      </c>
      <c r="AO865" s="6" t="n">
        <v>1.317436547253152</v>
      </c>
      <c r="AP865" s="6" t="n">
        <v>0.129808402722022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1.351057756568822</v>
      </c>
      <c r="AO866" s="6" t="n">
        <v>1.351057756568822</v>
      </c>
      <c r="AP866" s="6" t="n">
        <v>0.136764217675143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1.326340273032568</v>
      </c>
      <c r="AO867" s="6" t="n">
        <v>1.326697676265104</v>
      </c>
      <c r="AP867" s="6" t="n">
        <v>0.1275331420175536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1.3241394983489</v>
      </c>
      <c r="AO868" s="6" t="n">
        <v>1.326233401399445</v>
      </c>
      <c r="AP868" s="6" t="n">
        <v>0.1270216130023273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1.358157959369614</v>
      </c>
      <c r="AO869" s="6" t="n">
        <v>1.358157959369614</v>
      </c>
      <c r="AP869" s="6" t="n">
        <v>0.1361758844578212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1.350644427235067</v>
      </c>
      <c r="AO870" s="6" t="n">
        <v>1.350644427235067</v>
      </c>
      <c r="AP870" s="6" t="n">
        <v>0.1336462272077521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1.334407032096527</v>
      </c>
      <c r="AO871" s="6" t="n">
        <v>1.334440584454514</v>
      </c>
      <c r="AP871" s="6" t="n">
        <v>0.1290318739337943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1.346683881600146</v>
      </c>
      <c r="AO872" s="6" t="n">
        <v>1.347181451634539</v>
      </c>
      <c r="AP872" s="6" t="n">
        <v>0.1313792397481727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1.306669001017596</v>
      </c>
      <c r="AO873" s="6" t="n">
        <v>1.316004778662701</v>
      </c>
      <c r="AP873" s="6" t="n">
        <v>0.1280984958945932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1.352161277375864</v>
      </c>
      <c r="AO874" s="6" t="n">
        <v>1.352436142248508</v>
      </c>
      <c r="AP874" s="6" t="n">
        <v>0.1334177590471669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1.351393368558376</v>
      </c>
      <c r="AO875" s="6" t="n">
        <v>1.351393368558376</v>
      </c>
      <c r="AP875" s="6" t="n">
        <v>0.1360737356843654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1.332887454295269</v>
      </c>
      <c r="AO876" s="6" t="n">
        <v>1.33393734959531</v>
      </c>
      <c r="AP876" s="6" t="n">
        <v>0.1292213700589542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1.353121167890431</v>
      </c>
      <c r="AO877" s="6" t="n">
        <v>1.353121167890431</v>
      </c>
      <c r="AP877" s="6" t="n">
        <v>0.1342913338875514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1.332513863869359</v>
      </c>
      <c r="AO878" s="6" t="n">
        <v>1.340444255059351</v>
      </c>
      <c r="AP878" s="6" t="n">
        <v>0.1327090911079998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1.321872359818839</v>
      </c>
      <c r="AO879" s="6" t="n">
        <v>1.324221163377466</v>
      </c>
      <c r="AP879" s="6" t="n">
        <v>0.1273301335136914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1.344831674289014</v>
      </c>
      <c r="AO880" s="6" t="n">
        <v>1.344922544511481</v>
      </c>
      <c r="AP880" s="6" t="n">
        <v>0.1303329784059784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1.29806503194619</v>
      </c>
      <c r="AO881" s="6" t="n">
        <v>1.301234556257338</v>
      </c>
      <c r="AP881" s="6" t="n">
        <v>0.124770772736337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1.314248712717207</v>
      </c>
      <c r="AO882" s="6" t="n">
        <v>1.322165031087303</v>
      </c>
      <c r="AP882" s="6" t="n">
        <v>0.1279423069336844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1.307799777255005</v>
      </c>
      <c r="AO883" s="6" t="n">
        <v>1.30969745105225</v>
      </c>
      <c r="AP883" s="6" t="n">
        <v>0.1276999890436247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1.356554099827053</v>
      </c>
      <c r="AO884" s="6" t="n">
        <v>1.357428067662536</v>
      </c>
      <c r="AP884" s="6" t="n">
        <v>0.1346762150973708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1.331335001965439</v>
      </c>
      <c r="AO885" s="6" t="n">
        <v>1.331909331772329</v>
      </c>
      <c r="AP885" s="6" t="n">
        <v>0.1285825622975366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1.347844834083139</v>
      </c>
      <c r="AO886" s="6" t="n">
        <v>1.348780928358035</v>
      </c>
      <c r="AP886" s="6" t="n">
        <v>0.1330315699865765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1.340955321458042</v>
      </c>
      <c r="AO887" s="6" t="n">
        <v>1.346562044411211</v>
      </c>
      <c r="AP887" s="6" t="n">
        <v>0.1330290952505371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1.325708754008553</v>
      </c>
      <c r="AO888" s="6" t="n">
        <v>1.326036727307668</v>
      </c>
      <c r="AP888" s="6" t="n">
        <v>0.1278145159984387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1.34953352003047</v>
      </c>
      <c r="AO889" s="6" t="n">
        <v>1.349712775467803</v>
      </c>
      <c r="AP889" s="6" t="n">
        <v>0.1314661976011068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1.355005096603904</v>
      </c>
      <c r="AO890" s="6" t="n">
        <v>1.355005096603904</v>
      </c>
      <c r="AP890" s="6" t="n">
        <v>0.1357668041940237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1.345104103699993</v>
      </c>
      <c r="AO891" s="6" t="n">
        <v>1.352083945673028</v>
      </c>
      <c r="AP891" s="6" t="n">
        <v>0.1363482257443634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1.338368579678598</v>
      </c>
      <c r="AO892" s="6" t="n">
        <v>1.338778393679198</v>
      </c>
      <c r="AP892" s="6" t="n">
        <v>0.1296379208459985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1.358234766117239</v>
      </c>
      <c r="AO893" s="6" t="n">
        <v>1.358234766117239</v>
      </c>
      <c r="AP893" s="6" t="n">
        <v>0.1361145520618741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1.295732696085703</v>
      </c>
      <c r="AO894" s="6" t="n">
        <v>1.309750487970427</v>
      </c>
      <c r="AP894" s="6" t="n">
        <v>0.1280198799220729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1.349163819685264</v>
      </c>
      <c r="AO895" s="6" t="n">
        <v>1.349383839914735</v>
      </c>
      <c r="AP895" s="6" t="n">
        <v>0.1317945948901559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1.340898304086543</v>
      </c>
      <c r="AO896" s="6" t="n">
        <v>1.341661397636952</v>
      </c>
      <c r="AP896" s="6" t="n">
        <v>0.1307211527260558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1.325059929691481</v>
      </c>
      <c r="AO897" s="6" t="n">
        <v>1.331055166662665</v>
      </c>
      <c r="AP897" s="6" t="n">
        <v>0.1294909166934675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1.358540078950089</v>
      </c>
      <c r="AO898" s="6" t="n">
        <v>1.358540078950089</v>
      </c>
      <c r="AP898" s="6" t="n">
        <v>0.1356029945726109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1.344386763827087</v>
      </c>
      <c r="AO899" s="6" t="n">
        <v>1.344386763827087</v>
      </c>
      <c r="AP899" s="6" t="n">
        <v>0.1320810474915705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1.330395265934653</v>
      </c>
      <c r="AO900" s="6" t="n">
        <v>1.331292621119425</v>
      </c>
      <c r="AP900" s="6" t="n">
        <v>0.1284988119071922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1.339073161839373</v>
      </c>
      <c r="AO901" s="6" t="n">
        <v>1.339838401725498</v>
      </c>
      <c r="AP901" s="6" t="n">
        <v>0.1299698873687038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1.345079963399191</v>
      </c>
      <c r="AO902" s="6" t="n">
        <v>1.345383279066761</v>
      </c>
      <c r="AP902" s="6" t="n">
        <v>0.1319229080203999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1.346233231425179</v>
      </c>
      <c r="AO903" s="6" t="n">
        <v>1.346713948522003</v>
      </c>
      <c r="AP903" s="6" t="n">
        <v>0.1308114268558841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1.351011841639614</v>
      </c>
      <c r="AO904" s="6" t="n">
        <v>1.352403348493481</v>
      </c>
      <c r="AP904" s="6" t="n">
        <v>0.1340146095535985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1.345907749293198</v>
      </c>
      <c r="AO905" s="6" t="n">
        <v>1.346821935504006</v>
      </c>
      <c r="AP905" s="6" t="n">
        <v>0.131705992696039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1.326926675419414</v>
      </c>
      <c r="AO906" s="6" t="n">
        <v>1.327668157391764</v>
      </c>
      <c r="AP906" s="6" t="n">
        <v>0.1272231401089345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1.347431669568001</v>
      </c>
      <c r="AO907" s="6" t="n">
        <v>1.347674082812144</v>
      </c>
      <c r="AP907" s="6" t="n">
        <v>0.1316956721328918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1.331516751097144</v>
      </c>
      <c r="AO908" s="6" t="n">
        <v>1.332693220954085</v>
      </c>
      <c r="AP908" s="6" t="n">
        <v>0.1284699542796233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1.338247697235511</v>
      </c>
      <c r="AO909" s="6" t="n">
        <v>1.3394147184925</v>
      </c>
      <c r="AP909" s="6" t="n">
        <v>0.1301605578717445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1.352182420351607</v>
      </c>
      <c r="AO910" s="6" t="n">
        <v>1.352399647053379</v>
      </c>
      <c r="AP910" s="6" t="n">
        <v>0.1322350815988627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1.343319389978644</v>
      </c>
      <c r="AO911" s="6" t="n">
        <v>1.3455277986654</v>
      </c>
      <c r="AP911" s="6" t="n">
        <v>0.1312175974862003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1.353196208786632</v>
      </c>
      <c r="AO912" s="6" t="n">
        <v>1.353946661105991</v>
      </c>
      <c r="AP912" s="6" t="n">
        <v>0.1332322343340925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1.324297273439462</v>
      </c>
      <c r="AO913" s="6" t="n">
        <v>1.325033547794602</v>
      </c>
      <c r="AP913" s="6" t="n">
        <v>0.1269739990152781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0.1339896481705514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1.338334143468385</v>
      </c>
      <c r="AO915" s="6" t="n">
        <v>1.338591219130412</v>
      </c>
      <c r="AP915" s="6" t="n">
        <v>0.1297024106916101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1.347728531162107</v>
      </c>
      <c r="AO916" s="6" t="n">
        <v>1.347728531162107</v>
      </c>
      <c r="AP916" s="6" t="n">
        <v>0.1340274650150545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1.30254723301566</v>
      </c>
      <c r="AO917" s="6" t="n">
        <v>1.308426571135392</v>
      </c>
      <c r="AP917" s="6" t="n">
        <v>0.1344095670052659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1.339422932068621</v>
      </c>
      <c r="AO918" s="6" t="n">
        <v>1.342122734022222</v>
      </c>
      <c r="AP918" s="6" t="n">
        <v>0.1308153037730121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1.345535439858534</v>
      </c>
      <c r="AO919" s="6" t="n">
        <v>1.346423370251414</v>
      </c>
      <c r="AP919" s="6" t="n">
        <v>0.1333229855574042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1.351459828727386</v>
      </c>
      <c r="AO920" s="6" t="n">
        <v>1.352027514790282</v>
      </c>
      <c r="AP920" s="6" t="n">
        <v>0.1336921775351011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1.348998028613468</v>
      </c>
      <c r="AO921" s="6" t="n">
        <v>1.348998028613468</v>
      </c>
      <c r="AP921" s="6" t="n">
        <v>0.1355483530742516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1.337542318893995</v>
      </c>
      <c r="AO922" s="6" t="n">
        <v>1.33759858959601</v>
      </c>
      <c r="AP922" s="6" t="n">
        <v>0.1294210492097405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1.330475354661869</v>
      </c>
      <c r="AO923" s="6" t="n">
        <v>1.330560280870935</v>
      </c>
      <c r="AP923" s="6" t="n">
        <v>0.1281613176727744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1.329418080253949</v>
      </c>
      <c r="AO924" s="6" t="n">
        <v>1.330930030947362</v>
      </c>
      <c r="AP924" s="6" t="n">
        <v>0.1320214157229711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1.347706908619844</v>
      </c>
      <c r="AO925" s="6" t="n">
        <v>1.347790909354982</v>
      </c>
      <c r="AP925" s="6" t="n">
        <v>0.1325007195591841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1.343107621839986</v>
      </c>
      <c r="AO926" s="6" t="n">
        <v>1.348973168895492</v>
      </c>
      <c r="AP926" s="6" t="n">
        <v>0.1348973592047757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1.347738903541154</v>
      </c>
      <c r="AO927" s="6" t="n">
        <v>1.34798189721795</v>
      </c>
      <c r="AP927" s="6" t="n">
        <v>0.1313326853382195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1.357517360602603</v>
      </c>
      <c r="AO928" s="6" t="n">
        <v>1.357517360602603</v>
      </c>
      <c r="AP928" s="6" t="n">
        <v>0.1373056029763329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1.358458208561859</v>
      </c>
      <c r="AO929" s="6" t="n">
        <v>1.358957994859898</v>
      </c>
      <c r="AP929" s="6" t="n">
        <v>0.1346485038072383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1.320024898648726</v>
      </c>
      <c r="AO930" s="6" t="n">
        <v>1.321264263443643</v>
      </c>
      <c r="AP930" s="6" t="n">
        <v>0.1263256918096531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1.343070184777029</v>
      </c>
      <c r="AO931" s="6" t="n">
        <v>1.343502646787305</v>
      </c>
      <c r="AP931" s="6" t="n">
        <v>0.130929000553576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1.35016157438672</v>
      </c>
      <c r="AO932" s="6" t="n">
        <v>1.350512388115663</v>
      </c>
      <c r="AP932" s="6" t="n">
        <v>0.1321862494161664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1.343245663153831</v>
      </c>
      <c r="AO933" s="6" t="n">
        <v>1.343841742431594</v>
      </c>
      <c r="AP933" s="6" t="n">
        <v>0.1304704490976499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1.345383982902197</v>
      </c>
      <c r="AO934" s="6" t="n">
        <v>1.346593144289477</v>
      </c>
      <c r="AP934" s="6" t="n">
        <v>0.1301773406608772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1.35337824574911</v>
      </c>
      <c r="AO935" s="6" t="n">
        <v>1.35337824574911</v>
      </c>
      <c r="AP935" s="6" t="n">
        <v>0.1330229722170821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1.327262148957927</v>
      </c>
      <c r="AO936" s="6" t="n">
        <v>1.335918322321623</v>
      </c>
      <c r="AP936" s="6" t="n">
        <v>0.1321033051322528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1.319407280818957</v>
      </c>
      <c r="AO937" s="6" t="n">
        <v>1.327336080056352</v>
      </c>
      <c r="AP937" s="6" t="n">
        <v>0.1297427756513224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1.326058991295581</v>
      </c>
      <c r="AO938" s="6" t="n">
        <v>1.33248146024343</v>
      </c>
      <c r="AP938" s="6" t="n">
        <v>0.1299484448217143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1.351314162821574</v>
      </c>
      <c r="AO939" s="6" t="n">
        <v>1.351891671943588</v>
      </c>
      <c r="AP939" s="6" t="n">
        <v>0.134870393639441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1.347459164849319</v>
      </c>
      <c r="AO940" s="6" t="n">
        <v>1.347691880139414</v>
      </c>
      <c r="AP940" s="6" t="n">
        <v>0.1319133852536474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1.35009408890124</v>
      </c>
      <c r="AO941" s="6" t="n">
        <v>1.351264339258893</v>
      </c>
      <c r="AP941" s="6" t="n">
        <v>0.1320423667096043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1.344681693726375</v>
      </c>
      <c r="AO942" s="6" t="n">
        <v>1.345538109554817</v>
      </c>
      <c r="AP942" s="6" t="n">
        <v>0.1310822078167088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1.340700599578207</v>
      </c>
      <c r="AO943" s="6" t="n">
        <v>1.340980316528241</v>
      </c>
      <c r="AP943" s="6" t="n">
        <v>0.1308498190179893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1.34547089248968</v>
      </c>
      <c r="AO944" s="6" t="n">
        <v>1.348830813880129</v>
      </c>
      <c r="AP944" s="6" t="n">
        <v>0.1321049014116745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1.340397228536282</v>
      </c>
      <c r="AO945" s="6" t="n">
        <v>1.340754798744102</v>
      </c>
      <c r="AP945" s="6" t="n">
        <v>0.1301257632499594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1.338817929549409</v>
      </c>
      <c r="AO946" s="6" t="n">
        <v>1.347760335560227</v>
      </c>
      <c r="AP946" s="6" t="n">
        <v>0.1358816681562082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1.36024996326256</v>
      </c>
      <c r="AO947" s="6" t="n">
        <v>1.36024996326256</v>
      </c>
      <c r="AP947" s="6" t="n">
        <v>0.1407255152782764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1.307469490805061</v>
      </c>
      <c r="AO948" s="6" t="n">
        <v>1.313411228081017</v>
      </c>
      <c r="AP948" s="6" t="n">
        <v>0.1285188034399092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1.345286649151353</v>
      </c>
      <c r="AO949" s="6" t="n">
        <v>1.345975876931218</v>
      </c>
      <c r="AP949" s="6" t="n">
        <v>0.1320090699476542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1.351020725357284</v>
      </c>
      <c r="AO950" s="6" t="n">
        <v>1.351020725357284</v>
      </c>
      <c r="AP950" s="6" t="n">
        <v>0.1328714341911492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1.33435253210045</v>
      </c>
      <c r="AO951" s="6" t="n">
        <v>1.334714283796667</v>
      </c>
      <c r="AP951" s="6" t="n">
        <v>0.1282745800274382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1.343141082470118</v>
      </c>
      <c r="AO952" s="6" t="n">
        <v>1.34354210055398</v>
      </c>
      <c r="AP952" s="6" t="n">
        <v>0.1306574977754045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1.335241825239632</v>
      </c>
      <c r="AO953" s="6" t="n">
        <v>1.335816187434306</v>
      </c>
      <c r="AP953" s="6" t="n">
        <v>0.1293945709434955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1.295057426271783</v>
      </c>
      <c r="AO954" s="6" t="n">
        <v>1.308220647593647</v>
      </c>
      <c r="AP954" s="6" t="n">
        <v>0.131634577373735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1.332899812035718</v>
      </c>
      <c r="AO955" s="6" t="n">
        <v>1.337922142075041</v>
      </c>
      <c r="AP955" s="6" t="n">
        <v>0.1309302056468459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1.332794457419838</v>
      </c>
      <c r="AO956" s="6" t="n">
        <v>1.334171769864483</v>
      </c>
      <c r="AP956" s="6" t="n">
        <v>0.1280930342612543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1.345511025561824</v>
      </c>
      <c r="AO957" s="6" t="n">
        <v>1.348845962451699</v>
      </c>
      <c r="AP957" s="6" t="n">
        <v>0.14009986969932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1.353056936827211</v>
      </c>
      <c r="AO958" s="6" t="n">
        <v>1.353488206032921</v>
      </c>
      <c r="AP958" s="6" t="n">
        <v>0.1330198470743881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1.283547026684446</v>
      </c>
      <c r="AO959" s="6" t="n">
        <v>1.296201410847361</v>
      </c>
      <c r="AP959" s="6" t="n">
        <v>0.1257394444432678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1.343517316572467</v>
      </c>
      <c r="AO960" s="6" t="n">
        <v>1.343619263819109</v>
      </c>
      <c r="AP960" s="6" t="n">
        <v>0.1315563199594415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1.341077536413607</v>
      </c>
      <c r="AO961" s="6" t="n">
        <v>1.341092369551222</v>
      </c>
      <c r="AP961" s="6" t="n">
        <v>0.1305099622328142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1.344673512778967</v>
      </c>
      <c r="AO962" s="6" t="n">
        <v>1.345187375824588</v>
      </c>
      <c r="AP962" s="6" t="n">
        <v>0.1297642916774071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1.335328421097077</v>
      </c>
      <c r="AO963" s="6" t="n">
        <v>1.339880503404422</v>
      </c>
      <c r="AP963" s="6" t="n">
        <v>0.1310735107491882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1.346583673869334</v>
      </c>
      <c r="AO964" s="6" t="n">
        <v>1.352840614086496</v>
      </c>
      <c r="AP964" s="6" t="n">
        <v>0.1375545019483967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1.323945956202257</v>
      </c>
      <c r="AO965" s="6" t="n">
        <v>1.330121427330176</v>
      </c>
      <c r="AP965" s="6" t="n">
        <v>0.132622621907843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1.355339240341071</v>
      </c>
      <c r="AO966" s="6" t="n">
        <v>1.355339240341071</v>
      </c>
      <c r="AP966" s="6" t="n">
        <v>0.135097981999748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1.316910490521792</v>
      </c>
      <c r="AO967" s="6" t="n">
        <v>1.327780848403576</v>
      </c>
      <c r="AP967" s="6" t="n">
        <v>0.1302877178162864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1.323332628260731</v>
      </c>
      <c r="AO968" s="6" t="n">
        <v>1.328797729321758</v>
      </c>
      <c r="AP968" s="6" t="n">
        <v>0.132096175049166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1.311678006681756</v>
      </c>
      <c r="AO969" s="6" t="n">
        <v>1.328813676470921</v>
      </c>
      <c r="AP969" s="6" t="n">
        <v>0.1342912145905505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1.343371084462502</v>
      </c>
      <c r="AO970" s="6" t="n">
        <v>1.343791847884059</v>
      </c>
      <c r="AP970" s="6" t="n">
        <v>0.1309527653264846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1.31224605289877</v>
      </c>
      <c r="AO971" s="6" t="n">
        <v>1.321186597346801</v>
      </c>
      <c r="AP971" s="6" t="n">
        <v>0.1290070282046839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1.307424530213199</v>
      </c>
      <c r="AO972" s="6" t="n">
        <v>1.314280665895617</v>
      </c>
      <c r="AP972" s="6" t="n">
        <v>0.1313634875160603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1.348230170334913</v>
      </c>
      <c r="AO973" s="6" t="n">
        <v>1.348903620586533</v>
      </c>
      <c r="AP973" s="6" t="n">
        <v>0.1319028023933272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1.341773370886344</v>
      </c>
      <c r="AO974" s="6" t="n">
        <v>1.341842399548514</v>
      </c>
      <c r="AP974" s="6" t="n">
        <v>0.1304049022524017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1.337452626494373</v>
      </c>
      <c r="AO975" s="6" t="n">
        <v>1.340502364848082</v>
      </c>
      <c r="AP975" s="6" t="n">
        <v>0.1306569694979503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1.324431774832866</v>
      </c>
      <c r="AO976" s="6" t="n">
        <v>1.328802352896022</v>
      </c>
      <c r="AP976" s="6" t="n">
        <v>0.1305118019446914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1.325899646803037</v>
      </c>
      <c r="AO977" s="6" t="n">
        <v>1.327614859440693</v>
      </c>
      <c r="AP977" s="6" t="n">
        <v>0.1278176559820499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1.348170642649333</v>
      </c>
      <c r="AO978" s="6" t="n">
        <v>1.348406338732379</v>
      </c>
      <c r="AP978" s="6" t="n">
        <v>0.1314469677682292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1.30917666662882</v>
      </c>
      <c r="AO979" s="6" t="n">
        <v>1.318882647701265</v>
      </c>
      <c r="AP979" s="6" t="n">
        <v>0.1390016332205542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1.333446543019903</v>
      </c>
      <c r="AO980" s="6" t="n">
        <v>1.338212069608828</v>
      </c>
      <c r="AP980" s="6" t="n">
        <v>0.1298222335033038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1.340039805110681</v>
      </c>
      <c r="AO981" s="6" t="n">
        <v>1.344351477141462</v>
      </c>
      <c r="AP981" s="6" t="n">
        <v>0.1322908717559592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1.356745326582912</v>
      </c>
      <c r="AO982" s="6" t="n">
        <v>1.356745326582912</v>
      </c>
      <c r="AP982" s="6" t="n">
        <v>0.1353598322299118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1.339747212834961</v>
      </c>
      <c r="AO983" s="6" t="n">
        <v>1.339877150450814</v>
      </c>
      <c r="AP983" s="6" t="n">
        <v>0.129750735592881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1.340203528320645</v>
      </c>
      <c r="AO984" s="6" t="n">
        <v>1.340891846802682</v>
      </c>
      <c r="AP984" s="6" t="n">
        <v>0.1303636320131352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1.34851659199692</v>
      </c>
      <c r="AO985" s="6" t="n">
        <v>1.348964779880012</v>
      </c>
      <c r="AP985" s="6" t="n">
        <v>0.1310050152880401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1.318956016261661</v>
      </c>
      <c r="AO986" s="6" t="n">
        <v>1.319689571039951</v>
      </c>
      <c r="AP986" s="6" t="n">
        <v>0.1304672851143694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1.332756330427494</v>
      </c>
      <c r="AO987" s="6" t="n">
        <v>1.333616495018306</v>
      </c>
      <c r="AP987" s="6" t="n">
        <v>0.128124091758807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1.351778358978212</v>
      </c>
      <c r="AO988" s="6" t="n">
        <v>1.351778358978212</v>
      </c>
      <c r="AP988" s="6" t="n">
        <v>0.1341822122613037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1.346680126616937</v>
      </c>
      <c r="AO989" s="6" t="n">
        <v>1.347870042205143</v>
      </c>
      <c r="AP989" s="6" t="n">
        <v>0.1326466996147983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1.344474712549382</v>
      </c>
      <c r="AO990" s="6" t="n">
        <v>1.344756075288159</v>
      </c>
      <c r="AP990" s="6" t="n">
        <v>0.1311765486935604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1.356814969365801</v>
      </c>
      <c r="AO991" s="6" t="n">
        <v>1.357525143995475</v>
      </c>
      <c r="AP991" s="6" t="n">
        <v>0.1361313829761334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1.334472410457214</v>
      </c>
      <c r="AO992" s="6" t="n">
        <v>1.339015490872087</v>
      </c>
      <c r="AP992" s="6" t="n">
        <v>0.1313380854672945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1.292919936716062</v>
      </c>
      <c r="AO993" s="6" t="n">
        <v>1.300950199606701</v>
      </c>
      <c r="AP993" s="6" t="n">
        <v>0.1292173028809286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1.320610392032718</v>
      </c>
      <c r="AO994" s="6" t="n">
        <v>1.324525508389728</v>
      </c>
      <c r="AP994" s="6" t="n">
        <v>0.1269070778951394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1.344742279077272</v>
      </c>
      <c r="AO995" s="6" t="n">
        <v>1.346343152153315</v>
      </c>
      <c r="AP995" s="6" t="n">
        <v>0.1317044341492692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1.305201641967797</v>
      </c>
      <c r="AO996" s="6" t="n">
        <v>1.312995605764682</v>
      </c>
      <c r="AP996" s="6" t="n">
        <v>0.1261662044409782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1.345575284332572</v>
      </c>
      <c r="AO997" s="6" t="n">
        <v>1.345645984010093</v>
      </c>
      <c r="AP997" s="6" t="n">
        <v>0.1313969745849729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1.350220017573595</v>
      </c>
      <c r="AO998" s="6" t="n">
        <v>1.350704304222093</v>
      </c>
      <c r="AP998" s="6" t="n">
        <v>0.1345114484676014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1.347368415680065</v>
      </c>
      <c r="AO999" s="6" t="n">
        <v>1.348105459068234</v>
      </c>
      <c r="AP999" s="6" t="n">
        <v>0.1307586460876545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1.34813215837158</v>
      </c>
      <c r="AO1000" s="6" t="n">
        <v>1.348159730321153</v>
      </c>
      <c r="AP1000" s="6" t="n">
        <v>0.1316062189791126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1.357445212216988</v>
      </c>
      <c r="AO1001" s="6" t="n">
        <v>1.357445212216988</v>
      </c>
      <c r="AP1001" s="6" t="n">
        <v>0.1372247111833461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1.341293263654024</v>
      </c>
      <c r="AO1002" s="6" t="n">
        <v>1.341293263654024</v>
      </c>
      <c r="AP1002" s="6" t="n">
        <v>0.1307511833670991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1.340241485636488</v>
      </c>
      <c r="AO1003" s="6" t="n">
        <v>1.340309928526669</v>
      </c>
      <c r="AP1003" s="6" t="n">
        <v>0.1297642007174423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1.343151648402884</v>
      </c>
      <c r="AO1004" s="6" t="n">
        <v>1.347222966017326</v>
      </c>
      <c r="AP1004" s="6" t="n">
        <v>0.1318317872885591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1.331697576634626</v>
      </c>
      <c r="AO1005" s="6" t="n">
        <v>1.338885785415199</v>
      </c>
      <c r="AP1005" s="6" t="n">
        <v>0.1316259142637902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1.344814963592897</v>
      </c>
      <c r="AO1006" s="6" t="n">
        <v>1.34536002339246</v>
      </c>
      <c r="AP1006" s="6" t="n">
        <v>0.1314639892798632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1.333457832203602</v>
      </c>
      <c r="AO1007" s="6" t="n">
        <v>1.333873484762209</v>
      </c>
      <c r="AP1007" s="6" t="n">
        <v>0.1285551666968779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1.325450414771604</v>
      </c>
      <c r="AO1008" s="6" t="n">
        <v>1.330491812070306</v>
      </c>
      <c r="AP1008" s="6" t="n">
        <v>0.1323052974513879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1.351716147691359</v>
      </c>
      <c r="AO1009" s="6" t="n">
        <v>1.35334986119435</v>
      </c>
      <c r="AP1009" s="6" t="n">
        <v>0.1356517780025477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1.286901354553252</v>
      </c>
      <c r="AO1010" s="6" t="n">
        <v>1.294342565867297</v>
      </c>
      <c r="AP1010" s="6" t="n">
        <v>0.1274685389741188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1.323098260466183</v>
      </c>
      <c r="AO1011" s="6" t="n">
        <v>1.332170269262918</v>
      </c>
      <c r="AP1011" s="6" t="n">
        <v>0.1311535490332318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1.335480484881024</v>
      </c>
      <c r="AO1012" s="6" t="n">
        <v>1.337710810328378</v>
      </c>
      <c r="AP1012" s="6" t="n">
        <v>0.1299239299092542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1.329938644485584</v>
      </c>
      <c r="AO1013" s="6" t="n">
        <v>1.331294122384943</v>
      </c>
      <c r="AP1013" s="6" t="n">
        <v>0.1277695258577016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1.340524039748202</v>
      </c>
      <c r="AO1014" s="6" t="n">
        <v>1.347676934756575</v>
      </c>
      <c r="AP1014" s="6" t="n">
        <v>0.1346761162577729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1.330556625953415</v>
      </c>
      <c r="AO1015" s="6" t="n">
        <v>1.331670079523298</v>
      </c>
      <c r="AP1015" s="6" t="n">
        <v>0.1281839398304625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1.33428309362192</v>
      </c>
      <c r="AO1016" s="6" t="n">
        <v>1.334616416312691</v>
      </c>
      <c r="AP1016" s="6" t="n">
        <v>0.1283877854312525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1.352268988181321</v>
      </c>
      <c r="AO1017" s="6" t="n">
        <v>1.352438622482738</v>
      </c>
      <c r="AP1017" s="6" t="n">
        <v>0.1321950874939216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1.336095166770909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1.349270198687448</v>
      </c>
      <c r="AO1019" s="6" t="n">
        <v>1.349406637006366</v>
      </c>
      <c r="AP1019" s="6" t="n">
        <v>0.1327587954319095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1.333409859933255</v>
      </c>
      <c r="AO1020" s="6" t="n">
        <v>1.333745037240883</v>
      </c>
      <c r="AP1020" s="6" t="n">
        <v>0.1284700533165963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1.350039060790293</v>
      </c>
      <c r="AO1021" s="6" t="n">
        <v>1.351001452034515</v>
      </c>
      <c r="AP1021" s="6" t="n">
        <v>0.1323461964296337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1.336427801359631</v>
      </c>
      <c r="AO1022" s="6" t="n">
        <v>1.337003836860383</v>
      </c>
      <c r="AP1022" s="6" t="n">
        <v>0.1292352590809813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1.324353133913333</v>
      </c>
      <c r="AO1023" s="6" t="n">
        <v>1.325647938964123</v>
      </c>
      <c r="AP1023" s="6" t="n">
        <v>0.1273668388497833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1.340109420697896</v>
      </c>
      <c r="AO1024" s="6" t="n">
        <v>1.342341873186205</v>
      </c>
      <c r="AP1024" s="6" t="n">
        <v>0.1304547765825501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1.329427455521027</v>
      </c>
      <c r="AO1025" s="6" t="n">
        <v>1.329427455521027</v>
      </c>
      <c r="AP1025" s="6" t="n">
        <v>0.1285640030096387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1.343363541764587</v>
      </c>
      <c r="AO1026" s="6" t="n">
        <v>1.343363541764587</v>
      </c>
      <c r="AP1026" s="6" t="n">
        <v>0.1315117919071282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1.345387344326855</v>
      </c>
      <c r="AO1027" s="6" t="n">
        <v>1.350197551748761</v>
      </c>
      <c r="AP1027" s="6" t="n">
        <v>0.133280982730719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1.340977505165989</v>
      </c>
      <c r="AO1028" s="6" t="n">
        <v>1.341448104215328</v>
      </c>
      <c r="AP1028" s="6" t="n">
        <v>0.1299440948002353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1.344709509550817</v>
      </c>
      <c r="AO1029" s="6" t="n">
        <v>1.345010533372226</v>
      </c>
      <c r="AP1029" s="6" t="n">
        <v>0.1306289988211687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1.358829633935049</v>
      </c>
      <c r="AO1030" s="6" t="n">
        <v>1.358829633935049</v>
      </c>
      <c r="AP1030" s="6" t="n">
        <v>0.1356047438699749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1.336815309967844</v>
      </c>
      <c r="AO1031" s="6" t="n">
        <v>1.344362452578858</v>
      </c>
      <c r="AP1031" s="6" t="n">
        <v>0.1340522628271478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1.352277013408052</v>
      </c>
      <c r="AO1032" s="6" t="n">
        <v>1.352436401393184</v>
      </c>
      <c r="AP1032" s="6" t="n">
        <v>0.1324915199701064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1.360784633156558</v>
      </c>
      <c r="AO1033" s="6" t="n">
        <v>1.360784633156558</v>
      </c>
      <c r="AP1033" s="6" t="n">
        <v>0.1392269358401342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1.330299286709393</v>
      </c>
      <c r="AO1034" s="6" t="n">
        <v>1.334031599249445</v>
      </c>
      <c r="AP1034" s="6" t="n">
        <v>0.1289423795746593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1.327118359006986</v>
      </c>
      <c r="AO1035" s="6" t="n">
        <v>1.332554168866886</v>
      </c>
      <c r="AP1035" s="6" t="n">
        <v>0.1297461755528378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1.3202522231877</v>
      </c>
      <c r="AO1036" s="6" t="n">
        <v>1.330499507652827</v>
      </c>
      <c r="AP1036" s="6" t="n">
        <v>0.1310332799069889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1.317965667636787</v>
      </c>
      <c r="AO1037" s="6" t="n">
        <v>1.326063015601754</v>
      </c>
      <c r="AP1037" s="6" t="n">
        <v>0.1296081941328544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1.331498189362889</v>
      </c>
      <c r="AO1038" s="6" t="n">
        <v>1.332623873426052</v>
      </c>
      <c r="AP1038" s="6" t="n">
        <v>0.1279577019795782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1.346521142457431</v>
      </c>
      <c r="AO1039" s="6" t="n">
        <v>1.346521142457431</v>
      </c>
      <c r="AP1039" s="6" t="n">
        <v>0.1319494088155621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1.344997137481458</v>
      </c>
      <c r="AO1040" s="6" t="n">
        <v>1.345256007727412</v>
      </c>
      <c r="AP1040" s="6" t="n">
        <v>0.1306782497191981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1.307222653803689</v>
      </c>
      <c r="AO1041" s="6" t="n">
        <v>1.310540179042416</v>
      </c>
      <c r="AP1041" s="6" t="n">
        <v>0.1315591136159405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1.327910570664506</v>
      </c>
      <c r="AO1042" s="6" t="n">
        <v>1.333583625616591</v>
      </c>
      <c r="AP1042" s="6" t="n">
        <v>0.1324034552137734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1.354337293922455</v>
      </c>
      <c r="AO1043" s="6" t="n">
        <v>1.354337293922455</v>
      </c>
      <c r="AP1043" s="6" t="n">
        <v>0.1359035153931063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1.319202736376865</v>
      </c>
      <c r="AO1044" s="6" t="n">
        <v>1.320432897853383</v>
      </c>
      <c r="AP1044" s="6" t="n">
        <v>0.1260008042284825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1.343143537791053</v>
      </c>
      <c r="AO1045" s="6" t="n">
        <v>1.343288572295058</v>
      </c>
      <c r="AP1045" s="6" t="n">
        <v>0.1298842114338869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1.353497944800509</v>
      </c>
      <c r="AO1046" s="6" t="n">
        <v>1.353497944800509</v>
      </c>
      <c r="AP1046" s="6" t="n">
        <v>0.1360396341798928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1.336704307579216</v>
      </c>
      <c r="AO1047" s="6" t="n">
        <v>1.33735920021527</v>
      </c>
      <c r="AP1047" s="6" t="n">
        <v>0.1294229674248238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1.354857133630072</v>
      </c>
      <c r="AO1048" s="6" t="n">
        <v>1.354869822952539</v>
      </c>
      <c r="AP1048" s="6" t="n">
        <v>0.1332952910858741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1.347245337071774</v>
      </c>
      <c r="AO1049" s="6" t="n">
        <v>1.347245337071774</v>
      </c>
      <c r="AP1049" s="6" t="n">
        <v>0.1333729397177876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1.309676668531364</v>
      </c>
      <c r="AO1050" s="6" t="n">
        <v>1.313671596808825</v>
      </c>
      <c r="AP1050" s="6" t="n">
        <v>0.1295279043257628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1.340362341125778</v>
      </c>
      <c r="AO1051" s="6" t="n">
        <v>1.340870753625488</v>
      </c>
      <c r="AP1051" s="6" t="n">
        <v>0.1303015414489542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1.340580176471277</v>
      </c>
      <c r="AO1052" s="6" t="n">
        <v>1.340824846448485</v>
      </c>
      <c r="AP1052" s="6" t="n">
        <v>0.129985085757277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1.323738608416845</v>
      </c>
      <c r="AO1053" s="6" t="n">
        <v>1.324239675443087</v>
      </c>
      <c r="AP1053" s="6" t="n">
        <v>0.1270660202934004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1.351245276234304</v>
      </c>
      <c r="AO1054" s="6" t="n">
        <v>1.351549140053703</v>
      </c>
      <c r="AP1054" s="6" t="n">
        <v>0.1327026258296042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1.337810725546557</v>
      </c>
      <c r="AO1055" s="6" t="n">
        <v>1.338626942785655</v>
      </c>
      <c r="AP1055" s="6" t="n">
        <v>0.1298047599634242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1.344665426196237</v>
      </c>
      <c r="AO1056" s="6" t="n">
        <v>1.345159117310553</v>
      </c>
      <c r="AP1056" s="6" t="n">
        <v>0.1318769612418645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1.334267204243981</v>
      </c>
      <c r="AO1057" s="6" t="n">
        <v>1.341167548450328</v>
      </c>
      <c r="AP1057" s="6" t="n">
        <v>0.1320296296062671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1.334721230011739</v>
      </c>
      <c r="AO1058" s="6" t="n">
        <v>1.335362838628118</v>
      </c>
      <c r="AP1058" s="6" t="n">
        <v>0.1289407029703544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1.345777953626837</v>
      </c>
      <c r="AO1059" s="6" t="n">
        <v>1.346037873488009</v>
      </c>
      <c r="AP1059" s="6" t="n">
        <v>0.1310390551641912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1.334093299271119</v>
      </c>
      <c r="AO1060" s="6" t="n">
        <v>1.336153049296175</v>
      </c>
      <c r="AP1060" s="6" t="n">
        <v>0.1288798147792748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1.356364989924918</v>
      </c>
      <c r="AO1061" s="6" t="n">
        <v>1.356364989924918</v>
      </c>
      <c r="AP1061" s="6" t="n">
        <v>0.1345880579922129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1.312670823333376</v>
      </c>
      <c r="AO1062" s="6" t="n">
        <v>1.328418412595589</v>
      </c>
      <c r="AP1062" s="6" t="n">
        <v>0.1335836490742203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1.363965117663102</v>
      </c>
      <c r="AO1063" s="6" t="n">
        <v>1.363965117663102</v>
      </c>
      <c r="AP1063" s="6" t="n">
        <v>0.1420229655426953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1.344576382979018</v>
      </c>
      <c r="AO1064" s="6" t="n">
        <v>1.344907281556626</v>
      </c>
      <c r="AP1064" s="6" t="n">
        <v>0.1316559934200552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1.340889628838467</v>
      </c>
      <c r="AO1065" s="6" t="n">
        <v>1.341263633496641</v>
      </c>
      <c r="AP1065" s="6" t="n">
        <v>0.1306215056964726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1.305496770828628</v>
      </c>
      <c r="AO1066" s="6" t="n">
        <v>1.314426916790175</v>
      </c>
      <c r="AP1066" s="6" t="n">
        <v>0.1304726403501043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1.340097064377</v>
      </c>
      <c r="AO1067" s="6" t="n">
        <v>1.340392901212959</v>
      </c>
      <c r="AP1067" s="6" t="n">
        <v>0.1295132441627054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1.34142215031864</v>
      </c>
      <c r="AO1068" s="6" t="n">
        <v>1.341470487683929</v>
      </c>
      <c r="AP1068" s="6" t="n">
        <v>0.1301766028967025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1.338193805379027</v>
      </c>
      <c r="AO1069" s="6" t="n">
        <v>1.344163075623483</v>
      </c>
      <c r="AP1069" s="6" t="n">
        <v>0.1351868597880568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1.353385229657923</v>
      </c>
      <c r="AO1070" s="6" t="n">
        <v>1.353385229657923</v>
      </c>
      <c r="AP1070" s="6" t="n">
        <v>0.1351786563598706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1.353011443712103</v>
      </c>
      <c r="AO1071" s="6" t="n">
        <v>1.353398299379464</v>
      </c>
      <c r="AP1071" s="6" t="n">
        <v>0.132860173966624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1.342477884094815</v>
      </c>
      <c r="AO1072" s="6" t="n">
        <v>1.34422713811588</v>
      </c>
      <c r="AP1072" s="6" t="n">
        <v>0.1309917859452641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1.349679447639368</v>
      </c>
      <c r="AO1073" s="6" t="n">
        <v>1.349679447639368</v>
      </c>
      <c r="AP1073" s="6" t="n">
        <v>0.1346451618727224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1.360567847783399</v>
      </c>
      <c r="AO1074" s="6" t="n">
        <v>1.360567847783399</v>
      </c>
      <c r="AP1074" s="6" t="n">
        <v>0.1374877745857588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1.341147900074574</v>
      </c>
      <c r="AO1075" s="6" t="n">
        <v>1.341215603416947</v>
      </c>
      <c r="AP1075" s="6" t="n">
        <v>0.1298917866687844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1.357324406072279</v>
      </c>
      <c r="AO1076" s="6" t="n">
        <v>1.357324406072279</v>
      </c>
      <c r="AP1076" s="6" t="n">
        <v>0.1367015506047667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1.356086309106276</v>
      </c>
      <c r="AO1077" s="6" t="n">
        <v>1.356086309106276</v>
      </c>
      <c r="AP1077" s="6" t="n">
        <v>0.1354214772382002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1.336931768985033</v>
      </c>
      <c r="AO1078" s="6" t="n">
        <v>1.337195844358051</v>
      </c>
      <c r="AP1078" s="6" t="n">
        <v>0.1291654171512172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1.354420933937458</v>
      </c>
      <c r="AO1079" s="6" t="n">
        <v>1.354420933937458</v>
      </c>
      <c r="AP1079" s="6" t="n">
        <v>0.1341209951092465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1.329635591625356</v>
      </c>
      <c r="AO1080" s="6" t="n">
        <v>1.336795144663951</v>
      </c>
      <c r="AP1080" s="6" t="n">
        <v>0.1315006522876835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1.352121287651113</v>
      </c>
      <c r="AO1081" s="6" t="n">
        <v>1.352121287651113</v>
      </c>
      <c r="AP1081" s="6" t="n">
        <v>0.1337815758250918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1.335634565728451</v>
      </c>
      <c r="AO1082" s="6" t="n">
        <v>1.336107661904951</v>
      </c>
      <c r="AP1082" s="6" t="n">
        <v>0.1290464574154183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1.341697134725482</v>
      </c>
      <c r="AO1083" s="6" t="n">
        <v>1.342199906938048</v>
      </c>
      <c r="AP1083" s="6" t="n">
        <v>0.1301462752293747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1.332856682753168</v>
      </c>
      <c r="AO1084" s="6" t="n">
        <v>1.333640912538086</v>
      </c>
      <c r="AP1084" s="6" t="n">
        <v>0.128363138363227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1.327077097910004</v>
      </c>
      <c r="AO1085" s="6" t="n">
        <v>1.327469673132863</v>
      </c>
      <c r="AP1085" s="6" t="n">
        <v>0.1277616194773088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1.312802929801883</v>
      </c>
      <c r="AO1086" s="6" t="n">
        <v>1.322059411177546</v>
      </c>
      <c r="AP1086" s="6" t="n">
        <v>0.129774215186953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1.302623320308</v>
      </c>
      <c r="AO1087" s="6" t="n">
        <v>1.309920124041828</v>
      </c>
      <c r="AP1087" s="6" t="n">
        <v>0.1274317288247918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1.333994207045667</v>
      </c>
      <c r="AO1088" s="6" t="n">
        <v>1.334957980716168</v>
      </c>
      <c r="AP1088" s="6" t="n">
        <v>0.1294915541521593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1.350030193154938</v>
      </c>
      <c r="AO1089" s="6" t="n">
        <v>1.350030193154938</v>
      </c>
      <c r="AP1089" s="6" t="n">
        <v>0.1348802781718579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1.333596669308686</v>
      </c>
      <c r="AO1090" s="6" t="n">
        <v>1.334134872198251</v>
      </c>
      <c r="AP1090" s="6" t="n">
        <v>0.128624976918745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1.338528783202539</v>
      </c>
      <c r="AO1091" s="6" t="n">
        <v>1.339289760877528</v>
      </c>
      <c r="AP1091" s="6" t="n">
        <v>0.1293220079232935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1.335053615259396</v>
      </c>
      <c r="AO1092" s="6" t="n">
        <v>1.335263155521331</v>
      </c>
      <c r="AP1092" s="6" t="n">
        <v>0.1289878305523068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1.335220860168449</v>
      </c>
      <c r="AO1093" s="6" t="n">
        <v>1.335771251116998</v>
      </c>
      <c r="AP1093" s="6" t="n">
        <v>0.1295495058244972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1.354321232863398</v>
      </c>
      <c r="AO1094" s="6" t="n">
        <v>1.354638112968988</v>
      </c>
      <c r="AP1094" s="6" t="n">
        <v>0.133825289860926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1.342068563843056</v>
      </c>
      <c r="AO1095" s="6" t="n">
        <v>1.342262579863397</v>
      </c>
      <c r="AP1095" s="6" t="n">
        <v>0.1313316733747172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1.35238762970556</v>
      </c>
      <c r="AO1096" s="6" t="n">
        <v>1.35238762970556</v>
      </c>
      <c r="AP1096" s="6" t="n">
        <v>0.1353420195119488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1.301765292368907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1.307052491641391</v>
      </c>
      <c r="AO1098" s="6" t="n">
        <v>1.313797314646028</v>
      </c>
      <c r="AP1098" s="6" t="n">
        <v>0.1312966551096555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1.338664095764773</v>
      </c>
      <c r="AO1099" s="6" t="n">
        <v>1.341890726086736</v>
      </c>
      <c r="AP1099" s="6" t="n">
        <v>0.1304646037634482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1.351136379033983</v>
      </c>
      <c r="AO1100" s="6" t="n">
        <v>1.351136379033983</v>
      </c>
      <c r="AP1100" s="6" t="n">
        <v>0.1342720855530942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1.327313087993476</v>
      </c>
      <c r="AO1101" s="6" t="n">
        <v>1.333152209915885</v>
      </c>
      <c r="AP1101" s="6" t="n">
        <v>0.1299452076455297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1.344165266858413</v>
      </c>
      <c r="AO1102" s="6" t="n">
        <v>1.344313464546892</v>
      </c>
      <c r="AP1102" s="6" t="n">
        <v>0.1307281036771512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1.347369115311748</v>
      </c>
      <c r="AO1103" s="6" t="n">
        <v>1.347369115311748</v>
      </c>
      <c r="AP1103" s="6" t="n">
        <v>0.1323813826381694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1.332088929999981</v>
      </c>
      <c r="AO1104" s="6" t="n">
        <v>1.332706084449584</v>
      </c>
      <c r="AP1104" s="6" t="n">
        <v>0.128894626664902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1.310979205181795</v>
      </c>
      <c r="AO1105" s="6" t="n">
        <v>1.320297413716476</v>
      </c>
      <c r="AP1105" s="6" t="n">
        <v>0.1281117485787775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1.349511077010071</v>
      </c>
      <c r="AO1106" s="6" t="n">
        <v>1.350439784432797</v>
      </c>
      <c r="AP1106" s="6" t="n">
        <v>0.1334698534367831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1.328741133362476</v>
      </c>
      <c r="AO1107" s="6" t="n">
        <v>1.329077695288533</v>
      </c>
      <c r="AP1107" s="6" t="n">
        <v>0.1274528490038389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1.341125895501565</v>
      </c>
      <c r="AO1108" s="6" t="n">
        <v>1.343119299570658</v>
      </c>
      <c r="AP1108" s="6" t="n">
        <v>0.1311388671800159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1.299684173573066</v>
      </c>
      <c r="AO1109" s="6" t="n">
        <v>1.311987668235439</v>
      </c>
      <c r="AP1109" s="6" t="n">
        <v>0.1280480376035036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1.32668714491595</v>
      </c>
      <c r="AO1110" s="6" t="n">
        <v>1.332018716123602</v>
      </c>
      <c r="AP1110" s="6" t="n">
        <v>0.1295327728912756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1.347242500386297</v>
      </c>
      <c r="AO1111" s="6" t="n">
        <v>1.347493509412844</v>
      </c>
      <c r="AP1111" s="6" t="n">
        <v>0.1317648138497129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1.353238693269488</v>
      </c>
      <c r="AO1112" s="6" t="n">
        <v>1.353238693269488</v>
      </c>
      <c r="AP1112" s="6" t="n">
        <v>0.1341459504970996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1.34749058818585</v>
      </c>
      <c r="AO1113" s="6" t="n">
        <v>1.353516404026786</v>
      </c>
      <c r="AP1113" s="6" t="n">
        <v>0.1368991964075544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1.347433197752544</v>
      </c>
      <c r="AO1114" s="6" t="n">
        <v>1.347606143193453</v>
      </c>
      <c r="AP1114" s="6" t="n">
        <v>0.1311401185816474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1.319322912250102</v>
      </c>
      <c r="AO1115" s="6" t="n">
        <v>1.325592318599072</v>
      </c>
      <c r="AP1115" s="6" t="n">
        <v>0.1290819429532837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1.329133401699711</v>
      </c>
      <c r="AO1116" s="6" t="n">
        <v>1.333601710839935</v>
      </c>
      <c r="AP1116" s="6" t="n">
        <v>0.1295391202750018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1.351025374692073</v>
      </c>
      <c r="AO1117" s="6" t="n">
        <v>1.351025374692073</v>
      </c>
      <c r="AP1117" s="6" t="n">
        <v>0.1331270220765047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1.334676428609301</v>
      </c>
      <c r="AO1118" s="6" t="n">
        <v>1.337211321979344</v>
      </c>
      <c r="AP1118" s="6" t="n">
        <v>0.1297228280802581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1.342296441016199</v>
      </c>
      <c r="AO1119" s="6" t="n">
        <v>1.342378913528782</v>
      </c>
      <c r="AP1119" s="6" t="n">
        <v>0.1305422317895641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1.360078453085357</v>
      </c>
      <c r="AO1120" s="6" t="n">
        <v>1.362329459760524</v>
      </c>
      <c r="AP1120" s="6" t="n">
        <v>0.1393770841105167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1.297650819148779</v>
      </c>
      <c r="AO1121" s="6" t="n">
        <v>1.314033302125312</v>
      </c>
      <c r="AP1121" s="6" t="n">
        <v>0.131108372820205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1.346705356847173</v>
      </c>
      <c r="AO1122" s="6" t="n">
        <v>1.351238777479494</v>
      </c>
      <c r="AP1122" s="6" t="n">
        <v>0.1336776190865263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1.353875004055483</v>
      </c>
      <c r="AO1123" s="6" t="n">
        <v>1.354192117771743</v>
      </c>
      <c r="AP1123" s="6" t="n">
        <v>0.1321633480512435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1.342057351164331</v>
      </c>
      <c r="AO1124" s="6" t="n">
        <v>1.342174200548855</v>
      </c>
      <c r="AP1124" s="6" t="n">
        <v>0.1308983095333746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1.338054691983094</v>
      </c>
      <c r="AO1125" s="6" t="n">
        <v>1.342786330564791</v>
      </c>
      <c r="AP1125" s="6" t="n">
        <v>0.1323603516175459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1.354904267399518</v>
      </c>
      <c r="AO1126" s="6" t="n">
        <v>1.354904267399518</v>
      </c>
      <c r="AP1126" s="6" t="n">
        <v>0.1334835282197661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1.324731419768981</v>
      </c>
      <c r="AO1127" s="6" t="n">
        <v>1.33037127080937</v>
      </c>
      <c r="AP1127" s="6" t="n">
        <v>0.1291975546744551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1.336073077134206</v>
      </c>
      <c r="AO1128" s="6" t="n">
        <v>1.338450849246445</v>
      </c>
      <c r="AP1128" s="6" t="n">
        <v>0.1299425732668127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1.341129179097053</v>
      </c>
      <c r="AO1129" s="6" t="n">
        <v>1.344146520767098</v>
      </c>
      <c r="AP1129" s="6" t="n">
        <v>0.131424471549462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1.347712867486003</v>
      </c>
      <c r="AO1130" s="6" t="n">
        <v>1.34836847635102</v>
      </c>
      <c r="AP1130" s="6" t="n">
        <v>0.1313083166937538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1.327962462706086</v>
      </c>
      <c r="AO1131" s="6" t="n">
        <v>1.328104838763354</v>
      </c>
      <c r="AP1131" s="6" t="n">
        <v>0.1279635336939517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1.357917472823213</v>
      </c>
      <c r="AO1132" s="6" t="n">
        <v>1.357917472823213</v>
      </c>
      <c r="AP1132" s="6" t="n">
        <v>0.1357908378501499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1.335000233240528</v>
      </c>
      <c r="AO1133" s="6" t="n">
        <v>1.335050580456783</v>
      </c>
      <c r="AP1133" s="6" t="n">
        <v>0.1295717688928149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1.349078955626878</v>
      </c>
      <c r="AO1134" s="6" t="n">
        <v>1.349790243146972</v>
      </c>
      <c r="AP1134" s="6" t="n">
        <v>0.1314946116035295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1.317046279949143</v>
      </c>
      <c r="AO1135" s="6" t="n">
        <v>1.325581216751949</v>
      </c>
      <c r="AP1135" s="6" t="n">
        <v>0.1318619062230032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1.305436003595041</v>
      </c>
      <c r="AO1136" s="6" t="n">
        <v>1.30973627635601</v>
      </c>
      <c r="AP1136" s="6" t="n">
        <v>0.1289747418595857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1.308983732512455</v>
      </c>
      <c r="AO1137" s="6" t="n">
        <v>1.322981287305899</v>
      </c>
      <c r="AP1137" s="6" t="n">
        <v>0.1268832160446865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1.347228396060693</v>
      </c>
      <c r="AO1138" s="6" t="n">
        <v>1.347228396060693</v>
      </c>
      <c r="AP1138" s="6" t="n">
        <v>0.1330829673043849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1.341026152800362</v>
      </c>
      <c r="AO1139" s="6" t="n">
        <v>1.350579222037596</v>
      </c>
      <c r="AP1139" s="6" t="n">
        <v>0.1372725130989467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1.344418165152094</v>
      </c>
      <c r="AO1140" s="6" t="n">
        <v>1.344576602195022</v>
      </c>
      <c r="AP1140" s="6" t="n">
        <v>0.1309765457424662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1.33983721931053</v>
      </c>
      <c r="AO1141" s="6" t="n">
        <v>1.340001381223403</v>
      </c>
      <c r="AP1141" s="6" t="n">
        <v>0.1302489674896499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1.341201605579668</v>
      </c>
      <c r="AO1142" s="6" t="n">
        <v>1.341943669257952</v>
      </c>
      <c r="AP1142" s="6" t="n">
        <v>0.1299380052794529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1.327464945564004</v>
      </c>
      <c r="AO1143" s="6" t="n">
        <v>1.327467333788114</v>
      </c>
      <c r="AP1143" s="6" t="n">
        <v>0.1284901749193378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1.350250501323089</v>
      </c>
      <c r="AO1144" s="6" t="n">
        <v>1.350454921347954</v>
      </c>
      <c r="AP1144" s="6" t="n">
        <v>0.1320473396184465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1.333122061299161</v>
      </c>
      <c r="AO1145" s="6" t="n">
        <v>1.336920080829056</v>
      </c>
      <c r="AP1145" s="6" t="n">
        <v>0.1300690892651058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1.327825348476862</v>
      </c>
      <c r="AO1146" s="6" t="n">
        <v>1.32937118364787</v>
      </c>
      <c r="AP1146" s="6" t="n">
        <v>0.1277173503021701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1.280274666835087</v>
      </c>
      <c r="AO1147" s="6" t="n">
        <v>1.294108093563448</v>
      </c>
      <c r="AP1147" s="6" t="n">
        <v>0.1317201568129551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1.351913299243872</v>
      </c>
      <c r="AO1148" s="6" t="n">
        <v>1.351913299243872</v>
      </c>
      <c r="AP1148" s="6" t="n">
        <v>0.1324058050725072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1.321114361045423</v>
      </c>
      <c r="AO1149" s="6" t="n">
        <v>1.331073067512967</v>
      </c>
      <c r="AP1149" s="6" t="n">
        <v>0.1309394882874672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1.348362067915463</v>
      </c>
      <c r="AO1150" s="6" t="n">
        <v>1.348546374501474</v>
      </c>
      <c r="AP1150" s="6" t="n">
        <v>0.132893943290422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1.300650557202629</v>
      </c>
      <c r="AO1151" s="6" t="n">
        <v>1.311477578645732</v>
      </c>
      <c r="AP1151" s="6" t="n">
        <v>0.1321958172586579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1.301995580075239</v>
      </c>
      <c r="AO1152" s="6" t="n">
        <v>1.312808800794607</v>
      </c>
      <c r="AP1152" s="6" t="n">
        <v>0.1282870346128986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1.339542497989623</v>
      </c>
      <c r="AO1153" s="6" t="n">
        <v>1.346071904734772</v>
      </c>
      <c r="AP1153" s="6" t="n">
        <v>0.1332534170199336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1.339105854979475</v>
      </c>
      <c r="AO1154" s="6" t="n">
        <v>1.3391441309076</v>
      </c>
      <c r="AP1154" s="6" t="n">
        <v>0.1296543578950574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1.341329419370044</v>
      </c>
      <c r="AO1155" s="6" t="n">
        <v>1.344148132088245</v>
      </c>
      <c r="AP1155" s="6" t="n">
        <v>0.1311434697094694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1.342250408902011</v>
      </c>
      <c r="AO1156" s="6" t="n">
        <v>1.34265611907758</v>
      </c>
      <c r="AP1156" s="6" t="n">
        <v>0.1309613563183676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1.330199729147787</v>
      </c>
      <c r="AO1157" s="6" t="n">
        <v>1.343536779313897</v>
      </c>
      <c r="AP1157" s="6" t="n">
        <v>0.1413792614401798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1.344321769746924</v>
      </c>
      <c r="AO1158" s="6" t="n">
        <v>1.344424246725901</v>
      </c>
      <c r="AP1158" s="6" t="n">
        <v>0.1305597786897361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1.355594633871464</v>
      </c>
      <c r="AO1159" s="6" t="n">
        <v>1.355594633871464</v>
      </c>
      <c r="AP1159" s="6" t="n">
        <v>0.1339695339658595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1.324362633731888</v>
      </c>
      <c r="AO1160" s="6" t="n">
        <v>1.324362633731888</v>
      </c>
      <c r="AP1160" s="6" t="n">
        <v>0.1319148521551279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1.340742055878137</v>
      </c>
      <c r="AO1161" s="6" t="n">
        <v>1.340745442574167</v>
      </c>
      <c r="AP1161" s="6" t="n">
        <v>0.1306629819474128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1.333899433073769</v>
      </c>
      <c r="AO1162" s="6" t="n">
        <v>1.334987985022757</v>
      </c>
      <c r="AP1162" s="6" t="n">
        <v>0.1282165540751649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1.357622028438997</v>
      </c>
      <c r="AO1163" s="6" t="n">
        <v>1.362309382379809</v>
      </c>
      <c r="AP1163" s="6" t="n">
        <v>0.1386230320122249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1.353757118559747</v>
      </c>
      <c r="AO1164" s="6" t="n">
        <v>1.354511417056005</v>
      </c>
      <c r="AP1164" s="6" t="n">
        <v>0.1332192503805905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1.337662019834013</v>
      </c>
      <c r="AO1165" s="6" t="n">
        <v>1.33849558715155</v>
      </c>
      <c r="AP1165" s="6" t="n">
        <v>0.1291577342172154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1.358170025022607</v>
      </c>
      <c r="AO1166" s="6" t="n">
        <v>1.358747713409906</v>
      </c>
      <c r="AP1166" s="6" t="n">
        <v>0.1348305273900041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1.338057715823116</v>
      </c>
      <c r="AO1167" s="6" t="n">
        <v>1.338448077785497</v>
      </c>
      <c r="AP1167" s="6" t="n">
        <v>0.1293561673409752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1.355239101723635</v>
      </c>
      <c r="AO1168" s="6" t="n">
        <v>1.355239101723635</v>
      </c>
      <c r="AP1168" s="6" t="n">
        <v>0.1362637670323012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1.340854956657153</v>
      </c>
      <c r="AO1169" s="6" t="n">
        <v>1.34372337613113</v>
      </c>
      <c r="AP1169" s="6" t="n">
        <v>0.1310509262543986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1.349158470229002</v>
      </c>
      <c r="AO1170" s="6" t="n">
        <v>1.349755490816258</v>
      </c>
      <c r="AP1170" s="6" t="n">
        <v>0.1330816883171375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1.339715222936676</v>
      </c>
      <c r="AO1171" s="6" t="n">
        <v>1.339715222936676</v>
      </c>
      <c r="AP1171" s="6" t="n">
        <v>0.1308966010929015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1.341474656314847</v>
      </c>
      <c r="AO1172" s="6" t="n">
        <v>1.344540929497382</v>
      </c>
      <c r="AP1172" s="6" t="n">
        <v>0.1316696071557191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1.349413875163806</v>
      </c>
      <c r="AO1173" s="6" t="n">
        <v>1.351164965722992</v>
      </c>
      <c r="AP1173" s="6" t="n">
        <v>0.134074562389691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1.327169964195206</v>
      </c>
      <c r="AO1174" s="6" t="n">
        <v>1.332629584002514</v>
      </c>
      <c r="AP1174" s="6" t="n">
        <v>0.1295102045412764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1.344134322298974</v>
      </c>
      <c r="AO1175" s="6" t="n">
        <v>1.344723229921043</v>
      </c>
      <c r="AP1175" s="6" t="n">
        <v>0.1306365642247203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1.322324543061824</v>
      </c>
      <c r="AO1176" s="6" t="n">
        <v>1.32716872724351</v>
      </c>
      <c r="AP1176" s="6" t="n">
        <v>0.1339445002553632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1.347716706247133</v>
      </c>
      <c r="AO1177" s="6" t="n">
        <v>1.347716706247133</v>
      </c>
      <c r="AP1177" s="6" t="n">
        <v>0.1372167931804083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1.343868690829562</v>
      </c>
      <c r="AO1178" s="6" t="n">
        <v>1.346780578944979</v>
      </c>
      <c r="AP1178" s="6" t="n">
        <v>0.1323150226575384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1.316694585140136</v>
      </c>
      <c r="AO1179" s="6" t="n">
        <v>1.325783581329669</v>
      </c>
      <c r="AP1179" s="6" t="n">
        <v>0.1305300623300618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1.347053898219977</v>
      </c>
      <c r="AO1180" s="6" t="n">
        <v>1.347607410050622</v>
      </c>
      <c r="AP1180" s="6" t="n">
        <v>0.1318314968308772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1.332721517172581</v>
      </c>
      <c r="AO1181" s="6" t="n">
        <v>1.334063486306198</v>
      </c>
      <c r="AP1181" s="6" t="n">
        <v>0.1288677274199476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1.333637396335878</v>
      </c>
      <c r="AO1182" s="6" t="n">
        <v>1.338050580011612</v>
      </c>
      <c r="AP1182" s="6" t="n">
        <v>0.1305251108214902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1.348951615031521</v>
      </c>
      <c r="AO1183" s="6" t="n">
        <v>1.349220135117565</v>
      </c>
      <c r="AP1183" s="6" t="n">
        <v>0.1325630981426631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1.338824470845587</v>
      </c>
      <c r="AO1184" s="6" t="n">
        <v>1.339760080082032</v>
      </c>
      <c r="AP1184" s="6" t="n">
        <v>0.130305449002642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1.332274009853427</v>
      </c>
      <c r="AO1185" s="6" t="n">
        <v>1.332284904001457</v>
      </c>
      <c r="AP1185" s="6" t="n">
        <v>0.1287035649471224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1.347986167280156</v>
      </c>
      <c r="AO1186" s="6" t="n">
        <v>1.349241560480285</v>
      </c>
      <c r="AP1186" s="6" t="n">
        <v>0.1334853773857919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1.319796329021176</v>
      </c>
      <c r="AO1187" s="6" t="n">
        <v>1.327901550687576</v>
      </c>
      <c r="AP1187" s="6" t="n">
        <v>0.129592824618855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1.33279025891223</v>
      </c>
      <c r="AO1188" s="6" t="n">
        <v>1.333449675983511</v>
      </c>
      <c r="AP1188" s="6" t="n">
        <v>0.129055857169436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0.1374492994983031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1.352591066609747</v>
      </c>
      <c r="AO1190" s="6" t="n">
        <v>1.353380374185534</v>
      </c>
      <c r="AP1190" s="6" t="n">
        <v>0.1350437576779142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1.333687617498301</v>
      </c>
      <c r="AO1191" s="6" t="n">
        <v>1.340863825558146</v>
      </c>
      <c r="AP1191" s="6" t="n">
        <v>0.1355284706359605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1.343207970279994</v>
      </c>
      <c r="AO1192" s="6" t="n">
        <v>1.343359425928749</v>
      </c>
      <c r="AP1192" s="6" t="n">
        <v>0.1306239649914937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1.357932261747254</v>
      </c>
      <c r="AO1193" s="6" t="n">
        <v>1.357932261747254</v>
      </c>
      <c r="AP1193" s="6" t="n">
        <v>0.1373396518702872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1.342273022159369</v>
      </c>
      <c r="AO1194" s="6" t="n">
        <v>1.343100033026874</v>
      </c>
      <c r="AP1194" s="6" t="n">
        <v>0.1307646211881871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1.343653532756169</v>
      </c>
      <c r="AO1195" s="6" t="n">
        <v>1.343664278601968</v>
      </c>
      <c r="AP1195" s="6" t="n">
        <v>0.1307612505577897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1.34669877702298</v>
      </c>
      <c r="AO1196" s="6" t="n">
        <v>1.346709639171979</v>
      </c>
      <c r="AP1196" s="6" t="n">
        <v>0.1310551660573959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1.299630349436091</v>
      </c>
      <c r="AO1197" s="6" t="n">
        <v>1.302130018845195</v>
      </c>
      <c r="AP1197" s="6" t="n">
        <v>0.1286352320218128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1.348347572232577</v>
      </c>
      <c r="AO1198" s="6" t="n">
        <v>1.349106303663001</v>
      </c>
      <c r="AP1198" s="6" t="n">
        <v>0.1337478555073035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1.35799705613858</v>
      </c>
      <c r="AO1199" s="6" t="n">
        <v>1.35799705613858</v>
      </c>
      <c r="AP1199" s="6" t="n">
        <v>0.1378648878980286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1.339032993762319</v>
      </c>
      <c r="AO1200" s="6" t="n">
        <v>1.340262088382752</v>
      </c>
      <c r="AP1200" s="6" t="n">
        <v>0.1298090480633346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1.350667227713517</v>
      </c>
      <c r="AO1201" s="6" t="n">
        <v>1.350667227713517</v>
      </c>
      <c r="AP1201" s="6" t="n">
        <v>0.1360980148374247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1.322098140355787</v>
      </c>
      <c r="AO1202" s="6" t="n">
        <v>1.330405085120601</v>
      </c>
      <c r="AP1202" s="6" t="n">
        <v>0.1303875624678074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1.341039774173424</v>
      </c>
      <c r="AO1203" s="6" t="n">
        <v>1.342095537313365</v>
      </c>
      <c r="AP1203" s="6" t="n">
        <v>0.1298340177420983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1.35350633997449</v>
      </c>
      <c r="AO1204" s="6" t="n">
        <v>1.354347886371748</v>
      </c>
      <c r="AP1204" s="6" t="n">
        <v>0.1358129954849488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1.356869854071574</v>
      </c>
      <c r="AO1205" s="6" t="n">
        <v>1.356869854071574</v>
      </c>
      <c r="AP1205" s="6" t="n">
        <v>0.135643222902013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1.355582369422263</v>
      </c>
      <c r="AO1206" s="6" t="n">
        <v>1.355582369422263</v>
      </c>
      <c r="AP1206" s="6" t="n">
        <v>0.1360314183597496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1.351855487388388</v>
      </c>
      <c r="AO1207" s="6" t="n">
        <v>1.351855487388388</v>
      </c>
      <c r="AP1207" s="6" t="n">
        <v>0.133204226370226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1.32144367356101</v>
      </c>
      <c r="AO1208" s="6" t="n">
        <v>1.328482510379444</v>
      </c>
      <c r="AP1208" s="6" t="n">
        <v>0.1294022207849702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1.34169682343812</v>
      </c>
      <c r="AO1209" s="6" t="n">
        <v>1.34470236528347</v>
      </c>
      <c r="AP1209" s="6" t="n">
        <v>0.1309739324580255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1.332236021725507</v>
      </c>
      <c r="AO1210" s="6" t="n">
        <v>1.332582824049391</v>
      </c>
      <c r="AP1210" s="6" t="n">
        <v>0.127569585009581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1.334920358847641</v>
      </c>
      <c r="AO1211" s="6" t="n">
        <v>1.34316972793517</v>
      </c>
      <c r="AP1211" s="6" t="n">
        <v>0.1332737975367007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1.338274312409896</v>
      </c>
      <c r="AO1212" s="6" t="n">
        <v>1.340052551718517</v>
      </c>
      <c r="AP1212" s="6" t="n">
        <v>0.1307238077306314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1.337788717955275</v>
      </c>
      <c r="AO1213" s="6" t="n">
        <v>1.337804833240394</v>
      </c>
      <c r="AP1213" s="6" t="n">
        <v>0.1295345556665737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1.346935639281969</v>
      </c>
      <c r="AO1214" s="6" t="n">
        <v>1.347483857813982</v>
      </c>
      <c r="AP1214" s="6" t="n">
        <v>0.132238480145349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1.343627504179384</v>
      </c>
      <c r="AO1215" s="6" t="n">
        <v>1.344267451784654</v>
      </c>
      <c r="AP1215" s="6" t="n">
        <v>0.1306536033195699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1.328465671098276</v>
      </c>
      <c r="AO1216" s="6" t="n">
        <v>1.33406656602013</v>
      </c>
      <c r="AP1216" s="6" t="n">
        <v>0.1304632524506038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1.328641913793791</v>
      </c>
      <c r="AO1217" s="6" t="n">
        <v>1.336184748092115</v>
      </c>
      <c r="AP1217" s="6" t="n">
        <v>0.1316208537128202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1.318712226551035</v>
      </c>
      <c r="AO1218" s="6" t="n">
        <v>1.326102477063881</v>
      </c>
      <c r="AP1218" s="6" t="n">
        <v>0.1294391078357278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1.335367166483076</v>
      </c>
      <c r="AO1219" s="6" t="n">
        <v>1.339044334705945</v>
      </c>
      <c r="AP1219" s="6" t="n">
        <v>0.1301121897630637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1.358016049128414</v>
      </c>
      <c r="AO1220" s="6" t="n">
        <v>1.358016049128414</v>
      </c>
      <c r="AP1220" s="6" t="n">
        <v>0.1374027607024993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1.356436418776994</v>
      </c>
      <c r="AO1221" s="6" t="n">
        <v>1.356436418776994</v>
      </c>
      <c r="AP1221" s="6" t="n">
        <v>0.1367000661337638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1.338548548933675</v>
      </c>
      <c r="AO1222" s="6" t="n">
        <v>1.350841175960609</v>
      </c>
      <c r="AP1222" s="6" t="n">
        <v>0.138142934497695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1.351405223685394</v>
      </c>
      <c r="AO1223" s="6" t="n">
        <v>1.351405223685394</v>
      </c>
      <c r="AP1223" s="6" t="n">
        <v>0.133012516876605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1.303775532103663</v>
      </c>
      <c r="AO1224" s="6" t="n">
        <v>1.315597882210214</v>
      </c>
      <c r="AP1224" s="6" t="n">
        <v>0.1281613161093619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1.350952186500285</v>
      </c>
      <c r="AO1225" s="6" t="n">
        <v>1.350952186500285</v>
      </c>
      <c r="AP1225" s="6" t="n">
        <v>0.134624812465983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1.343494105943851</v>
      </c>
      <c r="AO1226" s="6" t="n">
        <v>1.343532409602357</v>
      </c>
      <c r="AP1226" s="6" t="n">
        <v>0.1312150447567388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1.345496372252276</v>
      </c>
      <c r="AO1227" s="6" t="n">
        <v>1.345627745194176</v>
      </c>
      <c r="AP1227" s="6" t="n">
        <v>0.1310649937547714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1.317838531488408</v>
      </c>
      <c r="AO1228" s="6" t="n">
        <v>1.334527000959362</v>
      </c>
      <c r="AP1228" s="6" t="n">
        <v>0.1283051834510784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1.353520209718279</v>
      </c>
      <c r="AO1229" s="6" t="n">
        <v>1.353520209718279</v>
      </c>
      <c r="AP1229" s="6" t="n">
        <v>0.135675330764531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1.351704648996499</v>
      </c>
      <c r="AO1230" s="6" t="n">
        <v>1.351704648996499</v>
      </c>
      <c r="AP1230" s="6" t="n">
        <v>0.1349668359097292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1.343878336087934</v>
      </c>
      <c r="AO1231" s="6" t="n">
        <v>1.345132785472387</v>
      </c>
      <c r="AP1231" s="6" t="n">
        <v>0.1299795866656719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1.341111432530572</v>
      </c>
      <c r="AO1232" s="6" t="n">
        <v>1.342026334373845</v>
      </c>
      <c r="AP1232" s="6" t="n">
        <v>0.1306282283658985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1.299672609155607</v>
      </c>
      <c r="AO1233" s="6" t="n">
        <v>1.3154444673419</v>
      </c>
      <c r="AP1233" s="6" t="n">
        <v>0.1305023955760623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1.351354109207243</v>
      </c>
      <c r="AO1234" s="6" t="n">
        <v>1.351940205647978</v>
      </c>
      <c r="AP1234" s="6" t="n">
        <v>0.1323618308124596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1.344826798477523</v>
      </c>
      <c r="AO1235" s="6" t="n">
        <v>1.344826798477523</v>
      </c>
      <c r="AP1235" s="6" t="n">
        <v>0.133135961848303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1.317592074300441</v>
      </c>
      <c r="AO1236" s="6" t="n">
        <v>1.317592074300441</v>
      </c>
      <c r="AP1236" s="6" t="n">
        <v>0.1312767553111339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1.313752025298873</v>
      </c>
      <c r="AO1237" s="6" t="n">
        <v>1.326512919571827</v>
      </c>
      <c r="AP1237" s="6" t="n">
        <v>0.1310025488202069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1.324160315618817</v>
      </c>
      <c r="AO1238" s="6" t="n">
        <v>1.324908510575075</v>
      </c>
      <c r="AP1238" s="6" t="n">
        <v>0.1271745107450311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1.316305680077809</v>
      </c>
      <c r="AO1239" s="6" t="n">
        <v>1.325807156893614</v>
      </c>
      <c r="AP1239" s="6" t="n">
        <v>0.1302415353367688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1.326778109365083</v>
      </c>
      <c r="AO1240" s="6" t="n">
        <v>1.327677334094966</v>
      </c>
      <c r="AP1240" s="6" t="n">
        <v>0.1288444980385203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1.350634065511815</v>
      </c>
      <c r="AO1241" s="6" t="n">
        <v>1.351736280805333</v>
      </c>
      <c r="AP1241" s="6" t="n">
        <v>0.1329819458317557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1.343843733258027</v>
      </c>
      <c r="AO1242" s="6" t="n">
        <v>1.350076192572184</v>
      </c>
      <c r="AP1242" s="6" t="n">
        <v>0.1370080298049682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1.312227121848369</v>
      </c>
      <c r="AO1243" s="6" t="n">
        <v>1.318916489508027</v>
      </c>
      <c r="AP1243" s="6" t="n">
        <v>0.1296177829354813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1.336951213845366</v>
      </c>
      <c r="AO1244" s="6" t="n">
        <v>1.340283106843845</v>
      </c>
      <c r="AP1244" s="6" t="n">
        <v>0.1305953275128705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1.325132971642024</v>
      </c>
      <c r="AO1245" s="6" t="n">
        <v>1.325132971642024</v>
      </c>
      <c r="AP1245" s="6" t="n">
        <v>0.1283680606114422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1.347430924902728</v>
      </c>
      <c r="AO1246" s="6" t="n">
        <v>1.348858679559176</v>
      </c>
      <c r="AP1246" s="6" t="n">
        <v>0.131757369483954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1.339434887548641</v>
      </c>
      <c r="AO1247" s="6" t="n">
        <v>1.340138889888487</v>
      </c>
      <c r="AP1247" s="6" t="n">
        <v>0.1302924312961469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1.364046285962769</v>
      </c>
      <c r="AO1248" s="6" t="n">
        <v>1.364046285962769</v>
      </c>
      <c r="AP1248" s="6" t="n">
        <v>0.1408059730620102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1.340908319542029</v>
      </c>
      <c r="AO1249" s="6" t="n">
        <v>1.341499877500679</v>
      </c>
      <c r="AP1249" s="6" t="n">
        <v>0.1308549941797089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1.339507646670333</v>
      </c>
      <c r="AO1250" s="6" t="n">
        <v>1.340167388415342</v>
      </c>
      <c r="AP1250" s="6" t="n">
        <v>0.1299784034216803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1.337799600024407</v>
      </c>
      <c r="AO1251" s="6" t="n">
        <v>1.343869261344402</v>
      </c>
      <c r="AP1251" s="6" t="n">
        <v>0.1325047595830785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1.305578296790629</v>
      </c>
      <c r="AO1252" s="6" t="n">
        <v>1.321171969724114</v>
      </c>
      <c r="AP1252" s="6" t="n">
        <v>0.1339409697566712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1.337181013664534</v>
      </c>
      <c r="AO1253" s="6" t="n">
        <v>1.338510912586751</v>
      </c>
      <c r="AP1253" s="6" t="n">
        <v>0.1296219733982829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1.352388280153644</v>
      </c>
      <c r="AO1254" s="6" t="n">
        <v>1.35259260089718</v>
      </c>
      <c r="AP1254" s="6" t="n">
        <v>0.1330007890433582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1.349221162148135</v>
      </c>
      <c r="AO1255" s="6" t="n">
        <v>1.352820125871015</v>
      </c>
      <c r="AP1255" s="6" t="n">
        <v>0.1339913266152935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1.299907262312788</v>
      </c>
      <c r="AO1256" s="6" t="n">
        <v>1.313511970401501</v>
      </c>
      <c r="AP1256" s="6" t="n">
        <v>0.1299216483267436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1.359513073849969</v>
      </c>
      <c r="AO1257" s="6" t="n">
        <v>1.360133803907588</v>
      </c>
      <c r="AP1257" s="6" t="n">
        <v>0.134578137023966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1.338336356496129</v>
      </c>
      <c r="AO1258" s="6" t="n">
        <v>1.33868491749195</v>
      </c>
      <c r="AP1258" s="6" t="n">
        <v>0.1299116686397483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1.329873167315077</v>
      </c>
      <c r="AO1259" s="6" t="n">
        <v>1.329876940947755</v>
      </c>
      <c r="AP1259" s="6" t="n">
        <v>0.1285679540565546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1.308548064438278</v>
      </c>
      <c r="AO1260" s="6" t="n">
        <v>1.320423312054421</v>
      </c>
      <c r="AP1260" s="6" t="n">
        <v>0.1295948964943204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1.331358980614581</v>
      </c>
      <c r="AO1261" s="6" t="n">
        <v>1.331969373214223</v>
      </c>
      <c r="AP1261" s="6" t="n">
        <v>0.12823103278808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1.351804774100298</v>
      </c>
      <c r="AO1262" s="6" t="n">
        <v>1.351804774100298</v>
      </c>
      <c r="AP1262" s="6" t="n">
        <v>0.1343572571513749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1.316467733686862</v>
      </c>
      <c r="AO1263" s="6" t="n">
        <v>1.316963528080489</v>
      </c>
      <c r="AP1263" s="6" t="n">
        <v>0.126190837253608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1.361602308585842</v>
      </c>
      <c r="AO1264" s="6" t="n">
        <v>1.361741696755469</v>
      </c>
      <c r="AP1264" s="6" t="n">
        <v>0.1371217334041408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1.34073604658733</v>
      </c>
      <c r="AO1265" s="6" t="n">
        <v>1.343790899448655</v>
      </c>
      <c r="AP1265" s="6" t="n">
        <v>0.1309926177140367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1.303477867258189</v>
      </c>
      <c r="AO1266" s="6" t="n">
        <v>1.311124400117995</v>
      </c>
      <c r="AP1266" s="6" t="n">
        <v>0.1302083521863269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1.354273068851797</v>
      </c>
      <c r="AO1267" s="6" t="n">
        <v>1.354273068851797</v>
      </c>
      <c r="AP1267" s="6" t="n">
        <v>0.1336076552415208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1.288546635698377</v>
      </c>
      <c r="AO1268" s="6" t="n">
        <v>1.298495201494774</v>
      </c>
      <c r="AP1268" s="6" t="n">
        <v>0.1257943670239547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1.341223979147308</v>
      </c>
      <c r="AO1269" s="6" t="n">
        <v>1.341231118399102</v>
      </c>
      <c r="AP1269" s="6" t="n">
        <v>0.1302192889759152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1.355195793385781</v>
      </c>
      <c r="AO1270" s="6" t="n">
        <v>1.355195793385781</v>
      </c>
      <c r="AP1270" s="6" t="n">
        <v>0.1362448448297776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1.331306454430018</v>
      </c>
      <c r="AO1271" s="6" t="n">
        <v>1.33160477229473</v>
      </c>
      <c r="AP1271" s="6" t="n">
        <v>0.1283084849561815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1.30877575062605</v>
      </c>
      <c r="AO1272" s="6" t="n">
        <v>1.312617530215144</v>
      </c>
      <c r="AP1272" s="6" t="n">
        <v>0.1334008431906324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1.323536554828359</v>
      </c>
      <c r="AO1273" s="6" t="n">
        <v>1.329717207532834</v>
      </c>
      <c r="AP1273" s="6" t="n">
        <v>0.1295814745903958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1.345192781913806</v>
      </c>
      <c r="AO1274" s="6" t="n">
        <v>1.347253733518621</v>
      </c>
      <c r="AP1274" s="6" t="n">
        <v>0.1315774107131102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1.342450601874518</v>
      </c>
      <c r="AO1275" s="6" t="n">
        <v>1.344148318582663</v>
      </c>
      <c r="AP1275" s="6" t="n">
        <v>0.1311146073776764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1.343094813360653</v>
      </c>
      <c r="AO1276" s="6" t="n">
        <v>1.343158109030475</v>
      </c>
      <c r="AP1276" s="6" t="n">
        <v>0.1300814484944499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1.34021889043167</v>
      </c>
      <c r="AO1277" s="6" t="n">
        <v>1.340827147051834</v>
      </c>
      <c r="AP1277" s="6" t="n">
        <v>0.1302958298136372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1.329701961272502</v>
      </c>
      <c r="AO1278" s="6" t="n">
        <v>1.330210020232712</v>
      </c>
      <c r="AP1278" s="6" t="n">
        <v>0.1284385222955826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1.327260351920069</v>
      </c>
      <c r="AO1279" s="6" t="n">
        <v>1.330965562199331</v>
      </c>
      <c r="AP1279" s="6" t="n">
        <v>0.1284692244174837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1.309469793561372</v>
      </c>
      <c r="AO1280" s="6" t="n">
        <v>1.322051168248751</v>
      </c>
      <c r="AP1280" s="6" t="n">
        <v>0.1304613155967898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1.335201844500282</v>
      </c>
      <c r="AO1281" s="6" t="n">
        <v>1.33525312265301</v>
      </c>
      <c r="AP1281" s="6" t="n">
        <v>0.1293966058385931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1.311005800926912</v>
      </c>
      <c r="AO1282" s="6" t="n">
        <v>1.321309184211247</v>
      </c>
      <c r="AP1282" s="6" t="n">
        <v>0.1281412304445471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1.305919671730209</v>
      </c>
      <c r="AO1283" s="6" t="n">
        <v>1.315281024008732</v>
      </c>
      <c r="AP1283" s="6" t="n">
        <v>0.1302267004721175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1.331458401921663</v>
      </c>
      <c r="AO1284" s="6" t="n">
        <v>1.331918436598325</v>
      </c>
      <c r="AP1284" s="6" t="n">
        <v>0.1281727204902876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1.32882100848933</v>
      </c>
      <c r="AO1285" s="6" t="n">
        <v>1.333807641302199</v>
      </c>
      <c r="AP1285" s="6" t="n">
        <v>0.1293210026350584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1.357874560484257</v>
      </c>
      <c r="AO1286" s="6" t="n">
        <v>1.357874560484257</v>
      </c>
      <c r="AP1286" s="6" t="n">
        <v>0.1370456625424539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1.354307173413609</v>
      </c>
      <c r="AO1287" s="6" t="n">
        <v>1.354307173413609</v>
      </c>
      <c r="AP1287" s="6" t="n">
        <v>0.1334405840543548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1.331455523072865</v>
      </c>
      <c r="AO1288" s="6" t="n">
        <v>1.331955032912796</v>
      </c>
      <c r="AP1288" s="6" t="n">
        <v>0.1288921632151544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1.349781285827697</v>
      </c>
      <c r="AO1289" s="6" t="n">
        <v>1.350768704904741</v>
      </c>
      <c r="AP1289" s="6" t="n">
        <v>0.1321769105408272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1.358877518380871</v>
      </c>
      <c r="AO1290" s="6" t="n">
        <v>1.35921392979237</v>
      </c>
      <c r="AP1290" s="6" t="n">
        <v>0.1375431553804614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1.340568804160246</v>
      </c>
      <c r="AO1291" s="6" t="n">
        <v>1.342761476416075</v>
      </c>
      <c r="AP1291" s="6" t="n">
        <v>0.1304941440631829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1.31830356125038</v>
      </c>
      <c r="AO1292" s="6" t="n">
        <v>1.319945477753895</v>
      </c>
      <c r="AP1292" s="6" t="n">
        <v>0.1260796652591272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1.343390384757958</v>
      </c>
      <c r="AO1293" s="6" t="n">
        <v>1.345054666541263</v>
      </c>
      <c r="AP1293" s="6" t="n">
        <v>0.1319005114430755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1.323258203519502</v>
      </c>
      <c r="AO1294" s="6" t="n">
        <v>1.324948959706189</v>
      </c>
      <c r="AP1294" s="6" t="n">
        <v>0.1269531980390965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1.35497798300566</v>
      </c>
      <c r="AO1295" s="6" t="n">
        <v>1.355017946474322</v>
      </c>
      <c r="AP1295" s="6" t="n">
        <v>0.1351889249036482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1.351057661564902</v>
      </c>
      <c r="AO1296" s="6" t="n">
        <v>1.351152279392769</v>
      </c>
      <c r="AP1296" s="6" t="n">
        <v>0.1329681520301092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1.345607058005833</v>
      </c>
      <c r="AO1297" s="6" t="n">
        <v>1.345607058005833</v>
      </c>
      <c r="AP1297" s="6" t="n">
        <v>0.1320259202118313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1.337969301587482</v>
      </c>
      <c r="AO1298" s="6" t="n">
        <v>1.338039891443241</v>
      </c>
      <c r="AP1298" s="6" t="n">
        <v>0.1297160221178616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1.341937619513512</v>
      </c>
      <c r="AO1299" s="6" t="n">
        <v>1.342334859162179</v>
      </c>
      <c r="AP1299" s="6" t="n">
        <v>0.1322435108346319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1.329693341915628</v>
      </c>
      <c r="AO1300" s="6" t="n">
        <v>1.335249908237675</v>
      </c>
      <c r="AP1300" s="6" t="n">
        <v>0.1320470248641736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1.337601874080956</v>
      </c>
      <c r="AO1301" s="6" t="n">
        <v>1.338818938044998</v>
      </c>
      <c r="AP1301" s="6" t="n">
        <v>0.1293858937879803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1.335615831447678</v>
      </c>
      <c r="AO1302" s="6" t="n">
        <v>1.336031480381378</v>
      </c>
      <c r="AP1302" s="6" t="n">
        <v>0.1289043659993057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1.342429000156087</v>
      </c>
      <c r="AO1303" s="6" t="n">
        <v>1.342565525390632</v>
      </c>
      <c r="AP1303" s="6" t="n">
        <v>0.1320341813984252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1.318456071151394</v>
      </c>
      <c r="AO1304" s="6" t="n">
        <v>1.319267656983059</v>
      </c>
      <c r="AP1304" s="6" t="n">
        <v>0.1264253813855103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1.346679720261698</v>
      </c>
      <c r="AO1305" s="6" t="n">
        <v>1.347746395950648</v>
      </c>
      <c r="AP1305" s="6" t="n">
        <v>0.1307338908790528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1.349424830807604</v>
      </c>
      <c r="AO1306" s="6" t="n">
        <v>1.349424830807604</v>
      </c>
      <c r="AP1306" s="6" t="n">
        <v>0.1338453011143703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1.350822188557978</v>
      </c>
      <c r="AO1307" s="6" t="n">
        <v>1.350822188557978</v>
      </c>
      <c r="AP1307" s="6" t="n">
        <v>0.1334037684780301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1.348152957070961</v>
      </c>
      <c r="AO1308" s="6" t="n">
        <v>1.34871906480337</v>
      </c>
      <c r="AP1308" s="6" t="n">
        <v>0.1317854913410943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1.326284217194849</v>
      </c>
      <c r="AO1309" s="6" t="n">
        <v>1.327641003092609</v>
      </c>
      <c r="AP1309" s="6" t="n">
        <v>0.1269607058618006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1.344917419180873</v>
      </c>
      <c r="AO1310" s="6" t="n">
        <v>1.348542154070368</v>
      </c>
      <c r="AP1310" s="6" t="n">
        <v>0.1329241207237119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1.266106350803433</v>
      </c>
      <c r="AO1311" s="6" t="n">
        <v>1.269640229769248</v>
      </c>
      <c r="AP1311" s="6" t="n">
        <v>0.1272344115534821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1.362419939363871</v>
      </c>
      <c r="AO1312" s="6" t="n">
        <v>1.362419939363871</v>
      </c>
      <c r="AP1312" s="6" t="n">
        <v>0.1403162878817075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 (A, B, commercial, standby)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INDEX(Debt!$J$147:$BN$147,1,Time!$F$13)+(INDEX(Operations!$J$9:$BN$9,1,Time!$F$13)+Inputs!$F$79)/100*INDEX(Time!$J$25:$BN$25,1,Time!$F$13)/Inputs!$F$247*1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J79+Construction!J14*(Construction!J32+Construction!J38+Inputs!$F$107/12+Inputs!J309*(Inputs!$F$97/100/12-Construction!J17/100*Construction!J11/Inputs!$F$247)+Inputs!$F$99*Inputs!$F$100/100*Construction!J11/Inputs!$F$247+Construction!J15*$F$17)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K79+Construction!K14*(Construction!K32+Construction!K38+Inputs!$F$107/12+Inputs!K309*(Inputs!$F$97/100/12-Construction!K17/100*Construction!K11/Inputs!$F$247)+Inputs!$F$99*Inputs!$F$100/100*Construction!K11/Inputs!$F$247+Construction!K15*$F$17)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L79+Construction!L14*(Construction!L32+Construction!L38+Inputs!$F$107/12+Inputs!L309*(Inputs!$F$97/100/12-Construction!L17/100*Construction!L11/Inputs!$F$247)+Inputs!$F$99*Inputs!$F$100/100*Construction!L11/Inputs!$F$247+Construction!L15*$F$17)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M79+Construction!M14*(Construction!M32+Construction!M38+Inputs!$F$107/12+Inputs!M309*(Inputs!$F$97/100/12-Construction!M17/100*Construction!M11/Inputs!$F$247)+Inputs!$F$99*Inputs!$F$100/100*Construction!M11/Inputs!$F$247+Construction!M15*$F$17)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N79+Construction!N14*(Construction!N32+Construction!N38+Inputs!$F$107/12+Inputs!N309*(Inputs!$F$97/100/12-Construction!N17/100*Construction!N11/Inputs!$F$247)+Inputs!$F$99*Inputs!$F$100/100*Construction!N11/Inputs!$F$247+Construction!N15*$F$17)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O79+Construction!O14*(Construction!O32+Construction!O38+Inputs!$F$107/12+Inputs!O309*(Inputs!$F$97/100/12-Construction!O17/100*Construction!O11/Inputs!$F$247)+Inputs!$F$99*Inputs!$F$100/100*Construction!O11/Inputs!$F$247+Construction!O15*$F$17)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P79+Construction!P14*(Construction!P32+Construction!P38+Inputs!$F$107/12+Inputs!P309*(Inputs!$F$97/100/12-Construction!P17/100*Construction!P11/Inputs!$F$247)+Inputs!$F$99*Inputs!$F$100/100*Construction!P11/Inputs!$F$247+Construction!P15*$F$17)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Q79+Construction!Q14*(Construction!Q32+Construction!Q38+Inputs!$F$107/12+Inputs!Q309*(Inputs!$F$97/100/12-Construction!Q17/100*Construction!Q11/Inputs!$F$247)+Inputs!$F$99*Inputs!$F$100/100*Construction!Q11/Inputs!$F$247+Construction!Q15*$F$17)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R79+Construction!R14*(Construction!R32+Construction!R38+Inputs!$F$107/12+Inputs!R309*(Inputs!$F$97/100/12-Construction!R17/100*Construction!R11/Inputs!$F$247)+Inputs!$F$99*Inputs!$F$100/100*Construction!R11/Inputs!$F$247+Construction!R15*$F$17)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S79+Construction!S14*(Construction!S32+Construction!S38+Inputs!$F$107/12+Inputs!S309*(Inputs!$F$97/100/12-Construction!S17/100*Construction!S11/Inputs!$F$247)+Inputs!$F$99*Inputs!$F$100/100*Construction!S11/Inputs!$F$247+Construction!S15*$F$17)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T79+Construction!T14*(Construction!T32+Construction!T38+Inputs!$F$107/12+Inputs!T309*(Inputs!$F$97/100/12-Construction!T17/100*Construction!T11/Inputs!$F$247)+Inputs!$F$99*Inputs!$F$100/100*Construction!T11/Inputs!$F$247+Construction!T15*$F$17)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U79+Construction!U14*(Construction!U32+Construction!U38+Inputs!$F$107/12+Inputs!U309*(Inputs!$F$97/100/12-Construction!U17/100*Construction!U11/Inputs!$F$247)+Inputs!$F$99*Inputs!$F$100/100*Construction!U11/Inputs!$F$247+Construction!U15*$F$17)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V79+Construction!V14*(Construction!V32+Construction!V38+Inputs!$F$107/12+Inputs!V309*(Inputs!$F$97/100/12-Construction!V17/100*Construction!V11/Inputs!$F$247)+Inputs!$F$99*Inputs!$F$100/100*Construction!V11/Inputs!$F$247+Construction!V15*$F$17)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W79+Construction!W14*(Construction!W32+Construction!W38+Inputs!$F$107/12+Inputs!W309*(Inputs!$F$97/100/12-Construction!W17/100*Construction!W11/Inputs!$F$247)+Inputs!$F$99*Inputs!$F$100/100*Construction!W11/Inputs!$F$247+Construction!W15*$F$17)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X79+Construction!X14*(Construction!X32+Construction!X38+Inputs!$F$107/12+Inputs!X309*(Inputs!$F$97/100/12-Construction!X17/100*Construction!X11/Inputs!$F$247)+Inputs!$F$99*Inputs!$F$100/100*Construction!X11/Inputs!$F$247+Construction!X15*$F$17)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Y79+Construction!Y14*(Construction!Y32+Construction!Y38+Inputs!$F$107/12+Inputs!Y309*(Inputs!$F$97/100/12-Construction!Y17/100*Construction!Y11/Inputs!$F$247)+Inputs!$F$99*Inputs!$F$100/100*Construction!Y11/Inputs!$F$247+Construction!Y15*$F$17)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Z79+Construction!Z14*(Construction!Z32+Construction!Z38+Inputs!$F$107/12+Inputs!Z309*(Inputs!$F$97/100/12-Construction!Z17/100*Construction!Z11/Inputs!$F$247)+Inputs!$F$99*Inputs!$F$100/100*Construction!Z11/Inputs!$F$247+Construction!Z15*$F$17)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AA79+Construction!AA14*(Construction!AA32+Construction!AA38+Inputs!$F$107/12+Inputs!AA309*(Inputs!$F$97/100/12-Construction!AA17/100*Construction!AA11/Inputs!$F$247)+Inputs!$F$99*Inputs!$F$100/100*Construction!AA11/Inputs!$F$247+Construction!AA15*$F$17)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AB79+Construction!AB14*(Construction!AB32+Construction!AB38+Inputs!$F$107/12+Inputs!AB309*(Inputs!$F$97/100/12-Construction!AB17/100*Construction!AB11/Inputs!$F$247)+Inputs!$F$99*Inputs!$F$100/100*Construction!AB11/Inputs!$F$247+Construction!AB15*$F$17)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AC79+Construction!AC14*(Construction!AC32+Construction!AC38+Inputs!$F$107/12+Inputs!AC309*(Inputs!$F$97/100/12-Construction!AC17/100*Construction!AC11/Inputs!$F$247)+Inputs!$F$99*Inputs!$F$100/100*Construction!AC11/Inputs!$F$247+Construction!AC15*$F$17)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AD79+Construction!AD14*(Construction!AD32+Construction!AD38+Inputs!$F$107/12+Inputs!AD309*(Inputs!$F$97/100/12-Construction!AD17/100*Construction!AD11/Inputs!$F$247)+Inputs!$F$99*Inputs!$F$100/100*Construction!AD11/Inputs!$F$247+Construction!AD15*$F$17)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AE79+Construction!AE14*(Construction!AE32+Construction!AE38+Inputs!$F$107/12+Inputs!AE309*(Inputs!$F$97/100/12-Construction!AE17/100*Construction!AE11/Inputs!$F$247)+Inputs!$F$99*Inputs!$F$100/100*Construction!AE11/Inputs!$F$247+Construction!AE15*$F$17)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AF79+Construction!AF14*(Construction!AF32+Construction!AF38+Inputs!$F$107/12+Inputs!AF309*(Inputs!$F$97/100/12-Construction!AF17/100*Construction!AF11/Inputs!$F$247)+Inputs!$F$99*Inputs!$F$100/100*Construction!AF11/Inputs!$F$247+Construction!AF15*$F$17)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AG79+Construction!AG14*(Construction!AG32+Construction!AG38+Inputs!$F$107/12+Inputs!AG309*(Inputs!$F$97/100/12-Construction!AG17/100*Construction!AG11/Inputs!$F$247)+Inputs!$F$99*Inputs!$F$100/100*Construction!AG11/Inputs!$F$247+Construction!AG15*$F$17)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AH79+Construction!AH14*(Construction!AH32+Construction!AH38+Inputs!$F$107/12+Inputs!AH309*(Inputs!$F$97/100/12-Construction!AH17/100*Construction!AH11/Inputs!$F$247)+Inputs!$F$99*Inputs!$F$100/100*Construction!AH11/Inputs!$F$247+Construction!AH15*$F$17)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AI79+Construction!AI14*(Construction!AI32+Construction!AI38+Inputs!$F$107/12+Inputs!AI309*(Inputs!$F$97/100/12-Construction!AI17/100*Construction!AI11/Inputs!$F$247)+Inputs!$F$99*Inputs!$F$100/100*Construction!AI11/Inputs!$F$247+Construction!AI15*$F$17)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AJ79+Construction!AJ14*(Construction!AJ32+Construction!AJ38+Inputs!$F$107/12+Inputs!AJ309*(Inputs!$F$97/100/12-Construction!AJ17/100*Construction!AJ11/Inputs!$F$247)+Inputs!$F$99*Inputs!$F$100/100*Construction!AJ11/Inputs!$F$247+Construction!AJ15*$F$17)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AK79+Construction!AK14*(Construction!AK32+Construction!AK38+Inputs!$F$107/12+Inputs!AK309*(Inputs!$F$97/100/12-Construction!AK17/100*Construction!AK11/Inputs!$F$247)+Inputs!$F$99*Inputs!$F$100/100*Construction!AK11/Inputs!$F$247+Construction!AK15*$F$17)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AL79+Construction!AL14*(Construction!AL32+Construction!AL38+Inputs!$F$107/12+Inputs!AL309*(Inputs!$F$97/100/12-Construction!AL17/100*Construction!AL11/Inputs!$F$247)+Inputs!$F$99*Inputs!$F$100/100*Construction!AL11/Inputs!$F$247+Construction!AL15*$F$17)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AM79+Construction!AM14*(Construction!AM32+Construction!AM38+Inputs!$F$107/12+Inputs!AM309*(Inputs!$F$97/100/12-Construction!AM17/100*Construction!AM11/Inputs!$F$247)+Inputs!$F$99*Inputs!$F$100/100*Construction!AM11/Inputs!$F$247+Construction!AM15*$F$17)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AN79+Construction!AN14*(Construction!AN32+Construction!AN38+Inputs!$F$107/12+Inputs!AN309*(Inputs!$F$97/100/12-Construction!AN17/100*Construction!AN11/Inputs!$F$247)+Inputs!$F$99*Inputs!$F$100/100*Construction!AN11/Inputs!$F$247+Construction!AN15*$F$17)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AO79+Construction!AO14*(Construction!AO32+Construction!AO38+Inputs!$F$107/12+Inputs!AO309*(Inputs!$F$97/100/12-Construction!AO17/100*Construction!AO11/Inputs!$F$247)+Inputs!$F$99*Inputs!$F$100/100*Construction!AO11/Inputs!$F$247+Construction!AO15*$F$17)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AP79+Construction!AP14*(Construction!AP32+Construction!AP38+Inputs!$F$107/12+Inputs!AP309*(Inputs!$F$97/100/12-Construction!AP17/100*Construction!AP11/Inputs!$F$247)+Inputs!$F$99*Inputs!$F$100/100*Construction!AP11/Inputs!$F$247+Construction!AP15*$F$17)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AQ79+Construction!AQ14*(Construction!AQ32+Construction!AQ38+Inputs!$F$107/12+Inputs!AQ309*(Inputs!$F$97/100/12-Construction!AQ17/100*Construction!AQ11/Inputs!$F$247)+Inputs!$F$99*Inputs!$F$100/100*Construction!AQ11/Inputs!$F$247+Construction!AQ15*$F$17)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AR79+Construction!AR14*(Construction!AR32+Construction!AR38+Inputs!$F$107/12+Inputs!AR309*(Inputs!$F$97/100/12-Construction!AR17/100*Construction!AR11/Inputs!$F$247)+Inputs!$F$99*Inputs!$F$100/100*Construction!AR11/Inputs!$F$247+Construction!AR15*$F$17)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AS79+Construction!AS14*(Construction!AS32+Construction!AS38+Inputs!$F$107/12+Inputs!AS309*(Inputs!$F$97/100/12-Construction!AS17/100*Construction!AS11/Inputs!$F$247)+Inputs!$F$99*Inputs!$F$100/100*Construction!AS11/Inputs!$F$247+Construction!AS15*$F$17)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AT79+Construction!AT14*(Construction!AT32+Construction!AT38+Inputs!$F$107/12+Inputs!AT309*(Inputs!$F$97/100/12-Construction!AT17/100*Construction!AT11/Inputs!$F$247)+Inputs!$F$99*Inputs!$F$100/100*Construction!AT11/Inputs!$F$247+Construction!AT15*$F$17)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AU79+Construction!AU14*(Construction!AU32+Construction!AU38+Inputs!$F$107/12+Inputs!AU309*(Inputs!$F$97/100/12-Construction!AU17/100*Construction!AU11/Inputs!$F$247)+Inputs!$F$99*Inputs!$F$100/100*Construction!AU11/Inputs!$F$247+Construction!AU15*$F$17)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AV79+Construction!AV14*(Construction!AV32+Construction!AV38+Inputs!$F$107/12+Inputs!AV309*(Inputs!$F$97/100/12-Construction!AV17/100*Construction!AV11/Inputs!$F$247)+Inputs!$F$99*Inputs!$F$100/100*Construction!AV11/Inputs!$F$247+Construction!AV15*$F$17)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AW79+Construction!AW14*(Construction!AW32+Construction!AW38+Inputs!$F$107/12+Inputs!AW309*(Inputs!$F$97/100/12-Construction!AW17/100*Construction!AW11/Inputs!$F$247)+Inputs!$F$99*Inputs!$F$100/100*Construction!AW11/Inputs!$F$247+Construction!AW15*$F$17)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AX79+Construction!AX14*(Construction!AX32+Construction!AX38+Inputs!$F$107/12+Inputs!AX309*(Inputs!$F$97/100/12-Construction!AX17/100*Construction!AX11/Inputs!$F$247)+Inputs!$F$99*Inputs!$F$100/100*Construction!AX11/Inputs!$F$247+Construction!AX15*$F$17)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AY79+Construction!AY14*(Construction!AY32+Construction!AY38+Inputs!$F$107/12+Inputs!AY309*(Inputs!$F$97/100/12-Construction!AY17/100*Construction!AY11/Inputs!$F$247)+Inputs!$F$99*Inputs!$F$100/100*Construction!AY11/Inputs!$F$247+Construction!AY15*$F$17)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AZ79+Construction!AZ14*(Construction!AZ32+Construction!AZ38+Inputs!$F$107/12+Inputs!AZ309*(Inputs!$F$97/100/12-Construction!AZ17/100*Construction!AZ11/Inputs!$F$247)+Inputs!$F$99*Inputs!$F$100/100*Construction!AZ11/Inputs!$F$247+Construction!AZ15*$F$17)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BA79+Construction!BA14*(Construction!BA32+Construction!BA38+Inputs!$F$107/12+Inputs!BA309*(Inputs!$F$97/100/12-Construction!BA17/100*Construction!BA11/Inputs!$F$247)+Inputs!$F$99*Inputs!$F$100/100*Construction!BA11/Inputs!$F$247+Construction!BA15*$F$17)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BB79+Construction!BB14*(Construction!BB32+Construction!BB38+Inputs!$F$107/12+Inputs!BB309*(Inputs!$F$97/100/12-Construction!BB17/100*Construction!BB11/Inputs!$F$247)+Inputs!$F$99*Inputs!$F$100/100*Construction!BB11/Inputs!$F$247+Construction!BB15*$F$17)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BC79+Construction!BC14*(Construction!BC32+Construction!BC38+Inputs!$F$107/12+Inputs!BC309*(Inputs!$F$97/100/12-Construction!BC17/100*Construction!BC11/Inputs!$F$247)+Inputs!$F$99*Inputs!$F$100/100*Construction!BC11/Inputs!$F$247+Construction!BC15*$F$17)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BD79+Construction!BD14*(Construction!BD32+Construction!BD38+Inputs!$F$107/12+Inputs!BD309*(Inputs!$F$97/100/12-Construction!BD17/100*Construction!BD11/Inputs!$F$247)+Inputs!$F$99*Inputs!$F$100/100*Construction!BD11/Inputs!$F$247+Construction!BD15*$F$17)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BE79+Construction!BE14*(Construction!BE32+Construction!BE38+Inputs!$F$107/12+Inputs!BE309*(Inputs!$F$97/100/12-Construction!BE17/100*Construction!BE11/Inputs!$F$247)+Inputs!$F$99*Inputs!$F$100/100*Construction!BE11/Inputs!$F$247+Construction!BE15*$F$17)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BF79+Construction!BF14*(Construction!BF32+Construction!BF38+Inputs!$F$107/12+Inputs!BF309*(Inputs!$F$97/100/12-Construction!BF17/100*Construction!BF11/Inputs!$F$247)+Inputs!$F$99*Inputs!$F$100/100*Construction!BF11/Inputs!$F$247+Construction!BF15*$F$17)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BG79+Construction!BG14*(Construction!BG32+Construction!BG38+Inputs!$F$107/12+Inputs!BG309*(Inputs!$F$97/100/12-Construction!BG17/100*Construction!BG11/Inputs!$F$247)+Inputs!$F$99*Inputs!$F$100/100*Construction!BG11/Inputs!$F$247+Construction!BG15*$F$17)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BH79+Construction!BH14*(Construction!BH32+Construction!BH38+Inputs!$F$107/12+Inputs!BH309*(Inputs!$F$97/100/12-Construction!BH17/100*Construction!BH11/Inputs!$F$247)+Inputs!$F$99*Inputs!$F$100/100*Construction!BH11/Inputs!$F$247+Construction!BH15*$F$17)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BI79+Construction!BI14*(Construction!BI32+Construction!BI38+Inputs!$F$107/12+Inputs!BI309*(Inputs!$F$97/100/12-Construction!BI17/100*Construction!BI11/Inputs!$F$247)+Inputs!$F$99*Inputs!$F$100/100*Construction!BI11/Inputs!$F$247+Construction!BI15*$F$17)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BJ79+Construction!BJ14*(Construction!BJ32+Construction!BJ38+Inputs!$F$107/12+Inputs!BJ309*(Inputs!$F$97/100/12-Construction!BJ17/100*Construction!BJ11/Inputs!$F$247)+Inputs!$F$99*Inputs!$F$100/100*Construction!BJ11/Inputs!$F$247+Construction!BJ15*$F$17)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Construction!J14*(Construction!J32+Construction!J38)+J33+J34+J35+J36+J37+J38+J39+J40+J41+J42+J43+J44+J79</f>
        <v/>
      </c>
      <c r="K45" s="13">
        <f>Construction!K14*(Construction!K32+Construction!K38)+K33+K34+K35+K36+K37+K38+K39+K40+K41+K42+K43+K44+K79</f>
        <v/>
      </c>
      <c r="L45" s="13">
        <f>Construction!L14*(Construction!L32+Construction!L38)+L33+L34+L35+L36+L37+L38+L39+L40+L41+L42+L43+L44+L79</f>
        <v/>
      </c>
      <c r="M45" s="13">
        <f>Construction!M14*(Construction!M32+Construction!M38)+M33+M34+M35+M36+M37+M38+M39+M40+M41+M42+M43+M44+M79</f>
        <v/>
      </c>
      <c r="N45" s="13">
        <f>Construction!N14*(Construction!N32+Construction!N38)+N33+N34+N35+N36+N37+N38+N39+N40+N41+N42+N43+N44+N79</f>
        <v/>
      </c>
      <c r="O45" s="13">
        <f>Construction!O14*(Construction!O32+Construction!O38)+O33+O34+O35+O36+O37+O38+O39+O40+O41+O42+O43+O44+O79</f>
        <v/>
      </c>
      <c r="P45" s="13">
        <f>Construction!P14*(Construction!P32+Construction!P38)+P33+P34+P35+P36+P37+P38+P39+P40+P41+P42+P43+P44+P79</f>
        <v/>
      </c>
      <c r="Q45" s="13">
        <f>Construction!Q14*(Construction!Q32+Construction!Q38)+Q33+Q34+Q35+Q36+Q37+Q38+Q39+Q40+Q41+Q42+Q43+Q44+Q79</f>
        <v/>
      </c>
      <c r="R45" s="13">
        <f>Construction!R14*(Construction!R32+Construction!R38)+R33+R34+R35+R36+R37+R38+R39+R40+R41+R42+R43+R44+R79</f>
        <v/>
      </c>
      <c r="S45" s="13">
        <f>Construction!S14*(Construction!S32+Construction!S38)+S33+S34+S35+S36+S37+S38+S39+S40+S41+S42+S43+S44+S79</f>
        <v/>
      </c>
      <c r="T45" s="13">
        <f>Construction!T14*(Construction!T32+Construction!T38)+T33+T34+T35+T36+T37+T38+T39+T40+T41+T42+T43+T44+T79</f>
        <v/>
      </c>
      <c r="U45" s="13">
        <f>Construction!U14*(Construction!U32+Construction!U38)+U33+U34+U35+U36+U37+U38+U39+U40+U41+U42+U43+U44+U79</f>
        <v/>
      </c>
      <c r="V45" s="13">
        <f>Construction!V14*(Construction!V32+Construction!V38)+V33+V34+V35+V36+V37+V38+V39+V40+V41+V42+V43+V44+V79</f>
        <v/>
      </c>
      <c r="W45" s="13">
        <f>Construction!W14*(Construction!W32+Construction!W38)+W33+W34+W35+W36+W37+W38+W39+W40+W41+W42+W43+W44+W79</f>
        <v/>
      </c>
      <c r="X45" s="13">
        <f>Construction!X14*(Construction!X32+Construction!X38)+X33+X34+X35+X36+X37+X38+X39+X40+X41+X42+X43+X44+X79</f>
        <v/>
      </c>
      <c r="Y45" s="13">
        <f>Construction!Y14*(Construction!Y32+Construction!Y38)+Y33+Y34+Y35+Y36+Y37+Y38+Y39+Y40+Y41+Y42+Y43+Y44+Y79</f>
        <v/>
      </c>
      <c r="Z45" s="13">
        <f>Construction!Z14*(Construction!Z32+Construction!Z38)+Z33+Z34+Z35+Z36+Z37+Z38+Z39+Z40+Z41+Z42+Z43+Z44+Z79</f>
        <v/>
      </c>
      <c r="AA45" s="13">
        <f>Construction!AA14*(Construction!AA32+Construction!AA38)+AA33+AA34+AA35+AA36+AA37+AA38+AA39+AA40+AA41+AA42+AA43+AA44+AA79</f>
        <v/>
      </c>
      <c r="AB45" s="13">
        <f>Construction!AB14*(Construction!AB32+Construction!AB38)+AB33+AB34+AB35+AB36+AB37+AB38+AB39+AB40+AB41+AB42+AB43+AB44+AB79</f>
        <v/>
      </c>
      <c r="AC45" s="13">
        <f>Construction!AC14*(Construction!AC32+Construction!AC38)+AC33+AC34+AC35+AC36+AC37+AC38+AC39+AC40+AC41+AC42+AC43+AC44+AC79</f>
        <v/>
      </c>
      <c r="AD45" s="13">
        <f>Construction!AD14*(Construction!AD32+Construction!AD38)+AD33+AD34+AD35+AD36+AD37+AD38+AD39+AD40+AD41+AD42+AD43+AD44+AD79</f>
        <v/>
      </c>
      <c r="AE45" s="13">
        <f>Construction!AE14*(Construction!AE32+Construction!AE38)+AE33+AE34+AE35+AE36+AE37+AE38+AE39+AE40+AE41+AE42+AE43+AE44+AE79</f>
        <v/>
      </c>
      <c r="AF45" s="13">
        <f>Construction!AF14*(Construction!AF32+Construction!AF38)+AF33+AF34+AF35+AF36+AF37+AF38+AF39+AF40+AF41+AF42+AF43+AF44+AF79</f>
        <v/>
      </c>
      <c r="AG45" s="13">
        <f>Construction!AG14*(Construction!AG32+Construction!AG38)+AG33+AG34+AG35+AG36+AG37+AG38+AG39+AG40+AG41+AG42+AG43+AG44+AG79</f>
        <v/>
      </c>
      <c r="AH45" s="13">
        <f>Construction!AH14*(Construction!AH32+Construction!AH38)+AH33+AH34+AH35+AH36+AH37+AH38+AH39+AH40+AH41+AH42+AH43+AH44+AH79</f>
        <v/>
      </c>
      <c r="AI45" s="13">
        <f>Construction!AI14*(Construction!AI32+Construction!AI38)+AI33+AI34+AI35+AI36+AI37+AI38+AI39+AI40+AI41+AI42+AI43+AI44+AI79</f>
        <v/>
      </c>
      <c r="AJ45" s="13">
        <f>Construction!AJ14*(Construction!AJ32+Construction!AJ38)+AJ33+AJ34+AJ35+AJ36+AJ37+AJ38+AJ39+AJ40+AJ41+AJ42+AJ43+AJ44+AJ79</f>
        <v/>
      </c>
      <c r="AK45" s="13">
        <f>Construction!AK14*(Construction!AK32+Construction!AK38)+AK33+AK34+AK35+AK36+AK37+AK38+AK39+AK40+AK41+AK42+AK43+AK44+AK79</f>
        <v/>
      </c>
      <c r="AL45" s="13">
        <f>Construction!AL14*(Construction!AL32+Construction!AL38)+AL33+AL34+AL35+AL36+AL37+AL38+AL39+AL40+AL41+AL42+AL43+AL44+AL79</f>
        <v/>
      </c>
      <c r="AM45" s="13">
        <f>Construction!AM14*(Construction!AM32+Construction!AM38)+AM33+AM34+AM35+AM36+AM37+AM38+AM39+AM40+AM41+AM42+AM43+AM44+AM79</f>
        <v/>
      </c>
      <c r="AN45" s="13">
        <f>Construction!AN14*(Construction!AN32+Construction!AN38)+AN33+AN34+AN35+AN36+AN37+AN38+AN39+AN40+AN41+AN42+AN43+AN44+AN79</f>
        <v/>
      </c>
      <c r="AO45" s="13">
        <f>Construction!AO14*(Construction!AO32+Construction!AO38)+AO33+AO34+AO35+AO36+AO37+AO38+AO39+AO40+AO41+AO42+AO43+AO44+AO79</f>
        <v/>
      </c>
      <c r="AP45" s="13">
        <f>Construction!AP14*(Construction!AP32+Construction!AP38)+AP33+AP34+AP35+AP36+AP37+AP38+AP39+AP40+AP41+AP42+AP43+AP44+AP79</f>
        <v/>
      </c>
      <c r="AQ45" s="13">
        <f>Construction!AQ14*(Construction!AQ32+Construction!AQ38)+AQ33+AQ34+AQ35+AQ36+AQ37+AQ38+AQ39+AQ40+AQ41+AQ42+AQ43+AQ44+AQ79</f>
        <v/>
      </c>
      <c r="AR45" s="13">
        <f>Construction!AR14*(Construction!AR32+Construction!AR38)+AR33+AR34+AR35+AR36+AR37+AR38+AR39+AR40+AR41+AR42+AR43+AR44+AR79</f>
        <v/>
      </c>
      <c r="AS45" s="13">
        <f>Construction!AS14*(Construction!AS32+Construction!AS38)+AS33+AS34+AS35+AS36+AS37+AS38+AS39+AS40+AS41+AS42+AS43+AS44+AS79</f>
        <v/>
      </c>
      <c r="AT45" s="13">
        <f>Construction!AT14*(Construction!AT32+Construction!AT38)+AT33+AT34+AT35+AT36+AT37+AT38+AT39+AT40+AT41+AT42+AT43+AT44+AT79</f>
        <v/>
      </c>
      <c r="AU45" s="13">
        <f>Construction!AU14*(Construction!AU32+Construction!AU38)+AU33+AU34+AU35+AU36+AU37+AU38+AU39+AU40+AU41+AU42+AU43+AU44+AU79</f>
        <v/>
      </c>
      <c r="AV45" s="13">
        <f>Construction!AV14*(Construction!AV32+Construction!AV38)+AV33+AV34+AV35+AV36+AV37+AV38+AV39+AV40+AV41+AV42+AV43+AV44+AV79</f>
        <v/>
      </c>
      <c r="AW45" s="13">
        <f>Construction!AW14*(Construction!AW32+Construction!AW38)+AW33+AW34+AW35+AW36+AW37+AW38+AW39+AW40+AW41+AW42+AW43+AW44+AW79</f>
        <v/>
      </c>
      <c r="AX45" s="13">
        <f>Construction!AX14*(Construction!AX32+Construction!AX38)+AX33+AX34+AX35+AX36+AX37+AX38+AX39+AX40+AX41+AX42+AX43+AX44+AX79</f>
        <v/>
      </c>
      <c r="AY45" s="13">
        <f>Construction!AY14*(Construction!AY32+Construction!AY38)+AY33+AY34+AY35+AY36+AY37+AY38+AY39+AY40+AY41+AY42+AY43+AY44+AY79</f>
        <v/>
      </c>
      <c r="AZ45" s="13">
        <f>Construction!AZ14*(Construction!AZ32+Construction!AZ38)+AZ33+AZ34+AZ35+AZ36+AZ37+AZ38+AZ39+AZ40+AZ41+AZ42+AZ43+AZ44+AZ79</f>
        <v/>
      </c>
      <c r="BA45" s="13">
        <f>Construction!BA14*(Construction!BA32+Construction!BA38)+BA33+BA34+BA35+BA36+BA37+BA38+BA39+BA40+BA41+BA42+BA43+BA44+BA79</f>
        <v/>
      </c>
      <c r="BB45" s="13">
        <f>Construction!BB14*(Construction!BB32+Construction!BB38)+BB33+BB34+BB35+BB36+BB37+BB38+BB39+BB40+BB41+BB42+BB43+BB44+BB79</f>
        <v/>
      </c>
      <c r="BC45" s="13">
        <f>Construction!BC14*(Construction!BC32+Construction!BC38)+BC33+BC34+BC35+BC36+BC37+BC38+BC39+BC40+BC41+BC42+BC43+BC44+BC79</f>
        <v/>
      </c>
      <c r="BD45" s="13">
        <f>Construction!BD14*(Construction!BD32+Construction!BD38)+BD33+BD34+BD35+BD36+BD37+BD38+BD39+BD40+BD41+BD42+BD43+BD44+BD79</f>
        <v/>
      </c>
      <c r="BE45" s="13">
        <f>Construction!BE14*(Construction!BE32+Construction!BE38)+BE33+BE34+BE35+BE36+BE37+BE38+BE39+BE40+BE41+BE42+BE43+BE44+BE79</f>
        <v/>
      </c>
      <c r="BF45" s="13">
        <f>Construction!BF14*(Construction!BF32+Construction!BF38)+BF33+BF34+BF35+BF36+BF37+BF38+BF39+BF40+BF41+BF42+BF43+BF44+BF79</f>
        <v/>
      </c>
      <c r="BG45" s="13">
        <f>Construction!BG14*(Construction!BG32+Construction!BG38)+BG33+BG34+BG35+BG36+BG37+BG38+BG39+BG40+BG41+BG42+BG43+BG44+BG79</f>
        <v/>
      </c>
      <c r="BH45" s="13">
        <f>Construction!BH14*(Construction!BH32+Construction!BH38)+BH33+BH34+BH35+BH36+BH37+BH38+BH39+BH40+BH41+BH42+BH43+BH44+BH79</f>
        <v/>
      </c>
      <c r="BI45" s="13">
        <f>Construction!BI14*(Construction!BI32+Construction!BI38)+BI33+BI34+BI35+BI36+BI37+BI38+BI39+BI40+BI41+BI42+BI43+BI44+BI79</f>
        <v/>
      </c>
      <c r="BJ45" s="13">
        <f>Construction!BJ14*(Construction!BJ32+Construction!BJ38)+BJ33+BJ34+BJ35+BJ36+BJ37+BJ38+BJ39+BJ40+BJ41+BJ42+BJ43+BJ44+BJ79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SUM($J$49:$BJ$49)-SUM($J$44:$BJ$44)-SUM(Construction!$J$28:$BJ$28)-SUM($J$79:$BJ$79)+SUM($J$71:$BJ$71)-SUM($J$52:$BJ$52)-Inputs!$F$48*Inputs!$F$267</f>
        <v/>
      </c>
    </row>
    <row r="78">
      <c r="D78" t="inlineStr">
        <is>
          <t>COD-period operating cash shortfall before tax (working capital built in the COD period)</t>
        </is>
      </c>
      <c r="E78" t="inlineStr">
        <is>
          <t>USD m</t>
        </is>
      </c>
      <c r="F78" s="17">
        <f>MAX(0,-(INDEX(Operations!$J$84:$BN$84,1,Time!$F$12)-INDEX(Operations!$J$96:$BN$96,1,Time!$F$12)+INDEX(Operations!$J$97:$BN$97,1,Time!$F$12)-INDEX(Reserves!$J$7:$BN$7,1,Time!$F$12)+INDEX(Operations!$J$79:$BN$79,1,Time!$F$12)))</f>
        <v/>
      </c>
    </row>
    <row r="79">
      <c r="D79" t="inlineStr">
        <is>
          <t>COD working-capital funding (a use in the last funding month; held in the project accounts to COD)</t>
        </is>
      </c>
      <c r="E79" t="inlineStr">
        <is>
          <t>USD m</t>
        </is>
      </c>
      <c r="G79" s="13">
        <f>SUM(J79:BJ79)</f>
        <v/>
      </c>
      <c r="J79" s="13">
        <f>IF(Construction!J8=Time!$F$14,$F$78,0)</f>
        <v/>
      </c>
      <c r="K79" s="13">
        <f>IF(Construction!K8=Time!$F$14,$F$78,0)</f>
        <v/>
      </c>
      <c r="L79" s="13">
        <f>IF(Construction!L8=Time!$F$14,$F$78,0)</f>
        <v/>
      </c>
      <c r="M79" s="13">
        <f>IF(Construction!M8=Time!$F$14,$F$78,0)</f>
        <v/>
      </c>
      <c r="N79" s="13">
        <f>IF(Construction!N8=Time!$F$14,$F$78,0)</f>
        <v/>
      </c>
      <c r="O79" s="13">
        <f>IF(Construction!O8=Time!$F$14,$F$78,0)</f>
        <v/>
      </c>
      <c r="P79" s="13">
        <f>IF(Construction!P8=Time!$F$14,$F$78,0)</f>
        <v/>
      </c>
      <c r="Q79" s="13">
        <f>IF(Construction!Q8=Time!$F$14,$F$78,0)</f>
        <v/>
      </c>
      <c r="R79" s="13">
        <f>IF(Construction!R8=Time!$F$14,$F$78,0)</f>
        <v/>
      </c>
      <c r="S79" s="13">
        <f>IF(Construction!S8=Time!$F$14,$F$78,0)</f>
        <v/>
      </c>
      <c r="T79" s="13">
        <f>IF(Construction!T8=Time!$F$14,$F$78,0)</f>
        <v/>
      </c>
      <c r="U79" s="13">
        <f>IF(Construction!U8=Time!$F$14,$F$78,0)</f>
        <v/>
      </c>
      <c r="V79" s="13">
        <f>IF(Construction!V8=Time!$F$14,$F$78,0)</f>
        <v/>
      </c>
      <c r="W79" s="13">
        <f>IF(Construction!W8=Time!$F$14,$F$78,0)</f>
        <v/>
      </c>
      <c r="X79" s="13">
        <f>IF(Construction!X8=Time!$F$14,$F$78,0)</f>
        <v/>
      </c>
      <c r="Y79" s="13">
        <f>IF(Construction!Y8=Time!$F$14,$F$78,0)</f>
        <v/>
      </c>
      <c r="Z79" s="13">
        <f>IF(Construction!Z8=Time!$F$14,$F$78,0)</f>
        <v/>
      </c>
      <c r="AA79" s="13">
        <f>IF(Construction!AA8=Time!$F$14,$F$78,0)</f>
        <v/>
      </c>
      <c r="AB79" s="13">
        <f>IF(Construction!AB8=Time!$F$14,$F$78,0)</f>
        <v/>
      </c>
      <c r="AC79" s="13">
        <f>IF(Construction!AC8=Time!$F$14,$F$78,0)</f>
        <v/>
      </c>
      <c r="AD79" s="13">
        <f>IF(Construction!AD8=Time!$F$14,$F$78,0)</f>
        <v/>
      </c>
      <c r="AE79" s="13">
        <f>IF(Construction!AE8=Time!$F$14,$F$78,0)</f>
        <v/>
      </c>
      <c r="AF79" s="13">
        <f>IF(Construction!AF8=Time!$F$14,$F$78,0)</f>
        <v/>
      </c>
      <c r="AG79" s="13">
        <f>IF(Construction!AG8=Time!$F$14,$F$78,0)</f>
        <v/>
      </c>
      <c r="AH79" s="13">
        <f>IF(Construction!AH8=Time!$F$14,$F$78,0)</f>
        <v/>
      </c>
      <c r="AI79" s="13">
        <f>IF(Construction!AI8=Time!$F$14,$F$78,0)</f>
        <v/>
      </c>
      <c r="AJ79" s="13">
        <f>IF(Construction!AJ8=Time!$F$14,$F$78,0)</f>
        <v/>
      </c>
      <c r="AK79" s="13">
        <f>IF(Construction!AK8=Time!$F$14,$F$78,0)</f>
        <v/>
      </c>
      <c r="AL79" s="13">
        <f>IF(Construction!AL8=Time!$F$14,$F$78,0)</f>
        <v/>
      </c>
      <c r="AM79" s="13">
        <f>IF(Construction!AM8=Time!$F$14,$F$78,0)</f>
        <v/>
      </c>
      <c r="AN79" s="13">
        <f>IF(Construction!AN8=Time!$F$14,$F$78,0)</f>
        <v/>
      </c>
      <c r="AO79" s="13">
        <f>IF(Construction!AO8=Time!$F$14,$F$78,0)</f>
        <v/>
      </c>
      <c r="AP79" s="13">
        <f>IF(Construction!AP8=Time!$F$14,$F$78,0)</f>
        <v/>
      </c>
      <c r="AQ79" s="13">
        <f>IF(Construction!AQ8=Time!$F$14,$F$78,0)</f>
        <v/>
      </c>
      <c r="AR79" s="13">
        <f>IF(Construction!AR8=Time!$F$14,$F$78,0)</f>
        <v/>
      </c>
      <c r="AS79" s="13">
        <f>IF(Construction!AS8=Time!$F$14,$F$78,0)</f>
        <v/>
      </c>
      <c r="AT79" s="13">
        <f>IF(Construction!AT8=Time!$F$14,$F$78,0)</f>
        <v/>
      </c>
      <c r="AU79" s="13">
        <f>IF(Construction!AU8=Time!$F$14,$F$78,0)</f>
        <v/>
      </c>
      <c r="AV79" s="13">
        <f>IF(Construction!AV8=Time!$F$14,$F$78,0)</f>
        <v/>
      </c>
      <c r="AW79" s="13">
        <f>IF(Construction!AW8=Time!$F$14,$F$78,0)</f>
        <v/>
      </c>
      <c r="AX79" s="13">
        <f>IF(Construction!AX8=Time!$F$14,$F$78,0)</f>
        <v/>
      </c>
      <c r="AY79" s="13">
        <f>IF(Construction!AY8=Time!$F$14,$F$78,0)</f>
        <v/>
      </c>
      <c r="AZ79" s="13">
        <f>IF(Construction!AZ8=Time!$F$14,$F$78,0)</f>
        <v/>
      </c>
      <c r="BA79" s="13">
        <f>IF(Construction!BA8=Time!$F$14,$F$78,0)</f>
        <v/>
      </c>
      <c r="BB79" s="13">
        <f>IF(Construction!BB8=Time!$F$14,$F$78,0)</f>
        <v/>
      </c>
      <c r="BC79" s="13">
        <f>IF(Construction!BC8=Time!$F$14,$F$78,0)</f>
        <v/>
      </c>
      <c r="BD79" s="13">
        <f>IF(Construction!BD8=Time!$F$14,$F$78,0)</f>
        <v/>
      </c>
      <c r="BE79" s="13">
        <f>IF(Construction!BE8=Time!$F$14,$F$78,0)</f>
        <v/>
      </c>
      <c r="BF79" s="13">
        <f>IF(Construction!BF8=Time!$F$14,$F$78,0)</f>
        <v/>
      </c>
      <c r="BG79" s="13">
        <f>IF(Construction!BG8=Time!$F$14,$F$78,0)</f>
        <v/>
      </c>
      <c r="BH79" s="13">
        <f>IF(Construction!BH8=Time!$F$14,$F$78,0)</f>
        <v/>
      </c>
      <c r="BI79" s="13">
        <f>IF(Construction!BI8=Time!$F$14,$F$78,0)</f>
        <v/>
      </c>
      <c r="BJ79" s="13">
        <f>IF(Construction!BJ8=Time!$F$14,$F$78,0)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50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Time!J35*(J21-J22)*J147</f>
        <v/>
      </c>
      <c r="K24" s="13">
        <f>Time!K35*(K21-K22)*K147</f>
        <v/>
      </c>
      <c r="L24" s="13">
        <f>Time!L35*(L21-L22)*L147</f>
        <v/>
      </c>
      <c r="M24" s="13">
        <f>Time!M35*(M21-M22)*M147</f>
        <v/>
      </c>
      <c r="N24" s="13">
        <f>Time!N35*(N21-N22)*N147</f>
        <v/>
      </c>
      <c r="O24" s="13">
        <f>Time!O35*(O21-O22)*O147</f>
        <v/>
      </c>
      <c r="P24" s="13">
        <f>Time!P35*(P21-P22)*P147</f>
        <v/>
      </c>
      <c r="Q24" s="13">
        <f>Time!Q35*(Q21-Q22)*Q147</f>
        <v/>
      </c>
      <c r="R24" s="13">
        <f>Time!R35*(R21-R22)*R147</f>
        <v/>
      </c>
      <c r="S24" s="13">
        <f>Time!S35*(S21-S22)*S147</f>
        <v/>
      </c>
      <c r="T24" s="13">
        <f>Time!T35*(T21-T22)*T147</f>
        <v/>
      </c>
      <c r="U24" s="13">
        <f>Time!U35*(U21-U22)*U147</f>
        <v/>
      </c>
      <c r="V24" s="13">
        <f>Time!V35*(V21-V22)*V147</f>
        <v/>
      </c>
      <c r="W24" s="13">
        <f>Time!W35*(W21-W22)*W147</f>
        <v/>
      </c>
      <c r="X24" s="13">
        <f>Time!X35*(X21-X22)*X147</f>
        <v/>
      </c>
      <c r="Y24" s="13">
        <f>Time!Y35*(Y21-Y22)*Y147</f>
        <v/>
      </c>
      <c r="Z24" s="13">
        <f>Time!Z35*(Z21-Z22)*Z147</f>
        <v/>
      </c>
      <c r="AA24" s="13">
        <f>Time!AA35*(AA21-AA22)*AA147</f>
        <v/>
      </c>
      <c r="AB24" s="13">
        <f>Time!AB35*(AB21-AB22)*AB147</f>
        <v/>
      </c>
      <c r="AC24" s="13">
        <f>Time!AC35*(AC21-AC22)*AC147</f>
        <v/>
      </c>
      <c r="AD24" s="13">
        <f>Time!AD35*(AD21-AD22)*AD147</f>
        <v/>
      </c>
      <c r="AE24" s="13">
        <f>Time!AE35*(AE21-AE22)*AE147</f>
        <v/>
      </c>
      <c r="AF24" s="13">
        <f>Time!AF35*(AF21-AF22)*AF147</f>
        <v/>
      </c>
      <c r="AG24" s="13">
        <f>Time!AG35*(AG21-AG22)*AG147</f>
        <v/>
      </c>
      <c r="AH24" s="13">
        <f>Time!AH35*(AH21-AH22)*AH147</f>
        <v/>
      </c>
      <c r="AI24" s="13">
        <f>Time!AI35*(AI21-AI22)*AI147</f>
        <v/>
      </c>
      <c r="AJ24" s="13">
        <f>Time!AJ35*(AJ21-AJ22)*AJ147</f>
        <v/>
      </c>
      <c r="AK24" s="13">
        <f>Time!AK35*(AK21-AK22)*AK147</f>
        <v/>
      </c>
      <c r="AL24" s="13">
        <f>Time!AL35*(AL21-AL22)*AL147</f>
        <v/>
      </c>
      <c r="AM24" s="13">
        <f>Time!AM35*(AM21-AM22)*AM147</f>
        <v/>
      </c>
      <c r="AN24" s="13">
        <f>Time!AN35*(AN21-AN22)*AN147</f>
        <v/>
      </c>
      <c r="AO24" s="13">
        <f>Time!AO35*(AO21-AO22)*AO147</f>
        <v/>
      </c>
      <c r="AP24" s="13">
        <f>Time!AP35*(AP21-AP22)*AP147</f>
        <v/>
      </c>
      <c r="AQ24" s="13">
        <f>Time!AQ35*(AQ21-AQ22)*AQ147</f>
        <v/>
      </c>
      <c r="AR24" s="13">
        <f>Time!AR35*(AR21-AR22)*AR147</f>
        <v/>
      </c>
      <c r="AS24" s="13">
        <f>Time!AS35*(AS21-AS22)*AS147</f>
        <v/>
      </c>
      <c r="AT24" s="13">
        <f>Time!AT35*(AT21-AT22)*AT147</f>
        <v/>
      </c>
      <c r="AU24" s="13">
        <f>Time!AU35*(AU21-AU22)*AU147</f>
        <v/>
      </c>
      <c r="AV24" s="13">
        <f>Time!AV35*(AV21-AV22)*AV147</f>
        <v/>
      </c>
      <c r="AW24" s="13">
        <f>Time!AW35*(AW21-AW22)*AW147</f>
        <v/>
      </c>
      <c r="AX24" s="13">
        <f>Time!AX35*(AX21-AX22)*AX147</f>
        <v/>
      </c>
      <c r="AY24" s="13">
        <f>Time!AY35*(AY21-AY22)*AY147</f>
        <v/>
      </c>
      <c r="AZ24" s="13">
        <f>Time!AZ35*(AZ21-AZ22)*AZ147</f>
        <v/>
      </c>
      <c r="BA24" s="13">
        <f>Time!BA35*(BA21-BA22)*BA147</f>
        <v/>
      </c>
      <c r="BB24" s="13">
        <f>Time!BB35*(BB21-BB22)*BB147</f>
        <v/>
      </c>
      <c r="BC24" s="13">
        <f>Time!BC35*(BC21-BC22)*BC147</f>
        <v/>
      </c>
      <c r="BD24" s="13">
        <f>Time!BD35*(BD21-BD22)*BD147</f>
        <v/>
      </c>
      <c r="BE24" s="13">
        <f>Time!BE35*(BE21-BE22)*BE147</f>
        <v/>
      </c>
      <c r="BF24" s="13">
        <f>Time!BF35*(BF21-BF22)*BF147</f>
        <v/>
      </c>
      <c r="BG24" s="13">
        <f>Time!BG35*(BG21-BG22)*BG147</f>
        <v/>
      </c>
      <c r="BH24" s="13">
        <f>Time!BH35*(BH21-BH22)*BH147</f>
        <v/>
      </c>
      <c r="BI24" s="13">
        <f>Time!BI35*(BI21-BI22)*BI147</f>
        <v/>
      </c>
      <c r="BJ24" s="13">
        <f>Time!BJ35*(BJ21-BJ22)*BJ147</f>
        <v/>
      </c>
      <c r="BK24" s="13">
        <f>Time!BK35*(BK21-BK22)*BK147</f>
        <v/>
      </c>
      <c r="BL24" s="13">
        <f>Time!BL35*(BL21-BL22)*BL147</f>
        <v/>
      </c>
      <c r="BM24" s="13">
        <f>Time!BM35*(BM21-BM22)*BM147</f>
        <v/>
      </c>
      <c r="BN24" s="13">
        <f>Time!BN35*(BN21-BN22)*BN147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IF(AND(Time!J20&gt;=Time!$F$12,Time!K20&gt;0),(IF(Time!J34=1,J33,J31)-J30)*K147+IF(Time!K46&gt;0,Time!K45*J30/Time!K46,0)+IF(Time!J34=1,J33,J31)*K10,0)</f>
        <v/>
      </c>
      <c r="K119" s="13">
        <f>IF(AND(Time!K20&gt;=Time!$F$12,Time!L20&gt;0),(IF(Time!K34=1,K33,K31)-K30)*L147+IF(Time!L46&gt;0,Time!L45*K30/Time!L46,0)+IF(Time!K34=1,K33,K31)*L10,0)</f>
        <v/>
      </c>
      <c r="L119" s="13">
        <f>IF(AND(Time!L20&gt;=Time!$F$12,Time!M20&gt;0),(IF(Time!L34=1,L33,L31)-L30)*M147+IF(Time!M46&gt;0,Time!M45*L30/Time!M46,0)+IF(Time!L34=1,L33,L31)*M10,0)</f>
        <v/>
      </c>
      <c r="M119" s="13">
        <f>IF(AND(Time!M20&gt;=Time!$F$12,Time!N20&gt;0),(IF(Time!M34=1,M33,M31)-M30)*N147+IF(Time!N46&gt;0,Time!N45*M30/Time!N46,0)+IF(Time!M34=1,M33,M31)*N10,0)</f>
        <v/>
      </c>
      <c r="N119" s="13">
        <f>IF(AND(Time!N20&gt;=Time!$F$12,Time!O20&gt;0),(IF(Time!N34=1,N33,N31)-N30)*O147+IF(Time!O46&gt;0,Time!O45*N30/Time!O46,0)+IF(Time!N34=1,N33,N31)*O10,0)</f>
        <v/>
      </c>
      <c r="O119" s="13">
        <f>IF(AND(Time!O20&gt;=Time!$F$12,Time!P20&gt;0),(IF(Time!O34=1,O33,O31)-O30)*P147+IF(Time!P46&gt;0,Time!P45*O30/Time!P46,0)+IF(Time!O34=1,O33,O31)*P10,0)</f>
        <v/>
      </c>
      <c r="P119" s="13">
        <f>IF(AND(Time!P20&gt;=Time!$F$12,Time!Q20&gt;0),(IF(Time!P34=1,P33,P31)-P30)*Q147+IF(Time!Q46&gt;0,Time!Q45*P30/Time!Q46,0)+IF(Time!P34=1,P33,P31)*Q10,0)</f>
        <v/>
      </c>
      <c r="Q119" s="13">
        <f>IF(AND(Time!Q20&gt;=Time!$F$12,Time!R20&gt;0),(IF(Time!Q34=1,Q33,Q31)-Q30)*R147+IF(Time!R46&gt;0,Time!R45*Q30/Time!R46,0)+IF(Time!Q34=1,Q33,Q31)*R10,0)</f>
        <v/>
      </c>
      <c r="R119" s="13">
        <f>IF(AND(Time!R20&gt;=Time!$F$12,Time!S20&gt;0),(IF(Time!R34=1,R33,R31)-R30)*S147+IF(Time!S46&gt;0,Time!S45*R30/Time!S46,0)+IF(Time!R34=1,R33,R31)*S10,0)</f>
        <v/>
      </c>
      <c r="S119" s="13">
        <f>IF(AND(Time!S20&gt;=Time!$F$12,Time!T20&gt;0),(IF(Time!S34=1,S33,S31)-S30)*T147+IF(Time!T46&gt;0,Time!T45*S30/Time!T46,0)+IF(Time!S34=1,S33,S31)*T10,0)</f>
        <v/>
      </c>
      <c r="T119" s="13">
        <f>IF(AND(Time!T20&gt;=Time!$F$12,Time!U20&gt;0),(IF(Time!T34=1,T33,T31)-T30)*U147+IF(Time!U46&gt;0,Time!U45*T30/Time!U46,0)+IF(Time!T34=1,T33,T31)*U10,0)</f>
        <v/>
      </c>
      <c r="U119" s="13">
        <f>IF(AND(Time!U20&gt;=Time!$F$12,Time!V20&gt;0),(IF(Time!U34=1,U33,U31)-U30)*V147+IF(Time!V46&gt;0,Time!V45*U30/Time!V46,0)+IF(Time!U34=1,U33,U31)*V10,0)</f>
        <v/>
      </c>
      <c r="V119" s="13">
        <f>IF(AND(Time!V20&gt;=Time!$F$12,Time!W20&gt;0),(IF(Time!V34=1,V33,V31)-V30)*W147+IF(Time!W46&gt;0,Time!W45*V30/Time!W46,0)+IF(Time!V34=1,V33,V31)*W10,0)</f>
        <v/>
      </c>
      <c r="W119" s="13">
        <f>IF(AND(Time!W20&gt;=Time!$F$12,Time!X20&gt;0),(IF(Time!W34=1,W33,W31)-W30)*X147+IF(Time!X46&gt;0,Time!X45*W30/Time!X46,0)+IF(Time!W34=1,W33,W31)*X10,0)</f>
        <v/>
      </c>
      <c r="X119" s="13">
        <f>IF(AND(Time!X20&gt;=Time!$F$12,Time!Y20&gt;0),(IF(Time!X34=1,X33,X31)-X30)*Y147+IF(Time!Y46&gt;0,Time!Y45*X30/Time!Y46,0)+IF(Time!X34=1,X33,X31)*Y10,0)</f>
        <v/>
      </c>
      <c r="Y119" s="13">
        <f>IF(AND(Time!Y20&gt;=Time!$F$12,Time!Z20&gt;0),(IF(Time!Y34=1,Y33,Y31)-Y30)*Z147+IF(Time!Z46&gt;0,Time!Z45*Y30/Time!Z46,0)+IF(Time!Y34=1,Y33,Y31)*Z10,0)</f>
        <v/>
      </c>
      <c r="Z119" s="13">
        <f>IF(AND(Time!Z20&gt;=Time!$F$12,Time!AA20&gt;0),(IF(Time!Z34=1,Z33,Z31)-Z30)*AA147+IF(Time!AA46&gt;0,Time!AA45*Z30/Time!AA46,0)+IF(Time!Z34=1,Z33,Z31)*AA10,0)</f>
        <v/>
      </c>
      <c r="AA119" s="13">
        <f>IF(AND(Time!AA20&gt;=Time!$F$12,Time!AB20&gt;0),(IF(Time!AA34=1,AA33,AA31)-AA30)*AB147+IF(Time!AB46&gt;0,Time!AB45*AA30/Time!AB46,0)+IF(Time!AA34=1,AA33,AA31)*AB10,0)</f>
        <v/>
      </c>
      <c r="AB119" s="13">
        <f>IF(AND(Time!AB20&gt;=Time!$F$12,Time!AC20&gt;0),(IF(Time!AB34=1,AB33,AB31)-AB30)*AC147+IF(Time!AC46&gt;0,Time!AC45*AB30/Time!AC46,0)+IF(Time!AB34=1,AB33,AB31)*AC10,0)</f>
        <v/>
      </c>
      <c r="AC119" s="13">
        <f>IF(AND(Time!AC20&gt;=Time!$F$12,Time!AD20&gt;0),(IF(Time!AC34=1,AC33,AC31)-AC30)*AD147+IF(Time!AD46&gt;0,Time!AD45*AC30/Time!AD46,0)+IF(Time!AC34=1,AC33,AC31)*AD10,0)</f>
        <v/>
      </c>
      <c r="AD119" s="13">
        <f>IF(AND(Time!AD20&gt;=Time!$F$12,Time!AE20&gt;0),(IF(Time!AD34=1,AD33,AD31)-AD30)*AE147+IF(Time!AE46&gt;0,Time!AE45*AD30/Time!AE46,0)+IF(Time!AD34=1,AD33,AD31)*AE10,0)</f>
        <v/>
      </c>
      <c r="AE119" s="13">
        <f>IF(AND(Time!AE20&gt;=Time!$F$12,Time!AF20&gt;0),(IF(Time!AE34=1,AE33,AE31)-AE30)*AF147+IF(Time!AF46&gt;0,Time!AF45*AE30/Time!AF46,0)+IF(Time!AE34=1,AE33,AE31)*AF10,0)</f>
        <v/>
      </c>
      <c r="AF119" s="13">
        <f>IF(AND(Time!AF20&gt;=Time!$F$12,Time!AG20&gt;0),(IF(Time!AF34=1,AF33,AF31)-AF30)*AG147+IF(Time!AG46&gt;0,Time!AG45*AF30/Time!AG46,0)+IF(Time!AF34=1,AF33,AF31)*AG10,0)</f>
        <v/>
      </c>
      <c r="AG119" s="13">
        <f>IF(AND(Time!AG20&gt;=Time!$F$12,Time!AH20&gt;0),(IF(Time!AG34=1,AG33,AG31)-AG30)*AH147+IF(Time!AH46&gt;0,Time!AH45*AG30/Time!AH46,0)+IF(Time!AG34=1,AG33,AG31)*AH10,0)</f>
        <v/>
      </c>
      <c r="AH119" s="13">
        <f>IF(AND(Time!AH20&gt;=Time!$F$12,Time!AI20&gt;0),(IF(Time!AH34=1,AH33,AH31)-AH30)*AI147+IF(Time!AI46&gt;0,Time!AI45*AH30/Time!AI46,0)+IF(Time!AH34=1,AH33,AH31)*AI10,0)</f>
        <v/>
      </c>
      <c r="AI119" s="13">
        <f>IF(AND(Time!AI20&gt;=Time!$F$12,Time!AJ20&gt;0),(IF(Time!AI34=1,AI33,AI31)-AI30)*AJ147+IF(Time!AJ46&gt;0,Time!AJ45*AI30/Time!AJ46,0)+IF(Time!AI34=1,AI33,AI31)*AJ10,0)</f>
        <v/>
      </c>
      <c r="AJ119" s="13">
        <f>IF(AND(Time!AJ20&gt;=Time!$F$12,Time!AK20&gt;0),(IF(Time!AJ34=1,AJ33,AJ31)-AJ30)*AK147+IF(Time!AK46&gt;0,Time!AK45*AJ30/Time!AK46,0)+IF(Time!AJ34=1,AJ33,AJ31)*AK10,0)</f>
        <v/>
      </c>
      <c r="AK119" s="13">
        <f>IF(AND(Time!AK20&gt;=Time!$F$12,Time!AL20&gt;0),(IF(Time!AK34=1,AK33,AK31)-AK30)*AL147+IF(Time!AL46&gt;0,Time!AL45*AK30/Time!AL46,0)+IF(Time!AK34=1,AK33,AK31)*AL10,0)</f>
        <v/>
      </c>
      <c r="AL119" s="13">
        <f>IF(AND(Time!AL20&gt;=Time!$F$12,Time!AM20&gt;0),(IF(Time!AL34=1,AL33,AL31)-AL30)*AM147+IF(Time!AM46&gt;0,Time!AM45*AL30/Time!AM46,0)+IF(Time!AL34=1,AL33,AL31)*AM10,0)</f>
        <v/>
      </c>
      <c r="AM119" s="13">
        <f>IF(AND(Time!AM20&gt;=Time!$F$12,Time!AN20&gt;0),(IF(Time!AM34=1,AM33,AM31)-AM30)*AN147+IF(Time!AN46&gt;0,Time!AN45*AM30/Time!AN46,0)+IF(Time!AM34=1,AM33,AM31)*AN10,0)</f>
        <v/>
      </c>
      <c r="AN119" s="13">
        <f>IF(AND(Time!AN20&gt;=Time!$F$12,Time!AO20&gt;0),(IF(Time!AN34=1,AN33,AN31)-AN30)*AO147+IF(Time!AO46&gt;0,Time!AO45*AN30/Time!AO46,0)+IF(Time!AN34=1,AN33,AN31)*AO10,0)</f>
        <v/>
      </c>
      <c r="AO119" s="13">
        <f>IF(AND(Time!AO20&gt;=Time!$F$12,Time!AP20&gt;0),(IF(Time!AO34=1,AO33,AO31)-AO30)*AP147+IF(Time!AP46&gt;0,Time!AP45*AO30/Time!AP46,0)+IF(Time!AO34=1,AO33,AO31)*AP10,0)</f>
        <v/>
      </c>
      <c r="AP119" s="13">
        <f>IF(AND(Time!AP20&gt;=Time!$F$12,Time!AQ20&gt;0),(IF(Time!AP34=1,AP33,AP31)-AP30)*AQ147+IF(Time!AQ46&gt;0,Time!AQ45*AP30/Time!AQ46,0)+IF(Time!AP34=1,AP33,AP31)*AQ10,0)</f>
        <v/>
      </c>
      <c r="AQ119" s="13">
        <f>IF(AND(Time!AQ20&gt;=Time!$F$12,Time!AR20&gt;0),(IF(Time!AQ34=1,AQ33,AQ31)-AQ30)*AR147+IF(Time!AR46&gt;0,Time!AR45*AQ30/Time!AR46,0)+IF(Time!AQ34=1,AQ33,AQ31)*AR10,0)</f>
        <v/>
      </c>
      <c r="AR119" s="13">
        <f>IF(AND(Time!AR20&gt;=Time!$F$12,Time!AS20&gt;0),(IF(Time!AR34=1,AR33,AR31)-AR30)*AS147+IF(Time!AS46&gt;0,Time!AS45*AR30/Time!AS46,0)+IF(Time!AR34=1,AR33,AR31)*AS10,0)</f>
        <v/>
      </c>
      <c r="AS119" s="13">
        <f>IF(AND(Time!AS20&gt;=Time!$F$12,Time!AT20&gt;0),(IF(Time!AS34=1,AS33,AS31)-AS30)*AT147+IF(Time!AT46&gt;0,Time!AT45*AS30/Time!AT46,0)+IF(Time!AS34=1,AS33,AS31)*AT10,0)</f>
        <v/>
      </c>
      <c r="AT119" s="13">
        <f>IF(AND(Time!AT20&gt;=Time!$F$12,Time!AU20&gt;0),(IF(Time!AT34=1,AT33,AT31)-AT30)*AU147+IF(Time!AU46&gt;0,Time!AU45*AT30/Time!AU46,0)+IF(Time!AT34=1,AT33,AT31)*AU10,0)</f>
        <v/>
      </c>
      <c r="AU119" s="13">
        <f>IF(AND(Time!AU20&gt;=Time!$F$12,Time!AV20&gt;0),(IF(Time!AU34=1,AU33,AU31)-AU30)*AV147+IF(Time!AV46&gt;0,Time!AV45*AU30/Time!AV46,0)+IF(Time!AU34=1,AU33,AU31)*AV10,0)</f>
        <v/>
      </c>
      <c r="AV119" s="13">
        <f>IF(AND(Time!AV20&gt;=Time!$F$12,Time!AW20&gt;0),(IF(Time!AV34=1,AV33,AV31)-AV30)*AW147+IF(Time!AW46&gt;0,Time!AW45*AV30/Time!AW46,0)+IF(Time!AV34=1,AV33,AV31)*AW10,0)</f>
        <v/>
      </c>
      <c r="AW119" s="13">
        <f>IF(AND(Time!AW20&gt;=Time!$F$12,Time!AX20&gt;0),(IF(Time!AW34=1,AW33,AW31)-AW30)*AX147+IF(Time!AX46&gt;0,Time!AX45*AW30/Time!AX46,0)+IF(Time!AW34=1,AW33,AW31)*AX10,0)</f>
        <v/>
      </c>
      <c r="AX119" s="13">
        <f>IF(AND(Time!AX20&gt;=Time!$F$12,Time!AY20&gt;0),(IF(Time!AX34=1,AX33,AX31)-AX30)*AY147+IF(Time!AY46&gt;0,Time!AY45*AX30/Time!AY46,0)+IF(Time!AX34=1,AX33,AX31)*AY10,0)</f>
        <v/>
      </c>
      <c r="AY119" s="13">
        <f>IF(AND(Time!AY20&gt;=Time!$F$12,Time!AZ20&gt;0),(IF(Time!AY34=1,AY33,AY31)-AY30)*AZ147+IF(Time!AZ46&gt;0,Time!AZ45*AY30/Time!AZ46,0)+IF(Time!AY34=1,AY33,AY31)*AZ10,0)</f>
        <v/>
      </c>
      <c r="AZ119" s="13">
        <f>IF(AND(Time!AZ20&gt;=Time!$F$12,Time!BA20&gt;0),(IF(Time!AZ34=1,AZ33,AZ31)-AZ30)*BA147+IF(Time!BA46&gt;0,Time!BA45*AZ30/Time!BA46,0)+IF(Time!AZ34=1,AZ33,AZ31)*BA10,0)</f>
        <v/>
      </c>
      <c r="BA119" s="13">
        <f>IF(AND(Time!BA20&gt;=Time!$F$12,Time!BB20&gt;0),(IF(Time!BA34=1,BA33,BA31)-BA30)*BB147+IF(Time!BB46&gt;0,Time!BB45*BA30/Time!BB46,0)+IF(Time!BA34=1,BA33,BA31)*BB10,0)</f>
        <v/>
      </c>
      <c r="BB119" s="13">
        <f>IF(AND(Time!BB20&gt;=Time!$F$12,Time!BC20&gt;0),(IF(Time!BB34=1,BB33,BB31)-BB30)*BC147+IF(Time!BC46&gt;0,Time!BC45*BB30/Time!BC46,0)+IF(Time!BB34=1,BB33,BB31)*BC10,0)</f>
        <v/>
      </c>
      <c r="BC119" s="13">
        <f>IF(AND(Time!BC20&gt;=Time!$F$12,Time!BD20&gt;0),(IF(Time!BC34=1,BC33,BC31)-BC30)*BD147+IF(Time!BD46&gt;0,Time!BD45*BC30/Time!BD46,0)+IF(Time!BC34=1,BC33,BC31)*BD10,0)</f>
        <v/>
      </c>
      <c r="BD119" s="13">
        <f>IF(AND(Time!BD20&gt;=Time!$F$12,Time!BE20&gt;0),(IF(Time!BD34=1,BD33,BD31)-BD30)*BE147+IF(Time!BE46&gt;0,Time!BE45*BD30/Time!BE46,0)+IF(Time!BD34=1,BD33,BD31)*BE10,0)</f>
        <v/>
      </c>
      <c r="BE119" s="13">
        <f>IF(AND(Time!BE20&gt;=Time!$F$12,Time!BF20&gt;0),(IF(Time!BE34=1,BE33,BE31)-BE30)*BF147+IF(Time!BF46&gt;0,Time!BF45*BE30/Time!BF46,0)+IF(Time!BE34=1,BE33,BE31)*BF10,0)</f>
        <v/>
      </c>
      <c r="BF119" s="13">
        <f>IF(AND(Time!BF20&gt;=Time!$F$12,Time!BG20&gt;0),(IF(Time!BF34=1,BF33,BF31)-BF30)*BG147+IF(Time!BG46&gt;0,Time!BG45*BF30/Time!BG46,0)+IF(Time!BF34=1,BF33,BF31)*BG10,0)</f>
        <v/>
      </c>
      <c r="BG119" s="13">
        <f>IF(AND(Time!BG20&gt;=Time!$F$12,Time!BH20&gt;0),(IF(Time!BG34=1,BG33,BG31)-BG30)*BH147+IF(Time!BH46&gt;0,Time!BH45*BG30/Time!BH46,0)+IF(Time!BG34=1,BG33,BG31)*BH10,0)</f>
        <v/>
      </c>
      <c r="BH119" s="13">
        <f>IF(AND(Time!BH20&gt;=Time!$F$12,Time!BI20&gt;0),(IF(Time!BH34=1,BH33,BH31)-BH30)*BI147+IF(Time!BI46&gt;0,Time!BI45*BH30/Time!BI46,0)+IF(Time!BH34=1,BH33,BH31)*BI10,0)</f>
        <v/>
      </c>
      <c r="BI119" s="13">
        <f>IF(AND(Time!BI20&gt;=Time!$F$12,Time!BJ20&gt;0),(IF(Time!BI34=1,BI33,BI31)-BI30)*BJ147+IF(Time!BJ46&gt;0,Time!BJ45*BI30/Time!BJ46,0)+IF(Time!BI34=1,BI33,BI31)*BJ10,0)</f>
        <v/>
      </c>
      <c r="BJ119" s="13">
        <f>IF(AND(Time!BJ20&gt;=Time!$F$12,Time!BK20&gt;0),(IF(Time!BJ34=1,BJ33,BJ31)-BJ30)*BK147+IF(Time!BK46&gt;0,Time!BK45*BJ30/Time!BK46,0)+IF(Time!BJ34=1,BJ33,BJ31)*BK10,0)</f>
        <v/>
      </c>
      <c r="BK119" s="13">
        <f>IF(AND(Time!BK20&gt;=Time!$F$12,Time!BL20&gt;0),(IF(Time!BK34=1,BK33,BK31)-BK30)*BL147+IF(Time!BL46&gt;0,Time!BL45*BK30/Time!BL46,0)+IF(Time!BK34=1,BK33,BK31)*BL10,0)</f>
        <v/>
      </c>
      <c r="BL119" s="13">
        <f>IF(AND(Time!BL20&gt;=Time!$F$12,Time!BM20&gt;0),(IF(Time!BL34=1,BL33,BL31)-BL30)*BM147+IF(Time!BM46&gt;0,Time!BM45*BL30/Time!BM46,0)+IF(Time!BL34=1,BL33,BL31)*BM10,0)</f>
        <v/>
      </c>
      <c r="BM119" s="13">
        <f>IF(AND(Time!BM20&gt;=Time!$F$12,Time!BN20&gt;0),(IF(Time!BM34=1,BM33,BM31)-BM30)*BN147+IF(Time!BN46&gt;0,Time!BN45*BM30/Time!BN46,0)+IF(Time!BM34=1,BM33,BM31)*BN10,0)</f>
        <v/>
      </c>
      <c r="BN119" s="13">
        <f>IF(AND(Time!BN20&gt;=Time!$F$12,Time!BO20&gt;0),(IF(Time!BN34=1,BN33,BN31)-BN30)*BO147+IF(Time!BO46&gt;0,Time!BO45*BN30/Time!BO46,0)+IF(Time!BN34=1,BN33,BN31)*BO10,0)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total debt service; ECA equal installments, other tranches sculpted)</t>
        </is>
      </c>
    </row>
    <row r="127">
      <c r="D127" t="inlineStr">
        <is>
          <t>Sculpting rate on the other tranches' scheduled balance (A, B, commercial incl. PRI; plus swap)</t>
        </is>
      </c>
      <c r="E127" t="inlineStr">
        <is>
          <t>factor</t>
        </is>
      </c>
      <c r="J127" s="16">
        <f>IF(Time!J53=1,(Inputs!$F$76*J11+Inputs!$F$77*J12+Inputs!$F$78*(J13+(Inputs!$F$95/100*Inputs!$F$96/100)*Time!J25/Inputs!$F$248))/(1-Inputs!$F$75)+J148,0)</f>
        <v/>
      </c>
      <c r="K127" s="16">
        <f>IF(Time!K53=1,(Inputs!$F$76*K11+Inputs!$F$77*K12+Inputs!$F$78*(K13+(Inputs!$F$95/100*Inputs!$F$96/100)*Time!K25/Inputs!$F$248))/(1-Inputs!$F$75)+K148,0)</f>
        <v/>
      </c>
      <c r="L127" s="16">
        <f>IF(Time!L53=1,(Inputs!$F$76*L11+Inputs!$F$77*L12+Inputs!$F$78*(L13+(Inputs!$F$95/100*Inputs!$F$96/100)*Time!L25/Inputs!$F$248))/(1-Inputs!$F$75)+L148,0)</f>
        <v/>
      </c>
      <c r="M127" s="16">
        <f>IF(Time!M53=1,(Inputs!$F$76*M11+Inputs!$F$77*M12+Inputs!$F$78*(M13+(Inputs!$F$95/100*Inputs!$F$96/100)*Time!M25/Inputs!$F$248))/(1-Inputs!$F$75)+M148,0)</f>
        <v/>
      </c>
      <c r="N127" s="16">
        <f>IF(Time!N53=1,(Inputs!$F$76*N11+Inputs!$F$77*N12+Inputs!$F$78*(N13+(Inputs!$F$95/100*Inputs!$F$96/100)*Time!N25/Inputs!$F$248))/(1-Inputs!$F$75)+N148,0)</f>
        <v/>
      </c>
      <c r="O127" s="16">
        <f>IF(Time!O53=1,(Inputs!$F$76*O11+Inputs!$F$77*O12+Inputs!$F$78*(O13+(Inputs!$F$95/100*Inputs!$F$96/100)*Time!O25/Inputs!$F$248))/(1-Inputs!$F$75)+O148,0)</f>
        <v/>
      </c>
      <c r="P127" s="16">
        <f>IF(Time!P53=1,(Inputs!$F$76*P11+Inputs!$F$77*P12+Inputs!$F$78*(P13+(Inputs!$F$95/100*Inputs!$F$96/100)*Time!P25/Inputs!$F$248))/(1-Inputs!$F$75)+P148,0)</f>
        <v/>
      </c>
      <c r="Q127" s="16">
        <f>IF(Time!Q53=1,(Inputs!$F$76*Q11+Inputs!$F$77*Q12+Inputs!$F$78*(Q13+(Inputs!$F$95/100*Inputs!$F$96/100)*Time!Q25/Inputs!$F$248))/(1-Inputs!$F$75)+Q148,0)</f>
        <v/>
      </c>
      <c r="R127" s="16">
        <f>IF(Time!R53=1,(Inputs!$F$76*R11+Inputs!$F$77*R12+Inputs!$F$78*(R13+(Inputs!$F$95/100*Inputs!$F$96/100)*Time!R25/Inputs!$F$248))/(1-Inputs!$F$75)+R148,0)</f>
        <v/>
      </c>
      <c r="S127" s="16">
        <f>IF(Time!S53=1,(Inputs!$F$76*S11+Inputs!$F$77*S12+Inputs!$F$78*(S13+(Inputs!$F$95/100*Inputs!$F$96/100)*Time!S25/Inputs!$F$248))/(1-Inputs!$F$75)+S148,0)</f>
        <v/>
      </c>
      <c r="T127" s="16">
        <f>IF(Time!T53=1,(Inputs!$F$76*T11+Inputs!$F$77*T12+Inputs!$F$78*(T13+(Inputs!$F$95/100*Inputs!$F$96/100)*Time!T25/Inputs!$F$248))/(1-Inputs!$F$75)+T148,0)</f>
        <v/>
      </c>
      <c r="U127" s="16">
        <f>IF(Time!U53=1,(Inputs!$F$76*U11+Inputs!$F$77*U12+Inputs!$F$78*(U13+(Inputs!$F$95/100*Inputs!$F$96/100)*Time!U25/Inputs!$F$248))/(1-Inputs!$F$75)+U148,0)</f>
        <v/>
      </c>
      <c r="V127" s="16">
        <f>IF(Time!V53=1,(Inputs!$F$76*V11+Inputs!$F$77*V12+Inputs!$F$78*(V13+(Inputs!$F$95/100*Inputs!$F$96/100)*Time!V25/Inputs!$F$248))/(1-Inputs!$F$75)+V148,0)</f>
        <v/>
      </c>
      <c r="W127" s="16">
        <f>IF(Time!W53=1,(Inputs!$F$76*W11+Inputs!$F$77*W12+Inputs!$F$78*(W13+(Inputs!$F$95/100*Inputs!$F$96/100)*Time!W25/Inputs!$F$248))/(1-Inputs!$F$75)+W148,0)</f>
        <v/>
      </c>
      <c r="X127" s="16">
        <f>IF(Time!X53=1,(Inputs!$F$76*X11+Inputs!$F$77*X12+Inputs!$F$78*(X13+(Inputs!$F$95/100*Inputs!$F$96/100)*Time!X25/Inputs!$F$248))/(1-Inputs!$F$75)+X148,0)</f>
        <v/>
      </c>
      <c r="Y127" s="16">
        <f>IF(Time!Y53=1,(Inputs!$F$76*Y11+Inputs!$F$77*Y12+Inputs!$F$78*(Y13+(Inputs!$F$95/100*Inputs!$F$96/100)*Time!Y25/Inputs!$F$248))/(1-Inputs!$F$75)+Y148,0)</f>
        <v/>
      </c>
      <c r="Z127" s="16">
        <f>IF(Time!Z53=1,(Inputs!$F$76*Z11+Inputs!$F$77*Z12+Inputs!$F$78*(Z13+(Inputs!$F$95/100*Inputs!$F$96/100)*Time!Z25/Inputs!$F$248))/(1-Inputs!$F$75)+Z148,0)</f>
        <v/>
      </c>
      <c r="AA127" s="16">
        <f>IF(Time!AA53=1,(Inputs!$F$76*AA11+Inputs!$F$77*AA12+Inputs!$F$78*(AA13+(Inputs!$F$95/100*Inputs!$F$96/100)*Time!AA25/Inputs!$F$248))/(1-Inputs!$F$75)+AA148,0)</f>
        <v/>
      </c>
      <c r="AB127" s="16">
        <f>IF(Time!AB53=1,(Inputs!$F$76*AB11+Inputs!$F$77*AB12+Inputs!$F$78*(AB13+(Inputs!$F$95/100*Inputs!$F$96/100)*Time!AB25/Inputs!$F$248))/(1-Inputs!$F$75)+AB148,0)</f>
        <v/>
      </c>
      <c r="AC127" s="16">
        <f>IF(Time!AC53=1,(Inputs!$F$76*AC11+Inputs!$F$77*AC12+Inputs!$F$78*(AC13+(Inputs!$F$95/100*Inputs!$F$96/100)*Time!AC25/Inputs!$F$248))/(1-Inputs!$F$75)+AC148,0)</f>
        <v/>
      </c>
      <c r="AD127" s="16">
        <f>IF(Time!AD53=1,(Inputs!$F$76*AD11+Inputs!$F$77*AD12+Inputs!$F$78*(AD13+(Inputs!$F$95/100*Inputs!$F$96/100)*Time!AD25/Inputs!$F$248))/(1-Inputs!$F$75)+AD148,0)</f>
        <v/>
      </c>
      <c r="AE127" s="16">
        <f>IF(Time!AE53=1,(Inputs!$F$76*AE11+Inputs!$F$77*AE12+Inputs!$F$78*(AE13+(Inputs!$F$95/100*Inputs!$F$96/100)*Time!AE25/Inputs!$F$248))/(1-Inputs!$F$75)+AE148,0)</f>
        <v/>
      </c>
      <c r="AF127" s="16">
        <f>IF(Time!AF53=1,(Inputs!$F$76*AF11+Inputs!$F$77*AF12+Inputs!$F$78*(AF13+(Inputs!$F$95/100*Inputs!$F$96/100)*Time!AF25/Inputs!$F$248))/(1-Inputs!$F$75)+AF148,0)</f>
        <v/>
      </c>
      <c r="AG127" s="16">
        <f>IF(Time!AG53=1,(Inputs!$F$76*AG11+Inputs!$F$77*AG12+Inputs!$F$78*(AG13+(Inputs!$F$95/100*Inputs!$F$96/100)*Time!AG25/Inputs!$F$248))/(1-Inputs!$F$75)+AG148,0)</f>
        <v/>
      </c>
      <c r="AH127" s="16">
        <f>IF(Time!AH53=1,(Inputs!$F$76*AH11+Inputs!$F$77*AH12+Inputs!$F$78*(AH13+(Inputs!$F$95/100*Inputs!$F$96/100)*Time!AH25/Inputs!$F$248))/(1-Inputs!$F$75)+AH148,0)</f>
        <v/>
      </c>
      <c r="AI127" s="16">
        <f>IF(Time!AI53=1,(Inputs!$F$76*AI11+Inputs!$F$77*AI12+Inputs!$F$78*(AI13+(Inputs!$F$95/100*Inputs!$F$96/100)*Time!AI25/Inputs!$F$248))/(1-Inputs!$F$75)+AI148,0)</f>
        <v/>
      </c>
      <c r="AJ127" s="16">
        <f>IF(Time!AJ53=1,(Inputs!$F$76*AJ11+Inputs!$F$77*AJ12+Inputs!$F$78*(AJ13+(Inputs!$F$95/100*Inputs!$F$96/100)*Time!AJ25/Inputs!$F$248))/(1-Inputs!$F$75)+AJ148,0)</f>
        <v/>
      </c>
      <c r="AK127" s="16">
        <f>IF(Time!AK53=1,(Inputs!$F$76*AK11+Inputs!$F$77*AK12+Inputs!$F$78*(AK13+(Inputs!$F$95/100*Inputs!$F$96/100)*Time!AK25/Inputs!$F$248))/(1-Inputs!$F$75)+AK148,0)</f>
        <v/>
      </c>
      <c r="AL127" s="16">
        <f>IF(Time!AL53=1,(Inputs!$F$76*AL11+Inputs!$F$77*AL12+Inputs!$F$78*(AL13+(Inputs!$F$95/100*Inputs!$F$96/100)*Time!AL25/Inputs!$F$248))/(1-Inputs!$F$75)+AL148,0)</f>
        <v/>
      </c>
      <c r="AM127" s="16">
        <f>IF(Time!AM53=1,(Inputs!$F$76*AM11+Inputs!$F$77*AM12+Inputs!$F$78*(AM13+(Inputs!$F$95/100*Inputs!$F$96/100)*Time!AM25/Inputs!$F$248))/(1-Inputs!$F$75)+AM148,0)</f>
        <v/>
      </c>
      <c r="AN127" s="16">
        <f>IF(Time!AN53=1,(Inputs!$F$76*AN11+Inputs!$F$77*AN12+Inputs!$F$78*(AN13+(Inputs!$F$95/100*Inputs!$F$96/100)*Time!AN25/Inputs!$F$248))/(1-Inputs!$F$75)+AN148,0)</f>
        <v/>
      </c>
      <c r="AO127" s="16">
        <f>IF(Time!AO53=1,(Inputs!$F$76*AO11+Inputs!$F$77*AO12+Inputs!$F$78*(AO13+(Inputs!$F$95/100*Inputs!$F$96/100)*Time!AO25/Inputs!$F$248))/(1-Inputs!$F$75)+AO148,0)</f>
        <v/>
      </c>
      <c r="AP127" s="16">
        <f>IF(Time!AP53=1,(Inputs!$F$76*AP11+Inputs!$F$77*AP12+Inputs!$F$78*(AP13+(Inputs!$F$95/100*Inputs!$F$96/100)*Time!AP25/Inputs!$F$248))/(1-Inputs!$F$75)+AP148,0)</f>
        <v/>
      </c>
      <c r="AQ127" s="16">
        <f>IF(Time!AQ53=1,(Inputs!$F$76*AQ11+Inputs!$F$77*AQ12+Inputs!$F$78*(AQ13+(Inputs!$F$95/100*Inputs!$F$96/100)*Time!AQ25/Inputs!$F$248))/(1-Inputs!$F$75)+AQ148,0)</f>
        <v/>
      </c>
      <c r="AR127" s="16">
        <f>IF(Time!AR53=1,(Inputs!$F$76*AR11+Inputs!$F$77*AR12+Inputs!$F$78*(AR13+(Inputs!$F$95/100*Inputs!$F$96/100)*Time!AR25/Inputs!$F$248))/(1-Inputs!$F$75)+AR148,0)</f>
        <v/>
      </c>
      <c r="AS127" s="16">
        <f>IF(Time!AS53=1,(Inputs!$F$76*AS11+Inputs!$F$77*AS12+Inputs!$F$78*(AS13+(Inputs!$F$95/100*Inputs!$F$96/100)*Time!AS25/Inputs!$F$248))/(1-Inputs!$F$75)+AS148,0)</f>
        <v/>
      </c>
      <c r="AT127" s="16">
        <f>IF(Time!AT53=1,(Inputs!$F$76*AT11+Inputs!$F$77*AT12+Inputs!$F$78*(AT13+(Inputs!$F$95/100*Inputs!$F$96/100)*Time!AT25/Inputs!$F$248))/(1-Inputs!$F$75)+AT148,0)</f>
        <v/>
      </c>
      <c r="AU127" s="16">
        <f>IF(Time!AU53=1,(Inputs!$F$76*AU11+Inputs!$F$77*AU12+Inputs!$F$78*(AU13+(Inputs!$F$95/100*Inputs!$F$96/100)*Time!AU25/Inputs!$F$248))/(1-Inputs!$F$75)+AU148,0)</f>
        <v/>
      </c>
      <c r="AV127" s="16">
        <f>IF(Time!AV53=1,(Inputs!$F$76*AV11+Inputs!$F$77*AV12+Inputs!$F$78*(AV13+(Inputs!$F$95/100*Inputs!$F$96/100)*Time!AV25/Inputs!$F$248))/(1-Inputs!$F$75)+AV148,0)</f>
        <v/>
      </c>
      <c r="AW127" s="16">
        <f>IF(Time!AW53=1,(Inputs!$F$76*AW11+Inputs!$F$77*AW12+Inputs!$F$78*(AW13+(Inputs!$F$95/100*Inputs!$F$96/100)*Time!AW25/Inputs!$F$248))/(1-Inputs!$F$75)+AW148,0)</f>
        <v/>
      </c>
      <c r="AX127" s="16">
        <f>IF(Time!AX53=1,(Inputs!$F$76*AX11+Inputs!$F$77*AX12+Inputs!$F$78*(AX13+(Inputs!$F$95/100*Inputs!$F$96/100)*Time!AX25/Inputs!$F$248))/(1-Inputs!$F$75)+AX148,0)</f>
        <v/>
      </c>
      <c r="AY127" s="16">
        <f>IF(Time!AY53=1,(Inputs!$F$76*AY11+Inputs!$F$77*AY12+Inputs!$F$78*(AY13+(Inputs!$F$95/100*Inputs!$F$96/100)*Time!AY25/Inputs!$F$248))/(1-Inputs!$F$75)+AY148,0)</f>
        <v/>
      </c>
      <c r="AZ127" s="16">
        <f>IF(Time!AZ53=1,(Inputs!$F$76*AZ11+Inputs!$F$77*AZ12+Inputs!$F$78*(AZ13+(Inputs!$F$95/100*Inputs!$F$96/100)*Time!AZ25/Inputs!$F$248))/(1-Inputs!$F$75)+AZ148,0)</f>
        <v/>
      </c>
      <c r="BA127" s="16">
        <f>IF(Time!BA53=1,(Inputs!$F$76*BA11+Inputs!$F$77*BA12+Inputs!$F$78*(BA13+(Inputs!$F$95/100*Inputs!$F$96/100)*Time!BA25/Inputs!$F$248))/(1-Inputs!$F$75)+BA148,0)</f>
        <v/>
      </c>
      <c r="BB127" s="16">
        <f>IF(Time!BB53=1,(Inputs!$F$76*BB11+Inputs!$F$77*BB12+Inputs!$F$78*(BB13+(Inputs!$F$95/100*Inputs!$F$96/100)*Time!BB25/Inputs!$F$248))/(1-Inputs!$F$75)+BB148,0)</f>
        <v/>
      </c>
      <c r="BC127" s="16">
        <f>IF(Time!BC53=1,(Inputs!$F$76*BC11+Inputs!$F$77*BC12+Inputs!$F$78*(BC13+(Inputs!$F$95/100*Inputs!$F$96/100)*Time!BC25/Inputs!$F$248))/(1-Inputs!$F$75)+BC148,0)</f>
        <v/>
      </c>
      <c r="BD127" s="16">
        <f>IF(Time!BD53=1,(Inputs!$F$76*BD11+Inputs!$F$77*BD12+Inputs!$F$78*(BD13+(Inputs!$F$95/100*Inputs!$F$96/100)*Time!BD25/Inputs!$F$248))/(1-Inputs!$F$75)+BD148,0)</f>
        <v/>
      </c>
      <c r="BE127" s="16">
        <f>IF(Time!BE53=1,(Inputs!$F$76*BE11+Inputs!$F$77*BE12+Inputs!$F$78*(BE13+(Inputs!$F$95/100*Inputs!$F$96/100)*Time!BE25/Inputs!$F$248))/(1-Inputs!$F$75)+BE148,0)</f>
        <v/>
      </c>
      <c r="BF127" s="16">
        <f>IF(Time!BF53=1,(Inputs!$F$76*BF11+Inputs!$F$77*BF12+Inputs!$F$78*(BF13+(Inputs!$F$95/100*Inputs!$F$96/100)*Time!BF25/Inputs!$F$248))/(1-Inputs!$F$75)+BF148,0)</f>
        <v/>
      </c>
      <c r="BG127" s="16">
        <f>IF(Time!BG53=1,(Inputs!$F$76*BG11+Inputs!$F$77*BG12+Inputs!$F$78*(BG13+(Inputs!$F$95/100*Inputs!$F$96/100)*Time!BG25/Inputs!$F$248))/(1-Inputs!$F$75)+BG148,0)</f>
        <v/>
      </c>
      <c r="BH127" s="16">
        <f>IF(Time!BH53=1,(Inputs!$F$76*BH11+Inputs!$F$77*BH12+Inputs!$F$78*(BH13+(Inputs!$F$95/100*Inputs!$F$96/100)*Time!BH25/Inputs!$F$248))/(1-Inputs!$F$75)+BH148,0)</f>
        <v/>
      </c>
      <c r="BI127" s="16">
        <f>IF(Time!BI53=1,(Inputs!$F$76*BI11+Inputs!$F$77*BI12+Inputs!$F$78*(BI13+(Inputs!$F$95/100*Inputs!$F$96/100)*Time!BI25/Inputs!$F$248))/(1-Inputs!$F$75)+BI148,0)</f>
        <v/>
      </c>
      <c r="BJ127" s="16">
        <f>IF(Time!BJ53=1,(Inputs!$F$76*BJ11+Inputs!$F$77*BJ12+Inputs!$F$78*(BJ13+(Inputs!$F$95/100*Inputs!$F$96/100)*Time!BJ25/Inputs!$F$248))/(1-Inputs!$F$75)+BJ148,0)</f>
        <v/>
      </c>
      <c r="BK127" s="16">
        <f>IF(Time!BK53=1,(Inputs!$F$76*BK11+Inputs!$F$77*BK12+Inputs!$F$78*(BK13+(Inputs!$F$95/100*Inputs!$F$96/100)*Time!BK25/Inputs!$F$248))/(1-Inputs!$F$75)+BK148,0)</f>
        <v/>
      </c>
      <c r="BL127" s="16">
        <f>IF(Time!BL53=1,(Inputs!$F$76*BL11+Inputs!$F$77*BL12+Inputs!$F$78*(BL13+(Inputs!$F$95/100*Inputs!$F$96/100)*Time!BL25/Inputs!$F$248))/(1-Inputs!$F$75)+BL148,0)</f>
        <v/>
      </c>
      <c r="BM127" s="16">
        <f>IF(Time!BM53=1,(Inputs!$F$76*BM11+Inputs!$F$77*BM12+Inputs!$F$78*(BM13+(Inputs!$F$95/100*Inputs!$F$96/100)*Time!BM25/Inputs!$F$248))/(1-Inputs!$F$75)+BM148,0)</f>
        <v/>
      </c>
      <c r="BN127" s="16">
        <f>IF(Time!BN53=1,(Inputs!$F$76*BN11+Inputs!$F$77*BN12+Inputs!$F$78*(BN13+(Inputs!$F$95/100*Inputs!$F$96/100)*Time!BN25/Inputs!$F$248))/(1-Inputs!$F$75)+BN148,0)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(other tranches + PV of ECA debt service), at the sculpting rate</t>
        </is>
      </c>
      <c r="E129" t="inlineStr">
        <is>
          <t>x</t>
        </is>
      </c>
      <c r="F129" s="11">
        <f>INDEX($J$128:$BN$128,1,Time!$F$13)/(Funding!$F$25*(1-Inputs!$F$75)+INDEX($J$150:$BN$150,1,Time!$F$13))</f>
        <v/>
      </c>
    </row>
    <row r="130">
      <c r="D130" t="inlineStr">
        <is>
          <t>Debt capacity at the target DSCR (debt x sculpted DSCR / target)</t>
        </is>
      </c>
      <c r="E130" t="inlineStr">
        <is>
          <t>USD m</t>
        </is>
      </c>
      <c r="F130" s="17">
        <f>Funding!$F$25*$F$129/Inputs!$F$106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 (all tranches)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 of the other tranches, opening</t>
        </is>
      </c>
      <c r="E133" t="inlineStr">
        <is>
          <t>USD m</t>
        </is>
      </c>
      <c r="J133" s="13">
        <f>IF(Time!J53=1,IF(Time!J20=Time!$F$13,Funding!$F$25*(1-Inputs!$F$75),I133-I134),0)</f>
        <v/>
      </c>
      <c r="K133" s="13">
        <f>IF(Time!K53=1,IF(Time!K20=Time!$F$13,Funding!$F$25*(1-Inputs!$F$75),J133-J134),0)</f>
        <v/>
      </c>
      <c r="L133" s="13">
        <f>IF(Time!L53=1,IF(Time!L20=Time!$F$13,Funding!$F$25*(1-Inputs!$F$75),K133-K134),0)</f>
        <v/>
      </c>
      <c r="M133" s="13">
        <f>IF(Time!M53=1,IF(Time!M20=Time!$F$13,Funding!$F$25*(1-Inputs!$F$75),L133-L134),0)</f>
        <v/>
      </c>
      <c r="N133" s="13">
        <f>IF(Time!N53=1,IF(Time!N20=Time!$F$13,Funding!$F$25*(1-Inputs!$F$75),M133-M134),0)</f>
        <v/>
      </c>
      <c r="O133" s="13">
        <f>IF(Time!O53=1,IF(Time!O20=Time!$F$13,Funding!$F$25*(1-Inputs!$F$75),N133-N134),0)</f>
        <v/>
      </c>
      <c r="P133" s="13">
        <f>IF(Time!P53=1,IF(Time!P20=Time!$F$13,Funding!$F$25*(1-Inputs!$F$75),O133-O134),0)</f>
        <v/>
      </c>
      <c r="Q133" s="13">
        <f>IF(Time!Q53=1,IF(Time!Q20=Time!$F$13,Funding!$F$25*(1-Inputs!$F$75),P133-P134),0)</f>
        <v/>
      </c>
      <c r="R133" s="13">
        <f>IF(Time!R53=1,IF(Time!R20=Time!$F$13,Funding!$F$25*(1-Inputs!$F$75),Q133-Q134),0)</f>
        <v/>
      </c>
      <c r="S133" s="13">
        <f>IF(Time!S53=1,IF(Time!S20=Time!$F$13,Funding!$F$25*(1-Inputs!$F$75),R133-R134),0)</f>
        <v/>
      </c>
      <c r="T133" s="13">
        <f>IF(Time!T53=1,IF(Time!T20=Time!$F$13,Funding!$F$25*(1-Inputs!$F$75),S133-S134),0)</f>
        <v/>
      </c>
      <c r="U133" s="13">
        <f>IF(Time!U53=1,IF(Time!U20=Time!$F$13,Funding!$F$25*(1-Inputs!$F$75),T133-T134),0)</f>
        <v/>
      </c>
      <c r="V133" s="13">
        <f>IF(Time!V53=1,IF(Time!V20=Time!$F$13,Funding!$F$25*(1-Inputs!$F$75),U133-U134),0)</f>
        <v/>
      </c>
      <c r="W133" s="13">
        <f>IF(Time!W53=1,IF(Time!W20=Time!$F$13,Funding!$F$25*(1-Inputs!$F$75),V133-V134),0)</f>
        <v/>
      </c>
      <c r="X133" s="13">
        <f>IF(Time!X53=1,IF(Time!X20=Time!$F$13,Funding!$F$25*(1-Inputs!$F$75),W133-W134),0)</f>
        <v/>
      </c>
      <c r="Y133" s="13">
        <f>IF(Time!Y53=1,IF(Time!Y20=Time!$F$13,Funding!$F$25*(1-Inputs!$F$75),X133-X134),0)</f>
        <v/>
      </c>
      <c r="Z133" s="13">
        <f>IF(Time!Z53=1,IF(Time!Z20=Time!$F$13,Funding!$F$25*(1-Inputs!$F$75),Y133-Y134),0)</f>
        <v/>
      </c>
      <c r="AA133" s="13">
        <f>IF(Time!AA53=1,IF(Time!AA20=Time!$F$13,Funding!$F$25*(1-Inputs!$F$75),Z133-Z134),0)</f>
        <v/>
      </c>
      <c r="AB133" s="13">
        <f>IF(Time!AB53=1,IF(Time!AB20=Time!$F$13,Funding!$F$25*(1-Inputs!$F$75),AA133-AA134),0)</f>
        <v/>
      </c>
      <c r="AC133" s="13">
        <f>IF(Time!AC53=1,IF(Time!AC20=Time!$F$13,Funding!$F$25*(1-Inputs!$F$75),AB133-AB134),0)</f>
        <v/>
      </c>
      <c r="AD133" s="13">
        <f>IF(Time!AD53=1,IF(Time!AD20=Time!$F$13,Funding!$F$25*(1-Inputs!$F$75),AC133-AC134),0)</f>
        <v/>
      </c>
      <c r="AE133" s="13">
        <f>IF(Time!AE53=1,IF(Time!AE20=Time!$F$13,Funding!$F$25*(1-Inputs!$F$75),AD133-AD134),0)</f>
        <v/>
      </c>
      <c r="AF133" s="13">
        <f>IF(Time!AF53=1,IF(Time!AF20=Time!$F$13,Funding!$F$25*(1-Inputs!$F$75),AE133-AE134),0)</f>
        <v/>
      </c>
      <c r="AG133" s="13">
        <f>IF(Time!AG53=1,IF(Time!AG20=Time!$F$13,Funding!$F$25*(1-Inputs!$F$75),AF133-AF134),0)</f>
        <v/>
      </c>
      <c r="AH133" s="13">
        <f>IF(Time!AH53=1,IF(Time!AH20=Time!$F$13,Funding!$F$25*(1-Inputs!$F$75),AG133-AG134),0)</f>
        <v/>
      </c>
      <c r="AI133" s="13">
        <f>IF(Time!AI53=1,IF(Time!AI20=Time!$F$13,Funding!$F$25*(1-Inputs!$F$75),AH133-AH134),0)</f>
        <v/>
      </c>
      <c r="AJ133" s="13">
        <f>IF(Time!AJ53=1,IF(Time!AJ20=Time!$F$13,Funding!$F$25*(1-Inputs!$F$75),AI133-AI134),0)</f>
        <v/>
      </c>
      <c r="AK133" s="13">
        <f>IF(Time!AK53=1,IF(Time!AK20=Time!$F$13,Funding!$F$25*(1-Inputs!$F$75),AJ133-AJ134),0)</f>
        <v/>
      </c>
      <c r="AL133" s="13">
        <f>IF(Time!AL53=1,IF(Time!AL20=Time!$F$13,Funding!$F$25*(1-Inputs!$F$75),AK133-AK134),0)</f>
        <v/>
      </c>
      <c r="AM133" s="13">
        <f>IF(Time!AM53=1,IF(Time!AM20=Time!$F$13,Funding!$F$25*(1-Inputs!$F$75),AL133-AL134),0)</f>
        <v/>
      </c>
      <c r="AN133" s="13">
        <f>IF(Time!AN53=1,IF(Time!AN20=Time!$F$13,Funding!$F$25*(1-Inputs!$F$75),AM133-AM134),0)</f>
        <v/>
      </c>
      <c r="AO133" s="13">
        <f>IF(Time!AO53=1,IF(Time!AO20=Time!$F$13,Funding!$F$25*(1-Inputs!$F$75),AN133-AN134),0)</f>
        <v/>
      </c>
      <c r="AP133" s="13">
        <f>IF(Time!AP53=1,IF(Time!AP20=Time!$F$13,Funding!$F$25*(1-Inputs!$F$75),AO133-AO134),0)</f>
        <v/>
      </c>
      <c r="AQ133" s="13">
        <f>IF(Time!AQ53=1,IF(Time!AQ20=Time!$F$13,Funding!$F$25*(1-Inputs!$F$75),AP133-AP134),0)</f>
        <v/>
      </c>
      <c r="AR133" s="13">
        <f>IF(Time!AR53=1,IF(Time!AR20=Time!$F$13,Funding!$F$25*(1-Inputs!$F$75),AQ133-AQ134),0)</f>
        <v/>
      </c>
      <c r="AS133" s="13">
        <f>IF(Time!AS53=1,IF(Time!AS20=Time!$F$13,Funding!$F$25*(1-Inputs!$F$75),AR133-AR134),0)</f>
        <v/>
      </c>
      <c r="AT133" s="13">
        <f>IF(Time!AT53=1,IF(Time!AT20=Time!$F$13,Funding!$F$25*(1-Inputs!$F$75),AS133-AS134),0)</f>
        <v/>
      </c>
      <c r="AU133" s="13">
        <f>IF(Time!AU53=1,IF(Time!AU20=Time!$F$13,Funding!$F$25*(1-Inputs!$F$75),AT133-AT134),0)</f>
        <v/>
      </c>
      <c r="AV133" s="13">
        <f>IF(Time!AV53=1,IF(Time!AV20=Time!$F$13,Funding!$F$25*(1-Inputs!$F$75),AU133-AU134),0)</f>
        <v/>
      </c>
      <c r="AW133" s="13">
        <f>IF(Time!AW53=1,IF(Time!AW20=Time!$F$13,Funding!$F$25*(1-Inputs!$F$75),AV133-AV134),0)</f>
        <v/>
      </c>
      <c r="AX133" s="13">
        <f>IF(Time!AX53=1,IF(Time!AX20=Time!$F$13,Funding!$F$25*(1-Inputs!$F$75),AW133-AW134),0)</f>
        <v/>
      </c>
      <c r="AY133" s="13">
        <f>IF(Time!AY53=1,IF(Time!AY20=Time!$F$13,Funding!$F$25*(1-Inputs!$F$75),AX133-AX134),0)</f>
        <v/>
      </c>
      <c r="AZ133" s="13">
        <f>IF(Time!AZ53=1,IF(Time!AZ20=Time!$F$13,Funding!$F$25*(1-Inputs!$F$75),AY133-AY134),0)</f>
        <v/>
      </c>
      <c r="BA133" s="13">
        <f>IF(Time!BA53=1,IF(Time!BA20=Time!$F$13,Funding!$F$25*(1-Inputs!$F$75),AZ133-AZ134),0)</f>
        <v/>
      </c>
      <c r="BB133" s="13">
        <f>IF(Time!BB53=1,IF(Time!BB20=Time!$F$13,Funding!$F$25*(1-Inputs!$F$75),BA133-BA134),0)</f>
        <v/>
      </c>
      <c r="BC133" s="13">
        <f>IF(Time!BC53=1,IF(Time!BC20=Time!$F$13,Funding!$F$25*(1-Inputs!$F$75),BB133-BB134),0)</f>
        <v/>
      </c>
      <c r="BD133" s="13">
        <f>IF(Time!BD53=1,IF(Time!BD20=Time!$F$13,Funding!$F$25*(1-Inputs!$F$75),BC133-BC134),0)</f>
        <v/>
      </c>
      <c r="BE133" s="13">
        <f>IF(Time!BE53=1,IF(Time!BE20=Time!$F$13,Funding!$F$25*(1-Inputs!$F$75),BD133-BD134),0)</f>
        <v/>
      </c>
      <c r="BF133" s="13">
        <f>IF(Time!BF53=1,IF(Time!BF20=Time!$F$13,Funding!$F$25*(1-Inputs!$F$75),BE133-BE134),0)</f>
        <v/>
      </c>
      <c r="BG133" s="13">
        <f>IF(Time!BG53=1,IF(Time!BG20=Time!$F$13,Funding!$F$25*(1-Inputs!$F$75),BF133-BF134),0)</f>
        <v/>
      </c>
      <c r="BH133" s="13">
        <f>IF(Time!BH53=1,IF(Time!BH20=Time!$F$13,Funding!$F$25*(1-Inputs!$F$75),BG133-BG134),0)</f>
        <v/>
      </c>
      <c r="BI133" s="13">
        <f>IF(Time!BI53=1,IF(Time!BI20=Time!$F$13,Funding!$F$25*(1-Inputs!$F$75),BH133-BH134),0)</f>
        <v/>
      </c>
      <c r="BJ133" s="13">
        <f>IF(Time!BJ53=1,IF(Time!BJ20=Time!$F$13,Funding!$F$25*(1-Inputs!$F$75),BI133-BI134),0)</f>
        <v/>
      </c>
      <c r="BK133" s="13">
        <f>IF(Time!BK53=1,IF(Time!BK20=Time!$F$13,Funding!$F$25*(1-Inputs!$F$75),BJ133-BJ134),0)</f>
        <v/>
      </c>
      <c r="BL133" s="13">
        <f>IF(Time!BL53=1,IF(Time!BL20=Time!$F$13,Funding!$F$25*(1-Inputs!$F$75),BK133-BK134),0)</f>
        <v/>
      </c>
      <c r="BM133" s="13">
        <f>IF(Time!BM53=1,IF(Time!BM20=Time!$F$13,Funding!$F$25*(1-Inputs!$F$75),BL133-BL134),0)</f>
        <v/>
      </c>
      <c r="BN133" s="13">
        <f>IF(Time!BN53=1,IF(Time!BN20=Time!$F$13,Funding!$F$25*(1-Inputs!$F$75),BM133-BM134),0)</f>
        <v/>
      </c>
    </row>
    <row r="134">
      <c r="D134" t="inlineStr">
        <is>
          <t>Sculpted principal of the other tranches</t>
        </is>
      </c>
      <c r="E134" t="inlineStr">
        <is>
          <t>USD m</t>
        </is>
      </c>
      <c r="J134" s="13">
        <f>J132-J149-J133*J127</f>
        <v/>
      </c>
      <c r="K134" s="13">
        <f>K132-K149-K133*K127</f>
        <v/>
      </c>
      <c r="L134" s="13">
        <f>L132-L149-L133*L127</f>
        <v/>
      </c>
      <c r="M134" s="13">
        <f>M132-M149-M133*M127</f>
        <v/>
      </c>
      <c r="N134" s="13">
        <f>N132-N149-N133*N127</f>
        <v/>
      </c>
      <c r="O134" s="13">
        <f>O132-O149-O133*O127</f>
        <v/>
      </c>
      <c r="P134" s="13">
        <f>P132-P149-P133*P127</f>
        <v/>
      </c>
      <c r="Q134" s="13">
        <f>Q132-Q149-Q133*Q127</f>
        <v/>
      </c>
      <c r="R134" s="13">
        <f>R132-R149-R133*R127</f>
        <v/>
      </c>
      <c r="S134" s="13">
        <f>S132-S149-S133*S127</f>
        <v/>
      </c>
      <c r="T134" s="13">
        <f>T132-T149-T133*T127</f>
        <v/>
      </c>
      <c r="U134" s="13">
        <f>U132-U149-U133*U127</f>
        <v/>
      </c>
      <c r="V134" s="13">
        <f>V132-V149-V133*V127</f>
        <v/>
      </c>
      <c r="W134" s="13">
        <f>W132-W149-W133*W127</f>
        <v/>
      </c>
      <c r="X134" s="13">
        <f>X132-X149-X133*X127</f>
        <v/>
      </c>
      <c r="Y134" s="13">
        <f>Y132-Y149-Y133*Y127</f>
        <v/>
      </c>
      <c r="Z134" s="13">
        <f>Z132-Z149-Z133*Z127</f>
        <v/>
      </c>
      <c r="AA134" s="13">
        <f>AA132-AA149-AA133*AA127</f>
        <v/>
      </c>
      <c r="AB134" s="13">
        <f>AB132-AB149-AB133*AB127</f>
        <v/>
      </c>
      <c r="AC134" s="13">
        <f>AC132-AC149-AC133*AC127</f>
        <v/>
      </c>
      <c r="AD134" s="13">
        <f>AD132-AD149-AD133*AD127</f>
        <v/>
      </c>
      <c r="AE134" s="13">
        <f>AE132-AE149-AE133*AE127</f>
        <v/>
      </c>
      <c r="AF134" s="13">
        <f>AF132-AF149-AF133*AF127</f>
        <v/>
      </c>
      <c r="AG134" s="13">
        <f>AG132-AG149-AG133*AG127</f>
        <v/>
      </c>
      <c r="AH134" s="13">
        <f>AH132-AH149-AH133*AH127</f>
        <v/>
      </c>
      <c r="AI134" s="13">
        <f>AI132-AI149-AI133*AI127</f>
        <v/>
      </c>
      <c r="AJ134" s="13">
        <f>AJ132-AJ149-AJ133*AJ127</f>
        <v/>
      </c>
      <c r="AK134" s="13">
        <f>AK132-AK149-AK133*AK127</f>
        <v/>
      </c>
      <c r="AL134" s="13">
        <f>AL132-AL149-AL133*AL127</f>
        <v/>
      </c>
      <c r="AM134" s="13">
        <f>AM132-AM149-AM133*AM127</f>
        <v/>
      </c>
      <c r="AN134" s="13">
        <f>AN132-AN149-AN133*AN127</f>
        <v/>
      </c>
      <c r="AO134" s="13">
        <f>AO132-AO149-AO133*AO127</f>
        <v/>
      </c>
      <c r="AP134" s="13">
        <f>AP132-AP149-AP133*AP127</f>
        <v/>
      </c>
      <c r="AQ134" s="13">
        <f>AQ132-AQ149-AQ133*AQ127</f>
        <v/>
      </c>
      <c r="AR134" s="13">
        <f>AR132-AR149-AR133*AR127</f>
        <v/>
      </c>
      <c r="AS134" s="13">
        <f>AS132-AS149-AS133*AS127</f>
        <v/>
      </c>
      <c r="AT134" s="13">
        <f>AT132-AT149-AT133*AT127</f>
        <v/>
      </c>
      <c r="AU134" s="13">
        <f>AU132-AU149-AU133*AU127</f>
        <v/>
      </c>
      <c r="AV134" s="13">
        <f>AV132-AV149-AV133*AV127</f>
        <v/>
      </c>
      <c r="AW134" s="13">
        <f>AW132-AW149-AW133*AW127</f>
        <v/>
      </c>
      <c r="AX134" s="13">
        <f>AX132-AX149-AX133*AX127</f>
        <v/>
      </c>
      <c r="AY134" s="13">
        <f>AY132-AY149-AY133*AY127</f>
        <v/>
      </c>
      <c r="AZ134" s="13">
        <f>AZ132-AZ149-AZ133*AZ127</f>
        <v/>
      </c>
      <c r="BA134" s="13">
        <f>BA132-BA149-BA133*BA127</f>
        <v/>
      </c>
      <c r="BB134" s="13">
        <f>BB132-BB149-BB133*BB127</f>
        <v/>
      </c>
      <c r="BC134" s="13">
        <f>BC132-BC149-BC133*BC127</f>
        <v/>
      </c>
      <c r="BD134" s="13">
        <f>BD132-BD149-BD133*BD127</f>
        <v/>
      </c>
      <c r="BE134" s="13">
        <f>BE132-BE149-BE133*BE127</f>
        <v/>
      </c>
      <c r="BF134" s="13">
        <f>BF132-BF149-BF133*BF127</f>
        <v/>
      </c>
      <c r="BG134" s="13">
        <f>BG132-BG149-BG133*BG127</f>
        <v/>
      </c>
      <c r="BH134" s="13">
        <f>BH132-BH149-BH133*BH127</f>
        <v/>
      </c>
      <c r="BI134" s="13">
        <f>BI132-BI149-BI133*BI127</f>
        <v/>
      </c>
      <c r="BJ134" s="13">
        <f>BJ132-BJ149-BJ133*BJ127</f>
        <v/>
      </c>
      <c r="BK134" s="13">
        <f>BK132-BK149-BK133*BK127</f>
        <v/>
      </c>
      <c r="BL134" s="13">
        <f>BL132-BL149-BL133*BL127</f>
        <v/>
      </c>
      <c r="BM134" s="13">
        <f>BM132-BM149-BM133*BM127</f>
        <v/>
      </c>
      <c r="BN134" s="13">
        <f>BN132-BN149-BN133*BN127</f>
        <v/>
      </c>
    </row>
    <row r="135">
      <c r="D135" t="inlineStr">
        <is>
          <t>Sculpted principal less contract principal, other tranches (FC base)</t>
        </is>
      </c>
      <c r="E135" t="inlineStr">
        <is>
          <t>USD m</t>
        </is>
      </c>
      <c r="J135" s="13">
        <f>IF(Inputs!$F$8=1,J134-Time!J53*Inputs!J298*Funding!$F$25*(1-Inputs!$F$75),0)</f>
        <v/>
      </c>
      <c r="K135" s="13">
        <f>IF(Inputs!$F$8=1,K134-Time!K53*Inputs!K298*Funding!$F$25*(1-Inputs!$F$75),0)</f>
        <v/>
      </c>
      <c r="L135" s="13">
        <f>IF(Inputs!$F$8=1,L134-Time!L53*Inputs!L298*Funding!$F$25*(1-Inputs!$F$75),0)</f>
        <v/>
      </c>
      <c r="M135" s="13">
        <f>IF(Inputs!$F$8=1,M134-Time!M53*Inputs!M298*Funding!$F$25*(1-Inputs!$F$75),0)</f>
        <v/>
      </c>
      <c r="N135" s="13">
        <f>IF(Inputs!$F$8=1,N134-Time!N53*Inputs!N298*Funding!$F$25*(1-Inputs!$F$75),0)</f>
        <v/>
      </c>
      <c r="O135" s="13">
        <f>IF(Inputs!$F$8=1,O134-Time!O53*Inputs!O298*Funding!$F$25*(1-Inputs!$F$75),0)</f>
        <v/>
      </c>
      <c r="P135" s="13">
        <f>IF(Inputs!$F$8=1,P134-Time!P53*Inputs!P298*Funding!$F$25*(1-Inputs!$F$75),0)</f>
        <v/>
      </c>
      <c r="Q135" s="13">
        <f>IF(Inputs!$F$8=1,Q134-Time!Q53*Inputs!Q298*Funding!$F$25*(1-Inputs!$F$75),0)</f>
        <v/>
      </c>
      <c r="R135" s="13">
        <f>IF(Inputs!$F$8=1,R134-Time!R53*Inputs!R298*Funding!$F$25*(1-Inputs!$F$75),0)</f>
        <v/>
      </c>
      <c r="S135" s="13">
        <f>IF(Inputs!$F$8=1,S134-Time!S53*Inputs!S298*Funding!$F$25*(1-Inputs!$F$75),0)</f>
        <v/>
      </c>
      <c r="T135" s="13">
        <f>IF(Inputs!$F$8=1,T134-Time!T53*Inputs!T298*Funding!$F$25*(1-Inputs!$F$75),0)</f>
        <v/>
      </c>
      <c r="U135" s="13">
        <f>IF(Inputs!$F$8=1,U134-Time!U53*Inputs!U298*Funding!$F$25*(1-Inputs!$F$75),0)</f>
        <v/>
      </c>
      <c r="V135" s="13">
        <f>IF(Inputs!$F$8=1,V134-Time!V53*Inputs!V298*Funding!$F$25*(1-Inputs!$F$75),0)</f>
        <v/>
      </c>
      <c r="W135" s="13">
        <f>IF(Inputs!$F$8=1,W134-Time!W53*Inputs!W298*Funding!$F$25*(1-Inputs!$F$75),0)</f>
        <v/>
      </c>
      <c r="X135" s="13">
        <f>IF(Inputs!$F$8=1,X134-Time!X53*Inputs!X298*Funding!$F$25*(1-Inputs!$F$75),0)</f>
        <v/>
      </c>
      <c r="Y135" s="13">
        <f>IF(Inputs!$F$8=1,Y134-Time!Y53*Inputs!Y298*Funding!$F$25*(1-Inputs!$F$75),0)</f>
        <v/>
      </c>
      <c r="Z135" s="13">
        <f>IF(Inputs!$F$8=1,Z134-Time!Z53*Inputs!Z298*Funding!$F$25*(1-Inputs!$F$75),0)</f>
        <v/>
      </c>
      <c r="AA135" s="13">
        <f>IF(Inputs!$F$8=1,AA134-Time!AA53*Inputs!AA298*Funding!$F$25*(1-Inputs!$F$75),0)</f>
        <v/>
      </c>
      <c r="AB135" s="13">
        <f>IF(Inputs!$F$8=1,AB134-Time!AB53*Inputs!AB298*Funding!$F$25*(1-Inputs!$F$75),0)</f>
        <v/>
      </c>
      <c r="AC135" s="13">
        <f>IF(Inputs!$F$8=1,AC134-Time!AC53*Inputs!AC298*Funding!$F$25*(1-Inputs!$F$75),0)</f>
        <v/>
      </c>
      <c r="AD135" s="13">
        <f>IF(Inputs!$F$8=1,AD134-Time!AD53*Inputs!AD298*Funding!$F$25*(1-Inputs!$F$75),0)</f>
        <v/>
      </c>
      <c r="AE135" s="13">
        <f>IF(Inputs!$F$8=1,AE134-Time!AE53*Inputs!AE298*Funding!$F$25*(1-Inputs!$F$75),0)</f>
        <v/>
      </c>
      <c r="AF135" s="13">
        <f>IF(Inputs!$F$8=1,AF134-Time!AF53*Inputs!AF298*Funding!$F$25*(1-Inputs!$F$75),0)</f>
        <v/>
      </c>
      <c r="AG135" s="13">
        <f>IF(Inputs!$F$8=1,AG134-Time!AG53*Inputs!AG298*Funding!$F$25*(1-Inputs!$F$75),0)</f>
        <v/>
      </c>
      <c r="AH135" s="13">
        <f>IF(Inputs!$F$8=1,AH134-Time!AH53*Inputs!AH298*Funding!$F$25*(1-Inputs!$F$75),0)</f>
        <v/>
      </c>
      <c r="AI135" s="13">
        <f>IF(Inputs!$F$8=1,AI134-Time!AI53*Inputs!AI298*Funding!$F$25*(1-Inputs!$F$75),0)</f>
        <v/>
      </c>
      <c r="AJ135" s="13">
        <f>IF(Inputs!$F$8=1,AJ134-Time!AJ53*Inputs!AJ298*Funding!$F$25*(1-Inputs!$F$75),0)</f>
        <v/>
      </c>
      <c r="AK135" s="13">
        <f>IF(Inputs!$F$8=1,AK134-Time!AK53*Inputs!AK298*Funding!$F$25*(1-Inputs!$F$75),0)</f>
        <v/>
      </c>
      <c r="AL135" s="13">
        <f>IF(Inputs!$F$8=1,AL134-Time!AL53*Inputs!AL298*Funding!$F$25*(1-Inputs!$F$75),0)</f>
        <v/>
      </c>
      <c r="AM135" s="13">
        <f>IF(Inputs!$F$8=1,AM134-Time!AM53*Inputs!AM298*Funding!$F$25*(1-Inputs!$F$75),0)</f>
        <v/>
      </c>
      <c r="AN135" s="13">
        <f>IF(Inputs!$F$8=1,AN134-Time!AN53*Inputs!AN298*Funding!$F$25*(1-Inputs!$F$75),0)</f>
        <v/>
      </c>
      <c r="AO135" s="13">
        <f>IF(Inputs!$F$8=1,AO134-Time!AO53*Inputs!AO298*Funding!$F$25*(1-Inputs!$F$75),0)</f>
        <v/>
      </c>
      <c r="AP135" s="13">
        <f>IF(Inputs!$F$8=1,AP134-Time!AP53*Inputs!AP298*Funding!$F$25*(1-Inputs!$F$75),0)</f>
        <v/>
      </c>
      <c r="AQ135" s="13">
        <f>IF(Inputs!$F$8=1,AQ134-Time!AQ53*Inputs!AQ298*Funding!$F$25*(1-Inputs!$F$75),0)</f>
        <v/>
      </c>
      <c r="AR135" s="13">
        <f>IF(Inputs!$F$8=1,AR134-Time!AR53*Inputs!AR298*Funding!$F$25*(1-Inputs!$F$75),0)</f>
        <v/>
      </c>
      <c r="AS135" s="13">
        <f>IF(Inputs!$F$8=1,AS134-Time!AS53*Inputs!AS298*Funding!$F$25*(1-Inputs!$F$75),0)</f>
        <v/>
      </c>
      <c r="AT135" s="13">
        <f>IF(Inputs!$F$8=1,AT134-Time!AT53*Inputs!AT298*Funding!$F$25*(1-Inputs!$F$75),0)</f>
        <v/>
      </c>
      <c r="AU135" s="13">
        <f>IF(Inputs!$F$8=1,AU134-Time!AU53*Inputs!AU298*Funding!$F$25*(1-Inputs!$F$75),0)</f>
        <v/>
      </c>
      <c r="AV135" s="13">
        <f>IF(Inputs!$F$8=1,AV134-Time!AV53*Inputs!AV298*Funding!$F$25*(1-Inputs!$F$75),0)</f>
        <v/>
      </c>
      <c r="AW135" s="13">
        <f>IF(Inputs!$F$8=1,AW134-Time!AW53*Inputs!AW298*Funding!$F$25*(1-Inputs!$F$75),0)</f>
        <v/>
      </c>
      <c r="AX135" s="13">
        <f>IF(Inputs!$F$8=1,AX134-Time!AX53*Inputs!AX298*Funding!$F$25*(1-Inputs!$F$75),0)</f>
        <v/>
      </c>
      <c r="AY135" s="13">
        <f>IF(Inputs!$F$8=1,AY134-Time!AY53*Inputs!AY298*Funding!$F$25*(1-Inputs!$F$75),0)</f>
        <v/>
      </c>
      <c r="AZ135" s="13">
        <f>IF(Inputs!$F$8=1,AZ134-Time!AZ53*Inputs!AZ298*Funding!$F$25*(1-Inputs!$F$75),0)</f>
        <v/>
      </c>
      <c r="BA135" s="13">
        <f>IF(Inputs!$F$8=1,BA134-Time!BA53*Inputs!BA298*Funding!$F$25*(1-Inputs!$F$75),0)</f>
        <v/>
      </c>
      <c r="BB135" s="13">
        <f>IF(Inputs!$F$8=1,BB134-Time!BB53*Inputs!BB298*Funding!$F$25*(1-Inputs!$F$75),0)</f>
        <v/>
      </c>
      <c r="BC135" s="13">
        <f>IF(Inputs!$F$8=1,BC134-Time!BC53*Inputs!BC298*Funding!$F$25*(1-Inputs!$F$75),0)</f>
        <v/>
      </c>
      <c r="BD135" s="13">
        <f>IF(Inputs!$F$8=1,BD134-Time!BD53*Inputs!BD298*Funding!$F$25*(1-Inputs!$F$75),0)</f>
        <v/>
      </c>
      <c r="BE135" s="13">
        <f>IF(Inputs!$F$8=1,BE134-Time!BE53*Inputs!BE298*Funding!$F$25*(1-Inputs!$F$75),0)</f>
        <v/>
      </c>
      <c r="BF135" s="13">
        <f>IF(Inputs!$F$8=1,BF134-Time!BF53*Inputs!BF298*Funding!$F$25*(1-Inputs!$F$75),0)</f>
        <v/>
      </c>
      <c r="BG135" s="13">
        <f>IF(Inputs!$F$8=1,BG134-Time!BG53*Inputs!BG298*Funding!$F$25*(1-Inputs!$F$75),0)</f>
        <v/>
      </c>
      <c r="BH135" s="13">
        <f>IF(Inputs!$F$8=1,BH134-Time!BH53*Inputs!BH298*Funding!$F$25*(1-Inputs!$F$75),0)</f>
        <v/>
      </c>
      <c r="BI135" s="13">
        <f>IF(Inputs!$F$8=1,BI134-Time!BI53*Inputs!BI298*Funding!$F$25*(1-Inputs!$F$75),0)</f>
        <v/>
      </c>
      <c r="BJ135" s="13">
        <f>IF(Inputs!$F$8=1,BJ134-Time!BJ53*Inputs!BJ298*Funding!$F$25*(1-Inputs!$F$75),0)</f>
        <v/>
      </c>
      <c r="BK135" s="13">
        <f>IF(Inputs!$F$8=1,BK134-Time!BK53*Inputs!BK298*Funding!$F$25*(1-Inputs!$F$75),0)</f>
        <v/>
      </c>
      <c r="BL135" s="13">
        <f>IF(Inputs!$F$8=1,BL134-Time!BL53*Inputs!BL298*Funding!$F$25*(1-Inputs!$F$75),0)</f>
        <v/>
      </c>
      <c r="BM135" s="13">
        <f>IF(Inputs!$F$8=1,BM134-Time!BM53*Inputs!BM298*Funding!$F$25*(1-Inputs!$F$75),0)</f>
        <v/>
      </c>
      <c r="BN135" s="13">
        <f>IF(Inputs!$F$8=1,BN134-Time!BN53*Inputs!BN298*Funding!$F$25*(1-Inputs!$F$75),0)</f>
        <v/>
      </c>
    </row>
    <row r="137">
      <c r="D137" t="inlineStr">
        <is>
          <t>ECA tests (ECA-covered tranche, contractual schedule):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SUMPRODUCT($J$145:$BN$145,$J$137:$BN$137)/SUM($J$145:$BN$145)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MAX($J$145:$BN$145)/SUM($J$145:$BN$145)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INDEX($J$137:$BN$137,1,SUMPRODUCT(MAX(($J$145:$BN$145&gt;Inputs!$F$253)*Time!$J$20:$BN$20)))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(YEAR(INDEX(Time!$J$23:$BN$23,1,_xlfn.MINIFS(Time!$J$20:$BN$20,$J$145:$BN$145,"&gt;"&amp;Inputs!$F$253))+1)-YEAR(Time!$F$8))*12+MONTH(INDEX(Time!$J$23:$BN$23,1,_xlfn.MINIFS(Time!$J$20:$BN$20,$J$145:$BN$145,"&gt;"&amp;Inputs!$F$253))+1)-MONTH(Time!$F$8)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SUMIFS($J$145:$BN$145,Time!$J$23:$BN$23,"&lt;="&amp;(EDATE(Time!$F$8,Inputs!$F$1318)-1))/SUM($J$145:$BN$145)</f>
        <v/>
      </c>
    </row>
    <row r="144">
      <c r="B144" s="2" t="inlineStr">
        <is>
          <t>ECA-covered tranche: contractual schedule (equal semiannual installments, first repayment period to final maturity)</t>
        </is>
      </c>
    </row>
    <row r="145">
      <c r="D145" t="inlineStr">
        <is>
          <t>ECA installment, share of the ECA amount</t>
        </is>
      </c>
      <c r="E145" t="inlineStr">
        <is>
          <t>fraction</t>
        </is>
      </c>
      <c r="J145" s="11">
        <f>IF(Time!J53=1,1/SUM(Time!$J$53:$BN$53),0)</f>
        <v/>
      </c>
      <c r="K145" s="11">
        <f>IF(Time!K53=1,1/SUM(Time!$J$53:$BN$53),0)</f>
        <v/>
      </c>
      <c r="L145" s="11">
        <f>IF(Time!L53=1,1/SUM(Time!$J$53:$BN$53),0)</f>
        <v/>
      </c>
      <c r="M145" s="11">
        <f>IF(Time!M53=1,1/SUM(Time!$J$53:$BN$53),0)</f>
        <v/>
      </c>
      <c r="N145" s="11">
        <f>IF(Time!N53=1,1/SUM(Time!$J$53:$BN$53),0)</f>
        <v/>
      </c>
      <c r="O145" s="11">
        <f>IF(Time!O53=1,1/SUM(Time!$J$53:$BN$53),0)</f>
        <v/>
      </c>
      <c r="P145" s="11">
        <f>IF(Time!P53=1,1/SUM(Time!$J$53:$BN$53),0)</f>
        <v/>
      </c>
      <c r="Q145" s="11">
        <f>IF(Time!Q53=1,1/SUM(Time!$J$53:$BN$53),0)</f>
        <v/>
      </c>
      <c r="R145" s="11">
        <f>IF(Time!R53=1,1/SUM(Time!$J$53:$BN$53),0)</f>
        <v/>
      </c>
      <c r="S145" s="11">
        <f>IF(Time!S53=1,1/SUM(Time!$J$53:$BN$53),0)</f>
        <v/>
      </c>
      <c r="T145" s="11">
        <f>IF(Time!T53=1,1/SUM(Time!$J$53:$BN$53),0)</f>
        <v/>
      </c>
      <c r="U145" s="11">
        <f>IF(Time!U53=1,1/SUM(Time!$J$53:$BN$53),0)</f>
        <v/>
      </c>
      <c r="V145" s="11">
        <f>IF(Time!V53=1,1/SUM(Time!$J$53:$BN$53),0)</f>
        <v/>
      </c>
      <c r="W145" s="11">
        <f>IF(Time!W53=1,1/SUM(Time!$J$53:$BN$53),0)</f>
        <v/>
      </c>
      <c r="X145" s="11">
        <f>IF(Time!X53=1,1/SUM(Time!$J$53:$BN$53),0)</f>
        <v/>
      </c>
      <c r="Y145" s="11">
        <f>IF(Time!Y53=1,1/SUM(Time!$J$53:$BN$53),0)</f>
        <v/>
      </c>
      <c r="Z145" s="11">
        <f>IF(Time!Z53=1,1/SUM(Time!$J$53:$BN$53),0)</f>
        <v/>
      </c>
      <c r="AA145" s="11">
        <f>IF(Time!AA53=1,1/SUM(Time!$J$53:$BN$53),0)</f>
        <v/>
      </c>
      <c r="AB145" s="11">
        <f>IF(Time!AB53=1,1/SUM(Time!$J$53:$BN$53),0)</f>
        <v/>
      </c>
      <c r="AC145" s="11">
        <f>IF(Time!AC53=1,1/SUM(Time!$J$53:$BN$53),0)</f>
        <v/>
      </c>
      <c r="AD145" s="11">
        <f>IF(Time!AD53=1,1/SUM(Time!$J$53:$BN$53),0)</f>
        <v/>
      </c>
      <c r="AE145" s="11">
        <f>IF(Time!AE53=1,1/SUM(Time!$J$53:$BN$53),0)</f>
        <v/>
      </c>
      <c r="AF145" s="11">
        <f>IF(Time!AF53=1,1/SUM(Time!$J$53:$BN$53),0)</f>
        <v/>
      </c>
      <c r="AG145" s="11">
        <f>IF(Time!AG53=1,1/SUM(Time!$J$53:$BN$53),0)</f>
        <v/>
      </c>
      <c r="AH145" s="11">
        <f>IF(Time!AH53=1,1/SUM(Time!$J$53:$BN$53),0)</f>
        <v/>
      </c>
      <c r="AI145" s="11">
        <f>IF(Time!AI53=1,1/SUM(Time!$J$53:$BN$53),0)</f>
        <v/>
      </c>
      <c r="AJ145" s="11">
        <f>IF(Time!AJ53=1,1/SUM(Time!$J$53:$BN$53),0)</f>
        <v/>
      </c>
      <c r="AK145" s="11">
        <f>IF(Time!AK53=1,1/SUM(Time!$J$53:$BN$53),0)</f>
        <v/>
      </c>
      <c r="AL145" s="11">
        <f>IF(Time!AL53=1,1/SUM(Time!$J$53:$BN$53),0)</f>
        <v/>
      </c>
      <c r="AM145" s="11">
        <f>IF(Time!AM53=1,1/SUM(Time!$J$53:$BN$53),0)</f>
        <v/>
      </c>
      <c r="AN145" s="11">
        <f>IF(Time!AN53=1,1/SUM(Time!$J$53:$BN$53),0)</f>
        <v/>
      </c>
      <c r="AO145" s="11">
        <f>IF(Time!AO53=1,1/SUM(Time!$J$53:$BN$53),0)</f>
        <v/>
      </c>
      <c r="AP145" s="11">
        <f>IF(Time!AP53=1,1/SUM(Time!$J$53:$BN$53),0)</f>
        <v/>
      </c>
      <c r="AQ145" s="11">
        <f>IF(Time!AQ53=1,1/SUM(Time!$J$53:$BN$53),0)</f>
        <v/>
      </c>
      <c r="AR145" s="11">
        <f>IF(Time!AR53=1,1/SUM(Time!$J$53:$BN$53),0)</f>
        <v/>
      </c>
      <c r="AS145" s="11">
        <f>IF(Time!AS53=1,1/SUM(Time!$J$53:$BN$53),0)</f>
        <v/>
      </c>
      <c r="AT145" s="11">
        <f>IF(Time!AT53=1,1/SUM(Time!$J$53:$BN$53),0)</f>
        <v/>
      </c>
      <c r="AU145" s="11">
        <f>IF(Time!AU53=1,1/SUM(Time!$J$53:$BN$53),0)</f>
        <v/>
      </c>
      <c r="AV145" s="11">
        <f>IF(Time!AV53=1,1/SUM(Time!$J$53:$BN$53),0)</f>
        <v/>
      </c>
      <c r="AW145" s="11">
        <f>IF(Time!AW53=1,1/SUM(Time!$J$53:$BN$53),0)</f>
        <v/>
      </c>
      <c r="AX145" s="11">
        <f>IF(Time!AX53=1,1/SUM(Time!$J$53:$BN$53),0)</f>
        <v/>
      </c>
      <c r="AY145" s="11">
        <f>IF(Time!AY53=1,1/SUM(Time!$J$53:$BN$53),0)</f>
        <v/>
      </c>
      <c r="AZ145" s="11">
        <f>IF(Time!AZ53=1,1/SUM(Time!$J$53:$BN$53),0)</f>
        <v/>
      </c>
      <c r="BA145" s="11">
        <f>IF(Time!BA53=1,1/SUM(Time!$J$53:$BN$53),0)</f>
        <v/>
      </c>
      <c r="BB145" s="11">
        <f>IF(Time!BB53=1,1/SUM(Time!$J$53:$BN$53),0)</f>
        <v/>
      </c>
      <c r="BC145" s="11">
        <f>IF(Time!BC53=1,1/SUM(Time!$J$53:$BN$53),0)</f>
        <v/>
      </c>
      <c r="BD145" s="11">
        <f>IF(Time!BD53=1,1/SUM(Time!$J$53:$BN$53),0)</f>
        <v/>
      </c>
      <c r="BE145" s="11">
        <f>IF(Time!BE53=1,1/SUM(Time!$J$53:$BN$53),0)</f>
        <v/>
      </c>
      <c r="BF145" s="11">
        <f>IF(Time!BF53=1,1/SUM(Time!$J$53:$BN$53),0)</f>
        <v/>
      </c>
      <c r="BG145" s="11">
        <f>IF(Time!BG53=1,1/SUM(Time!$J$53:$BN$53),0)</f>
        <v/>
      </c>
      <c r="BH145" s="11">
        <f>IF(Time!BH53=1,1/SUM(Time!$J$53:$BN$53),0)</f>
        <v/>
      </c>
      <c r="BI145" s="11">
        <f>IF(Time!BI53=1,1/SUM(Time!$J$53:$BN$53),0)</f>
        <v/>
      </c>
      <c r="BJ145" s="11">
        <f>IF(Time!BJ53=1,1/SUM(Time!$J$53:$BN$53),0)</f>
        <v/>
      </c>
      <c r="BK145" s="11">
        <f>IF(Time!BK53=1,1/SUM(Time!$J$53:$BN$53),0)</f>
        <v/>
      </c>
      <c r="BL145" s="11">
        <f>IF(Time!BL53=1,1/SUM(Time!$J$53:$BN$53),0)</f>
        <v/>
      </c>
      <c r="BM145" s="11">
        <f>IF(Time!BM53=1,1/SUM(Time!$J$53:$BN$53),0)</f>
        <v/>
      </c>
      <c r="BN145" s="11">
        <f>IF(Time!BN53=1,1/SUM(Time!$J$53:$BN$53),0)</f>
        <v/>
      </c>
    </row>
    <row r="146">
      <c r="D146" t="inlineStr">
        <is>
          <t>ECA remaining profile (this and later installments)</t>
        </is>
      </c>
      <c r="E146" t="inlineStr">
        <is>
          <t>fraction</t>
        </is>
      </c>
      <c r="J146" s="11">
        <f>SUM(J145:BN145)</f>
        <v/>
      </c>
      <c r="K146" s="11">
        <f>SUM(K145:BN145)</f>
        <v/>
      </c>
      <c r="L146" s="11">
        <f>SUM(L145:BN145)</f>
        <v/>
      </c>
      <c r="M146" s="11">
        <f>SUM(M145:BN145)</f>
        <v/>
      </c>
      <c r="N146" s="11">
        <f>SUM(N145:BN145)</f>
        <v/>
      </c>
      <c r="O146" s="11">
        <f>SUM(O145:BN145)</f>
        <v/>
      </c>
      <c r="P146" s="11">
        <f>SUM(P145:BN145)</f>
        <v/>
      </c>
      <c r="Q146" s="11">
        <f>SUM(Q145:BN145)</f>
        <v/>
      </c>
      <c r="R146" s="11">
        <f>SUM(R145:BN145)</f>
        <v/>
      </c>
      <c r="S146" s="11">
        <f>SUM(S145:BN145)</f>
        <v/>
      </c>
      <c r="T146" s="11">
        <f>SUM(T145:BN145)</f>
        <v/>
      </c>
      <c r="U146" s="11">
        <f>SUM(U145:BN145)</f>
        <v/>
      </c>
      <c r="V146" s="11">
        <f>SUM(V145:BN145)</f>
        <v/>
      </c>
      <c r="W146" s="11">
        <f>SUM(W145:BN145)</f>
        <v/>
      </c>
      <c r="X146" s="11">
        <f>SUM(X145:BN145)</f>
        <v/>
      </c>
      <c r="Y146" s="11">
        <f>SUM(Y145:BN145)</f>
        <v/>
      </c>
      <c r="Z146" s="11">
        <f>SUM(Z145:BN145)</f>
        <v/>
      </c>
      <c r="AA146" s="11">
        <f>SUM(AA145:BN145)</f>
        <v/>
      </c>
      <c r="AB146" s="11">
        <f>SUM(AB145:BN145)</f>
        <v/>
      </c>
      <c r="AC146" s="11">
        <f>SUM(AC145:BN145)</f>
        <v/>
      </c>
      <c r="AD146" s="11">
        <f>SUM(AD145:BN145)</f>
        <v/>
      </c>
      <c r="AE146" s="11">
        <f>SUM(AE145:BN145)</f>
        <v/>
      </c>
      <c r="AF146" s="11">
        <f>SUM(AF145:BN145)</f>
        <v/>
      </c>
      <c r="AG146" s="11">
        <f>SUM(AG145:BN145)</f>
        <v/>
      </c>
      <c r="AH146" s="11">
        <f>SUM(AH145:BN145)</f>
        <v/>
      </c>
      <c r="AI146" s="11">
        <f>SUM(AI145:BN145)</f>
        <v/>
      </c>
      <c r="AJ146" s="11">
        <f>SUM(AJ145:BN145)</f>
        <v/>
      </c>
      <c r="AK146" s="11">
        <f>SUM(AK145:BN145)</f>
        <v/>
      </c>
      <c r="AL146" s="11">
        <f>SUM(AL145:BN145)</f>
        <v/>
      </c>
      <c r="AM146" s="11">
        <f>SUM(AM145:BN145)</f>
        <v/>
      </c>
      <c r="AN146" s="11">
        <f>SUM(AN145:BN145)</f>
        <v/>
      </c>
      <c r="AO146" s="11">
        <f>SUM(AO145:BN145)</f>
        <v/>
      </c>
      <c r="AP146" s="11">
        <f>SUM(AP145:BN145)</f>
        <v/>
      </c>
      <c r="AQ146" s="11">
        <f>SUM(AQ145:BN145)</f>
        <v/>
      </c>
      <c r="AR146" s="11">
        <f>SUM(AR145:BN145)</f>
        <v/>
      </c>
      <c r="AS146" s="11">
        <f>SUM(AS145:BN145)</f>
        <v/>
      </c>
      <c r="AT146" s="11">
        <f>SUM(AT145:BN145)</f>
        <v/>
      </c>
      <c r="AU146" s="11">
        <f>SUM(AU145:BN145)</f>
        <v/>
      </c>
      <c r="AV146" s="11">
        <f>SUM(AV145:BN145)</f>
        <v/>
      </c>
      <c r="AW146" s="11">
        <f>SUM(AW145:BN145)</f>
        <v/>
      </c>
      <c r="AX146" s="11">
        <f>SUM(AX145:BN145)</f>
        <v/>
      </c>
      <c r="AY146" s="11">
        <f>SUM(AY145:BN145)</f>
        <v/>
      </c>
      <c r="AZ146" s="11">
        <f>SUM(AZ145:BN145)</f>
        <v/>
      </c>
      <c r="BA146" s="11">
        <f>SUM(BA145:BN145)</f>
        <v/>
      </c>
      <c r="BB146" s="11">
        <f>SUM(BB145:BN145)</f>
        <v/>
      </c>
      <c r="BC146" s="11">
        <f>SUM(BC145:BN145)</f>
        <v/>
      </c>
      <c r="BD146" s="11">
        <f>SUM(BD145:BN145)</f>
        <v/>
      </c>
      <c r="BE146" s="11">
        <f>SUM(BE145:BN145)</f>
        <v/>
      </c>
      <c r="BF146" s="11">
        <f>SUM(BF145:BN145)</f>
        <v/>
      </c>
      <c r="BG146" s="11">
        <f>SUM(BG145:BN145)</f>
        <v/>
      </c>
      <c r="BH146" s="11">
        <f>SUM(BH145:BN145)</f>
        <v/>
      </c>
      <c r="BI146" s="11">
        <f>SUM(BI145:BN145)</f>
        <v/>
      </c>
      <c r="BJ146" s="11">
        <f>SUM(BJ145:BN145)</f>
        <v/>
      </c>
      <c r="BK146" s="11">
        <f>SUM(BK145:BN145)</f>
        <v/>
      </c>
      <c r="BL146" s="11">
        <f>SUM(BL145:BN145)</f>
        <v/>
      </c>
      <c r="BM146" s="11">
        <f>SUM(BM145:BN145)</f>
        <v/>
      </c>
      <c r="BN146" s="11">
        <f>SUM(BN145:BN145)</f>
        <v/>
      </c>
    </row>
    <row r="147">
      <c r="D147" t="inlineStr">
        <is>
          <t>ECA installment share of remaining balance</t>
        </is>
      </c>
      <c r="E147" t="inlineStr">
        <is>
          <t>fraction</t>
        </is>
      </c>
      <c r="J147" s="11">
        <f>IF(J146&gt;Inputs!$F$253,J145/J146,0)</f>
        <v/>
      </c>
      <c r="K147" s="11">
        <f>IF(K146&gt;Inputs!$F$253,K145/K146,0)</f>
        <v/>
      </c>
      <c r="L147" s="11">
        <f>IF(L146&gt;Inputs!$F$253,L145/L146,0)</f>
        <v/>
      </c>
      <c r="M147" s="11">
        <f>IF(M146&gt;Inputs!$F$253,M145/M146,0)</f>
        <v/>
      </c>
      <c r="N147" s="11">
        <f>IF(N146&gt;Inputs!$F$253,N145/N146,0)</f>
        <v/>
      </c>
      <c r="O147" s="11">
        <f>IF(O146&gt;Inputs!$F$253,O145/O146,0)</f>
        <v/>
      </c>
      <c r="P147" s="11">
        <f>IF(P146&gt;Inputs!$F$253,P145/P146,0)</f>
        <v/>
      </c>
      <c r="Q147" s="11">
        <f>IF(Q146&gt;Inputs!$F$253,Q145/Q146,0)</f>
        <v/>
      </c>
      <c r="R147" s="11">
        <f>IF(R146&gt;Inputs!$F$253,R145/R146,0)</f>
        <v/>
      </c>
      <c r="S147" s="11">
        <f>IF(S146&gt;Inputs!$F$253,S145/S146,0)</f>
        <v/>
      </c>
      <c r="T147" s="11">
        <f>IF(T146&gt;Inputs!$F$253,T145/T146,0)</f>
        <v/>
      </c>
      <c r="U147" s="11">
        <f>IF(U146&gt;Inputs!$F$253,U145/U146,0)</f>
        <v/>
      </c>
      <c r="V147" s="11">
        <f>IF(V146&gt;Inputs!$F$253,V145/V146,0)</f>
        <v/>
      </c>
      <c r="W147" s="11">
        <f>IF(W146&gt;Inputs!$F$253,W145/W146,0)</f>
        <v/>
      </c>
      <c r="X147" s="11">
        <f>IF(X146&gt;Inputs!$F$253,X145/X146,0)</f>
        <v/>
      </c>
      <c r="Y147" s="11">
        <f>IF(Y146&gt;Inputs!$F$253,Y145/Y146,0)</f>
        <v/>
      </c>
      <c r="Z147" s="11">
        <f>IF(Z146&gt;Inputs!$F$253,Z145/Z146,0)</f>
        <v/>
      </c>
      <c r="AA147" s="11">
        <f>IF(AA146&gt;Inputs!$F$253,AA145/AA146,0)</f>
        <v/>
      </c>
      <c r="AB147" s="11">
        <f>IF(AB146&gt;Inputs!$F$253,AB145/AB146,0)</f>
        <v/>
      </c>
      <c r="AC147" s="11">
        <f>IF(AC146&gt;Inputs!$F$253,AC145/AC146,0)</f>
        <v/>
      </c>
      <c r="AD147" s="11">
        <f>IF(AD146&gt;Inputs!$F$253,AD145/AD146,0)</f>
        <v/>
      </c>
      <c r="AE147" s="11">
        <f>IF(AE146&gt;Inputs!$F$253,AE145/AE146,0)</f>
        <v/>
      </c>
      <c r="AF147" s="11">
        <f>IF(AF146&gt;Inputs!$F$253,AF145/AF146,0)</f>
        <v/>
      </c>
      <c r="AG147" s="11">
        <f>IF(AG146&gt;Inputs!$F$253,AG145/AG146,0)</f>
        <v/>
      </c>
      <c r="AH147" s="11">
        <f>IF(AH146&gt;Inputs!$F$253,AH145/AH146,0)</f>
        <v/>
      </c>
      <c r="AI147" s="11">
        <f>IF(AI146&gt;Inputs!$F$253,AI145/AI146,0)</f>
        <v/>
      </c>
      <c r="AJ147" s="11">
        <f>IF(AJ146&gt;Inputs!$F$253,AJ145/AJ146,0)</f>
        <v/>
      </c>
      <c r="AK147" s="11">
        <f>IF(AK146&gt;Inputs!$F$253,AK145/AK146,0)</f>
        <v/>
      </c>
      <c r="AL147" s="11">
        <f>IF(AL146&gt;Inputs!$F$253,AL145/AL146,0)</f>
        <v/>
      </c>
      <c r="AM147" s="11">
        <f>IF(AM146&gt;Inputs!$F$253,AM145/AM146,0)</f>
        <v/>
      </c>
      <c r="AN147" s="11">
        <f>IF(AN146&gt;Inputs!$F$253,AN145/AN146,0)</f>
        <v/>
      </c>
      <c r="AO147" s="11">
        <f>IF(AO146&gt;Inputs!$F$253,AO145/AO146,0)</f>
        <v/>
      </c>
      <c r="AP147" s="11">
        <f>IF(AP146&gt;Inputs!$F$253,AP145/AP146,0)</f>
        <v/>
      </c>
      <c r="AQ147" s="11">
        <f>IF(AQ146&gt;Inputs!$F$253,AQ145/AQ146,0)</f>
        <v/>
      </c>
      <c r="AR147" s="11">
        <f>IF(AR146&gt;Inputs!$F$253,AR145/AR146,0)</f>
        <v/>
      </c>
      <c r="AS147" s="11">
        <f>IF(AS146&gt;Inputs!$F$253,AS145/AS146,0)</f>
        <v/>
      </c>
      <c r="AT147" s="11">
        <f>IF(AT146&gt;Inputs!$F$253,AT145/AT146,0)</f>
        <v/>
      </c>
      <c r="AU147" s="11">
        <f>IF(AU146&gt;Inputs!$F$253,AU145/AU146,0)</f>
        <v/>
      </c>
      <c r="AV147" s="11">
        <f>IF(AV146&gt;Inputs!$F$253,AV145/AV146,0)</f>
        <v/>
      </c>
      <c r="AW147" s="11">
        <f>IF(AW146&gt;Inputs!$F$253,AW145/AW146,0)</f>
        <v/>
      </c>
      <c r="AX147" s="11">
        <f>IF(AX146&gt;Inputs!$F$253,AX145/AX146,0)</f>
        <v/>
      </c>
      <c r="AY147" s="11">
        <f>IF(AY146&gt;Inputs!$F$253,AY145/AY146,0)</f>
        <v/>
      </c>
      <c r="AZ147" s="11">
        <f>IF(AZ146&gt;Inputs!$F$253,AZ145/AZ146,0)</f>
        <v/>
      </c>
      <c r="BA147" s="11">
        <f>IF(BA146&gt;Inputs!$F$253,BA145/BA146,0)</f>
        <v/>
      </c>
      <c r="BB147" s="11">
        <f>IF(BB146&gt;Inputs!$F$253,BB145/BB146,0)</f>
        <v/>
      </c>
      <c r="BC147" s="11">
        <f>IF(BC146&gt;Inputs!$F$253,BC145/BC146,0)</f>
        <v/>
      </c>
      <c r="BD147" s="11">
        <f>IF(BD146&gt;Inputs!$F$253,BD145/BD146,0)</f>
        <v/>
      </c>
      <c r="BE147" s="11">
        <f>IF(BE146&gt;Inputs!$F$253,BE145/BE146,0)</f>
        <v/>
      </c>
      <c r="BF147" s="11">
        <f>IF(BF146&gt;Inputs!$F$253,BF145/BF146,0)</f>
        <v/>
      </c>
      <c r="BG147" s="11">
        <f>IF(BG146&gt;Inputs!$F$253,BG145/BG146,0)</f>
        <v/>
      </c>
      <c r="BH147" s="11">
        <f>IF(BH146&gt;Inputs!$F$253,BH145/BH146,0)</f>
        <v/>
      </c>
      <c r="BI147" s="11">
        <f>IF(BI146&gt;Inputs!$F$253,BI145/BI146,0)</f>
        <v/>
      </c>
      <c r="BJ147" s="11">
        <f>IF(BJ146&gt;Inputs!$F$253,BJ145/BJ146,0)</f>
        <v/>
      </c>
      <c r="BK147" s="11">
        <f>IF(BK146&gt;Inputs!$F$253,BK145/BK146,0)</f>
        <v/>
      </c>
      <c r="BL147" s="11">
        <f>IF(BL146&gt;Inputs!$F$253,BL145/BL146,0)</f>
        <v/>
      </c>
      <c r="BM147" s="11">
        <f>IF(BM146&gt;Inputs!$F$253,BM145/BM146,0)</f>
        <v/>
      </c>
      <c r="BN147" s="11">
        <f>IF(BN146&gt;Inputs!$F$253,BN145/BN146,0)</f>
        <v/>
      </c>
    </row>
    <row r="148">
      <c r="D148" t="inlineStr">
        <is>
          <t>Swap net cost per USD of total scheduled balance (sculpting)</t>
        </is>
      </c>
      <c r="E148" t="inlineStr">
        <is>
          <t>factor</t>
        </is>
      </c>
      <c r="J148" s="16">
        <f>IF(Time!J53=1,Inputs!J301/(Funding!$F$25*(Inputs!$F$75*J146+(1-Inputs!$F$75)*J18))*(Inputs!$F$97/100*Time!J24-Operations!J9/100*Time!J25/Inputs!$F$247),0)</f>
        <v/>
      </c>
      <c r="K148" s="16">
        <f>IF(Time!K53=1,Inputs!K301/(Funding!$F$25*(Inputs!$F$75*K146+(1-Inputs!$F$75)*K18))*(Inputs!$F$97/100*Time!K24-Operations!K9/100*Time!K25/Inputs!$F$247),0)</f>
        <v/>
      </c>
      <c r="L148" s="16">
        <f>IF(Time!L53=1,Inputs!L301/(Funding!$F$25*(Inputs!$F$75*L146+(1-Inputs!$F$75)*L18))*(Inputs!$F$97/100*Time!L24-Operations!L9/100*Time!L25/Inputs!$F$247),0)</f>
        <v/>
      </c>
      <c r="M148" s="16">
        <f>IF(Time!M53=1,Inputs!M301/(Funding!$F$25*(Inputs!$F$75*M146+(1-Inputs!$F$75)*M18))*(Inputs!$F$97/100*Time!M24-Operations!M9/100*Time!M25/Inputs!$F$247),0)</f>
        <v/>
      </c>
      <c r="N148" s="16">
        <f>IF(Time!N53=1,Inputs!N301/(Funding!$F$25*(Inputs!$F$75*N146+(1-Inputs!$F$75)*N18))*(Inputs!$F$97/100*Time!N24-Operations!N9/100*Time!N25/Inputs!$F$247),0)</f>
        <v/>
      </c>
      <c r="O148" s="16">
        <f>IF(Time!O53=1,Inputs!O301/(Funding!$F$25*(Inputs!$F$75*O146+(1-Inputs!$F$75)*O18))*(Inputs!$F$97/100*Time!O24-Operations!O9/100*Time!O25/Inputs!$F$247),0)</f>
        <v/>
      </c>
      <c r="P148" s="16">
        <f>IF(Time!P53=1,Inputs!P301/(Funding!$F$25*(Inputs!$F$75*P146+(1-Inputs!$F$75)*P18))*(Inputs!$F$97/100*Time!P24-Operations!P9/100*Time!P25/Inputs!$F$247),0)</f>
        <v/>
      </c>
      <c r="Q148" s="16">
        <f>IF(Time!Q53=1,Inputs!Q301/(Funding!$F$25*(Inputs!$F$75*Q146+(1-Inputs!$F$75)*Q18))*(Inputs!$F$97/100*Time!Q24-Operations!Q9/100*Time!Q25/Inputs!$F$247),0)</f>
        <v/>
      </c>
      <c r="R148" s="16">
        <f>IF(Time!R53=1,Inputs!R301/(Funding!$F$25*(Inputs!$F$75*R146+(1-Inputs!$F$75)*R18))*(Inputs!$F$97/100*Time!R24-Operations!R9/100*Time!R25/Inputs!$F$247),0)</f>
        <v/>
      </c>
      <c r="S148" s="16">
        <f>IF(Time!S53=1,Inputs!S301/(Funding!$F$25*(Inputs!$F$75*S146+(1-Inputs!$F$75)*S18))*(Inputs!$F$97/100*Time!S24-Operations!S9/100*Time!S25/Inputs!$F$247),0)</f>
        <v/>
      </c>
      <c r="T148" s="16">
        <f>IF(Time!T53=1,Inputs!T301/(Funding!$F$25*(Inputs!$F$75*T146+(1-Inputs!$F$75)*T18))*(Inputs!$F$97/100*Time!T24-Operations!T9/100*Time!T25/Inputs!$F$247),0)</f>
        <v/>
      </c>
      <c r="U148" s="16">
        <f>IF(Time!U53=1,Inputs!U301/(Funding!$F$25*(Inputs!$F$75*U146+(1-Inputs!$F$75)*U18))*(Inputs!$F$97/100*Time!U24-Operations!U9/100*Time!U25/Inputs!$F$247),0)</f>
        <v/>
      </c>
      <c r="V148" s="16">
        <f>IF(Time!V53=1,Inputs!V301/(Funding!$F$25*(Inputs!$F$75*V146+(1-Inputs!$F$75)*V18))*(Inputs!$F$97/100*Time!V24-Operations!V9/100*Time!V25/Inputs!$F$247),0)</f>
        <v/>
      </c>
      <c r="W148" s="16">
        <f>IF(Time!W53=1,Inputs!W301/(Funding!$F$25*(Inputs!$F$75*W146+(1-Inputs!$F$75)*W18))*(Inputs!$F$97/100*Time!W24-Operations!W9/100*Time!W25/Inputs!$F$247),0)</f>
        <v/>
      </c>
      <c r="X148" s="16">
        <f>IF(Time!X53=1,Inputs!X301/(Funding!$F$25*(Inputs!$F$75*X146+(1-Inputs!$F$75)*X18))*(Inputs!$F$97/100*Time!X24-Operations!X9/100*Time!X25/Inputs!$F$247),0)</f>
        <v/>
      </c>
      <c r="Y148" s="16">
        <f>IF(Time!Y53=1,Inputs!Y301/(Funding!$F$25*(Inputs!$F$75*Y146+(1-Inputs!$F$75)*Y18))*(Inputs!$F$97/100*Time!Y24-Operations!Y9/100*Time!Y25/Inputs!$F$247),0)</f>
        <v/>
      </c>
      <c r="Z148" s="16">
        <f>IF(Time!Z53=1,Inputs!Z301/(Funding!$F$25*(Inputs!$F$75*Z146+(1-Inputs!$F$75)*Z18))*(Inputs!$F$97/100*Time!Z24-Operations!Z9/100*Time!Z25/Inputs!$F$247),0)</f>
        <v/>
      </c>
      <c r="AA148" s="16">
        <f>IF(Time!AA53=1,Inputs!AA301/(Funding!$F$25*(Inputs!$F$75*AA146+(1-Inputs!$F$75)*AA18))*(Inputs!$F$97/100*Time!AA24-Operations!AA9/100*Time!AA25/Inputs!$F$247),0)</f>
        <v/>
      </c>
      <c r="AB148" s="16">
        <f>IF(Time!AB53=1,Inputs!AB301/(Funding!$F$25*(Inputs!$F$75*AB146+(1-Inputs!$F$75)*AB18))*(Inputs!$F$97/100*Time!AB24-Operations!AB9/100*Time!AB25/Inputs!$F$247),0)</f>
        <v/>
      </c>
      <c r="AC148" s="16">
        <f>IF(Time!AC53=1,Inputs!AC301/(Funding!$F$25*(Inputs!$F$75*AC146+(1-Inputs!$F$75)*AC18))*(Inputs!$F$97/100*Time!AC24-Operations!AC9/100*Time!AC25/Inputs!$F$247),0)</f>
        <v/>
      </c>
      <c r="AD148" s="16">
        <f>IF(Time!AD53=1,Inputs!AD301/(Funding!$F$25*(Inputs!$F$75*AD146+(1-Inputs!$F$75)*AD18))*(Inputs!$F$97/100*Time!AD24-Operations!AD9/100*Time!AD25/Inputs!$F$247),0)</f>
        <v/>
      </c>
      <c r="AE148" s="16">
        <f>IF(Time!AE53=1,Inputs!AE301/(Funding!$F$25*(Inputs!$F$75*AE146+(1-Inputs!$F$75)*AE18))*(Inputs!$F$97/100*Time!AE24-Operations!AE9/100*Time!AE25/Inputs!$F$247),0)</f>
        <v/>
      </c>
      <c r="AF148" s="16">
        <f>IF(Time!AF53=1,Inputs!AF301/(Funding!$F$25*(Inputs!$F$75*AF146+(1-Inputs!$F$75)*AF18))*(Inputs!$F$97/100*Time!AF24-Operations!AF9/100*Time!AF25/Inputs!$F$247),0)</f>
        <v/>
      </c>
      <c r="AG148" s="16">
        <f>IF(Time!AG53=1,Inputs!AG301/(Funding!$F$25*(Inputs!$F$75*AG146+(1-Inputs!$F$75)*AG18))*(Inputs!$F$97/100*Time!AG24-Operations!AG9/100*Time!AG25/Inputs!$F$247),0)</f>
        <v/>
      </c>
      <c r="AH148" s="16">
        <f>IF(Time!AH53=1,Inputs!AH301/(Funding!$F$25*(Inputs!$F$75*AH146+(1-Inputs!$F$75)*AH18))*(Inputs!$F$97/100*Time!AH24-Operations!AH9/100*Time!AH25/Inputs!$F$247),0)</f>
        <v/>
      </c>
      <c r="AI148" s="16">
        <f>IF(Time!AI53=1,Inputs!AI301/(Funding!$F$25*(Inputs!$F$75*AI146+(1-Inputs!$F$75)*AI18))*(Inputs!$F$97/100*Time!AI24-Operations!AI9/100*Time!AI25/Inputs!$F$247),0)</f>
        <v/>
      </c>
      <c r="AJ148" s="16">
        <f>IF(Time!AJ53=1,Inputs!AJ301/(Funding!$F$25*(Inputs!$F$75*AJ146+(1-Inputs!$F$75)*AJ18))*(Inputs!$F$97/100*Time!AJ24-Operations!AJ9/100*Time!AJ25/Inputs!$F$247),0)</f>
        <v/>
      </c>
      <c r="AK148" s="16">
        <f>IF(Time!AK53=1,Inputs!AK301/(Funding!$F$25*(Inputs!$F$75*AK146+(1-Inputs!$F$75)*AK18))*(Inputs!$F$97/100*Time!AK24-Operations!AK9/100*Time!AK25/Inputs!$F$247),0)</f>
        <v/>
      </c>
      <c r="AL148" s="16">
        <f>IF(Time!AL53=1,Inputs!AL301/(Funding!$F$25*(Inputs!$F$75*AL146+(1-Inputs!$F$75)*AL18))*(Inputs!$F$97/100*Time!AL24-Operations!AL9/100*Time!AL25/Inputs!$F$247),0)</f>
        <v/>
      </c>
      <c r="AM148" s="16">
        <f>IF(Time!AM53=1,Inputs!AM301/(Funding!$F$25*(Inputs!$F$75*AM146+(1-Inputs!$F$75)*AM18))*(Inputs!$F$97/100*Time!AM24-Operations!AM9/100*Time!AM25/Inputs!$F$247),0)</f>
        <v/>
      </c>
      <c r="AN148" s="16">
        <f>IF(Time!AN53=1,Inputs!AN301/(Funding!$F$25*(Inputs!$F$75*AN146+(1-Inputs!$F$75)*AN18))*(Inputs!$F$97/100*Time!AN24-Operations!AN9/100*Time!AN25/Inputs!$F$247),0)</f>
        <v/>
      </c>
      <c r="AO148" s="16">
        <f>IF(Time!AO53=1,Inputs!AO301/(Funding!$F$25*(Inputs!$F$75*AO146+(1-Inputs!$F$75)*AO18))*(Inputs!$F$97/100*Time!AO24-Operations!AO9/100*Time!AO25/Inputs!$F$247),0)</f>
        <v/>
      </c>
      <c r="AP148" s="16">
        <f>IF(Time!AP53=1,Inputs!AP301/(Funding!$F$25*(Inputs!$F$75*AP146+(1-Inputs!$F$75)*AP18))*(Inputs!$F$97/100*Time!AP24-Operations!AP9/100*Time!AP25/Inputs!$F$247),0)</f>
        <v/>
      </c>
      <c r="AQ148" s="16">
        <f>IF(Time!AQ53=1,Inputs!AQ301/(Funding!$F$25*(Inputs!$F$75*AQ146+(1-Inputs!$F$75)*AQ18))*(Inputs!$F$97/100*Time!AQ24-Operations!AQ9/100*Time!AQ25/Inputs!$F$247),0)</f>
        <v/>
      </c>
      <c r="AR148" s="16">
        <f>IF(Time!AR53=1,Inputs!AR301/(Funding!$F$25*(Inputs!$F$75*AR146+(1-Inputs!$F$75)*AR18))*(Inputs!$F$97/100*Time!AR24-Operations!AR9/100*Time!AR25/Inputs!$F$247),0)</f>
        <v/>
      </c>
      <c r="AS148" s="16">
        <f>IF(Time!AS53=1,Inputs!AS301/(Funding!$F$25*(Inputs!$F$75*AS146+(1-Inputs!$F$75)*AS18))*(Inputs!$F$97/100*Time!AS24-Operations!AS9/100*Time!AS25/Inputs!$F$247),0)</f>
        <v/>
      </c>
      <c r="AT148" s="16">
        <f>IF(Time!AT53=1,Inputs!AT301/(Funding!$F$25*(Inputs!$F$75*AT146+(1-Inputs!$F$75)*AT18))*(Inputs!$F$97/100*Time!AT24-Operations!AT9/100*Time!AT25/Inputs!$F$247),0)</f>
        <v/>
      </c>
      <c r="AU148" s="16">
        <f>IF(Time!AU53=1,Inputs!AU301/(Funding!$F$25*(Inputs!$F$75*AU146+(1-Inputs!$F$75)*AU18))*(Inputs!$F$97/100*Time!AU24-Operations!AU9/100*Time!AU25/Inputs!$F$247),0)</f>
        <v/>
      </c>
      <c r="AV148" s="16">
        <f>IF(Time!AV53=1,Inputs!AV301/(Funding!$F$25*(Inputs!$F$75*AV146+(1-Inputs!$F$75)*AV18))*(Inputs!$F$97/100*Time!AV24-Operations!AV9/100*Time!AV25/Inputs!$F$247),0)</f>
        <v/>
      </c>
      <c r="AW148" s="16">
        <f>IF(Time!AW53=1,Inputs!AW301/(Funding!$F$25*(Inputs!$F$75*AW146+(1-Inputs!$F$75)*AW18))*(Inputs!$F$97/100*Time!AW24-Operations!AW9/100*Time!AW25/Inputs!$F$247),0)</f>
        <v/>
      </c>
      <c r="AX148" s="16">
        <f>IF(Time!AX53=1,Inputs!AX301/(Funding!$F$25*(Inputs!$F$75*AX146+(1-Inputs!$F$75)*AX18))*(Inputs!$F$97/100*Time!AX24-Operations!AX9/100*Time!AX25/Inputs!$F$247),0)</f>
        <v/>
      </c>
      <c r="AY148" s="16">
        <f>IF(Time!AY53=1,Inputs!AY301/(Funding!$F$25*(Inputs!$F$75*AY146+(1-Inputs!$F$75)*AY18))*(Inputs!$F$97/100*Time!AY24-Operations!AY9/100*Time!AY25/Inputs!$F$247),0)</f>
        <v/>
      </c>
      <c r="AZ148" s="16">
        <f>IF(Time!AZ53=1,Inputs!AZ301/(Funding!$F$25*(Inputs!$F$75*AZ146+(1-Inputs!$F$75)*AZ18))*(Inputs!$F$97/100*Time!AZ24-Operations!AZ9/100*Time!AZ25/Inputs!$F$247),0)</f>
        <v/>
      </c>
      <c r="BA148" s="16">
        <f>IF(Time!BA53=1,Inputs!BA301/(Funding!$F$25*(Inputs!$F$75*BA146+(1-Inputs!$F$75)*BA18))*(Inputs!$F$97/100*Time!BA24-Operations!BA9/100*Time!BA25/Inputs!$F$247),0)</f>
        <v/>
      </c>
      <c r="BB148" s="16">
        <f>IF(Time!BB53=1,Inputs!BB301/(Funding!$F$25*(Inputs!$F$75*BB146+(1-Inputs!$F$75)*BB18))*(Inputs!$F$97/100*Time!BB24-Operations!BB9/100*Time!BB25/Inputs!$F$247),0)</f>
        <v/>
      </c>
      <c r="BC148" s="16">
        <f>IF(Time!BC53=1,Inputs!BC301/(Funding!$F$25*(Inputs!$F$75*BC146+(1-Inputs!$F$75)*BC18))*(Inputs!$F$97/100*Time!BC24-Operations!BC9/100*Time!BC25/Inputs!$F$247),0)</f>
        <v/>
      </c>
      <c r="BD148" s="16">
        <f>IF(Time!BD53=1,Inputs!BD301/(Funding!$F$25*(Inputs!$F$75*BD146+(1-Inputs!$F$75)*BD18))*(Inputs!$F$97/100*Time!BD24-Operations!BD9/100*Time!BD25/Inputs!$F$247),0)</f>
        <v/>
      </c>
      <c r="BE148" s="16">
        <f>IF(Time!BE53=1,Inputs!BE301/(Funding!$F$25*(Inputs!$F$75*BE146+(1-Inputs!$F$75)*BE18))*(Inputs!$F$97/100*Time!BE24-Operations!BE9/100*Time!BE25/Inputs!$F$247),0)</f>
        <v/>
      </c>
      <c r="BF148" s="16">
        <f>IF(Time!BF53=1,Inputs!BF301/(Funding!$F$25*(Inputs!$F$75*BF146+(1-Inputs!$F$75)*BF18))*(Inputs!$F$97/100*Time!BF24-Operations!BF9/100*Time!BF25/Inputs!$F$247),0)</f>
        <v/>
      </c>
      <c r="BG148" s="16">
        <f>IF(Time!BG53=1,Inputs!BG301/(Funding!$F$25*(Inputs!$F$75*BG146+(1-Inputs!$F$75)*BG18))*(Inputs!$F$97/100*Time!BG24-Operations!BG9/100*Time!BG25/Inputs!$F$247),0)</f>
        <v/>
      </c>
      <c r="BH148" s="16">
        <f>IF(Time!BH53=1,Inputs!BH301/(Funding!$F$25*(Inputs!$F$75*BH146+(1-Inputs!$F$75)*BH18))*(Inputs!$F$97/100*Time!BH24-Operations!BH9/100*Time!BH25/Inputs!$F$247),0)</f>
        <v/>
      </c>
      <c r="BI148" s="16">
        <f>IF(Time!BI53=1,Inputs!BI301/(Funding!$F$25*(Inputs!$F$75*BI146+(1-Inputs!$F$75)*BI18))*(Inputs!$F$97/100*Time!BI24-Operations!BI9/100*Time!BI25/Inputs!$F$247),0)</f>
        <v/>
      </c>
      <c r="BJ148" s="16">
        <f>IF(Time!BJ53=1,Inputs!BJ301/(Funding!$F$25*(Inputs!$F$75*BJ146+(1-Inputs!$F$75)*BJ18))*(Inputs!$F$97/100*Time!BJ24-Operations!BJ9/100*Time!BJ25/Inputs!$F$247),0)</f>
        <v/>
      </c>
      <c r="BK148" s="16">
        <f>IF(Time!BK53=1,Inputs!BK301/(Funding!$F$25*(Inputs!$F$75*BK146+(1-Inputs!$F$75)*BK18))*(Inputs!$F$97/100*Time!BK24-Operations!BK9/100*Time!BK25/Inputs!$F$247),0)</f>
        <v/>
      </c>
      <c r="BL148" s="16">
        <f>IF(Time!BL53=1,Inputs!BL301/(Funding!$F$25*(Inputs!$F$75*BL146+(1-Inputs!$F$75)*BL18))*(Inputs!$F$97/100*Time!BL24-Operations!BL9/100*Time!BL25/Inputs!$F$247),0)</f>
        <v/>
      </c>
      <c r="BM148" s="16">
        <f>IF(Time!BM53=1,Inputs!BM301/(Funding!$F$25*(Inputs!$F$75*BM146+(1-Inputs!$F$75)*BM18))*(Inputs!$F$97/100*Time!BM24-Operations!BM9/100*Time!BM25/Inputs!$F$247),0)</f>
        <v/>
      </c>
      <c r="BN148" s="16">
        <f>IF(Time!BN53=1,Inputs!BN301/(Funding!$F$25*(Inputs!$F$75*BN146+(1-Inputs!$F$75)*BN18))*(Inputs!$F$97/100*Time!BN24-Operations!BN9/100*Time!BN25/Inputs!$F$247),0)</f>
        <v/>
      </c>
    </row>
    <row r="149">
      <c r="D149" t="inlineStr">
        <is>
          <t>ECA scheduled debt service in the sculpting (installment, interest, swap share)</t>
        </is>
      </c>
      <c r="E149" t="inlineStr">
        <is>
          <t>USD m</t>
        </is>
      </c>
      <c r="J149" s="13">
        <f>IF(Time!J53=1,Funding!$F$25*Inputs!$F$75*(J145+J146*(J10+J148)),0)</f>
        <v/>
      </c>
      <c r="K149" s="13">
        <f>IF(Time!K53=1,Funding!$F$25*Inputs!$F$75*(K145+K146*(K10+K148)),0)</f>
        <v/>
      </c>
      <c r="L149" s="13">
        <f>IF(Time!L53=1,Funding!$F$25*Inputs!$F$75*(L145+L146*(L10+L148)),0)</f>
        <v/>
      </c>
      <c r="M149" s="13">
        <f>IF(Time!M53=1,Funding!$F$25*Inputs!$F$75*(M145+M146*(M10+M148)),0)</f>
        <v/>
      </c>
      <c r="N149" s="13">
        <f>IF(Time!N53=1,Funding!$F$25*Inputs!$F$75*(N145+N146*(N10+N148)),0)</f>
        <v/>
      </c>
      <c r="O149" s="13">
        <f>IF(Time!O53=1,Funding!$F$25*Inputs!$F$75*(O145+O146*(O10+O148)),0)</f>
        <v/>
      </c>
      <c r="P149" s="13">
        <f>IF(Time!P53=1,Funding!$F$25*Inputs!$F$75*(P145+P146*(P10+P148)),0)</f>
        <v/>
      </c>
      <c r="Q149" s="13">
        <f>IF(Time!Q53=1,Funding!$F$25*Inputs!$F$75*(Q145+Q146*(Q10+Q148)),0)</f>
        <v/>
      </c>
      <c r="R149" s="13">
        <f>IF(Time!R53=1,Funding!$F$25*Inputs!$F$75*(R145+R146*(R10+R148)),0)</f>
        <v/>
      </c>
      <c r="S149" s="13">
        <f>IF(Time!S53=1,Funding!$F$25*Inputs!$F$75*(S145+S146*(S10+S148)),0)</f>
        <v/>
      </c>
      <c r="T149" s="13">
        <f>IF(Time!T53=1,Funding!$F$25*Inputs!$F$75*(T145+T146*(T10+T148)),0)</f>
        <v/>
      </c>
      <c r="U149" s="13">
        <f>IF(Time!U53=1,Funding!$F$25*Inputs!$F$75*(U145+U146*(U10+U148)),0)</f>
        <v/>
      </c>
      <c r="V149" s="13">
        <f>IF(Time!V53=1,Funding!$F$25*Inputs!$F$75*(V145+V146*(V10+V148)),0)</f>
        <v/>
      </c>
      <c r="W149" s="13">
        <f>IF(Time!W53=1,Funding!$F$25*Inputs!$F$75*(W145+W146*(W10+W148)),0)</f>
        <v/>
      </c>
      <c r="X149" s="13">
        <f>IF(Time!X53=1,Funding!$F$25*Inputs!$F$75*(X145+X146*(X10+X148)),0)</f>
        <v/>
      </c>
      <c r="Y149" s="13">
        <f>IF(Time!Y53=1,Funding!$F$25*Inputs!$F$75*(Y145+Y146*(Y10+Y148)),0)</f>
        <v/>
      </c>
      <c r="Z149" s="13">
        <f>IF(Time!Z53=1,Funding!$F$25*Inputs!$F$75*(Z145+Z146*(Z10+Z148)),0)</f>
        <v/>
      </c>
      <c r="AA149" s="13">
        <f>IF(Time!AA53=1,Funding!$F$25*Inputs!$F$75*(AA145+AA146*(AA10+AA148)),0)</f>
        <v/>
      </c>
      <c r="AB149" s="13">
        <f>IF(Time!AB53=1,Funding!$F$25*Inputs!$F$75*(AB145+AB146*(AB10+AB148)),0)</f>
        <v/>
      </c>
      <c r="AC149" s="13">
        <f>IF(Time!AC53=1,Funding!$F$25*Inputs!$F$75*(AC145+AC146*(AC10+AC148)),0)</f>
        <v/>
      </c>
      <c r="AD149" s="13">
        <f>IF(Time!AD53=1,Funding!$F$25*Inputs!$F$75*(AD145+AD146*(AD10+AD148)),0)</f>
        <v/>
      </c>
      <c r="AE149" s="13">
        <f>IF(Time!AE53=1,Funding!$F$25*Inputs!$F$75*(AE145+AE146*(AE10+AE148)),0)</f>
        <v/>
      </c>
      <c r="AF149" s="13">
        <f>IF(Time!AF53=1,Funding!$F$25*Inputs!$F$75*(AF145+AF146*(AF10+AF148)),0)</f>
        <v/>
      </c>
      <c r="AG149" s="13">
        <f>IF(Time!AG53=1,Funding!$F$25*Inputs!$F$75*(AG145+AG146*(AG10+AG148)),0)</f>
        <v/>
      </c>
      <c r="AH149" s="13">
        <f>IF(Time!AH53=1,Funding!$F$25*Inputs!$F$75*(AH145+AH146*(AH10+AH148)),0)</f>
        <v/>
      </c>
      <c r="AI149" s="13">
        <f>IF(Time!AI53=1,Funding!$F$25*Inputs!$F$75*(AI145+AI146*(AI10+AI148)),0)</f>
        <v/>
      </c>
      <c r="AJ149" s="13">
        <f>IF(Time!AJ53=1,Funding!$F$25*Inputs!$F$75*(AJ145+AJ146*(AJ10+AJ148)),0)</f>
        <v/>
      </c>
      <c r="AK149" s="13">
        <f>IF(Time!AK53=1,Funding!$F$25*Inputs!$F$75*(AK145+AK146*(AK10+AK148)),0)</f>
        <v/>
      </c>
      <c r="AL149" s="13">
        <f>IF(Time!AL53=1,Funding!$F$25*Inputs!$F$75*(AL145+AL146*(AL10+AL148)),0)</f>
        <v/>
      </c>
      <c r="AM149" s="13">
        <f>IF(Time!AM53=1,Funding!$F$25*Inputs!$F$75*(AM145+AM146*(AM10+AM148)),0)</f>
        <v/>
      </c>
      <c r="AN149" s="13">
        <f>IF(Time!AN53=1,Funding!$F$25*Inputs!$F$75*(AN145+AN146*(AN10+AN148)),0)</f>
        <v/>
      </c>
      <c r="AO149" s="13">
        <f>IF(Time!AO53=1,Funding!$F$25*Inputs!$F$75*(AO145+AO146*(AO10+AO148)),0)</f>
        <v/>
      </c>
      <c r="AP149" s="13">
        <f>IF(Time!AP53=1,Funding!$F$25*Inputs!$F$75*(AP145+AP146*(AP10+AP148)),0)</f>
        <v/>
      </c>
      <c r="AQ149" s="13">
        <f>IF(Time!AQ53=1,Funding!$F$25*Inputs!$F$75*(AQ145+AQ146*(AQ10+AQ148)),0)</f>
        <v/>
      </c>
      <c r="AR149" s="13">
        <f>IF(Time!AR53=1,Funding!$F$25*Inputs!$F$75*(AR145+AR146*(AR10+AR148)),0)</f>
        <v/>
      </c>
      <c r="AS149" s="13">
        <f>IF(Time!AS53=1,Funding!$F$25*Inputs!$F$75*(AS145+AS146*(AS10+AS148)),0)</f>
        <v/>
      </c>
      <c r="AT149" s="13">
        <f>IF(Time!AT53=1,Funding!$F$25*Inputs!$F$75*(AT145+AT146*(AT10+AT148)),0)</f>
        <v/>
      </c>
      <c r="AU149" s="13">
        <f>IF(Time!AU53=1,Funding!$F$25*Inputs!$F$75*(AU145+AU146*(AU10+AU148)),0)</f>
        <v/>
      </c>
      <c r="AV149" s="13">
        <f>IF(Time!AV53=1,Funding!$F$25*Inputs!$F$75*(AV145+AV146*(AV10+AV148)),0)</f>
        <v/>
      </c>
      <c r="AW149" s="13">
        <f>IF(Time!AW53=1,Funding!$F$25*Inputs!$F$75*(AW145+AW146*(AW10+AW148)),0)</f>
        <v/>
      </c>
      <c r="AX149" s="13">
        <f>IF(Time!AX53=1,Funding!$F$25*Inputs!$F$75*(AX145+AX146*(AX10+AX148)),0)</f>
        <v/>
      </c>
      <c r="AY149" s="13">
        <f>IF(Time!AY53=1,Funding!$F$25*Inputs!$F$75*(AY145+AY146*(AY10+AY148)),0)</f>
        <v/>
      </c>
      <c r="AZ149" s="13">
        <f>IF(Time!AZ53=1,Funding!$F$25*Inputs!$F$75*(AZ145+AZ146*(AZ10+AZ148)),0)</f>
        <v/>
      </c>
      <c r="BA149" s="13">
        <f>IF(Time!BA53=1,Funding!$F$25*Inputs!$F$75*(BA145+BA146*(BA10+BA148)),0)</f>
        <v/>
      </c>
      <c r="BB149" s="13">
        <f>IF(Time!BB53=1,Funding!$F$25*Inputs!$F$75*(BB145+BB146*(BB10+BB148)),0)</f>
        <v/>
      </c>
      <c r="BC149" s="13">
        <f>IF(Time!BC53=1,Funding!$F$25*Inputs!$F$75*(BC145+BC146*(BC10+BC148)),0)</f>
        <v/>
      </c>
      <c r="BD149" s="13">
        <f>IF(Time!BD53=1,Funding!$F$25*Inputs!$F$75*(BD145+BD146*(BD10+BD148)),0)</f>
        <v/>
      </c>
      <c r="BE149" s="13">
        <f>IF(Time!BE53=1,Funding!$F$25*Inputs!$F$75*(BE145+BE146*(BE10+BE148)),0)</f>
        <v/>
      </c>
      <c r="BF149" s="13">
        <f>IF(Time!BF53=1,Funding!$F$25*Inputs!$F$75*(BF145+BF146*(BF10+BF148)),0)</f>
        <v/>
      </c>
      <c r="BG149" s="13">
        <f>IF(Time!BG53=1,Funding!$F$25*Inputs!$F$75*(BG145+BG146*(BG10+BG148)),0)</f>
        <v/>
      </c>
      <c r="BH149" s="13">
        <f>IF(Time!BH53=1,Funding!$F$25*Inputs!$F$75*(BH145+BH146*(BH10+BH148)),0)</f>
        <v/>
      </c>
      <c r="BI149" s="13">
        <f>IF(Time!BI53=1,Funding!$F$25*Inputs!$F$75*(BI145+BI146*(BI10+BI148)),0)</f>
        <v/>
      </c>
      <c r="BJ149" s="13">
        <f>IF(Time!BJ53=1,Funding!$F$25*Inputs!$F$75*(BJ145+BJ146*(BJ10+BJ148)),0)</f>
        <v/>
      </c>
      <c r="BK149" s="13">
        <f>IF(Time!BK53=1,Funding!$F$25*Inputs!$F$75*(BK145+BK146*(BK10+BK148)),0)</f>
        <v/>
      </c>
      <c r="BL149" s="13">
        <f>IF(Time!BL53=1,Funding!$F$25*Inputs!$F$75*(BL145+BL146*(BL10+BL148)),0)</f>
        <v/>
      </c>
      <c r="BM149" s="13">
        <f>IF(Time!BM53=1,Funding!$F$25*Inputs!$F$75*(BM145+BM146*(BM10+BM148)),0)</f>
        <v/>
      </c>
      <c r="BN149" s="13">
        <f>IF(Time!BN53=1,Funding!$F$25*Inputs!$F$75*(BN145+BN146*(BN10+BN148)),0)</f>
        <v/>
      </c>
    </row>
    <row r="150">
      <c r="D150" t="inlineStr">
        <is>
          <t>PV of ECA scheduled debt service at the sculpting rate</t>
        </is>
      </c>
      <c r="E150" t="inlineStr">
        <is>
          <t>USD m</t>
        </is>
      </c>
      <c r="J150" s="13">
        <f>IF(Time!J53=1,(J149+K150)/(1+J127),0)</f>
        <v/>
      </c>
      <c r="K150" s="13">
        <f>IF(Time!K53=1,(K149+L150)/(1+K127),0)</f>
        <v/>
      </c>
      <c r="L150" s="13">
        <f>IF(Time!L53=1,(L149+M150)/(1+L127),0)</f>
        <v/>
      </c>
      <c r="M150" s="13">
        <f>IF(Time!M53=1,(M149+N150)/(1+M127),0)</f>
        <v/>
      </c>
      <c r="N150" s="13">
        <f>IF(Time!N53=1,(N149+O150)/(1+N127),0)</f>
        <v/>
      </c>
      <c r="O150" s="13">
        <f>IF(Time!O53=1,(O149+P150)/(1+O127),0)</f>
        <v/>
      </c>
      <c r="P150" s="13">
        <f>IF(Time!P53=1,(P149+Q150)/(1+P127),0)</f>
        <v/>
      </c>
      <c r="Q150" s="13">
        <f>IF(Time!Q53=1,(Q149+R150)/(1+Q127),0)</f>
        <v/>
      </c>
      <c r="R150" s="13">
        <f>IF(Time!R53=1,(R149+S150)/(1+R127),0)</f>
        <v/>
      </c>
      <c r="S150" s="13">
        <f>IF(Time!S53=1,(S149+T150)/(1+S127),0)</f>
        <v/>
      </c>
      <c r="T150" s="13">
        <f>IF(Time!T53=1,(T149+U150)/(1+T127),0)</f>
        <v/>
      </c>
      <c r="U150" s="13">
        <f>IF(Time!U53=1,(U149+V150)/(1+U127),0)</f>
        <v/>
      </c>
      <c r="V150" s="13">
        <f>IF(Time!V53=1,(V149+W150)/(1+V127),0)</f>
        <v/>
      </c>
      <c r="W150" s="13">
        <f>IF(Time!W53=1,(W149+X150)/(1+W127),0)</f>
        <v/>
      </c>
      <c r="X150" s="13">
        <f>IF(Time!X53=1,(X149+Y150)/(1+X127),0)</f>
        <v/>
      </c>
      <c r="Y150" s="13">
        <f>IF(Time!Y53=1,(Y149+Z150)/(1+Y127),0)</f>
        <v/>
      </c>
      <c r="Z150" s="13">
        <f>IF(Time!Z53=1,(Z149+AA150)/(1+Z127),0)</f>
        <v/>
      </c>
      <c r="AA150" s="13">
        <f>IF(Time!AA53=1,(AA149+AB150)/(1+AA127),0)</f>
        <v/>
      </c>
      <c r="AB150" s="13">
        <f>IF(Time!AB53=1,(AB149+AC150)/(1+AB127),0)</f>
        <v/>
      </c>
      <c r="AC150" s="13">
        <f>IF(Time!AC53=1,(AC149+AD150)/(1+AC127),0)</f>
        <v/>
      </c>
      <c r="AD150" s="13">
        <f>IF(Time!AD53=1,(AD149+AE150)/(1+AD127),0)</f>
        <v/>
      </c>
      <c r="AE150" s="13">
        <f>IF(Time!AE53=1,(AE149+AF150)/(1+AE127),0)</f>
        <v/>
      </c>
      <c r="AF150" s="13">
        <f>IF(Time!AF53=1,(AF149+AG150)/(1+AF127),0)</f>
        <v/>
      </c>
      <c r="AG150" s="13">
        <f>IF(Time!AG53=1,(AG149+AH150)/(1+AG127),0)</f>
        <v/>
      </c>
      <c r="AH150" s="13">
        <f>IF(Time!AH53=1,(AH149+AI150)/(1+AH127),0)</f>
        <v/>
      </c>
      <c r="AI150" s="13">
        <f>IF(Time!AI53=1,(AI149+AJ150)/(1+AI127),0)</f>
        <v/>
      </c>
      <c r="AJ150" s="13">
        <f>IF(Time!AJ53=1,(AJ149+AK150)/(1+AJ127),0)</f>
        <v/>
      </c>
      <c r="AK150" s="13">
        <f>IF(Time!AK53=1,(AK149+AL150)/(1+AK127),0)</f>
        <v/>
      </c>
      <c r="AL150" s="13">
        <f>IF(Time!AL53=1,(AL149+AM150)/(1+AL127),0)</f>
        <v/>
      </c>
      <c r="AM150" s="13">
        <f>IF(Time!AM53=1,(AM149+AN150)/(1+AM127),0)</f>
        <v/>
      </c>
      <c r="AN150" s="13">
        <f>IF(Time!AN53=1,(AN149+AO150)/(1+AN127),0)</f>
        <v/>
      </c>
      <c r="AO150" s="13">
        <f>IF(Time!AO53=1,(AO149+AP150)/(1+AO127),0)</f>
        <v/>
      </c>
      <c r="AP150" s="13">
        <f>IF(Time!AP53=1,(AP149+AQ150)/(1+AP127),0)</f>
        <v/>
      </c>
      <c r="AQ150" s="13">
        <f>IF(Time!AQ53=1,(AQ149+AR150)/(1+AQ127),0)</f>
        <v/>
      </c>
      <c r="AR150" s="13">
        <f>IF(Time!AR53=1,(AR149+AS150)/(1+AR127),0)</f>
        <v/>
      </c>
      <c r="AS150" s="13">
        <f>IF(Time!AS53=1,(AS149+AT150)/(1+AS127),0)</f>
        <v/>
      </c>
      <c r="AT150" s="13">
        <f>IF(Time!AT53=1,(AT149+AU150)/(1+AT127),0)</f>
        <v/>
      </c>
      <c r="AU150" s="13">
        <f>IF(Time!AU53=1,(AU149+AV150)/(1+AU127),0)</f>
        <v/>
      </c>
      <c r="AV150" s="13">
        <f>IF(Time!AV53=1,(AV149+AW150)/(1+AV127),0)</f>
        <v/>
      </c>
      <c r="AW150" s="13">
        <f>IF(Time!AW53=1,(AW149+AX150)/(1+AW127),0)</f>
        <v/>
      </c>
      <c r="AX150" s="13">
        <f>IF(Time!AX53=1,(AX149+AY150)/(1+AX127),0)</f>
        <v/>
      </c>
      <c r="AY150" s="13">
        <f>IF(Time!AY53=1,(AY149+AZ150)/(1+AY127),0)</f>
        <v/>
      </c>
      <c r="AZ150" s="13">
        <f>IF(Time!AZ53=1,(AZ149+BA150)/(1+AZ127),0)</f>
        <v/>
      </c>
      <c r="BA150" s="13">
        <f>IF(Time!BA53=1,(BA149+BB150)/(1+BA127),0)</f>
        <v/>
      </c>
      <c r="BB150" s="13">
        <f>IF(Time!BB53=1,(BB149+BC150)/(1+BB127),0)</f>
        <v/>
      </c>
      <c r="BC150" s="13">
        <f>IF(Time!BC53=1,(BC149+BD150)/(1+BC127),0)</f>
        <v/>
      </c>
      <c r="BD150" s="13">
        <f>IF(Time!BD53=1,(BD149+BE150)/(1+BD127),0)</f>
        <v/>
      </c>
      <c r="BE150" s="13">
        <f>IF(Time!BE53=1,(BE149+BF150)/(1+BE127),0)</f>
        <v/>
      </c>
      <c r="BF150" s="13">
        <f>IF(Time!BF53=1,(BF149+BG150)/(1+BF127),0)</f>
        <v/>
      </c>
      <c r="BG150" s="13">
        <f>IF(Time!BG53=1,(BG149+BH150)/(1+BG127),0)</f>
        <v/>
      </c>
      <c r="BH150" s="13">
        <f>IF(Time!BH53=1,(BH149+BI150)/(1+BH127),0)</f>
        <v/>
      </c>
      <c r="BI150" s="13">
        <f>IF(Time!BI53=1,(BI149+BJ150)/(1+BI127),0)</f>
        <v/>
      </c>
      <c r="BJ150" s="13">
        <f>IF(Time!BJ53=1,(BJ149+BK150)/(1+BJ127),0)</f>
        <v/>
      </c>
      <c r="BK150" s="13">
        <f>IF(Time!BK53=1,(BK149+BL150)/(1+BK127),0)</f>
        <v/>
      </c>
      <c r="BL150" s="13">
        <f>IF(Time!BL53=1,(BL149+BM150)/(1+BL127),0)</f>
        <v/>
      </c>
      <c r="BM150" s="13">
        <f>IF(Time!BM53=1,(BM149+BN150)/(1+BM127),0)</f>
        <v/>
      </c>
      <c r="BN150" s="13">
        <f>IF(Time!BN53=1,(BN149+BO150)/(1+BN127),0)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IF(Time!J34=1,INDEX(Funding!$J$54:$BJ$54,1,Time!$F$14)+SUM(Funding!$J$79:$BJ$79),0)+I30+I42</f>
        <v/>
      </c>
      <c r="K8" s="13">
        <f>IF(Time!K34=1,INDEX(Funding!$J$54:$BJ$54,1,Time!$F$14)+SUM(Funding!$J$79:$BJ$79),0)+J30+J42</f>
        <v/>
      </c>
      <c r="L8" s="13">
        <f>IF(Time!L34=1,INDEX(Funding!$J$54:$BJ$54,1,Time!$F$14)+SUM(Funding!$J$79:$BJ$79),0)+K30+K42</f>
        <v/>
      </c>
      <c r="M8" s="13">
        <f>IF(Time!M34=1,INDEX(Funding!$J$54:$BJ$54,1,Time!$F$14)+SUM(Funding!$J$79:$BJ$79),0)+L30+L42</f>
        <v/>
      </c>
      <c r="N8" s="13">
        <f>IF(Time!N34=1,INDEX(Funding!$J$54:$BJ$54,1,Time!$F$14)+SUM(Funding!$J$79:$BJ$79),0)+M30+M42</f>
        <v/>
      </c>
      <c r="O8" s="13">
        <f>IF(Time!O34=1,INDEX(Funding!$J$54:$BJ$54,1,Time!$F$14)+SUM(Funding!$J$79:$BJ$79),0)+N30+N42</f>
        <v/>
      </c>
      <c r="P8" s="13">
        <f>IF(Time!P34=1,INDEX(Funding!$J$54:$BJ$54,1,Time!$F$14)+SUM(Funding!$J$79:$BJ$79),0)+O30+O42</f>
        <v/>
      </c>
      <c r="Q8" s="13">
        <f>IF(Time!Q34=1,INDEX(Funding!$J$54:$BJ$54,1,Time!$F$14)+SUM(Funding!$J$79:$BJ$79),0)+P30+P42</f>
        <v/>
      </c>
      <c r="R8" s="13">
        <f>IF(Time!R34=1,INDEX(Funding!$J$54:$BJ$54,1,Time!$F$14)+SUM(Funding!$J$79:$BJ$79),0)+Q30+Q42</f>
        <v/>
      </c>
      <c r="S8" s="13">
        <f>IF(Time!S34=1,INDEX(Funding!$J$54:$BJ$54,1,Time!$F$14)+SUM(Funding!$J$79:$BJ$79),0)+R30+R42</f>
        <v/>
      </c>
      <c r="T8" s="13">
        <f>IF(Time!T34=1,INDEX(Funding!$J$54:$BJ$54,1,Time!$F$14)+SUM(Funding!$J$79:$BJ$79),0)+S30+S42</f>
        <v/>
      </c>
      <c r="U8" s="13">
        <f>IF(Time!U34=1,INDEX(Funding!$J$54:$BJ$54,1,Time!$F$14)+SUM(Funding!$J$79:$BJ$79),0)+T30+T42</f>
        <v/>
      </c>
      <c r="V8" s="13">
        <f>IF(Time!V34=1,INDEX(Funding!$J$54:$BJ$54,1,Time!$F$14)+SUM(Funding!$J$79:$BJ$79),0)+U30+U42</f>
        <v/>
      </c>
      <c r="W8" s="13">
        <f>IF(Time!W34=1,INDEX(Funding!$J$54:$BJ$54,1,Time!$F$14)+SUM(Funding!$J$79:$BJ$79),0)+V30+V42</f>
        <v/>
      </c>
      <c r="X8" s="13">
        <f>IF(Time!X34=1,INDEX(Funding!$J$54:$BJ$54,1,Time!$F$14)+SUM(Funding!$J$79:$BJ$79),0)+W30+W42</f>
        <v/>
      </c>
      <c r="Y8" s="13">
        <f>IF(Time!Y34=1,INDEX(Funding!$J$54:$BJ$54,1,Time!$F$14)+SUM(Funding!$J$79:$BJ$79),0)+X30+X42</f>
        <v/>
      </c>
      <c r="Z8" s="13">
        <f>IF(Time!Z34=1,INDEX(Funding!$J$54:$BJ$54,1,Time!$F$14)+SUM(Funding!$J$79:$BJ$79),0)+Y30+Y42</f>
        <v/>
      </c>
      <c r="AA8" s="13">
        <f>IF(Time!AA34=1,INDEX(Funding!$J$54:$BJ$54,1,Time!$F$14)+SUM(Funding!$J$79:$BJ$79),0)+Z30+Z42</f>
        <v/>
      </c>
      <c r="AB8" s="13">
        <f>IF(Time!AB34=1,INDEX(Funding!$J$54:$BJ$54,1,Time!$F$14)+SUM(Funding!$J$79:$BJ$79),0)+AA30+AA42</f>
        <v/>
      </c>
      <c r="AC8" s="13">
        <f>IF(Time!AC34=1,INDEX(Funding!$J$54:$BJ$54,1,Time!$F$14)+SUM(Funding!$J$79:$BJ$79),0)+AB30+AB42</f>
        <v/>
      </c>
      <c r="AD8" s="13">
        <f>IF(Time!AD34=1,INDEX(Funding!$J$54:$BJ$54,1,Time!$F$14)+SUM(Funding!$J$79:$BJ$79),0)+AC30+AC42</f>
        <v/>
      </c>
      <c r="AE8" s="13">
        <f>IF(Time!AE34=1,INDEX(Funding!$J$54:$BJ$54,1,Time!$F$14)+SUM(Funding!$J$79:$BJ$79),0)+AD30+AD42</f>
        <v/>
      </c>
      <c r="AF8" s="13">
        <f>IF(Time!AF34=1,INDEX(Funding!$J$54:$BJ$54,1,Time!$F$14)+SUM(Funding!$J$79:$BJ$79),0)+AE30+AE42</f>
        <v/>
      </c>
      <c r="AG8" s="13">
        <f>IF(Time!AG34=1,INDEX(Funding!$J$54:$BJ$54,1,Time!$F$14)+SUM(Funding!$J$79:$BJ$79),0)+AF30+AF42</f>
        <v/>
      </c>
      <c r="AH8" s="13">
        <f>IF(Time!AH34=1,INDEX(Funding!$J$54:$BJ$54,1,Time!$F$14)+SUM(Funding!$J$79:$BJ$79),0)+AG30+AG42</f>
        <v/>
      </c>
      <c r="AI8" s="13">
        <f>IF(Time!AI34=1,INDEX(Funding!$J$54:$BJ$54,1,Time!$F$14)+SUM(Funding!$J$79:$BJ$79),0)+AH30+AH42</f>
        <v/>
      </c>
      <c r="AJ8" s="13">
        <f>IF(Time!AJ34=1,INDEX(Funding!$J$54:$BJ$54,1,Time!$F$14)+SUM(Funding!$J$79:$BJ$79),0)+AI30+AI42</f>
        <v/>
      </c>
      <c r="AK8" s="13">
        <f>IF(Time!AK34=1,INDEX(Funding!$J$54:$BJ$54,1,Time!$F$14)+SUM(Funding!$J$79:$BJ$79),0)+AJ30+AJ42</f>
        <v/>
      </c>
      <c r="AL8" s="13">
        <f>IF(Time!AL34=1,INDEX(Funding!$J$54:$BJ$54,1,Time!$F$14)+SUM(Funding!$J$79:$BJ$79),0)+AK30+AK42</f>
        <v/>
      </c>
      <c r="AM8" s="13">
        <f>IF(Time!AM34=1,INDEX(Funding!$J$54:$BJ$54,1,Time!$F$14)+SUM(Funding!$J$79:$BJ$79),0)+AL30+AL42</f>
        <v/>
      </c>
      <c r="AN8" s="13">
        <f>IF(Time!AN34=1,INDEX(Funding!$J$54:$BJ$54,1,Time!$F$14)+SUM(Funding!$J$79:$BJ$79),0)+AM30+AM42</f>
        <v/>
      </c>
      <c r="AO8" s="13">
        <f>IF(Time!AO34=1,INDEX(Funding!$J$54:$BJ$54,1,Time!$F$14)+SUM(Funding!$J$79:$BJ$79),0)+AN30+AN42</f>
        <v/>
      </c>
      <c r="AP8" s="13">
        <f>IF(Time!AP34=1,INDEX(Funding!$J$54:$BJ$54,1,Time!$F$14)+SUM(Funding!$J$79:$BJ$79),0)+AO30+AO42</f>
        <v/>
      </c>
      <c r="AQ8" s="13">
        <f>IF(Time!AQ34=1,INDEX(Funding!$J$54:$BJ$54,1,Time!$F$14)+SUM(Funding!$J$79:$BJ$79),0)+AP30+AP42</f>
        <v/>
      </c>
      <c r="AR8" s="13">
        <f>IF(Time!AR34=1,INDEX(Funding!$J$54:$BJ$54,1,Time!$F$14)+SUM(Funding!$J$79:$BJ$79),0)+AQ30+AQ42</f>
        <v/>
      </c>
      <c r="AS8" s="13">
        <f>IF(Time!AS34=1,INDEX(Funding!$J$54:$BJ$54,1,Time!$F$14)+SUM(Funding!$J$79:$BJ$79),0)+AR30+AR42</f>
        <v/>
      </c>
      <c r="AT8" s="13">
        <f>IF(Time!AT34=1,INDEX(Funding!$J$54:$BJ$54,1,Time!$F$14)+SUM(Funding!$J$79:$BJ$79),0)+AS30+AS42</f>
        <v/>
      </c>
      <c r="AU8" s="13">
        <f>IF(Time!AU34=1,INDEX(Funding!$J$54:$BJ$54,1,Time!$F$14)+SUM(Funding!$J$79:$BJ$79),0)+AT30+AT42</f>
        <v/>
      </c>
      <c r="AV8" s="13">
        <f>IF(Time!AV34=1,INDEX(Funding!$J$54:$BJ$54,1,Time!$F$14)+SUM(Funding!$J$79:$BJ$79),0)+AU30+AU42</f>
        <v/>
      </c>
      <c r="AW8" s="13">
        <f>IF(Time!AW34=1,INDEX(Funding!$J$54:$BJ$54,1,Time!$F$14)+SUM(Funding!$J$79:$BJ$79),0)+AV30+AV42</f>
        <v/>
      </c>
      <c r="AX8" s="13">
        <f>IF(Time!AX34=1,INDEX(Funding!$J$54:$BJ$54,1,Time!$F$14)+SUM(Funding!$J$79:$BJ$79),0)+AW30+AW42</f>
        <v/>
      </c>
      <c r="AY8" s="13">
        <f>IF(Time!AY34=1,INDEX(Funding!$J$54:$BJ$54,1,Time!$F$14)+SUM(Funding!$J$79:$BJ$79),0)+AX30+AX42</f>
        <v/>
      </c>
      <c r="AZ8" s="13">
        <f>IF(Time!AZ34=1,INDEX(Funding!$J$54:$BJ$54,1,Time!$F$14)+SUM(Funding!$J$79:$BJ$79),0)+AY30+AY42</f>
        <v/>
      </c>
      <c r="BA8" s="13">
        <f>IF(Time!BA34=1,INDEX(Funding!$J$54:$BJ$54,1,Time!$F$14)+SUM(Funding!$J$79:$BJ$79),0)+AZ30+AZ42</f>
        <v/>
      </c>
      <c r="BB8" s="13">
        <f>IF(Time!BB34=1,INDEX(Funding!$J$54:$BJ$54,1,Time!$F$14)+SUM(Funding!$J$79:$BJ$79),0)+BA30+BA42</f>
        <v/>
      </c>
      <c r="BC8" s="13">
        <f>IF(Time!BC34=1,INDEX(Funding!$J$54:$BJ$54,1,Time!$F$14)+SUM(Funding!$J$79:$BJ$79),0)+BB30+BB42</f>
        <v/>
      </c>
      <c r="BD8" s="13">
        <f>IF(Time!BD34=1,INDEX(Funding!$J$54:$BJ$54,1,Time!$F$14)+SUM(Funding!$J$79:$BJ$79),0)+BC30+BC42</f>
        <v/>
      </c>
      <c r="BE8" s="13">
        <f>IF(Time!BE34=1,INDEX(Funding!$J$54:$BJ$54,1,Time!$F$14)+SUM(Funding!$J$79:$BJ$79),0)+BD30+BD42</f>
        <v/>
      </c>
      <c r="BF8" s="13">
        <f>IF(Time!BF34=1,INDEX(Funding!$J$54:$BJ$54,1,Time!$F$14)+SUM(Funding!$J$79:$BJ$79),0)+BE30+BE42</f>
        <v/>
      </c>
      <c r="BG8" s="13">
        <f>IF(Time!BG34=1,INDEX(Funding!$J$54:$BJ$54,1,Time!$F$14)+SUM(Funding!$J$79:$BJ$79),0)+BF30+BF42</f>
        <v/>
      </c>
      <c r="BH8" s="13">
        <f>IF(Time!BH34=1,INDEX(Funding!$J$54:$BJ$54,1,Time!$F$14)+SUM(Funding!$J$79:$BJ$79),0)+BG30+BG42</f>
        <v/>
      </c>
      <c r="BI8" s="13">
        <f>IF(Time!BI34=1,INDEX(Funding!$J$54:$BJ$54,1,Time!$F$14)+SUM(Funding!$J$79:$BJ$79),0)+BH30+BH42</f>
        <v/>
      </c>
      <c r="BJ8" s="13">
        <f>IF(Time!BJ34=1,INDEX(Funding!$J$54:$BJ$54,1,Time!$F$14)+SUM(Funding!$J$79:$BJ$79),0)+BI30+BI42</f>
        <v/>
      </c>
      <c r="BK8" s="13">
        <f>IF(Time!BK34=1,INDEX(Funding!$J$54:$BJ$54,1,Time!$F$14)+SUM(Funding!$J$79:$BJ$79),0)+BJ30+BJ42</f>
        <v/>
      </c>
      <c r="BL8" s="13">
        <f>IF(Time!BL34=1,INDEX(Funding!$J$54:$BJ$54,1,Time!$F$14)+SUM(Funding!$J$79:$BJ$79),0)+BK30+BK42</f>
        <v/>
      </c>
      <c r="BM8" s="13">
        <f>IF(Time!BM34=1,INDEX(Funding!$J$54:$BJ$54,1,Time!$F$14)+SUM(Funding!$J$79:$BJ$79),0)+BL30+BL42</f>
        <v/>
      </c>
      <c r="BN8" s="13">
        <f>IF(Time!BN34=1,INDEX(Funding!$J$54:$BJ$54,1,Time!$F$14)+SUM(Funding!$J$79:$BJ$79),0)+BM30+BM42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Debt-service shortfall before DSRA (the DSRA covers debt service only)</t>
        </is>
      </c>
      <c r="E11" t="inlineStr">
        <is>
          <t>USD m</t>
        </is>
      </c>
      <c r="G11" s="13">
        <f>SUM(J11:BN11)</f>
        <v/>
      </c>
      <c r="J11" s="13">
        <f>MIN(J10,MAX(0,J10-J9))</f>
        <v/>
      </c>
      <c r="K11" s="13">
        <f>MIN(K10,MAX(0,K10-K9))</f>
        <v/>
      </c>
      <c r="L11" s="13">
        <f>MIN(L10,MAX(0,L10-L9))</f>
        <v/>
      </c>
      <c r="M11" s="13">
        <f>MIN(M10,MAX(0,M10-M9))</f>
        <v/>
      </c>
      <c r="N11" s="13">
        <f>MIN(N10,MAX(0,N10-N9))</f>
        <v/>
      </c>
      <c r="O11" s="13">
        <f>MIN(O10,MAX(0,O10-O9))</f>
        <v/>
      </c>
      <c r="P11" s="13">
        <f>MIN(P10,MAX(0,P10-P9))</f>
        <v/>
      </c>
      <c r="Q11" s="13">
        <f>MIN(Q10,MAX(0,Q10-Q9))</f>
        <v/>
      </c>
      <c r="R11" s="13">
        <f>MIN(R10,MAX(0,R10-R9))</f>
        <v/>
      </c>
      <c r="S11" s="13">
        <f>MIN(S10,MAX(0,S10-S9))</f>
        <v/>
      </c>
      <c r="T11" s="13">
        <f>MIN(T10,MAX(0,T10-T9))</f>
        <v/>
      </c>
      <c r="U11" s="13">
        <f>MIN(U10,MAX(0,U10-U9))</f>
        <v/>
      </c>
      <c r="V11" s="13">
        <f>MIN(V10,MAX(0,V10-V9))</f>
        <v/>
      </c>
      <c r="W11" s="13">
        <f>MIN(W10,MAX(0,W10-W9))</f>
        <v/>
      </c>
      <c r="X11" s="13">
        <f>MIN(X10,MAX(0,X10-X9))</f>
        <v/>
      </c>
      <c r="Y11" s="13">
        <f>MIN(Y10,MAX(0,Y10-Y9))</f>
        <v/>
      </c>
      <c r="Z11" s="13">
        <f>MIN(Z10,MAX(0,Z10-Z9))</f>
        <v/>
      </c>
      <c r="AA11" s="13">
        <f>MIN(AA10,MAX(0,AA10-AA9))</f>
        <v/>
      </c>
      <c r="AB11" s="13">
        <f>MIN(AB10,MAX(0,AB10-AB9))</f>
        <v/>
      </c>
      <c r="AC11" s="13">
        <f>MIN(AC10,MAX(0,AC10-AC9))</f>
        <v/>
      </c>
      <c r="AD11" s="13">
        <f>MIN(AD10,MAX(0,AD10-AD9))</f>
        <v/>
      </c>
      <c r="AE11" s="13">
        <f>MIN(AE10,MAX(0,AE10-AE9))</f>
        <v/>
      </c>
      <c r="AF11" s="13">
        <f>MIN(AF10,MAX(0,AF10-AF9))</f>
        <v/>
      </c>
      <c r="AG11" s="13">
        <f>MIN(AG10,MAX(0,AG10-AG9))</f>
        <v/>
      </c>
      <c r="AH11" s="13">
        <f>MIN(AH10,MAX(0,AH10-AH9))</f>
        <v/>
      </c>
      <c r="AI11" s="13">
        <f>MIN(AI10,MAX(0,AI10-AI9))</f>
        <v/>
      </c>
      <c r="AJ11" s="13">
        <f>MIN(AJ10,MAX(0,AJ10-AJ9))</f>
        <v/>
      </c>
      <c r="AK11" s="13">
        <f>MIN(AK10,MAX(0,AK10-AK9))</f>
        <v/>
      </c>
      <c r="AL11" s="13">
        <f>MIN(AL10,MAX(0,AL10-AL9))</f>
        <v/>
      </c>
      <c r="AM11" s="13">
        <f>MIN(AM10,MAX(0,AM10-AM9))</f>
        <v/>
      </c>
      <c r="AN11" s="13">
        <f>MIN(AN10,MAX(0,AN10-AN9))</f>
        <v/>
      </c>
      <c r="AO11" s="13">
        <f>MIN(AO10,MAX(0,AO10-AO9))</f>
        <v/>
      </c>
      <c r="AP11" s="13">
        <f>MIN(AP10,MAX(0,AP10-AP9))</f>
        <v/>
      </c>
      <c r="AQ11" s="13">
        <f>MIN(AQ10,MAX(0,AQ10-AQ9))</f>
        <v/>
      </c>
      <c r="AR11" s="13">
        <f>MIN(AR10,MAX(0,AR10-AR9))</f>
        <v/>
      </c>
      <c r="AS11" s="13">
        <f>MIN(AS10,MAX(0,AS10-AS9))</f>
        <v/>
      </c>
      <c r="AT11" s="13">
        <f>MIN(AT10,MAX(0,AT10-AT9))</f>
        <v/>
      </c>
      <c r="AU11" s="13">
        <f>MIN(AU10,MAX(0,AU10-AU9))</f>
        <v/>
      </c>
      <c r="AV11" s="13">
        <f>MIN(AV10,MAX(0,AV10-AV9))</f>
        <v/>
      </c>
      <c r="AW11" s="13">
        <f>MIN(AW10,MAX(0,AW10-AW9))</f>
        <v/>
      </c>
      <c r="AX11" s="13">
        <f>MIN(AX10,MAX(0,AX10-AX9))</f>
        <v/>
      </c>
      <c r="AY11" s="13">
        <f>MIN(AY10,MAX(0,AY10-AY9))</f>
        <v/>
      </c>
      <c r="AZ11" s="13">
        <f>MIN(AZ10,MAX(0,AZ10-AZ9))</f>
        <v/>
      </c>
      <c r="BA11" s="13">
        <f>MIN(BA10,MAX(0,BA10-BA9))</f>
        <v/>
      </c>
      <c r="BB11" s="13">
        <f>MIN(BB10,MAX(0,BB10-BB9))</f>
        <v/>
      </c>
      <c r="BC11" s="13">
        <f>MIN(BC10,MAX(0,BC10-BC9))</f>
        <v/>
      </c>
      <c r="BD11" s="13">
        <f>MIN(BD10,MAX(0,BD10-BD9))</f>
        <v/>
      </c>
      <c r="BE11" s="13">
        <f>MIN(BE10,MAX(0,BE10-BE9))</f>
        <v/>
      </c>
      <c r="BF11" s="13">
        <f>MIN(BF10,MAX(0,BF10-BF9))</f>
        <v/>
      </c>
      <c r="BG11" s="13">
        <f>MIN(BG10,MAX(0,BG10-BG9))</f>
        <v/>
      </c>
      <c r="BH11" s="13">
        <f>MIN(BH10,MAX(0,BH10-BH9))</f>
        <v/>
      </c>
      <c r="BI11" s="13">
        <f>MIN(BI10,MAX(0,BI10-BI9))</f>
        <v/>
      </c>
      <c r="BJ11" s="13">
        <f>MIN(BJ10,MAX(0,BJ10-BJ9))</f>
        <v/>
      </c>
      <c r="BK11" s="13">
        <f>MIN(BK10,MAX(0,BK10-BK9))</f>
        <v/>
      </c>
      <c r="BL11" s="13">
        <f>MIN(BL10,MAX(0,BL10-BL9))</f>
        <v/>
      </c>
      <c r="BM11" s="13">
        <f>MIN(BM10,MAX(0,BM10-BM9))</f>
        <v/>
      </c>
      <c r="BN11" s="13">
        <f>MIN(BN10,MAX(0,BN10-BN9))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J36+J37+J38+J39+J40+J41+J42+J43+J44+J45+J46+J47+J48+J53</f>
        <v/>
      </c>
      <c r="K49" s="13">
        <f>K36+K37+K38+K39+K40+K41+K42+K43+K44+K45+K46+K47+K48+K53</f>
        <v/>
      </c>
      <c r="L49" s="13">
        <f>L36+L37+L38+L39+L40+L41+L42+L43+L44+L45+L46+L47+L48+L53</f>
        <v/>
      </c>
      <c r="M49" s="13">
        <f>M36+M37+M38+M39+M40+M41+M42+M43+M44+M45+M46+M47+M48+M53</f>
        <v/>
      </c>
      <c r="N49" s="13">
        <f>N36+N37+N38+N39+N40+N41+N42+N43+N44+N45+N46+N47+N48+N53</f>
        <v/>
      </c>
      <c r="O49" s="13">
        <f>O36+O37+O38+O39+O40+O41+O42+O43+O44+O45+O46+O47+O48+O53</f>
        <v/>
      </c>
      <c r="P49" s="13">
        <f>P36+P37+P38+P39+P40+P41+P42+P43+P44+P45+P46+P47+P48+P53</f>
        <v/>
      </c>
      <c r="Q49" s="13">
        <f>Q36+Q37+Q38+Q39+Q40+Q41+Q42+Q43+Q44+Q45+Q46+Q47+Q48+Q53</f>
        <v/>
      </c>
      <c r="R49" s="13">
        <f>R36+R37+R38+R39+R40+R41+R42+R43+R44+R45+R46+R47+R48+R53</f>
        <v/>
      </c>
      <c r="S49" s="13">
        <f>S36+S37+S38+S39+S40+S41+S42+S43+S44+S45+S46+S47+S48+S53</f>
        <v/>
      </c>
      <c r="T49" s="13">
        <f>T36+T37+T38+T39+T40+T41+T42+T43+T44+T45+T46+T47+T48+T53</f>
        <v/>
      </c>
      <c r="U49" s="13">
        <f>U36+U37+U38+U39+U40+U41+U42+U43+U44+U45+U46+U47+U48+U53</f>
        <v/>
      </c>
      <c r="V49" s="13">
        <f>V36+V37+V38+V39+V40+V41+V42+V43+V44+V45+V46+V47+V48+V53</f>
        <v/>
      </c>
      <c r="W49" s="13">
        <f>W36+W37+W38+W39+W40+W41+W42+W43+W44+W45+W46+W47+W48+W53</f>
        <v/>
      </c>
      <c r="X49" s="13">
        <f>X36+X37+X38+X39+X40+X41+X42+X43+X44+X45+X46+X47+X48+X53</f>
        <v/>
      </c>
      <c r="Y49" s="13">
        <f>Y36+Y37+Y38+Y39+Y40+Y41+Y42+Y43+Y44+Y45+Y46+Y47+Y48+Y53</f>
        <v/>
      </c>
      <c r="Z49" s="13">
        <f>Z36+Z37+Z38+Z39+Z40+Z41+Z42+Z43+Z44+Z45+Z46+Z47+Z48+Z53</f>
        <v/>
      </c>
      <c r="AA49" s="13">
        <f>AA36+AA37+AA38+AA39+AA40+AA41+AA42+AA43+AA44+AA45+AA46+AA47+AA48+AA53</f>
        <v/>
      </c>
      <c r="AB49" s="13">
        <f>AB36+AB37+AB38+AB39+AB40+AB41+AB42+AB43+AB44+AB45+AB46+AB47+AB48+AB53</f>
        <v/>
      </c>
      <c r="AC49" s="13">
        <f>AC36+AC37+AC38+AC39+AC40+AC41+AC42+AC43+AC44+AC45+AC46+AC47+AC48+AC53</f>
        <v/>
      </c>
      <c r="AD49" s="13">
        <f>AD36+AD37+AD38+AD39+AD40+AD41+AD42+AD43+AD44+AD45+AD46+AD47+AD48+AD53</f>
        <v/>
      </c>
      <c r="AE49" s="13">
        <f>AE36+AE37+AE38+AE39+AE40+AE41+AE42+AE43+AE44+AE45+AE46+AE47+AE48+AE53</f>
        <v/>
      </c>
      <c r="AF49" s="13">
        <f>AF36+AF37+AF38+AF39+AF40+AF41+AF42+AF43+AF44+AF45+AF46+AF47+AF48+AF53</f>
        <v/>
      </c>
      <c r="AG49" s="13">
        <f>AG36+AG37+AG38+AG39+AG40+AG41+AG42+AG43+AG44+AG45+AG46+AG47+AG48+AG53</f>
        <v/>
      </c>
      <c r="AH49" s="13">
        <f>AH36+AH37+AH38+AH39+AH40+AH41+AH42+AH43+AH44+AH45+AH46+AH47+AH48+AH53</f>
        <v/>
      </c>
      <c r="AI49" s="13">
        <f>AI36+AI37+AI38+AI39+AI40+AI41+AI42+AI43+AI44+AI45+AI46+AI47+AI48+AI53</f>
        <v/>
      </c>
      <c r="AJ49" s="13">
        <f>AJ36+AJ37+AJ38+AJ39+AJ40+AJ41+AJ42+AJ43+AJ44+AJ45+AJ46+AJ47+AJ48+AJ53</f>
        <v/>
      </c>
      <c r="AK49" s="13">
        <f>AK36+AK37+AK38+AK39+AK40+AK41+AK42+AK43+AK44+AK45+AK46+AK47+AK48+AK53</f>
        <v/>
      </c>
      <c r="AL49" s="13">
        <f>AL36+AL37+AL38+AL39+AL40+AL41+AL42+AL43+AL44+AL45+AL46+AL47+AL48+AL53</f>
        <v/>
      </c>
      <c r="AM49" s="13">
        <f>AM36+AM37+AM38+AM39+AM40+AM41+AM42+AM43+AM44+AM45+AM46+AM47+AM48+AM53</f>
        <v/>
      </c>
      <c r="AN49" s="13">
        <f>AN36+AN37+AN38+AN39+AN40+AN41+AN42+AN43+AN44+AN45+AN46+AN47+AN48+AN53</f>
        <v/>
      </c>
      <c r="AO49" s="13">
        <f>AO36+AO37+AO38+AO39+AO40+AO41+AO42+AO43+AO44+AO45+AO46+AO47+AO48+AO53</f>
        <v/>
      </c>
      <c r="AP49" s="13">
        <f>AP36+AP37+AP38+AP39+AP40+AP41+AP42+AP43+AP44+AP45+AP46+AP47+AP48+AP53</f>
        <v/>
      </c>
      <c r="AQ49" s="13">
        <f>AQ36+AQ37+AQ38+AQ39+AQ40+AQ41+AQ42+AQ43+AQ44+AQ45+AQ46+AQ47+AQ48+AQ53</f>
        <v/>
      </c>
      <c r="AR49" s="13">
        <f>AR36+AR37+AR38+AR39+AR40+AR41+AR42+AR43+AR44+AR45+AR46+AR47+AR48+AR53</f>
        <v/>
      </c>
      <c r="AS49" s="13">
        <f>AS36+AS37+AS38+AS39+AS40+AS41+AS42+AS43+AS44+AS45+AS46+AS47+AS48+AS53</f>
        <v/>
      </c>
      <c r="AT49" s="13">
        <f>AT36+AT37+AT38+AT39+AT40+AT41+AT42+AT43+AT44+AT45+AT46+AT47+AT48+AT53</f>
        <v/>
      </c>
      <c r="AU49" s="13">
        <f>AU36+AU37+AU38+AU39+AU40+AU41+AU42+AU43+AU44+AU45+AU46+AU47+AU48+AU53</f>
        <v/>
      </c>
      <c r="AV49" s="13">
        <f>AV36+AV37+AV38+AV39+AV40+AV41+AV42+AV43+AV44+AV45+AV46+AV47+AV48+AV53</f>
        <v/>
      </c>
      <c r="AW49" s="13">
        <f>AW36+AW37+AW38+AW39+AW40+AW41+AW42+AW43+AW44+AW45+AW46+AW47+AW48+AW53</f>
        <v/>
      </c>
      <c r="AX49" s="13">
        <f>AX36+AX37+AX38+AX39+AX40+AX41+AX42+AX43+AX44+AX45+AX46+AX47+AX48+AX53</f>
        <v/>
      </c>
      <c r="AY49" s="13">
        <f>AY36+AY37+AY38+AY39+AY40+AY41+AY42+AY43+AY44+AY45+AY46+AY47+AY48+AY53</f>
        <v/>
      </c>
      <c r="AZ49" s="13">
        <f>AZ36+AZ37+AZ38+AZ39+AZ40+AZ41+AZ42+AZ43+AZ44+AZ45+AZ46+AZ47+AZ48+AZ53</f>
        <v/>
      </c>
      <c r="BA49" s="13">
        <f>BA36+BA37+BA38+BA39+BA40+BA41+BA42+BA43+BA44+BA45+BA46+BA47+BA48+BA53</f>
        <v/>
      </c>
      <c r="BB49" s="13">
        <f>BB36+BB37+BB38+BB39+BB40+BB41+BB42+BB43+BB44+BB45+BB46+BB47+BB48+BB53</f>
        <v/>
      </c>
      <c r="BC49" s="13">
        <f>BC36+BC37+BC38+BC39+BC40+BC41+BC42+BC43+BC44+BC45+BC46+BC47+BC48+BC53</f>
        <v/>
      </c>
      <c r="BD49" s="13">
        <f>BD36+BD37+BD38+BD39+BD40+BD41+BD42+BD43+BD44+BD45+BD46+BD47+BD48+BD53</f>
        <v/>
      </c>
      <c r="BE49" s="13">
        <f>BE36+BE37+BE38+BE39+BE40+BE41+BE42+BE43+BE44+BE45+BE46+BE47+BE48+BE53</f>
        <v/>
      </c>
      <c r="BF49" s="13">
        <f>BF36+BF37+BF38+BF39+BF40+BF41+BF42+BF43+BF44+BF45+BF46+BF47+BF48+BF53</f>
        <v/>
      </c>
      <c r="BG49" s="13">
        <f>BG36+BG37+BG38+BG39+BG40+BG41+BG42+BG43+BG44+BG45+BG46+BG47+BG48+BG53</f>
        <v/>
      </c>
      <c r="BH49" s="13">
        <f>BH36+BH37+BH38+BH39+BH40+BH41+BH42+BH43+BH44+BH45+BH46+BH47+BH48+BH53</f>
        <v/>
      </c>
      <c r="BI49" s="13">
        <f>BI36+BI37+BI38+BI39+BI40+BI41+BI42+BI43+BI44+BI45+BI46+BI47+BI48+BI53</f>
        <v/>
      </c>
      <c r="BJ49" s="13">
        <f>BJ36+BJ37+BJ38+BJ39+BJ40+BJ41+BJ42+BJ43+BJ44+BJ45+BJ46+BJ47+BJ48+BJ53</f>
        <v/>
      </c>
      <c r="BK49" s="13">
        <f>BK36+BK37+BK38+BK39+BK40+BK41+BK42+BK43+BK44+BK45+BK46+BK47+BK48+BK53</f>
        <v/>
      </c>
      <c r="BL49" s="13">
        <f>BL36+BL37+BL38+BL39+BL40+BL41+BL42+BL43+BL44+BL45+BL46+BL47+BL48+BL53</f>
        <v/>
      </c>
      <c r="BM49" s="13">
        <f>BM36+BM37+BM38+BM39+BM40+BM41+BM42+BM43+BM44+BM45+BM46+BM47+BM48+BM53</f>
        <v/>
      </c>
      <c r="BN49" s="13">
        <f>BN36+BN37+BN38+BN39+BN40+BN41+BN42+BN43+BN44+BN45+BN46+BN47+BN48+BN53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  <row r="53">
      <c r="D53" t="inlineStr">
        <is>
          <t>COD working-capital funding brought into the COD period (standby facility and contingent equity)</t>
        </is>
      </c>
      <c r="E53" t="inlineStr">
        <is>
          <t>USD m</t>
        </is>
      </c>
      <c r="G53" s="13">
        <f>SUM(J53:BN53)</f>
        <v/>
      </c>
      <c r="J53" s="13">
        <f>Time!J34*SUM(Funding!$J$79:$BJ$79)</f>
        <v/>
      </c>
      <c r="K53" s="13">
        <f>Time!K34*SUM(Funding!$J$79:$BJ$79)</f>
        <v/>
      </c>
      <c r="L53" s="13">
        <f>Time!L34*SUM(Funding!$J$79:$BJ$79)</f>
        <v/>
      </c>
      <c r="M53" s="13">
        <f>Time!M34*SUM(Funding!$J$79:$BJ$79)</f>
        <v/>
      </c>
      <c r="N53" s="13">
        <f>Time!N34*SUM(Funding!$J$79:$BJ$79)</f>
        <v/>
      </c>
      <c r="O53" s="13">
        <f>Time!O34*SUM(Funding!$J$79:$BJ$79)</f>
        <v/>
      </c>
      <c r="P53" s="13">
        <f>Time!P34*SUM(Funding!$J$79:$BJ$79)</f>
        <v/>
      </c>
      <c r="Q53" s="13">
        <f>Time!Q34*SUM(Funding!$J$79:$BJ$79)</f>
        <v/>
      </c>
      <c r="R53" s="13">
        <f>Time!R34*SUM(Funding!$J$79:$BJ$79)</f>
        <v/>
      </c>
      <c r="S53" s="13">
        <f>Time!S34*SUM(Funding!$J$79:$BJ$79)</f>
        <v/>
      </c>
      <c r="T53" s="13">
        <f>Time!T34*SUM(Funding!$J$79:$BJ$79)</f>
        <v/>
      </c>
      <c r="U53" s="13">
        <f>Time!U34*SUM(Funding!$J$79:$BJ$79)</f>
        <v/>
      </c>
      <c r="V53" s="13">
        <f>Time!V34*SUM(Funding!$J$79:$BJ$79)</f>
        <v/>
      </c>
      <c r="W53" s="13">
        <f>Time!W34*SUM(Funding!$J$79:$BJ$79)</f>
        <v/>
      </c>
      <c r="X53" s="13">
        <f>Time!X34*SUM(Funding!$J$79:$BJ$79)</f>
        <v/>
      </c>
      <c r="Y53" s="13">
        <f>Time!Y34*SUM(Funding!$J$79:$BJ$79)</f>
        <v/>
      </c>
      <c r="Z53" s="13">
        <f>Time!Z34*SUM(Funding!$J$79:$BJ$79)</f>
        <v/>
      </c>
      <c r="AA53" s="13">
        <f>Time!AA34*SUM(Funding!$J$79:$BJ$79)</f>
        <v/>
      </c>
      <c r="AB53" s="13">
        <f>Time!AB34*SUM(Funding!$J$79:$BJ$79)</f>
        <v/>
      </c>
      <c r="AC53" s="13">
        <f>Time!AC34*SUM(Funding!$J$79:$BJ$79)</f>
        <v/>
      </c>
      <c r="AD53" s="13">
        <f>Time!AD34*SUM(Funding!$J$79:$BJ$79)</f>
        <v/>
      </c>
      <c r="AE53" s="13">
        <f>Time!AE34*SUM(Funding!$J$79:$BJ$79)</f>
        <v/>
      </c>
      <c r="AF53" s="13">
        <f>Time!AF34*SUM(Funding!$J$79:$BJ$79)</f>
        <v/>
      </c>
      <c r="AG53" s="13">
        <f>Time!AG34*SUM(Funding!$J$79:$BJ$79)</f>
        <v/>
      </c>
      <c r="AH53" s="13">
        <f>Time!AH34*SUM(Funding!$J$79:$BJ$79)</f>
        <v/>
      </c>
      <c r="AI53" s="13">
        <f>Time!AI34*SUM(Funding!$J$79:$BJ$79)</f>
        <v/>
      </c>
      <c r="AJ53" s="13">
        <f>Time!AJ34*SUM(Funding!$J$79:$BJ$79)</f>
        <v/>
      </c>
      <c r="AK53" s="13">
        <f>Time!AK34*SUM(Funding!$J$79:$BJ$79)</f>
        <v/>
      </c>
      <c r="AL53" s="13">
        <f>Time!AL34*SUM(Funding!$J$79:$BJ$79)</f>
        <v/>
      </c>
      <c r="AM53" s="13">
        <f>Time!AM34*SUM(Funding!$J$79:$BJ$79)</f>
        <v/>
      </c>
      <c r="AN53" s="13">
        <f>Time!AN34*SUM(Funding!$J$79:$BJ$79)</f>
        <v/>
      </c>
      <c r="AO53" s="13">
        <f>Time!AO34*SUM(Funding!$J$79:$BJ$79)</f>
        <v/>
      </c>
      <c r="AP53" s="13">
        <f>Time!AP34*SUM(Funding!$J$79:$BJ$79)</f>
        <v/>
      </c>
      <c r="AQ53" s="13">
        <f>Time!AQ34*SUM(Funding!$J$79:$BJ$79)</f>
        <v/>
      </c>
      <c r="AR53" s="13">
        <f>Time!AR34*SUM(Funding!$J$79:$BJ$79)</f>
        <v/>
      </c>
      <c r="AS53" s="13">
        <f>Time!AS34*SUM(Funding!$J$79:$BJ$79)</f>
        <v/>
      </c>
      <c r="AT53" s="13">
        <f>Time!AT34*SUM(Funding!$J$79:$BJ$79)</f>
        <v/>
      </c>
      <c r="AU53" s="13">
        <f>Time!AU34*SUM(Funding!$J$79:$BJ$79)</f>
        <v/>
      </c>
      <c r="AV53" s="13">
        <f>Time!AV34*SUM(Funding!$J$79:$BJ$79)</f>
        <v/>
      </c>
      <c r="AW53" s="13">
        <f>Time!AW34*SUM(Funding!$J$79:$BJ$79)</f>
        <v/>
      </c>
      <c r="AX53" s="13">
        <f>Time!AX34*SUM(Funding!$J$79:$BJ$79)</f>
        <v/>
      </c>
      <c r="AY53" s="13">
        <f>Time!AY34*SUM(Funding!$J$79:$BJ$79)</f>
        <v/>
      </c>
      <c r="AZ53" s="13">
        <f>Time!AZ34*SUM(Funding!$J$79:$BJ$79)</f>
        <v/>
      </c>
      <c r="BA53" s="13">
        <f>Time!BA34*SUM(Funding!$J$79:$BJ$79)</f>
        <v/>
      </c>
      <c r="BB53" s="13">
        <f>Time!BB34*SUM(Funding!$J$79:$BJ$79)</f>
        <v/>
      </c>
      <c r="BC53" s="13">
        <f>Time!BC34*SUM(Funding!$J$79:$BJ$79)</f>
        <v/>
      </c>
      <c r="BD53" s="13">
        <f>Time!BD34*SUM(Funding!$J$79:$BJ$79)</f>
        <v/>
      </c>
      <c r="BE53" s="13">
        <f>Time!BE34*SUM(Funding!$J$79:$BJ$79)</f>
        <v/>
      </c>
      <c r="BF53" s="13">
        <f>Time!BF34*SUM(Funding!$J$79:$BJ$79)</f>
        <v/>
      </c>
      <c r="BG53" s="13">
        <f>Time!BG34*SUM(Funding!$J$79:$BJ$79)</f>
        <v/>
      </c>
      <c r="BH53" s="13">
        <f>Time!BH34*SUM(Funding!$J$79:$BJ$79)</f>
        <v/>
      </c>
      <c r="BI53" s="13">
        <f>Time!BI34*SUM(Funding!$J$79:$BJ$79)</f>
        <v/>
      </c>
      <c r="BJ53" s="13">
        <f>Time!BJ34*SUM(Funding!$J$79:$BJ$79)</f>
        <v/>
      </c>
      <c r="BK53" s="13">
        <f>Time!BK34*SUM(Funding!$J$79:$BJ$79)</f>
        <v/>
      </c>
      <c r="BL53" s="13">
        <f>Time!BL34*SUM(Funding!$J$79:$BJ$79)</f>
        <v/>
      </c>
      <c r="BM53" s="13">
        <f>Time!BM34*SUM(Funding!$J$79:$BJ$79)</f>
        <v/>
      </c>
      <c r="BN53" s="13">
        <f>Time!BN34*SUM(Funding!$J$79:$BJ$79)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ECA-covered tranche's contractual schedule (number of failed tests)</t>
        </is>
      </c>
      <c r="E23" t="inlineStr">
        <is>
          <t>check</t>
        </is>
      </c>
      <c r="F23" s="3">
        <f>(Debt!$F$140&gt;Inputs!$F$1315)+(Debt!$F$138&gt;Inputs!$F$1316)+(Debt!$F$139&gt;Inputs!$F$1317/100)+(Debt!$F$141&gt;Inputs!$F$1318)+(Debt!$F$142&lt;Inputs!$F$1319/100)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854.5518943675954</v>
      </c>
      <c r="K28" s="23" t="n">
        <v>629.9496747784333</v>
      </c>
      <c r="L28" s="23" t="n">
        <v>224.6022195891457</v>
      </c>
      <c r="M28" s="24" t="n">
        <v>0.7371695960543614</v>
      </c>
      <c r="N28" s="23" t="n">
        <v>63.57016635281073</v>
      </c>
      <c r="O28" s="23" t="n">
        <v>20.71750073229001</v>
      </c>
      <c r="P28" s="23" t="n">
        <v>20.50486191403853</v>
      </c>
      <c r="Q28" s="23" t="n">
        <v>37.24589543659478</v>
      </c>
      <c r="R28" s="23" t="n">
        <v>0</v>
      </c>
      <c r="S28" s="23" t="n">
        <v>0</v>
      </c>
      <c r="T28" s="23" t="n">
        <v>1.350000000086092</v>
      </c>
      <c r="U28" s="23" t="n">
        <v>1.548134310510521</v>
      </c>
      <c r="V28" s="23" t="n">
        <v>1.418876964151141</v>
      </c>
      <c r="W28" s="23" t="n">
        <v>1.84662112232132</v>
      </c>
      <c r="X28" s="24" t="n">
        <v>0.1315189365206741</v>
      </c>
      <c r="Y28" s="24" t="n">
        <v>0.1096962441725252</v>
      </c>
      <c r="Z28" s="23" t="n">
        <v>-45.30916496788892</v>
      </c>
    </row>
    <row r="29">
      <c r="D29" t="inlineStr">
        <is>
          <t>2: FC banking</t>
        </is>
      </c>
      <c r="J29" s="23" t="n">
        <v>854.5518943675954</v>
      </c>
      <c r="K29" s="23" t="n">
        <v>629.9496747784333</v>
      </c>
      <c r="L29" s="23" t="n">
        <v>224.6022195891457</v>
      </c>
      <c r="M29" s="24" t="n">
        <v>0.7371695960543614</v>
      </c>
      <c r="N29" s="23" t="n">
        <v>63.57016635281073</v>
      </c>
      <c r="O29" s="23" t="n">
        <v>20.71750073229001</v>
      </c>
      <c r="P29" s="23" t="n">
        <v>20.50486191403853</v>
      </c>
      <c r="Q29" s="23" t="n">
        <v>37.24589543659478</v>
      </c>
      <c r="R29" s="23" t="n">
        <v>0</v>
      </c>
      <c r="S29" s="23" t="n">
        <v>0</v>
      </c>
      <c r="T29" s="23" t="n">
        <v>1.347774429320099</v>
      </c>
      <c r="U29" s="23" t="n">
        <v>1.546090096216397</v>
      </c>
      <c r="V29" s="23" t="n">
        <v>1.417311927236057</v>
      </c>
      <c r="W29" s="23" t="n">
        <v>1.844284366639894</v>
      </c>
      <c r="X29" s="24" t="n">
        <v>0.1312058928849293</v>
      </c>
      <c r="Y29" s="24" t="n">
        <v>0.109551625971133</v>
      </c>
      <c r="Z29" s="23" t="n">
        <v>-45.81650028480356</v>
      </c>
    </row>
    <row r="30">
      <c r="D30" t="inlineStr">
        <is>
          <t>3: FC downside</t>
        </is>
      </c>
      <c r="J30" s="23" t="n">
        <v>854.5518943675954</v>
      </c>
      <c r="K30" s="23" t="n">
        <v>629.9496747784333</v>
      </c>
      <c r="L30" s="23" t="n">
        <v>224.6022195891457</v>
      </c>
      <c r="M30" s="24" t="n">
        <v>0.7371695960543614</v>
      </c>
      <c r="N30" s="23" t="n">
        <v>63.57016635281073</v>
      </c>
      <c r="O30" s="23" t="n">
        <v>20.71750073229001</v>
      </c>
      <c r="P30" s="23" t="n">
        <v>20.50486191403853</v>
      </c>
      <c r="Q30" s="23" t="n">
        <v>37.24589543659478</v>
      </c>
      <c r="R30" s="23" t="n">
        <v>0</v>
      </c>
      <c r="S30" s="23" t="n">
        <v>0</v>
      </c>
      <c r="T30" s="23" t="n">
        <v>1.200358703827179</v>
      </c>
      <c r="U30" s="23" t="n">
        <v>1.380209990718661</v>
      </c>
      <c r="V30" s="23" t="n">
        <v>1.30453347891839</v>
      </c>
      <c r="W30" s="23" t="n">
        <v>1.706071283415212</v>
      </c>
      <c r="X30" s="24" t="n">
        <v>0.1126549328243679</v>
      </c>
      <c r="Y30" s="24" t="n">
        <v>0.1007550513363039</v>
      </c>
      <c r="Z30" s="23" t="n">
        <v>-75.87899056888766</v>
      </c>
    </row>
    <row r="31">
      <c r="D31" t="inlineStr">
        <is>
          <t>4: Sens: availability -3 points</t>
        </is>
      </c>
      <c r="J31" s="23" t="n">
        <v>854.5518943675954</v>
      </c>
      <c r="K31" s="23" t="n">
        <v>629.9496747784333</v>
      </c>
      <c r="L31" s="23" t="n">
        <v>224.6022195891457</v>
      </c>
      <c r="M31" s="24" t="n">
        <v>0.7371695960543614</v>
      </c>
      <c r="N31" s="23" t="n">
        <v>63.57016635281073</v>
      </c>
      <c r="O31" s="23" t="n">
        <v>20.71750073229001</v>
      </c>
      <c r="P31" s="23" t="n">
        <v>20.50486191403853</v>
      </c>
      <c r="Q31" s="23" t="n">
        <v>37.24589543659478</v>
      </c>
      <c r="R31" s="23" t="n">
        <v>0</v>
      </c>
      <c r="S31" s="23" t="n">
        <v>0</v>
      </c>
      <c r="T31" s="23" t="n">
        <v>1.320907761659021</v>
      </c>
      <c r="U31" s="23" t="n">
        <v>1.543577915977776</v>
      </c>
      <c r="V31" s="23" t="n">
        <v>1.417181370943524</v>
      </c>
      <c r="W31" s="23" t="n">
        <v>1.843056004909891</v>
      </c>
      <c r="X31" s="24" t="n">
        <v>0.1312742617369575</v>
      </c>
      <c r="Y31" s="24" t="n">
        <v>0.109556084774187</v>
      </c>
      <c r="Z31" s="23" t="n">
        <v>-45.57801928495444</v>
      </c>
    </row>
    <row r="32">
      <c r="D32" t="inlineStr">
        <is>
          <t>5: Sens: heat rate +2%</t>
        </is>
      </c>
      <c r="J32" s="23" t="n">
        <v>854.5518943675954</v>
      </c>
      <c r="K32" s="23" t="n">
        <v>629.9496747784333</v>
      </c>
      <c r="L32" s="23" t="n">
        <v>224.6022195891457</v>
      </c>
      <c r="M32" s="24" t="n">
        <v>0.7371695960543614</v>
      </c>
      <c r="N32" s="23" t="n">
        <v>63.57016635281073</v>
      </c>
      <c r="O32" s="23" t="n">
        <v>20.71750073229001</v>
      </c>
      <c r="P32" s="23" t="n">
        <v>20.50486191403853</v>
      </c>
      <c r="Q32" s="23" t="n">
        <v>37.24589543659478</v>
      </c>
      <c r="R32" s="23" t="n">
        <v>0</v>
      </c>
      <c r="S32" s="23" t="n">
        <v>0</v>
      </c>
      <c r="T32" s="23" t="n">
        <v>1.303300287848056</v>
      </c>
      <c r="U32" s="23" t="n">
        <v>1.498859549668142</v>
      </c>
      <c r="V32" s="23" t="n">
        <v>1.382791422855909</v>
      </c>
      <c r="W32" s="23" t="n">
        <v>1.793169788899441</v>
      </c>
      <c r="X32" s="24" t="n">
        <v>0.1243645894535975</v>
      </c>
      <c r="Y32" s="24" t="n">
        <v>0.1063326520134044</v>
      </c>
      <c r="Z32" s="23" t="n">
        <v>-56.81942782844992</v>
      </c>
    </row>
    <row r="33">
      <c r="D33" t="inlineStr">
        <is>
          <t>6: Sens: fixed opex +10%</t>
        </is>
      </c>
      <c r="J33" s="23" t="n">
        <v>854.5518943675954</v>
      </c>
      <c r="K33" s="23" t="n">
        <v>629.9496747784333</v>
      </c>
      <c r="L33" s="23" t="n">
        <v>224.6022195891457</v>
      </c>
      <c r="M33" s="24" t="n">
        <v>0.7371695960543614</v>
      </c>
      <c r="N33" s="23" t="n">
        <v>63.57016635281073</v>
      </c>
      <c r="O33" s="23" t="n">
        <v>20.71750073229001</v>
      </c>
      <c r="P33" s="23" t="n">
        <v>20.50486191403853</v>
      </c>
      <c r="Q33" s="23" t="n">
        <v>37.24589543659478</v>
      </c>
      <c r="R33" s="23" t="n">
        <v>0</v>
      </c>
      <c r="S33" s="23" t="n">
        <v>0</v>
      </c>
      <c r="T33" s="23" t="n">
        <v>1.319052452235012</v>
      </c>
      <c r="U33" s="23" t="n">
        <v>1.517334685027667</v>
      </c>
      <c r="V33" s="23" t="n">
        <v>1.396179633429376</v>
      </c>
      <c r="W33" s="23" t="n">
        <v>1.810598820708488</v>
      </c>
      <c r="X33" s="24" t="n">
        <v>0.1267196614626228</v>
      </c>
      <c r="Y33" s="24" t="n">
        <v>0.1074405300010559</v>
      </c>
      <c r="Z33" s="23" t="n">
        <v>-53.00645832524153</v>
      </c>
    </row>
    <row r="34">
      <c r="D34" t="inlineStr">
        <is>
          <t>7: Sens: capex +10% funded pro rata</t>
        </is>
      </c>
      <c r="J34" s="23" t="n">
        <v>935.8437693639825</v>
      </c>
      <c r="K34" s="23" t="n">
        <v>689.8755734316211</v>
      </c>
      <c r="L34" s="23" t="n">
        <v>245.9681959319445</v>
      </c>
      <c r="M34" s="24" t="n">
        <v>0.7371695960543614</v>
      </c>
      <c r="N34" s="23" t="n">
        <v>69.47367197537172</v>
      </c>
      <c r="O34" s="23" t="n">
        <v>22.57306759060785</v>
      </c>
      <c r="P34" s="23" t="n">
        <v>22.45544991521283</v>
      </c>
      <c r="Q34" s="23" t="n">
        <v>40.8397629577425</v>
      </c>
      <c r="R34" s="23" t="n">
        <v>0</v>
      </c>
      <c r="S34" s="23" t="n">
        <v>0</v>
      </c>
      <c r="T34" s="23" t="n">
        <v>1.230959501974915</v>
      </c>
      <c r="U34" s="23" t="n">
        <v>1.38851606708263</v>
      </c>
      <c r="V34" s="23" t="n">
        <v>1.306616899960616</v>
      </c>
      <c r="W34" s="23" t="n">
        <v>1.713422396933953</v>
      </c>
      <c r="X34" s="24" t="n">
        <v>0.1133997638957553</v>
      </c>
      <c r="Y34" s="24" t="n">
        <v>0.1012292788258414</v>
      </c>
      <c r="Z34" s="23" t="n">
        <v>-82.46052882809062</v>
      </c>
    </row>
    <row r="35">
      <c r="D35" t="inlineStr">
        <is>
          <t>8: Sens: COD delay 6 months, no LDs</t>
        </is>
      </c>
      <c r="J35" s="23" t="n">
        <v>887.4983027591986</v>
      </c>
      <c r="K35" s="23" t="n">
        <v>654.2367653438209</v>
      </c>
      <c r="L35" s="23" t="n">
        <v>233.2615374152688</v>
      </c>
      <c r="M35" s="24" t="n">
        <v>0.7371695960543615</v>
      </c>
      <c r="N35" s="23" t="n">
        <v>83.96775078397457</v>
      </c>
      <c r="O35" s="23" t="n">
        <v>22.47746356223884</v>
      </c>
      <c r="P35" s="23" t="n">
        <v>21.29540671194491</v>
      </c>
      <c r="Q35" s="23" t="n">
        <v>39.60321690776872</v>
      </c>
      <c r="R35" s="23" t="n">
        <v>0</v>
      </c>
      <c r="S35" s="23" t="n">
        <v>0</v>
      </c>
      <c r="T35" s="23" t="n">
        <v>1.254517333550881</v>
      </c>
      <c r="U35" s="23" t="n">
        <v>1.452952165211327</v>
      </c>
      <c r="V35" s="23" t="n">
        <v>1.348792603248456</v>
      </c>
      <c r="W35" s="23" t="n">
        <v>1.800194093556658</v>
      </c>
      <c r="X35" s="24" t="n">
        <v>0.1197867013060516</v>
      </c>
      <c r="Y35" s="24" t="n">
        <v>0.104497055158817</v>
      </c>
      <c r="Z35" s="23" t="n">
        <v>-68.37964344409824</v>
      </c>
    </row>
    <row r="36">
      <c r="D36" t="inlineStr">
        <is>
          <t>9: Sens: base rate +200 bps (unhedged)</t>
        </is>
      </c>
      <c r="J36" s="23" t="n">
        <v>854.5518943675954</v>
      </c>
      <c r="K36" s="23" t="n">
        <v>629.9496747784333</v>
      </c>
      <c r="L36" s="23" t="n">
        <v>224.6022195891457</v>
      </c>
      <c r="M36" s="24" t="n">
        <v>0.7371695960543614</v>
      </c>
      <c r="N36" s="23" t="n">
        <v>63.57016635281073</v>
      </c>
      <c r="O36" s="23" t="n">
        <v>20.71750073229001</v>
      </c>
      <c r="P36" s="23" t="n">
        <v>20.50486191403853</v>
      </c>
      <c r="Q36" s="23" t="n">
        <v>37.24589543659478</v>
      </c>
      <c r="R36" s="23" t="n">
        <v>0</v>
      </c>
      <c r="S36" s="23" t="n">
        <v>0</v>
      </c>
      <c r="T36" s="23" t="n">
        <v>1.297686059477678</v>
      </c>
      <c r="U36" s="23" t="n">
        <v>1.522451015381969</v>
      </c>
      <c r="V36" s="23" t="n">
        <v>1.396069190520737</v>
      </c>
      <c r="W36" s="23" t="n">
        <v>1.832930199054863</v>
      </c>
      <c r="X36" s="24" t="n">
        <v>0.12817620169047</v>
      </c>
      <c r="Y36" s="24" t="n">
        <v>0.1100136810992374</v>
      </c>
      <c r="Z36" s="23" t="n">
        <v>-51.39015236443164</v>
      </c>
    </row>
    <row r="37">
      <c r="D37" t="inlineStr">
        <is>
          <t>10: Sens: KCR devaluation 40%, 90-day lag</t>
        </is>
      </c>
      <c r="J37" s="23" t="n">
        <v>854.5518943675954</v>
      </c>
      <c r="K37" s="23" t="n">
        <v>629.9496747784333</v>
      </c>
      <c r="L37" s="23" t="n">
        <v>224.6022195891457</v>
      </c>
      <c r="M37" s="24" t="n">
        <v>0.7371695960543614</v>
      </c>
      <c r="N37" s="23" t="n">
        <v>63.57016635281073</v>
      </c>
      <c r="O37" s="23" t="n">
        <v>20.71750073229001</v>
      </c>
      <c r="P37" s="23" t="n">
        <v>20.50486191403853</v>
      </c>
      <c r="Q37" s="23" t="n">
        <v>37.24589543659478</v>
      </c>
      <c r="R37" s="23" t="n">
        <v>0</v>
      </c>
      <c r="S37" s="23" t="n">
        <v>0</v>
      </c>
      <c r="T37" s="23" t="n">
        <v>0.4509353211787945</v>
      </c>
      <c r="U37" s="23" t="n">
        <v>1.525220866999527</v>
      </c>
      <c r="V37" s="23" t="n">
        <v>1.399462893953334</v>
      </c>
      <c r="W37" s="23" t="n">
        <v>1.816610919840707</v>
      </c>
      <c r="X37" s="24" t="n">
        <v>0.1274902902046118</v>
      </c>
      <c r="Y37" s="24" t="n">
        <v>0.1076707612393852</v>
      </c>
      <c r="Z37" s="23" t="n">
        <v>-52.07270994977526</v>
      </c>
    </row>
    <row r="38">
      <c r="D38" t="inlineStr">
        <is>
          <t>11: Sens: SEKA pays 120 days late for 12 months</t>
        </is>
      </c>
      <c r="J38" s="23" t="n">
        <v>854.5518943675954</v>
      </c>
      <c r="K38" s="23" t="n">
        <v>629.9496747784333</v>
      </c>
      <c r="L38" s="23" t="n">
        <v>224.6022195891457</v>
      </c>
      <c r="M38" s="24" t="n">
        <v>0.7371695960543614</v>
      </c>
      <c r="N38" s="23" t="n">
        <v>63.57016635281073</v>
      </c>
      <c r="O38" s="23" t="n">
        <v>20.71750073229001</v>
      </c>
      <c r="P38" s="23" t="n">
        <v>20.50486191403853</v>
      </c>
      <c r="Q38" s="23" t="n">
        <v>37.24589543659478</v>
      </c>
      <c r="R38" s="23" t="n">
        <v>0</v>
      </c>
      <c r="S38" s="23" t="n">
        <v>0</v>
      </c>
      <c r="T38" s="23" t="n">
        <v>0.1304448864975375</v>
      </c>
      <c r="U38" s="23" t="n">
        <v>1.549090542638844</v>
      </c>
      <c r="V38" s="23" t="n">
        <v>1.415065802163458</v>
      </c>
      <c r="W38" s="23" t="n">
        <v>1.842817755703834</v>
      </c>
      <c r="X38" s="24" t="n">
        <v>0.1309082576099196</v>
      </c>
      <c r="Y38" s="24" t="n">
        <v>0.1091601848175323</v>
      </c>
      <c r="Z38" s="23" t="n">
        <v>-46.68092672880782</v>
      </c>
    </row>
    <row r="39">
      <c r="D39" t="inlineStr">
        <is>
          <t>12: Sens: dispatch 50%</t>
        </is>
      </c>
      <c r="J39" s="23" t="n">
        <v>854.5518943675954</v>
      </c>
      <c r="K39" s="23" t="n">
        <v>629.9496747784333</v>
      </c>
      <c r="L39" s="23" t="n">
        <v>224.6022195891457</v>
      </c>
      <c r="M39" s="24" t="n">
        <v>0.7371695960543614</v>
      </c>
      <c r="N39" s="23" t="n">
        <v>63.57016635281073</v>
      </c>
      <c r="O39" s="23" t="n">
        <v>20.71750073229001</v>
      </c>
      <c r="P39" s="23" t="n">
        <v>20.50486191403853</v>
      </c>
      <c r="Q39" s="23" t="n">
        <v>37.24589543659478</v>
      </c>
      <c r="R39" s="23" t="n">
        <v>0</v>
      </c>
      <c r="S39" s="23" t="n">
        <v>0</v>
      </c>
      <c r="T39" s="23" t="n">
        <v>1.336893860945409</v>
      </c>
      <c r="U39" s="23" t="n">
        <v>1.536121689373075</v>
      </c>
      <c r="V39" s="23" t="n">
        <v>1.409662555602083</v>
      </c>
      <c r="W39" s="23" t="n">
        <v>1.833000517730846</v>
      </c>
      <c r="X39" s="24" t="n">
        <v>0.1296902537428981</v>
      </c>
      <c r="Y39" s="24" t="n">
        <v>0.1088508790432739</v>
      </c>
      <c r="Z39" s="23" t="n">
        <v>-48.27995175317573</v>
      </c>
    </row>
    <row r="40">
      <c r="D40" t="inlineStr">
        <is>
          <t>13: Sens: gas price +30%</t>
        </is>
      </c>
      <c r="J40" s="23" t="n">
        <v>854.5518943675954</v>
      </c>
      <c r="K40" s="23" t="n">
        <v>629.9496747784333</v>
      </c>
      <c r="L40" s="23" t="n">
        <v>224.6022195891457</v>
      </c>
      <c r="M40" s="24" t="n">
        <v>0.7371695960543614</v>
      </c>
      <c r="N40" s="23" t="n">
        <v>63.57016635281073</v>
      </c>
      <c r="O40" s="23" t="n">
        <v>20.71750073229001</v>
      </c>
      <c r="P40" s="23" t="n">
        <v>20.50486191403853</v>
      </c>
      <c r="Q40" s="23" t="n">
        <v>37.24589543659478</v>
      </c>
      <c r="R40" s="23" t="n">
        <v>0</v>
      </c>
      <c r="S40" s="23" t="n">
        <v>0</v>
      </c>
      <c r="T40" s="23" t="n">
        <v>1.350514201438709</v>
      </c>
      <c r="U40" s="23" t="n">
        <v>1.54845111982152</v>
      </c>
      <c r="V40" s="23" t="n">
        <v>1.419262476742486</v>
      </c>
      <c r="W40" s="23" t="n">
        <v>1.84655391948118</v>
      </c>
      <c r="X40" s="24" t="n">
        <v>0.1315723639954117</v>
      </c>
      <c r="Y40" s="24" t="n">
        <v>0.1097129954521601</v>
      </c>
      <c r="Z40" s="23" t="n">
        <v>-45.19291835160001</v>
      </c>
    </row>
    <row r="41">
      <c r="D41" t="inlineStr">
        <is>
          <t>14: COD re-forecast (2021 lenders case)</t>
        </is>
      </c>
      <c r="J41" s="23" t="n">
        <v>893.7555763364599</v>
      </c>
      <c r="K41" s="23" t="n">
        <v>629.9496747784333</v>
      </c>
      <c r="L41" s="23" t="n">
        <v>230.0982150813615</v>
      </c>
      <c r="M41" s="24" t="n">
        <v>0.7232823809669221</v>
      </c>
      <c r="N41" s="23" t="n">
        <v>62.42268624230979</v>
      </c>
      <c r="O41" s="23" t="n">
        <v>22.95520020283268</v>
      </c>
      <c r="P41" s="23" t="n">
        <v>20.504861914038</v>
      </c>
      <c r="Q41" s="23" t="n">
        <v>37.17840635556432</v>
      </c>
      <c r="R41" s="23" t="n">
        <v>16.48798647666505</v>
      </c>
      <c r="S41" s="23" t="n">
        <v>5.495995492221683</v>
      </c>
      <c r="T41" s="23" t="n">
        <v>1.27117101320278</v>
      </c>
      <c r="U41" s="23" t="n">
        <v>1.496206324696384</v>
      </c>
      <c r="V41" s="23" t="n">
        <v>1.337686512725283</v>
      </c>
      <c r="W41" s="23" t="n">
        <v>1.772984994606507</v>
      </c>
      <c r="X41" s="24" t="n">
        <v>0.1235103883954506</v>
      </c>
      <c r="Y41" s="24" t="n">
        <v>0.1008810859067457</v>
      </c>
      <c r="Z41" s="23" t="n">
        <v>-58.42490416222227</v>
      </c>
    </row>
    <row r="42">
      <c r="D42" t="inlineStr">
        <is>
          <t>15: Actual history</t>
        </is>
      </c>
      <c r="J42" s="23" t="n">
        <v>891.526869194766</v>
      </c>
      <c r="K42" s="23" t="n">
        <v>629.9496747784333</v>
      </c>
      <c r="L42" s="23" t="n">
        <v>229.5410382959381</v>
      </c>
      <c r="M42" s="24" t="n">
        <v>0.7232155902167993</v>
      </c>
      <c r="N42" s="23" t="n">
        <v>62.42268624230979</v>
      </c>
      <c r="O42" s="23" t="n">
        <v>22.95520020283268</v>
      </c>
      <c r="P42" s="23" t="n">
        <v>20.504861914038</v>
      </c>
      <c r="Q42" s="23" t="n">
        <v>34.94969921387052</v>
      </c>
      <c r="R42" s="23" t="n">
        <v>14.8164561203947</v>
      </c>
      <c r="S42" s="23" t="n">
        <v>4.938818706798232</v>
      </c>
      <c r="T42" s="23" t="n">
        <v>0.9066361565225236</v>
      </c>
      <c r="U42" s="23" t="n">
        <v>1.489837025236744</v>
      </c>
      <c r="V42" s="23" t="n">
        <v>1.465939679822903</v>
      </c>
      <c r="W42" s="23" t="n">
        <v>1.681869562767177</v>
      </c>
      <c r="X42" s="24" t="n">
        <v>0.1241960136816219</v>
      </c>
      <c r="Y42" s="24" t="n">
        <v>0.1013950949450874</v>
      </c>
      <c r="Z42" s="23" t="n">
        <v>-55.88141682770506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2026-10-03T23:43:21Z</dcterms:created>
  <dcterms:modified xsi:type="dcterms:W3CDTF">2026-10-03T23:43:22Z</dcterms:modified>
</cp:coreProperties>
</file>