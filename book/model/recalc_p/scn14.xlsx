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14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633.2559755427742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221.8337675840513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0.02446043211430804</v>
      </c>
      <c r="Q298" s="5" t="n">
        <v>0.02549563991993633</v>
      </c>
      <c r="R298" s="5" t="n">
        <v>0.02675152229066621</v>
      </c>
      <c r="S298" s="5" t="n">
        <v>0.02753984637468513</v>
      </c>
      <c r="T298" s="5" t="n">
        <v>0.0288066694390464</v>
      </c>
      <c r="U298" s="5" t="n">
        <v>0.02972536483920772</v>
      </c>
      <c r="V298" s="5" t="n">
        <v>0.03166730192250924</v>
      </c>
      <c r="W298" s="5" t="n">
        <v>0.03263535190708168</v>
      </c>
      <c r="X298" s="5" t="n">
        <v>0.0317294685115491</v>
      </c>
      <c r="Y298" s="5" t="n">
        <v>0.03174439879630291</v>
      </c>
      <c r="Z298" s="5" t="n">
        <v>0.03305950431870376</v>
      </c>
      <c r="AA298" s="5" t="n">
        <v>0.03402426353926975</v>
      </c>
      <c r="AB298" s="5" t="n">
        <v>0.03564974851234601</v>
      </c>
      <c r="AC298" s="5" t="n">
        <v>0.03683076964636899</v>
      </c>
      <c r="AD298" s="5" t="n">
        <v>0.0402165127561107</v>
      </c>
      <c r="AE298" s="5" t="n">
        <v>0.04194504016536777</v>
      </c>
      <c r="AF298" s="5" t="n">
        <v>0.04341654712966558</v>
      </c>
      <c r="AG298" s="5" t="n">
        <v>0.04422683953596448</v>
      </c>
      <c r="AH298" s="5" t="n">
        <v>0.0464470950071792</v>
      </c>
      <c r="AI298" s="5" t="n">
        <v>0.04781089882837024</v>
      </c>
      <c r="AJ298" s="5" t="n">
        <v>0.05011909730654722</v>
      </c>
      <c r="AK298" s="5" t="n">
        <v>0.05174136373715012</v>
      </c>
      <c r="AL298" s="5" t="n">
        <v>0.05486337334066368</v>
      </c>
      <c r="AM298" s="5" t="n">
        <v>0.05600370673381757</v>
      </c>
      <c r="AN298" s="5" t="n">
        <v>0.04620239321839347</v>
      </c>
      <c r="AO298" s="5" t="n">
        <v>0.04688685010878882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506.6047800584543</v>
      </c>
      <c r="Q301" s="5" t="n">
        <v>494.2130082270505</v>
      </c>
      <c r="R301" s="5" t="n">
        <v>481.2967951729616</v>
      </c>
      <c r="S301" s="5" t="n">
        <v>467.7443461066698</v>
      </c>
      <c r="T301" s="5" t="n">
        <v>453.7925282911789</v>
      </c>
      <c r="U301" s="5" t="n">
        <v>439.1989318557941</v>
      </c>
      <c r="V301" s="5" t="n">
        <v>424.13991993927</v>
      </c>
      <c r="W301" s="5" t="n">
        <v>408.0971134137725</v>
      </c>
      <c r="X301" s="5" t="n">
        <v>391.5638881387553</v>
      </c>
      <c r="Y301" s="5" t="n">
        <v>375.4895877220902</v>
      </c>
      <c r="Z301" s="5" t="n">
        <v>359.4077235518013</v>
      </c>
      <c r="AA301" s="5" t="n">
        <v>342.6596206375829</v>
      </c>
      <c r="AB301" s="5" t="n">
        <v>325.4227660906203</v>
      </c>
      <c r="AC301" s="5" t="n">
        <v>307.362433086384</v>
      </c>
      <c r="AD301" s="5" t="n">
        <v>288.7037891303016</v>
      </c>
      <c r="AE301" s="5" t="n">
        <v>268.3299115307742</v>
      </c>
      <c r="AF301" s="5" t="n">
        <v>247.080353683255</v>
      </c>
      <c r="AG301" s="5" t="n">
        <v>225.0853233737332</v>
      </c>
      <c r="AH301" s="5" t="n">
        <v>202.6797950579354</v>
      </c>
      <c r="AI301" s="5" t="n">
        <v>179.1494747074693</v>
      </c>
      <c r="AJ301" s="5" t="n">
        <v>154.9282448221257</v>
      </c>
      <c r="AK301" s="5" t="n">
        <v>129.5376705544141</v>
      </c>
      <c r="AL301" s="5" t="n">
        <v>103.3252483584307</v>
      </c>
      <c r="AM301" s="5" t="n">
        <v>75.53120117391893</v>
      </c>
      <c r="AN301" s="5" t="n">
        <v>47.15945564157511</v>
      </c>
      <c r="AO301" s="5" t="n">
        <v>23.75310238699667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7.147142857142857</v>
      </c>
      <c r="AT308" s="5" t="n">
        <v>6.147142857142857</v>
      </c>
      <c r="AU308" s="5" t="n">
        <v>8.787142857142857</v>
      </c>
      <c r="AV308" s="5" t="n">
        <v>6.832142857142857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72.03829474521896</v>
      </c>
      <c r="L309" s="5" t="n">
        <v>73.51887276343012</v>
      </c>
      <c r="M309" s="5" t="n">
        <v>75.40617553902828</v>
      </c>
      <c r="N309" s="5" t="n">
        <v>78.07421473717562</v>
      </c>
      <c r="O309" s="5" t="n">
        <v>81.91599308048065</v>
      </c>
      <c r="P309" s="5" t="n">
        <v>87.21000268067854</v>
      </c>
      <c r="Q309" s="5" t="n">
        <v>94.11618703202072</v>
      </c>
      <c r="R309" s="5" t="n">
        <v>102.8823415907884</v>
      </c>
      <c r="S309" s="5" t="n">
        <v>113.5022413334215</v>
      </c>
      <c r="T309" s="5" t="n">
        <v>126.0097195597594</v>
      </c>
      <c r="U309" s="5" t="n">
        <v>140.2836182208805</v>
      </c>
      <c r="V309" s="5" t="n">
        <v>156.2511438360465</v>
      </c>
      <c r="W309" s="5" t="n">
        <v>173.7077024568702</v>
      </c>
      <c r="X309" s="5" t="n">
        <v>192.4025609545302</v>
      </c>
      <c r="Y309" s="5" t="n">
        <v>212.1224961922896</v>
      </c>
      <c r="Z309" s="5" t="n">
        <v>232.5249987992842</v>
      </c>
      <c r="AA309" s="5" t="n">
        <v>253.3550550829947</v>
      </c>
      <c r="AB309" s="5" t="n">
        <v>274.9625112136583</v>
      </c>
      <c r="AC309" s="5" t="n">
        <v>295.573347969675</v>
      </c>
      <c r="AD309" s="5" t="n">
        <v>315.6942886417129</v>
      </c>
      <c r="AE309" s="5" t="n">
        <v>334.9285707017309</v>
      </c>
      <c r="AF309" s="5" t="n">
        <v>353.0762113009259</v>
      </c>
      <c r="AG309" s="5" t="n">
        <v>369.8270855783692</v>
      </c>
      <c r="AH309" s="5" t="n">
        <v>385.0658631524328</v>
      </c>
      <c r="AI309" s="5" t="n">
        <v>398.6100572520498</v>
      </c>
      <c r="AJ309" s="5" t="n">
        <v>410.3341888433459</v>
      </c>
      <c r="AK309" s="5" t="n">
        <v>420.3015849535684</v>
      </c>
      <c r="AL309" s="5" t="n">
        <v>428.480478068478</v>
      </c>
      <c r="AM309" s="5" t="n">
        <v>435.0832520222062</v>
      </c>
      <c r="AN309" s="5" t="n">
        <v>440.2743361688925</v>
      </c>
      <c r="AO309" s="5" t="n">
        <v>444.2027041636388</v>
      </c>
      <c r="AP309" s="5" t="n">
        <v>447.4816350572161</v>
      </c>
      <c r="AQ309" s="5" t="n">
        <v>479.6249919693773</v>
      </c>
      <c r="AR309" s="5" t="n">
        <v>504.4002583438451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IF(Time!J20=1,$F$18,I19)</f>
        <v/>
      </c>
      <c r="K20" s="13">
        <f>IF(Time!K20=1,$F$18,J19)</f>
        <v/>
      </c>
      <c r="L20" s="13">
        <f>IF(Time!L20=1,$F$18,K19)</f>
        <v/>
      </c>
      <c r="M20" s="13">
        <f>IF(Time!M20=1,$F$18,L19)</f>
        <v/>
      </c>
      <c r="N20" s="13">
        <f>IF(Time!N20=1,$F$18,M19)</f>
        <v/>
      </c>
      <c r="O20" s="13">
        <f>IF(Time!O20=1,$F$18,N19)</f>
        <v/>
      </c>
      <c r="P20" s="13">
        <f>IF(Time!P20=1,$F$18,O19)</f>
        <v/>
      </c>
      <c r="Q20" s="13">
        <f>IF(Time!Q20=1,$F$18,P19)</f>
        <v/>
      </c>
      <c r="R20" s="13">
        <f>IF(Time!R20=1,$F$18,Q19)</f>
        <v/>
      </c>
      <c r="S20" s="13">
        <f>IF(Time!S20=1,$F$18,R19)</f>
        <v/>
      </c>
      <c r="T20" s="13">
        <f>IF(Time!T20=1,$F$18,S19)</f>
        <v/>
      </c>
      <c r="U20" s="13">
        <f>IF(Time!U20=1,$F$18,T19)</f>
        <v/>
      </c>
      <c r="V20" s="13">
        <f>IF(Time!V20=1,$F$18,U19)</f>
        <v/>
      </c>
      <c r="W20" s="13">
        <f>IF(Time!W20=1,$F$18,V19)</f>
        <v/>
      </c>
      <c r="X20" s="13">
        <f>IF(Time!X20=1,$F$18,W19)</f>
        <v/>
      </c>
      <c r="Y20" s="13">
        <f>IF(Time!Y20=1,$F$18,X19)</f>
        <v/>
      </c>
      <c r="Z20" s="13">
        <f>IF(Time!Z20=1,$F$18,Y19)</f>
        <v/>
      </c>
      <c r="AA20" s="13">
        <f>IF(Time!AA20=1,$F$18,Z19)</f>
        <v/>
      </c>
      <c r="AB20" s="13">
        <f>IF(Time!AB20=1,$F$18,AA19)</f>
        <v/>
      </c>
      <c r="AC20" s="13">
        <f>IF(Time!AC20=1,$F$18,AB19)</f>
        <v/>
      </c>
      <c r="AD20" s="13">
        <f>IF(Time!AD20=1,$F$18,AC19)</f>
        <v/>
      </c>
      <c r="AE20" s="13">
        <f>IF(Time!AE20=1,$F$18,AD19)</f>
        <v/>
      </c>
      <c r="AF20" s="13">
        <f>IF(Time!AF20=1,$F$18,AE19)</f>
        <v/>
      </c>
      <c r="AG20" s="13">
        <f>IF(Time!AG20=1,$F$18,AF19)</f>
        <v/>
      </c>
      <c r="AH20" s="13">
        <f>IF(Time!AH20=1,$F$18,AG19)</f>
        <v/>
      </c>
      <c r="AI20" s="13">
        <f>IF(Time!AI20=1,$F$18,AH19)</f>
        <v/>
      </c>
      <c r="AJ20" s="13">
        <f>IF(Time!AJ20=1,$F$18,AI19)</f>
        <v/>
      </c>
      <c r="AK20" s="13">
        <f>IF(Time!AK20=1,$F$18,AJ19)</f>
        <v/>
      </c>
      <c r="AL20" s="13">
        <f>IF(Time!AL20=1,$F$18,AK19)</f>
        <v/>
      </c>
      <c r="AM20" s="13">
        <f>IF(Time!AM20=1,$F$18,AL19)</f>
        <v/>
      </c>
      <c r="AN20" s="13">
        <f>IF(Time!AN20=1,$F$18,AM19)</f>
        <v/>
      </c>
      <c r="AO20" s="13">
        <f>IF(Time!AO20=1,$F$18,AN19)</f>
        <v/>
      </c>
      <c r="AP20" s="13">
        <f>IF(Time!AP20=1,$F$18,AO19)</f>
        <v/>
      </c>
      <c r="AQ20" s="13">
        <f>IF(Time!AQ20=1,$F$18,AP19)</f>
        <v/>
      </c>
      <c r="AR20" s="13">
        <f>IF(Time!AR20=1,$F$18,AQ19)</f>
        <v/>
      </c>
      <c r="AS20" s="13">
        <f>IF(Time!AS20=1,$F$18,AR19)</f>
        <v/>
      </c>
      <c r="AT20" s="13">
        <f>IF(Time!AT20=1,$F$18,AS19)</f>
        <v/>
      </c>
      <c r="AU20" s="13">
        <f>IF(Time!AU20=1,$F$18,AT19)</f>
        <v/>
      </c>
      <c r="AV20" s="13">
        <f>IF(Time!AV20=1,$F$18,AU19)</f>
        <v/>
      </c>
      <c r="AW20" s="13">
        <f>IF(Time!AW20=1,$F$18,AV19)</f>
        <v/>
      </c>
      <c r="AX20" s="13">
        <f>IF(Time!AX20=1,$F$18,AW19)</f>
        <v/>
      </c>
      <c r="AY20" s="13">
        <f>IF(Time!AY20=1,$F$18,AX19)</f>
        <v/>
      </c>
      <c r="AZ20" s="13">
        <f>IF(Time!AZ20=1,$F$18,AY19)</f>
        <v/>
      </c>
      <c r="BA20" s="13">
        <f>IF(Time!BA20=1,$F$18,AZ19)</f>
        <v/>
      </c>
      <c r="BB20" s="13">
        <f>IF(Time!BB20=1,$F$18,BA19)</f>
        <v/>
      </c>
      <c r="BC20" s="13">
        <f>IF(Time!BC20=1,$F$18,BB19)</f>
        <v/>
      </c>
      <c r="BD20" s="13">
        <f>IF(Time!BD20=1,$F$18,BC19)</f>
        <v/>
      </c>
      <c r="BE20" s="13">
        <f>IF(Time!BE20=1,$F$18,BD19)</f>
        <v/>
      </c>
      <c r="BF20" s="13">
        <f>IF(Time!BF20=1,$F$18,BE19)</f>
        <v/>
      </c>
      <c r="BG20" s="13">
        <f>IF(Time!BG20=1,$F$18,BF19)</f>
        <v/>
      </c>
      <c r="BH20" s="13">
        <f>IF(Time!BH20=1,$F$18,BG19)</f>
        <v/>
      </c>
      <c r="BI20" s="13">
        <f>IF(Time!BI20=1,$F$18,BH19)</f>
        <v/>
      </c>
      <c r="BJ20" s="13">
        <f>IF(Time!BJ20=1,$F$18,BI19)</f>
        <v/>
      </c>
      <c r="BK20" s="13">
        <f>IF(Time!BK20=1,$F$18,BJ19)</f>
        <v/>
      </c>
      <c r="BL20" s="13">
        <f>IF(Time!BL20=1,$F$18,BK19)</f>
        <v/>
      </c>
      <c r="BM20" s="13">
        <f>IF(Time!BM20=1,$F$18,BL19)</f>
        <v/>
      </c>
      <c r="BN20" s="13">
        <f>IF(Time!BN20=1,$F$18,BM19)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IF(Time!J20=1,$F$24,I25)</f>
        <v/>
      </c>
      <c r="K26" s="13">
        <f>IF(Time!K20=1,$F$24,J25)</f>
        <v/>
      </c>
      <c r="L26" s="13">
        <f>IF(Time!L20=1,$F$24,K25)</f>
        <v/>
      </c>
      <c r="M26" s="13">
        <f>IF(Time!M20=1,$F$24,L25)</f>
        <v/>
      </c>
      <c r="N26" s="13">
        <f>IF(Time!N20=1,$F$24,M25)</f>
        <v/>
      </c>
      <c r="O26" s="13">
        <f>IF(Time!O20=1,$F$24,N25)</f>
        <v/>
      </c>
      <c r="P26" s="13">
        <f>IF(Time!P20=1,$F$24,O25)</f>
        <v/>
      </c>
      <c r="Q26" s="13">
        <f>IF(Time!Q20=1,$F$24,P25)</f>
        <v/>
      </c>
      <c r="R26" s="13">
        <f>IF(Time!R20=1,$F$24,Q25)</f>
        <v/>
      </c>
      <c r="S26" s="13">
        <f>IF(Time!S20=1,$F$24,R25)</f>
        <v/>
      </c>
      <c r="T26" s="13">
        <f>IF(Time!T20=1,$F$24,S25)</f>
        <v/>
      </c>
      <c r="U26" s="13">
        <f>IF(Time!U20=1,$F$24,T25)</f>
        <v/>
      </c>
      <c r="V26" s="13">
        <f>IF(Time!V20=1,$F$24,U25)</f>
        <v/>
      </c>
      <c r="W26" s="13">
        <f>IF(Time!W20=1,$F$24,V25)</f>
        <v/>
      </c>
      <c r="X26" s="13">
        <f>IF(Time!X20=1,$F$24,W25)</f>
        <v/>
      </c>
      <c r="Y26" s="13">
        <f>IF(Time!Y20=1,$F$24,X25)</f>
        <v/>
      </c>
      <c r="Z26" s="13">
        <f>IF(Time!Z20=1,$F$24,Y25)</f>
        <v/>
      </c>
      <c r="AA26" s="13">
        <f>IF(Time!AA20=1,$F$24,Z25)</f>
        <v/>
      </c>
      <c r="AB26" s="13">
        <f>IF(Time!AB20=1,$F$24,AA25)</f>
        <v/>
      </c>
      <c r="AC26" s="13">
        <f>IF(Time!AC20=1,$F$24,AB25)</f>
        <v/>
      </c>
      <c r="AD26" s="13">
        <f>IF(Time!AD20=1,$F$24,AC25)</f>
        <v/>
      </c>
      <c r="AE26" s="13">
        <f>IF(Time!AE20=1,$F$24,AD25)</f>
        <v/>
      </c>
      <c r="AF26" s="13">
        <f>IF(Time!AF20=1,$F$24,AE25)</f>
        <v/>
      </c>
      <c r="AG26" s="13">
        <f>IF(Time!AG20=1,$F$24,AF25)</f>
        <v/>
      </c>
      <c r="AH26" s="13">
        <f>IF(Time!AH20=1,$F$24,AG25)</f>
        <v/>
      </c>
      <c r="AI26" s="13">
        <f>IF(Time!AI20=1,$F$24,AH25)</f>
        <v/>
      </c>
      <c r="AJ26" s="13">
        <f>IF(Time!AJ20=1,$F$24,AI25)</f>
        <v/>
      </c>
      <c r="AK26" s="13">
        <f>IF(Time!AK20=1,$F$24,AJ25)</f>
        <v/>
      </c>
      <c r="AL26" s="13">
        <f>IF(Time!AL20=1,$F$24,AK25)</f>
        <v/>
      </c>
      <c r="AM26" s="13">
        <f>IF(Time!AM20=1,$F$24,AL25)</f>
        <v/>
      </c>
      <c r="AN26" s="13">
        <f>IF(Time!AN20=1,$F$24,AM25)</f>
        <v/>
      </c>
      <c r="AO26" s="13">
        <f>IF(Time!AO20=1,$F$24,AN25)</f>
        <v/>
      </c>
      <c r="AP26" s="13">
        <f>IF(Time!AP20=1,$F$24,AO25)</f>
        <v/>
      </c>
      <c r="AQ26" s="13">
        <f>IF(Time!AQ20=1,$F$24,AP25)</f>
        <v/>
      </c>
      <c r="AR26" s="13">
        <f>IF(Time!AR20=1,$F$24,AQ25)</f>
        <v/>
      </c>
      <c r="AS26" s="13">
        <f>IF(Time!AS20=1,$F$24,AR25)</f>
        <v/>
      </c>
      <c r="AT26" s="13">
        <f>IF(Time!AT20=1,$F$24,AS25)</f>
        <v/>
      </c>
      <c r="AU26" s="13">
        <f>IF(Time!AU20=1,$F$24,AT25)</f>
        <v/>
      </c>
      <c r="AV26" s="13">
        <f>IF(Time!AV20=1,$F$24,AU25)</f>
        <v/>
      </c>
      <c r="AW26" s="13">
        <f>IF(Time!AW20=1,$F$24,AV25)</f>
        <v/>
      </c>
      <c r="AX26" s="13">
        <f>IF(Time!AX20=1,$F$24,AW25)</f>
        <v/>
      </c>
      <c r="AY26" s="13">
        <f>IF(Time!AY20=1,$F$24,AX25)</f>
        <v/>
      </c>
      <c r="AZ26" s="13">
        <f>IF(Time!AZ20=1,$F$24,AY25)</f>
        <v/>
      </c>
      <c r="BA26" s="13">
        <f>IF(Time!BA20=1,$F$24,AZ25)</f>
        <v/>
      </c>
      <c r="BB26" s="13">
        <f>IF(Time!BB20=1,$F$24,BA25)</f>
        <v/>
      </c>
      <c r="BC26" s="13">
        <f>IF(Time!BC20=1,$F$24,BB25)</f>
        <v/>
      </c>
      <c r="BD26" s="13">
        <f>IF(Time!BD20=1,$F$24,BC25)</f>
        <v/>
      </c>
      <c r="BE26" s="13">
        <f>IF(Time!BE20=1,$F$24,BD25)</f>
        <v/>
      </c>
      <c r="BF26" s="13">
        <f>IF(Time!BF20=1,$F$24,BE25)</f>
        <v/>
      </c>
      <c r="BG26" s="13">
        <f>IF(Time!BG20=1,$F$24,BF25)</f>
        <v/>
      </c>
      <c r="BH26" s="13">
        <f>IF(Time!BH20=1,$F$24,BG25)</f>
        <v/>
      </c>
      <c r="BI26" s="13">
        <f>IF(Time!BI20=1,$F$24,BH25)</f>
        <v/>
      </c>
      <c r="BJ26" s="13">
        <f>IF(Time!BJ20=1,$F$24,BI25)</f>
        <v/>
      </c>
      <c r="BK26" s="13">
        <f>IF(Time!BK20=1,$F$24,BJ25)</f>
        <v/>
      </c>
      <c r="BL26" s="13">
        <f>IF(Time!BL20=1,$F$24,BK25)</f>
        <v/>
      </c>
      <c r="BM26" s="13">
        <f>IF(Time!BM20=1,$F$24,BL25)</f>
        <v/>
      </c>
      <c r="BN26" s="13">
        <f>IF(Time!BN20=1,$F$24,BM25)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MIN(1,J32/Inputs!$F$133)</f>
        <v/>
      </c>
      <c r="K47" s="13">
        <f>MIN(1,K32/Inputs!$F$133)</f>
        <v/>
      </c>
      <c r="L47" s="13">
        <f>MIN(1,L32/Inputs!$F$133)</f>
        <v/>
      </c>
      <c r="M47" s="13">
        <f>MIN(1,M32/Inputs!$F$133)</f>
        <v/>
      </c>
      <c r="N47" s="13">
        <f>MIN(1,N32/Inputs!$F$133)</f>
        <v/>
      </c>
      <c r="O47" s="13">
        <f>MIN(1,O32/Inputs!$F$133)</f>
        <v/>
      </c>
      <c r="P47" s="13">
        <f>MIN(1,P32/Inputs!$F$133)</f>
        <v/>
      </c>
      <c r="Q47" s="13">
        <f>MIN(1,Q32/Inputs!$F$133)</f>
        <v/>
      </c>
      <c r="R47" s="13">
        <f>MIN(1,R32/Inputs!$F$133)</f>
        <v/>
      </c>
      <c r="S47" s="13">
        <f>MIN(1,S32/Inputs!$F$133)</f>
        <v/>
      </c>
      <c r="T47" s="13">
        <f>MIN(1,T32/Inputs!$F$133)</f>
        <v/>
      </c>
      <c r="U47" s="13">
        <f>MIN(1,U32/Inputs!$F$133)</f>
        <v/>
      </c>
      <c r="V47" s="13">
        <f>MIN(1,V32/Inputs!$F$133)</f>
        <v/>
      </c>
      <c r="W47" s="13">
        <f>MIN(1,W32/Inputs!$F$133)</f>
        <v/>
      </c>
      <c r="X47" s="13">
        <f>MIN(1,X32/Inputs!$F$133)</f>
        <v/>
      </c>
      <c r="Y47" s="13">
        <f>MIN(1,Y32/Inputs!$F$133)</f>
        <v/>
      </c>
      <c r="Z47" s="13">
        <f>MIN(1,Z32/Inputs!$F$133)</f>
        <v/>
      </c>
      <c r="AA47" s="13">
        <f>MIN(1,AA32/Inputs!$F$133)</f>
        <v/>
      </c>
      <c r="AB47" s="13">
        <f>MIN(1,AB32/Inputs!$F$133)</f>
        <v/>
      </c>
      <c r="AC47" s="13">
        <f>MIN(1,AC32/Inputs!$F$133)</f>
        <v/>
      </c>
      <c r="AD47" s="13">
        <f>MIN(1,AD32/Inputs!$F$133)</f>
        <v/>
      </c>
      <c r="AE47" s="13">
        <f>MIN(1,AE32/Inputs!$F$133)</f>
        <v/>
      </c>
      <c r="AF47" s="13">
        <f>MIN(1,AF32/Inputs!$F$133)</f>
        <v/>
      </c>
      <c r="AG47" s="13">
        <f>MIN(1,AG32/Inputs!$F$133)</f>
        <v/>
      </c>
      <c r="AH47" s="13">
        <f>MIN(1,AH32/Inputs!$F$133)</f>
        <v/>
      </c>
      <c r="AI47" s="13">
        <f>MIN(1,AI32/Inputs!$F$133)</f>
        <v/>
      </c>
      <c r="AJ47" s="13">
        <f>MIN(1,AJ32/Inputs!$F$133)</f>
        <v/>
      </c>
      <c r="AK47" s="13">
        <f>MIN(1,AK32/Inputs!$F$133)</f>
        <v/>
      </c>
      <c r="AL47" s="13">
        <f>MIN(1,AL32/Inputs!$F$133)</f>
        <v/>
      </c>
      <c r="AM47" s="13">
        <f>MIN(1,AM32/Inputs!$F$133)</f>
        <v/>
      </c>
      <c r="AN47" s="13">
        <f>MIN(1,AN32/Inputs!$F$133)</f>
        <v/>
      </c>
      <c r="AO47" s="13">
        <f>MIN(1,AO32/Inputs!$F$133)</f>
        <v/>
      </c>
      <c r="AP47" s="13">
        <f>MIN(1,AP32/Inputs!$F$133)</f>
        <v/>
      </c>
      <c r="AQ47" s="13">
        <f>MIN(1,AQ32/Inputs!$F$133)</f>
        <v/>
      </c>
      <c r="AR47" s="13">
        <f>MIN(1,AR32/Inputs!$F$133)</f>
        <v/>
      </c>
      <c r="AS47" s="13">
        <f>MIN(1,AS32/Inputs!$F$133)</f>
        <v/>
      </c>
      <c r="AT47" s="13">
        <f>MIN(1,AT32/Inputs!$F$133)</f>
        <v/>
      </c>
      <c r="AU47" s="13">
        <f>MIN(1,AU32/Inputs!$F$133)</f>
        <v/>
      </c>
      <c r="AV47" s="13">
        <f>MIN(1,AV32/Inputs!$F$133)</f>
        <v/>
      </c>
      <c r="AW47" s="13">
        <f>MIN(1,AW32/Inputs!$F$133)</f>
        <v/>
      </c>
      <c r="AX47" s="13">
        <f>MIN(1,AX32/Inputs!$F$133)</f>
        <v/>
      </c>
      <c r="AY47" s="13">
        <f>MIN(1,AY32/Inputs!$F$133)</f>
        <v/>
      </c>
      <c r="AZ47" s="13">
        <f>MIN(1,AZ32/Inputs!$F$133)</f>
        <v/>
      </c>
      <c r="BA47" s="13">
        <f>MIN(1,BA32/Inputs!$F$133)</f>
        <v/>
      </c>
      <c r="BB47" s="13">
        <f>MIN(1,BB32/Inputs!$F$133)</f>
        <v/>
      </c>
      <c r="BC47" s="13">
        <f>MIN(1,BC32/Inputs!$F$133)</f>
        <v/>
      </c>
      <c r="BD47" s="13">
        <f>MIN(1,BD32/Inputs!$F$133)</f>
        <v/>
      </c>
      <c r="BE47" s="13">
        <f>MIN(1,BE32/Inputs!$F$133)</f>
        <v/>
      </c>
      <c r="BF47" s="13">
        <f>MIN(1,BF32/Inputs!$F$133)</f>
        <v/>
      </c>
      <c r="BG47" s="13">
        <f>MIN(1,BG32/Inputs!$F$133)</f>
        <v/>
      </c>
      <c r="BH47" s="13">
        <f>MIN(1,BH32/Inputs!$F$133)</f>
        <v/>
      </c>
      <c r="BI47" s="13">
        <f>MIN(1,BI32/Inputs!$F$133)</f>
        <v/>
      </c>
      <c r="BJ47" s="13">
        <f>MIN(1,BJ32/Inputs!$F$133)</f>
        <v/>
      </c>
      <c r="BK47" s="13">
        <f>MIN(1,BK32/Inputs!$F$133)</f>
        <v/>
      </c>
      <c r="BL47" s="13">
        <f>MIN(1,BL32/Inputs!$F$133)</f>
        <v/>
      </c>
      <c r="BM47" s="13">
        <f>MIN(1,BM32/Inputs!$F$133)</f>
        <v/>
      </c>
      <c r="BN47" s="13">
        <f>MIN(1,BN32/Inputs!$F$133)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</f>
        <v/>
      </c>
      <c r="K51" s="13">
        <f>K38*K40*(1000*Inputs!$F$123/Inputs!$F$124)*K41/1000000</f>
        <v/>
      </c>
      <c r="L51" s="13">
        <f>L38*L40*(1000*Inputs!$F$123/Inputs!$F$124)*L41/1000000</f>
        <v/>
      </c>
      <c r="M51" s="13">
        <f>M38*M40*(1000*Inputs!$F$123/Inputs!$F$124)*M41/1000000</f>
        <v/>
      </c>
      <c r="N51" s="13">
        <f>N38*N40*(1000*Inputs!$F$123/Inputs!$F$124)*N41/1000000</f>
        <v/>
      </c>
      <c r="O51" s="13">
        <f>O38*O40*(1000*Inputs!$F$123/Inputs!$F$124)*O41/1000000</f>
        <v/>
      </c>
      <c r="P51" s="13">
        <f>P38*P40*(1000*Inputs!$F$123/Inputs!$F$124)*P41/1000000</f>
        <v/>
      </c>
      <c r="Q51" s="13">
        <f>Q38*Q40*(1000*Inputs!$F$123/Inputs!$F$124)*Q41/1000000</f>
        <v/>
      </c>
      <c r="R51" s="13">
        <f>R38*R40*(1000*Inputs!$F$123/Inputs!$F$124)*R41/1000000</f>
        <v/>
      </c>
      <c r="S51" s="13">
        <f>S38*S40*(1000*Inputs!$F$123/Inputs!$F$124)*S41/1000000</f>
        <v/>
      </c>
      <c r="T51" s="13">
        <f>T38*T40*(1000*Inputs!$F$123/Inputs!$F$124)*T41/1000000</f>
        <v/>
      </c>
      <c r="U51" s="13">
        <f>U38*U40*(1000*Inputs!$F$123/Inputs!$F$124)*U41/1000000</f>
        <v/>
      </c>
      <c r="V51" s="13">
        <f>V38*V40*(1000*Inputs!$F$123/Inputs!$F$124)*V41/1000000</f>
        <v/>
      </c>
      <c r="W51" s="13">
        <f>W38*W40*(1000*Inputs!$F$123/Inputs!$F$124)*W41/1000000</f>
        <v/>
      </c>
      <c r="X51" s="13">
        <f>X38*X40*(1000*Inputs!$F$123/Inputs!$F$124)*X41/1000000</f>
        <v/>
      </c>
      <c r="Y51" s="13">
        <f>Y38*Y40*(1000*Inputs!$F$123/Inputs!$F$124)*Y41/1000000</f>
        <v/>
      </c>
      <c r="Z51" s="13">
        <f>Z38*Z40*(1000*Inputs!$F$123/Inputs!$F$124)*Z41/1000000</f>
        <v/>
      </c>
      <c r="AA51" s="13">
        <f>AA38*AA40*(1000*Inputs!$F$123/Inputs!$F$124)*AA41/1000000</f>
        <v/>
      </c>
      <c r="AB51" s="13">
        <f>AB38*AB40*(1000*Inputs!$F$123/Inputs!$F$124)*AB41/1000000</f>
        <v/>
      </c>
      <c r="AC51" s="13">
        <f>AC38*AC40*(1000*Inputs!$F$123/Inputs!$F$124)*AC41/1000000</f>
        <v/>
      </c>
      <c r="AD51" s="13">
        <f>AD38*AD40*(1000*Inputs!$F$123/Inputs!$F$124)*AD41/1000000</f>
        <v/>
      </c>
      <c r="AE51" s="13">
        <f>AE38*AE40*(1000*Inputs!$F$123/Inputs!$F$124)*AE41/1000000</f>
        <v/>
      </c>
      <c r="AF51" s="13">
        <f>AF38*AF40*(1000*Inputs!$F$123/Inputs!$F$124)*AF41/1000000</f>
        <v/>
      </c>
      <c r="AG51" s="13">
        <f>AG38*AG40*(1000*Inputs!$F$123/Inputs!$F$124)*AG41/1000000</f>
        <v/>
      </c>
      <c r="AH51" s="13">
        <f>AH38*AH40*(1000*Inputs!$F$123/Inputs!$F$124)*AH41/1000000</f>
        <v/>
      </c>
      <c r="AI51" s="13">
        <f>AI38*AI40*(1000*Inputs!$F$123/Inputs!$F$124)*AI41/1000000</f>
        <v/>
      </c>
      <c r="AJ51" s="13">
        <f>AJ38*AJ40*(1000*Inputs!$F$123/Inputs!$F$124)*AJ41/1000000</f>
        <v/>
      </c>
      <c r="AK51" s="13">
        <f>AK38*AK40*(1000*Inputs!$F$123/Inputs!$F$124)*AK41/1000000</f>
        <v/>
      </c>
      <c r="AL51" s="13">
        <f>AL38*AL40*(1000*Inputs!$F$123/Inputs!$F$124)*AL41/1000000</f>
        <v/>
      </c>
      <c r="AM51" s="13">
        <f>AM38*AM40*(1000*Inputs!$F$123/Inputs!$F$124)*AM41/1000000</f>
        <v/>
      </c>
      <c r="AN51" s="13">
        <f>AN38*AN40*(1000*Inputs!$F$123/Inputs!$F$124)*AN41/1000000</f>
        <v/>
      </c>
      <c r="AO51" s="13">
        <f>AO38*AO40*(1000*Inputs!$F$123/Inputs!$F$124)*AO41/1000000</f>
        <v/>
      </c>
      <c r="AP51" s="13">
        <f>AP38*AP40*(1000*Inputs!$F$123/Inputs!$F$124)*AP41/1000000</f>
        <v/>
      </c>
      <c r="AQ51" s="13">
        <f>AQ38*AQ40*(1000*Inputs!$F$123/Inputs!$F$124)*AQ41/1000000</f>
        <v/>
      </c>
      <c r="AR51" s="13">
        <f>AR38*AR40*(1000*Inputs!$F$123/Inputs!$F$124)*AR41/1000000</f>
        <v/>
      </c>
      <c r="AS51" s="13">
        <f>AS38*AS40*(1000*Inputs!$F$123/Inputs!$F$124)*AS41/1000000</f>
        <v/>
      </c>
      <c r="AT51" s="13">
        <f>AT38*AT40*(1000*Inputs!$F$123/Inputs!$F$124)*AT41/1000000</f>
        <v/>
      </c>
      <c r="AU51" s="13">
        <f>AU38*AU40*(1000*Inputs!$F$123/Inputs!$F$124)*AU41/1000000</f>
        <v/>
      </c>
      <c r="AV51" s="13">
        <f>AV38*AV40*(1000*Inputs!$F$123/Inputs!$F$124)*AV41/1000000</f>
        <v/>
      </c>
      <c r="AW51" s="13">
        <f>AW38*AW40*(1000*Inputs!$F$123/Inputs!$F$124)*AW41/1000000</f>
        <v/>
      </c>
      <c r="AX51" s="13">
        <f>AX38*AX40*(1000*Inputs!$F$123/Inputs!$F$124)*AX41/1000000</f>
        <v/>
      </c>
      <c r="AY51" s="13">
        <f>AY38*AY40*(1000*Inputs!$F$123/Inputs!$F$124)*AY41/1000000</f>
        <v/>
      </c>
      <c r="AZ51" s="13">
        <f>AZ38*AZ40*(1000*Inputs!$F$123/Inputs!$F$124)*AZ41/1000000</f>
        <v/>
      </c>
      <c r="BA51" s="13">
        <f>BA38*BA40*(1000*Inputs!$F$123/Inputs!$F$124)*BA41/1000000</f>
        <v/>
      </c>
      <c r="BB51" s="13">
        <f>BB38*BB40*(1000*Inputs!$F$123/Inputs!$F$124)*BB41/1000000</f>
        <v/>
      </c>
      <c r="BC51" s="13">
        <f>BC38*BC40*(1000*Inputs!$F$123/Inputs!$F$124)*BC41/1000000</f>
        <v/>
      </c>
      <c r="BD51" s="13">
        <f>BD38*BD40*(1000*Inputs!$F$123/Inputs!$F$124)*BD41/1000000</f>
        <v/>
      </c>
      <c r="BE51" s="13">
        <f>BE38*BE40*(1000*Inputs!$F$123/Inputs!$F$124)*BE41/1000000</f>
        <v/>
      </c>
      <c r="BF51" s="13">
        <f>BF38*BF40*(1000*Inputs!$F$123/Inputs!$F$124)*BF41/1000000</f>
        <v/>
      </c>
      <c r="BG51" s="13">
        <f>BG38*BG40*(1000*Inputs!$F$123/Inputs!$F$124)*BG41/1000000</f>
        <v/>
      </c>
      <c r="BH51" s="13">
        <f>BH38*BH40*(1000*Inputs!$F$123/Inputs!$F$124)*BH41/1000000</f>
        <v/>
      </c>
      <c r="BI51" s="13">
        <f>BI38*BI40*(1000*Inputs!$F$123/Inputs!$F$124)*BI41/1000000</f>
        <v/>
      </c>
      <c r="BJ51" s="13">
        <f>BJ38*BJ40*(1000*Inputs!$F$123/Inputs!$F$124)*BJ41/1000000</f>
        <v/>
      </c>
      <c r="BK51" s="13">
        <f>BK38*BK40*(1000*Inputs!$F$123/Inputs!$F$124)*BK41/1000000</f>
        <v/>
      </c>
      <c r="BL51" s="13">
        <f>BL38*BL40*(1000*Inputs!$F$123/Inputs!$F$124)*BL41/1000000</f>
        <v/>
      </c>
      <c r="BM51" s="13">
        <f>BM38*BM40*(1000*Inputs!$F$123/Inputs!$F$124)*BM41/1000000</f>
        <v/>
      </c>
      <c r="BN51" s="13">
        <f>BN38*BN40*(1000*Inputs!$F$123/Inputs!$F$124)*BN41/1000000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IF(J31&gt;0,Inputs!$F$258*(Inputs!$F$129*J32/J31*J37/Inputs!$F$131+Inputs!$F$130*Inputs!$F$132)*Time!J30/12,0)</f>
        <v/>
      </c>
      <c r="K63" s="15">
        <f>IF(K31&gt;0,Inputs!$F$258*(Inputs!$F$129*K32/K31*K37/Inputs!$F$131+Inputs!$F$130*Inputs!$F$132)*Time!K30/12,0)</f>
        <v/>
      </c>
      <c r="L63" s="15">
        <f>IF(L31&gt;0,Inputs!$F$258*(Inputs!$F$129*L32/L31*L37/Inputs!$F$131+Inputs!$F$130*Inputs!$F$132)*Time!L30/12,0)</f>
        <v/>
      </c>
      <c r="M63" s="15">
        <f>IF(M31&gt;0,Inputs!$F$258*(Inputs!$F$129*M32/M31*M37/Inputs!$F$131+Inputs!$F$130*Inputs!$F$132)*Time!M30/12,0)</f>
        <v/>
      </c>
      <c r="N63" s="15">
        <f>IF(N31&gt;0,Inputs!$F$258*(Inputs!$F$129*N32/N31*N37/Inputs!$F$131+Inputs!$F$130*Inputs!$F$132)*Time!N30/12,0)</f>
        <v/>
      </c>
      <c r="O63" s="15">
        <f>IF(O31&gt;0,Inputs!$F$258*(Inputs!$F$129*O32/O31*O37/Inputs!$F$131+Inputs!$F$130*Inputs!$F$132)*Time!O30/12,0)</f>
        <v/>
      </c>
      <c r="P63" s="15">
        <f>IF(P31&gt;0,Inputs!$F$258*(Inputs!$F$129*P32/P31*P37/Inputs!$F$131+Inputs!$F$130*Inputs!$F$132)*Time!P30/12,0)</f>
        <v/>
      </c>
      <c r="Q63" s="15">
        <f>IF(Q31&gt;0,Inputs!$F$258*(Inputs!$F$129*Q32/Q31*Q37/Inputs!$F$131+Inputs!$F$130*Inputs!$F$132)*Time!Q30/12,0)</f>
        <v/>
      </c>
      <c r="R63" s="15">
        <f>IF(R31&gt;0,Inputs!$F$258*(Inputs!$F$129*R32/R31*R37/Inputs!$F$131+Inputs!$F$130*Inputs!$F$132)*Time!R30/12,0)</f>
        <v/>
      </c>
      <c r="S63" s="15">
        <f>IF(S31&gt;0,Inputs!$F$258*(Inputs!$F$129*S32/S31*S37/Inputs!$F$131+Inputs!$F$130*Inputs!$F$132)*Time!S30/12,0)</f>
        <v/>
      </c>
      <c r="T63" s="15">
        <f>IF(T31&gt;0,Inputs!$F$258*(Inputs!$F$129*T32/T31*T37/Inputs!$F$131+Inputs!$F$130*Inputs!$F$132)*Time!T30/12,0)</f>
        <v/>
      </c>
      <c r="U63" s="15">
        <f>IF(U31&gt;0,Inputs!$F$258*(Inputs!$F$129*U32/U31*U37/Inputs!$F$131+Inputs!$F$130*Inputs!$F$132)*Time!U30/12,0)</f>
        <v/>
      </c>
      <c r="V63" s="15">
        <f>IF(V31&gt;0,Inputs!$F$258*(Inputs!$F$129*V32/V31*V37/Inputs!$F$131+Inputs!$F$130*Inputs!$F$132)*Time!V30/12,0)</f>
        <v/>
      </c>
      <c r="W63" s="15">
        <f>IF(W31&gt;0,Inputs!$F$258*(Inputs!$F$129*W32/W31*W37/Inputs!$F$131+Inputs!$F$130*Inputs!$F$132)*Time!W30/12,0)</f>
        <v/>
      </c>
      <c r="X63" s="15">
        <f>IF(X31&gt;0,Inputs!$F$258*(Inputs!$F$129*X32/X31*X37/Inputs!$F$131+Inputs!$F$130*Inputs!$F$132)*Time!X30/12,0)</f>
        <v/>
      </c>
      <c r="Y63" s="15">
        <f>IF(Y31&gt;0,Inputs!$F$258*(Inputs!$F$129*Y32/Y31*Y37/Inputs!$F$131+Inputs!$F$130*Inputs!$F$132)*Time!Y30/12,0)</f>
        <v/>
      </c>
      <c r="Z63" s="15">
        <f>IF(Z31&gt;0,Inputs!$F$258*(Inputs!$F$129*Z32/Z31*Z37/Inputs!$F$131+Inputs!$F$130*Inputs!$F$132)*Time!Z30/12,0)</f>
        <v/>
      </c>
      <c r="AA63" s="15">
        <f>IF(AA31&gt;0,Inputs!$F$258*(Inputs!$F$129*AA32/AA31*AA37/Inputs!$F$131+Inputs!$F$130*Inputs!$F$132)*Time!AA30/12,0)</f>
        <v/>
      </c>
      <c r="AB63" s="15">
        <f>IF(AB31&gt;0,Inputs!$F$258*(Inputs!$F$129*AB32/AB31*AB37/Inputs!$F$131+Inputs!$F$130*Inputs!$F$132)*Time!AB30/12,0)</f>
        <v/>
      </c>
      <c r="AC63" s="15">
        <f>IF(AC31&gt;0,Inputs!$F$258*(Inputs!$F$129*AC32/AC31*AC37/Inputs!$F$131+Inputs!$F$130*Inputs!$F$132)*Time!AC30/12,0)</f>
        <v/>
      </c>
      <c r="AD63" s="15">
        <f>IF(AD31&gt;0,Inputs!$F$258*(Inputs!$F$129*AD32/AD31*AD37/Inputs!$F$131+Inputs!$F$130*Inputs!$F$132)*Time!AD30/12,0)</f>
        <v/>
      </c>
      <c r="AE63" s="15">
        <f>IF(AE31&gt;0,Inputs!$F$258*(Inputs!$F$129*AE32/AE31*AE37/Inputs!$F$131+Inputs!$F$130*Inputs!$F$132)*Time!AE30/12,0)</f>
        <v/>
      </c>
      <c r="AF63" s="15">
        <f>IF(AF31&gt;0,Inputs!$F$258*(Inputs!$F$129*AF32/AF31*AF37/Inputs!$F$131+Inputs!$F$130*Inputs!$F$132)*Time!AF30/12,0)</f>
        <v/>
      </c>
      <c r="AG63" s="15">
        <f>IF(AG31&gt;0,Inputs!$F$258*(Inputs!$F$129*AG32/AG31*AG37/Inputs!$F$131+Inputs!$F$130*Inputs!$F$132)*Time!AG30/12,0)</f>
        <v/>
      </c>
      <c r="AH63" s="15">
        <f>IF(AH31&gt;0,Inputs!$F$258*(Inputs!$F$129*AH32/AH31*AH37/Inputs!$F$131+Inputs!$F$130*Inputs!$F$132)*Time!AH30/12,0)</f>
        <v/>
      </c>
      <c r="AI63" s="15">
        <f>IF(AI31&gt;0,Inputs!$F$258*(Inputs!$F$129*AI32/AI31*AI37/Inputs!$F$131+Inputs!$F$130*Inputs!$F$132)*Time!AI30/12,0)</f>
        <v/>
      </c>
      <c r="AJ63" s="15">
        <f>IF(AJ31&gt;0,Inputs!$F$258*(Inputs!$F$129*AJ32/AJ31*AJ37/Inputs!$F$131+Inputs!$F$130*Inputs!$F$132)*Time!AJ30/12,0)</f>
        <v/>
      </c>
      <c r="AK63" s="15">
        <f>IF(AK31&gt;0,Inputs!$F$258*(Inputs!$F$129*AK32/AK31*AK37/Inputs!$F$131+Inputs!$F$130*Inputs!$F$132)*Time!AK30/12,0)</f>
        <v/>
      </c>
      <c r="AL63" s="15">
        <f>IF(AL31&gt;0,Inputs!$F$258*(Inputs!$F$129*AL32/AL31*AL37/Inputs!$F$131+Inputs!$F$130*Inputs!$F$132)*Time!AL30/12,0)</f>
        <v/>
      </c>
      <c r="AM63" s="15">
        <f>IF(AM31&gt;0,Inputs!$F$258*(Inputs!$F$129*AM32/AM31*AM37/Inputs!$F$131+Inputs!$F$130*Inputs!$F$132)*Time!AM30/12,0)</f>
        <v/>
      </c>
      <c r="AN63" s="15">
        <f>IF(AN31&gt;0,Inputs!$F$258*(Inputs!$F$129*AN32/AN31*AN37/Inputs!$F$131+Inputs!$F$130*Inputs!$F$132)*Time!AN30/12,0)</f>
        <v/>
      </c>
      <c r="AO63" s="15">
        <f>IF(AO31&gt;0,Inputs!$F$258*(Inputs!$F$129*AO32/AO31*AO37/Inputs!$F$131+Inputs!$F$130*Inputs!$F$132)*Time!AO30/12,0)</f>
        <v/>
      </c>
      <c r="AP63" s="15">
        <f>IF(AP31&gt;0,Inputs!$F$258*(Inputs!$F$129*AP32/AP31*AP37/Inputs!$F$131+Inputs!$F$130*Inputs!$F$132)*Time!AP30/12,0)</f>
        <v/>
      </c>
      <c r="AQ63" s="15">
        <f>IF(AQ31&gt;0,Inputs!$F$258*(Inputs!$F$129*AQ32/AQ31*AQ37/Inputs!$F$131+Inputs!$F$130*Inputs!$F$132)*Time!AQ30/12,0)</f>
        <v/>
      </c>
      <c r="AR63" s="15">
        <f>IF(AR31&gt;0,Inputs!$F$258*(Inputs!$F$129*AR32/AR31*AR37/Inputs!$F$131+Inputs!$F$130*Inputs!$F$132)*Time!AR30/12,0)</f>
        <v/>
      </c>
      <c r="AS63" s="15">
        <f>IF(AS31&gt;0,Inputs!$F$258*(Inputs!$F$129*AS32/AS31*AS37/Inputs!$F$131+Inputs!$F$130*Inputs!$F$132)*Time!AS30/12,0)</f>
        <v/>
      </c>
      <c r="AT63" s="15">
        <f>IF(AT31&gt;0,Inputs!$F$258*(Inputs!$F$129*AT32/AT31*AT37/Inputs!$F$131+Inputs!$F$130*Inputs!$F$132)*Time!AT30/12,0)</f>
        <v/>
      </c>
      <c r="AU63" s="15">
        <f>IF(AU31&gt;0,Inputs!$F$258*(Inputs!$F$129*AU32/AU31*AU37/Inputs!$F$131+Inputs!$F$130*Inputs!$F$132)*Time!AU30/12,0)</f>
        <v/>
      </c>
      <c r="AV63" s="15">
        <f>IF(AV31&gt;0,Inputs!$F$258*(Inputs!$F$129*AV32/AV31*AV37/Inputs!$F$131+Inputs!$F$130*Inputs!$F$132)*Time!AV30/12,0)</f>
        <v/>
      </c>
      <c r="AW63" s="15">
        <f>IF(AW31&gt;0,Inputs!$F$258*(Inputs!$F$129*AW32/AW31*AW37/Inputs!$F$131+Inputs!$F$130*Inputs!$F$132)*Time!AW30/12,0)</f>
        <v/>
      </c>
      <c r="AX63" s="15">
        <f>IF(AX31&gt;0,Inputs!$F$258*(Inputs!$F$129*AX32/AX31*AX37/Inputs!$F$131+Inputs!$F$130*Inputs!$F$132)*Time!AX30/12,0)</f>
        <v/>
      </c>
      <c r="AY63" s="15">
        <f>IF(AY31&gt;0,Inputs!$F$258*(Inputs!$F$129*AY32/AY31*AY37/Inputs!$F$131+Inputs!$F$130*Inputs!$F$132)*Time!AY30/12,0)</f>
        <v/>
      </c>
      <c r="AZ63" s="15">
        <f>IF(AZ31&gt;0,Inputs!$F$258*(Inputs!$F$129*AZ32/AZ31*AZ37/Inputs!$F$131+Inputs!$F$130*Inputs!$F$132)*Time!AZ30/12,0)</f>
        <v/>
      </c>
      <c r="BA63" s="15">
        <f>IF(BA31&gt;0,Inputs!$F$258*(Inputs!$F$129*BA32/BA31*BA37/Inputs!$F$131+Inputs!$F$130*Inputs!$F$132)*Time!BA30/12,0)</f>
        <v/>
      </c>
      <c r="BB63" s="15">
        <f>IF(BB31&gt;0,Inputs!$F$258*(Inputs!$F$129*BB32/BB31*BB37/Inputs!$F$131+Inputs!$F$130*Inputs!$F$132)*Time!BB30/12,0)</f>
        <v/>
      </c>
      <c r="BC63" s="15">
        <f>IF(BC31&gt;0,Inputs!$F$258*(Inputs!$F$129*BC32/BC31*BC37/Inputs!$F$131+Inputs!$F$130*Inputs!$F$132)*Time!BC30/12,0)</f>
        <v/>
      </c>
      <c r="BD63" s="15">
        <f>IF(BD31&gt;0,Inputs!$F$258*(Inputs!$F$129*BD32/BD31*BD37/Inputs!$F$131+Inputs!$F$130*Inputs!$F$132)*Time!BD30/12,0)</f>
        <v/>
      </c>
      <c r="BE63" s="15">
        <f>IF(BE31&gt;0,Inputs!$F$258*(Inputs!$F$129*BE32/BE31*BE37/Inputs!$F$131+Inputs!$F$130*Inputs!$F$132)*Time!BE30/12,0)</f>
        <v/>
      </c>
      <c r="BF63" s="15">
        <f>IF(BF31&gt;0,Inputs!$F$258*(Inputs!$F$129*BF32/BF31*BF37/Inputs!$F$131+Inputs!$F$130*Inputs!$F$132)*Time!BF30/12,0)</f>
        <v/>
      </c>
      <c r="BG63" s="15">
        <f>IF(BG31&gt;0,Inputs!$F$258*(Inputs!$F$129*BG32/BG31*BG37/Inputs!$F$131+Inputs!$F$130*Inputs!$F$132)*Time!BG30/12,0)</f>
        <v/>
      </c>
      <c r="BH63" s="15">
        <f>IF(BH31&gt;0,Inputs!$F$258*(Inputs!$F$129*BH32/BH31*BH37/Inputs!$F$131+Inputs!$F$130*Inputs!$F$132)*Time!BH30/12,0)</f>
        <v/>
      </c>
      <c r="BI63" s="15">
        <f>IF(BI31&gt;0,Inputs!$F$258*(Inputs!$F$129*BI32/BI31*BI37/Inputs!$F$131+Inputs!$F$130*Inputs!$F$132)*Time!BI30/12,0)</f>
        <v/>
      </c>
      <c r="BJ63" s="15">
        <f>IF(BJ31&gt;0,Inputs!$F$258*(Inputs!$F$129*BJ32/BJ31*BJ37/Inputs!$F$131+Inputs!$F$130*Inputs!$F$132)*Time!BJ30/12,0)</f>
        <v/>
      </c>
      <c r="BK63" s="15">
        <f>IF(BK31&gt;0,Inputs!$F$258*(Inputs!$F$129*BK32/BK31*BK37/Inputs!$F$131+Inputs!$F$130*Inputs!$F$132)*Time!BK30/12,0)</f>
        <v/>
      </c>
      <c r="BL63" s="15">
        <f>IF(BL31&gt;0,Inputs!$F$258*(Inputs!$F$129*BL32/BL31*BL37/Inputs!$F$131+Inputs!$F$130*Inputs!$F$132)*Time!BL30/12,0)</f>
        <v/>
      </c>
      <c r="BM63" s="15">
        <f>IF(BM31&gt;0,Inputs!$F$258*(Inputs!$F$129*BM32/BM31*BM37/Inputs!$F$131+Inputs!$F$130*Inputs!$F$132)*Time!BM30/12,0)</f>
        <v/>
      </c>
      <c r="BN63" s="15">
        <f>IF(BN31&gt;0,Inputs!$F$258*(Inputs!$F$129*BN32/BN31*BN37/Inputs!$F$131+Inputs!$F$130*Inputs!$F$132)*Time!BN30/12,0)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MAX(0,MIN(Time!J33,Inputs!$F$228*12)-MIN(Time!J32,Inputs!$F$228*12))</f>
        <v/>
      </c>
      <c r="K7" s="10">
        <f>MAX(0,MIN(Time!K33,Inputs!$F$228*12)-MIN(Time!K32,Inputs!$F$228*12))</f>
        <v/>
      </c>
      <c r="L7" s="10">
        <f>MAX(0,MIN(Time!L33,Inputs!$F$228*12)-MIN(Time!L32,Inputs!$F$228*12))</f>
        <v/>
      </c>
      <c r="M7" s="10">
        <f>MAX(0,MIN(Time!M33,Inputs!$F$228*12)-MIN(Time!M32,Inputs!$F$228*12))</f>
        <v/>
      </c>
      <c r="N7" s="10">
        <f>MAX(0,MIN(Time!N33,Inputs!$F$228*12)-MIN(Time!N32,Inputs!$F$228*12))</f>
        <v/>
      </c>
      <c r="O7" s="10">
        <f>MAX(0,MIN(Time!O33,Inputs!$F$228*12)-MIN(Time!O32,Inputs!$F$228*12))</f>
        <v/>
      </c>
      <c r="P7" s="10">
        <f>MAX(0,MIN(Time!P33,Inputs!$F$228*12)-MIN(Time!P32,Inputs!$F$228*12))</f>
        <v/>
      </c>
      <c r="Q7" s="10">
        <f>MAX(0,MIN(Time!Q33,Inputs!$F$228*12)-MIN(Time!Q32,Inputs!$F$228*12))</f>
        <v/>
      </c>
      <c r="R7" s="10">
        <f>MAX(0,MIN(Time!R33,Inputs!$F$228*12)-MIN(Time!R32,Inputs!$F$228*12))</f>
        <v/>
      </c>
      <c r="S7" s="10">
        <f>MAX(0,MIN(Time!S33,Inputs!$F$228*12)-MIN(Time!S32,Inputs!$F$228*12))</f>
        <v/>
      </c>
      <c r="T7" s="10">
        <f>MAX(0,MIN(Time!T33,Inputs!$F$228*12)-MIN(Time!T32,Inputs!$F$228*12))</f>
        <v/>
      </c>
      <c r="U7" s="10">
        <f>MAX(0,MIN(Time!U33,Inputs!$F$228*12)-MIN(Time!U32,Inputs!$F$228*12))</f>
        <v/>
      </c>
      <c r="V7" s="10">
        <f>MAX(0,MIN(Time!V33,Inputs!$F$228*12)-MIN(Time!V32,Inputs!$F$228*12))</f>
        <v/>
      </c>
      <c r="W7" s="10">
        <f>MAX(0,MIN(Time!W33,Inputs!$F$228*12)-MIN(Time!W32,Inputs!$F$228*12))</f>
        <v/>
      </c>
      <c r="X7" s="10">
        <f>MAX(0,MIN(Time!X33,Inputs!$F$228*12)-MIN(Time!X32,Inputs!$F$228*12))</f>
        <v/>
      </c>
      <c r="Y7" s="10">
        <f>MAX(0,MIN(Time!Y33,Inputs!$F$228*12)-MIN(Time!Y32,Inputs!$F$228*12))</f>
        <v/>
      </c>
      <c r="Z7" s="10">
        <f>MAX(0,MIN(Time!Z33,Inputs!$F$228*12)-MIN(Time!Z32,Inputs!$F$228*12))</f>
        <v/>
      </c>
      <c r="AA7" s="10">
        <f>MAX(0,MIN(Time!AA33,Inputs!$F$228*12)-MIN(Time!AA32,Inputs!$F$228*12))</f>
        <v/>
      </c>
      <c r="AB7" s="10">
        <f>MAX(0,MIN(Time!AB33,Inputs!$F$228*12)-MIN(Time!AB32,Inputs!$F$228*12))</f>
        <v/>
      </c>
      <c r="AC7" s="10">
        <f>MAX(0,MIN(Time!AC33,Inputs!$F$228*12)-MIN(Time!AC32,Inputs!$F$228*12))</f>
        <v/>
      </c>
      <c r="AD7" s="10">
        <f>MAX(0,MIN(Time!AD33,Inputs!$F$228*12)-MIN(Time!AD32,Inputs!$F$228*12))</f>
        <v/>
      </c>
      <c r="AE7" s="10">
        <f>MAX(0,MIN(Time!AE33,Inputs!$F$228*12)-MIN(Time!AE32,Inputs!$F$228*12))</f>
        <v/>
      </c>
      <c r="AF7" s="10">
        <f>MAX(0,MIN(Time!AF33,Inputs!$F$228*12)-MIN(Time!AF32,Inputs!$F$228*12))</f>
        <v/>
      </c>
      <c r="AG7" s="10">
        <f>MAX(0,MIN(Time!AG33,Inputs!$F$228*12)-MIN(Time!AG32,Inputs!$F$228*12))</f>
        <v/>
      </c>
      <c r="AH7" s="10">
        <f>MAX(0,MIN(Time!AH33,Inputs!$F$228*12)-MIN(Time!AH32,Inputs!$F$228*12))</f>
        <v/>
      </c>
      <c r="AI7" s="10">
        <f>MAX(0,MIN(Time!AI33,Inputs!$F$228*12)-MIN(Time!AI32,Inputs!$F$228*12))</f>
        <v/>
      </c>
      <c r="AJ7" s="10">
        <f>MAX(0,MIN(Time!AJ33,Inputs!$F$228*12)-MIN(Time!AJ32,Inputs!$F$228*12))</f>
        <v/>
      </c>
      <c r="AK7" s="10">
        <f>MAX(0,MIN(Time!AK33,Inputs!$F$228*12)-MIN(Time!AK32,Inputs!$F$228*12))</f>
        <v/>
      </c>
      <c r="AL7" s="10">
        <f>MAX(0,MIN(Time!AL33,Inputs!$F$228*12)-MIN(Time!AL32,Inputs!$F$228*12))</f>
        <v/>
      </c>
      <c r="AM7" s="10">
        <f>MAX(0,MIN(Time!AM33,Inputs!$F$228*12)-MIN(Time!AM32,Inputs!$F$228*12))</f>
        <v/>
      </c>
      <c r="AN7" s="10">
        <f>MAX(0,MIN(Time!AN33,Inputs!$F$228*12)-MIN(Time!AN32,Inputs!$F$228*12))</f>
        <v/>
      </c>
      <c r="AO7" s="10">
        <f>MAX(0,MIN(Time!AO33,Inputs!$F$228*12)-MIN(Time!AO32,Inputs!$F$228*12))</f>
        <v/>
      </c>
      <c r="AP7" s="10">
        <f>MAX(0,MIN(Time!AP33,Inputs!$F$228*12)-MIN(Time!AP32,Inputs!$F$228*12))</f>
        <v/>
      </c>
      <c r="AQ7" s="10">
        <f>MAX(0,MIN(Time!AQ33,Inputs!$F$228*12)-MIN(Time!AQ32,Inputs!$F$228*12))</f>
        <v/>
      </c>
      <c r="AR7" s="10">
        <f>MAX(0,MIN(Time!AR33,Inputs!$F$228*12)-MIN(Time!AR32,Inputs!$F$228*12))</f>
        <v/>
      </c>
      <c r="AS7" s="10">
        <f>MAX(0,MIN(Time!AS33,Inputs!$F$228*12)-MIN(Time!AS32,Inputs!$F$228*12))</f>
        <v/>
      </c>
      <c r="AT7" s="10">
        <f>MAX(0,MIN(Time!AT33,Inputs!$F$228*12)-MIN(Time!AT32,Inputs!$F$228*12))</f>
        <v/>
      </c>
      <c r="AU7" s="10">
        <f>MAX(0,MIN(Time!AU33,Inputs!$F$228*12)-MIN(Time!AU32,Inputs!$F$228*12))</f>
        <v/>
      </c>
      <c r="AV7" s="10">
        <f>MAX(0,MIN(Time!AV33,Inputs!$F$228*12)-MIN(Time!AV32,Inputs!$F$228*12))</f>
        <v/>
      </c>
      <c r="AW7" s="10">
        <f>MAX(0,MIN(Time!AW33,Inputs!$F$228*12)-MIN(Time!AW32,Inputs!$F$228*12))</f>
        <v/>
      </c>
      <c r="AX7" s="10">
        <f>MAX(0,MIN(Time!AX33,Inputs!$F$228*12)-MIN(Time!AX32,Inputs!$F$228*12))</f>
        <v/>
      </c>
      <c r="AY7" s="10">
        <f>MAX(0,MIN(Time!AY33,Inputs!$F$228*12)-MIN(Time!AY32,Inputs!$F$228*12))</f>
        <v/>
      </c>
      <c r="AZ7" s="10">
        <f>MAX(0,MIN(Time!AZ33,Inputs!$F$228*12)-MIN(Time!AZ32,Inputs!$F$228*12))</f>
        <v/>
      </c>
      <c r="BA7" s="10">
        <f>MAX(0,MIN(Time!BA33,Inputs!$F$228*12)-MIN(Time!BA32,Inputs!$F$228*12))</f>
        <v/>
      </c>
      <c r="BB7" s="10">
        <f>MAX(0,MIN(Time!BB33,Inputs!$F$228*12)-MIN(Time!BB32,Inputs!$F$228*12))</f>
        <v/>
      </c>
      <c r="BC7" s="10">
        <f>MAX(0,MIN(Time!BC33,Inputs!$F$228*12)-MIN(Time!BC32,Inputs!$F$228*12))</f>
        <v/>
      </c>
      <c r="BD7" s="10">
        <f>MAX(0,MIN(Time!BD33,Inputs!$F$228*12)-MIN(Time!BD32,Inputs!$F$228*12))</f>
        <v/>
      </c>
      <c r="BE7" s="10">
        <f>MAX(0,MIN(Time!BE33,Inputs!$F$228*12)-MIN(Time!BE32,Inputs!$F$228*12))</f>
        <v/>
      </c>
      <c r="BF7" s="10">
        <f>MAX(0,MIN(Time!BF33,Inputs!$F$228*12)-MIN(Time!BF32,Inputs!$F$228*12))</f>
        <v/>
      </c>
      <c r="BG7" s="10">
        <f>MAX(0,MIN(Time!BG33,Inputs!$F$228*12)-MIN(Time!BG32,Inputs!$F$228*12))</f>
        <v/>
      </c>
      <c r="BH7" s="10">
        <f>MAX(0,MIN(Time!BH33,Inputs!$F$228*12)-MIN(Time!BH32,Inputs!$F$228*12))</f>
        <v/>
      </c>
      <c r="BI7" s="10">
        <f>MAX(0,MIN(Time!BI33,Inputs!$F$228*12)-MIN(Time!BI32,Inputs!$F$228*12))</f>
        <v/>
      </c>
      <c r="BJ7" s="10">
        <f>MAX(0,MIN(Time!BJ33,Inputs!$F$228*12)-MIN(Time!BJ32,Inputs!$F$228*12))</f>
        <v/>
      </c>
      <c r="BK7" s="10">
        <f>MAX(0,MIN(Time!BK33,Inputs!$F$228*12)-MIN(Time!BK32,Inputs!$F$228*12))</f>
        <v/>
      </c>
      <c r="BL7" s="10">
        <f>MAX(0,MIN(Time!BL33,Inputs!$F$228*12)-MIN(Time!BL32,Inputs!$F$228*12))</f>
        <v/>
      </c>
      <c r="BM7" s="10">
        <f>MAX(0,MIN(Time!BM33,Inputs!$F$228*12)-MIN(Time!BM32,Inputs!$F$228*12))</f>
        <v/>
      </c>
      <c r="BN7" s="10">
        <f>MAX(0,MIN(Time!BN33,Inputs!$F$228*12)-MIN(Time!BN32,Inputs!$F$228*12))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MAX(0,MIN(Time!J33,Inputs!$F$229*12)-MIN(MAX(Time!J32,Inputs!$F$228*12),Inputs!$F$229*12))</f>
        <v/>
      </c>
      <c r="K8" s="10">
        <f>MAX(0,MIN(Time!K33,Inputs!$F$229*12)-MIN(MAX(Time!K32,Inputs!$F$228*12),Inputs!$F$229*12))</f>
        <v/>
      </c>
      <c r="L8" s="10">
        <f>MAX(0,MIN(Time!L33,Inputs!$F$229*12)-MIN(MAX(Time!L32,Inputs!$F$228*12),Inputs!$F$229*12))</f>
        <v/>
      </c>
      <c r="M8" s="10">
        <f>MAX(0,MIN(Time!M33,Inputs!$F$229*12)-MIN(MAX(Time!M32,Inputs!$F$228*12),Inputs!$F$229*12))</f>
        <v/>
      </c>
      <c r="N8" s="10">
        <f>MAX(0,MIN(Time!N33,Inputs!$F$229*12)-MIN(MAX(Time!N32,Inputs!$F$228*12),Inputs!$F$229*12))</f>
        <v/>
      </c>
      <c r="O8" s="10">
        <f>MAX(0,MIN(Time!O33,Inputs!$F$229*12)-MIN(MAX(Time!O32,Inputs!$F$228*12),Inputs!$F$229*12))</f>
        <v/>
      </c>
      <c r="P8" s="10">
        <f>MAX(0,MIN(Time!P33,Inputs!$F$229*12)-MIN(MAX(Time!P32,Inputs!$F$228*12),Inputs!$F$229*12))</f>
        <v/>
      </c>
      <c r="Q8" s="10">
        <f>MAX(0,MIN(Time!Q33,Inputs!$F$229*12)-MIN(MAX(Time!Q32,Inputs!$F$228*12),Inputs!$F$229*12))</f>
        <v/>
      </c>
      <c r="R8" s="10">
        <f>MAX(0,MIN(Time!R33,Inputs!$F$229*12)-MIN(MAX(Time!R32,Inputs!$F$228*12),Inputs!$F$229*12))</f>
        <v/>
      </c>
      <c r="S8" s="10">
        <f>MAX(0,MIN(Time!S33,Inputs!$F$229*12)-MIN(MAX(Time!S32,Inputs!$F$228*12),Inputs!$F$229*12))</f>
        <v/>
      </c>
      <c r="T8" s="10">
        <f>MAX(0,MIN(Time!T33,Inputs!$F$229*12)-MIN(MAX(Time!T32,Inputs!$F$228*12),Inputs!$F$229*12))</f>
        <v/>
      </c>
      <c r="U8" s="10">
        <f>MAX(0,MIN(Time!U33,Inputs!$F$229*12)-MIN(MAX(Time!U32,Inputs!$F$228*12),Inputs!$F$229*12))</f>
        <v/>
      </c>
      <c r="V8" s="10">
        <f>MAX(0,MIN(Time!V33,Inputs!$F$229*12)-MIN(MAX(Time!V32,Inputs!$F$228*12),Inputs!$F$229*12))</f>
        <v/>
      </c>
      <c r="W8" s="10">
        <f>MAX(0,MIN(Time!W33,Inputs!$F$229*12)-MIN(MAX(Time!W32,Inputs!$F$228*12),Inputs!$F$229*12))</f>
        <v/>
      </c>
      <c r="X8" s="10">
        <f>MAX(0,MIN(Time!X33,Inputs!$F$229*12)-MIN(MAX(Time!X32,Inputs!$F$228*12),Inputs!$F$229*12))</f>
        <v/>
      </c>
      <c r="Y8" s="10">
        <f>MAX(0,MIN(Time!Y33,Inputs!$F$229*12)-MIN(MAX(Time!Y32,Inputs!$F$228*12),Inputs!$F$229*12))</f>
        <v/>
      </c>
      <c r="Z8" s="10">
        <f>MAX(0,MIN(Time!Z33,Inputs!$F$229*12)-MIN(MAX(Time!Z32,Inputs!$F$228*12),Inputs!$F$229*12))</f>
        <v/>
      </c>
      <c r="AA8" s="10">
        <f>MAX(0,MIN(Time!AA33,Inputs!$F$229*12)-MIN(MAX(Time!AA32,Inputs!$F$228*12),Inputs!$F$229*12))</f>
        <v/>
      </c>
      <c r="AB8" s="10">
        <f>MAX(0,MIN(Time!AB33,Inputs!$F$229*12)-MIN(MAX(Time!AB32,Inputs!$F$228*12),Inputs!$F$229*12))</f>
        <v/>
      </c>
      <c r="AC8" s="10">
        <f>MAX(0,MIN(Time!AC33,Inputs!$F$229*12)-MIN(MAX(Time!AC32,Inputs!$F$228*12),Inputs!$F$229*12))</f>
        <v/>
      </c>
      <c r="AD8" s="10">
        <f>MAX(0,MIN(Time!AD33,Inputs!$F$229*12)-MIN(MAX(Time!AD32,Inputs!$F$228*12),Inputs!$F$229*12))</f>
        <v/>
      </c>
      <c r="AE8" s="10">
        <f>MAX(0,MIN(Time!AE33,Inputs!$F$229*12)-MIN(MAX(Time!AE32,Inputs!$F$228*12),Inputs!$F$229*12))</f>
        <v/>
      </c>
      <c r="AF8" s="10">
        <f>MAX(0,MIN(Time!AF33,Inputs!$F$229*12)-MIN(MAX(Time!AF32,Inputs!$F$228*12),Inputs!$F$229*12))</f>
        <v/>
      </c>
      <c r="AG8" s="10">
        <f>MAX(0,MIN(Time!AG33,Inputs!$F$229*12)-MIN(MAX(Time!AG32,Inputs!$F$228*12),Inputs!$F$229*12))</f>
        <v/>
      </c>
      <c r="AH8" s="10">
        <f>MAX(0,MIN(Time!AH33,Inputs!$F$229*12)-MIN(MAX(Time!AH32,Inputs!$F$228*12),Inputs!$F$229*12))</f>
        <v/>
      </c>
      <c r="AI8" s="10">
        <f>MAX(0,MIN(Time!AI33,Inputs!$F$229*12)-MIN(MAX(Time!AI32,Inputs!$F$228*12),Inputs!$F$229*12))</f>
        <v/>
      </c>
      <c r="AJ8" s="10">
        <f>MAX(0,MIN(Time!AJ33,Inputs!$F$229*12)-MIN(MAX(Time!AJ32,Inputs!$F$228*12),Inputs!$F$229*12))</f>
        <v/>
      </c>
      <c r="AK8" s="10">
        <f>MAX(0,MIN(Time!AK33,Inputs!$F$229*12)-MIN(MAX(Time!AK32,Inputs!$F$228*12),Inputs!$F$229*12))</f>
        <v/>
      </c>
      <c r="AL8" s="10">
        <f>MAX(0,MIN(Time!AL33,Inputs!$F$229*12)-MIN(MAX(Time!AL32,Inputs!$F$228*12),Inputs!$F$229*12))</f>
        <v/>
      </c>
      <c r="AM8" s="10">
        <f>MAX(0,MIN(Time!AM33,Inputs!$F$229*12)-MIN(MAX(Time!AM32,Inputs!$F$228*12),Inputs!$F$229*12))</f>
        <v/>
      </c>
      <c r="AN8" s="10">
        <f>MAX(0,MIN(Time!AN33,Inputs!$F$229*12)-MIN(MAX(Time!AN32,Inputs!$F$228*12),Inputs!$F$229*12))</f>
        <v/>
      </c>
      <c r="AO8" s="10">
        <f>MAX(0,MIN(Time!AO33,Inputs!$F$229*12)-MIN(MAX(Time!AO32,Inputs!$F$228*12),Inputs!$F$229*12))</f>
        <v/>
      </c>
      <c r="AP8" s="10">
        <f>MAX(0,MIN(Time!AP33,Inputs!$F$229*12)-MIN(MAX(Time!AP32,Inputs!$F$228*12),Inputs!$F$229*12))</f>
        <v/>
      </c>
      <c r="AQ8" s="10">
        <f>MAX(0,MIN(Time!AQ33,Inputs!$F$229*12)-MIN(MAX(Time!AQ32,Inputs!$F$228*12),Inputs!$F$229*12))</f>
        <v/>
      </c>
      <c r="AR8" s="10">
        <f>MAX(0,MIN(Time!AR33,Inputs!$F$229*12)-MIN(MAX(Time!AR32,Inputs!$F$228*12),Inputs!$F$229*12))</f>
        <v/>
      </c>
      <c r="AS8" s="10">
        <f>MAX(0,MIN(Time!AS33,Inputs!$F$229*12)-MIN(MAX(Time!AS32,Inputs!$F$228*12),Inputs!$F$229*12))</f>
        <v/>
      </c>
      <c r="AT8" s="10">
        <f>MAX(0,MIN(Time!AT33,Inputs!$F$229*12)-MIN(MAX(Time!AT32,Inputs!$F$228*12),Inputs!$F$229*12))</f>
        <v/>
      </c>
      <c r="AU8" s="10">
        <f>MAX(0,MIN(Time!AU33,Inputs!$F$229*12)-MIN(MAX(Time!AU32,Inputs!$F$228*12),Inputs!$F$229*12))</f>
        <v/>
      </c>
      <c r="AV8" s="10">
        <f>MAX(0,MIN(Time!AV33,Inputs!$F$229*12)-MIN(MAX(Time!AV32,Inputs!$F$228*12),Inputs!$F$229*12))</f>
        <v/>
      </c>
      <c r="AW8" s="10">
        <f>MAX(0,MIN(Time!AW33,Inputs!$F$229*12)-MIN(MAX(Time!AW32,Inputs!$F$228*12),Inputs!$F$229*12))</f>
        <v/>
      </c>
      <c r="AX8" s="10">
        <f>MAX(0,MIN(Time!AX33,Inputs!$F$229*12)-MIN(MAX(Time!AX32,Inputs!$F$228*12),Inputs!$F$229*12))</f>
        <v/>
      </c>
      <c r="AY8" s="10">
        <f>MAX(0,MIN(Time!AY33,Inputs!$F$229*12)-MIN(MAX(Time!AY32,Inputs!$F$228*12),Inputs!$F$229*12))</f>
        <v/>
      </c>
      <c r="AZ8" s="10">
        <f>MAX(0,MIN(Time!AZ33,Inputs!$F$229*12)-MIN(MAX(Time!AZ32,Inputs!$F$228*12),Inputs!$F$229*12))</f>
        <v/>
      </c>
      <c r="BA8" s="10">
        <f>MAX(0,MIN(Time!BA33,Inputs!$F$229*12)-MIN(MAX(Time!BA32,Inputs!$F$228*12),Inputs!$F$229*12))</f>
        <v/>
      </c>
      <c r="BB8" s="10">
        <f>MAX(0,MIN(Time!BB33,Inputs!$F$229*12)-MIN(MAX(Time!BB32,Inputs!$F$228*12),Inputs!$F$229*12))</f>
        <v/>
      </c>
      <c r="BC8" s="10">
        <f>MAX(0,MIN(Time!BC33,Inputs!$F$229*12)-MIN(MAX(Time!BC32,Inputs!$F$228*12),Inputs!$F$229*12))</f>
        <v/>
      </c>
      <c r="BD8" s="10">
        <f>MAX(0,MIN(Time!BD33,Inputs!$F$229*12)-MIN(MAX(Time!BD32,Inputs!$F$228*12),Inputs!$F$229*12))</f>
        <v/>
      </c>
      <c r="BE8" s="10">
        <f>MAX(0,MIN(Time!BE33,Inputs!$F$229*12)-MIN(MAX(Time!BE32,Inputs!$F$228*12),Inputs!$F$229*12))</f>
        <v/>
      </c>
      <c r="BF8" s="10">
        <f>MAX(0,MIN(Time!BF33,Inputs!$F$229*12)-MIN(MAX(Time!BF32,Inputs!$F$228*12),Inputs!$F$229*12))</f>
        <v/>
      </c>
      <c r="BG8" s="10">
        <f>MAX(0,MIN(Time!BG33,Inputs!$F$229*12)-MIN(MAX(Time!BG32,Inputs!$F$228*12),Inputs!$F$229*12))</f>
        <v/>
      </c>
      <c r="BH8" s="10">
        <f>MAX(0,MIN(Time!BH33,Inputs!$F$229*12)-MIN(MAX(Time!BH32,Inputs!$F$228*12),Inputs!$F$229*12))</f>
        <v/>
      </c>
      <c r="BI8" s="10">
        <f>MAX(0,MIN(Time!BI33,Inputs!$F$229*12)-MIN(MAX(Time!BI32,Inputs!$F$228*12),Inputs!$F$229*12))</f>
        <v/>
      </c>
      <c r="BJ8" s="10">
        <f>MAX(0,MIN(Time!BJ33,Inputs!$F$229*12)-MIN(MAX(Time!BJ32,Inputs!$F$228*12),Inputs!$F$229*12))</f>
        <v/>
      </c>
      <c r="BK8" s="10">
        <f>MAX(0,MIN(Time!BK33,Inputs!$F$229*12)-MIN(MAX(Time!BK32,Inputs!$F$228*12),Inputs!$F$229*12))</f>
        <v/>
      </c>
      <c r="BL8" s="10">
        <f>MAX(0,MIN(Time!BL33,Inputs!$F$229*12)-MIN(MAX(Time!BL32,Inputs!$F$228*12),Inputs!$F$229*12))</f>
        <v/>
      </c>
      <c r="BM8" s="10">
        <f>MAX(0,MIN(Time!BM33,Inputs!$F$229*12)-MIN(MAX(Time!BM32,Inputs!$F$228*12),Inputs!$F$229*12))</f>
        <v/>
      </c>
      <c r="BN8" s="10">
        <f>MAX(0,MIN(Time!BN33,Inputs!$F$229*12)-MIN(MAX(Time!BN32,Inputs!$F$228*12),Inputs!$F$229*12))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(Inputs!$F$177*Funding!$F$76/Inputs!$F$178+Inputs!$F$179*Funding!$F$76/Inputs!$F$180)*J7+Inputs!$F$181*Funding!$F$76/Inputs!$F$182*MAX(0,MIN(Time!J33,MIN(Inputs!$F$182,Inputs!$F$228*12))-MIN(Time!J32,MIN(Inputs!$F$182,Inputs!$F$228*12)))</f>
        <v/>
      </c>
      <c r="K11" s="13">
        <f>(Inputs!$F$177*Funding!$F$76/Inputs!$F$178+Inputs!$F$179*Funding!$F$76/Inputs!$F$180)*K7+Inputs!$F$181*Funding!$F$76/Inputs!$F$182*MAX(0,MIN(Time!K33,MIN(Inputs!$F$182,Inputs!$F$228*12))-MIN(Time!K32,MIN(Inputs!$F$182,Inputs!$F$228*12)))</f>
        <v/>
      </c>
      <c r="L11" s="13">
        <f>(Inputs!$F$177*Funding!$F$76/Inputs!$F$178+Inputs!$F$179*Funding!$F$76/Inputs!$F$180)*L7+Inputs!$F$181*Funding!$F$76/Inputs!$F$182*MAX(0,MIN(Time!L33,MIN(Inputs!$F$182,Inputs!$F$228*12))-MIN(Time!L32,MIN(Inputs!$F$182,Inputs!$F$228*12)))</f>
        <v/>
      </c>
      <c r="M11" s="13">
        <f>(Inputs!$F$177*Funding!$F$76/Inputs!$F$178+Inputs!$F$179*Funding!$F$76/Inputs!$F$180)*M7+Inputs!$F$181*Funding!$F$76/Inputs!$F$182*MAX(0,MIN(Time!M33,MIN(Inputs!$F$182,Inputs!$F$228*12))-MIN(Time!M32,MIN(Inputs!$F$182,Inputs!$F$228*12)))</f>
        <v/>
      </c>
      <c r="N11" s="13">
        <f>(Inputs!$F$177*Funding!$F$76/Inputs!$F$178+Inputs!$F$179*Funding!$F$76/Inputs!$F$180)*N7+Inputs!$F$181*Funding!$F$76/Inputs!$F$182*MAX(0,MIN(Time!N33,MIN(Inputs!$F$182,Inputs!$F$228*12))-MIN(Time!N32,MIN(Inputs!$F$182,Inputs!$F$228*12)))</f>
        <v/>
      </c>
      <c r="O11" s="13">
        <f>(Inputs!$F$177*Funding!$F$76/Inputs!$F$178+Inputs!$F$179*Funding!$F$76/Inputs!$F$180)*O7+Inputs!$F$181*Funding!$F$76/Inputs!$F$182*MAX(0,MIN(Time!O33,MIN(Inputs!$F$182,Inputs!$F$228*12))-MIN(Time!O32,MIN(Inputs!$F$182,Inputs!$F$228*12)))</f>
        <v/>
      </c>
      <c r="P11" s="13">
        <f>(Inputs!$F$177*Funding!$F$76/Inputs!$F$178+Inputs!$F$179*Funding!$F$76/Inputs!$F$180)*P7+Inputs!$F$181*Funding!$F$76/Inputs!$F$182*MAX(0,MIN(Time!P33,MIN(Inputs!$F$182,Inputs!$F$228*12))-MIN(Time!P32,MIN(Inputs!$F$182,Inputs!$F$228*12)))</f>
        <v/>
      </c>
      <c r="Q11" s="13">
        <f>(Inputs!$F$177*Funding!$F$76/Inputs!$F$178+Inputs!$F$179*Funding!$F$76/Inputs!$F$180)*Q7+Inputs!$F$181*Funding!$F$76/Inputs!$F$182*MAX(0,MIN(Time!Q33,MIN(Inputs!$F$182,Inputs!$F$228*12))-MIN(Time!Q32,MIN(Inputs!$F$182,Inputs!$F$228*12)))</f>
        <v/>
      </c>
      <c r="R11" s="13">
        <f>(Inputs!$F$177*Funding!$F$76/Inputs!$F$178+Inputs!$F$179*Funding!$F$76/Inputs!$F$180)*R7+Inputs!$F$181*Funding!$F$76/Inputs!$F$182*MAX(0,MIN(Time!R33,MIN(Inputs!$F$182,Inputs!$F$228*12))-MIN(Time!R32,MIN(Inputs!$F$182,Inputs!$F$228*12)))</f>
        <v/>
      </c>
      <c r="S11" s="13">
        <f>(Inputs!$F$177*Funding!$F$76/Inputs!$F$178+Inputs!$F$179*Funding!$F$76/Inputs!$F$180)*S7+Inputs!$F$181*Funding!$F$76/Inputs!$F$182*MAX(0,MIN(Time!S33,MIN(Inputs!$F$182,Inputs!$F$228*12))-MIN(Time!S32,MIN(Inputs!$F$182,Inputs!$F$228*12)))</f>
        <v/>
      </c>
      <c r="T11" s="13">
        <f>(Inputs!$F$177*Funding!$F$76/Inputs!$F$178+Inputs!$F$179*Funding!$F$76/Inputs!$F$180)*T7+Inputs!$F$181*Funding!$F$76/Inputs!$F$182*MAX(0,MIN(Time!T33,MIN(Inputs!$F$182,Inputs!$F$228*12))-MIN(Time!T32,MIN(Inputs!$F$182,Inputs!$F$228*12)))</f>
        <v/>
      </c>
      <c r="U11" s="13">
        <f>(Inputs!$F$177*Funding!$F$76/Inputs!$F$178+Inputs!$F$179*Funding!$F$76/Inputs!$F$180)*U7+Inputs!$F$181*Funding!$F$76/Inputs!$F$182*MAX(0,MIN(Time!U33,MIN(Inputs!$F$182,Inputs!$F$228*12))-MIN(Time!U32,MIN(Inputs!$F$182,Inputs!$F$228*12)))</f>
        <v/>
      </c>
      <c r="V11" s="13">
        <f>(Inputs!$F$177*Funding!$F$76/Inputs!$F$178+Inputs!$F$179*Funding!$F$76/Inputs!$F$180)*V7+Inputs!$F$181*Funding!$F$76/Inputs!$F$182*MAX(0,MIN(Time!V33,MIN(Inputs!$F$182,Inputs!$F$228*12))-MIN(Time!V32,MIN(Inputs!$F$182,Inputs!$F$228*12)))</f>
        <v/>
      </c>
      <c r="W11" s="13">
        <f>(Inputs!$F$177*Funding!$F$76/Inputs!$F$178+Inputs!$F$179*Funding!$F$76/Inputs!$F$180)*W7+Inputs!$F$181*Funding!$F$76/Inputs!$F$182*MAX(0,MIN(Time!W33,MIN(Inputs!$F$182,Inputs!$F$228*12))-MIN(Time!W32,MIN(Inputs!$F$182,Inputs!$F$228*12)))</f>
        <v/>
      </c>
      <c r="X11" s="13">
        <f>(Inputs!$F$177*Funding!$F$76/Inputs!$F$178+Inputs!$F$179*Funding!$F$76/Inputs!$F$180)*X7+Inputs!$F$181*Funding!$F$76/Inputs!$F$182*MAX(0,MIN(Time!X33,MIN(Inputs!$F$182,Inputs!$F$228*12))-MIN(Time!X32,MIN(Inputs!$F$182,Inputs!$F$228*12)))</f>
        <v/>
      </c>
      <c r="Y11" s="13">
        <f>(Inputs!$F$177*Funding!$F$76/Inputs!$F$178+Inputs!$F$179*Funding!$F$76/Inputs!$F$180)*Y7+Inputs!$F$181*Funding!$F$76/Inputs!$F$182*MAX(0,MIN(Time!Y33,MIN(Inputs!$F$182,Inputs!$F$228*12))-MIN(Time!Y32,MIN(Inputs!$F$182,Inputs!$F$228*12)))</f>
        <v/>
      </c>
      <c r="Z11" s="13">
        <f>(Inputs!$F$177*Funding!$F$76/Inputs!$F$178+Inputs!$F$179*Funding!$F$76/Inputs!$F$180)*Z7+Inputs!$F$181*Funding!$F$76/Inputs!$F$182*MAX(0,MIN(Time!Z33,MIN(Inputs!$F$182,Inputs!$F$228*12))-MIN(Time!Z32,MIN(Inputs!$F$182,Inputs!$F$228*12)))</f>
        <v/>
      </c>
      <c r="AA11" s="13">
        <f>(Inputs!$F$177*Funding!$F$76/Inputs!$F$178+Inputs!$F$179*Funding!$F$76/Inputs!$F$180)*AA7+Inputs!$F$181*Funding!$F$76/Inputs!$F$182*MAX(0,MIN(Time!AA33,MIN(Inputs!$F$182,Inputs!$F$228*12))-MIN(Time!AA32,MIN(Inputs!$F$182,Inputs!$F$228*12)))</f>
        <v/>
      </c>
      <c r="AB11" s="13">
        <f>(Inputs!$F$177*Funding!$F$76/Inputs!$F$178+Inputs!$F$179*Funding!$F$76/Inputs!$F$180)*AB7+Inputs!$F$181*Funding!$F$76/Inputs!$F$182*MAX(0,MIN(Time!AB33,MIN(Inputs!$F$182,Inputs!$F$228*12))-MIN(Time!AB32,MIN(Inputs!$F$182,Inputs!$F$228*12)))</f>
        <v/>
      </c>
      <c r="AC11" s="13">
        <f>(Inputs!$F$177*Funding!$F$76/Inputs!$F$178+Inputs!$F$179*Funding!$F$76/Inputs!$F$180)*AC7+Inputs!$F$181*Funding!$F$76/Inputs!$F$182*MAX(0,MIN(Time!AC33,MIN(Inputs!$F$182,Inputs!$F$228*12))-MIN(Time!AC32,MIN(Inputs!$F$182,Inputs!$F$228*12)))</f>
        <v/>
      </c>
      <c r="AD11" s="13">
        <f>(Inputs!$F$177*Funding!$F$76/Inputs!$F$178+Inputs!$F$179*Funding!$F$76/Inputs!$F$180)*AD7+Inputs!$F$181*Funding!$F$76/Inputs!$F$182*MAX(0,MIN(Time!AD33,MIN(Inputs!$F$182,Inputs!$F$228*12))-MIN(Time!AD32,MIN(Inputs!$F$182,Inputs!$F$228*12)))</f>
        <v/>
      </c>
      <c r="AE11" s="13">
        <f>(Inputs!$F$177*Funding!$F$76/Inputs!$F$178+Inputs!$F$179*Funding!$F$76/Inputs!$F$180)*AE7+Inputs!$F$181*Funding!$F$76/Inputs!$F$182*MAX(0,MIN(Time!AE33,MIN(Inputs!$F$182,Inputs!$F$228*12))-MIN(Time!AE32,MIN(Inputs!$F$182,Inputs!$F$228*12)))</f>
        <v/>
      </c>
      <c r="AF11" s="13">
        <f>(Inputs!$F$177*Funding!$F$76/Inputs!$F$178+Inputs!$F$179*Funding!$F$76/Inputs!$F$180)*AF7+Inputs!$F$181*Funding!$F$76/Inputs!$F$182*MAX(0,MIN(Time!AF33,MIN(Inputs!$F$182,Inputs!$F$228*12))-MIN(Time!AF32,MIN(Inputs!$F$182,Inputs!$F$228*12)))</f>
        <v/>
      </c>
      <c r="AG11" s="13">
        <f>(Inputs!$F$177*Funding!$F$76/Inputs!$F$178+Inputs!$F$179*Funding!$F$76/Inputs!$F$180)*AG7+Inputs!$F$181*Funding!$F$76/Inputs!$F$182*MAX(0,MIN(Time!AG33,MIN(Inputs!$F$182,Inputs!$F$228*12))-MIN(Time!AG32,MIN(Inputs!$F$182,Inputs!$F$228*12)))</f>
        <v/>
      </c>
      <c r="AH11" s="13">
        <f>(Inputs!$F$177*Funding!$F$76/Inputs!$F$178+Inputs!$F$179*Funding!$F$76/Inputs!$F$180)*AH7+Inputs!$F$181*Funding!$F$76/Inputs!$F$182*MAX(0,MIN(Time!AH33,MIN(Inputs!$F$182,Inputs!$F$228*12))-MIN(Time!AH32,MIN(Inputs!$F$182,Inputs!$F$228*12)))</f>
        <v/>
      </c>
      <c r="AI11" s="13">
        <f>(Inputs!$F$177*Funding!$F$76/Inputs!$F$178+Inputs!$F$179*Funding!$F$76/Inputs!$F$180)*AI7+Inputs!$F$181*Funding!$F$76/Inputs!$F$182*MAX(0,MIN(Time!AI33,MIN(Inputs!$F$182,Inputs!$F$228*12))-MIN(Time!AI32,MIN(Inputs!$F$182,Inputs!$F$228*12)))</f>
        <v/>
      </c>
      <c r="AJ11" s="13">
        <f>(Inputs!$F$177*Funding!$F$76/Inputs!$F$178+Inputs!$F$179*Funding!$F$76/Inputs!$F$180)*AJ7+Inputs!$F$181*Funding!$F$76/Inputs!$F$182*MAX(0,MIN(Time!AJ33,MIN(Inputs!$F$182,Inputs!$F$228*12))-MIN(Time!AJ32,MIN(Inputs!$F$182,Inputs!$F$228*12)))</f>
        <v/>
      </c>
      <c r="AK11" s="13">
        <f>(Inputs!$F$177*Funding!$F$76/Inputs!$F$178+Inputs!$F$179*Funding!$F$76/Inputs!$F$180)*AK7+Inputs!$F$181*Funding!$F$76/Inputs!$F$182*MAX(0,MIN(Time!AK33,MIN(Inputs!$F$182,Inputs!$F$228*12))-MIN(Time!AK32,MIN(Inputs!$F$182,Inputs!$F$228*12)))</f>
        <v/>
      </c>
      <c r="AL11" s="13">
        <f>(Inputs!$F$177*Funding!$F$76/Inputs!$F$178+Inputs!$F$179*Funding!$F$76/Inputs!$F$180)*AL7+Inputs!$F$181*Funding!$F$76/Inputs!$F$182*MAX(0,MIN(Time!AL33,MIN(Inputs!$F$182,Inputs!$F$228*12))-MIN(Time!AL32,MIN(Inputs!$F$182,Inputs!$F$228*12)))</f>
        <v/>
      </c>
      <c r="AM11" s="13">
        <f>(Inputs!$F$177*Funding!$F$76/Inputs!$F$178+Inputs!$F$179*Funding!$F$76/Inputs!$F$180)*AM7+Inputs!$F$181*Funding!$F$76/Inputs!$F$182*MAX(0,MIN(Time!AM33,MIN(Inputs!$F$182,Inputs!$F$228*12))-MIN(Time!AM32,MIN(Inputs!$F$182,Inputs!$F$228*12)))</f>
        <v/>
      </c>
      <c r="AN11" s="13">
        <f>(Inputs!$F$177*Funding!$F$76/Inputs!$F$178+Inputs!$F$179*Funding!$F$76/Inputs!$F$180)*AN7+Inputs!$F$181*Funding!$F$76/Inputs!$F$182*MAX(0,MIN(Time!AN33,MIN(Inputs!$F$182,Inputs!$F$228*12))-MIN(Time!AN32,MIN(Inputs!$F$182,Inputs!$F$228*12)))</f>
        <v/>
      </c>
      <c r="AO11" s="13">
        <f>(Inputs!$F$177*Funding!$F$76/Inputs!$F$178+Inputs!$F$179*Funding!$F$76/Inputs!$F$180)*AO7+Inputs!$F$181*Funding!$F$76/Inputs!$F$182*MAX(0,MIN(Time!AO33,MIN(Inputs!$F$182,Inputs!$F$228*12))-MIN(Time!AO32,MIN(Inputs!$F$182,Inputs!$F$228*12)))</f>
        <v/>
      </c>
      <c r="AP11" s="13">
        <f>(Inputs!$F$177*Funding!$F$76/Inputs!$F$178+Inputs!$F$179*Funding!$F$76/Inputs!$F$180)*AP7+Inputs!$F$181*Funding!$F$76/Inputs!$F$182*MAX(0,MIN(Time!AP33,MIN(Inputs!$F$182,Inputs!$F$228*12))-MIN(Time!AP32,MIN(Inputs!$F$182,Inputs!$F$228*12)))</f>
        <v/>
      </c>
      <c r="AQ11" s="13">
        <f>(Inputs!$F$177*Funding!$F$76/Inputs!$F$178+Inputs!$F$179*Funding!$F$76/Inputs!$F$180)*AQ7+Inputs!$F$181*Funding!$F$76/Inputs!$F$182*MAX(0,MIN(Time!AQ33,MIN(Inputs!$F$182,Inputs!$F$228*12))-MIN(Time!AQ32,MIN(Inputs!$F$182,Inputs!$F$228*12)))</f>
        <v/>
      </c>
      <c r="AR11" s="13">
        <f>(Inputs!$F$177*Funding!$F$76/Inputs!$F$178+Inputs!$F$179*Funding!$F$76/Inputs!$F$180)*AR7+Inputs!$F$181*Funding!$F$76/Inputs!$F$182*MAX(0,MIN(Time!AR33,MIN(Inputs!$F$182,Inputs!$F$228*12))-MIN(Time!AR32,MIN(Inputs!$F$182,Inputs!$F$228*12)))</f>
        <v/>
      </c>
      <c r="AS11" s="13">
        <f>(Inputs!$F$177*Funding!$F$76/Inputs!$F$178+Inputs!$F$179*Funding!$F$76/Inputs!$F$180)*AS7+Inputs!$F$181*Funding!$F$76/Inputs!$F$182*MAX(0,MIN(Time!AS33,MIN(Inputs!$F$182,Inputs!$F$228*12))-MIN(Time!AS32,MIN(Inputs!$F$182,Inputs!$F$228*12)))</f>
        <v/>
      </c>
      <c r="AT11" s="13">
        <f>(Inputs!$F$177*Funding!$F$76/Inputs!$F$178+Inputs!$F$179*Funding!$F$76/Inputs!$F$180)*AT7+Inputs!$F$181*Funding!$F$76/Inputs!$F$182*MAX(0,MIN(Time!AT33,MIN(Inputs!$F$182,Inputs!$F$228*12))-MIN(Time!AT32,MIN(Inputs!$F$182,Inputs!$F$228*12)))</f>
        <v/>
      </c>
      <c r="AU11" s="13">
        <f>(Inputs!$F$177*Funding!$F$76/Inputs!$F$178+Inputs!$F$179*Funding!$F$76/Inputs!$F$180)*AU7+Inputs!$F$181*Funding!$F$76/Inputs!$F$182*MAX(0,MIN(Time!AU33,MIN(Inputs!$F$182,Inputs!$F$228*12))-MIN(Time!AU32,MIN(Inputs!$F$182,Inputs!$F$228*12)))</f>
        <v/>
      </c>
      <c r="AV11" s="13">
        <f>(Inputs!$F$177*Funding!$F$76/Inputs!$F$178+Inputs!$F$179*Funding!$F$76/Inputs!$F$180)*AV7+Inputs!$F$181*Funding!$F$76/Inputs!$F$182*MAX(0,MIN(Time!AV33,MIN(Inputs!$F$182,Inputs!$F$228*12))-MIN(Time!AV32,MIN(Inputs!$F$182,Inputs!$F$228*12)))</f>
        <v/>
      </c>
      <c r="AW11" s="13">
        <f>(Inputs!$F$177*Funding!$F$76/Inputs!$F$178+Inputs!$F$179*Funding!$F$76/Inputs!$F$180)*AW7+Inputs!$F$181*Funding!$F$76/Inputs!$F$182*MAX(0,MIN(Time!AW33,MIN(Inputs!$F$182,Inputs!$F$228*12))-MIN(Time!AW32,MIN(Inputs!$F$182,Inputs!$F$228*12)))</f>
        <v/>
      </c>
      <c r="AX11" s="13">
        <f>(Inputs!$F$177*Funding!$F$76/Inputs!$F$178+Inputs!$F$179*Funding!$F$76/Inputs!$F$180)*AX7+Inputs!$F$181*Funding!$F$76/Inputs!$F$182*MAX(0,MIN(Time!AX33,MIN(Inputs!$F$182,Inputs!$F$228*12))-MIN(Time!AX32,MIN(Inputs!$F$182,Inputs!$F$228*12)))</f>
        <v/>
      </c>
      <c r="AY11" s="13">
        <f>(Inputs!$F$177*Funding!$F$76/Inputs!$F$178+Inputs!$F$179*Funding!$F$76/Inputs!$F$180)*AY7+Inputs!$F$181*Funding!$F$76/Inputs!$F$182*MAX(0,MIN(Time!AY33,MIN(Inputs!$F$182,Inputs!$F$228*12))-MIN(Time!AY32,MIN(Inputs!$F$182,Inputs!$F$228*12)))</f>
        <v/>
      </c>
      <c r="AZ11" s="13">
        <f>(Inputs!$F$177*Funding!$F$76/Inputs!$F$178+Inputs!$F$179*Funding!$F$76/Inputs!$F$180)*AZ7+Inputs!$F$181*Funding!$F$76/Inputs!$F$182*MAX(0,MIN(Time!AZ33,MIN(Inputs!$F$182,Inputs!$F$228*12))-MIN(Time!AZ32,MIN(Inputs!$F$182,Inputs!$F$228*12)))</f>
        <v/>
      </c>
      <c r="BA11" s="13">
        <f>(Inputs!$F$177*Funding!$F$76/Inputs!$F$178+Inputs!$F$179*Funding!$F$76/Inputs!$F$180)*BA7+Inputs!$F$181*Funding!$F$76/Inputs!$F$182*MAX(0,MIN(Time!BA33,MIN(Inputs!$F$182,Inputs!$F$228*12))-MIN(Time!BA32,MIN(Inputs!$F$182,Inputs!$F$228*12)))</f>
        <v/>
      </c>
      <c r="BB11" s="13">
        <f>(Inputs!$F$177*Funding!$F$76/Inputs!$F$178+Inputs!$F$179*Funding!$F$76/Inputs!$F$180)*BB7+Inputs!$F$181*Funding!$F$76/Inputs!$F$182*MAX(0,MIN(Time!BB33,MIN(Inputs!$F$182,Inputs!$F$228*12))-MIN(Time!BB32,MIN(Inputs!$F$182,Inputs!$F$228*12)))</f>
        <v/>
      </c>
      <c r="BC11" s="13">
        <f>(Inputs!$F$177*Funding!$F$76/Inputs!$F$178+Inputs!$F$179*Funding!$F$76/Inputs!$F$180)*BC7+Inputs!$F$181*Funding!$F$76/Inputs!$F$182*MAX(0,MIN(Time!BC33,MIN(Inputs!$F$182,Inputs!$F$228*12))-MIN(Time!BC32,MIN(Inputs!$F$182,Inputs!$F$228*12)))</f>
        <v/>
      </c>
      <c r="BD11" s="13">
        <f>(Inputs!$F$177*Funding!$F$76/Inputs!$F$178+Inputs!$F$179*Funding!$F$76/Inputs!$F$180)*BD7+Inputs!$F$181*Funding!$F$76/Inputs!$F$182*MAX(0,MIN(Time!BD33,MIN(Inputs!$F$182,Inputs!$F$228*12))-MIN(Time!BD32,MIN(Inputs!$F$182,Inputs!$F$228*12)))</f>
        <v/>
      </c>
      <c r="BE11" s="13">
        <f>(Inputs!$F$177*Funding!$F$76/Inputs!$F$178+Inputs!$F$179*Funding!$F$76/Inputs!$F$180)*BE7+Inputs!$F$181*Funding!$F$76/Inputs!$F$182*MAX(0,MIN(Time!BE33,MIN(Inputs!$F$182,Inputs!$F$228*12))-MIN(Time!BE32,MIN(Inputs!$F$182,Inputs!$F$228*12)))</f>
        <v/>
      </c>
      <c r="BF11" s="13">
        <f>(Inputs!$F$177*Funding!$F$76/Inputs!$F$178+Inputs!$F$179*Funding!$F$76/Inputs!$F$180)*BF7+Inputs!$F$181*Funding!$F$76/Inputs!$F$182*MAX(0,MIN(Time!BF33,MIN(Inputs!$F$182,Inputs!$F$228*12))-MIN(Time!BF32,MIN(Inputs!$F$182,Inputs!$F$228*12)))</f>
        <v/>
      </c>
      <c r="BG11" s="13">
        <f>(Inputs!$F$177*Funding!$F$76/Inputs!$F$178+Inputs!$F$179*Funding!$F$76/Inputs!$F$180)*BG7+Inputs!$F$181*Funding!$F$76/Inputs!$F$182*MAX(0,MIN(Time!BG33,MIN(Inputs!$F$182,Inputs!$F$228*12))-MIN(Time!BG32,MIN(Inputs!$F$182,Inputs!$F$228*12)))</f>
        <v/>
      </c>
      <c r="BH11" s="13">
        <f>(Inputs!$F$177*Funding!$F$76/Inputs!$F$178+Inputs!$F$179*Funding!$F$76/Inputs!$F$180)*BH7+Inputs!$F$181*Funding!$F$76/Inputs!$F$182*MAX(0,MIN(Time!BH33,MIN(Inputs!$F$182,Inputs!$F$228*12))-MIN(Time!BH32,MIN(Inputs!$F$182,Inputs!$F$228*12)))</f>
        <v/>
      </c>
      <c r="BI11" s="13">
        <f>(Inputs!$F$177*Funding!$F$76/Inputs!$F$178+Inputs!$F$179*Funding!$F$76/Inputs!$F$180)*BI7+Inputs!$F$181*Funding!$F$76/Inputs!$F$182*MAX(0,MIN(Time!BI33,MIN(Inputs!$F$182,Inputs!$F$228*12))-MIN(Time!BI32,MIN(Inputs!$F$182,Inputs!$F$228*12)))</f>
        <v/>
      </c>
      <c r="BJ11" s="13">
        <f>(Inputs!$F$177*Funding!$F$76/Inputs!$F$178+Inputs!$F$179*Funding!$F$76/Inputs!$F$180)*BJ7+Inputs!$F$181*Funding!$F$76/Inputs!$F$182*MAX(0,MIN(Time!BJ33,MIN(Inputs!$F$182,Inputs!$F$228*12))-MIN(Time!BJ32,MIN(Inputs!$F$182,Inputs!$F$228*12)))</f>
        <v/>
      </c>
      <c r="BK11" s="13">
        <f>(Inputs!$F$177*Funding!$F$76/Inputs!$F$178+Inputs!$F$179*Funding!$F$76/Inputs!$F$180)*BK7+Inputs!$F$181*Funding!$F$76/Inputs!$F$182*MAX(0,MIN(Time!BK33,MIN(Inputs!$F$182,Inputs!$F$228*12))-MIN(Time!BK32,MIN(Inputs!$F$182,Inputs!$F$228*12)))</f>
        <v/>
      </c>
      <c r="BL11" s="13">
        <f>(Inputs!$F$177*Funding!$F$76/Inputs!$F$178+Inputs!$F$179*Funding!$F$76/Inputs!$F$180)*BL7+Inputs!$F$181*Funding!$F$76/Inputs!$F$182*MAX(0,MIN(Time!BL33,MIN(Inputs!$F$182,Inputs!$F$228*12))-MIN(Time!BL32,MIN(Inputs!$F$182,Inputs!$F$228*12)))</f>
        <v/>
      </c>
      <c r="BM11" s="13">
        <f>(Inputs!$F$177*Funding!$F$76/Inputs!$F$178+Inputs!$F$179*Funding!$F$76/Inputs!$F$180)*BM7+Inputs!$F$181*Funding!$F$76/Inputs!$F$182*MAX(0,MIN(Time!BM33,MIN(Inputs!$F$182,Inputs!$F$228*12))-MIN(Time!BM32,MIN(Inputs!$F$182,Inputs!$F$228*12)))</f>
        <v/>
      </c>
      <c r="BN11" s="13">
        <f>(Inputs!$F$177*Funding!$F$76/Inputs!$F$178+Inputs!$F$179*Funding!$F$76/Inputs!$F$180)*BN7+Inputs!$F$181*Funding!$F$76/Inputs!$F$182*MAX(0,MIN(Time!BN33,MIN(Inputs!$F$182,Inputs!$F$228*12))-MIN(Time!BN32,MIN(Inputs!$F$182,Inputs!$F$228*12)))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I21+J11-J20</f>
        <v/>
      </c>
      <c r="K21" s="13">
        <f>J21+K11-K20</f>
        <v/>
      </c>
      <c r="L21" s="13">
        <f>K21+L11-L20</f>
        <v/>
      </c>
      <c r="M21" s="13">
        <f>L21+M11-M20</f>
        <v/>
      </c>
      <c r="N21" s="13">
        <f>M21+N11-N20</f>
        <v/>
      </c>
      <c r="O21" s="13">
        <f>N21+O11-O20</f>
        <v/>
      </c>
      <c r="P21" s="13">
        <f>O21+P11-P20</f>
        <v/>
      </c>
      <c r="Q21" s="13">
        <f>P21+Q11-Q20</f>
        <v/>
      </c>
      <c r="R21" s="13">
        <f>Q21+R11-R20</f>
        <v/>
      </c>
      <c r="S21" s="13">
        <f>R21+S11-S20</f>
        <v/>
      </c>
      <c r="T21" s="13">
        <f>S21+T11-T20</f>
        <v/>
      </c>
      <c r="U21" s="13">
        <f>T21+U11-U20</f>
        <v/>
      </c>
      <c r="V21" s="13">
        <f>U21+V11-V20</f>
        <v/>
      </c>
      <c r="W21" s="13">
        <f>V21+W11-W20</f>
        <v/>
      </c>
      <c r="X21" s="13">
        <f>W21+X11-X20</f>
        <v/>
      </c>
      <c r="Y21" s="13">
        <f>X21+Y11-Y20</f>
        <v/>
      </c>
      <c r="Z21" s="13">
        <f>Y21+Z11-Z20</f>
        <v/>
      </c>
      <c r="AA21" s="13">
        <f>Z21+AA11-AA20</f>
        <v/>
      </c>
      <c r="AB21" s="13">
        <f>AA21+AB11-AB20</f>
        <v/>
      </c>
      <c r="AC21" s="13">
        <f>AB21+AC11-AC20</f>
        <v/>
      </c>
      <c r="AD21" s="13">
        <f>AC21+AD11-AD20</f>
        <v/>
      </c>
      <c r="AE21" s="13">
        <f>AD21+AE11-AE20</f>
        <v/>
      </c>
      <c r="AF21" s="13">
        <f>AE21+AF11-AF20</f>
        <v/>
      </c>
      <c r="AG21" s="13">
        <f>AF21+AG11-AG20</f>
        <v/>
      </c>
      <c r="AH21" s="13">
        <f>AG21+AH11-AH20</f>
        <v/>
      </c>
      <c r="AI21" s="13">
        <f>AH21+AI11-AI20</f>
        <v/>
      </c>
      <c r="AJ21" s="13">
        <f>AI21+AJ11-AJ20</f>
        <v/>
      </c>
      <c r="AK21" s="13">
        <f>AJ21+AK11-AK20</f>
        <v/>
      </c>
      <c r="AL21" s="13">
        <f>AK21+AL11-AL20</f>
        <v/>
      </c>
      <c r="AM21" s="13">
        <f>AL21+AM11-AM20</f>
        <v/>
      </c>
      <c r="AN21" s="13">
        <f>AM21+AN11-AN20</f>
        <v/>
      </c>
      <c r="AO21" s="13">
        <f>AN21+AO11-AO20</f>
        <v/>
      </c>
      <c r="AP21" s="13">
        <f>AO21+AP11-AP20</f>
        <v/>
      </c>
      <c r="AQ21" s="13">
        <f>AP21+AQ11-AQ20</f>
        <v/>
      </c>
      <c r="AR21" s="13">
        <f>AQ21+AR11-AR20</f>
        <v/>
      </c>
      <c r="AS21" s="13">
        <f>AR21+AS11-AS20</f>
        <v/>
      </c>
      <c r="AT21" s="13">
        <f>AS21+AT11-AT20</f>
        <v/>
      </c>
      <c r="AU21" s="13">
        <f>AT21+AU11-AU20</f>
        <v/>
      </c>
      <c r="AV21" s="13">
        <f>AU21+AV11-AV20</f>
        <v/>
      </c>
      <c r="AW21" s="13">
        <f>AV21+AW11-AW20</f>
        <v/>
      </c>
      <c r="AX21" s="13">
        <f>AW21+AX11-AX20</f>
        <v/>
      </c>
      <c r="AY21" s="13">
        <f>AX21+AY11-AY20</f>
        <v/>
      </c>
      <c r="AZ21" s="13">
        <f>AY21+AZ11-AZ20</f>
        <v/>
      </c>
      <c r="BA21" s="13">
        <f>AZ21+BA11-BA20</f>
        <v/>
      </c>
      <c r="BB21" s="13">
        <f>BA21+BB11-BB20</f>
        <v/>
      </c>
      <c r="BC21" s="13">
        <f>BB21+BC11-BC20</f>
        <v/>
      </c>
      <c r="BD21" s="13">
        <f>BC21+BD11-BD20</f>
        <v/>
      </c>
      <c r="BE21" s="13">
        <f>BD21+BE11-BE20</f>
        <v/>
      </c>
      <c r="BF21" s="13">
        <f>BE21+BF11-BF20</f>
        <v/>
      </c>
      <c r="BG21" s="13">
        <f>BF21+BG11-BG20</f>
        <v/>
      </c>
      <c r="BH21" s="13">
        <f>BG21+BH11-BH20</f>
        <v/>
      </c>
      <c r="BI21" s="13">
        <f>BH21+BI11-BI20</f>
        <v/>
      </c>
      <c r="BJ21" s="13">
        <f>BI21+BJ11-BJ20</f>
        <v/>
      </c>
      <c r="BK21" s="13">
        <f>BJ21+BK11-BK20</f>
        <v/>
      </c>
      <c r="BL21" s="13">
        <f>BK21+BL11-BL20</f>
        <v/>
      </c>
      <c r="BM21" s="13">
        <f>BL21+BM11-BM20</f>
        <v/>
      </c>
      <c r="BN21" s="13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$F$11+(INDEX(Operations!$J$9:$BN$9,1,Time!$F$13)+Inputs!$F$79)/100*INDEX(Time!$J$25:$BN$25,1,Time!$F$13)/Inputs!$F$247*1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$F$11+(INDEX(Operations!$J$9:$BN$9,1,Time!$F$13)+Inputs!$F$80)/100*INDEX(Time!$J$25:$BN$25,1,Time!$F$13)/Inputs!$F$247*1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$F$11+(INDEX(Operations!$J$9:$BN$9,1,Time!$F$13)+Inputs!$F$81)/100*INDEX(Time!$J$25:$BN$25,1,Time!$F$13)/Inputs!$F$247*1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$F$11+(INDEX(Operations!$J$9:$BN$9,1,Time!$F$13)+INDEX(Debt!$J$8:$BN$8,1,Time!$F$13))/100*INDEX(Time!$J$25:$BN$25,1,Time!$F$13)/Inputs!$F$247*(1/(1-Inputs!$F$93/100))+(Inputs!$F$95/100*Inputs!$F$96/100)*INDEX(Time!$J$25:$BN$25,1,Time!$F$13)/Inputs!$F$248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/>
      </c>
      <c r="K19" s="16">
        <f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/>
      </c>
      <c r="L19" s="16">
        <f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/>
      </c>
      <c r="M19" s="16">
        <f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/>
      </c>
      <c r="N19" s="16">
        <f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/>
      </c>
      <c r="O19" s="16">
        <f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/>
      </c>
      <c r="P19" s="16">
        <f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/>
      </c>
      <c r="Q19" s="16">
        <f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/>
      </c>
      <c r="R19" s="16">
        <f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/>
      </c>
      <c r="S19" s="16">
        <f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/>
      </c>
      <c r="T19" s="16">
        <f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/>
      </c>
      <c r="U19" s="16">
        <f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/>
      </c>
      <c r="V19" s="16">
        <f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/>
      </c>
      <c r="W19" s="16">
        <f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/>
      </c>
      <c r="X19" s="16">
        <f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/>
      </c>
      <c r="Y19" s="16">
        <f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/>
      </c>
      <c r="Z19" s="16">
        <f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/>
      </c>
      <c r="AA19" s="16">
        <f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/>
      </c>
      <c r="AB19" s="16">
        <f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/>
      </c>
      <c r="AC19" s="16">
        <f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/>
      </c>
      <c r="AD19" s="16">
        <f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/>
      </c>
      <c r="AE19" s="16">
        <f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/>
      </c>
      <c r="AF19" s="16">
        <f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/>
      </c>
      <c r="AG19" s="16">
        <f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/>
      </c>
      <c r="AH19" s="16">
        <f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/>
      </c>
      <c r="AI19" s="16">
        <f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/>
      </c>
      <c r="AJ19" s="16">
        <f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/>
      </c>
      <c r="AK19" s="16">
        <f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/>
      </c>
      <c r="AL19" s="16">
        <f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/>
      </c>
      <c r="AM19" s="16">
        <f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/>
      </c>
      <c r="AN19" s="16">
        <f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/>
      </c>
      <c r="AO19" s="16">
        <f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/>
      </c>
      <c r="AP19" s="16">
        <f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/>
      </c>
      <c r="AQ19" s="16">
        <f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/>
      </c>
      <c r="AR19" s="16">
        <f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/>
      </c>
      <c r="AS19" s="16">
        <f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/>
      </c>
      <c r="AT19" s="16">
        <f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/>
      </c>
      <c r="AU19" s="16">
        <f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/>
      </c>
      <c r="AV19" s="16">
        <f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/>
      </c>
      <c r="AW19" s="16">
        <f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/>
      </c>
      <c r="AX19" s="16">
        <f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/>
      </c>
      <c r="AY19" s="16">
        <f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/>
      </c>
      <c r="AZ19" s="16">
        <f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/>
      </c>
      <c r="BA19" s="16">
        <f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/>
      </c>
      <c r="BB19" s="16">
        <f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/>
      </c>
      <c r="BC19" s="16">
        <f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/>
      </c>
      <c r="BD19" s="16">
        <f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/>
      </c>
      <c r="BE19" s="16">
        <f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/>
      </c>
      <c r="BF19" s="16">
        <f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/>
      </c>
      <c r="BG19" s="16">
        <f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/>
      </c>
      <c r="BH19" s="16">
        <f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/>
      </c>
      <c r="BI19" s="16">
        <f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/>
      </c>
      <c r="BJ19" s="16">
        <f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Construction!J14*J28*(Construction!J17+Inputs!$F$79)/100*Construction!J11/Inputs!$F$247*1</f>
        <v/>
      </c>
      <c r="K33" s="13">
        <f>Construction!K14*K28*(Construction!K17+Inputs!$F$79)/100*Construction!K11/Inputs!$F$247*1</f>
        <v/>
      </c>
      <c r="L33" s="13">
        <f>Construction!L14*L28*(Construction!L17+Inputs!$F$79)/100*Construction!L11/Inputs!$F$247*1</f>
        <v/>
      </c>
      <c r="M33" s="13">
        <f>Construction!M14*M28*(Construction!M17+Inputs!$F$79)/100*Construction!M11/Inputs!$F$247*1</f>
        <v/>
      </c>
      <c r="N33" s="13">
        <f>Construction!N14*N28*(Construction!N17+Inputs!$F$79)/100*Construction!N11/Inputs!$F$247*1</f>
        <v/>
      </c>
      <c r="O33" s="13">
        <f>Construction!O14*O28*(Construction!O17+Inputs!$F$79)/100*Construction!O11/Inputs!$F$247*1</f>
        <v/>
      </c>
      <c r="P33" s="13">
        <f>Construction!P14*P28*(Construction!P17+Inputs!$F$79)/100*Construction!P11/Inputs!$F$247*1</f>
        <v/>
      </c>
      <c r="Q33" s="13">
        <f>Construction!Q14*Q28*(Construction!Q17+Inputs!$F$79)/100*Construction!Q11/Inputs!$F$247*1</f>
        <v/>
      </c>
      <c r="R33" s="13">
        <f>Construction!R14*R28*(Construction!R17+Inputs!$F$79)/100*Construction!R11/Inputs!$F$247*1</f>
        <v/>
      </c>
      <c r="S33" s="13">
        <f>Construction!S14*S28*(Construction!S17+Inputs!$F$79)/100*Construction!S11/Inputs!$F$247*1</f>
        <v/>
      </c>
      <c r="T33" s="13">
        <f>Construction!T14*T28*(Construction!T17+Inputs!$F$79)/100*Construction!T11/Inputs!$F$247*1</f>
        <v/>
      </c>
      <c r="U33" s="13">
        <f>Construction!U14*U28*(Construction!U17+Inputs!$F$79)/100*Construction!U11/Inputs!$F$247*1</f>
        <v/>
      </c>
      <c r="V33" s="13">
        <f>Construction!V14*V28*(Construction!V17+Inputs!$F$79)/100*Construction!V11/Inputs!$F$247*1</f>
        <v/>
      </c>
      <c r="W33" s="13">
        <f>Construction!W14*W28*(Construction!W17+Inputs!$F$79)/100*Construction!W11/Inputs!$F$247*1</f>
        <v/>
      </c>
      <c r="X33" s="13">
        <f>Construction!X14*X28*(Construction!X17+Inputs!$F$79)/100*Construction!X11/Inputs!$F$247*1</f>
        <v/>
      </c>
      <c r="Y33" s="13">
        <f>Construction!Y14*Y28*(Construction!Y17+Inputs!$F$79)/100*Construction!Y11/Inputs!$F$247*1</f>
        <v/>
      </c>
      <c r="Z33" s="13">
        <f>Construction!Z14*Z28*(Construction!Z17+Inputs!$F$79)/100*Construction!Z11/Inputs!$F$247*1</f>
        <v/>
      </c>
      <c r="AA33" s="13">
        <f>Construction!AA14*AA28*(Construction!AA17+Inputs!$F$79)/100*Construction!AA11/Inputs!$F$247*1</f>
        <v/>
      </c>
      <c r="AB33" s="13">
        <f>Construction!AB14*AB28*(Construction!AB17+Inputs!$F$79)/100*Construction!AB11/Inputs!$F$247*1</f>
        <v/>
      </c>
      <c r="AC33" s="13">
        <f>Construction!AC14*AC28*(Construction!AC17+Inputs!$F$79)/100*Construction!AC11/Inputs!$F$247*1</f>
        <v/>
      </c>
      <c r="AD33" s="13">
        <f>Construction!AD14*AD28*(Construction!AD17+Inputs!$F$79)/100*Construction!AD11/Inputs!$F$247*1</f>
        <v/>
      </c>
      <c r="AE33" s="13">
        <f>Construction!AE14*AE28*(Construction!AE17+Inputs!$F$79)/100*Construction!AE11/Inputs!$F$247*1</f>
        <v/>
      </c>
      <c r="AF33" s="13">
        <f>Construction!AF14*AF28*(Construction!AF17+Inputs!$F$79)/100*Construction!AF11/Inputs!$F$247*1</f>
        <v/>
      </c>
      <c r="AG33" s="13">
        <f>Construction!AG14*AG28*(Construction!AG17+Inputs!$F$79)/100*Construction!AG11/Inputs!$F$247*1</f>
        <v/>
      </c>
      <c r="AH33" s="13">
        <f>Construction!AH14*AH28*(Construction!AH17+Inputs!$F$79)/100*Construction!AH11/Inputs!$F$247*1</f>
        <v/>
      </c>
      <c r="AI33" s="13">
        <f>Construction!AI14*AI28*(Construction!AI17+Inputs!$F$79)/100*Construction!AI11/Inputs!$F$247*1</f>
        <v/>
      </c>
      <c r="AJ33" s="13">
        <f>Construction!AJ14*AJ28*(Construction!AJ17+Inputs!$F$79)/100*Construction!AJ11/Inputs!$F$247*1</f>
        <v/>
      </c>
      <c r="AK33" s="13">
        <f>Construction!AK14*AK28*(Construction!AK17+Inputs!$F$79)/100*Construction!AK11/Inputs!$F$247*1</f>
        <v/>
      </c>
      <c r="AL33" s="13">
        <f>Construction!AL14*AL28*(Construction!AL17+Inputs!$F$79)/100*Construction!AL11/Inputs!$F$247*1</f>
        <v/>
      </c>
      <c r="AM33" s="13">
        <f>Construction!AM14*AM28*(Construction!AM17+Inputs!$F$79)/100*Construction!AM11/Inputs!$F$247*1</f>
        <v/>
      </c>
      <c r="AN33" s="13">
        <f>Construction!AN14*AN28*(Construction!AN17+Inputs!$F$79)/100*Construction!AN11/Inputs!$F$247*1</f>
        <v/>
      </c>
      <c r="AO33" s="13">
        <f>Construction!AO14*AO28*(Construction!AO17+Inputs!$F$79)/100*Construction!AO11/Inputs!$F$247*1</f>
        <v/>
      </c>
      <c r="AP33" s="13">
        <f>Construction!AP14*AP28*(Construction!AP17+Inputs!$F$79)/100*Construction!AP11/Inputs!$F$247*1</f>
        <v/>
      </c>
      <c r="AQ33" s="13">
        <f>Construction!AQ14*AQ28*(Construction!AQ17+Inputs!$F$79)/100*Construction!AQ11/Inputs!$F$247*1</f>
        <v/>
      </c>
      <c r="AR33" s="13">
        <f>Construction!AR14*AR28*(Construction!AR17+Inputs!$F$79)/100*Construction!AR11/Inputs!$F$247*1</f>
        <v/>
      </c>
      <c r="AS33" s="13">
        <f>Construction!AS14*AS28*(Construction!AS17+Inputs!$F$79)/100*Construction!AS11/Inputs!$F$247*1</f>
        <v/>
      </c>
      <c r="AT33" s="13">
        <f>Construction!AT14*AT28*(Construction!AT17+Inputs!$F$79)/100*Construction!AT11/Inputs!$F$247*1</f>
        <v/>
      </c>
      <c r="AU33" s="13">
        <f>Construction!AU14*AU28*(Construction!AU17+Inputs!$F$79)/100*Construction!AU11/Inputs!$F$247*1</f>
        <v/>
      </c>
      <c r="AV33" s="13">
        <f>Construction!AV14*AV28*(Construction!AV17+Inputs!$F$79)/100*Construction!AV11/Inputs!$F$247*1</f>
        <v/>
      </c>
      <c r="AW33" s="13">
        <f>Construction!AW14*AW28*(Construction!AW17+Inputs!$F$79)/100*Construction!AW11/Inputs!$F$247*1</f>
        <v/>
      </c>
      <c r="AX33" s="13">
        <f>Construction!AX14*AX28*(Construction!AX17+Inputs!$F$79)/100*Construction!AX11/Inputs!$F$247*1</f>
        <v/>
      </c>
      <c r="AY33" s="13">
        <f>Construction!AY14*AY28*(Construction!AY17+Inputs!$F$79)/100*Construction!AY11/Inputs!$F$247*1</f>
        <v/>
      </c>
      <c r="AZ33" s="13">
        <f>Construction!AZ14*AZ28*(Construction!AZ17+Inputs!$F$79)/100*Construction!AZ11/Inputs!$F$247*1</f>
        <v/>
      </c>
      <c r="BA33" s="13">
        <f>Construction!BA14*BA28*(Construction!BA17+Inputs!$F$79)/100*Construction!BA11/Inputs!$F$247*1</f>
        <v/>
      </c>
      <c r="BB33" s="13">
        <f>Construction!BB14*BB28*(Construction!BB17+Inputs!$F$79)/100*Construction!BB11/Inputs!$F$247*1</f>
        <v/>
      </c>
      <c r="BC33" s="13">
        <f>Construction!BC14*BC28*(Construction!BC17+Inputs!$F$79)/100*Construction!BC11/Inputs!$F$247*1</f>
        <v/>
      </c>
      <c r="BD33" s="13">
        <f>Construction!BD14*BD28*(Construction!BD17+Inputs!$F$79)/100*Construction!BD11/Inputs!$F$247*1</f>
        <v/>
      </c>
      <c r="BE33" s="13">
        <f>Construction!BE14*BE28*(Construction!BE17+Inputs!$F$79)/100*Construction!BE11/Inputs!$F$247*1</f>
        <v/>
      </c>
      <c r="BF33" s="13">
        <f>Construction!BF14*BF28*(Construction!BF17+Inputs!$F$79)/100*Construction!BF11/Inputs!$F$247*1</f>
        <v/>
      </c>
      <c r="BG33" s="13">
        <f>Construction!BG14*BG28*(Construction!BG17+Inputs!$F$79)/100*Construction!BG11/Inputs!$F$247*1</f>
        <v/>
      </c>
      <c r="BH33" s="13">
        <f>Construction!BH14*BH28*(Construction!BH17+Inputs!$F$79)/100*Construction!BH11/Inputs!$F$247*1</f>
        <v/>
      </c>
      <c r="BI33" s="13">
        <f>Construction!BI14*BI28*(Construction!BI17+Inputs!$F$79)/100*Construction!BI11/Inputs!$F$247*1</f>
        <v/>
      </c>
      <c r="BJ33" s="13">
        <f>Construction!BJ14*BJ28*(Construction!BJ17+Inputs!$F$79)/100*Construction!BJ11/Inputs!$F$247*1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Construction!J14*J29*(Construction!J17+Inputs!$F$80)/100*Construction!J11/Inputs!$F$247*1</f>
        <v/>
      </c>
      <c r="K34" s="13">
        <f>Construction!K14*K29*(Construction!K17+Inputs!$F$80)/100*Construction!K11/Inputs!$F$247*1</f>
        <v/>
      </c>
      <c r="L34" s="13">
        <f>Construction!L14*L29*(Construction!L17+Inputs!$F$80)/100*Construction!L11/Inputs!$F$247*1</f>
        <v/>
      </c>
      <c r="M34" s="13">
        <f>Construction!M14*M29*(Construction!M17+Inputs!$F$80)/100*Construction!M11/Inputs!$F$247*1</f>
        <v/>
      </c>
      <c r="N34" s="13">
        <f>Construction!N14*N29*(Construction!N17+Inputs!$F$80)/100*Construction!N11/Inputs!$F$247*1</f>
        <v/>
      </c>
      <c r="O34" s="13">
        <f>Construction!O14*O29*(Construction!O17+Inputs!$F$80)/100*Construction!O11/Inputs!$F$247*1</f>
        <v/>
      </c>
      <c r="P34" s="13">
        <f>Construction!P14*P29*(Construction!P17+Inputs!$F$80)/100*Construction!P11/Inputs!$F$247*1</f>
        <v/>
      </c>
      <c r="Q34" s="13">
        <f>Construction!Q14*Q29*(Construction!Q17+Inputs!$F$80)/100*Construction!Q11/Inputs!$F$247*1</f>
        <v/>
      </c>
      <c r="R34" s="13">
        <f>Construction!R14*R29*(Construction!R17+Inputs!$F$80)/100*Construction!R11/Inputs!$F$247*1</f>
        <v/>
      </c>
      <c r="S34" s="13">
        <f>Construction!S14*S29*(Construction!S17+Inputs!$F$80)/100*Construction!S11/Inputs!$F$247*1</f>
        <v/>
      </c>
      <c r="T34" s="13">
        <f>Construction!T14*T29*(Construction!T17+Inputs!$F$80)/100*Construction!T11/Inputs!$F$247*1</f>
        <v/>
      </c>
      <c r="U34" s="13">
        <f>Construction!U14*U29*(Construction!U17+Inputs!$F$80)/100*Construction!U11/Inputs!$F$247*1</f>
        <v/>
      </c>
      <c r="V34" s="13">
        <f>Construction!V14*V29*(Construction!V17+Inputs!$F$80)/100*Construction!V11/Inputs!$F$247*1</f>
        <v/>
      </c>
      <c r="W34" s="13">
        <f>Construction!W14*W29*(Construction!W17+Inputs!$F$80)/100*Construction!W11/Inputs!$F$247*1</f>
        <v/>
      </c>
      <c r="X34" s="13">
        <f>Construction!X14*X29*(Construction!X17+Inputs!$F$80)/100*Construction!X11/Inputs!$F$247*1</f>
        <v/>
      </c>
      <c r="Y34" s="13">
        <f>Construction!Y14*Y29*(Construction!Y17+Inputs!$F$80)/100*Construction!Y11/Inputs!$F$247*1</f>
        <v/>
      </c>
      <c r="Z34" s="13">
        <f>Construction!Z14*Z29*(Construction!Z17+Inputs!$F$80)/100*Construction!Z11/Inputs!$F$247*1</f>
        <v/>
      </c>
      <c r="AA34" s="13">
        <f>Construction!AA14*AA29*(Construction!AA17+Inputs!$F$80)/100*Construction!AA11/Inputs!$F$247*1</f>
        <v/>
      </c>
      <c r="AB34" s="13">
        <f>Construction!AB14*AB29*(Construction!AB17+Inputs!$F$80)/100*Construction!AB11/Inputs!$F$247*1</f>
        <v/>
      </c>
      <c r="AC34" s="13">
        <f>Construction!AC14*AC29*(Construction!AC17+Inputs!$F$80)/100*Construction!AC11/Inputs!$F$247*1</f>
        <v/>
      </c>
      <c r="AD34" s="13">
        <f>Construction!AD14*AD29*(Construction!AD17+Inputs!$F$80)/100*Construction!AD11/Inputs!$F$247*1</f>
        <v/>
      </c>
      <c r="AE34" s="13">
        <f>Construction!AE14*AE29*(Construction!AE17+Inputs!$F$80)/100*Construction!AE11/Inputs!$F$247*1</f>
        <v/>
      </c>
      <c r="AF34" s="13">
        <f>Construction!AF14*AF29*(Construction!AF17+Inputs!$F$80)/100*Construction!AF11/Inputs!$F$247*1</f>
        <v/>
      </c>
      <c r="AG34" s="13">
        <f>Construction!AG14*AG29*(Construction!AG17+Inputs!$F$80)/100*Construction!AG11/Inputs!$F$247*1</f>
        <v/>
      </c>
      <c r="AH34" s="13">
        <f>Construction!AH14*AH29*(Construction!AH17+Inputs!$F$80)/100*Construction!AH11/Inputs!$F$247*1</f>
        <v/>
      </c>
      <c r="AI34" s="13">
        <f>Construction!AI14*AI29*(Construction!AI17+Inputs!$F$80)/100*Construction!AI11/Inputs!$F$247*1</f>
        <v/>
      </c>
      <c r="AJ34" s="13">
        <f>Construction!AJ14*AJ29*(Construction!AJ17+Inputs!$F$80)/100*Construction!AJ11/Inputs!$F$247*1</f>
        <v/>
      </c>
      <c r="AK34" s="13">
        <f>Construction!AK14*AK29*(Construction!AK17+Inputs!$F$80)/100*Construction!AK11/Inputs!$F$247*1</f>
        <v/>
      </c>
      <c r="AL34" s="13">
        <f>Construction!AL14*AL29*(Construction!AL17+Inputs!$F$80)/100*Construction!AL11/Inputs!$F$247*1</f>
        <v/>
      </c>
      <c r="AM34" s="13">
        <f>Construction!AM14*AM29*(Construction!AM17+Inputs!$F$80)/100*Construction!AM11/Inputs!$F$247*1</f>
        <v/>
      </c>
      <c r="AN34" s="13">
        <f>Construction!AN14*AN29*(Construction!AN17+Inputs!$F$80)/100*Construction!AN11/Inputs!$F$247*1</f>
        <v/>
      </c>
      <c r="AO34" s="13">
        <f>Construction!AO14*AO29*(Construction!AO17+Inputs!$F$80)/100*Construction!AO11/Inputs!$F$247*1</f>
        <v/>
      </c>
      <c r="AP34" s="13">
        <f>Construction!AP14*AP29*(Construction!AP17+Inputs!$F$80)/100*Construction!AP11/Inputs!$F$247*1</f>
        <v/>
      </c>
      <c r="AQ34" s="13">
        <f>Construction!AQ14*AQ29*(Construction!AQ17+Inputs!$F$80)/100*Construction!AQ11/Inputs!$F$247*1</f>
        <v/>
      </c>
      <c r="AR34" s="13">
        <f>Construction!AR14*AR29*(Construction!AR17+Inputs!$F$80)/100*Construction!AR11/Inputs!$F$247*1</f>
        <v/>
      </c>
      <c r="AS34" s="13">
        <f>Construction!AS14*AS29*(Construction!AS17+Inputs!$F$80)/100*Construction!AS11/Inputs!$F$247*1</f>
        <v/>
      </c>
      <c r="AT34" s="13">
        <f>Construction!AT14*AT29*(Construction!AT17+Inputs!$F$80)/100*Construction!AT11/Inputs!$F$247*1</f>
        <v/>
      </c>
      <c r="AU34" s="13">
        <f>Construction!AU14*AU29*(Construction!AU17+Inputs!$F$80)/100*Construction!AU11/Inputs!$F$247*1</f>
        <v/>
      </c>
      <c r="AV34" s="13">
        <f>Construction!AV14*AV29*(Construction!AV17+Inputs!$F$80)/100*Construction!AV11/Inputs!$F$247*1</f>
        <v/>
      </c>
      <c r="AW34" s="13">
        <f>Construction!AW14*AW29*(Construction!AW17+Inputs!$F$80)/100*Construction!AW11/Inputs!$F$247*1</f>
        <v/>
      </c>
      <c r="AX34" s="13">
        <f>Construction!AX14*AX29*(Construction!AX17+Inputs!$F$80)/100*Construction!AX11/Inputs!$F$247*1</f>
        <v/>
      </c>
      <c r="AY34" s="13">
        <f>Construction!AY14*AY29*(Construction!AY17+Inputs!$F$80)/100*Construction!AY11/Inputs!$F$247*1</f>
        <v/>
      </c>
      <c r="AZ34" s="13">
        <f>Construction!AZ14*AZ29*(Construction!AZ17+Inputs!$F$80)/100*Construction!AZ11/Inputs!$F$247*1</f>
        <v/>
      </c>
      <c r="BA34" s="13">
        <f>Construction!BA14*BA29*(Construction!BA17+Inputs!$F$80)/100*Construction!BA11/Inputs!$F$247*1</f>
        <v/>
      </c>
      <c r="BB34" s="13">
        <f>Construction!BB14*BB29*(Construction!BB17+Inputs!$F$80)/100*Construction!BB11/Inputs!$F$247*1</f>
        <v/>
      </c>
      <c r="BC34" s="13">
        <f>Construction!BC14*BC29*(Construction!BC17+Inputs!$F$80)/100*Construction!BC11/Inputs!$F$247*1</f>
        <v/>
      </c>
      <c r="BD34" s="13">
        <f>Construction!BD14*BD29*(Construction!BD17+Inputs!$F$80)/100*Construction!BD11/Inputs!$F$247*1</f>
        <v/>
      </c>
      <c r="BE34" s="13">
        <f>Construction!BE14*BE29*(Construction!BE17+Inputs!$F$80)/100*Construction!BE11/Inputs!$F$247*1</f>
        <v/>
      </c>
      <c r="BF34" s="13">
        <f>Construction!BF14*BF29*(Construction!BF17+Inputs!$F$80)/100*Construction!BF11/Inputs!$F$247*1</f>
        <v/>
      </c>
      <c r="BG34" s="13">
        <f>Construction!BG14*BG29*(Construction!BG17+Inputs!$F$80)/100*Construction!BG11/Inputs!$F$247*1</f>
        <v/>
      </c>
      <c r="BH34" s="13">
        <f>Construction!BH14*BH29*(Construction!BH17+Inputs!$F$80)/100*Construction!BH11/Inputs!$F$247*1</f>
        <v/>
      </c>
      <c r="BI34" s="13">
        <f>Construction!BI14*BI29*(Construction!BI17+Inputs!$F$80)/100*Construction!BI11/Inputs!$F$247*1</f>
        <v/>
      </c>
      <c r="BJ34" s="13">
        <f>Construction!BJ14*BJ29*(Construction!BJ17+Inputs!$F$80)/100*Construction!BJ11/Inputs!$F$247*1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Construction!J14*J30*(Construction!J17+Inputs!$F$81)/100*Construction!J11/Inputs!$F$247*1</f>
        <v/>
      </c>
      <c r="K35" s="13">
        <f>Construction!K14*K30*(Construction!K17+Inputs!$F$81)/100*Construction!K11/Inputs!$F$247*1</f>
        <v/>
      </c>
      <c r="L35" s="13">
        <f>Construction!L14*L30*(Construction!L17+Inputs!$F$81)/100*Construction!L11/Inputs!$F$247*1</f>
        <v/>
      </c>
      <c r="M35" s="13">
        <f>Construction!M14*M30*(Construction!M17+Inputs!$F$81)/100*Construction!M11/Inputs!$F$247*1</f>
        <v/>
      </c>
      <c r="N35" s="13">
        <f>Construction!N14*N30*(Construction!N17+Inputs!$F$81)/100*Construction!N11/Inputs!$F$247*1</f>
        <v/>
      </c>
      <c r="O35" s="13">
        <f>Construction!O14*O30*(Construction!O17+Inputs!$F$81)/100*Construction!O11/Inputs!$F$247*1</f>
        <v/>
      </c>
      <c r="P35" s="13">
        <f>Construction!P14*P30*(Construction!P17+Inputs!$F$81)/100*Construction!P11/Inputs!$F$247*1</f>
        <v/>
      </c>
      <c r="Q35" s="13">
        <f>Construction!Q14*Q30*(Construction!Q17+Inputs!$F$81)/100*Construction!Q11/Inputs!$F$247*1</f>
        <v/>
      </c>
      <c r="R35" s="13">
        <f>Construction!R14*R30*(Construction!R17+Inputs!$F$81)/100*Construction!R11/Inputs!$F$247*1</f>
        <v/>
      </c>
      <c r="S35" s="13">
        <f>Construction!S14*S30*(Construction!S17+Inputs!$F$81)/100*Construction!S11/Inputs!$F$247*1</f>
        <v/>
      </c>
      <c r="T35" s="13">
        <f>Construction!T14*T30*(Construction!T17+Inputs!$F$81)/100*Construction!T11/Inputs!$F$247*1</f>
        <v/>
      </c>
      <c r="U35" s="13">
        <f>Construction!U14*U30*(Construction!U17+Inputs!$F$81)/100*Construction!U11/Inputs!$F$247*1</f>
        <v/>
      </c>
      <c r="V35" s="13">
        <f>Construction!V14*V30*(Construction!V17+Inputs!$F$81)/100*Construction!V11/Inputs!$F$247*1</f>
        <v/>
      </c>
      <c r="W35" s="13">
        <f>Construction!W14*W30*(Construction!W17+Inputs!$F$81)/100*Construction!W11/Inputs!$F$247*1</f>
        <v/>
      </c>
      <c r="X35" s="13">
        <f>Construction!X14*X30*(Construction!X17+Inputs!$F$81)/100*Construction!X11/Inputs!$F$247*1</f>
        <v/>
      </c>
      <c r="Y35" s="13">
        <f>Construction!Y14*Y30*(Construction!Y17+Inputs!$F$81)/100*Construction!Y11/Inputs!$F$247*1</f>
        <v/>
      </c>
      <c r="Z35" s="13">
        <f>Construction!Z14*Z30*(Construction!Z17+Inputs!$F$81)/100*Construction!Z11/Inputs!$F$247*1</f>
        <v/>
      </c>
      <c r="AA35" s="13">
        <f>Construction!AA14*AA30*(Construction!AA17+Inputs!$F$81)/100*Construction!AA11/Inputs!$F$247*1</f>
        <v/>
      </c>
      <c r="AB35" s="13">
        <f>Construction!AB14*AB30*(Construction!AB17+Inputs!$F$81)/100*Construction!AB11/Inputs!$F$247*1</f>
        <v/>
      </c>
      <c r="AC35" s="13">
        <f>Construction!AC14*AC30*(Construction!AC17+Inputs!$F$81)/100*Construction!AC11/Inputs!$F$247*1</f>
        <v/>
      </c>
      <c r="AD35" s="13">
        <f>Construction!AD14*AD30*(Construction!AD17+Inputs!$F$81)/100*Construction!AD11/Inputs!$F$247*1</f>
        <v/>
      </c>
      <c r="AE35" s="13">
        <f>Construction!AE14*AE30*(Construction!AE17+Inputs!$F$81)/100*Construction!AE11/Inputs!$F$247*1</f>
        <v/>
      </c>
      <c r="AF35" s="13">
        <f>Construction!AF14*AF30*(Construction!AF17+Inputs!$F$81)/100*Construction!AF11/Inputs!$F$247*1</f>
        <v/>
      </c>
      <c r="AG35" s="13">
        <f>Construction!AG14*AG30*(Construction!AG17+Inputs!$F$81)/100*Construction!AG11/Inputs!$F$247*1</f>
        <v/>
      </c>
      <c r="AH35" s="13">
        <f>Construction!AH14*AH30*(Construction!AH17+Inputs!$F$81)/100*Construction!AH11/Inputs!$F$247*1</f>
        <v/>
      </c>
      <c r="AI35" s="13">
        <f>Construction!AI14*AI30*(Construction!AI17+Inputs!$F$81)/100*Construction!AI11/Inputs!$F$247*1</f>
        <v/>
      </c>
      <c r="AJ35" s="13">
        <f>Construction!AJ14*AJ30*(Construction!AJ17+Inputs!$F$81)/100*Construction!AJ11/Inputs!$F$247*1</f>
        <v/>
      </c>
      <c r="AK35" s="13">
        <f>Construction!AK14*AK30*(Construction!AK17+Inputs!$F$81)/100*Construction!AK11/Inputs!$F$247*1</f>
        <v/>
      </c>
      <c r="AL35" s="13">
        <f>Construction!AL14*AL30*(Construction!AL17+Inputs!$F$81)/100*Construction!AL11/Inputs!$F$247*1</f>
        <v/>
      </c>
      <c r="AM35" s="13">
        <f>Construction!AM14*AM30*(Construction!AM17+Inputs!$F$81)/100*Construction!AM11/Inputs!$F$247*1</f>
        <v/>
      </c>
      <c r="AN35" s="13">
        <f>Construction!AN14*AN30*(Construction!AN17+Inputs!$F$81)/100*Construction!AN11/Inputs!$F$247*1</f>
        <v/>
      </c>
      <c r="AO35" s="13">
        <f>Construction!AO14*AO30*(Construction!AO17+Inputs!$F$81)/100*Construction!AO11/Inputs!$F$247*1</f>
        <v/>
      </c>
      <c r="AP35" s="13">
        <f>Construction!AP14*AP30*(Construction!AP17+Inputs!$F$81)/100*Construction!AP11/Inputs!$F$247*1</f>
        <v/>
      </c>
      <c r="AQ35" s="13">
        <f>Construction!AQ14*AQ30*(Construction!AQ17+Inputs!$F$81)/100*Construction!AQ11/Inputs!$F$247*1</f>
        <v/>
      </c>
      <c r="AR35" s="13">
        <f>Construction!AR14*AR30*(Construction!AR17+Inputs!$F$81)/100*Construction!AR11/Inputs!$F$247*1</f>
        <v/>
      </c>
      <c r="AS35" s="13">
        <f>Construction!AS14*AS30*(Construction!AS17+Inputs!$F$81)/100*Construction!AS11/Inputs!$F$247*1</f>
        <v/>
      </c>
      <c r="AT35" s="13">
        <f>Construction!AT14*AT30*(Construction!AT17+Inputs!$F$81)/100*Construction!AT11/Inputs!$F$247*1</f>
        <v/>
      </c>
      <c r="AU35" s="13">
        <f>Construction!AU14*AU30*(Construction!AU17+Inputs!$F$81)/100*Construction!AU11/Inputs!$F$247*1</f>
        <v/>
      </c>
      <c r="AV35" s="13">
        <f>Construction!AV14*AV30*(Construction!AV17+Inputs!$F$81)/100*Construction!AV11/Inputs!$F$247*1</f>
        <v/>
      </c>
      <c r="AW35" s="13">
        <f>Construction!AW14*AW30*(Construction!AW17+Inputs!$F$81)/100*Construction!AW11/Inputs!$F$247*1</f>
        <v/>
      </c>
      <c r="AX35" s="13">
        <f>Construction!AX14*AX30*(Construction!AX17+Inputs!$F$81)/100*Construction!AX11/Inputs!$F$247*1</f>
        <v/>
      </c>
      <c r="AY35" s="13">
        <f>Construction!AY14*AY30*(Construction!AY17+Inputs!$F$81)/100*Construction!AY11/Inputs!$F$247*1</f>
        <v/>
      </c>
      <c r="AZ35" s="13">
        <f>Construction!AZ14*AZ30*(Construction!AZ17+Inputs!$F$81)/100*Construction!AZ11/Inputs!$F$247*1</f>
        <v/>
      </c>
      <c r="BA35" s="13">
        <f>Construction!BA14*BA30*(Construction!BA17+Inputs!$F$81)/100*Construction!BA11/Inputs!$F$247*1</f>
        <v/>
      </c>
      <c r="BB35" s="13">
        <f>Construction!BB14*BB30*(Construction!BB17+Inputs!$F$81)/100*Construction!BB11/Inputs!$F$247*1</f>
        <v/>
      </c>
      <c r="BC35" s="13">
        <f>Construction!BC14*BC30*(Construction!BC17+Inputs!$F$81)/100*Construction!BC11/Inputs!$F$247*1</f>
        <v/>
      </c>
      <c r="BD35" s="13">
        <f>Construction!BD14*BD30*(Construction!BD17+Inputs!$F$81)/100*Construction!BD11/Inputs!$F$247*1</f>
        <v/>
      </c>
      <c r="BE35" s="13">
        <f>Construction!BE14*BE30*(Construction!BE17+Inputs!$F$81)/100*Construction!BE11/Inputs!$F$247*1</f>
        <v/>
      </c>
      <c r="BF35" s="13">
        <f>Construction!BF14*BF30*(Construction!BF17+Inputs!$F$81)/100*Construction!BF11/Inputs!$F$247*1</f>
        <v/>
      </c>
      <c r="BG35" s="13">
        <f>Construction!BG14*BG30*(Construction!BG17+Inputs!$F$81)/100*Construction!BG11/Inputs!$F$247*1</f>
        <v/>
      </c>
      <c r="BH35" s="13">
        <f>Construction!BH14*BH30*(Construction!BH17+Inputs!$F$81)/100*Construction!BH11/Inputs!$F$247*1</f>
        <v/>
      </c>
      <c r="BI35" s="13">
        <f>Construction!BI14*BI30*(Construction!BI17+Inputs!$F$81)/100*Construction!BI11/Inputs!$F$247*1</f>
        <v/>
      </c>
      <c r="BJ35" s="13">
        <f>Construction!BJ14*BJ30*(Construction!BJ17+Inputs!$F$81)/100*Construction!BJ11/Inputs!$F$247*1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Construction!J14*J31*(Construction!J17+Inputs!$F$82)/100*Construction!J11/Inputs!$F$247*(1/(1-Inputs!$F$93/100))</f>
        <v/>
      </c>
      <c r="K36" s="13">
        <f>Construction!K14*K31*(Construction!K17+Inputs!$F$82)/100*Construction!K11/Inputs!$F$247*(1/(1-Inputs!$F$93/100))</f>
        <v/>
      </c>
      <c r="L36" s="13">
        <f>Construction!L14*L31*(Construction!L17+Inputs!$F$82)/100*Construction!L11/Inputs!$F$247*(1/(1-Inputs!$F$93/100))</f>
        <v/>
      </c>
      <c r="M36" s="13">
        <f>Construction!M14*M31*(Construction!M17+Inputs!$F$82)/100*Construction!M11/Inputs!$F$247*(1/(1-Inputs!$F$93/100))</f>
        <v/>
      </c>
      <c r="N36" s="13">
        <f>Construction!N14*N31*(Construction!N17+Inputs!$F$82)/100*Construction!N11/Inputs!$F$247*(1/(1-Inputs!$F$93/100))</f>
        <v/>
      </c>
      <c r="O36" s="13">
        <f>Construction!O14*O31*(Construction!O17+Inputs!$F$82)/100*Construction!O11/Inputs!$F$247*(1/(1-Inputs!$F$93/100))</f>
        <v/>
      </c>
      <c r="P36" s="13">
        <f>Construction!P14*P31*(Construction!P17+Inputs!$F$82)/100*Construction!P11/Inputs!$F$247*(1/(1-Inputs!$F$93/100))</f>
        <v/>
      </c>
      <c r="Q36" s="13">
        <f>Construction!Q14*Q31*(Construction!Q17+Inputs!$F$82)/100*Construction!Q11/Inputs!$F$247*(1/(1-Inputs!$F$93/100))</f>
        <v/>
      </c>
      <c r="R36" s="13">
        <f>Construction!R14*R31*(Construction!R17+Inputs!$F$82)/100*Construction!R11/Inputs!$F$247*(1/(1-Inputs!$F$93/100))</f>
        <v/>
      </c>
      <c r="S36" s="13">
        <f>Construction!S14*S31*(Construction!S17+Inputs!$F$82)/100*Construction!S11/Inputs!$F$247*(1/(1-Inputs!$F$93/100))</f>
        <v/>
      </c>
      <c r="T36" s="13">
        <f>Construction!T14*T31*(Construction!T17+Inputs!$F$82)/100*Construction!T11/Inputs!$F$247*(1/(1-Inputs!$F$93/100))</f>
        <v/>
      </c>
      <c r="U36" s="13">
        <f>Construction!U14*U31*(Construction!U17+Inputs!$F$82)/100*Construction!U11/Inputs!$F$247*(1/(1-Inputs!$F$93/100))</f>
        <v/>
      </c>
      <c r="V36" s="13">
        <f>Construction!V14*V31*(Construction!V17+Inputs!$F$82)/100*Construction!V11/Inputs!$F$247*(1/(1-Inputs!$F$93/100))</f>
        <v/>
      </c>
      <c r="W36" s="13">
        <f>Construction!W14*W31*(Construction!W17+Inputs!$F$82)/100*Construction!W11/Inputs!$F$247*(1/(1-Inputs!$F$93/100))</f>
        <v/>
      </c>
      <c r="X36" s="13">
        <f>Construction!X14*X31*(Construction!X17+Inputs!$F$82)/100*Construction!X11/Inputs!$F$247*(1/(1-Inputs!$F$93/100))</f>
        <v/>
      </c>
      <c r="Y36" s="13">
        <f>Construction!Y14*Y31*(Construction!Y17+Inputs!$F$82)/100*Construction!Y11/Inputs!$F$247*(1/(1-Inputs!$F$93/100))</f>
        <v/>
      </c>
      <c r="Z36" s="13">
        <f>Construction!Z14*Z31*(Construction!Z17+Inputs!$F$82)/100*Construction!Z11/Inputs!$F$247*(1/(1-Inputs!$F$93/100))</f>
        <v/>
      </c>
      <c r="AA36" s="13">
        <f>Construction!AA14*AA31*(Construction!AA17+Inputs!$F$82)/100*Construction!AA11/Inputs!$F$247*(1/(1-Inputs!$F$93/100))</f>
        <v/>
      </c>
      <c r="AB36" s="13">
        <f>Construction!AB14*AB31*(Construction!AB17+Inputs!$F$82)/100*Construction!AB11/Inputs!$F$247*(1/(1-Inputs!$F$93/100))</f>
        <v/>
      </c>
      <c r="AC36" s="13">
        <f>Construction!AC14*AC31*(Construction!AC17+Inputs!$F$82)/100*Construction!AC11/Inputs!$F$247*(1/(1-Inputs!$F$93/100))</f>
        <v/>
      </c>
      <c r="AD36" s="13">
        <f>Construction!AD14*AD31*(Construction!AD17+Inputs!$F$82)/100*Construction!AD11/Inputs!$F$247*(1/(1-Inputs!$F$93/100))</f>
        <v/>
      </c>
      <c r="AE36" s="13">
        <f>Construction!AE14*AE31*(Construction!AE17+Inputs!$F$82)/100*Construction!AE11/Inputs!$F$247*(1/(1-Inputs!$F$93/100))</f>
        <v/>
      </c>
      <c r="AF36" s="13">
        <f>Construction!AF14*AF31*(Construction!AF17+Inputs!$F$82)/100*Construction!AF11/Inputs!$F$247*(1/(1-Inputs!$F$93/100))</f>
        <v/>
      </c>
      <c r="AG36" s="13">
        <f>Construction!AG14*AG31*(Construction!AG17+Inputs!$F$82)/100*Construction!AG11/Inputs!$F$247*(1/(1-Inputs!$F$93/100))</f>
        <v/>
      </c>
      <c r="AH36" s="13">
        <f>Construction!AH14*AH31*(Construction!AH17+Inputs!$F$82)/100*Construction!AH11/Inputs!$F$247*(1/(1-Inputs!$F$93/100))</f>
        <v/>
      </c>
      <c r="AI36" s="13">
        <f>Construction!AI14*AI31*(Construction!AI17+Inputs!$F$82)/100*Construction!AI11/Inputs!$F$247*(1/(1-Inputs!$F$93/100))</f>
        <v/>
      </c>
      <c r="AJ36" s="13">
        <f>Construction!AJ14*AJ31*(Construction!AJ17+Inputs!$F$82)/100*Construction!AJ11/Inputs!$F$247*(1/(1-Inputs!$F$93/100))</f>
        <v/>
      </c>
      <c r="AK36" s="13">
        <f>Construction!AK14*AK31*(Construction!AK17+Inputs!$F$82)/100*Construction!AK11/Inputs!$F$247*(1/(1-Inputs!$F$93/100))</f>
        <v/>
      </c>
      <c r="AL36" s="13">
        <f>Construction!AL14*AL31*(Construction!AL17+Inputs!$F$82)/100*Construction!AL11/Inputs!$F$247*(1/(1-Inputs!$F$93/100))</f>
        <v/>
      </c>
      <c r="AM36" s="13">
        <f>Construction!AM14*AM31*(Construction!AM17+Inputs!$F$82)/100*Construction!AM11/Inputs!$F$247*(1/(1-Inputs!$F$93/100))</f>
        <v/>
      </c>
      <c r="AN36" s="13">
        <f>Construction!AN14*AN31*(Construction!AN17+Inputs!$F$82)/100*Construction!AN11/Inputs!$F$247*(1/(1-Inputs!$F$93/100))</f>
        <v/>
      </c>
      <c r="AO36" s="13">
        <f>Construction!AO14*AO31*(Construction!AO17+Inputs!$F$82)/100*Construction!AO11/Inputs!$F$247*(1/(1-Inputs!$F$93/100))</f>
        <v/>
      </c>
      <c r="AP36" s="13">
        <f>Construction!AP14*AP31*(Construction!AP17+Inputs!$F$82)/100*Construction!AP11/Inputs!$F$247*(1/(1-Inputs!$F$93/100))</f>
        <v/>
      </c>
      <c r="AQ36" s="13">
        <f>Construction!AQ14*AQ31*(Construction!AQ17+Inputs!$F$82)/100*Construction!AQ11/Inputs!$F$247*(1/(1-Inputs!$F$93/100))</f>
        <v/>
      </c>
      <c r="AR36" s="13">
        <f>Construction!AR14*AR31*(Construction!AR17+Inputs!$F$82)/100*Construction!AR11/Inputs!$F$247*(1/(1-Inputs!$F$93/100))</f>
        <v/>
      </c>
      <c r="AS36" s="13">
        <f>Construction!AS14*AS31*(Construction!AS17+Inputs!$F$82)/100*Construction!AS11/Inputs!$F$247*(1/(1-Inputs!$F$93/100))</f>
        <v/>
      </c>
      <c r="AT36" s="13">
        <f>Construction!AT14*AT31*(Construction!AT17+Inputs!$F$82)/100*Construction!AT11/Inputs!$F$247*(1/(1-Inputs!$F$93/100))</f>
        <v/>
      </c>
      <c r="AU36" s="13">
        <f>Construction!AU14*AU31*(Construction!AU17+Inputs!$F$82)/100*Construction!AU11/Inputs!$F$247*(1/(1-Inputs!$F$93/100))</f>
        <v/>
      </c>
      <c r="AV36" s="13">
        <f>Construction!AV14*AV31*(Construction!AV17+Inputs!$F$82)/100*Construction!AV11/Inputs!$F$247*(1/(1-Inputs!$F$93/100))</f>
        <v/>
      </c>
      <c r="AW36" s="13">
        <f>Construction!AW14*AW31*(Construction!AW17+Inputs!$F$82)/100*Construction!AW11/Inputs!$F$247*(1/(1-Inputs!$F$93/100))</f>
        <v/>
      </c>
      <c r="AX36" s="13">
        <f>Construction!AX14*AX31*(Construction!AX17+Inputs!$F$82)/100*Construction!AX11/Inputs!$F$247*(1/(1-Inputs!$F$93/100))</f>
        <v/>
      </c>
      <c r="AY36" s="13">
        <f>Construction!AY14*AY31*(Construction!AY17+Inputs!$F$82)/100*Construction!AY11/Inputs!$F$247*(1/(1-Inputs!$F$93/100))</f>
        <v/>
      </c>
      <c r="AZ36" s="13">
        <f>Construction!AZ14*AZ31*(Construction!AZ17+Inputs!$F$82)/100*Construction!AZ11/Inputs!$F$247*(1/(1-Inputs!$F$93/100))</f>
        <v/>
      </c>
      <c r="BA36" s="13">
        <f>Construction!BA14*BA31*(Construction!BA17+Inputs!$F$82)/100*Construction!BA11/Inputs!$F$247*(1/(1-Inputs!$F$93/100))</f>
        <v/>
      </c>
      <c r="BB36" s="13">
        <f>Construction!BB14*BB31*(Construction!BB17+Inputs!$F$82)/100*Construction!BB11/Inputs!$F$247*(1/(1-Inputs!$F$93/100))</f>
        <v/>
      </c>
      <c r="BC36" s="13">
        <f>Construction!BC14*BC31*(Construction!BC17+Inputs!$F$82)/100*Construction!BC11/Inputs!$F$247*(1/(1-Inputs!$F$93/100))</f>
        <v/>
      </c>
      <c r="BD36" s="13">
        <f>Construction!BD14*BD31*(Construction!BD17+Inputs!$F$82)/100*Construction!BD11/Inputs!$F$247*(1/(1-Inputs!$F$93/100))</f>
        <v/>
      </c>
      <c r="BE36" s="13">
        <f>Construction!BE14*BE31*(Construction!BE17+Inputs!$F$82)/100*Construction!BE11/Inputs!$F$247*(1/(1-Inputs!$F$93/100))</f>
        <v/>
      </c>
      <c r="BF36" s="13">
        <f>Construction!BF14*BF31*(Construction!BF17+Inputs!$F$82)/100*Construction!BF11/Inputs!$F$247*(1/(1-Inputs!$F$93/100))</f>
        <v/>
      </c>
      <c r="BG36" s="13">
        <f>Construction!BG14*BG31*(Construction!BG17+Inputs!$F$82)/100*Construction!BG11/Inputs!$F$247*(1/(1-Inputs!$F$93/100))</f>
        <v/>
      </c>
      <c r="BH36" s="13">
        <f>Construction!BH14*BH31*(Construction!BH17+Inputs!$F$82)/100*Construction!BH11/Inputs!$F$247*(1/(1-Inputs!$F$93/100))</f>
        <v/>
      </c>
      <c r="BI36" s="13">
        <f>Construction!BI14*BI31*(Construction!BI17+Inputs!$F$82)/100*Construction!BI11/Inputs!$F$247*(1/(1-Inputs!$F$93/100))</f>
        <v/>
      </c>
      <c r="BJ36" s="13">
        <f>Construction!BJ14*BJ31*(Construction!BJ17+Inputs!$F$82)/100*Construction!BJ11/Inputs!$F$247*(1/(1-Inputs!$F$93/100))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Construction!J14*Inputs!J309*(Inputs!$F$97/100/12-Construction!J17/100*Construction!J11/Inputs!$F$247)</f>
        <v/>
      </c>
      <c r="K39" s="13">
        <f>Construction!K14*Inputs!K309*(Inputs!$F$97/100/12-Construction!K17/100*Construction!K11/Inputs!$F$247)</f>
        <v/>
      </c>
      <c r="L39" s="13">
        <f>Construction!L14*Inputs!L309*(Inputs!$F$97/100/12-Construction!L17/100*Construction!L11/Inputs!$F$247)</f>
        <v/>
      </c>
      <c r="M39" s="13">
        <f>Construction!M14*Inputs!M309*(Inputs!$F$97/100/12-Construction!M17/100*Construction!M11/Inputs!$F$247)</f>
        <v/>
      </c>
      <c r="N39" s="13">
        <f>Construction!N14*Inputs!N309*(Inputs!$F$97/100/12-Construction!N17/100*Construction!N11/Inputs!$F$247)</f>
        <v/>
      </c>
      <c r="O39" s="13">
        <f>Construction!O14*Inputs!O309*(Inputs!$F$97/100/12-Construction!O17/100*Construction!O11/Inputs!$F$247)</f>
        <v/>
      </c>
      <c r="P39" s="13">
        <f>Construction!P14*Inputs!P309*(Inputs!$F$97/100/12-Construction!P17/100*Construction!P11/Inputs!$F$247)</f>
        <v/>
      </c>
      <c r="Q39" s="13">
        <f>Construction!Q14*Inputs!Q309*(Inputs!$F$97/100/12-Construction!Q17/100*Construction!Q11/Inputs!$F$247)</f>
        <v/>
      </c>
      <c r="R39" s="13">
        <f>Construction!R14*Inputs!R309*(Inputs!$F$97/100/12-Construction!R17/100*Construction!R11/Inputs!$F$247)</f>
        <v/>
      </c>
      <c r="S39" s="13">
        <f>Construction!S14*Inputs!S309*(Inputs!$F$97/100/12-Construction!S17/100*Construction!S11/Inputs!$F$247)</f>
        <v/>
      </c>
      <c r="T39" s="13">
        <f>Construction!T14*Inputs!T309*(Inputs!$F$97/100/12-Construction!T17/100*Construction!T11/Inputs!$F$247)</f>
        <v/>
      </c>
      <c r="U39" s="13">
        <f>Construction!U14*Inputs!U309*(Inputs!$F$97/100/12-Construction!U17/100*Construction!U11/Inputs!$F$247)</f>
        <v/>
      </c>
      <c r="V39" s="13">
        <f>Construction!V14*Inputs!V309*(Inputs!$F$97/100/12-Construction!V17/100*Construction!V11/Inputs!$F$247)</f>
        <v/>
      </c>
      <c r="W39" s="13">
        <f>Construction!W14*Inputs!W309*(Inputs!$F$97/100/12-Construction!W17/100*Construction!W11/Inputs!$F$247)</f>
        <v/>
      </c>
      <c r="X39" s="13">
        <f>Construction!X14*Inputs!X309*(Inputs!$F$97/100/12-Construction!X17/100*Construction!X11/Inputs!$F$247)</f>
        <v/>
      </c>
      <c r="Y39" s="13">
        <f>Construction!Y14*Inputs!Y309*(Inputs!$F$97/100/12-Construction!Y17/100*Construction!Y11/Inputs!$F$247)</f>
        <v/>
      </c>
      <c r="Z39" s="13">
        <f>Construction!Z14*Inputs!Z309*(Inputs!$F$97/100/12-Construction!Z17/100*Construction!Z11/Inputs!$F$247)</f>
        <v/>
      </c>
      <c r="AA39" s="13">
        <f>Construction!AA14*Inputs!AA309*(Inputs!$F$97/100/12-Construction!AA17/100*Construction!AA11/Inputs!$F$247)</f>
        <v/>
      </c>
      <c r="AB39" s="13">
        <f>Construction!AB14*Inputs!AB309*(Inputs!$F$97/100/12-Construction!AB17/100*Construction!AB11/Inputs!$F$247)</f>
        <v/>
      </c>
      <c r="AC39" s="13">
        <f>Construction!AC14*Inputs!AC309*(Inputs!$F$97/100/12-Construction!AC17/100*Construction!AC11/Inputs!$F$247)</f>
        <v/>
      </c>
      <c r="AD39" s="13">
        <f>Construction!AD14*Inputs!AD309*(Inputs!$F$97/100/12-Construction!AD17/100*Construction!AD11/Inputs!$F$247)</f>
        <v/>
      </c>
      <c r="AE39" s="13">
        <f>Construction!AE14*Inputs!AE309*(Inputs!$F$97/100/12-Construction!AE17/100*Construction!AE11/Inputs!$F$247)</f>
        <v/>
      </c>
      <c r="AF39" s="13">
        <f>Construction!AF14*Inputs!AF309*(Inputs!$F$97/100/12-Construction!AF17/100*Construction!AF11/Inputs!$F$247)</f>
        <v/>
      </c>
      <c r="AG39" s="13">
        <f>Construction!AG14*Inputs!AG309*(Inputs!$F$97/100/12-Construction!AG17/100*Construction!AG11/Inputs!$F$247)</f>
        <v/>
      </c>
      <c r="AH39" s="13">
        <f>Construction!AH14*Inputs!AH309*(Inputs!$F$97/100/12-Construction!AH17/100*Construction!AH11/Inputs!$F$247)</f>
        <v/>
      </c>
      <c r="AI39" s="13">
        <f>Construction!AI14*Inputs!AI309*(Inputs!$F$97/100/12-Construction!AI17/100*Construction!AI11/Inputs!$F$247)</f>
        <v/>
      </c>
      <c r="AJ39" s="13">
        <f>Construction!AJ14*Inputs!AJ309*(Inputs!$F$97/100/12-Construction!AJ17/100*Construction!AJ11/Inputs!$F$247)</f>
        <v/>
      </c>
      <c r="AK39" s="13">
        <f>Construction!AK14*Inputs!AK309*(Inputs!$F$97/100/12-Construction!AK17/100*Construction!AK11/Inputs!$F$247)</f>
        <v/>
      </c>
      <c r="AL39" s="13">
        <f>Construction!AL14*Inputs!AL309*(Inputs!$F$97/100/12-Construction!AL17/100*Construction!AL11/Inputs!$F$247)</f>
        <v/>
      </c>
      <c r="AM39" s="13">
        <f>Construction!AM14*Inputs!AM309*(Inputs!$F$97/100/12-Construction!AM17/100*Construction!AM11/Inputs!$F$247)</f>
        <v/>
      </c>
      <c r="AN39" s="13">
        <f>Construction!AN14*Inputs!AN309*(Inputs!$F$97/100/12-Construction!AN17/100*Construction!AN11/Inputs!$F$247)</f>
        <v/>
      </c>
      <c r="AO39" s="13">
        <f>Construction!AO14*Inputs!AO309*(Inputs!$F$97/100/12-Construction!AO17/100*Construction!AO11/Inputs!$F$247)</f>
        <v/>
      </c>
      <c r="AP39" s="13">
        <f>Construction!AP14*Inputs!AP309*(Inputs!$F$97/100/12-Construction!AP17/100*Construction!AP11/Inputs!$F$247)</f>
        <v/>
      </c>
      <c r="AQ39" s="13">
        <f>Construction!AQ14*Inputs!AQ309*(Inputs!$F$97/100/12-Construction!AQ17/100*Construction!AQ11/Inputs!$F$247)</f>
        <v/>
      </c>
      <c r="AR39" s="13">
        <f>Construction!AR14*Inputs!AR309*(Inputs!$F$97/100/12-Construction!AR17/100*Construction!AR11/Inputs!$F$247)</f>
        <v/>
      </c>
      <c r="AS39" s="13">
        <f>Construction!AS14*Inputs!AS309*(Inputs!$F$97/100/12-Construction!AS17/100*Construction!AS11/Inputs!$F$247)</f>
        <v/>
      </c>
      <c r="AT39" s="13">
        <f>Construction!AT14*Inputs!AT309*(Inputs!$F$97/100/12-Construction!AT17/100*Construction!AT11/Inputs!$F$247)</f>
        <v/>
      </c>
      <c r="AU39" s="13">
        <f>Construction!AU14*Inputs!AU309*(Inputs!$F$97/100/12-Construction!AU17/100*Construction!AU11/Inputs!$F$247)</f>
        <v/>
      </c>
      <c r="AV39" s="13">
        <f>Construction!AV14*Inputs!AV309*(Inputs!$F$97/100/12-Construction!AV17/100*Construction!AV11/Inputs!$F$247)</f>
        <v/>
      </c>
      <c r="AW39" s="13">
        <f>Construction!AW14*Inputs!AW309*(Inputs!$F$97/100/12-Construction!AW17/100*Construction!AW11/Inputs!$F$247)</f>
        <v/>
      </c>
      <c r="AX39" s="13">
        <f>Construction!AX14*Inputs!AX309*(Inputs!$F$97/100/12-Construction!AX17/100*Construction!AX11/Inputs!$F$247)</f>
        <v/>
      </c>
      <c r="AY39" s="13">
        <f>Construction!AY14*Inputs!AY309*(Inputs!$F$97/100/12-Construction!AY17/100*Construction!AY11/Inputs!$F$247)</f>
        <v/>
      </c>
      <c r="AZ39" s="13">
        <f>Construction!AZ14*Inputs!AZ309*(Inputs!$F$97/100/12-Construction!AZ17/100*Construction!AZ11/Inputs!$F$247)</f>
        <v/>
      </c>
      <c r="BA39" s="13">
        <f>Construction!BA14*Inputs!BA309*(Inputs!$F$97/100/12-Construction!BA17/100*Construction!BA11/Inputs!$F$247)</f>
        <v/>
      </c>
      <c r="BB39" s="13">
        <f>Construction!BB14*Inputs!BB309*(Inputs!$F$97/100/12-Construction!BB17/100*Construction!BB11/Inputs!$F$247)</f>
        <v/>
      </c>
      <c r="BC39" s="13">
        <f>Construction!BC14*Inputs!BC309*(Inputs!$F$97/100/12-Construction!BC17/100*Construction!BC11/Inputs!$F$247)</f>
        <v/>
      </c>
      <c r="BD39" s="13">
        <f>Construction!BD14*Inputs!BD309*(Inputs!$F$97/100/12-Construction!BD17/100*Construction!BD11/Inputs!$F$247)</f>
        <v/>
      </c>
      <c r="BE39" s="13">
        <f>Construction!BE14*Inputs!BE309*(Inputs!$F$97/100/12-Construction!BE17/100*Construction!BE11/Inputs!$F$247)</f>
        <v/>
      </c>
      <c r="BF39" s="13">
        <f>Construction!BF14*Inputs!BF309*(Inputs!$F$97/100/12-Construction!BF17/100*Construction!BF11/Inputs!$F$247)</f>
        <v/>
      </c>
      <c r="BG39" s="13">
        <f>Construction!BG14*Inputs!BG309*(Inputs!$F$97/100/12-Construction!BG17/100*Construction!BG11/Inputs!$F$247)</f>
        <v/>
      </c>
      <c r="BH39" s="13">
        <f>Construction!BH14*Inputs!BH309*(Inputs!$F$97/100/12-Construction!BH17/100*Construction!BH11/Inputs!$F$247)</f>
        <v/>
      </c>
      <c r="BI39" s="13">
        <f>Construction!BI14*Inputs!BI309*(Inputs!$F$97/100/12-Construction!BI17/100*Construction!BI11/Inputs!$F$247)</f>
        <v/>
      </c>
      <c r="BJ39" s="13">
        <f>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MIN($F$26*J45/(1-Inputs!$F$94/100*Inputs!$F$75*$F$26),J46)</f>
        <v/>
      </c>
      <c r="K47" s="13">
        <f>MIN($F$26*K45/(1-Inputs!$F$94/100*Inputs!$F$75*$F$26),K46)</f>
        <v/>
      </c>
      <c r="L47" s="13">
        <f>MIN($F$26*L45/(1-Inputs!$F$94/100*Inputs!$F$75*$F$26),L46)</f>
        <v/>
      </c>
      <c r="M47" s="13">
        <f>MIN($F$26*M45/(1-Inputs!$F$94/100*Inputs!$F$75*$F$26),M46)</f>
        <v/>
      </c>
      <c r="N47" s="13">
        <f>MIN($F$26*N45/(1-Inputs!$F$94/100*Inputs!$F$75*$F$26),N46)</f>
        <v/>
      </c>
      <c r="O47" s="13">
        <f>MIN($F$26*O45/(1-Inputs!$F$94/100*Inputs!$F$75*$F$26),O46)</f>
        <v/>
      </c>
      <c r="P47" s="13">
        <f>MIN($F$26*P45/(1-Inputs!$F$94/100*Inputs!$F$75*$F$26),P46)</f>
        <v/>
      </c>
      <c r="Q47" s="13">
        <f>MIN($F$26*Q45/(1-Inputs!$F$94/100*Inputs!$F$75*$F$26),Q46)</f>
        <v/>
      </c>
      <c r="R47" s="13">
        <f>MIN($F$26*R45/(1-Inputs!$F$94/100*Inputs!$F$75*$F$26),R46)</f>
        <v/>
      </c>
      <c r="S47" s="13">
        <f>MIN($F$26*S45/(1-Inputs!$F$94/100*Inputs!$F$75*$F$26),S46)</f>
        <v/>
      </c>
      <c r="T47" s="13">
        <f>MIN($F$26*T45/(1-Inputs!$F$94/100*Inputs!$F$75*$F$26),T46)</f>
        <v/>
      </c>
      <c r="U47" s="13">
        <f>MIN($F$26*U45/(1-Inputs!$F$94/100*Inputs!$F$75*$F$26),U46)</f>
        <v/>
      </c>
      <c r="V47" s="13">
        <f>MIN($F$26*V45/(1-Inputs!$F$94/100*Inputs!$F$75*$F$26),V46)</f>
        <v/>
      </c>
      <c r="W47" s="13">
        <f>MIN($F$26*W45/(1-Inputs!$F$94/100*Inputs!$F$75*$F$26),W46)</f>
        <v/>
      </c>
      <c r="X47" s="13">
        <f>MIN($F$26*X45/(1-Inputs!$F$94/100*Inputs!$F$75*$F$26),X46)</f>
        <v/>
      </c>
      <c r="Y47" s="13">
        <f>MIN($F$26*Y45/(1-Inputs!$F$94/100*Inputs!$F$75*$F$26),Y46)</f>
        <v/>
      </c>
      <c r="Z47" s="13">
        <f>MIN($F$26*Z45/(1-Inputs!$F$94/100*Inputs!$F$75*$F$26),Z46)</f>
        <v/>
      </c>
      <c r="AA47" s="13">
        <f>MIN($F$26*AA45/(1-Inputs!$F$94/100*Inputs!$F$75*$F$26),AA46)</f>
        <v/>
      </c>
      <c r="AB47" s="13">
        <f>MIN($F$26*AB45/(1-Inputs!$F$94/100*Inputs!$F$75*$F$26),AB46)</f>
        <v/>
      </c>
      <c r="AC47" s="13">
        <f>MIN($F$26*AC45/(1-Inputs!$F$94/100*Inputs!$F$75*$F$26),AC46)</f>
        <v/>
      </c>
      <c r="AD47" s="13">
        <f>MIN($F$26*AD45/(1-Inputs!$F$94/100*Inputs!$F$75*$F$26),AD46)</f>
        <v/>
      </c>
      <c r="AE47" s="13">
        <f>MIN($F$26*AE45/(1-Inputs!$F$94/100*Inputs!$F$75*$F$26),AE46)</f>
        <v/>
      </c>
      <c r="AF47" s="13">
        <f>MIN($F$26*AF45/(1-Inputs!$F$94/100*Inputs!$F$75*$F$26),AF46)</f>
        <v/>
      </c>
      <c r="AG47" s="13">
        <f>MIN($F$26*AG45/(1-Inputs!$F$94/100*Inputs!$F$75*$F$26),AG46)</f>
        <v/>
      </c>
      <c r="AH47" s="13">
        <f>MIN($F$26*AH45/(1-Inputs!$F$94/100*Inputs!$F$75*$F$26),AH46)</f>
        <v/>
      </c>
      <c r="AI47" s="13">
        <f>MIN($F$26*AI45/(1-Inputs!$F$94/100*Inputs!$F$75*$F$26),AI46)</f>
        <v/>
      </c>
      <c r="AJ47" s="13">
        <f>MIN($F$26*AJ45/(1-Inputs!$F$94/100*Inputs!$F$75*$F$26),AJ46)</f>
        <v/>
      </c>
      <c r="AK47" s="13">
        <f>MIN($F$26*AK45/(1-Inputs!$F$94/100*Inputs!$F$75*$F$26),AK46)</f>
        <v/>
      </c>
      <c r="AL47" s="13">
        <f>MIN($F$26*AL45/(1-Inputs!$F$94/100*Inputs!$F$75*$F$26),AL46)</f>
        <v/>
      </c>
      <c r="AM47" s="13">
        <f>MIN($F$26*AM45/(1-Inputs!$F$94/100*Inputs!$F$75*$F$26),AM46)</f>
        <v/>
      </c>
      <c r="AN47" s="13">
        <f>MIN($F$26*AN45/(1-Inputs!$F$94/100*Inputs!$F$75*$F$26),AN46)</f>
        <v/>
      </c>
      <c r="AO47" s="13">
        <f>MIN($F$26*AO45/(1-Inputs!$F$94/100*Inputs!$F$75*$F$26),AO46)</f>
        <v/>
      </c>
      <c r="AP47" s="13">
        <f>MIN($F$26*AP45/(1-Inputs!$F$94/100*Inputs!$F$75*$F$26),AP46)</f>
        <v/>
      </c>
      <c r="AQ47" s="13">
        <f>MIN($F$26*AQ45/(1-Inputs!$F$94/100*Inputs!$F$75*$F$26),AQ46)</f>
        <v/>
      </c>
      <c r="AR47" s="13">
        <f>MIN($F$26*AR45/(1-Inputs!$F$94/100*Inputs!$F$75*$F$26),AR46)</f>
        <v/>
      </c>
      <c r="AS47" s="13">
        <f>MIN($F$26*AS45/(1-Inputs!$F$94/100*Inputs!$F$75*$F$26),AS46)</f>
        <v/>
      </c>
      <c r="AT47" s="13">
        <f>MIN($F$26*AT45/(1-Inputs!$F$94/100*Inputs!$F$75*$F$26),AT46)</f>
        <v/>
      </c>
      <c r="AU47" s="13">
        <f>MIN($F$26*AU45/(1-Inputs!$F$94/100*Inputs!$F$75*$F$26),AU46)</f>
        <v/>
      </c>
      <c r="AV47" s="13">
        <f>MIN($F$26*AV45/(1-Inputs!$F$94/100*Inputs!$F$75*$F$26),AV46)</f>
        <v/>
      </c>
      <c r="AW47" s="13">
        <f>MIN($F$26*AW45/(1-Inputs!$F$94/100*Inputs!$F$75*$F$26),AW46)</f>
        <v/>
      </c>
      <c r="AX47" s="13">
        <f>MIN($F$26*AX45/(1-Inputs!$F$94/100*Inputs!$F$75*$F$26),AX46)</f>
        <v/>
      </c>
      <c r="AY47" s="13">
        <f>MIN($F$26*AY45/(1-Inputs!$F$94/100*Inputs!$F$75*$F$26),AY46)</f>
        <v/>
      </c>
      <c r="AZ47" s="13">
        <f>MIN($F$26*AZ45/(1-Inputs!$F$94/100*Inputs!$F$75*$F$26),AZ46)</f>
        <v/>
      </c>
      <c r="BA47" s="13">
        <f>MIN($F$26*BA45/(1-Inputs!$F$94/100*Inputs!$F$75*$F$26),BA46)</f>
        <v/>
      </c>
      <c r="BB47" s="13">
        <f>MIN($F$26*BB45/(1-Inputs!$F$94/100*Inputs!$F$75*$F$26),BB46)</f>
        <v/>
      </c>
      <c r="BC47" s="13">
        <f>MIN($F$26*BC45/(1-Inputs!$F$94/100*Inputs!$F$75*$F$26),BC46)</f>
        <v/>
      </c>
      <c r="BD47" s="13">
        <f>MIN($F$26*BD45/(1-Inputs!$F$94/100*Inputs!$F$75*$F$26),BD46)</f>
        <v/>
      </c>
      <c r="BE47" s="13">
        <f>MIN($F$26*BE45/(1-Inputs!$F$94/100*Inputs!$F$75*$F$26),BE46)</f>
        <v/>
      </c>
      <c r="BF47" s="13">
        <f>MIN($F$26*BF45/(1-Inputs!$F$94/100*Inputs!$F$75*$F$26),BF46)</f>
        <v/>
      </c>
      <c r="BG47" s="13">
        <f>MIN($F$26*BG45/(1-Inputs!$F$94/100*Inputs!$F$75*$F$26),BG46)</f>
        <v/>
      </c>
      <c r="BH47" s="13">
        <f>MIN($F$26*BH45/(1-Inputs!$F$94/100*Inputs!$F$75*$F$26),BH46)</f>
        <v/>
      </c>
      <c r="BI47" s="13">
        <f>MIN($F$26*BI45/(1-Inputs!$F$94/100*Inputs!$F$75*$F$26),BI46)</f>
        <v/>
      </c>
      <c r="BJ47" s="13">
        <f>MIN($F$26*BJ45/(1-Inputs!$F$94/100*Inputs!$F$75*$F$26),BJ46)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J47/$F$26</f>
        <v/>
      </c>
      <c r="K50" s="13">
        <f>K47/$F$26</f>
        <v/>
      </c>
      <c r="L50" s="13">
        <f>L47/$F$26</f>
        <v/>
      </c>
      <c r="M50" s="13">
        <f>M47/$F$26</f>
        <v/>
      </c>
      <c r="N50" s="13">
        <f>N47/$F$26</f>
        <v/>
      </c>
      <c r="O50" s="13">
        <f>O47/$F$26</f>
        <v/>
      </c>
      <c r="P50" s="13">
        <f>P47/$F$26</f>
        <v/>
      </c>
      <c r="Q50" s="13">
        <f>Q47/$F$26</f>
        <v/>
      </c>
      <c r="R50" s="13">
        <f>R47/$F$26</f>
        <v/>
      </c>
      <c r="S50" s="13">
        <f>S47/$F$26</f>
        <v/>
      </c>
      <c r="T50" s="13">
        <f>T47/$F$26</f>
        <v/>
      </c>
      <c r="U50" s="13">
        <f>U47/$F$26</f>
        <v/>
      </c>
      <c r="V50" s="13">
        <f>V47/$F$26</f>
        <v/>
      </c>
      <c r="W50" s="13">
        <f>W47/$F$26</f>
        <v/>
      </c>
      <c r="X50" s="13">
        <f>X47/$F$26</f>
        <v/>
      </c>
      <c r="Y50" s="13">
        <f>Y47/$F$26</f>
        <v/>
      </c>
      <c r="Z50" s="13">
        <f>Z47/$F$26</f>
        <v/>
      </c>
      <c r="AA50" s="13">
        <f>AA47/$F$26</f>
        <v/>
      </c>
      <c r="AB50" s="13">
        <f>AB47/$F$26</f>
        <v/>
      </c>
      <c r="AC50" s="13">
        <f>AC47/$F$26</f>
        <v/>
      </c>
      <c r="AD50" s="13">
        <f>AD47/$F$26</f>
        <v/>
      </c>
      <c r="AE50" s="13">
        <f>AE47/$F$26</f>
        <v/>
      </c>
      <c r="AF50" s="13">
        <f>AF47/$F$26</f>
        <v/>
      </c>
      <c r="AG50" s="13">
        <f>AG47/$F$26</f>
        <v/>
      </c>
      <c r="AH50" s="13">
        <f>AH47/$F$26</f>
        <v/>
      </c>
      <c r="AI50" s="13">
        <f>AI47/$F$26</f>
        <v/>
      </c>
      <c r="AJ50" s="13">
        <f>AJ47/$F$26</f>
        <v/>
      </c>
      <c r="AK50" s="13">
        <f>AK47/$F$26</f>
        <v/>
      </c>
      <c r="AL50" s="13">
        <f>AL47/$F$26</f>
        <v/>
      </c>
      <c r="AM50" s="13">
        <f>AM47/$F$26</f>
        <v/>
      </c>
      <c r="AN50" s="13">
        <f>AN47/$F$26</f>
        <v/>
      </c>
      <c r="AO50" s="13">
        <f>AO47/$F$26</f>
        <v/>
      </c>
      <c r="AP50" s="13">
        <f>AP47/$F$26</f>
        <v/>
      </c>
      <c r="AQ50" s="13">
        <f>AQ47/$F$26</f>
        <v/>
      </c>
      <c r="AR50" s="13">
        <f>AR47/$F$26</f>
        <v/>
      </c>
      <c r="AS50" s="13">
        <f>AS47/$F$26</f>
        <v/>
      </c>
      <c r="AT50" s="13">
        <f>AT47/$F$26</f>
        <v/>
      </c>
      <c r="AU50" s="13">
        <f>AU47/$F$26</f>
        <v/>
      </c>
      <c r="AV50" s="13">
        <f>AV47/$F$26</f>
        <v/>
      </c>
      <c r="AW50" s="13">
        <f>AW47/$F$26</f>
        <v/>
      </c>
      <c r="AX50" s="13">
        <f>AX47/$F$26</f>
        <v/>
      </c>
      <c r="AY50" s="13">
        <f>AY47/$F$26</f>
        <v/>
      </c>
      <c r="AZ50" s="13">
        <f>AZ47/$F$26</f>
        <v/>
      </c>
      <c r="BA50" s="13">
        <f>BA47/$F$26</f>
        <v/>
      </c>
      <c r="BB50" s="13">
        <f>BB47/$F$26</f>
        <v/>
      </c>
      <c r="BC50" s="13">
        <f>BC47/$F$26</f>
        <v/>
      </c>
      <c r="BD50" s="13">
        <f>BD47/$F$26</f>
        <v/>
      </c>
      <c r="BE50" s="13">
        <f>BE47/$F$26</f>
        <v/>
      </c>
      <c r="BF50" s="13">
        <f>BF47/$F$26</f>
        <v/>
      </c>
      <c r="BG50" s="13">
        <f>BG47/$F$26</f>
        <v/>
      </c>
      <c r="BH50" s="13">
        <f>BH47/$F$26</f>
        <v/>
      </c>
      <c r="BI50" s="13">
        <f>BI47/$F$26</f>
        <v/>
      </c>
      <c r="BJ50" s="13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(Operations!J9+Inputs!$F$79+J9)/100*Time!J25/Inputs!$F$247</f>
        <v/>
      </c>
      <c r="K10" s="16">
        <f>(Operations!K9+Inputs!$F$79+K9)/100*Time!K25/Inputs!$F$247</f>
        <v/>
      </c>
      <c r="L10" s="16">
        <f>(Operations!L9+Inputs!$F$79+L9)/100*Time!L25/Inputs!$F$247</f>
        <v/>
      </c>
      <c r="M10" s="16">
        <f>(Operations!M9+Inputs!$F$79+M9)/100*Time!M25/Inputs!$F$247</f>
        <v/>
      </c>
      <c r="N10" s="16">
        <f>(Operations!N9+Inputs!$F$79+N9)/100*Time!N25/Inputs!$F$247</f>
        <v/>
      </c>
      <c r="O10" s="16">
        <f>(Operations!O9+Inputs!$F$79+O9)/100*Time!O25/Inputs!$F$247</f>
        <v/>
      </c>
      <c r="P10" s="16">
        <f>(Operations!P9+Inputs!$F$79+P9)/100*Time!P25/Inputs!$F$247</f>
        <v/>
      </c>
      <c r="Q10" s="16">
        <f>(Operations!Q9+Inputs!$F$79+Q9)/100*Time!Q25/Inputs!$F$247</f>
        <v/>
      </c>
      <c r="R10" s="16">
        <f>(Operations!R9+Inputs!$F$79+R9)/100*Time!R25/Inputs!$F$247</f>
        <v/>
      </c>
      <c r="S10" s="16">
        <f>(Operations!S9+Inputs!$F$79+S9)/100*Time!S25/Inputs!$F$247</f>
        <v/>
      </c>
      <c r="T10" s="16">
        <f>(Operations!T9+Inputs!$F$79+T9)/100*Time!T25/Inputs!$F$247</f>
        <v/>
      </c>
      <c r="U10" s="16">
        <f>(Operations!U9+Inputs!$F$79+U9)/100*Time!U25/Inputs!$F$247</f>
        <v/>
      </c>
      <c r="V10" s="16">
        <f>(Operations!V9+Inputs!$F$79+V9)/100*Time!V25/Inputs!$F$247</f>
        <v/>
      </c>
      <c r="W10" s="16">
        <f>(Operations!W9+Inputs!$F$79+W9)/100*Time!W25/Inputs!$F$247</f>
        <v/>
      </c>
      <c r="X10" s="16">
        <f>(Operations!X9+Inputs!$F$79+X9)/100*Time!X25/Inputs!$F$247</f>
        <v/>
      </c>
      <c r="Y10" s="16">
        <f>(Operations!Y9+Inputs!$F$79+Y9)/100*Time!Y25/Inputs!$F$247</f>
        <v/>
      </c>
      <c r="Z10" s="16">
        <f>(Operations!Z9+Inputs!$F$79+Z9)/100*Time!Z25/Inputs!$F$247</f>
        <v/>
      </c>
      <c r="AA10" s="16">
        <f>(Operations!AA9+Inputs!$F$79+AA9)/100*Time!AA25/Inputs!$F$247</f>
        <v/>
      </c>
      <c r="AB10" s="16">
        <f>(Operations!AB9+Inputs!$F$79+AB9)/100*Time!AB25/Inputs!$F$247</f>
        <v/>
      </c>
      <c r="AC10" s="16">
        <f>(Operations!AC9+Inputs!$F$79+AC9)/100*Time!AC25/Inputs!$F$247</f>
        <v/>
      </c>
      <c r="AD10" s="16">
        <f>(Operations!AD9+Inputs!$F$79+AD9)/100*Time!AD25/Inputs!$F$247</f>
        <v/>
      </c>
      <c r="AE10" s="16">
        <f>(Operations!AE9+Inputs!$F$79+AE9)/100*Time!AE25/Inputs!$F$247</f>
        <v/>
      </c>
      <c r="AF10" s="16">
        <f>(Operations!AF9+Inputs!$F$79+AF9)/100*Time!AF25/Inputs!$F$247</f>
        <v/>
      </c>
      <c r="AG10" s="16">
        <f>(Operations!AG9+Inputs!$F$79+AG9)/100*Time!AG25/Inputs!$F$247</f>
        <v/>
      </c>
      <c r="AH10" s="16">
        <f>(Operations!AH9+Inputs!$F$79+AH9)/100*Time!AH25/Inputs!$F$247</f>
        <v/>
      </c>
      <c r="AI10" s="16">
        <f>(Operations!AI9+Inputs!$F$79+AI9)/100*Time!AI25/Inputs!$F$247</f>
        <v/>
      </c>
      <c r="AJ10" s="16">
        <f>(Operations!AJ9+Inputs!$F$79+AJ9)/100*Time!AJ25/Inputs!$F$247</f>
        <v/>
      </c>
      <c r="AK10" s="16">
        <f>(Operations!AK9+Inputs!$F$79+AK9)/100*Time!AK25/Inputs!$F$247</f>
        <v/>
      </c>
      <c r="AL10" s="16">
        <f>(Operations!AL9+Inputs!$F$79+AL9)/100*Time!AL25/Inputs!$F$247</f>
        <v/>
      </c>
      <c r="AM10" s="16">
        <f>(Operations!AM9+Inputs!$F$79+AM9)/100*Time!AM25/Inputs!$F$247</f>
        <v/>
      </c>
      <c r="AN10" s="16">
        <f>(Operations!AN9+Inputs!$F$79+AN9)/100*Time!AN25/Inputs!$F$247</f>
        <v/>
      </c>
      <c r="AO10" s="16">
        <f>(Operations!AO9+Inputs!$F$79+AO9)/100*Time!AO25/Inputs!$F$247</f>
        <v/>
      </c>
      <c r="AP10" s="16">
        <f>(Operations!AP9+Inputs!$F$79+AP9)/100*Time!AP25/Inputs!$F$247</f>
        <v/>
      </c>
      <c r="AQ10" s="16">
        <f>(Operations!AQ9+Inputs!$F$79+AQ9)/100*Time!AQ25/Inputs!$F$247</f>
        <v/>
      </c>
      <c r="AR10" s="16">
        <f>(Operations!AR9+Inputs!$F$79+AR9)/100*Time!AR25/Inputs!$F$247</f>
        <v/>
      </c>
      <c r="AS10" s="16">
        <f>(Operations!AS9+Inputs!$F$79+AS9)/100*Time!AS25/Inputs!$F$247</f>
        <v/>
      </c>
      <c r="AT10" s="16">
        <f>(Operations!AT9+Inputs!$F$79+AT9)/100*Time!AT25/Inputs!$F$247</f>
        <v/>
      </c>
      <c r="AU10" s="16">
        <f>(Operations!AU9+Inputs!$F$79+AU9)/100*Time!AU25/Inputs!$F$247</f>
        <v/>
      </c>
      <c r="AV10" s="16">
        <f>(Operations!AV9+Inputs!$F$79+AV9)/100*Time!AV25/Inputs!$F$247</f>
        <v/>
      </c>
      <c r="AW10" s="16">
        <f>(Operations!AW9+Inputs!$F$79+AW9)/100*Time!AW25/Inputs!$F$247</f>
        <v/>
      </c>
      <c r="AX10" s="16">
        <f>(Operations!AX9+Inputs!$F$79+AX9)/100*Time!AX25/Inputs!$F$247</f>
        <v/>
      </c>
      <c r="AY10" s="16">
        <f>(Operations!AY9+Inputs!$F$79+AY9)/100*Time!AY25/Inputs!$F$247</f>
        <v/>
      </c>
      <c r="AZ10" s="16">
        <f>(Operations!AZ9+Inputs!$F$79+AZ9)/100*Time!AZ25/Inputs!$F$247</f>
        <v/>
      </c>
      <c r="BA10" s="16">
        <f>(Operations!BA9+Inputs!$F$79+BA9)/100*Time!BA25/Inputs!$F$247</f>
        <v/>
      </c>
      <c r="BB10" s="16">
        <f>(Operations!BB9+Inputs!$F$79+BB9)/100*Time!BB25/Inputs!$F$247</f>
        <v/>
      </c>
      <c r="BC10" s="16">
        <f>(Operations!BC9+Inputs!$F$79+BC9)/100*Time!BC25/Inputs!$F$247</f>
        <v/>
      </c>
      <c r="BD10" s="16">
        <f>(Operations!BD9+Inputs!$F$79+BD9)/100*Time!BD25/Inputs!$F$247</f>
        <v/>
      </c>
      <c r="BE10" s="16">
        <f>(Operations!BE9+Inputs!$F$79+BE9)/100*Time!BE25/Inputs!$F$247</f>
        <v/>
      </c>
      <c r="BF10" s="16">
        <f>(Operations!BF9+Inputs!$F$79+BF9)/100*Time!BF25/Inputs!$F$247</f>
        <v/>
      </c>
      <c r="BG10" s="16">
        <f>(Operations!BG9+Inputs!$F$79+BG9)/100*Time!BG25/Inputs!$F$247</f>
        <v/>
      </c>
      <c r="BH10" s="16">
        <f>(Operations!BH9+Inputs!$F$79+BH9)/100*Time!BH25/Inputs!$F$247</f>
        <v/>
      </c>
      <c r="BI10" s="16">
        <f>(Operations!BI9+Inputs!$F$79+BI9)/100*Time!BI25/Inputs!$F$247</f>
        <v/>
      </c>
      <c r="BJ10" s="16">
        <f>(Operations!BJ9+Inputs!$F$79+BJ9)/100*Time!BJ25/Inputs!$F$247</f>
        <v/>
      </c>
      <c r="BK10" s="16">
        <f>(Operations!BK9+Inputs!$F$79+BK9)/100*Time!BK25/Inputs!$F$247</f>
        <v/>
      </c>
      <c r="BL10" s="16">
        <f>(Operations!BL9+Inputs!$F$79+BL9)/100*Time!BL25/Inputs!$F$247</f>
        <v/>
      </c>
      <c r="BM10" s="16">
        <f>(Operations!BM9+Inputs!$F$79+BM9)/100*Time!BM25/Inputs!$F$247</f>
        <v/>
      </c>
      <c r="BN10" s="16">
        <f>(Operations!BN9+Inputs!$F$79+BN9)/100*Time!BN25/Inputs!$F$247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(Operations!J9+Inputs!$F$80+J9)/100*Time!J25/Inputs!$F$247</f>
        <v/>
      </c>
      <c r="K11" s="16">
        <f>(Operations!K9+Inputs!$F$80+K9)/100*Time!K25/Inputs!$F$247</f>
        <v/>
      </c>
      <c r="L11" s="16">
        <f>(Operations!L9+Inputs!$F$80+L9)/100*Time!L25/Inputs!$F$247</f>
        <v/>
      </c>
      <c r="M11" s="16">
        <f>(Operations!M9+Inputs!$F$80+M9)/100*Time!M25/Inputs!$F$247</f>
        <v/>
      </c>
      <c r="N11" s="16">
        <f>(Operations!N9+Inputs!$F$80+N9)/100*Time!N25/Inputs!$F$247</f>
        <v/>
      </c>
      <c r="O11" s="16">
        <f>(Operations!O9+Inputs!$F$80+O9)/100*Time!O25/Inputs!$F$247</f>
        <v/>
      </c>
      <c r="P11" s="16">
        <f>(Operations!P9+Inputs!$F$80+P9)/100*Time!P25/Inputs!$F$247</f>
        <v/>
      </c>
      <c r="Q11" s="16">
        <f>(Operations!Q9+Inputs!$F$80+Q9)/100*Time!Q25/Inputs!$F$247</f>
        <v/>
      </c>
      <c r="R11" s="16">
        <f>(Operations!R9+Inputs!$F$80+R9)/100*Time!R25/Inputs!$F$247</f>
        <v/>
      </c>
      <c r="S11" s="16">
        <f>(Operations!S9+Inputs!$F$80+S9)/100*Time!S25/Inputs!$F$247</f>
        <v/>
      </c>
      <c r="T11" s="16">
        <f>(Operations!T9+Inputs!$F$80+T9)/100*Time!T25/Inputs!$F$247</f>
        <v/>
      </c>
      <c r="U11" s="16">
        <f>(Operations!U9+Inputs!$F$80+U9)/100*Time!U25/Inputs!$F$247</f>
        <v/>
      </c>
      <c r="V11" s="16">
        <f>(Operations!V9+Inputs!$F$80+V9)/100*Time!V25/Inputs!$F$247</f>
        <v/>
      </c>
      <c r="W11" s="16">
        <f>(Operations!W9+Inputs!$F$80+W9)/100*Time!W25/Inputs!$F$247</f>
        <v/>
      </c>
      <c r="X11" s="16">
        <f>(Operations!X9+Inputs!$F$80+X9)/100*Time!X25/Inputs!$F$247</f>
        <v/>
      </c>
      <c r="Y11" s="16">
        <f>(Operations!Y9+Inputs!$F$80+Y9)/100*Time!Y25/Inputs!$F$247</f>
        <v/>
      </c>
      <c r="Z11" s="16">
        <f>(Operations!Z9+Inputs!$F$80+Z9)/100*Time!Z25/Inputs!$F$247</f>
        <v/>
      </c>
      <c r="AA11" s="16">
        <f>(Operations!AA9+Inputs!$F$80+AA9)/100*Time!AA25/Inputs!$F$247</f>
        <v/>
      </c>
      <c r="AB11" s="16">
        <f>(Operations!AB9+Inputs!$F$80+AB9)/100*Time!AB25/Inputs!$F$247</f>
        <v/>
      </c>
      <c r="AC11" s="16">
        <f>(Operations!AC9+Inputs!$F$80+AC9)/100*Time!AC25/Inputs!$F$247</f>
        <v/>
      </c>
      <c r="AD11" s="16">
        <f>(Operations!AD9+Inputs!$F$80+AD9)/100*Time!AD25/Inputs!$F$247</f>
        <v/>
      </c>
      <c r="AE11" s="16">
        <f>(Operations!AE9+Inputs!$F$80+AE9)/100*Time!AE25/Inputs!$F$247</f>
        <v/>
      </c>
      <c r="AF11" s="16">
        <f>(Operations!AF9+Inputs!$F$80+AF9)/100*Time!AF25/Inputs!$F$247</f>
        <v/>
      </c>
      <c r="AG11" s="16">
        <f>(Operations!AG9+Inputs!$F$80+AG9)/100*Time!AG25/Inputs!$F$247</f>
        <v/>
      </c>
      <c r="AH11" s="16">
        <f>(Operations!AH9+Inputs!$F$80+AH9)/100*Time!AH25/Inputs!$F$247</f>
        <v/>
      </c>
      <c r="AI11" s="16">
        <f>(Operations!AI9+Inputs!$F$80+AI9)/100*Time!AI25/Inputs!$F$247</f>
        <v/>
      </c>
      <c r="AJ11" s="16">
        <f>(Operations!AJ9+Inputs!$F$80+AJ9)/100*Time!AJ25/Inputs!$F$247</f>
        <v/>
      </c>
      <c r="AK11" s="16">
        <f>(Operations!AK9+Inputs!$F$80+AK9)/100*Time!AK25/Inputs!$F$247</f>
        <v/>
      </c>
      <c r="AL11" s="16">
        <f>(Operations!AL9+Inputs!$F$80+AL9)/100*Time!AL25/Inputs!$F$247</f>
        <v/>
      </c>
      <c r="AM11" s="16">
        <f>(Operations!AM9+Inputs!$F$80+AM9)/100*Time!AM25/Inputs!$F$247</f>
        <v/>
      </c>
      <c r="AN11" s="16">
        <f>(Operations!AN9+Inputs!$F$80+AN9)/100*Time!AN25/Inputs!$F$247</f>
        <v/>
      </c>
      <c r="AO11" s="16">
        <f>(Operations!AO9+Inputs!$F$80+AO9)/100*Time!AO25/Inputs!$F$247</f>
        <v/>
      </c>
      <c r="AP11" s="16">
        <f>(Operations!AP9+Inputs!$F$80+AP9)/100*Time!AP25/Inputs!$F$247</f>
        <v/>
      </c>
      <c r="AQ11" s="16">
        <f>(Operations!AQ9+Inputs!$F$80+AQ9)/100*Time!AQ25/Inputs!$F$247</f>
        <v/>
      </c>
      <c r="AR11" s="16">
        <f>(Operations!AR9+Inputs!$F$80+AR9)/100*Time!AR25/Inputs!$F$247</f>
        <v/>
      </c>
      <c r="AS11" s="16">
        <f>(Operations!AS9+Inputs!$F$80+AS9)/100*Time!AS25/Inputs!$F$247</f>
        <v/>
      </c>
      <c r="AT11" s="16">
        <f>(Operations!AT9+Inputs!$F$80+AT9)/100*Time!AT25/Inputs!$F$247</f>
        <v/>
      </c>
      <c r="AU11" s="16">
        <f>(Operations!AU9+Inputs!$F$80+AU9)/100*Time!AU25/Inputs!$F$247</f>
        <v/>
      </c>
      <c r="AV11" s="16">
        <f>(Operations!AV9+Inputs!$F$80+AV9)/100*Time!AV25/Inputs!$F$247</f>
        <v/>
      </c>
      <c r="AW11" s="16">
        <f>(Operations!AW9+Inputs!$F$80+AW9)/100*Time!AW25/Inputs!$F$247</f>
        <v/>
      </c>
      <c r="AX11" s="16">
        <f>(Operations!AX9+Inputs!$F$80+AX9)/100*Time!AX25/Inputs!$F$247</f>
        <v/>
      </c>
      <c r="AY11" s="16">
        <f>(Operations!AY9+Inputs!$F$80+AY9)/100*Time!AY25/Inputs!$F$247</f>
        <v/>
      </c>
      <c r="AZ11" s="16">
        <f>(Operations!AZ9+Inputs!$F$80+AZ9)/100*Time!AZ25/Inputs!$F$247</f>
        <v/>
      </c>
      <c r="BA11" s="16">
        <f>(Operations!BA9+Inputs!$F$80+BA9)/100*Time!BA25/Inputs!$F$247</f>
        <v/>
      </c>
      <c r="BB11" s="16">
        <f>(Operations!BB9+Inputs!$F$80+BB9)/100*Time!BB25/Inputs!$F$247</f>
        <v/>
      </c>
      <c r="BC11" s="16">
        <f>(Operations!BC9+Inputs!$F$80+BC9)/100*Time!BC25/Inputs!$F$247</f>
        <v/>
      </c>
      <c r="BD11" s="16">
        <f>(Operations!BD9+Inputs!$F$80+BD9)/100*Time!BD25/Inputs!$F$247</f>
        <v/>
      </c>
      <c r="BE11" s="16">
        <f>(Operations!BE9+Inputs!$F$80+BE9)/100*Time!BE25/Inputs!$F$247</f>
        <v/>
      </c>
      <c r="BF11" s="16">
        <f>(Operations!BF9+Inputs!$F$80+BF9)/100*Time!BF25/Inputs!$F$247</f>
        <v/>
      </c>
      <c r="BG11" s="16">
        <f>(Operations!BG9+Inputs!$F$80+BG9)/100*Time!BG25/Inputs!$F$247</f>
        <v/>
      </c>
      <c r="BH11" s="16">
        <f>(Operations!BH9+Inputs!$F$80+BH9)/100*Time!BH25/Inputs!$F$247</f>
        <v/>
      </c>
      <c r="BI11" s="16">
        <f>(Operations!BI9+Inputs!$F$80+BI9)/100*Time!BI25/Inputs!$F$247</f>
        <v/>
      </c>
      <c r="BJ11" s="16">
        <f>(Operations!BJ9+Inputs!$F$80+BJ9)/100*Time!BJ25/Inputs!$F$247</f>
        <v/>
      </c>
      <c r="BK11" s="16">
        <f>(Operations!BK9+Inputs!$F$80+BK9)/100*Time!BK25/Inputs!$F$247</f>
        <v/>
      </c>
      <c r="BL11" s="16">
        <f>(Operations!BL9+Inputs!$F$80+BL9)/100*Time!BL25/Inputs!$F$247</f>
        <v/>
      </c>
      <c r="BM11" s="16">
        <f>(Operations!BM9+Inputs!$F$80+BM9)/100*Time!BM25/Inputs!$F$247</f>
        <v/>
      </c>
      <c r="BN11" s="16">
        <f>(Operations!BN9+Inputs!$F$80+BN9)/100*Time!BN25/Inputs!$F$247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(Operations!J9+Inputs!$F$81+J9)/100*Time!J25/Inputs!$F$247</f>
        <v/>
      </c>
      <c r="K12" s="16">
        <f>(Operations!K9+Inputs!$F$81+K9)/100*Time!K25/Inputs!$F$247</f>
        <v/>
      </c>
      <c r="L12" s="16">
        <f>(Operations!L9+Inputs!$F$81+L9)/100*Time!L25/Inputs!$F$247</f>
        <v/>
      </c>
      <c r="M12" s="16">
        <f>(Operations!M9+Inputs!$F$81+M9)/100*Time!M25/Inputs!$F$247</f>
        <v/>
      </c>
      <c r="N12" s="16">
        <f>(Operations!N9+Inputs!$F$81+N9)/100*Time!N25/Inputs!$F$247</f>
        <v/>
      </c>
      <c r="O12" s="16">
        <f>(Operations!O9+Inputs!$F$81+O9)/100*Time!O25/Inputs!$F$247</f>
        <v/>
      </c>
      <c r="P12" s="16">
        <f>(Operations!P9+Inputs!$F$81+P9)/100*Time!P25/Inputs!$F$247</f>
        <v/>
      </c>
      <c r="Q12" s="16">
        <f>(Operations!Q9+Inputs!$F$81+Q9)/100*Time!Q25/Inputs!$F$247</f>
        <v/>
      </c>
      <c r="R12" s="16">
        <f>(Operations!R9+Inputs!$F$81+R9)/100*Time!R25/Inputs!$F$247</f>
        <v/>
      </c>
      <c r="S12" s="16">
        <f>(Operations!S9+Inputs!$F$81+S9)/100*Time!S25/Inputs!$F$247</f>
        <v/>
      </c>
      <c r="T12" s="16">
        <f>(Operations!T9+Inputs!$F$81+T9)/100*Time!T25/Inputs!$F$247</f>
        <v/>
      </c>
      <c r="U12" s="16">
        <f>(Operations!U9+Inputs!$F$81+U9)/100*Time!U25/Inputs!$F$247</f>
        <v/>
      </c>
      <c r="V12" s="16">
        <f>(Operations!V9+Inputs!$F$81+V9)/100*Time!V25/Inputs!$F$247</f>
        <v/>
      </c>
      <c r="W12" s="16">
        <f>(Operations!W9+Inputs!$F$81+W9)/100*Time!W25/Inputs!$F$247</f>
        <v/>
      </c>
      <c r="X12" s="16">
        <f>(Operations!X9+Inputs!$F$81+X9)/100*Time!X25/Inputs!$F$247</f>
        <v/>
      </c>
      <c r="Y12" s="16">
        <f>(Operations!Y9+Inputs!$F$81+Y9)/100*Time!Y25/Inputs!$F$247</f>
        <v/>
      </c>
      <c r="Z12" s="16">
        <f>(Operations!Z9+Inputs!$F$81+Z9)/100*Time!Z25/Inputs!$F$247</f>
        <v/>
      </c>
      <c r="AA12" s="16">
        <f>(Operations!AA9+Inputs!$F$81+AA9)/100*Time!AA25/Inputs!$F$247</f>
        <v/>
      </c>
      <c r="AB12" s="16">
        <f>(Operations!AB9+Inputs!$F$81+AB9)/100*Time!AB25/Inputs!$F$247</f>
        <v/>
      </c>
      <c r="AC12" s="16">
        <f>(Operations!AC9+Inputs!$F$81+AC9)/100*Time!AC25/Inputs!$F$247</f>
        <v/>
      </c>
      <c r="AD12" s="16">
        <f>(Operations!AD9+Inputs!$F$81+AD9)/100*Time!AD25/Inputs!$F$247</f>
        <v/>
      </c>
      <c r="AE12" s="16">
        <f>(Operations!AE9+Inputs!$F$81+AE9)/100*Time!AE25/Inputs!$F$247</f>
        <v/>
      </c>
      <c r="AF12" s="16">
        <f>(Operations!AF9+Inputs!$F$81+AF9)/100*Time!AF25/Inputs!$F$247</f>
        <v/>
      </c>
      <c r="AG12" s="16">
        <f>(Operations!AG9+Inputs!$F$81+AG9)/100*Time!AG25/Inputs!$F$247</f>
        <v/>
      </c>
      <c r="AH12" s="16">
        <f>(Operations!AH9+Inputs!$F$81+AH9)/100*Time!AH25/Inputs!$F$247</f>
        <v/>
      </c>
      <c r="AI12" s="16">
        <f>(Operations!AI9+Inputs!$F$81+AI9)/100*Time!AI25/Inputs!$F$247</f>
        <v/>
      </c>
      <c r="AJ12" s="16">
        <f>(Operations!AJ9+Inputs!$F$81+AJ9)/100*Time!AJ25/Inputs!$F$247</f>
        <v/>
      </c>
      <c r="AK12" s="16">
        <f>(Operations!AK9+Inputs!$F$81+AK9)/100*Time!AK25/Inputs!$F$247</f>
        <v/>
      </c>
      <c r="AL12" s="16">
        <f>(Operations!AL9+Inputs!$F$81+AL9)/100*Time!AL25/Inputs!$F$247</f>
        <v/>
      </c>
      <c r="AM12" s="16">
        <f>(Operations!AM9+Inputs!$F$81+AM9)/100*Time!AM25/Inputs!$F$247</f>
        <v/>
      </c>
      <c r="AN12" s="16">
        <f>(Operations!AN9+Inputs!$F$81+AN9)/100*Time!AN25/Inputs!$F$247</f>
        <v/>
      </c>
      <c r="AO12" s="16">
        <f>(Operations!AO9+Inputs!$F$81+AO9)/100*Time!AO25/Inputs!$F$247</f>
        <v/>
      </c>
      <c r="AP12" s="16">
        <f>(Operations!AP9+Inputs!$F$81+AP9)/100*Time!AP25/Inputs!$F$247</f>
        <v/>
      </c>
      <c r="AQ12" s="16">
        <f>(Operations!AQ9+Inputs!$F$81+AQ9)/100*Time!AQ25/Inputs!$F$247</f>
        <v/>
      </c>
      <c r="AR12" s="16">
        <f>(Operations!AR9+Inputs!$F$81+AR9)/100*Time!AR25/Inputs!$F$247</f>
        <v/>
      </c>
      <c r="AS12" s="16">
        <f>(Operations!AS9+Inputs!$F$81+AS9)/100*Time!AS25/Inputs!$F$247</f>
        <v/>
      </c>
      <c r="AT12" s="16">
        <f>(Operations!AT9+Inputs!$F$81+AT9)/100*Time!AT25/Inputs!$F$247</f>
        <v/>
      </c>
      <c r="AU12" s="16">
        <f>(Operations!AU9+Inputs!$F$81+AU9)/100*Time!AU25/Inputs!$F$247</f>
        <v/>
      </c>
      <c r="AV12" s="16">
        <f>(Operations!AV9+Inputs!$F$81+AV9)/100*Time!AV25/Inputs!$F$247</f>
        <v/>
      </c>
      <c r="AW12" s="16">
        <f>(Operations!AW9+Inputs!$F$81+AW9)/100*Time!AW25/Inputs!$F$247</f>
        <v/>
      </c>
      <c r="AX12" s="16">
        <f>(Operations!AX9+Inputs!$F$81+AX9)/100*Time!AX25/Inputs!$F$247</f>
        <v/>
      </c>
      <c r="AY12" s="16">
        <f>(Operations!AY9+Inputs!$F$81+AY9)/100*Time!AY25/Inputs!$F$247</f>
        <v/>
      </c>
      <c r="AZ12" s="16">
        <f>(Operations!AZ9+Inputs!$F$81+AZ9)/100*Time!AZ25/Inputs!$F$247</f>
        <v/>
      </c>
      <c r="BA12" s="16">
        <f>(Operations!BA9+Inputs!$F$81+BA9)/100*Time!BA25/Inputs!$F$247</f>
        <v/>
      </c>
      <c r="BB12" s="16">
        <f>(Operations!BB9+Inputs!$F$81+BB9)/100*Time!BB25/Inputs!$F$247</f>
        <v/>
      </c>
      <c r="BC12" s="16">
        <f>(Operations!BC9+Inputs!$F$81+BC9)/100*Time!BC25/Inputs!$F$247</f>
        <v/>
      </c>
      <c r="BD12" s="16">
        <f>(Operations!BD9+Inputs!$F$81+BD9)/100*Time!BD25/Inputs!$F$247</f>
        <v/>
      </c>
      <c r="BE12" s="16">
        <f>(Operations!BE9+Inputs!$F$81+BE9)/100*Time!BE25/Inputs!$F$247</f>
        <v/>
      </c>
      <c r="BF12" s="16">
        <f>(Operations!BF9+Inputs!$F$81+BF9)/100*Time!BF25/Inputs!$F$247</f>
        <v/>
      </c>
      <c r="BG12" s="16">
        <f>(Operations!BG9+Inputs!$F$81+BG9)/100*Time!BG25/Inputs!$F$247</f>
        <v/>
      </c>
      <c r="BH12" s="16">
        <f>(Operations!BH9+Inputs!$F$81+BH9)/100*Time!BH25/Inputs!$F$247</f>
        <v/>
      </c>
      <c r="BI12" s="16">
        <f>(Operations!BI9+Inputs!$F$81+BI9)/100*Time!BI25/Inputs!$F$247</f>
        <v/>
      </c>
      <c r="BJ12" s="16">
        <f>(Operations!BJ9+Inputs!$F$81+BJ9)/100*Time!BJ25/Inputs!$F$247</f>
        <v/>
      </c>
      <c r="BK12" s="16">
        <f>(Operations!BK9+Inputs!$F$81+BK9)/100*Time!BK25/Inputs!$F$247</f>
        <v/>
      </c>
      <c r="BL12" s="16">
        <f>(Operations!BL9+Inputs!$F$81+BL9)/100*Time!BL25/Inputs!$F$247</f>
        <v/>
      </c>
      <c r="BM12" s="16">
        <f>(Operations!BM9+Inputs!$F$81+BM9)/100*Time!BM25/Inputs!$F$247</f>
        <v/>
      </c>
      <c r="BN12" s="16">
        <f>(Operations!BN9+Inputs!$F$81+BN9)/100*Time!BN25/Inputs!$F$247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(Operations!J9+J8+J9)/100*Time!J25/Inputs!$F$247/(1-Inputs!$F$93/100)</f>
        <v/>
      </c>
      <c r="K13" s="16">
        <f>(Operations!K9+K8+K9)/100*Time!K25/Inputs!$F$247/(1-Inputs!$F$93/100)</f>
        <v/>
      </c>
      <c r="L13" s="16">
        <f>(Operations!L9+L8+L9)/100*Time!L25/Inputs!$F$247/(1-Inputs!$F$93/100)</f>
        <v/>
      </c>
      <c r="M13" s="16">
        <f>(Operations!M9+M8+M9)/100*Time!M25/Inputs!$F$247/(1-Inputs!$F$93/100)</f>
        <v/>
      </c>
      <c r="N13" s="16">
        <f>(Operations!N9+N8+N9)/100*Time!N25/Inputs!$F$247/(1-Inputs!$F$93/100)</f>
        <v/>
      </c>
      <c r="O13" s="16">
        <f>(Operations!O9+O8+O9)/100*Time!O25/Inputs!$F$247/(1-Inputs!$F$93/100)</f>
        <v/>
      </c>
      <c r="P13" s="16">
        <f>(Operations!P9+P8+P9)/100*Time!P25/Inputs!$F$247/(1-Inputs!$F$93/100)</f>
        <v/>
      </c>
      <c r="Q13" s="16">
        <f>(Operations!Q9+Q8+Q9)/100*Time!Q25/Inputs!$F$247/(1-Inputs!$F$93/100)</f>
        <v/>
      </c>
      <c r="R13" s="16">
        <f>(Operations!R9+R8+R9)/100*Time!R25/Inputs!$F$247/(1-Inputs!$F$93/100)</f>
        <v/>
      </c>
      <c r="S13" s="16">
        <f>(Operations!S9+S8+S9)/100*Time!S25/Inputs!$F$247/(1-Inputs!$F$93/100)</f>
        <v/>
      </c>
      <c r="T13" s="16">
        <f>(Operations!T9+T8+T9)/100*Time!T25/Inputs!$F$247/(1-Inputs!$F$93/100)</f>
        <v/>
      </c>
      <c r="U13" s="16">
        <f>(Operations!U9+U8+U9)/100*Time!U25/Inputs!$F$247/(1-Inputs!$F$93/100)</f>
        <v/>
      </c>
      <c r="V13" s="16">
        <f>(Operations!V9+V8+V9)/100*Time!V25/Inputs!$F$247/(1-Inputs!$F$93/100)</f>
        <v/>
      </c>
      <c r="W13" s="16">
        <f>(Operations!W9+W8+W9)/100*Time!W25/Inputs!$F$247/(1-Inputs!$F$93/100)</f>
        <v/>
      </c>
      <c r="X13" s="16">
        <f>(Operations!X9+X8+X9)/100*Time!X25/Inputs!$F$247/(1-Inputs!$F$93/100)</f>
        <v/>
      </c>
      <c r="Y13" s="16">
        <f>(Operations!Y9+Y8+Y9)/100*Time!Y25/Inputs!$F$247/(1-Inputs!$F$93/100)</f>
        <v/>
      </c>
      <c r="Z13" s="16">
        <f>(Operations!Z9+Z8+Z9)/100*Time!Z25/Inputs!$F$247/(1-Inputs!$F$93/100)</f>
        <v/>
      </c>
      <c r="AA13" s="16">
        <f>(Operations!AA9+AA8+AA9)/100*Time!AA25/Inputs!$F$247/(1-Inputs!$F$93/100)</f>
        <v/>
      </c>
      <c r="AB13" s="16">
        <f>(Operations!AB9+AB8+AB9)/100*Time!AB25/Inputs!$F$247/(1-Inputs!$F$93/100)</f>
        <v/>
      </c>
      <c r="AC13" s="16">
        <f>(Operations!AC9+AC8+AC9)/100*Time!AC25/Inputs!$F$247/(1-Inputs!$F$93/100)</f>
        <v/>
      </c>
      <c r="AD13" s="16">
        <f>(Operations!AD9+AD8+AD9)/100*Time!AD25/Inputs!$F$247/(1-Inputs!$F$93/100)</f>
        <v/>
      </c>
      <c r="AE13" s="16">
        <f>(Operations!AE9+AE8+AE9)/100*Time!AE25/Inputs!$F$247/(1-Inputs!$F$93/100)</f>
        <v/>
      </c>
      <c r="AF13" s="16">
        <f>(Operations!AF9+AF8+AF9)/100*Time!AF25/Inputs!$F$247/(1-Inputs!$F$93/100)</f>
        <v/>
      </c>
      <c r="AG13" s="16">
        <f>(Operations!AG9+AG8+AG9)/100*Time!AG25/Inputs!$F$247/(1-Inputs!$F$93/100)</f>
        <v/>
      </c>
      <c r="AH13" s="16">
        <f>(Operations!AH9+AH8+AH9)/100*Time!AH25/Inputs!$F$247/(1-Inputs!$F$93/100)</f>
        <v/>
      </c>
      <c r="AI13" s="16">
        <f>(Operations!AI9+AI8+AI9)/100*Time!AI25/Inputs!$F$247/(1-Inputs!$F$93/100)</f>
        <v/>
      </c>
      <c r="AJ13" s="16">
        <f>(Operations!AJ9+AJ8+AJ9)/100*Time!AJ25/Inputs!$F$247/(1-Inputs!$F$93/100)</f>
        <v/>
      </c>
      <c r="AK13" s="16">
        <f>(Operations!AK9+AK8+AK9)/100*Time!AK25/Inputs!$F$247/(1-Inputs!$F$93/100)</f>
        <v/>
      </c>
      <c r="AL13" s="16">
        <f>(Operations!AL9+AL8+AL9)/100*Time!AL25/Inputs!$F$247/(1-Inputs!$F$93/100)</f>
        <v/>
      </c>
      <c r="AM13" s="16">
        <f>(Operations!AM9+AM8+AM9)/100*Time!AM25/Inputs!$F$247/(1-Inputs!$F$93/100)</f>
        <v/>
      </c>
      <c r="AN13" s="16">
        <f>(Operations!AN9+AN8+AN9)/100*Time!AN25/Inputs!$F$247/(1-Inputs!$F$93/100)</f>
        <v/>
      </c>
      <c r="AO13" s="16">
        <f>(Operations!AO9+AO8+AO9)/100*Time!AO25/Inputs!$F$247/(1-Inputs!$F$93/100)</f>
        <v/>
      </c>
      <c r="AP13" s="16">
        <f>(Operations!AP9+AP8+AP9)/100*Time!AP25/Inputs!$F$247/(1-Inputs!$F$93/100)</f>
        <v/>
      </c>
      <c r="AQ13" s="16">
        <f>(Operations!AQ9+AQ8+AQ9)/100*Time!AQ25/Inputs!$F$247/(1-Inputs!$F$93/100)</f>
        <v/>
      </c>
      <c r="AR13" s="16">
        <f>(Operations!AR9+AR8+AR9)/100*Time!AR25/Inputs!$F$247/(1-Inputs!$F$93/100)</f>
        <v/>
      </c>
      <c r="AS13" s="16">
        <f>(Operations!AS9+AS8+AS9)/100*Time!AS25/Inputs!$F$247/(1-Inputs!$F$93/100)</f>
        <v/>
      </c>
      <c r="AT13" s="16">
        <f>(Operations!AT9+AT8+AT9)/100*Time!AT25/Inputs!$F$247/(1-Inputs!$F$93/100)</f>
        <v/>
      </c>
      <c r="AU13" s="16">
        <f>(Operations!AU9+AU8+AU9)/100*Time!AU25/Inputs!$F$247/(1-Inputs!$F$93/100)</f>
        <v/>
      </c>
      <c r="AV13" s="16">
        <f>(Operations!AV9+AV8+AV9)/100*Time!AV25/Inputs!$F$247/(1-Inputs!$F$93/100)</f>
        <v/>
      </c>
      <c r="AW13" s="16">
        <f>(Operations!AW9+AW8+AW9)/100*Time!AW25/Inputs!$F$247/(1-Inputs!$F$93/100)</f>
        <v/>
      </c>
      <c r="AX13" s="16">
        <f>(Operations!AX9+AX8+AX9)/100*Time!AX25/Inputs!$F$247/(1-Inputs!$F$93/100)</f>
        <v/>
      </c>
      <c r="AY13" s="16">
        <f>(Operations!AY9+AY8+AY9)/100*Time!AY25/Inputs!$F$247/(1-Inputs!$F$93/100)</f>
        <v/>
      </c>
      <c r="AZ13" s="16">
        <f>(Operations!AZ9+AZ8+AZ9)/100*Time!AZ25/Inputs!$F$247/(1-Inputs!$F$93/100)</f>
        <v/>
      </c>
      <c r="BA13" s="16">
        <f>(Operations!BA9+BA8+BA9)/100*Time!BA25/Inputs!$F$247/(1-Inputs!$F$93/100)</f>
        <v/>
      </c>
      <c r="BB13" s="16">
        <f>(Operations!BB9+BB8+BB9)/100*Time!BB25/Inputs!$F$247/(1-Inputs!$F$93/100)</f>
        <v/>
      </c>
      <c r="BC13" s="16">
        <f>(Operations!BC9+BC8+BC9)/100*Time!BC25/Inputs!$F$247/(1-Inputs!$F$93/100)</f>
        <v/>
      </c>
      <c r="BD13" s="16">
        <f>(Operations!BD9+BD8+BD9)/100*Time!BD25/Inputs!$F$247/(1-Inputs!$F$93/100)</f>
        <v/>
      </c>
      <c r="BE13" s="16">
        <f>(Operations!BE9+BE8+BE9)/100*Time!BE25/Inputs!$F$247/(1-Inputs!$F$93/100)</f>
        <v/>
      </c>
      <c r="BF13" s="16">
        <f>(Operations!BF9+BF8+BF9)/100*Time!BF25/Inputs!$F$247/(1-Inputs!$F$93/100)</f>
        <v/>
      </c>
      <c r="BG13" s="16">
        <f>(Operations!BG9+BG8+BG9)/100*Time!BG25/Inputs!$F$247/(1-Inputs!$F$93/100)</f>
        <v/>
      </c>
      <c r="BH13" s="16">
        <f>(Operations!BH9+BH8+BH9)/100*Time!BH25/Inputs!$F$247/(1-Inputs!$F$93/100)</f>
        <v/>
      </c>
      <c r="BI13" s="16">
        <f>(Operations!BI9+BI8+BI9)/100*Time!BI25/Inputs!$F$247/(1-Inputs!$F$93/100)</f>
        <v/>
      </c>
      <c r="BJ13" s="16">
        <f>(Operations!BJ9+BJ8+BJ9)/100*Time!BJ25/Inputs!$F$247/(1-Inputs!$F$93/100)</f>
        <v/>
      </c>
      <c r="BK13" s="16">
        <f>(Operations!BK9+BK8+BK9)/100*Time!BK25/Inputs!$F$247/(1-Inputs!$F$93/100)</f>
        <v/>
      </c>
      <c r="BL13" s="16">
        <f>(Operations!BL9+BL8+BL9)/100*Time!BL25/Inputs!$F$247/(1-Inputs!$F$93/100)</f>
        <v/>
      </c>
      <c r="BM13" s="16">
        <f>(Operations!BM9+BM8+BM9)/100*Time!BM25/Inputs!$F$247/(1-Inputs!$F$93/100)</f>
        <v/>
      </c>
      <c r="BN13" s="16">
        <f>(Operations!BN9+BN8+BN9)/100*Time!BN25/Inputs!$F$247/(1-Inputs!$F$93/100)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Time!J35*Inputs!J301*J106*(Inputs!$F$97/100*Time!J24-Operations!J9/100*Time!J25/Inputs!$F$247)</f>
        <v/>
      </c>
      <c r="K107" s="13">
        <f>Time!K35*Inputs!K301*K106*(Inputs!$F$97/100*Time!K24-Operations!K9/100*Time!K25/Inputs!$F$247)</f>
        <v/>
      </c>
      <c r="L107" s="13">
        <f>Time!L35*Inputs!L301*L106*(Inputs!$F$97/100*Time!L24-Operations!L9/100*Time!L25/Inputs!$F$247)</f>
        <v/>
      </c>
      <c r="M107" s="13">
        <f>Time!M35*Inputs!M301*M106*(Inputs!$F$97/100*Time!M24-Operations!M9/100*Time!M25/Inputs!$F$247)</f>
        <v/>
      </c>
      <c r="N107" s="13">
        <f>Time!N35*Inputs!N301*N106*(Inputs!$F$97/100*Time!N24-Operations!N9/100*Time!N25/Inputs!$F$247)</f>
        <v/>
      </c>
      <c r="O107" s="13">
        <f>Time!O35*Inputs!O301*O106*(Inputs!$F$97/100*Time!O24-Operations!O9/100*Time!O25/Inputs!$F$247)</f>
        <v/>
      </c>
      <c r="P107" s="13">
        <f>Time!P35*Inputs!P301*P106*(Inputs!$F$97/100*Time!P24-Operations!P9/100*Time!P25/Inputs!$F$247)</f>
        <v/>
      </c>
      <c r="Q107" s="13">
        <f>Time!Q35*Inputs!Q301*Q106*(Inputs!$F$97/100*Time!Q24-Operations!Q9/100*Time!Q25/Inputs!$F$247)</f>
        <v/>
      </c>
      <c r="R107" s="13">
        <f>Time!R35*Inputs!R301*R106*(Inputs!$F$97/100*Time!R24-Operations!R9/100*Time!R25/Inputs!$F$247)</f>
        <v/>
      </c>
      <c r="S107" s="13">
        <f>Time!S35*Inputs!S301*S106*(Inputs!$F$97/100*Time!S24-Operations!S9/100*Time!S25/Inputs!$F$247)</f>
        <v/>
      </c>
      <c r="T107" s="13">
        <f>Time!T35*Inputs!T301*T106*(Inputs!$F$97/100*Time!T24-Operations!T9/100*Time!T25/Inputs!$F$247)</f>
        <v/>
      </c>
      <c r="U107" s="13">
        <f>Time!U35*Inputs!U301*U106*(Inputs!$F$97/100*Time!U24-Operations!U9/100*Time!U25/Inputs!$F$247)</f>
        <v/>
      </c>
      <c r="V107" s="13">
        <f>Time!V35*Inputs!V301*V106*(Inputs!$F$97/100*Time!V24-Operations!V9/100*Time!V25/Inputs!$F$247)</f>
        <v/>
      </c>
      <c r="W107" s="13">
        <f>Time!W35*Inputs!W301*W106*(Inputs!$F$97/100*Time!W24-Operations!W9/100*Time!W25/Inputs!$F$247)</f>
        <v/>
      </c>
      <c r="X107" s="13">
        <f>Time!X35*Inputs!X301*X106*(Inputs!$F$97/100*Time!X24-Operations!X9/100*Time!X25/Inputs!$F$247)</f>
        <v/>
      </c>
      <c r="Y107" s="13">
        <f>Time!Y35*Inputs!Y301*Y106*(Inputs!$F$97/100*Time!Y24-Operations!Y9/100*Time!Y25/Inputs!$F$247)</f>
        <v/>
      </c>
      <c r="Z107" s="13">
        <f>Time!Z35*Inputs!Z301*Z106*(Inputs!$F$97/100*Time!Z24-Operations!Z9/100*Time!Z25/Inputs!$F$247)</f>
        <v/>
      </c>
      <c r="AA107" s="13">
        <f>Time!AA35*Inputs!AA301*AA106*(Inputs!$F$97/100*Time!AA24-Operations!AA9/100*Time!AA25/Inputs!$F$247)</f>
        <v/>
      </c>
      <c r="AB107" s="13">
        <f>Time!AB35*Inputs!AB301*AB106*(Inputs!$F$97/100*Time!AB24-Operations!AB9/100*Time!AB25/Inputs!$F$247)</f>
        <v/>
      </c>
      <c r="AC107" s="13">
        <f>Time!AC35*Inputs!AC301*AC106*(Inputs!$F$97/100*Time!AC24-Operations!AC9/100*Time!AC25/Inputs!$F$247)</f>
        <v/>
      </c>
      <c r="AD107" s="13">
        <f>Time!AD35*Inputs!AD301*AD106*(Inputs!$F$97/100*Time!AD24-Operations!AD9/100*Time!AD25/Inputs!$F$247)</f>
        <v/>
      </c>
      <c r="AE107" s="13">
        <f>Time!AE35*Inputs!AE301*AE106*(Inputs!$F$97/100*Time!AE24-Operations!AE9/100*Time!AE25/Inputs!$F$247)</f>
        <v/>
      </c>
      <c r="AF107" s="13">
        <f>Time!AF35*Inputs!AF301*AF106*(Inputs!$F$97/100*Time!AF24-Operations!AF9/100*Time!AF25/Inputs!$F$247)</f>
        <v/>
      </c>
      <c r="AG107" s="13">
        <f>Time!AG35*Inputs!AG301*AG106*(Inputs!$F$97/100*Time!AG24-Operations!AG9/100*Time!AG25/Inputs!$F$247)</f>
        <v/>
      </c>
      <c r="AH107" s="13">
        <f>Time!AH35*Inputs!AH301*AH106*(Inputs!$F$97/100*Time!AH24-Operations!AH9/100*Time!AH25/Inputs!$F$247)</f>
        <v/>
      </c>
      <c r="AI107" s="13">
        <f>Time!AI35*Inputs!AI301*AI106*(Inputs!$F$97/100*Time!AI24-Operations!AI9/100*Time!AI25/Inputs!$F$247)</f>
        <v/>
      </c>
      <c r="AJ107" s="13">
        <f>Time!AJ35*Inputs!AJ301*AJ106*(Inputs!$F$97/100*Time!AJ24-Operations!AJ9/100*Time!AJ25/Inputs!$F$247)</f>
        <v/>
      </c>
      <c r="AK107" s="13">
        <f>Time!AK35*Inputs!AK301*AK106*(Inputs!$F$97/100*Time!AK24-Operations!AK9/100*Time!AK25/Inputs!$F$247)</f>
        <v/>
      </c>
      <c r="AL107" s="13">
        <f>Time!AL35*Inputs!AL301*AL106*(Inputs!$F$97/100*Time!AL24-Operations!AL9/100*Time!AL25/Inputs!$F$247)</f>
        <v/>
      </c>
      <c r="AM107" s="13">
        <f>Time!AM35*Inputs!AM301*AM106*(Inputs!$F$97/100*Time!AM24-Operations!AM9/100*Time!AM25/Inputs!$F$247)</f>
        <v/>
      </c>
      <c r="AN107" s="13">
        <f>Time!AN35*Inputs!AN301*AN106*(Inputs!$F$97/100*Time!AN24-Operations!AN9/100*Time!AN25/Inputs!$F$247)</f>
        <v/>
      </c>
      <c r="AO107" s="13">
        <f>Time!AO35*Inputs!AO301*AO106*(Inputs!$F$97/100*Time!AO24-Operations!AO9/100*Time!AO25/Inputs!$F$247)</f>
        <v/>
      </c>
      <c r="AP107" s="13">
        <f>Time!AP35*Inputs!AP301*AP106*(Inputs!$F$97/100*Time!AP24-Operations!AP9/100*Time!AP25/Inputs!$F$247)</f>
        <v/>
      </c>
      <c r="AQ107" s="13">
        <f>Time!AQ35*Inputs!AQ301*AQ106*(Inputs!$F$97/100*Time!AQ24-Operations!AQ9/100*Time!AQ25/Inputs!$F$247)</f>
        <v/>
      </c>
      <c r="AR107" s="13">
        <f>Time!AR35*Inputs!AR301*AR106*(Inputs!$F$97/100*Time!AR24-Operations!AR9/100*Time!AR25/Inputs!$F$247)</f>
        <v/>
      </c>
      <c r="AS107" s="13">
        <f>Time!AS35*Inputs!AS301*AS106*(Inputs!$F$97/100*Time!AS24-Operations!AS9/100*Time!AS25/Inputs!$F$247)</f>
        <v/>
      </c>
      <c r="AT107" s="13">
        <f>Time!AT35*Inputs!AT301*AT106*(Inputs!$F$97/100*Time!AT24-Operations!AT9/100*Time!AT25/Inputs!$F$247)</f>
        <v/>
      </c>
      <c r="AU107" s="13">
        <f>Time!AU35*Inputs!AU301*AU106*(Inputs!$F$97/100*Time!AU24-Operations!AU9/100*Time!AU25/Inputs!$F$247)</f>
        <v/>
      </c>
      <c r="AV107" s="13">
        <f>Time!AV35*Inputs!AV301*AV106*(Inputs!$F$97/100*Time!AV24-Operations!AV9/100*Time!AV25/Inputs!$F$247)</f>
        <v/>
      </c>
      <c r="AW107" s="13">
        <f>Time!AW35*Inputs!AW301*AW106*(Inputs!$F$97/100*Time!AW24-Operations!AW9/100*Time!AW25/Inputs!$F$247)</f>
        <v/>
      </c>
      <c r="AX107" s="13">
        <f>Time!AX35*Inputs!AX301*AX106*(Inputs!$F$97/100*Time!AX24-Operations!AX9/100*Time!AX25/Inputs!$F$247)</f>
        <v/>
      </c>
      <c r="AY107" s="13">
        <f>Time!AY35*Inputs!AY301*AY106*(Inputs!$F$97/100*Time!AY24-Operations!AY9/100*Time!AY25/Inputs!$F$247)</f>
        <v/>
      </c>
      <c r="AZ107" s="13">
        <f>Time!AZ35*Inputs!AZ301*AZ106*(Inputs!$F$97/100*Time!AZ24-Operations!AZ9/100*Time!AZ25/Inputs!$F$247)</f>
        <v/>
      </c>
      <c r="BA107" s="13">
        <f>Time!BA35*Inputs!BA301*BA106*(Inputs!$F$97/100*Time!BA24-Operations!BA9/100*Time!BA25/Inputs!$F$247)</f>
        <v/>
      </c>
      <c r="BB107" s="13">
        <f>Time!BB35*Inputs!BB301*BB106*(Inputs!$F$97/100*Time!BB24-Operations!BB9/100*Time!BB25/Inputs!$F$247)</f>
        <v/>
      </c>
      <c r="BC107" s="13">
        <f>Time!BC35*Inputs!BC301*BC106*(Inputs!$F$97/100*Time!BC24-Operations!BC9/100*Time!BC25/Inputs!$F$247)</f>
        <v/>
      </c>
      <c r="BD107" s="13">
        <f>Time!BD35*Inputs!BD301*BD106*(Inputs!$F$97/100*Time!BD24-Operations!BD9/100*Time!BD25/Inputs!$F$247)</f>
        <v/>
      </c>
      <c r="BE107" s="13">
        <f>Time!BE35*Inputs!BE301*BE106*(Inputs!$F$97/100*Time!BE24-Operations!BE9/100*Time!BE25/Inputs!$F$247)</f>
        <v/>
      </c>
      <c r="BF107" s="13">
        <f>Time!BF35*Inputs!BF301*BF106*(Inputs!$F$97/100*Time!BF24-Operations!BF9/100*Time!BF25/Inputs!$F$247)</f>
        <v/>
      </c>
      <c r="BG107" s="13">
        <f>Time!BG35*Inputs!BG301*BG106*(Inputs!$F$97/100*Time!BG24-Operations!BG9/100*Time!BG25/Inputs!$F$247)</f>
        <v/>
      </c>
      <c r="BH107" s="13">
        <f>Time!BH35*Inputs!BH301*BH106*(Inputs!$F$97/100*Time!BH24-Operations!BH9/100*Time!BH25/Inputs!$F$247)</f>
        <v/>
      </c>
      <c r="BI107" s="13">
        <f>Time!BI35*Inputs!BI301*BI106*(Inputs!$F$97/100*Time!BI24-Operations!BI9/100*Time!BI25/Inputs!$F$247)</f>
        <v/>
      </c>
      <c r="BJ107" s="13">
        <f>Time!BJ35*Inputs!BJ301*BJ106*(Inputs!$F$97/100*Time!BJ24-Operations!BJ9/100*Time!BJ25/Inputs!$F$247)</f>
        <v/>
      </c>
      <c r="BK107" s="13">
        <f>Time!BK35*Inputs!BK301*BK106*(Inputs!$F$97/100*Time!BK24-Operations!BK9/100*Time!BK25/Inputs!$F$247)</f>
        <v/>
      </c>
      <c r="BL107" s="13">
        <f>Time!BL35*Inputs!BL301*BL106*(Inputs!$F$97/100*Time!BL24-Operations!BL9/100*Time!BL25/Inputs!$F$247)</f>
        <v/>
      </c>
      <c r="BM107" s="13">
        <f>Time!BM35*Inputs!BM301*BM106*(Inputs!$F$97/100*Time!BM24-Operations!BM9/100*Time!BM25/Inputs!$F$247)</f>
        <v/>
      </c>
      <c r="BN107" s="13">
        <f>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IF(Time!J53=1,(Waterfall!J7+K128)/(1+J127),0)</f>
        <v/>
      </c>
      <c r="K128" s="13">
        <f>IF(Time!K53=1,(Waterfall!K7+L128)/(1+K127),0)</f>
        <v/>
      </c>
      <c r="L128" s="13">
        <f>IF(Time!L53=1,(Waterfall!L7+M128)/(1+L127),0)</f>
        <v/>
      </c>
      <c r="M128" s="13">
        <f>IF(Time!M53=1,(Waterfall!M7+N128)/(1+M127),0)</f>
        <v/>
      </c>
      <c r="N128" s="13">
        <f>IF(Time!N53=1,(Waterfall!N7+O128)/(1+N127),0)</f>
        <v/>
      </c>
      <c r="O128" s="13">
        <f>IF(Time!O53=1,(Waterfall!O7+P128)/(1+O127),0)</f>
        <v/>
      </c>
      <c r="P128" s="13">
        <f>IF(Time!P53=1,(Waterfall!P7+Q128)/(1+P127),0)</f>
        <v/>
      </c>
      <c r="Q128" s="13">
        <f>IF(Time!Q53=1,(Waterfall!Q7+R128)/(1+Q127),0)</f>
        <v/>
      </c>
      <c r="R128" s="13">
        <f>IF(Time!R53=1,(Waterfall!R7+S128)/(1+R127),0)</f>
        <v/>
      </c>
      <c r="S128" s="13">
        <f>IF(Time!S53=1,(Waterfall!S7+T128)/(1+S127),0)</f>
        <v/>
      </c>
      <c r="T128" s="13">
        <f>IF(Time!T53=1,(Waterfall!T7+U128)/(1+T127),0)</f>
        <v/>
      </c>
      <c r="U128" s="13">
        <f>IF(Time!U53=1,(Waterfall!U7+V128)/(1+U127),0)</f>
        <v/>
      </c>
      <c r="V128" s="13">
        <f>IF(Time!V53=1,(Waterfall!V7+W128)/(1+V127),0)</f>
        <v/>
      </c>
      <c r="W128" s="13">
        <f>IF(Time!W53=1,(Waterfall!W7+X128)/(1+W127),0)</f>
        <v/>
      </c>
      <c r="X128" s="13">
        <f>IF(Time!X53=1,(Waterfall!X7+Y128)/(1+X127),0)</f>
        <v/>
      </c>
      <c r="Y128" s="13">
        <f>IF(Time!Y53=1,(Waterfall!Y7+Z128)/(1+Y127),0)</f>
        <v/>
      </c>
      <c r="Z128" s="13">
        <f>IF(Time!Z53=1,(Waterfall!Z7+AA128)/(1+Z127),0)</f>
        <v/>
      </c>
      <c r="AA128" s="13">
        <f>IF(Time!AA53=1,(Waterfall!AA7+AB128)/(1+AA127),0)</f>
        <v/>
      </c>
      <c r="AB128" s="13">
        <f>IF(Time!AB53=1,(Waterfall!AB7+AC128)/(1+AB127),0)</f>
        <v/>
      </c>
      <c r="AC128" s="13">
        <f>IF(Time!AC53=1,(Waterfall!AC7+AD128)/(1+AC127),0)</f>
        <v/>
      </c>
      <c r="AD128" s="13">
        <f>IF(Time!AD53=1,(Waterfall!AD7+AE128)/(1+AD127),0)</f>
        <v/>
      </c>
      <c r="AE128" s="13">
        <f>IF(Time!AE53=1,(Waterfall!AE7+AF128)/(1+AE127),0)</f>
        <v/>
      </c>
      <c r="AF128" s="13">
        <f>IF(Time!AF53=1,(Waterfall!AF7+AG128)/(1+AF127),0)</f>
        <v/>
      </c>
      <c r="AG128" s="13">
        <f>IF(Time!AG53=1,(Waterfall!AG7+AH128)/(1+AG127),0)</f>
        <v/>
      </c>
      <c r="AH128" s="13">
        <f>IF(Time!AH53=1,(Waterfall!AH7+AI128)/(1+AH127),0)</f>
        <v/>
      </c>
      <c r="AI128" s="13">
        <f>IF(Time!AI53=1,(Waterfall!AI7+AJ128)/(1+AI127),0)</f>
        <v/>
      </c>
      <c r="AJ128" s="13">
        <f>IF(Time!AJ53=1,(Waterfall!AJ7+AK128)/(1+AJ127),0)</f>
        <v/>
      </c>
      <c r="AK128" s="13">
        <f>IF(Time!AK53=1,(Waterfall!AK7+AL128)/(1+AK127),0)</f>
        <v/>
      </c>
      <c r="AL128" s="13">
        <f>IF(Time!AL53=1,(Waterfall!AL7+AM128)/(1+AL127),0)</f>
        <v/>
      </c>
      <c r="AM128" s="13">
        <f>IF(Time!AM53=1,(Waterfall!AM7+AN128)/(1+AM127),0)</f>
        <v/>
      </c>
      <c r="AN128" s="13">
        <f>IF(Time!AN53=1,(Waterfall!AN7+AO128)/(1+AN127),0)</f>
        <v/>
      </c>
      <c r="AO128" s="13">
        <f>IF(Time!AO53=1,(Waterfall!AO7+AP128)/(1+AO127),0)</f>
        <v/>
      </c>
      <c r="AP128" s="13">
        <f>IF(Time!AP53=1,(Waterfall!AP7+AQ128)/(1+AP127),0)</f>
        <v/>
      </c>
      <c r="AQ128" s="13">
        <f>IF(Time!AQ53=1,(Waterfall!AQ7+AR128)/(1+AQ127),0)</f>
        <v/>
      </c>
      <c r="AR128" s="13">
        <f>IF(Time!AR53=1,(Waterfall!AR7+AS128)/(1+AR127),0)</f>
        <v/>
      </c>
      <c r="AS128" s="13">
        <f>IF(Time!AS53=1,(Waterfall!AS7+AT128)/(1+AS127),0)</f>
        <v/>
      </c>
      <c r="AT128" s="13">
        <f>IF(Time!AT53=1,(Waterfall!AT7+AU128)/(1+AT127),0)</f>
        <v/>
      </c>
      <c r="AU128" s="13">
        <f>IF(Time!AU53=1,(Waterfall!AU7+AV128)/(1+AU127),0)</f>
        <v/>
      </c>
      <c r="AV128" s="13">
        <f>IF(Time!AV53=1,(Waterfall!AV7+AW128)/(1+AV127),0)</f>
        <v/>
      </c>
      <c r="AW128" s="13">
        <f>IF(Time!AW53=1,(Waterfall!AW7+AX128)/(1+AW127),0)</f>
        <v/>
      </c>
      <c r="AX128" s="13">
        <f>IF(Time!AX53=1,(Waterfall!AX7+AY128)/(1+AX127),0)</f>
        <v/>
      </c>
      <c r="AY128" s="13">
        <f>IF(Time!AY53=1,(Waterfall!AY7+AZ128)/(1+AY127),0)</f>
        <v/>
      </c>
      <c r="AZ128" s="13">
        <f>IF(Time!AZ53=1,(Waterfall!AZ7+BA128)/(1+AZ127),0)</f>
        <v/>
      </c>
      <c r="BA128" s="13">
        <f>IF(Time!BA53=1,(Waterfall!BA7+BB128)/(1+BA127),0)</f>
        <v/>
      </c>
      <c r="BB128" s="13">
        <f>IF(Time!BB53=1,(Waterfall!BB7+BC128)/(1+BB127),0)</f>
        <v/>
      </c>
      <c r="BC128" s="13">
        <f>IF(Time!BC53=1,(Waterfall!BC7+BD128)/(1+BC127),0)</f>
        <v/>
      </c>
      <c r="BD128" s="13">
        <f>IF(Time!BD53=1,(Waterfall!BD7+BE128)/(1+BD127),0)</f>
        <v/>
      </c>
      <c r="BE128" s="13">
        <f>IF(Time!BE53=1,(Waterfall!BE7+BF128)/(1+BE127),0)</f>
        <v/>
      </c>
      <c r="BF128" s="13">
        <f>IF(Time!BF53=1,(Waterfall!BF7+BG128)/(1+BF127),0)</f>
        <v/>
      </c>
      <c r="BG128" s="13">
        <f>IF(Time!BG53=1,(Waterfall!BG7+BH128)/(1+BG127),0)</f>
        <v/>
      </c>
      <c r="BH128" s="13">
        <f>IF(Time!BH53=1,(Waterfall!BH7+BI128)/(1+BH127),0)</f>
        <v/>
      </c>
      <c r="BI128" s="13">
        <f>IF(Time!BI53=1,(Waterfall!BI7+BJ128)/(1+BI127),0)</f>
        <v/>
      </c>
      <c r="BJ128" s="13">
        <f>IF(Time!BJ53=1,(Waterfall!BJ7+BK128)/(1+BJ127),0)</f>
        <v/>
      </c>
      <c r="BK128" s="13">
        <f>IF(Time!BK53=1,(Waterfall!BK7+BL128)/(1+BK127),0)</f>
        <v/>
      </c>
      <c r="BL128" s="13">
        <f>IF(Time!BL53=1,(Waterfall!BL7+BM128)/(1+BL127),0)</f>
        <v/>
      </c>
      <c r="BM128" s="13">
        <f>IF(Time!BM53=1,(Waterfall!BM7+BN128)/(1+BM127),0)</f>
        <v/>
      </c>
      <c r="BN128" s="13">
        <f>IF(Time!BN53=1,(Waterfall!BN7+BO128)/(1+BN127),0)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IF(Time!J53=1,(Waterfall!J7)/$F$129,0)</f>
        <v/>
      </c>
      <c r="K132" s="13">
        <f>IF(Time!K53=1,(Waterfall!K7)/$F$129,0)</f>
        <v/>
      </c>
      <c r="L132" s="13">
        <f>IF(Time!L53=1,(Waterfall!L7)/$F$129,0)</f>
        <v/>
      </c>
      <c r="M132" s="13">
        <f>IF(Time!M53=1,(Waterfall!M7)/$F$129,0)</f>
        <v/>
      </c>
      <c r="N132" s="13">
        <f>IF(Time!N53=1,(Waterfall!N7)/$F$129,0)</f>
        <v/>
      </c>
      <c r="O132" s="13">
        <f>IF(Time!O53=1,(Waterfall!O7)/$F$129,0)</f>
        <v/>
      </c>
      <c r="P132" s="13">
        <f>IF(Time!P53=1,(Waterfall!P7)/$F$129,0)</f>
        <v/>
      </c>
      <c r="Q132" s="13">
        <f>IF(Time!Q53=1,(Waterfall!Q7)/$F$129,0)</f>
        <v/>
      </c>
      <c r="R132" s="13">
        <f>IF(Time!R53=1,(Waterfall!R7)/$F$129,0)</f>
        <v/>
      </c>
      <c r="S132" s="13">
        <f>IF(Time!S53=1,(Waterfall!S7)/$F$129,0)</f>
        <v/>
      </c>
      <c r="T132" s="13">
        <f>IF(Time!T53=1,(Waterfall!T7)/$F$129,0)</f>
        <v/>
      </c>
      <c r="U132" s="13">
        <f>IF(Time!U53=1,(Waterfall!U7)/$F$129,0)</f>
        <v/>
      </c>
      <c r="V132" s="13">
        <f>IF(Time!V53=1,(Waterfall!V7)/$F$129,0)</f>
        <v/>
      </c>
      <c r="W132" s="13">
        <f>IF(Time!W53=1,(Waterfall!W7)/$F$129,0)</f>
        <v/>
      </c>
      <c r="X132" s="13">
        <f>IF(Time!X53=1,(Waterfall!X7)/$F$129,0)</f>
        <v/>
      </c>
      <c r="Y132" s="13">
        <f>IF(Time!Y53=1,(Waterfall!Y7)/$F$129,0)</f>
        <v/>
      </c>
      <c r="Z132" s="13">
        <f>IF(Time!Z53=1,(Waterfall!Z7)/$F$129,0)</f>
        <v/>
      </c>
      <c r="AA132" s="13">
        <f>IF(Time!AA53=1,(Waterfall!AA7)/$F$129,0)</f>
        <v/>
      </c>
      <c r="AB132" s="13">
        <f>IF(Time!AB53=1,(Waterfall!AB7)/$F$129,0)</f>
        <v/>
      </c>
      <c r="AC132" s="13">
        <f>IF(Time!AC53=1,(Waterfall!AC7)/$F$129,0)</f>
        <v/>
      </c>
      <c r="AD132" s="13">
        <f>IF(Time!AD53=1,(Waterfall!AD7)/$F$129,0)</f>
        <v/>
      </c>
      <c r="AE132" s="13">
        <f>IF(Time!AE53=1,(Waterfall!AE7)/$F$129,0)</f>
        <v/>
      </c>
      <c r="AF132" s="13">
        <f>IF(Time!AF53=1,(Waterfall!AF7)/$F$129,0)</f>
        <v/>
      </c>
      <c r="AG132" s="13">
        <f>IF(Time!AG53=1,(Waterfall!AG7)/$F$129,0)</f>
        <v/>
      </c>
      <c r="AH132" s="13">
        <f>IF(Time!AH53=1,(Waterfall!AH7)/$F$129,0)</f>
        <v/>
      </c>
      <c r="AI132" s="13">
        <f>IF(Time!AI53=1,(Waterfall!AI7)/$F$129,0)</f>
        <v/>
      </c>
      <c r="AJ132" s="13">
        <f>IF(Time!AJ53=1,(Waterfall!AJ7)/$F$129,0)</f>
        <v/>
      </c>
      <c r="AK132" s="13">
        <f>IF(Time!AK53=1,(Waterfall!AK7)/$F$129,0)</f>
        <v/>
      </c>
      <c r="AL132" s="13">
        <f>IF(Time!AL53=1,(Waterfall!AL7)/$F$129,0)</f>
        <v/>
      </c>
      <c r="AM132" s="13">
        <f>IF(Time!AM53=1,(Waterfall!AM7)/$F$129,0)</f>
        <v/>
      </c>
      <c r="AN132" s="13">
        <f>IF(Time!AN53=1,(Waterfall!AN7)/$F$129,0)</f>
        <v/>
      </c>
      <c r="AO132" s="13">
        <f>IF(Time!AO53=1,(Waterfall!AO7)/$F$129,0)</f>
        <v/>
      </c>
      <c r="AP132" s="13">
        <f>IF(Time!AP53=1,(Waterfall!AP7)/$F$129,0)</f>
        <v/>
      </c>
      <c r="AQ132" s="13">
        <f>IF(Time!AQ53=1,(Waterfall!AQ7)/$F$129,0)</f>
        <v/>
      </c>
      <c r="AR132" s="13">
        <f>IF(Time!AR53=1,(Waterfall!AR7)/$F$129,0)</f>
        <v/>
      </c>
      <c r="AS132" s="13">
        <f>IF(Time!AS53=1,(Waterfall!AS7)/$F$129,0)</f>
        <v/>
      </c>
      <c r="AT132" s="13">
        <f>IF(Time!AT53=1,(Waterfall!AT7)/$F$129,0)</f>
        <v/>
      </c>
      <c r="AU132" s="13">
        <f>IF(Time!AU53=1,(Waterfall!AU7)/$F$129,0)</f>
        <v/>
      </c>
      <c r="AV132" s="13">
        <f>IF(Time!AV53=1,(Waterfall!AV7)/$F$129,0)</f>
        <v/>
      </c>
      <c r="AW132" s="13">
        <f>IF(Time!AW53=1,(Waterfall!AW7)/$F$129,0)</f>
        <v/>
      </c>
      <c r="AX132" s="13">
        <f>IF(Time!AX53=1,(Waterfall!AX7)/$F$129,0)</f>
        <v/>
      </c>
      <c r="AY132" s="13">
        <f>IF(Time!AY53=1,(Waterfall!AY7)/$F$129,0)</f>
        <v/>
      </c>
      <c r="AZ132" s="13">
        <f>IF(Time!AZ53=1,(Waterfall!AZ7)/$F$129,0)</f>
        <v/>
      </c>
      <c r="BA132" s="13">
        <f>IF(Time!BA53=1,(Waterfall!BA7)/$F$129,0)</f>
        <v/>
      </c>
      <c r="BB132" s="13">
        <f>IF(Time!BB53=1,(Waterfall!BB7)/$F$129,0)</f>
        <v/>
      </c>
      <c r="BC132" s="13">
        <f>IF(Time!BC53=1,(Waterfall!BC7)/$F$129,0)</f>
        <v/>
      </c>
      <c r="BD132" s="13">
        <f>IF(Time!BD53=1,(Waterfall!BD7)/$F$129,0)</f>
        <v/>
      </c>
      <c r="BE132" s="13">
        <f>IF(Time!BE53=1,(Waterfall!BE7)/$F$129,0)</f>
        <v/>
      </c>
      <c r="BF132" s="13">
        <f>IF(Time!BF53=1,(Waterfall!BF7)/$F$129,0)</f>
        <v/>
      </c>
      <c r="BG132" s="13">
        <f>IF(Time!BG53=1,(Waterfall!BG7)/$F$129,0)</f>
        <v/>
      </c>
      <c r="BH132" s="13">
        <f>IF(Time!BH53=1,(Waterfall!BH7)/$F$129,0)</f>
        <v/>
      </c>
      <c r="BI132" s="13">
        <f>IF(Time!BI53=1,(Waterfall!BI7)/$F$129,0)</f>
        <v/>
      </c>
      <c r="BJ132" s="13">
        <f>IF(Time!BJ53=1,(Waterfall!BJ7)/$F$129,0)</f>
        <v/>
      </c>
      <c r="BK132" s="13">
        <f>IF(Time!BK53=1,(Waterfall!BK7)/$F$129,0)</f>
        <v/>
      </c>
      <c r="BL132" s="13">
        <f>IF(Time!BL53=1,(Waterfall!BL7)/$F$129,0)</f>
        <v/>
      </c>
      <c r="BM132" s="13">
        <f>IF(Time!BM53=1,(Waterfall!BM7)/$F$129,0)</f>
        <v/>
      </c>
      <c r="BN132" s="13">
        <f>IF(Time!BN53=1,(Waterfall!BN7)/$F$129,0)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2026-10-03T21:37:27Z</dcterms:created>
  <dcterms:modified xsi:type="dcterms:W3CDTF">2026-10-03T21:37:27Z</dcterms:modified>
</cp:coreProperties>
</file>