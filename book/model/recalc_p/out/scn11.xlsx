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<sst xmlns="http://schemas.openxmlformats.org/spreadsheetml/2006/main" count="2466" uniqueCount="947">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</sst>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11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1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1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0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0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0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120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0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0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0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0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1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0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296</v>
      </c>
      <c r="F186" s="8" t="n">
        <v>43136</v>
      </c>
    </row>
    <row r="187" customFormat="false" ht="15" hidden="false" customHeight="false" outlineLevel="0" collapsed="false">
      <c r="D187" s="0" t="s">
        <v>297</v>
      </c>
      <c r="E187" s="0" t="s">
        <v>296</v>
      </c>
      <c r="F187" s="8" t="n">
        <v>43298</v>
      </c>
    </row>
    <row r="188" customFormat="false" ht="15" hidden="false" customHeight="false" outlineLevel="0" collapsed="false">
      <c r="D188" s="0" t="s">
        <v>298</v>
      </c>
      <c r="E188" s="0" t="s">
        <v>296</v>
      </c>
      <c r="F188" s="8" t="n">
        <v>43313</v>
      </c>
    </row>
    <row r="189" customFormat="false" ht="15" hidden="false" customHeight="false" outlineLevel="0" collapsed="false">
      <c r="D189" s="0" t="s">
        <v>299</v>
      </c>
      <c r="E189" s="0" t="s">
        <v>296</v>
      </c>
      <c r="F189" s="8" t="n">
        <v>43282</v>
      </c>
    </row>
    <row r="190" customFormat="false" ht="15" hidden="false" customHeight="false" outlineLevel="0" collapsed="false">
      <c r="D190" s="0" t="s">
        <v>300</v>
      </c>
      <c r="E190" s="0" t="s">
        <v>296</v>
      </c>
      <c r="F190" s="8" t="n">
        <v>44317</v>
      </c>
    </row>
    <row r="191" customFormat="false" ht="15" hidden="false" customHeight="false" outlineLevel="0" collapsed="false">
      <c r="D191" s="0" t="s">
        <v>301</v>
      </c>
      <c r="E191" s="0" t="s">
        <v>296</v>
      </c>
      <c r="F191" s="8" t="n">
        <v>44531</v>
      </c>
    </row>
    <row r="192" customFormat="false" ht="15" hidden="false" customHeight="false" outlineLevel="0" collapsed="false">
      <c r="D192" s="0" t="s">
        <v>302</v>
      </c>
      <c r="E192" s="0" t="s">
        <v>296</v>
      </c>
      <c r="F192" s="8" t="n">
        <v>49125</v>
      </c>
    </row>
    <row r="193" customFormat="false" ht="15" hidden="false" customHeight="false" outlineLevel="0" collapsed="false">
      <c r="D193" s="0" t="s">
        <v>303</v>
      </c>
      <c r="E193" s="0" t="s">
        <v>296</v>
      </c>
      <c r="F193" s="8" t="n">
        <v>44562</v>
      </c>
    </row>
    <row r="194" customFormat="false" ht="15" hidden="false" customHeight="false" outlineLevel="0" collapsed="false">
      <c r="D194" s="0" t="s">
        <v>304</v>
      </c>
      <c r="E194" s="0" t="s">
        <v>296</v>
      </c>
      <c r="F194" s="8" t="n">
        <v>44562</v>
      </c>
    </row>
    <row r="195" customFormat="false" ht="15" hidden="false" customHeight="false" outlineLevel="0" collapsed="false">
      <c r="D195" s="0" t="s">
        <v>305</v>
      </c>
      <c r="E195" s="0" t="s">
        <v>296</v>
      </c>
      <c r="F195" s="8" t="n">
        <v>44743</v>
      </c>
    </row>
    <row r="196" customFormat="false" ht="15" hidden="false" customHeight="false" outlineLevel="0" collapsed="false">
      <c r="D196" s="0" t="s">
        <v>306</v>
      </c>
      <c r="E196" s="0" t="s">
        <v>296</v>
      </c>
      <c r="F196" s="8" t="n">
        <v>44927</v>
      </c>
    </row>
    <row r="197" customFormat="false" ht="15" hidden="false" customHeight="false" outlineLevel="0" collapsed="false">
      <c r="D197" s="0" t="s">
        <v>307</v>
      </c>
      <c r="E197" s="0" t="s">
        <v>296</v>
      </c>
      <c r="F197" s="8" t="n">
        <v>45372</v>
      </c>
    </row>
    <row r="198" customFormat="false" ht="15" hidden="false" customHeight="false" outlineLevel="0" collapsed="false">
      <c r="D198" s="0" t="s">
        <v>308</v>
      </c>
      <c r="E198" s="0" t="s">
        <v>296</v>
      </c>
      <c r="F198" s="8" t="n">
        <v>44742</v>
      </c>
    </row>
    <row r="199" customFormat="false" ht="15" hidden="false" customHeight="false" outlineLevel="0" collapsed="false">
      <c r="D199" s="0" t="s">
        <v>309</v>
      </c>
      <c r="E199" s="0" t="s">
        <v>296</v>
      </c>
      <c r="F199" s="8" t="n">
        <v>45107</v>
      </c>
    </row>
    <row r="200" customFormat="false" ht="15" hidden="false" customHeight="false" outlineLevel="0" collapsed="false">
      <c r="D200" s="0" t="s">
        <v>310</v>
      </c>
      <c r="E200" s="0" t="s">
        <v>296</v>
      </c>
      <c r="F200" s="8" t="n">
        <v>45291</v>
      </c>
    </row>
    <row r="201" customFormat="false" ht="15" hidden="false" customHeight="false" outlineLevel="0" collapsed="false">
      <c r="D201" s="0" t="s">
        <v>311</v>
      </c>
      <c r="E201" s="0" t="s">
        <v>296</v>
      </c>
      <c r="F201" s="8" t="n">
        <v>45108</v>
      </c>
    </row>
    <row r="202" customFormat="false" ht="15" hidden="false" customHeight="false" outlineLevel="0" collapsed="false">
      <c r="D202" s="0" t="s">
        <v>312</v>
      </c>
      <c r="E202" s="0" t="s">
        <v>296</v>
      </c>
      <c r="F202" s="8" t="n">
        <v>45657</v>
      </c>
    </row>
    <row r="203" customFormat="false" ht="15" hidden="false" customHeight="false" outlineLevel="0" collapsed="false">
      <c r="D203" s="0" t="s">
        <v>313</v>
      </c>
      <c r="E203" s="0" t="s">
        <v>296</v>
      </c>
      <c r="F203" s="8" t="n">
        <v>45473</v>
      </c>
    </row>
    <row r="204" customFormat="false" ht="15" hidden="false" customHeight="false" outlineLevel="0" collapsed="false">
      <c r="D204" s="0" t="s">
        <v>314</v>
      </c>
      <c r="E204" s="0" t="s">
        <v>296</v>
      </c>
      <c r="F204" s="8" t="n">
        <v>46022</v>
      </c>
    </row>
    <row r="205" customFormat="false" ht="15" hidden="false" customHeight="false" outlineLevel="0" collapsed="false">
      <c r="D205" s="0" t="s">
        <v>315</v>
      </c>
      <c r="E205" s="0" t="s">
        <v>296</v>
      </c>
      <c r="F205" s="8" t="n">
        <v>45838</v>
      </c>
    </row>
    <row r="206" customFormat="false" ht="15" hidden="false" customHeight="false" outlineLevel="0" collapsed="false">
      <c r="D206" s="0" t="s">
        <v>316</v>
      </c>
      <c r="E206" s="0" t="s">
        <v>296</v>
      </c>
      <c r="F206" s="8" t="n">
        <v>46388</v>
      </c>
    </row>
    <row r="207" customFormat="false" ht="15" hidden="false" customHeight="false" outlineLevel="0" collapsed="false">
      <c r="D207" s="0" t="s">
        <v>317</v>
      </c>
      <c r="E207" s="0" t="s">
        <v>296</v>
      </c>
      <c r="F207" s="8" t="n">
        <v>46023</v>
      </c>
    </row>
    <row r="208" customFormat="false" ht="15" hidden="false" customHeight="false" outlineLevel="0" collapsed="false">
      <c r="D208" s="0" t="s">
        <v>318</v>
      </c>
      <c r="E208" s="0" t="s">
        <v>296</v>
      </c>
      <c r="F208" s="8" t="n">
        <v>47484</v>
      </c>
    </row>
    <row r="209" customFormat="false" ht="15" hidden="false" customHeight="false" outlineLevel="0" collapsed="false">
      <c r="B209" s="2" t="s">
        <v>319</v>
      </c>
    </row>
    <row r="210" customFormat="false" ht="15" hidden="false" customHeight="false" outlineLevel="0" collapsed="false">
      <c r="D210" s="0" t="s">
        <v>320</v>
      </c>
      <c r="E210" s="0" t="s">
        <v>321</v>
      </c>
      <c r="F210" s="7" t="n">
        <v>25</v>
      </c>
    </row>
    <row r="211" customFormat="false" ht="15" hidden="false" customHeight="false" outlineLevel="0" collapsed="false">
      <c r="D211" s="0" t="s">
        <v>322</v>
      </c>
      <c r="E211" s="0" t="s">
        <v>97</v>
      </c>
      <c r="F211" s="7" t="n">
        <v>12</v>
      </c>
    </row>
    <row r="212" customFormat="false" ht="15" hidden="false" customHeight="false" outlineLevel="0" collapsed="false">
      <c r="D212" s="0" t="s">
        <v>323</v>
      </c>
      <c r="E212" s="0" t="s">
        <v>324</v>
      </c>
      <c r="F212" s="7" t="n">
        <v>0.5</v>
      </c>
    </row>
    <row r="213" customFormat="false" ht="15" hidden="false" customHeight="false" outlineLevel="0" collapsed="false">
      <c r="D213" s="0" t="s">
        <v>325</v>
      </c>
      <c r="E213" s="0" t="s">
        <v>103</v>
      </c>
      <c r="F213" s="7" t="n">
        <v>7.5</v>
      </c>
    </row>
    <row r="214" customFormat="false" ht="15" hidden="false" customHeight="false" outlineLevel="0" collapsed="false">
      <c r="D214" s="0" t="s">
        <v>326</v>
      </c>
      <c r="E214" s="0" t="s">
        <v>103</v>
      </c>
      <c r="F214" s="7" t="n">
        <v>2.2</v>
      </c>
    </row>
    <row r="215" customFormat="false" ht="15" hidden="false" customHeight="false" outlineLevel="0" collapsed="false">
      <c r="D215" s="0" t="s">
        <v>327</v>
      </c>
      <c r="E215" s="0" t="s">
        <v>230</v>
      </c>
      <c r="F215" s="7" t="n">
        <v>730</v>
      </c>
    </row>
    <row r="216" customFormat="false" ht="15" hidden="false" customHeight="false" outlineLevel="0" collapsed="false">
      <c r="D216" s="0" t="s">
        <v>328</v>
      </c>
      <c r="E216" s="0" t="s">
        <v>103</v>
      </c>
      <c r="F216" s="7" t="n">
        <v>92</v>
      </c>
    </row>
    <row r="217" customFormat="false" ht="15" hidden="false" customHeight="false" outlineLevel="0" collapsed="false">
      <c r="D217" s="0" t="s">
        <v>329</v>
      </c>
      <c r="E217" s="0" t="s">
        <v>101</v>
      </c>
      <c r="F217" s="7" t="n">
        <v>3</v>
      </c>
    </row>
    <row r="218" customFormat="false" ht="15" hidden="false" customHeight="false" outlineLevel="0" collapsed="false">
      <c r="D218" s="0" t="s">
        <v>330</v>
      </c>
      <c r="E218" s="0" t="s">
        <v>109</v>
      </c>
      <c r="F218" s="7" t="n">
        <v>0.5</v>
      </c>
    </row>
    <row r="219" customFormat="false" ht="15" hidden="false" customHeight="false" outlineLevel="0" collapsed="false">
      <c r="D219" s="0" t="s">
        <v>331</v>
      </c>
      <c r="E219" s="0" t="s">
        <v>109</v>
      </c>
      <c r="F219" s="7" t="n">
        <v>0.7</v>
      </c>
    </row>
    <row r="220" customFormat="false" ht="15" hidden="false" customHeight="false" outlineLevel="0" collapsed="false">
      <c r="D220" s="0" t="s">
        <v>332</v>
      </c>
      <c r="E220" s="0" t="s">
        <v>321</v>
      </c>
      <c r="F220" s="7" t="n">
        <v>8</v>
      </c>
    </row>
    <row r="221" customFormat="false" ht="15" hidden="false" customHeight="false" outlineLevel="0" collapsed="false">
      <c r="D221" s="0" t="s">
        <v>333</v>
      </c>
      <c r="E221" s="0" t="s">
        <v>334</v>
      </c>
      <c r="F221" s="7" t="n">
        <v>7</v>
      </c>
    </row>
    <row r="222" customFormat="false" ht="15" hidden="false" customHeight="false" outlineLevel="0" collapsed="false">
      <c r="D222" s="0" t="s">
        <v>335</v>
      </c>
      <c r="E222" s="0" t="s">
        <v>336</v>
      </c>
      <c r="F222" s="7" t="n">
        <v>24</v>
      </c>
    </row>
    <row r="223" customFormat="false" ht="15" hidden="false" customHeight="false" outlineLevel="0" collapsed="false">
      <c r="D223" s="0" t="s">
        <v>337</v>
      </c>
      <c r="E223" s="0" t="s">
        <v>321</v>
      </c>
      <c r="F223" s="7" t="n">
        <v>8</v>
      </c>
    </row>
    <row r="224" customFormat="false" ht="15" hidden="false" customHeight="false" outlineLevel="0" collapsed="false">
      <c r="D224" s="0" t="s">
        <v>338</v>
      </c>
      <c r="E224" s="0" t="s">
        <v>321</v>
      </c>
      <c r="F224" s="7" t="n">
        <v>4</v>
      </c>
    </row>
    <row r="225" customFormat="false" ht="15" hidden="false" customHeight="false" outlineLevel="0" collapsed="false">
      <c r="D225" s="0" t="s">
        <v>339</v>
      </c>
      <c r="E225" s="0" t="s">
        <v>324</v>
      </c>
      <c r="F225" s="7" t="n">
        <v>6</v>
      </c>
    </row>
    <row r="226" customFormat="false" ht="15" hidden="false" customHeight="false" outlineLevel="0" collapsed="false">
      <c r="D226" s="0" t="s">
        <v>340</v>
      </c>
      <c r="E226" s="0" t="s">
        <v>97</v>
      </c>
      <c r="F226" s="7" t="n">
        <v>6</v>
      </c>
    </row>
    <row r="227" customFormat="false" ht="15" hidden="false" customHeight="false" outlineLevel="0" collapsed="false">
      <c r="D227" s="0" t="s">
        <v>341</v>
      </c>
      <c r="E227" s="0" t="s">
        <v>336</v>
      </c>
      <c r="F227" s="7" t="n">
        <v>20</v>
      </c>
    </row>
    <row r="228" customFormat="false" ht="15" hidden="false" customHeight="false" outlineLevel="0" collapsed="false">
      <c r="D228" s="0" t="s">
        <v>342</v>
      </c>
      <c r="E228" s="0" t="s">
        <v>321</v>
      </c>
      <c r="F228" s="7" t="n">
        <v>5</v>
      </c>
    </row>
    <row r="229" customFormat="false" ht="15" hidden="false" customHeight="false" outlineLevel="0" collapsed="false">
      <c r="D229" s="0" t="s">
        <v>343</v>
      </c>
      <c r="E229" s="0" t="s">
        <v>336</v>
      </c>
      <c r="F229" s="7" t="n">
        <v>8</v>
      </c>
    </row>
    <row r="230" customFormat="false" ht="15" hidden="false" customHeight="false" outlineLevel="0" collapsed="false">
      <c r="D230" s="0" t="s">
        <v>344</v>
      </c>
      <c r="E230" s="0" t="s">
        <v>345</v>
      </c>
      <c r="F230" s="7" t="n">
        <v>2016</v>
      </c>
    </row>
    <row r="231" customFormat="false" ht="15" hidden="false" customHeight="false" outlineLevel="0" collapsed="false">
      <c r="D231" s="0" t="s">
        <v>346</v>
      </c>
      <c r="E231" s="0" t="s">
        <v>334</v>
      </c>
      <c r="F231" s="7" t="n">
        <v>11</v>
      </c>
    </row>
    <row r="232" customFormat="false" ht="15" hidden="false" customHeight="false" outlineLevel="0" collapsed="false">
      <c r="D232" s="0" t="s">
        <v>347</v>
      </c>
      <c r="E232" s="0" t="s">
        <v>91</v>
      </c>
      <c r="F232" s="7" t="n">
        <v>100</v>
      </c>
    </row>
    <row r="233" customFormat="false" ht="15" hidden="false" customHeight="false" outlineLevel="0" collapsed="false">
      <c r="D233" s="0" t="s">
        <v>348</v>
      </c>
      <c r="E233" s="0" t="s">
        <v>334</v>
      </c>
      <c r="F233" s="7" t="n">
        <v>9</v>
      </c>
    </row>
    <row r="234" customFormat="false" ht="15" hidden="false" customHeight="false" outlineLevel="0" collapsed="false">
      <c r="D234" s="0" t="s">
        <v>349</v>
      </c>
      <c r="E234" s="0" t="s">
        <v>334</v>
      </c>
      <c r="F234" s="7" t="n">
        <v>3</v>
      </c>
    </row>
    <row r="235" customFormat="false" ht="15" hidden="false" customHeight="false" outlineLevel="0" collapsed="false">
      <c r="D235" s="0" t="s">
        <v>350</v>
      </c>
      <c r="E235" s="0" t="s">
        <v>334</v>
      </c>
      <c r="F235" s="7" t="n">
        <v>6</v>
      </c>
    </row>
    <row r="236" customFormat="false" ht="15" hidden="false" customHeight="false" outlineLevel="0" collapsed="false">
      <c r="D236" s="0" t="s">
        <v>351</v>
      </c>
      <c r="E236" s="0" t="s">
        <v>97</v>
      </c>
      <c r="F236" s="7" t="n">
        <v>3</v>
      </c>
    </row>
    <row r="237" customFormat="false" ht="15" hidden="false" customHeight="false" outlineLevel="0" collapsed="false">
      <c r="D237" s="0" t="s">
        <v>352</v>
      </c>
      <c r="E237" s="0" t="s">
        <v>97</v>
      </c>
      <c r="F237" s="7" t="n">
        <v>33</v>
      </c>
    </row>
    <row r="238" customFormat="false" ht="15" hidden="false" customHeight="false" outlineLevel="0" collapsed="false">
      <c r="D238" s="0" t="s">
        <v>353</v>
      </c>
      <c r="E238" s="0" t="s">
        <v>354</v>
      </c>
      <c r="F238" s="7" t="n">
        <v>7.5</v>
      </c>
    </row>
    <row r="239" customFormat="false" ht="15" hidden="false" customHeight="false" outlineLevel="0" collapsed="false">
      <c r="D239" s="0" t="s">
        <v>355</v>
      </c>
      <c r="E239" s="0" t="s">
        <v>103</v>
      </c>
      <c r="F239" s="7" t="n">
        <v>2.75</v>
      </c>
    </row>
    <row r="240" customFormat="false" ht="15" hidden="false" customHeight="false" outlineLevel="0" collapsed="false">
      <c r="D240" s="0" t="s">
        <v>356</v>
      </c>
      <c r="E240" s="0" t="s">
        <v>334</v>
      </c>
      <c r="F240" s="7" t="n">
        <v>34</v>
      </c>
    </row>
    <row r="241" customFormat="false" ht="15" hidden="false" customHeight="false" outlineLevel="0" collapsed="false">
      <c r="D241" s="0" t="s">
        <v>357</v>
      </c>
      <c r="E241" s="0" t="s">
        <v>334</v>
      </c>
      <c r="F241" s="7" t="n">
        <v>40</v>
      </c>
    </row>
    <row r="242" customFormat="false" ht="15" hidden="false" customHeight="false" outlineLevel="0" collapsed="false">
      <c r="D242" s="0" t="s">
        <v>358</v>
      </c>
      <c r="E242" s="0" t="s">
        <v>334</v>
      </c>
      <c r="F242" s="7" t="n">
        <v>18</v>
      </c>
    </row>
    <row r="243" customFormat="false" ht="15" hidden="false" customHeight="false" outlineLevel="0" collapsed="false">
      <c r="D243" s="0" t="s">
        <v>359</v>
      </c>
      <c r="E243" s="0" t="s">
        <v>109</v>
      </c>
      <c r="F243" s="7" t="n">
        <v>0.85</v>
      </c>
    </row>
    <row r="244" customFormat="false" ht="15" hidden="false" customHeight="false" outlineLevel="0" collapsed="false">
      <c r="D244" s="0" t="s">
        <v>360</v>
      </c>
      <c r="E244" s="0" t="s">
        <v>109</v>
      </c>
      <c r="F244" s="7" t="n">
        <v>0.7</v>
      </c>
    </row>
    <row r="245" customFormat="false" ht="15" hidden="false" customHeight="false" outlineLevel="0" collapsed="false">
      <c r="D245" s="0" t="s">
        <v>361</v>
      </c>
      <c r="E245" s="0" t="s">
        <v>334</v>
      </c>
      <c r="F245" s="7" t="n">
        <v>40</v>
      </c>
    </row>
    <row r="246" customFormat="false" ht="15" hidden="false" customHeight="false" outlineLevel="0" collapsed="false">
      <c r="D246" s="0" t="s">
        <v>362</v>
      </c>
      <c r="E246" s="0" t="s">
        <v>97</v>
      </c>
      <c r="F246" s="7" t="n">
        <v>9</v>
      </c>
    </row>
    <row r="247" customFormat="false" ht="15" hidden="false" customHeight="false" outlineLevel="0" collapsed="false">
      <c r="D247" s="0" t="s">
        <v>363</v>
      </c>
      <c r="E247" s="0" t="s">
        <v>111</v>
      </c>
      <c r="F247" s="7" t="n">
        <v>360</v>
      </c>
    </row>
    <row r="248" customFormat="false" ht="15" hidden="false" customHeight="false" outlineLevel="0" collapsed="false">
      <c r="D248" s="0" t="s">
        <v>364</v>
      </c>
      <c r="E248" s="0" t="s">
        <v>111</v>
      </c>
      <c r="F248" s="7" t="n">
        <v>365</v>
      </c>
    </row>
    <row r="249" customFormat="false" ht="15" hidden="false" customHeight="false" outlineLevel="0" collapsed="false">
      <c r="D249" s="0" t="s">
        <v>365</v>
      </c>
      <c r="E249" s="0" t="s">
        <v>109</v>
      </c>
      <c r="F249" s="7" t="n">
        <v>0.75</v>
      </c>
    </row>
    <row r="250" customFormat="false" ht="15" hidden="false" customHeight="false" outlineLevel="0" collapsed="false">
      <c r="D250" s="0" t="s">
        <v>366</v>
      </c>
      <c r="E250" s="0" t="s">
        <v>367</v>
      </c>
      <c r="F250" s="7" t="n">
        <v>4</v>
      </c>
    </row>
    <row r="251" customFormat="false" ht="15" hidden="false" customHeight="false" outlineLevel="0" collapsed="false">
      <c r="D251" s="0" t="s">
        <v>368</v>
      </c>
      <c r="E251" s="0" t="s">
        <v>149</v>
      </c>
      <c r="F251" s="7" t="n">
        <v>224.1</v>
      </c>
    </row>
    <row r="252" customFormat="false" ht="15" hidden="false" customHeight="false" outlineLevel="0" collapsed="false">
      <c r="D252" s="0" t="s">
        <v>369</v>
      </c>
      <c r="E252" s="0" t="s">
        <v>103</v>
      </c>
      <c r="F252" s="7" t="n">
        <v>16</v>
      </c>
    </row>
    <row r="253" customFormat="false" ht="15" hidden="false" customHeight="false" outlineLevel="0" collapsed="false">
      <c r="D253" s="0" t="s">
        <v>370</v>
      </c>
      <c r="E253" s="0" t="s">
        <v>149</v>
      </c>
      <c r="F253" s="7" t="n">
        <v>1E-009</v>
      </c>
    </row>
    <row r="254" customFormat="false" ht="15" hidden="false" customHeight="false" outlineLevel="0" collapsed="false">
      <c r="D254" s="0" t="s">
        <v>371</v>
      </c>
      <c r="E254" s="0" t="s">
        <v>149</v>
      </c>
      <c r="F254" s="7" t="n">
        <v>1E-006</v>
      </c>
    </row>
    <row r="255" customFormat="false" ht="15" hidden="false" customHeight="false" outlineLevel="0" collapsed="false">
      <c r="D255" s="0" t="s">
        <v>372</v>
      </c>
      <c r="E255" s="0" t="s">
        <v>109</v>
      </c>
      <c r="F255" s="7" t="n">
        <v>0.1</v>
      </c>
    </row>
    <row r="256" customFormat="false" ht="15" hidden="false" customHeight="false" outlineLevel="0" collapsed="false">
      <c r="D256" s="0" t="s">
        <v>373</v>
      </c>
      <c r="E256" s="0" t="s">
        <v>345</v>
      </c>
      <c r="F256" s="7" t="n">
        <v>2018</v>
      </c>
    </row>
    <row r="257" customFormat="false" ht="15" hidden="false" customHeight="false" outlineLevel="0" collapsed="false">
      <c r="D257" s="0" t="s">
        <v>374</v>
      </c>
      <c r="E257" s="0" t="s">
        <v>367</v>
      </c>
      <c r="F257" s="7" t="n">
        <v>2</v>
      </c>
    </row>
    <row r="258" customFormat="false" ht="15" hidden="false" customHeight="false" outlineLevel="0" collapsed="false">
      <c r="D258" s="0" t="s">
        <v>375</v>
      </c>
      <c r="E258" s="0" t="s">
        <v>367</v>
      </c>
      <c r="F258" s="7" t="n">
        <v>2</v>
      </c>
    </row>
    <row r="259" customFormat="false" ht="15" hidden="false" customHeight="false" outlineLevel="0" collapsed="false">
      <c r="D259" s="0" t="s">
        <v>376</v>
      </c>
      <c r="E259" s="0" t="s">
        <v>109</v>
      </c>
      <c r="F259" s="7" t="n">
        <v>0.75</v>
      </c>
    </row>
    <row r="260" customFormat="false" ht="15" hidden="false" customHeight="false" outlineLevel="0" collapsed="false">
      <c r="D260" s="0" t="s">
        <v>377</v>
      </c>
      <c r="E260" s="0" t="s">
        <v>149</v>
      </c>
      <c r="F260" s="7" t="n">
        <v>0.001</v>
      </c>
    </row>
    <row r="261" customFormat="false" ht="15" hidden="false" customHeight="false" outlineLevel="0" collapsed="false">
      <c r="B261" s="2" t="s">
        <v>378</v>
      </c>
    </row>
    <row r="262" customFormat="false" ht="15" hidden="false" customHeight="false" outlineLevel="0" collapsed="false">
      <c r="D262" s="0" t="s">
        <v>379</v>
      </c>
      <c r="E262" s="0" t="s">
        <v>109</v>
      </c>
      <c r="F262" s="7" t="n">
        <v>0.8</v>
      </c>
    </row>
    <row r="263" customFormat="false" ht="15" hidden="false" customHeight="false" outlineLevel="0" collapsed="false">
      <c r="D263" s="0" t="s">
        <v>380</v>
      </c>
      <c r="E263" s="0" t="s">
        <v>103</v>
      </c>
      <c r="F263" s="7" t="n">
        <v>2</v>
      </c>
    </row>
    <row r="264" customFormat="false" ht="15" hidden="false" customHeight="false" outlineLevel="0" collapsed="false">
      <c r="D264" s="0" t="s">
        <v>381</v>
      </c>
      <c r="E264" s="0" t="s">
        <v>109</v>
      </c>
      <c r="F264" s="7" t="n">
        <v>0.6</v>
      </c>
    </row>
    <row r="265" customFormat="false" ht="15" hidden="false" customHeight="false" outlineLevel="0" collapsed="false">
      <c r="D265" s="0" t="s">
        <v>382</v>
      </c>
      <c r="E265" s="0" t="s">
        <v>149</v>
      </c>
      <c r="F265" s="7" t="n">
        <v>10.1393</v>
      </c>
    </row>
    <row r="266" customFormat="false" ht="15" hidden="false" customHeight="false" outlineLevel="0" collapsed="false">
      <c r="D266" s="0" t="s">
        <v>383</v>
      </c>
      <c r="E266" s="0" t="s">
        <v>149</v>
      </c>
      <c r="F266" s="7" t="n">
        <v>7.0804</v>
      </c>
    </row>
    <row r="267" customFormat="false" ht="15" hidden="false" customHeight="false" outlineLevel="0" collapsed="false">
      <c r="D267" s="0" t="s">
        <v>384</v>
      </c>
      <c r="E267" s="0" t="s">
        <v>149</v>
      </c>
      <c r="F267" s="7" t="n">
        <v>18.485</v>
      </c>
    </row>
    <row r="268" customFormat="false" ht="15" hidden="false" customHeight="false" outlineLevel="0" collapsed="false">
      <c r="D268" s="0" t="s">
        <v>385</v>
      </c>
      <c r="E268" s="0" t="s">
        <v>386</v>
      </c>
      <c r="F268" s="7" t="n">
        <v>0.25</v>
      </c>
    </row>
    <row r="269" customFormat="false" ht="15" hidden="false" customHeight="false" outlineLevel="0" collapsed="false">
      <c r="D269" s="0" t="s">
        <v>387</v>
      </c>
      <c r="E269" s="0" t="s">
        <v>103</v>
      </c>
      <c r="F269" s="7" t="n">
        <v>0.5</v>
      </c>
    </row>
    <row r="270" customFormat="false" ht="15" hidden="false" customHeight="false" outlineLevel="0" collapsed="false">
      <c r="D270" s="0" t="s">
        <v>388</v>
      </c>
      <c r="E270" s="0" t="s">
        <v>109</v>
      </c>
      <c r="F270" s="7" t="n">
        <v>0.6</v>
      </c>
    </row>
    <row r="271" customFormat="false" ht="15" hidden="false" customHeight="false" outlineLevel="0" collapsed="false">
      <c r="D271" s="0" t="s">
        <v>389</v>
      </c>
      <c r="E271" s="0" t="s">
        <v>103</v>
      </c>
      <c r="F271" s="7" t="n">
        <v>7.875</v>
      </c>
    </row>
    <row r="272" customFormat="false" ht="15" hidden="false" customHeight="false" outlineLevel="0" collapsed="false">
      <c r="D272" s="0" t="s">
        <v>390</v>
      </c>
      <c r="E272" s="0" t="s">
        <v>109</v>
      </c>
      <c r="F272" s="7" t="n">
        <v>0.99512</v>
      </c>
    </row>
    <row r="273" customFormat="false" ht="15" hidden="false" customHeight="false" outlineLevel="0" collapsed="false">
      <c r="D273" s="0" t="s">
        <v>391</v>
      </c>
      <c r="E273" s="0" t="s">
        <v>109</v>
      </c>
      <c r="F273" s="7" t="n">
        <v>0.01</v>
      </c>
    </row>
    <row r="274" customFormat="false" ht="15" hidden="false" customHeight="false" outlineLevel="0" collapsed="false">
      <c r="D274" s="0" t="s">
        <v>392</v>
      </c>
      <c r="E274" s="0" t="s">
        <v>149</v>
      </c>
      <c r="F274" s="7" t="n">
        <v>3.1</v>
      </c>
    </row>
    <row r="275" customFormat="false" ht="15" hidden="false" customHeight="false" outlineLevel="0" collapsed="false">
      <c r="D275" s="0" t="s">
        <v>393</v>
      </c>
      <c r="E275" s="0" t="s">
        <v>149</v>
      </c>
      <c r="F275" s="7" t="n">
        <v>95</v>
      </c>
    </row>
    <row r="276" customFormat="false" ht="15" hidden="false" customHeight="false" outlineLevel="0" collapsed="false">
      <c r="D276" s="0" t="s">
        <v>394</v>
      </c>
      <c r="E276" s="0" t="s">
        <v>180</v>
      </c>
      <c r="F276" s="7" t="n">
        <v>1.1</v>
      </c>
    </row>
    <row r="277" customFormat="false" ht="15" hidden="false" customHeight="false" outlineLevel="0" collapsed="false">
      <c r="D277" s="0" t="s">
        <v>395</v>
      </c>
      <c r="E277" s="0" t="s">
        <v>103</v>
      </c>
      <c r="F277" s="7" t="n">
        <v>0.75</v>
      </c>
    </row>
    <row r="278" customFormat="false" ht="15" hidden="false" customHeight="false" outlineLevel="0" collapsed="false">
      <c r="D278" s="0" t="s">
        <v>396</v>
      </c>
      <c r="E278" s="0" t="s">
        <v>103</v>
      </c>
      <c r="F278" s="7" t="n">
        <v>3.68</v>
      </c>
    </row>
    <row r="279" customFormat="false" ht="15" hidden="false" customHeight="false" outlineLevel="0" collapsed="false">
      <c r="D279" s="0" t="s">
        <v>397</v>
      </c>
      <c r="E279" s="0" t="s">
        <v>109</v>
      </c>
      <c r="F279" s="7" t="n">
        <v>0.48</v>
      </c>
    </row>
    <row r="280" customFormat="false" ht="15" hidden="false" customHeight="false" outlineLevel="0" collapsed="false">
      <c r="D280" s="0" t="s">
        <v>398</v>
      </c>
      <c r="E280" s="0" t="s">
        <v>109</v>
      </c>
      <c r="F280" s="7" t="n">
        <v>0.52</v>
      </c>
    </row>
    <row r="281" customFormat="false" ht="15" hidden="false" customHeight="false" outlineLevel="0" collapsed="false">
      <c r="B281" s="2" t="s">
        <v>399</v>
      </c>
    </row>
    <row r="282" customFormat="false" ht="15" hidden="false" customHeight="false" outlineLevel="0" collapsed="false">
      <c r="D282" s="0" t="s">
        <v>400</v>
      </c>
      <c r="E282" s="0" t="s">
        <v>345</v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 customFormat="false" ht="15" hidden="false" customHeight="false" outlineLevel="0" collapsed="false">
      <c r="D283" s="0" t="s">
        <v>401</v>
      </c>
      <c r="E283" s="0" t="s">
        <v>103</v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 customFormat="false" ht="15" hidden="false" customHeight="false" outlineLevel="0" collapsed="false">
      <c r="D284" s="0" t="s">
        <v>402</v>
      </c>
      <c r="E284" s="0" t="s">
        <v>103</v>
      </c>
      <c r="J284" s="5" t="n">
        <v>8.7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 customFormat="false" ht="15" hidden="false" customHeight="false" outlineLevel="0" collapsed="false">
      <c r="D285" s="0" t="s">
        <v>403</v>
      </c>
      <c r="E285" s="0" t="s">
        <v>103</v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 customFormat="false" ht="15" hidden="false" customHeight="false" outlineLevel="0" collapsed="false">
      <c r="D286" s="0" t="s">
        <v>404</v>
      </c>
      <c r="E286" s="0" t="s">
        <v>103</v>
      </c>
      <c r="J286" s="5" t="n">
        <v>8.7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 customFormat="false" ht="15" hidden="false" customHeight="false" outlineLevel="0" collapsed="false">
      <c r="D287" s="0" t="s">
        <v>405</v>
      </c>
      <c r="E287" s="0" t="s">
        <v>103</v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 customFormat="false" ht="15" hidden="false" customHeight="false" outlineLevel="0" collapsed="false">
      <c r="D288" s="0" t="s">
        <v>406</v>
      </c>
      <c r="E288" s="0" t="s">
        <v>103</v>
      </c>
      <c r="J288" s="5" t="n">
        <v>8.7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 customFormat="false" ht="15" hidden="false" customHeight="false" outlineLevel="0" collapsed="false">
      <c r="D289" s="0" t="s">
        <v>407</v>
      </c>
      <c r="E289" s="0" t="s">
        <v>103</v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 customFormat="false" ht="15" hidden="false" customHeight="false" outlineLevel="0" collapsed="false">
      <c r="B290" s="2" t="s">
        <v>408</v>
      </c>
    </row>
    <row r="291" customFormat="false" ht="15" hidden="false" customHeight="false" outlineLevel="0" collapsed="false">
      <c r="D291" s="0" t="s">
        <v>409</v>
      </c>
      <c r="E291" s="0" t="s">
        <v>103</v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 customFormat="false" ht="15" hidden="false" customHeight="false" outlineLevel="0" collapsed="false">
      <c r="D292" s="0" t="s">
        <v>410</v>
      </c>
      <c r="E292" s="0" t="s">
        <v>103</v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 customFormat="false" ht="15" hidden="false" customHeight="false" outlineLevel="0" collapsed="false">
      <c r="D293" s="0" t="s">
        <v>411</v>
      </c>
      <c r="E293" s="0" t="s">
        <v>103</v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 customFormat="false" ht="15" hidden="false" customHeight="false" outlineLevel="0" collapsed="false">
      <c r="D294" s="0" t="s">
        <v>412</v>
      </c>
      <c r="E294" s="0" t="s">
        <v>153</v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 customFormat="false" ht="15" hidden="false" customHeight="false" outlineLevel="0" collapsed="false">
      <c r="D295" s="0" t="s">
        <v>413</v>
      </c>
      <c r="E295" s="0" t="s">
        <v>149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 customFormat="false" ht="15" hidden="false" customHeight="false" outlineLevel="0" collapsed="false">
      <c r="D296" s="0" t="s">
        <v>414</v>
      </c>
      <c r="E296" s="0" t="s">
        <v>149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 customFormat="false" ht="15" hidden="false" customHeight="false" outlineLevel="0" collapsed="false">
      <c r="D297" s="0" t="s">
        <v>415</v>
      </c>
      <c r="E297" s="0" t="s">
        <v>109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 customFormat="false" ht="15" hidden="false" customHeight="false" outlineLevel="0" collapsed="false">
      <c r="D298" s="0" t="s">
        <v>416</v>
      </c>
      <c r="E298" s="0" t="s">
        <v>109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</v>
      </c>
      <c r="Q298" s="5" t="n">
        <v>0.0254956399199363</v>
      </c>
      <c r="R298" s="5" t="n">
        <v>0.0267515222906662</v>
      </c>
      <c r="S298" s="5" t="n">
        <v>0.0275398463746851</v>
      </c>
      <c r="T298" s="5" t="n">
        <v>0.0288066694390464</v>
      </c>
      <c r="U298" s="5" t="n">
        <v>0.0297253648392077</v>
      </c>
      <c r="V298" s="5" t="n">
        <v>0.0316673019225092</v>
      </c>
      <c r="W298" s="5" t="n">
        <v>0.0326353519070817</v>
      </c>
      <c r="X298" s="5" t="n">
        <v>0.0317294685115491</v>
      </c>
      <c r="Y298" s="5" t="n">
        <v>0.0317443987963029</v>
      </c>
      <c r="Z298" s="5" t="n">
        <v>0.0330595043187038</v>
      </c>
      <c r="AA298" s="5" t="n">
        <v>0.0340242635392698</v>
      </c>
      <c r="AB298" s="5" t="n">
        <v>0.035649748512346</v>
      </c>
      <c r="AC298" s="5" t="n">
        <v>0.036830769646369</v>
      </c>
      <c r="AD298" s="5" t="n">
        <v>0.0402165127561107</v>
      </c>
      <c r="AE298" s="5" t="n">
        <v>0.0419450401653678</v>
      </c>
      <c r="AF298" s="5" t="n">
        <v>0.0434165471296656</v>
      </c>
      <c r="AG298" s="5" t="n">
        <v>0.0442268395359645</v>
      </c>
      <c r="AH298" s="5" t="n">
        <v>0.0464470950071792</v>
      </c>
      <c r="AI298" s="5" t="n">
        <v>0.0478108988283702</v>
      </c>
      <c r="AJ298" s="5" t="n">
        <v>0.0501190973065472</v>
      </c>
      <c r="AK298" s="5" t="n">
        <v>0.0517413637371501</v>
      </c>
      <c r="AL298" s="5" t="n">
        <v>0.0548633733406637</v>
      </c>
      <c r="AM298" s="5" t="n">
        <v>0.0560037067338176</v>
      </c>
      <c r="AN298" s="5" t="n">
        <v>0.0462023932183935</v>
      </c>
      <c r="AO298" s="5" t="n">
        <v>0.0468868501087888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 customFormat="false" ht="15" hidden="false" customHeight="false" outlineLevel="0" collapsed="false">
      <c r="D299" s="0" t="s">
        <v>417</v>
      </c>
      <c r="E299" s="0" t="s">
        <v>109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0.0249212166711209</v>
      </c>
      <c r="R299" s="5" t="n">
        <v>0.0266466004704004</v>
      </c>
      <c r="S299" s="5" t="n">
        <v>0.0275960445846777</v>
      </c>
      <c r="T299" s="5" t="n">
        <v>0.0288882506495965</v>
      </c>
      <c r="U299" s="5" t="n">
        <v>0.0296987112931962</v>
      </c>
      <c r="V299" s="5" t="n">
        <v>0.0310588576856184</v>
      </c>
      <c r="W299" s="5" t="n">
        <v>0.0327770673001025</v>
      </c>
      <c r="X299" s="5" t="n">
        <v>0.034279561122008</v>
      </c>
      <c r="Y299" s="5" t="n">
        <v>0.0318535235124711</v>
      </c>
      <c r="Z299" s="5" t="n">
        <v>0.0333514411257053</v>
      </c>
      <c r="AA299" s="5" t="n">
        <v>0.0340488277867749</v>
      </c>
      <c r="AB299" s="5" t="n">
        <v>0.0357056960010596</v>
      </c>
      <c r="AC299" s="5" t="n">
        <v>0.0367209101989231</v>
      </c>
      <c r="AD299" s="5" t="n">
        <v>0.0384689461355592</v>
      </c>
      <c r="AE299" s="5" t="n">
        <v>0.0415843849261383</v>
      </c>
      <c r="AF299" s="5" t="n">
        <v>0.0438224099131048</v>
      </c>
      <c r="AG299" s="5" t="n">
        <v>0.0441394906135041</v>
      </c>
      <c r="AH299" s="5" t="n">
        <v>0.0464208722331683</v>
      </c>
      <c r="AI299" s="5" t="n">
        <v>0.0478723213739675</v>
      </c>
      <c r="AJ299" s="5" t="n">
        <v>0.0502195640539474</v>
      </c>
      <c r="AK299" s="5" t="n">
        <v>0.0517089180255774</v>
      </c>
      <c r="AL299" s="5" t="n">
        <v>0.0541382044749565</v>
      </c>
      <c r="AM299" s="5" t="n">
        <v>0.0566614938231395</v>
      </c>
      <c r="AN299" s="5" t="n">
        <v>0.0594010445608311</v>
      </c>
      <c r="AO299" s="5" t="n">
        <v>0.0580156414644526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 customFormat="false" ht="15" hidden="false" customHeight="false" outlineLevel="0" collapsed="false">
      <c r="D300" s="0" t="s">
        <v>418</v>
      </c>
      <c r="E300" s="0" t="s">
        <v>109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0.0110928117058436</v>
      </c>
      <c r="Y300" s="5" t="n">
        <v>0.0161119282116736</v>
      </c>
      <c r="Z300" s="5" t="n">
        <v>0.0176162597995061</v>
      </c>
      <c r="AA300" s="5" t="n">
        <v>0.0175609036508394</v>
      </c>
      <c r="AB300" s="5" t="n">
        <v>0.0188807521848338</v>
      </c>
      <c r="AC300" s="5" t="n">
        <v>0.0189083405972589</v>
      </c>
      <c r="AD300" s="5" t="n">
        <v>0.0200242769192561</v>
      </c>
      <c r="AE300" s="5" t="n">
        <v>0.0220425537786885</v>
      </c>
      <c r="AF300" s="5" t="n">
        <v>0.0235364103397422</v>
      </c>
      <c r="AG300" s="5" t="n">
        <v>0.023762004055041</v>
      </c>
      <c r="AH300" s="5" t="n">
        <v>0.0251440584789066</v>
      </c>
      <c r="AI300" s="5" t="n">
        <v>0.0252274291704193</v>
      </c>
      <c r="AJ300" s="5" t="n">
        <v>0.0264963383554067</v>
      </c>
      <c r="AK300" s="5" t="n">
        <v>0.026611924416587</v>
      </c>
      <c r="AL300" s="5" t="n">
        <v>0.0277342733360669</v>
      </c>
      <c r="AM300" s="5" t="n">
        <v>0.0287404328314695</v>
      </c>
      <c r="AN300" s="5" t="n">
        <v>0.0299976714643956</v>
      </c>
      <c r="AO300" s="5" t="n">
        <v>0.0269687043518038</v>
      </c>
      <c r="AP300" s="5" t="n">
        <v>0.0936767169420366</v>
      </c>
      <c r="AQ300" s="5" t="n">
        <v>0.088961972417656</v>
      </c>
      <c r="AR300" s="5" t="n">
        <v>0.0936145845829308</v>
      </c>
      <c r="AS300" s="5" t="n">
        <v>0.0957636713551492</v>
      </c>
      <c r="AT300" s="5" t="n">
        <v>0.100345200848589</v>
      </c>
      <c r="AU300" s="5" t="n">
        <v>0.121180780205897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 customFormat="false" ht="15" hidden="false" customHeight="false" outlineLevel="0" collapsed="false">
      <c r="D301" s="0" t="s">
        <v>419</v>
      </c>
      <c r="E301" s="0" t="s">
        <v>149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</v>
      </c>
      <c r="Q301" s="5" t="n">
        <v>494.213008227051</v>
      </c>
      <c r="R301" s="5" t="n">
        <v>481.296795172962</v>
      </c>
      <c r="S301" s="5" t="n">
        <v>467.74434610667</v>
      </c>
      <c r="T301" s="5" t="n">
        <v>453.792528291179</v>
      </c>
      <c r="U301" s="5" t="n">
        <v>439.198931855794</v>
      </c>
      <c r="V301" s="5" t="n">
        <v>424.13991993927</v>
      </c>
      <c r="W301" s="5" t="n">
        <v>408.097113413773</v>
      </c>
      <c r="X301" s="5" t="n">
        <v>391.563888138755</v>
      </c>
      <c r="Y301" s="5" t="n">
        <v>375.48958772209</v>
      </c>
      <c r="Z301" s="5" t="n">
        <v>359.407723551801</v>
      </c>
      <c r="AA301" s="5" t="n">
        <v>342.659620637583</v>
      </c>
      <c r="AB301" s="5" t="n">
        <v>325.42276609062</v>
      </c>
      <c r="AC301" s="5" t="n">
        <v>307.362433086384</v>
      </c>
      <c r="AD301" s="5" t="n">
        <v>288.703789130302</v>
      </c>
      <c r="AE301" s="5" t="n">
        <v>268.329911530774</v>
      </c>
      <c r="AF301" s="5" t="n">
        <v>247.080353683255</v>
      </c>
      <c r="AG301" s="5" t="n">
        <v>225.085323373733</v>
      </c>
      <c r="AH301" s="5" t="n">
        <v>202.679795057935</v>
      </c>
      <c r="AI301" s="5" t="n">
        <v>179.149474707469</v>
      </c>
      <c r="AJ301" s="5" t="n">
        <v>154.928244822126</v>
      </c>
      <c r="AK301" s="5" t="n">
        <v>129.537670554414</v>
      </c>
      <c r="AL301" s="5" t="n">
        <v>103.325248358431</v>
      </c>
      <c r="AM301" s="5" t="n">
        <v>75.5312011739189</v>
      </c>
      <c r="AN301" s="5" t="n">
        <v>47.1594556415751</v>
      </c>
      <c r="AO301" s="5" t="n">
        <v>23.7531023869967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 customFormat="false" ht="15" hidden="false" customHeight="false" outlineLevel="0" collapsed="false">
      <c r="D302" s="0" t="s">
        <v>420</v>
      </c>
      <c r="E302" s="0" t="s">
        <v>103</v>
      </c>
      <c r="J302" s="5" t="n">
        <v>93.8</v>
      </c>
      <c r="K302" s="5" t="n">
        <v>92.9</v>
      </c>
      <c r="L302" s="5" t="n">
        <v>93.8</v>
      </c>
      <c r="M302" s="5" t="n">
        <v>90.6</v>
      </c>
      <c r="N302" s="5" t="n">
        <v>93.8</v>
      </c>
      <c r="O302" s="5" t="n">
        <v>92.9</v>
      </c>
      <c r="P302" s="5" t="n">
        <v>93.8</v>
      </c>
      <c r="Q302" s="5" t="n">
        <v>88.7</v>
      </c>
    </row>
    <row r="303" customFormat="false" ht="15" hidden="false" customHeight="false" outlineLevel="0" collapsed="false">
      <c r="D303" s="0" t="s">
        <v>421</v>
      </c>
      <c r="E303" s="0" t="s">
        <v>103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 customFormat="false" ht="15" hidden="false" customHeight="false" outlineLevel="0" collapsed="false">
      <c r="B304" s="2" t="s">
        <v>422</v>
      </c>
    </row>
    <row r="305" customFormat="false" ht="15" hidden="false" customHeight="false" outlineLevel="0" collapsed="false">
      <c r="D305" s="0" t="s">
        <v>423</v>
      </c>
      <c r="E305" s="0" t="s">
        <v>103</v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 customFormat="false" ht="15" hidden="false" customHeight="false" outlineLevel="0" collapsed="false">
      <c r="D306" s="0" t="s">
        <v>424</v>
      </c>
      <c r="E306" s="0" t="s">
        <v>103</v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 customFormat="false" ht="15" hidden="false" customHeight="false" outlineLevel="0" collapsed="false">
      <c r="D307" s="0" t="s">
        <v>425</v>
      </c>
      <c r="E307" s="0" t="s">
        <v>103</v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 customFormat="false" ht="15" hidden="false" customHeight="false" outlineLevel="0" collapsed="false">
      <c r="D308" s="0" t="s">
        <v>426</v>
      </c>
      <c r="E308" s="0" t="s">
        <v>149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1.90916666666667</v>
      </c>
      <c r="AK308" s="5" t="n">
        <v>1.90916666666667</v>
      </c>
      <c r="AL308" s="5" t="n">
        <v>1.90916666666667</v>
      </c>
      <c r="AM308" s="5" t="n">
        <v>2.45416666666667</v>
      </c>
      <c r="AN308" s="5" t="n">
        <v>2.45416666666667</v>
      </c>
      <c r="AO308" s="5" t="n">
        <v>2.45416666666667</v>
      </c>
      <c r="AP308" s="5" t="n">
        <v>0.545</v>
      </c>
      <c r="AQ308" s="5" t="n">
        <v>8.11214285714286</v>
      </c>
      <c r="AR308" s="5" t="n">
        <v>6.69214285714286</v>
      </c>
      <c r="AS308" s="5" t="n">
        <v>7.14714285714286</v>
      </c>
      <c r="AT308" s="5" t="n">
        <v>6.14714285714286</v>
      </c>
      <c r="AU308" s="5" t="n">
        <v>8.78714285714286</v>
      </c>
      <c r="AV308" s="5" t="n">
        <v>6.83214285714286</v>
      </c>
      <c r="AW308" s="5" t="n">
        <v>15.1021428571429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 customFormat="false" ht="15" hidden="false" customHeight="false" outlineLevel="0" collapsed="false">
      <c r="D309" s="0" t="s">
        <v>427</v>
      </c>
      <c r="E309" s="0" t="s">
        <v>149</v>
      </c>
      <c r="J309" s="5" t="n">
        <v>0</v>
      </c>
      <c r="K309" s="5" t="n">
        <v>72.038294745219</v>
      </c>
      <c r="L309" s="5" t="n">
        <v>73.5188727634301</v>
      </c>
      <c r="M309" s="5" t="n">
        <v>75.4061755390283</v>
      </c>
      <c r="N309" s="5" t="n">
        <v>78.0742147371756</v>
      </c>
      <c r="O309" s="5" t="n">
        <v>81.9159930804807</v>
      </c>
      <c r="P309" s="5" t="n">
        <v>87.2100026806785</v>
      </c>
      <c r="Q309" s="5" t="n">
        <v>94.1161870320207</v>
      </c>
      <c r="R309" s="5" t="n">
        <v>102.882341590788</v>
      </c>
      <c r="S309" s="5" t="n">
        <v>113.502241333422</v>
      </c>
      <c r="T309" s="5" t="n">
        <v>126.009719559759</v>
      </c>
      <c r="U309" s="5" t="n">
        <v>140.283618220881</v>
      </c>
      <c r="V309" s="5" t="n">
        <v>156.251143836047</v>
      </c>
      <c r="W309" s="5" t="n">
        <v>173.70770245687</v>
      </c>
      <c r="X309" s="5" t="n">
        <v>192.40256095453</v>
      </c>
      <c r="Y309" s="5" t="n">
        <v>212.12249619229</v>
      </c>
      <c r="Z309" s="5" t="n">
        <v>232.524998799284</v>
      </c>
      <c r="AA309" s="5" t="n">
        <v>253.355055082995</v>
      </c>
      <c r="AB309" s="5" t="n">
        <v>274.962511213658</v>
      </c>
      <c r="AC309" s="5" t="n">
        <v>295.573347969675</v>
      </c>
      <c r="AD309" s="5" t="n">
        <v>315.694288641713</v>
      </c>
      <c r="AE309" s="5" t="n">
        <v>334.928570701731</v>
      </c>
      <c r="AF309" s="5" t="n">
        <v>353.076211300926</v>
      </c>
      <c r="AG309" s="5" t="n">
        <v>369.827085578369</v>
      </c>
      <c r="AH309" s="5" t="n">
        <v>385.065863152433</v>
      </c>
      <c r="AI309" s="5" t="n">
        <v>398.61005725205</v>
      </c>
      <c r="AJ309" s="5" t="n">
        <v>410.334188843346</v>
      </c>
      <c r="AK309" s="5" t="n">
        <v>420.301584953568</v>
      </c>
      <c r="AL309" s="5" t="n">
        <v>428.480478068478</v>
      </c>
      <c r="AM309" s="5" t="n">
        <v>435.083252022206</v>
      </c>
      <c r="AN309" s="5" t="n">
        <v>440.274336168893</v>
      </c>
      <c r="AO309" s="5" t="n">
        <v>444.202704163639</v>
      </c>
      <c r="AP309" s="5" t="n">
        <v>447.481635057216</v>
      </c>
      <c r="AQ309" s="5" t="n">
        <v>479.624991969377</v>
      </c>
      <c r="AR309" s="5" t="n">
        <v>504.400258343845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428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296</v>
      </c>
      <c r="F8" s="9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320</v>
      </c>
      <c r="E9" s="0" t="s">
        <v>97</v>
      </c>
      <c r="F9" s="10" t="n">
        <f aca="false">Inputs!$F$210*12</f>
        <v>300</v>
      </c>
    </row>
    <row r="10" customFormat="false" ht="15" hidden="false" customHeight="false" outlineLevel="0" collapsed="false">
      <c r="D10" s="0" t="s">
        <v>432</v>
      </c>
      <c r="E10" s="0" t="s">
        <v>296</v>
      </c>
      <c r="F10" s="9" t="n">
        <f aca="false">EDATE(Time!$F$8,Time!$F$9)-1</f>
        <v>53447</v>
      </c>
    </row>
    <row r="11" customFormat="false" ht="15" hidden="false" customHeight="false" outlineLevel="0" collapsed="false">
      <c r="D11" s="0" t="s">
        <v>433</v>
      </c>
      <c r="E11" s="0" t="s">
        <v>97</v>
      </c>
      <c r="F11" s="10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434</v>
      </c>
      <c r="E12" s="0" t="s">
        <v>91</v>
      </c>
      <c r="F12" s="10" t="n">
        <f aca="false">MATCH($F$8,$J$22:$BN$22,1)</f>
        <v>6</v>
      </c>
    </row>
    <row r="13" customFormat="false" ht="15" hidden="false" customHeight="false" outlineLevel="0" collapsed="false">
      <c r="D13" s="0" t="s">
        <v>435</v>
      </c>
      <c r="E13" s="0" t="s">
        <v>91</v>
      </c>
      <c r="F13" s="10" t="n">
        <f aca="false">Time!$F$12+1</f>
        <v>7</v>
      </c>
    </row>
    <row r="14" customFormat="false" ht="15" hidden="false" customHeight="false" outlineLevel="0" collapsed="false">
      <c r="D14" s="0" t="s">
        <v>436</v>
      </c>
      <c r="E14" s="0" t="s">
        <v>91</v>
      </c>
      <c r="F14" s="10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437</v>
      </c>
      <c r="E15" s="0" t="s">
        <v>91</v>
      </c>
      <c r="F15" s="10" t="n">
        <f aca="false">SUMPRODUCT($J$37:$BN$37,$J$20:$BN$20)</f>
        <v>56</v>
      </c>
    </row>
    <row r="16" customFormat="false" ht="15" hidden="false" customHeight="false" outlineLevel="0" collapsed="false">
      <c r="D16" s="0" t="s">
        <v>438</v>
      </c>
      <c r="E16" s="0" t="s">
        <v>99</v>
      </c>
      <c r="F16" s="11" t="n">
        <f aca="false">(1+Inputs!$F$213/100)/(1+Inputs!$F$214/100)</f>
        <v>1.05185909980431</v>
      </c>
    </row>
    <row r="17" customFormat="false" ht="15" hidden="false" customHeight="false" outlineLevel="0" collapsed="false">
      <c r="D17" s="0" t="s">
        <v>439</v>
      </c>
      <c r="E17" s="0" t="s">
        <v>91</v>
      </c>
      <c r="F17" s="10" t="n">
        <f aca="false">MATCH(Inputs!$F$205,$J$23:$BN$23,0)</f>
        <v>14</v>
      </c>
    </row>
    <row r="18" customFormat="false" ht="15" hidden="false" customHeight="false" outlineLevel="0" collapsed="false">
      <c r="D18" s="0" t="s">
        <v>440</v>
      </c>
      <c r="E18" s="0" t="s">
        <v>91</v>
      </c>
      <c r="F18" s="10" t="n">
        <f aca="false">MATCH(Inputs!$F$200,$J$23:$BN$23,0)</f>
        <v>11</v>
      </c>
    </row>
    <row r="19" customFormat="false" ht="15" hidden="false" customHeight="false" outlineLevel="0" collapsed="false">
      <c r="B19" s="2" t="s">
        <v>441</v>
      </c>
    </row>
    <row r="20" customFormat="false" ht="15" hidden="false" customHeight="false" outlineLevel="0" collapsed="false">
      <c r="D20" s="0" t="s">
        <v>442</v>
      </c>
      <c r="E20" s="0" t="s">
        <v>91</v>
      </c>
      <c r="J20" s="10" t="n">
        <f aca="false">I20+1</f>
        <v>1</v>
      </c>
      <c r="K20" s="10" t="n">
        <f aca="false">J20+1</f>
        <v>2</v>
      </c>
      <c r="L20" s="10" t="n">
        <f aca="false">K20+1</f>
        <v>3</v>
      </c>
      <c r="M20" s="10" t="n">
        <f aca="false">L20+1</f>
        <v>4</v>
      </c>
      <c r="N20" s="10" t="n">
        <f aca="false">M20+1</f>
        <v>5</v>
      </c>
      <c r="O20" s="10" t="n">
        <f aca="false">N20+1</f>
        <v>6</v>
      </c>
      <c r="P20" s="10" t="n">
        <f aca="false">O20+1</f>
        <v>7</v>
      </c>
      <c r="Q20" s="10" t="n">
        <f aca="false">P20+1</f>
        <v>8</v>
      </c>
      <c r="R20" s="10" t="n">
        <f aca="false">Q20+1</f>
        <v>9</v>
      </c>
      <c r="S20" s="10" t="n">
        <f aca="false">R20+1</f>
        <v>10</v>
      </c>
      <c r="T20" s="10" t="n">
        <f aca="false">S20+1</f>
        <v>11</v>
      </c>
      <c r="U20" s="10" t="n">
        <f aca="false">T20+1</f>
        <v>12</v>
      </c>
      <c r="V20" s="10" t="n">
        <f aca="false">U20+1</f>
        <v>13</v>
      </c>
      <c r="W20" s="10" t="n">
        <f aca="false">V20+1</f>
        <v>14</v>
      </c>
      <c r="X20" s="10" t="n">
        <f aca="false">W20+1</f>
        <v>15</v>
      </c>
      <c r="Y20" s="10" t="n">
        <f aca="false">X20+1</f>
        <v>16</v>
      </c>
      <c r="Z20" s="10" t="n">
        <f aca="false">Y20+1</f>
        <v>17</v>
      </c>
      <c r="AA20" s="10" t="n">
        <f aca="false">Z20+1</f>
        <v>18</v>
      </c>
      <c r="AB20" s="10" t="n">
        <f aca="false">AA20+1</f>
        <v>19</v>
      </c>
      <c r="AC20" s="10" t="n">
        <f aca="false">AB20+1</f>
        <v>20</v>
      </c>
      <c r="AD20" s="10" t="n">
        <f aca="false">AC20+1</f>
        <v>21</v>
      </c>
      <c r="AE20" s="10" t="n">
        <f aca="false">AD20+1</f>
        <v>22</v>
      </c>
      <c r="AF20" s="10" t="n">
        <f aca="false">AE20+1</f>
        <v>23</v>
      </c>
      <c r="AG20" s="10" t="n">
        <f aca="false">AF20+1</f>
        <v>24</v>
      </c>
      <c r="AH20" s="10" t="n">
        <f aca="false">AG20+1</f>
        <v>25</v>
      </c>
      <c r="AI20" s="10" t="n">
        <f aca="false">AH20+1</f>
        <v>26</v>
      </c>
      <c r="AJ20" s="10" t="n">
        <f aca="false">AI20+1</f>
        <v>27</v>
      </c>
      <c r="AK20" s="10" t="n">
        <f aca="false">AJ20+1</f>
        <v>28</v>
      </c>
      <c r="AL20" s="10" t="n">
        <f aca="false">AK20+1</f>
        <v>29</v>
      </c>
      <c r="AM20" s="10" t="n">
        <f aca="false">AL20+1</f>
        <v>30</v>
      </c>
      <c r="AN20" s="10" t="n">
        <f aca="false">AM20+1</f>
        <v>31</v>
      </c>
      <c r="AO20" s="10" t="n">
        <f aca="false">AN20+1</f>
        <v>32</v>
      </c>
      <c r="AP20" s="10" t="n">
        <f aca="false">AO20+1</f>
        <v>33</v>
      </c>
      <c r="AQ20" s="10" t="n">
        <f aca="false">AP20+1</f>
        <v>34</v>
      </c>
      <c r="AR20" s="10" t="n">
        <f aca="false">AQ20+1</f>
        <v>35</v>
      </c>
      <c r="AS20" s="10" t="n">
        <f aca="false">AR20+1</f>
        <v>36</v>
      </c>
      <c r="AT20" s="10" t="n">
        <f aca="false">AS20+1</f>
        <v>37</v>
      </c>
      <c r="AU20" s="10" t="n">
        <f aca="false">AT20+1</f>
        <v>38</v>
      </c>
      <c r="AV20" s="10" t="n">
        <f aca="false">AU20+1</f>
        <v>39</v>
      </c>
      <c r="AW20" s="10" t="n">
        <f aca="false">AV20+1</f>
        <v>40</v>
      </c>
      <c r="AX20" s="10" t="n">
        <f aca="false">AW20+1</f>
        <v>41</v>
      </c>
      <c r="AY20" s="10" t="n">
        <f aca="false">AX20+1</f>
        <v>42</v>
      </c>
      <c r="AZ20" s="10" t="n">
        <f aca="false">AY20+1</f>
        <v>43</v>
      </c>
      <c r="BA20" s="10" t="n">
        <f aca="false">AZ20+1</f>
        <v>44</v>
      </c>
      <c r="BB20" s="10" t="n">
        <f aca="false">BA20+1</f>
        <v>45</v>
      </c>
      <c r="BC20" s="10" t="n">
        <f aca="false">BB20+1</f>
        <v>46</v>
      </c>
      <c r="BD20" s="10" t="n">
        <f aca="false">BC20+1</f>
        <v>47</v>
      </c>
      <c r="BE20" s="10" t="n">
        <f aca="false">BD20+1</f>
        <v>48</v>
      </c>
      <c r="BF20" s="10" t="n">
        <f aca="false">BE20+1</f>
        <v>49</v>
      </c>
      <c r="BG20" s="10" t="n">
        <f aca="false">BF20+1</f>
        <v>50</v>
      </c>
      <c r="BH20" s="10" t="n">
        <f aca="false">BG20+1</f>
        <v>51</v>
      </c>
      <c r="BI20" s="10" t="n">
        <f aca="false">BH20+1</f>
        <v>52</v>
      </c>
      <c r="BJ20" s="10" t="n">
        <f aca="false">BI20+1</f>
        <v>53</v>
      </c>
      <c r="BK20" s="10" t="n">
        <f aca="false">BJ20+1</f>
        <v>54</v>
      </c>
      <c r="BL20" s="10" t="n">
        <f aca="false">BK20+1</f>
        <v>55</v>
      </c>
      <c r="BM20" s="10" t="n">
        <f aca="false">BL20+1</f>
        <v>56</v>
      </c>
      <c r="BN20" s="10" t="n">
        <f aca="false">BM20+1</f>
        <v>57</v>
      </c>
    </row>
    <row r="21" customFormat="false" ht="15" hidden="false" customHeight="false" outlineLevel="0" collapsed="false">
      <c r="D21" s="0" t="s">
        <v>443</v>
      </c>
      <c r="E21" s="0" t="s">
        <v>97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444</v>
      </c>
      <c r="E22" s="0" t="s">
        <v>296</v>
      </c>
      <c r="J22" s="9" t="n">
        <f aca="false">IF(J20=1,Inputs!$F$189,EDATE(I22,J21))</f>
        <v>43282</v>
      </c>
      <c r="K22" s="9" t="n">
        <f aca="false">IF(K20=1,Inputs!$F$189,EDATE(J22,K21))</f>
        <v>43466</v>
      </c>
      <c r="L22" s="9" t="n">
        <f aca="false">IF(L20=1,Inputs!$F$189,EDATE(K22,L21))</f>
        <v>43647</v>
      </c>
      <c r="M22" s="9" t="n">
        <f aca="false">IF(M20=1,Inputs!$F$189,EDATE(L22,M21))</f>
        <v>43831</v>
      </c>
      <c r="N22" s="9" t="n">
        <f aca="false">IF(N20=1,Inputs!$F$189,EDATE(M22,N21))</f>
        <v>44013</v>
      </c>
      <c r="O22" s="9" t="n">
        <f aca="false">IF(O20=1,Inputs!$F$189,EDATE(N22,O21))</f>
        <v>44197</v>
      </c>
      <c r="P22" s="9" t="n">
        <f aca="false">IF(P20=1,Inputs!$F$189,EDATE(O22,P21))</f>
        <v>44378</v>
      </c>
      <c r="Q22" s="9" t="n">
        <f aca="false">IF(Q20=1,Inputs!$F$189,EDATE(P22,Q21))</f>
        <v>44562</v>
      </c>
      <c r="R22" s="9" t="n">
        <f aca="false">IF(R20=1,Inputs!$F$189,EDATE(Q22,R21))</f>
        <v>44743</v>
      </c>
      <c r="S22" s="9" t="n">
        <f aca="false">IF(S20=1,Inputs!$F$189,EDATE(R22,S21))</f>
        <v>44927</v>
      </c>
      <c r="T22" s="9" t="n">
        <f aca="false">IF(T20=1,Inputs!$F$189,EDATE(S22,T21))</f>
        <v>45108</v>
      </c>
      <c r="U22" s="9" t="n">
        <f aca="false">IF(U20=1,Inputs!$F$189,EDATE(T22,U21))</f>
        <v>45292</v>
      </c>
      <c r="V22" s="9" t="n">
        <f aca="false">IF(V20=1,Inputs!$F$189,EDATE(U22,V21))</f>
        <v>45474</v>
      </c>
      <c r="W22" s="9" t="n">
        <f aca="false">IF(W20=1,Inputs!$F$189,EDATE(V22,W21))</f>
        <v>45658</v>
      </c>
      <c r="X22" s="9" t="n">
        <f aca="false">IF(X20=1,Inputs!$F$189,EDATE(W22,X21))</f>
        <v>45839</v>
      </c>
      <c r="Y22" s="9" t="n">
        <f aca="false">IF(Y20=1,Inputs!$F$189,EDATE(X22,Y21))</f>
        <v>46023</v>
      </c>
      <c r="Z22" s="9" t="n">
        <f aca="false">IF(Z20=1,Inputs!$F$189,EDATE(Y22,Z21))</f>
        <v>46204</v>
      </c>
      <c r="AA22" s="9" t="n">
        <f aca="false">IF(AA20=1,Inputs!$F$189,EDATE(Z22,AA21))</f>
        <v>46388</v>
      </c>
      <c r="AB22" s="9" t="n">
        <f aca="false">IF(AB20=1,Inputs!$F$189,EDATE(AA22,AB21))</f>
        <v>46569</v>
      </c>
      <c r="AC22" s="9" t="n">
        <f aca="false">IF(AC20=1,Inputs!$F$189,EDATE(AB22,AC21))</f>
        <v>46753</v>
      </c>
      <c r="AD22" s="9" t="n">
        <f aca="false">IF(AD20=1,Inputs!$F$189,EDATE(AC22,AD21))</f>
        <v>46935</v>
      </c>
      <c r="AE22" s="9" t="n">
        <f aca="false">IF(AE20=1,Inputs!$F$189,EDATE(AD22,AE21))</f>
        <v>47119</v>
      </c>
      <c r="AF22" s="9" t="n">
        <f aca="false">IF(AF20=1,Inputs!$F$189,EDATE(AE22,AF21))</f>
        <v>47300</v>
      </c>
      <c r="AG22" s="9" t="n">
        <f aca="false">IF(AG20=1,Inputs!$F$189,EDATE(AF22,AG21))</f>
        <v>47484</v>
      </c>
      <c r="AH22" s="9" t="n">
        <f aca="false">IF(AH20=1,Inputs!$F$189,EDATE(AG22,AH21))</f>
        <v>47665</v>
      </c>
      <c r="AI22" s="9" t="n">
        <f aca="false">IF(AI20=1,Inputs!$F$189,EDATE(AH22,AI21))</f>
        <v>47849</v>
      </c>
      <c r="AJ22" s="9" t="n">
        <f aca="false">IF(AJ20=1,Inputs!$F$189,EDATE(AI22,AJ21))</f>
        <v>48030</v>
      </c>
      <c r="AK22" s="9" t="n">
        <f aca="false">IF(AK20=1,Inputs!$F$189,EDATE(AJ22,AK21))</f>
        <v>48214</v>
      </c>
      <c r="AL22" s="9" t="n">
        <f aca="false">IF(AL20=1,Inputs!$F$189,EDATE(AK22,AL21))</f>
        <v>48396</v>
      </c>
      <c r="AM22" s="9" t="n">
        <f aca="false">IF(AM20=1,Inputs!$F$189,EDATE(AL22,AM21))</f>
        <v>48580</v>
      </c>
      <c r="AN22" s="9" t="n">
        <f aca="false">IF(AN20=1,Inputs!$F$189,EDATE(AM22,AN21))</f>
        <v>48761</v>
      </c>
      <c r="AO22" s="9" t="n">
        <f aca="false">IF(AO20=1,Inputs!$F$189,EDATE(AN22,AO21))</f>
        <v>48945</v>
      </c>
      <c r="AP22" s="9" t="n">
        <f aca="false">IF(AP20=1,Inputs!$F$189,EDATE(AO22,AP21))</f>
        <v>49126</v>
      </c>
      <c r="AQ22" s="9" t="n">
        <f aca="false">IF(AQ20=1,Inputs!$F$189,EDATE(AP22,AQ21))</f>
        <v>49310</v>
      </c>
      <c r="AR22" s="9" t="n">
        <f aca="false">IF(AR20=1,Inputs!$F$189,EDATE(AQ22,AR21))</f>
        <v>49491</v>
      </c>
      <c r="AS22" s="9" t="n">
        <f aca="false">IF(AS20=1,Inputs!$F$189,EDATE(AR22,AS21))</f>
        <v>49675</v>
      </c>
      <c r="AT22" s="9" t="n">
        <f aca="false">IF(AT20=1,Inputs!$F$189,EDATE(AS22,AT21))</f>
        <v>49857</v>
      </c>
      <c r="AU22" s="9" t="n">
        <f aca="false">IF(AU20=1,Inputs!$F$189,EDATE(AT22,AU21))</f>
        <v>50041</v>
      </c>
      <c r="AV22" s="9" t="n">
        <f aca="false">IF(AV20=1,Inputs!$F$189,EDATE(AU22,AV21))</f>
        <v>50222</v>
      </c>
      <c r="AW22" s="9" t="n">
        <f aca="false">IF(AW20=1,Inputs!$F$189,EDATE(AV22,AW21))</f>
        <v>50406</v>
      </c>
      <c r="AX22" s="9" t="n">
        <f aca="false">IF(AX20=1,Inputs!$F$189,EDATE(AW22,AX21))</f>
        <v>50587</v>
      </c>
      <c r="AY22" s="9" t="n">
        <f aca="false">IF(AY20=1,Inputs!$F$189,EDATE(AX22,AY21))</f>
        <v>50771</v>
      </c>
      <c r="AZ22" s="9" t="n">
        <f aca="false">IF(AZ20=1,Inputs!$F$189,EDATE(AY22,AZ21))</f>
        <v>50952</v>
      </c>
      <c r="BA22" s="9" t="n">
        <f aca="false">IF(BA20=1,Inputs!$F$189,EDATE(AZ22,BA21))</f>
        <v>51136</v>
      </c>
      <c r="BB22" s="9" t="n">
        <f aca="false">IF(BB20=1,Inputs!$F$189,EDATE(BA22,BB21))</f>
        <v>51318</v>
      </c>
      <c r="BC22" s="9" t="n">
        <f aca="false">IF(BC20=1,Inputs!$F$189,EDATE(BB22,BC21))</f>
        <v>51502</v>
      </c>
      <c r="BD22" s="9" t="n">
        <f aca="false">IF(BD20=1,Inputs!$F$189,EDATE(BC22,BD21))</f>
        <v>51683</v>
      </c>
      <c r="BE22" s="9" t="n">
        <f aca="false">IF(BE20=1,Inputs!$F$189,EDATE(BD22,BE21))</f>
        <v>51867</v>
      </c>
      <c r="BF22" s="9" t="n">
        <f aca="false">IF(BF20=1,Inputs!$F$189,EDATE(BE22,BF21))</f>
        <v>52048</v>
      </c>
      <c r="BG22" s="9" t="n">
        <f aca="false">IF(BG20=1,Inputs!$F$189,EDATE(BF22,BG21))</f>
        <v>52232</v>
      </c>
      <c r="BH22" s="9" t="n">
        <f aca="false">IF(BH20=1,Inputs!$F$189,EDATE(BG22,BH21))</f>
        <v>52413</v>
      </c>
      <c r="BI22" s="9" t="n">
        <f aca="false">IF(BI20=1,Inputs!$F$189,EDATE(BH22,BI21))</f>
        <v>52597</v>
      </c>
      <c r="BJ22" s="9" t="n">
        <f aca="false">IF(BJ20=1,Inputs!$F$189,EDATE(BI22,BJ21))</f>
        <v>52779</v>
      </c>
      <c r="BK22" s="9" t="n">
        <f aca="false">IF(BK20=1,Inputs!$F$189,EDATE(BJ22,BK21))</f>
        <v>52963</v>
      </c>
      <c r="BL22" s="9" t="n">
        <f aca="false">IF(BL20=1,Inputs!$F$189,EDATE(BK22,BL21))</f>
        <v>53144</v>
      </c>
      <c r="BM22" s="9" t="n">
        <f aca="false">IF(BM20=1,Inputs!$F$189,EDATE(BL22,BM21))</f>
        <v>53328</v>
      </c>
      <c r="BN22" s="9" t="n">
        <f aca="false">IF(BN20=1,Inputs!$F$189,EDATE(BM22,BN21))</f>
        <v>53509</v>
      </c>
    </row>
    <row r="23" customFormat="false" ht="15" hidden="false" customHeight="false" outlineLevel="0" collapsed="false">
      <c r="D23" s="0" t="s">
        <v>445</v>
      </c>
      <c r="E23" s="0" t="s">
        <v>296</v>
      </c>
      <c r="J23" s="9" t="n">
        <f aca="false">EOMONTH(J22,J21-1)</f>
        <v>43465</v>
      </c>
      <c r="K23" s="9" t="n">
        <f aca="false">EOMONTH(K22,K21-1)</f>
        <v>43646</v>
      </c>
      <c r="L23" s="9" t="n">
        <f aca="false">EOMONTH(L22,L21-1)</f>
        <v>43830</v>
      </c>
      <c r="M23" s="9" t="n">
        <f aca="false">EOMONTH(M22,M21-1)</f>
        <v>44012</v>
      </c>
      <c r="N23" s="9" t="n">
        <f aca="false">EOMONTH(N22,N21-1)</f>
        <v>44196</v>
      </c>
      <c r="O23" s="9" t="n">
        <f aca="false">EOMONTH(O22,O21-1)</f>
        <v>44377</v>
      </c>
      <c r="P23" s="9" t="n">
        <f aca="false">EOMONTH(P22,P21-1)</f>
        <v>44561</v>
      </c>
      <c r="Q23" s="9" t="n">
        <f aca="false">EOMONTH(Q22,Q21-1)</f>
        <v>44742</v>
      </c>
      <c r="R23" s="9" t="n">
        <f aca="false">EOMONTH(R22,R21-1)</f>
        <v>44926</v>
      </c>
      <c r="S23" s="9" t="n">
        <f aca="false">EOMONTH(S22,S21-1)</f>
        <v>45107</v>
      </c>
      <c r="T23" s="9" t="n">
        <f aca="false">EOMONTH(T22,T21-1)</f>
        <v>45291</v>
      </c>
      <c r="U23" s="9" t="n">
        <f aca="false">EOMONTH(U22,U21-1)</f>
        <v>45473</v>
      </c>
      <c r="V23" s="9" t="n">
        <f aca="false">EOMONTH(V22,V21-1)</f>
        <v>45657</v>
      </c>
      <c r="W23" s="9" t="n">
        <f aca="false">EOMONTH(W22,W21-1)</f>
        <v>45838</v>
      </c>
      <c r="X23" s="9" t="n">
        <f aca="false">EOMONTH(X22,X21-1)</f>
        <v>46022</v>
      </c>
      <c r="Y23" s="9" t="n">
        <f aca="false">EOMONTH(Y22,Y21-1)</f>
        <v>46203</v>
      </c>
      <c r="Z23" s="9" t="n">
        <f aca="false">EOMONTH(Z22,Z21-1)</f>
        <v>46387</v>
      </c>
      <c r="AA23" s="9" t="n">
        <f aca="false">EOMONTH(AA22,AA21-1)</f>
        <v>46568</v>
      </c>
      <c r="AB23" s="9" t="n">
        <f aca="false">EOMONTH(AB22,AB21-1)</f>
        <v>46752</v>
      </c>
      <c r="AC23" s="9" t="n">
        <f aca="false">EOMONTH(AC22,AC21-1)</f>
        <v>46934</v>
      </c>
      <c r="AD23" s="9" t="n">
        <f aca="false">EOMONTH(AD22,AD21-1)</f>
        <v>47118</v>
      </c>
      <c r="AE23" s="9" t="n">
        <f aca="false">EOMONTH(AE22,AE21-1)</f>
        <v>47299</v>
      </c>
      <c r="AF23" s="9" t="n">
        <f aca="false">EOMONTH(AF22,AF21-1)</f>
        <v>47483</v>
      </c>
      <c r="AG23" s="9" t="n">
        <f aca="false">EOMONTH(AG22,AG21-1)</f>
        <v>47664</v>
      </c>
      <c r="AH23" s="9" t="n">
        <f aca="false">EOMONTH(AH22,AH21-1)</f>
        <v>47848</v>
      </c>
      <c r="AI23" s="9" t="n">
        <f aca="false">EOMONTH(AI22,AI21-1)</f>
        <v>48029</v>
      </c>
      <c r="AJ23" s="9" t="n">
        <f aca="false">EOMONTH(AJ22,AJ21-1)</f>
        <v>48213</v>
      </c>
      <c r="AK23" s="9" t="n">
        <f aca="false">EOMONTH(AK22,AK21-1)</f>
        <v>48395</v>
      </c>
      <c r="AL23" s="9" t="n">
        <f aca="false">EOMONTH(AL22,AL21-1)</f>
        <v>48579</v>
      </c>
      <c r="AM23" s="9" t="n">
        <f aca="false">EOMONTH(AM22,AM21-1)</f>
        <v>48760</v>
      </c>
      <c r="AN23" s="9" t="n">
        <f aca="false">EOMONTH(AN22,AN21-1)</f>
        <v>48944</v>
      </c>
      <c r="AO23" s="9" t="n">
        <f aca="false">EOMONTH(AO22,AO21-1)</f>
        <v>49125</v>
      </c>
      <c r="AP23" s="9" t="n">
        <f aca="false">EOMONTH(AP22,AP21-1)</f>
        <v>49309</v>
      </c>
      <c r="AQ23" s="9" t="n">
        <f aca="false">EOMONTH(AQ22,AQ21-1)</f>
        <v>49490</v>
      </c>
      <c r="AR23" s="9" t="n">
        <f aca="false">EOMONTH(AR22,AR21-1)</f>
        <v>49674</v>
      </c>
      <c r="AS23" s="9" t="n">
        <f aca="false">EOMONTH(AS22,AS21-1)</f>
        <v>49856</v>
      </c>
      <c r="AT23" s="9" t="n">
        <f aca="false">EOMONTH(AT22,AT21-1)</f>
        <v>50040</v>
      </c>
      <c r="AU23" s="9" t="n">
        <f aca="false">EOMONTH(AU22,AU21-1)</f>
        <v>50221</v>
      </c>
      <c r="AV23" s="9" t="n">
        <f aca="false">EOMONTH(AV22,AV21-1)</f>
        <v>50405</v>
      </c>
      <c r="AW23" s="9" t="n">
        <f aca="false">EOMONTH(AW22,AW21-1)</f>
        <v>50586</v>
      </c>
      <c r="AX23" s="9" t="n">
        <f aca="false">EOMONTH(AX22,AX21-1)</f>
        <v>50770</v>
      </c>
      <c r="AY23" s="9" t="n">
        <f aca="false">EOMONTH(AY22,AY21-1)</f>
        <v>50951</v>
      </c>
      <c r="AZ23" s="9" t="n">
        <f aca="false">EOMONTH(AZ22,AZ21-1)</f>
        <v>51135</v>
      </c>
      <c r="BA23" s="9" t="n">
        <f aca="false">EOMONTH(BA22,BA21-1)</f>
        <v>51317</v>
      </c>
      <c r="BB23" s="9" t="n">
        <f aca="false">EOMONTH(BB22,BB21-1)</f>
        <v>51501</v>
      </c>
      <c r="BC23" s="9" t="n">
        <f aca="false">EOMONTH(BC22,BC21-1)</f>
        <v>51682</v>
      </c>
      <c r="BD23" s="9" t="n">
        <f aca="false">EOMONTH(BD22,BD21-1)</f>
        <v>51866</v>
      </c>
      <c r="BE23" s="9" t="n">
        <f aca="false">EOMONTH(BE22,BE21-1)</f>
        <v>52047</v>
      </c>
      <c r="BF23" s="9" t="n">
        <f aca="false">EOMONTH(BF22,BF21-1)</f>
        <v>52231</v>
      </c>
      <c r="BG23" s="9" t="n">
        <f aca="false">EOMONTH(BG22,BG21-1)</f>
        <v>52412</v>
      </c>
      <c r="BH23" s="9" t="n">
        <f aca="false">EOMONTH(BH22,BH21-1)</f>
        <v>52596</v>
      </c>
      <c r="BI23" s="9" t="n">
        <f aca="false">EOMONTH(BI22,BI21-1)</f>
        <v>52778</v>
      </c>
      <c r="BJ23" s="9" t="n">
        <f aca="false">EOMONTH(BJ22,BJ21-1)</f>
        <v>52962</v>
      </c>
      <c r="BK23" s="9" t="n">
        <f aca="false">EOMONTH(BK22,BK21-1)</f>
        <v>53143</v>
      </c>
      <c r="BL23" s="9" t="n">
        <f aca="false">EOMONTH(BL22,BL21-1)</f>
        <v>53327</v>
      </c>
      <c r="BM23" s="9" t="n">
        <f aca="false">EOMONTH(BM22,BM21-1)</f>
        <v>53508</v>
      </c>
      <c r="BN23" s="9" t="n">
        <f aca="false">EOMONTH(BN22,BN21-1)</f>
        <v>53692</v>
      </c>
    </row>
    <row r="24" customFormat="false" ht="15" hidden="false" customHeight="false" outlineLevel="0" collapsed="false">
      <c r="D24" s="0" t="s">
        <v>446</v>
      </c>
      <c r="E24" s="0" t="s">
        <v>99</v>
      </c>
      <c r="J24" s="6" t="n">
        <f aca="false">J21/12</f>
        <v>0.5</v>
      </c>
      <c r="K24" s="6" t="n">
        <f aca="false">K21/12</f>
        <v>0.5</v>
      </c>
      <c r="L24" s="6" t="n">
        <f aca="false">L21/12</f>
        <v>0.5</v>
      </c>
      <c r="M24" s="6" t="n">
        <f aca="false">M21/12</f>
        <v>0.5</v>
      </c>
      <c r="N24" s="6" t="n">
        <f aca="false">N21/12</f>
        <v>0.5</v>
      </c>
      <c r="O24" s="6" t="n">
        <f aca="false">O21/12</f>
        <v>0.5</v>
      </c>
      <c r="P24" s="6" t="n">
        <f aca="false">P21/12</f>
        <v>0.5</v>
      </c>
      <c r="Q24" s="6" t="n">
        <f aca="false">Q21/12</f>
        <v>0.5</v>
      </c>
      <c r="R24" s="6" t="n">
        <f aca="false">R21/12</f>
        <v>0.5</v>
      </c>
      <c r="S24" s="6" t="n">
        <f aca="false">S21/12</f>
        <v>0.5</v>
      </c>
      <c r="T24" s="6" t="n">
        <f aca="false">T21/12</f>
        <v>0.5</v>
      </c>
      <c r="U24" s="6" t="n">
        <f aca="false">U21/12</f>
        <v>0.5</v>
      </c>
      <c r="V24" s="6" t="n">
        <f aca="false">V21/12</f>
        <v>0.5</v>
      </c>
      <c r="W24" s="6" t="n">
        <f aca="false">W21/12</f>
        <v>0.5</v>
      </c>
      <c r="X24" s="6" t="n">
        <f aca="false">X21/12</f>
        <v>0.5</v>
      </c>
      <c r="Y24" s="6" t="n">
        <f aca="false">Y21/12</f>
        <v>0.5</v>
      </c>
      <c r="Z24" s="6" t="n">
        <f aca="false">Z21/12</f>
        <v>0.5</v>
      </c>
      <c r="AA24" s="6" t="n">
        <f aca="false">AA21/12</f>
        <v>0.5</v>
      </c>
      <c r="AB24" s="6" t="n">
        <f aca="false">AB21/12</f>
        <v>0.5</v>
      </c>
      <c r="AC24" s="6" t="n">
        <f aca="false">AC21/12</f>
        <v>0.5</v>
      </c>
      <c r="AD24" s="6" t="n">
        <f aca="false">AD21/12</f>
        <v>0.5</v>
      </c>
      <c r="AE24" s="6" t="n">
        <f aca="false">AE21/12</f>
        <v>0.5</v>
      </c>
      <c r="AF24" s="6" t="n">
        <f aca="false">AF21/12</f>
        <v>0.5</v>
      </c>
      <c r="AG24" s="6" t="n">
        <f aca="false">AG21/12</f>
        <v>0.5</v>
      </c>
      <c r="AH24" s="6" t="n">
        <f aca="false">AH21/12</f>
        <v>0.5</v>
      </c>
      <c r="AI24" s="6" t="n">
        <f aca="false">AI21/12</f>
        <v>0.5</v>
      </c>
      <c r="AJ24" s="6" t="n">
        <f aca="false">AJ21/12</f>
        <v>0.5</v>
      </c>
      <c r="AK24" s="6" t="n">
        <f aca="false">AK21/12</f>
        <v>0.5</v>
      </c>
      <c r="AL24" s="6" t="n">
        <f aca="false">AL21/12</f>
        <v>0.5</v>
      </c>
      <c r="AM24" s="6" t="n">
        <f aca="false">AM21/12</f>
        <v>0.5</v>
      </c>
      <c r="AN24" s="6" t="n">
        <f aca="false">AN21/12</f>
        <v>0.5</v>
      </c>
      <c r="AO24" s="6" t="n">
        <f aca="false">AO21/12</f>
        <v>0.5</v>
      </c>
      <c r="AP24" s="6" t="n">
        <f aca="false">AP21/12</f>
        <v>0.5</v>
      </c>
      <c r="AQ24" s="6" t="n">
        <f aca="false">AQ21/12</f>
        <v>0.5</v>
      </c>
      <c r="AR24" s="6" t="n">
        <f aca="false">AR21/12</f>
        <v>0.5</v>
      </c>
      <c r="AS24" s="6" t="n">
        <f aca="false">AS21/12</f>
        <v>0.5</v>
      </c>
      <c r="AT24" s="6" t="n">
        <f aca="false">AT21/12</f>
        <v>0.5</v>
      </c>
      <c r="AU24" s="6" t="n">
        <f aca="false">AU21/12</f>
        <v>0.5</v>
      </c>
      <c r="AV24" s="6" t="n">
        <f aca="false">AV21/12</f>
        <v>0.5</v>
      </c>
      <c r="AW24" s="6" t="n">
        <f aca="false">AW21/12</f>
        <v>0.5</v>
      </c>
      <c r="AX24" s="6" t="n">
        <f aca="false">AX21/12</f>
        <v>0.5</v>
      </c>
      <c r="AY24" s="6" t="n">
        <f aca="false">AY21/12</f>
        <v>0.5</v>
      </c>
      <c r="AZ24" s="6" t="n">
        <f aca="false">AZ21/12</f>
        <v>0.5</v>
      </c>
      <c r="BA24" s="6" t="n">
        <f aca="false">BA21/12</f>
        <v>0.5</v>
      </c>
      <c r="BB24" s="6" t="n">
        <f aca="false">BB21/12</f>
        <v>0.5</v>
      </c>
      <c r="BC24" s="6" t="n">
        <f aca="false">BC21/12</f>
        <v>0.5</v>
      </c>
      <c r="BD24" s="6" t="n">
        <f aca="false">BD21/12</f>
        <v>0.5</v>
      </c>
      <c r="BE24" s="6" t="n">
        <f aca="false">BE21/12</f>
        <v>0.5</v>
      </c>
      <c r="BF24" s="6" t="n">
        <f aca="false">BF21/12</f>
        <v>0.5</v>
      </c>
      <c r="BG24" s="6" t="n">
        <f aca="false">BG21/12</f>
        <v>0.5</v>
      </c>
      <c r="BH24" s="6" t="n">
        <f aca="false">BH21/12</f>
        <v>0.5</v>
      </c>
      <c r="BI24" s="6" t="n">
        <f aca="false">BI21/12</f>
        <v>0.5</v>
      </c>
      <c r="BJ24" s="6" t="n">
        <f aca="false">BJ21/12</f>
        <v>0.5</v>
      </c>
      <c r="BK24" s="6" t="n">
        <f aca="false">BK21/12</f>
        <v>0.5</v>
      </c>
      <c r="BL24" s="6" t="n">
        <f aca="false">BL21/12</f>
        <v>0.5</v>
      </c>
      <c r="BM24" s="6" t="n">
        <f aca="false">BM21/12</f>
        <v>0.5</v>
      </c>
      <c r="BN24" s="6" t="n">
        <f aca="false">BN21/12</f>
        <v>0.5</v>
      </c>
    </row>
    <row r="25" customFormat="false" ht="15" hidden="false" customHeight="false" outlineLevel="0" collapsed="false">
      <c r="D25" s="0" t="s">
        <v>447</v>
      </c>
      <c r="E25" s="0" t="s">
        <v>111</v>
      </c>
      <c r="J25" s="10" t="n">
        <f aca="false">J23-J22+1</f>
        <v>184</v>
      </c>
      <c r="K25" s="10" t="n">
        <f aca="false">K23-K22+1</f>
        <v>181</v>
      </c>
      <c r="L25" s="10" t="n">
        <f aca="false">L23-L22+1</f>
        <v>184</v>
      </c>
      <c r="M25" s="10" t="n">
        <f aca="false">M23-M22+1</f>
        <v>182</v>
      </c>
      <c r="N25" s="10" t="n">
        <f aca="false">N23-N22+1</f>
        <v>184</v>
      </c>
      <c r="O25" s="10" t="n">
        <f aca="false">O23-O22+1</f>
        <v>181</v>
      </c>
      <c r="P25" s="10" t="n">
        <f aca="false">P23-P22+1</f>
        <v>184</v>
      </c>
      <c r="Q25" s="10" t="n">
        <f aca="false">Q23-Q22+1</f>
        <v>181</v>
      </c>
      <c r="R25" s="10" t="n">
        <f aca="false">R23-R22+1</f>
        <v>184</v>
      </c>
      <c r="S25" s="10" t="n">
        <f aca="false">S23-S22+1</f>
        <v>181</v>
      </c>
      <c r="T25" s="10" t="n">
        <f aca="false">T23-T22+1</f>
        <v>184</v>
      </c>
      <c r="U25" s="10" t="n">
        <f aca="false">U23-U22+1</f>
        <v>182</v>
      </c>
      <c r="V25" s="10" t="n">
        <f aca="false">V23-V22+1</f>
        <v>184</v>
      </c>
      <c r="W25" s="10" t="n">
        <f aca="false">W23-W22+1</f>
        <v>181</v>
      </c>
      <c r="X25" s="10" t="n">
        <f aca="false">X23-X22+1</f>
        <v>184</v>
      </c>
      <c r="Y25" s="10" t="n">
        <f aca="false">Y23-Y22+1</f>
        <v>181</v>
      </c>
      <c r="Z25" s="10" t="n">
        <f aca="false">Z23-Z22+1</f>
        <v>184</v>
      </c>
      <c r="AA25" s="10" t="n">
        <f aca="false">AA23-AA22+1</f>
        <v>181</v>
      </c>
      <c r="AB25" s="10" t="n">
        <f aca="false">AB23-AB22+1</f>
        <v>184</v>
      </c>
      <c r="AC25" s="10" t="n">
        <f aca="false">AC23-AC22+1</f>
        <v>182</v>
      </c>
      <c r="AD25" s="10" t="n">
        <f aca="false">AD23-AD22+1</f>
        <v>184</v>
      </c>
      <c r="AE25" s="10" t="n">
        <f aca="false">AE23-AE22+1</f>
        <v>181</v>
      </c>
      <c r="AF25" s="10" t="n">
        <f aca="false">AF23-AF22+1</f>
        <v>184</v>
      </c>
      <c r="AG25" s="10" t="n">
        <f aca="false">AG23-AG22+1</f>
        <v>181</v>
      </c>
      <c r="AH25" s="10" t="n">
        <f aca="false">AH23-AH22+1</f>
        <v>184</v>
      </c>
      <c r="AI25" s="10" t="n">
        <f aca="false">AI23-AI22+1</f>
        <v>181</v>
      </c>
      <c r="AJ25" s="10" t="n">
        <f aca="false">AJ23-AJ22+1</f>
        <v>184</v>
      </c>
      <c r="AK25" s="10" t="n">
        <f aca="false">AK23-AK22+1</f>
        <v>182</v>
      </c>
      <c r="AL25" s="10" t="n">
        <f aca="false">AL23-AL22+1</f>
        <v>184</v>
      </c>
      <c r="AM25" s="10" t="n">
        <f aca="false">AM23-AM22+1</f>
        <v>181</v>
      </c>
      <c r="AN25" s="10" t="n">
        <f aca="false">AN23-AN22+1</f>
        <v>184</v>
      </c>
      <c r="AO25" s="10" t="n">
        <f aca="false">AO23-AO22+1</f>
        <v>181</v>
      </c>
      <c r="AP25" s="10" t="n">
        <f aca="false">AP23-AP22+1</f>
        <v>184</v>
      </c>
      <c r="AQ25" s="10" t="n">
        <f aca="false">AQ23-AQ22+1</f>
        <v>181</v>
      </c>
      <c r="AR25" s="10" t="n">
        <f aca="false">AR23-AR22+1</f>
        <v>184</v>
      </c>
      <c r="AS25" s="10" t="n">
        <f aca="false">AS23-AS22+1</f>
        <v>182</v>
      </c>
      <c r="AT25" s="10" t="n">
        <f aca="false">AT23-AT22+1</f>
        <v>184</v>
      </c>
      <c r="AU25" s="10" t="n">
        <f aca="false">AU23-AU22+1</f>
        <v>181</v>
      </c>
      <c r="AV25" s="10" t="n">
        <f aca="false">AV23-AV22+1</f>
        <v>184</v>
      </c>
      <c r="AW25" s="10" t="n">
        <f aca="false">AW23-AW22+1</f>
        <v>181</v>
      </c>
      <c r="AX25" s="10" t="n">
        <f aca="false">AX23-AX22+1</f>
        <v>184</v>
      </c>
      <c r="AY25" s="10" t="n">
        <f aca="false">AY23-AY22+1</f>
        <v>181</v>
      </c>
      <c r="AZ25" s="10" t="n">
        <f aca="false">AZ23-AZ22+1</f>
        <v>184</v>
      </c>
      <c r="BA25" s="10" t="n">
        <f aca="false">BA23-BA22+1</f>
        <v>182</v>
      </c>
      <c r="BB25" s="10" t="n">
        <f aca="false">BB23-BB22+1</f>
        <v>184</v>
      </c>
      <c r="BC25" s="10" t="n">
        <f aca="false">BC23-BC22+1</f>
        <v>181</v>
      </c>
      <c r="BD25" s="10" t="n">
        <f aca="false">BD23-BD22+1</f>
        <v>184</v>
      </c>
      <c r="BE25" s="10" t="n">
        <f aca="false">BE23-BE22+1</f>
        <v>181</v>
      </c>
      <c r="BF25" s="10" t="n">
        <f aca="false">BF23-BF22+1</f>
        <v>184</v>
      </c>
      <c r="BG25" s="10" t="n">
        <f aca="false">BG23-BG22+1</f>
        <v>181</v>
      </c>
      <c r="BH25" s="10" t="n">
        <f aca="false">BH23-BH22+1</f>
        <v>184</v>
      </c>
      <c r="BI25" s="10" t="n">
        <f aca="false">BI23-BI22+1</f>
        <v>182</v>
      </c>
      <c r="BJ25" s="10" t="n">
        <f aca="false">BJ23-BJ22+1</f>
        <v>184</v>
      </c>
      <c r="BK25" s="10" t="n">
        <f aca="false">BK23-BK22+1</f>
        <v>181</v>
      </c>
      <c r="BL25" s="10" t="n">
        <f aca="false">BL23-BL22+1</f>
        <v>184</v>
      </c>
      <c r="BM25" s="10" t="n">
        <f aca="false">BM23-BM22+1</f>
        <v>181</v>
      </c>
      <c r="BN25" s="10" t="n">
        <f aca="false">BN23-BN22+1</f>
        <v>184</v>
      </c>
    </row>
    <row r="26" customFormat="false" ht="15" hidden="false" customHeight="false" outlineLevel="0" collapsed="false">
      <c r="D26" s="0" t="s">
        <v>400</v>
      </c>
      <c r="E26" s="0" t="s">
        <v>345</v>
      </c>
      <c r="J26" s="10" t="n">
        <f aca="false">YEAR(J22)</f>
        <v>2018</v>
      </c>
      <c r="K26" s="10" t="n">
        <f aca="false">YEAR(K22)</f>
        <v>2019</v>
      </c>
      <c r="L26" s="10" t="n">
        <f aca="false">YEAR(L22)</f>
        <v>2019</v>
      </c>
      <c r="M26" s="10" t="n">
        <f aca="false">YEAR(M22)</f>
        <v>2020</v>
      </c>
      <c r="N26" s="10" t="n">
        <f aca="false">YEAR(N22)</f>
        <v>2020</v>
      </c>
      <c r="O26" s="10" t="n">
        <f aca="false">YEAR(O22)</f>
        <v>2021</v>
      </c>
      <c r="P26" s="10" t="n">
        <f aca="false">YEAR(P22)</f>
        <v>2021</v>
      </c>
      <c r="Q26" s="10" t="n">
        <f aca="false">YEAR(Q22)</f>
        <v>2022</v>
      </c>
      <c r="R26" s="10" t="n">
        <f aca="false">YEAR(R22)</f>
        <v>2022</v>
      </c>
      <c r="S26" s="10" t="n">
        <f aca="false">YEAR(S22)</f>
        <v>2023</v>
      </c>
      <c r="T26" s="10" t="n">
        <f aca="false">YEAR(T22)</f>
        <v>2023</v>
      </c>
      <c r="U26" s="10" t="n">
        <f aca="false">YEAR(U22)</f>
        <v>2024</v>
      </c>
      <c r="V26" s="10" t="n">
        <f aca="false">YEAR(V22)</f>
        <v>2024</v>
      </c>
      <c r="W26" s="10" t="n">
        <f aca="false">YEAR(W22)</f>
        <v>2025</v>
      </c>
      <c r="X26" s="10" t="n">
        <f aca="false">YEAR(X22)</f>
        <v>2025</v>
      </c>
      <c r="Y26" s="10" t="n">
        <f aca="false">YEAR(Y22)</f>
        <v>2026</v>
      </c>
      <c r="Z26" s="10" t="n">
        <f aca="false">YEAR(Z22)</f>
        <v>2026</v>
      </c>
      <c r="AA26" s="10" t="n">
        <f aca="false">YEAR(AA22)</f>
        <v>2027</v>
      </c>
      <c r="AB26" s="10" t="n">
        <f aca="false">YEAR(AB22)</f>
        <v>2027</v>
      </c>
      <c r="AC26" s="10" t="n">
        <f aca="false">YEAR(AC22)</f>
        <v>2028</v>
      </c>
      <c r="AD26" s="10" t="n">
        <f aca="false">YEAR(AD22)</f>
        <v>2028</v>
      </c>
      <c r="AE26" s="10" t="n">
        <f aca="false">YEAR(AE22)</f>
        <v>2029</v>
      </c>
      <c r="AF26" s="10" t="n">
        <f aca="false">YEAR(AF22)</f>
        <v>2029</v>
      </c>
      <c r="AG26" s="10" t="n">
        <f aca="false">YEAR(AG22)</f>
        <v>2030</v>
      </c>
      <c r="AH26" s="10" t="n">
        <f aca="false">YEAR(AH22)</f>
        <v>2030</v>
      </c>
      <c r="AI26" s="10" t="n">
        <f aca="false">YEAR(AI22)</f>
        <v>2031</v>
      </c>
      <c r="AJ26" s="10" t="n">
        <f aca="false">YEAR(AJ22)</f>
        <v>2031</v>
      </c>
      <c r="AK26" s="10" t="n">
        <f aca="false">YEAR(AK22)</f>
        <v>2032</v>
      </c>
      <c r="AL26" s="10" t="n">
        <f aca="false">YEAR(AL22)</f>
        <v>2032</v>
      </c>
      <c r="AM26" s="10" t="n">
        <f aca="false">YEAR(AM22)</f>
        <v>2033</v>
      </c>
      <c r="AN26" s="10" t="n">
        <f aca="false">YEAR(AN22)</f>
        <v>2033</v>
      </c>
      <c r="AO26" s="10" t="n">
        <f aca="false">YEAR(AO22)</f>
        <v>2034</v>
      </c>
      <c r="AP26" s="10" t="n">
        <f aca="false">YEAR(AP22)</f>
        <v>2034</v>
      </c>
      <c r="AQ26" s="10" t="n">
        <f aca="false">YEAR(AQ22)</f>
        <v>2035</v>
      </c>
      <c r="AR26" s="10" t="n">
        <f aca="false">YEAR(AR22)</f>
        <v>2035</v>
      </c>
      <c r="AS26" s="10" t="n">
        <f aca="false">YEAR(AS22)</f>
        <v>2036</v>
      </c>
      <c r="AT26" s="10" t="n">
        <f aca="false">YEAR(AT22)</f>
        <v>2036</v>
      </c>
      <c r="AU26" s="10" t="n">
        <f aca="false">YEAR(AU22)</f>
        <v>2037</v>
      </c>
      <c r="AV26" s="10" t="n">
        <f aca="false">YEAR(AV22)</f>
        <v>2037</v>
      </c>
      <c r="AW26" s="10" t="n">
        <f aca="false">YEAR(AW22)</f>
        <v>2038</v>
      </c>
      <c r="AX26" s="10" t="n">
        <f aca="false">YEAR(AX22)</f>
        <v>2038</v>
      </c>
      <c r="AY26" s="10" t="n">
        <f aca="false">YEAR(AY22)</f>
        <v>2039</v>
      </c>
      <c r="AZ26" s="10" t="n">
        <f aca="false">YEAR(AZ22)</f>
        <v>2039</v>
      </c>
      <c r="BA26" s="10" t="n">
        <f aca="false">YEAR(BA22)</f>
        <v>2040</v>
      </c>
      <c r="BB26" s="10" t="n">
        <f aca="false">YEAR(BB22)</f>
        <v>2040</v>
      </c>
      <c r="BC26" s="10" t="n">
        <f aca="false">YEAR(BC22)</f>
        <v>2041</v>
      </c>
      <c r="BD26" s="10" t="n">
        <f aca="false">YEAR(BD22)</f>
        <v>2041</v>
      </c>
      <c r="BE26" s="10" t="n">
        <f aca="false">YEAR(BE22)</f>
        <v>2042</v>
      </c>
      <c r="BF26" s="10" t="n">
        <f aca="false">YEAR(BF22)</f>
        <v>2042</v>
      </c>
      <c r="BG26" s="10" t="n">
        <f aca="false">YEAR(BG22)</f>
        <v>2043</v>
      </c>
      <c r="BH26" s="10" t="n">
        <f aca="false">YEAR(BH22)</f>
        <v>2043</v>
      </c>
      <c r="BI26" s="10" t="n">
        <f aca="false">YEAR(BI22)</f>
        <v>2044</v>
      </c>
      <c r="BJ26" s="10" t="n">
        <f aca="false">YEAR(BJ22)</f>
        <v>2044</v>
      </c>
      <c r="BK26" s="10" t="n">
        <f aca="false">YEAR(BK22)</f>
        <v>2045</v>
      </c>
      <c r="BL26" s="10" t="n">
        <f aca="false">YEAR(BL22)</f>
        <v>2045</v>
      </c>
      <c r="BM26" s="10" t="n">
        <f aca="false">YEAR(BM22)</f>
        <v>2046</v>
      </c>
      <c r="BN26" s="10" t="n">
        <f aca="false">YEAR(BN22)</f>
        <v>2046</v>
      </c>
    </row>
    <row r="27" customFormat="false" ht="15" hidden="false" customHeight="false" outlineLevel="0" collapsed="false">
      <c r="D27" s="0" t="s">
        <v>448</v>
      </c>
      <c r="E27" s="0" t="s">
        <v>113</v>
      </c>
      <c r="J27" s="10" t="n">
        <f aca="false">IF(MONTH(J22)=1,1,0)</f>
        <v>0</v>
      </c>
      <c r="K27" s="10" t="n">
        <f aca="false">IF(MONTH(K22)=1,1,0)</f>
        <v>1</v>
      </c>
      <c r="L27" s="10" t="n">
        <f aca="false">IF(MONTH(L22)=1,1,0)</f>
        <v>0</v>
      </c>
      <c r="M27" s="10" t="n">
        <f aca="false">IF(MONTH(M22)=1,1,0)</f>
        <v>1</v>
      </c>
      <c r="N27" s="10" t="n">
        <f aca="false">IF(MONTH(N22)=1,1,0)</f>
        <v>0</v>
      </c>
      <c r="O27" s="10" t="n">
        <f aca="false">IF(MONTH(O22)=1,1,0)</f>
        <v>1</v>
      </c>
      <c r="P27" s="10" t="n">
        <f aca="false">IF(MONTH(P22)=1,1,0)</f>
        <v>0</v>
      </c>
      <c r="Q27" s="10" t="n">
        <f aca="false">IF(MONTH(Q22)=1,1,0)</f>
        <v>1</v>
      </c>
      <c r="R27" s="10" t="n">
        <f aca="false">IF(MONTH(R22)=1,1,0)</f>
        <v>0</v>
      </c>
      <c r="S27" s="10" t="n">
        <f aca="false">IF(MONTH(S22)=1,1,0)</f>
        <v>1</v>
      </c>
      <c r="T27" s="10" t="n">
        <f aca="false">IF(MONTH(T22)=1,1,0)</f>
        <v>0</v>
      </c>
      <c r="U27" s="10" t="n">
        <f aca="false">IF(MONTH(U22)=1,1,0)</f>
        <v>1</v>
      </c>
      <c r="V27" s="10" t="n">
        <f aca="false">IF(MONTH(V22)=1,1,0)</f>
        <v>0</v>
      </c>
      <c r="W27" s="10" t="n">
        <f aca="false">IF(MONTH(W22)=1,1,0)</f>
        <v>1</v>
      </c>
      <c r="X27" s="10" t="n">
        <f aca="false">IF(MONTH(X22)=1,1,0)</f>
        <v>0</v>
      </c>
      <c r="Y27" s="10" t="n">
        <f aca="false">IF(MONTH(Y22)=1,1,0)</f>
        <v>1</v>
      </c>
      <c r="Z27" s="10" t="n">
        <f aca="false">IF(MONTH(Z22)=1,1,0)</f>
        <v>0</v>
      </c>
      <c r="AA27" s="10" t="n">
        <f aca="false">IF(MONTH(AA22)=1,1,0)</f>
        <v>1</v>
      </c>
      <c r="AB27" s="10" t="n">
        <f aca="false">IF(MONTH(AB22)=1,1,0)</f>
        <v>0</v>
      </c>
      <c r="AC27" s="10" t="n">
        <f aca="false">IF(MONTH(AC22)=1,1,0)</f>
        <v>1</v>
      </c>
      <c r="AD27" s="10" t="n">
        <f aca="false">IF(MONTH(AD22)=1,1,0)</f>
        <v>0</v>
      </c>
      <c r="AE27" s="10" t="n">
        <f aca="false">IF(MONTH(AE22)=1,1,0)</f>
        <v>1</v>
      </c>
      <c r="AF27" s="10" t="n">
        <f aca="false">IF(MONTH(AF22)=1,1,0)</f>
        <v>0</v>
      </c>
      <c r="AG27" s="10" t="n">
        <f aca="false">IF(MONTH(AG22)=1,1,0)</f>
        <v>1</v>
      </c>
      <c r="AH27" s="10" t="n">
        <f aca="false">IF(MONTH(AH22)=1,1,0)</f>
        <v>0</v>
      </c>
      <c r="AI27" s="10" t="n">
        <f aca="false">IF(MONTH(AI22)=1,1,0)</f>
        <v>1</v>
      </c>
      <c r="AJ27" s="10" t="n">
        <f aca="false">IF(MONTH(AJ22)=1,1,0)</f>
        <v>0</v>
      </c>
      <c r="AK27" s="10" t="n">
        <f aca="false">IF(MONTH(AK22)=1,1,0)</f>
        <v>1</v>
      </c>
      <c r="AL27" s="10" t="n">
        <f aca="false">IF(MONTH(AL22)=1,1,0)</f>
        <v>0</v>
      </c>
      <c r="AM27" s="10" t="n">
        <f aca="false">IF(MONTH(AM22)=1,1,0)</f>
        <v>1</v>
      </c>
      <c r="AN27" s="10" t="n">
        <f aca="false">IF(MONTH(AN22)=1,1,0)</f>
        <v>0</v>
      </c>
      <c r="AO27" s="10" t="n">
        <f aca="false">IF(MONTH(AO22)=1,1,0)</f>
        <v>1</v>
      </c>
      <c r="AP27" s="10" t="n">
        <f aca="false">IF(MONTH(AP22)=1,1,0)</f>
        <v>0</v>
      </c>
      <c r="AQ27" s="10" t="n">
        <f aca="false">IF(MONTH(AQ22)=1,1,0)</f>
        <v>1</v>
      </c>
      <c r="AR27" s="10" t="n">
        <f aca="false">IF(MONTH(AR22)=1,1,0)</f>
        <v>0</v>
      </c>
      <c r="AS27" s="10" t="n">
        <f aca="false">IF(MONTH(AS22)=1,1,0)</f>
        <v>1</v>
      </c>
      <c r="AT27" s="10" t="n">
        <f aca="false">IF(MONTH(AT22)=1,1,0)</f>
        <v>0</v>
      </c>
      <c r="AU27" s="10" t="n">
        <f aca="false">IF(MONTH(AU22)=1,1,0)</f>
        <v>1</v>
      </c>
      <c r="AV27" s="10" t="n">
        <f aca="false">IF(MONTH(AV22)=1,1,0)</f>
        <v>0</v>
      </c>
      <c r="AW27" s="10" t="n">
        <f aca="false">IF(MONTH(AW22)=1,1,0)</f>
        <v>1</v>
      </c>
      <c r="AX27" s="10" t="n">
        <f aca="false">IF(MONTH(AX22)=1,1,0)</f>
        <v>0</v>
      </c>
      <c r="AY27" s="10" t="n">
        <f aca="false">IF(MONTH(AY22)=1,1,0)</f>
        <v>1</v>
      </c>
      <c r="AZ27" s="10" t="n">
        <f aca="false">IF(MONTH(AZ22)=1,1,0)</f>
        <v>0</v>
      </c>
      <c r="BA27" s="10" t="n">
        <f aca="false">IF(MONTH(BA22)=1,1,0)</f>
        <v>1</v>
      </c>
      <c r="BB27" s="10" t="n">
        <f aca="false">IF(MONTH(BB22)=1,1,0)</f>
        <v>0</v>
      </c>
      <c r="BC27" s="10" t="n">
        <f aca="false">IF(MONTH(BC22)=1,1,0)</f>
        <v>1</v>
      </c>
      <c r="BD27" s="10" t="n">
        <f aca="false">IF(MONTH(BD22)=1,1,0)</f>
        <v>0</v>
      </c>
      <c r="BE27" s="10" t="n">
        <f aca="false">IF(MONTH(BE22)=1,1,0)</f>
        <v>1</v>
      </c>
      <c r="BF27" s="10" t="n">
        <f aca="false">IF(MONTH(BF22)=1,1,0)</f>
        <v>0</v>
      </c>
      <c r="BG27" s="10" t="n">
        <f aca="false">IF(MONTH(BG22)=1,1,0)</f>
        <v>1</v>
      </c>
      <c r="BH27" s="10" t="n">
        <f aca="false">IF(MONTH(BH22)=1,1,0)</f>
        <v>0</v>
      </c>
      <c r="BI27" s="10" t="n">
        <f aca="false">IF(MONTH(BI22)=1,1,0)</f>
        <v>1</v>
      </c>
      <c r="BJ27" s="10" t="n">
        <f aca="false">IF(MONTH(BJ22)=1,1,0)</f>
        <v>0</v>
      </c>
      <c r="BK27" s="10" t="n">
        <f aca="false">IF(MONTH(BK22)=1,1,0)</f>
        <v>1</v>
      </c>
      <c r="BL27" s="10" t="n">
        <f aca="false">IF(MONTH(BL22)=1,1,0)</f>
        <v>0</v>
      </c>
      <c r="BM27" s="10" t="n">
        <f aca="false">IF(MONTH(BM22)=1,1,0)</f>
        <v>1</v>
      </c>
      <c r="BN27" s="10" t="n">
        <f aca="false">IF(MONTH(BN22)=1,1,0)</f>
        <v>0</v>
      </c>
    </row>
    <row r="28" customFormat="false" ht="15" hidden="false" customHeight="false" outlineLevel="0" collapsed="false">
      <c r="D28" s="0" t="s">
        <v>449</v>
      </c>
      <c r="E28" s="0" t="s">
        <v>296</v>
      </c>
      <c r="J28" s="9" t="n">
        <f aca="false">MAX(J22,$F$8)</f>
        <v>44317</v>
      </c>
      <c r="K28" s="9" t="n">
        <f aca="false">MAX(K22,$F$8)</f>
        <v>44317</v>
      </c>
      <c r="L28" s="9" t="n">
        <f aca="false">MAX(L22,$F$8)</f>
        <v>44317</v>
      </c>
      <c r="M28" s="9" t="n">
        <f aca="false">MAX(M22,$F$8)</f>
        <v>44317</v>
      </c>
      <c r="N28" s="9" t="n">
        <f aca="false">MAX(N22,$F$8)</f>
        <v>44317</v>
      </c>
      <c r="O28" s="9" t="n">
        <f aca="false">MAX(O22,$F$8)</f>
        <v>44317</v>
      </c>
      <c r="P28" s="9" t="n">
        <f aca="false">MAX(P22,$F$8)</f>
        <v>44378</v>
      </c>
      <c r="Q28" s="9" t="n">
        <f aca="false">MAX(Q22,$F$8)</f>
        <v>44562</v>
      </c>
      <c r="R28" s="9" t="n">
        <f aca="false">MAX(R22,$F$8)</f>
        <v>44743</v>
      </c>
      <c r="S28" s="9" t="n">
        <f aca="false">MAX(S22,$F$8)</f>
        <v>44927</v>
      </c>
      <c r="T28" s="9" t="n">
        <f aca="false">MAX(T22,$F$8)</f>
        <v>45108</v>
      </c>
      <c r="U28" s="9" t="n">
        <f aca="false">MAX(U22,$F$8)</f>
        <v>45292</v>
      </c>
      <c r="V28" s="9" t="n">
        <f aca="false">MAX(V22,$F$8)</f>
        <v>45474</v>
      </c>
      <c r="W28" s="9" t="n">
        <f aca="false">MAX(W22,$F$8)</f>
        <v>45658</v>
      </c>
      <c r="X28" s="9" t="n">
        <f aca="false">MAX(X22,$F$8)</f>
        <v>45839</v>
      </c>
      <c r="Y28" s="9" t="n">
        <f aca="false">MAX(Y22,$F$8)</f>
        <v>46023</v>
      </c>
      <c r="Z28" s="9" t="n">
        <f aca="false">MAX(Z22,$F$8)</f>
        <v>46204</v>
      </c>
      <c r="AA28" s="9" t="n">
        <f aca="false">MAX(AA22,$F$8)</f>
        <v>46388</v>
      </c>
      <c r="AB28" s="9" t="n">
        <f aca="false">MAX(AB22,$F$8)</f>
        <v>46569</v>
      </c>
      <c r="AC28" s="9" t="n">
        <f aca="false">MAX(AC22,$F$8)</f>
        <v>46753</v>
      </c>
      <c r="AD28" s="9" t="n">
        <f aca="false">MAX(AD22,$F$8)</f>
        <v>46935</v>
      </c>
      <c r="AE28" s="9" t="n">
        <f aca="false">MAX(AE22,$F$8)</f>
        <v>47119</v>
      </c>
      <c r="AF28" s="9" t="n">
        <f aca="false">MAX(AF22,$F$8)</f>
        <v>47300</v>
      </c>
      <c r="AG28" s="9" t="n">
        <f aca="false">MAX(AG22,$F$8)</f>
        <v>47484</v>
      </c>
      <c r="AH28" s="9" t="n">
        <f aca="false">MAX(AH22,$F$8)</f>
        <v>47665</v>
      </c>
      <c r="AI28" s="9" t="n">
        <f aca="false">MAX(AI22,$F$8)</f>
        <v>47849</v>
      </c>
      <c r="AJ28" s="9" t="n">
        <f aca="false">MAX(AJ22,$F$8)</f>
        <v>48030</v>
      </c>
      <c r="AK28" s="9" t="n">
        <f aca="false">MAX(AK22,$F$8)</f>
        <v>48214</v>
      </c>
      <c r="AL28" s="9" t="n">
        <f aca="false">MAX(AL22,$F$8)</f>
        <v>48396</v>
      </c>
      <c r="AM28" s="9" t="n">
        <f aca="false">MAX(AM22,$F$8)</f>
        <v>48580</v>
      </c>
      <c r="AN28" s="9" t="n">
        <f aca="false">MAX(AN22,$F$8)</f>
        <v>48761</v>
      </c>
      <c r="AO28" s="9" t="n">
        <f aca="false">MAX(AO22,$F$8)</f>
        <v>48945</v>
      </c>
      <c r="AP28" s="9" t="n">
        <f aca="false">MAX(AP22,$F$8)</f>
        <v>49126</v>
      </c>
      <c r="AQ28" s="9" t="n">
        <f aca="false">MAX(AQ22,$F$8)</f>
        <v>49310</v>
      </c>
      <c r="AR28" s="9" t="n">
        <f aca="false">MAX(AR22,$F$8)</f>
        <v>49491</v>
      </c>
      <c r="AS28" s="9" t="n">
        <f aca="false">MAX(AS22,$F$8)</f>
        <v>49675</v>
      </c>
      <c r="AT28" s="9" t="n">
        <f aca="false">MAX(AT22,$F$8)</f>
        <v>49857</v>
      </c>
      <c r="AU28" s="9" t="n">
        <f aca="false">MAX(AU22,$F$8)</f>
        <v>50041</v>
      </c>
      <c r="AV28" s="9" t="n">
        <f aca="false">MAX(AV22,$F$8)</f>
        <v>50222</v>
      </c>
      <c r="AW28" s="9" t="n">
        <f aca="false">MAX(AW22,$F$8)</f>
        <v>50406</v>
      </c>
      <c r="AX28" s="9" t="n">
        <f aca="false">MAX(AX22,$F$8)</f>
        <v>50587</v>
      </c>
      <c r="AY28" s="9" t="n">
        <f aca="false">MAX(AY22,$F$8)</f>
        <v>50771</v>
      </c>
      <c r="AZ28" s="9" t="n">
        <f aca="false">MAX(AZ22,$F$8)</f>
        <v>50952</v>
      </c>
      <c r="BA28" s="9" t="n">
        <f aca="false">MAX(BA22,$F$8)</f>
        <v>51136</v>
      </c>
      <c r="BB28" s="9" t="n">
        <f aca="false">MAX(BB22,$F$8)</f>
        <v>51318</v>
      </c>
      <c r="BC28" s="9" t="n">
        <f aca="false">MAX(BC22,$F$8)</f>
        <v>51502</v>
      </c>
      <c r="BD28" s="9" t="n">
        <f aca="false">MAX(BD22,$F$8)</f>
        <v>51683</v>
      </c>
      <c r="BE28" s="9" t="n">
        <f aca="false">MAX(BE22,$F$8)</f>
        <v>51867</v>
      </c>
      <c r="BF28" s="9" t="n">
        <f aca="false">MAX(BF22,$F$8)</f>
        <v>52048</v>
      </c>
      <c r="BG28" s="9" t="n">
        <f aca="false">MAX(BG22,$F$8)</f>
        <v>52232</v>
      </c>
      <c r="BH28" s="9" t="n">
        <f aca="false">MAX(BH22,$F$8)</f>
        <v>52413</v>
      </c>
      <c r="BI28" s="9" t="n">
        <f aca="false">MAX(BI22,$F$8)</f>
        <v>52597</v>
      </c>
      <c r="BJ28" s="9" t="n">
        <f aca="false">MAX(BJ22,$F$8)</f>
        <v>52779</v>
      </c>
      <c r="BK28" s="9" t="n">
        <f aca="false">MAX(BK22,$F$8)</f>
        <v>52963</v>
      </c>
      <c r="BL28" s="9" t="n">
        <f aca="false">MAX(BL22,$F$8)</f>
        <v>53144</v>
      </c>
      <c r="BM28" s="9" t="n">
        <f aca="false">MAX(BM22,$F$8)</f>
        <v>53328</v>
      </c>
      <c r="BN28" s="9" t="n">
        <f aca="false">MAX(BN22,$F$8)</f>
        <v>53509</v>
      </c>
    </row>
    <row r="29" customFormat="false" ht="15" hidden="false" customHeight="false" outlineLevel="0" collapsed="false">
      <c r="D29" s="0" t="s">
        <v>450</v>
      </c>
      <c r="E29" s="0" t="s">
        <v>296</v>
      </c>
      <c r="J29" s="9" t="n">
        <f aca="false">MIN(J23,$F$10)</f>
        <v>43465</v>
      </c>
      <c r="K29" s="9" t="n">
        <f aca="false">MIN(K23,$F$10)</f>
        <v>43646</v>
      </c>
      <c r="L29" s="9" t="n">
        <f aca="false">MIN(L23,$F$10)</f>
        <v>43830</v>
      </c>
      <c r="M29" s="9" t="n">
        <f aca="false">MIN(M23,$F$10)</f>
        <v>44012</v>
      </c>
      <c r="N29" s="9" t="n">
        <f aca="false">MIN(N23,$F$10)</f>
        <v>44196</v>
      </c>
      <c r="O29" s="9" t="n">
        <f aca="false">MIN(O23,$F$10)</f>
        <v>44377</v>
      </c>
      <c r="P29" s="9" t="n">
        <f aca="false">MIN(P23,$F$10)</f>
        <v>44561</v>
      </c>
      <c r="Q29" s="9" t="n">
        <f aca="false">MIN(Q23,$F$10)</f>
        <v>44742</v>
      </c>
      <c r="R29" s="9" t="n">
        <f aca="false">MIN(R23,$F$10)</f>
        <v>44926</v>
      </c>
      <c r="S29" s="9" t="n">
        <f aca="false">MIN(S23,$F$10)</f>
        <v>45107</v>
      </c>
      <c r="T29" s="9" t="n">
        <f aca="false">MIN(T23,$F$10)</f>
        <v>45291</v>
      </c>
      <c r="U29" s="9" t="n">
        <f aca="false">MIN(U23,$F$10)</f>
        <v>45473</v>
      </c>
      <c r="V29" s="9" t="n">
        <f aca="false">MIN(V23,$F$10)</f>
        <v>45657</v>
      </c>
      <c r="W29" s="9" t="n">
        <f aca="false">MIN(W23,$F$10)</f>
        <v>45838</v>
      </c>
      <c r="X29" s="9" t="n">
        <f aca="false">MIN(X23,$F$10)</f>
        <v>46022</v>
      </c>
      <c r="Y29" s="9" t="n">
        <f aca="false">MIN(Y23,$F$10)</f>
        <v>46203</v>
      </c>
      <c r="Z29" s="9" t="n">
        <f aca="false">MIN(Z23,$F$10)</f>
        <v>46387</v>
      </c>
      <c r="AA29" s="9" t="n">
        <f aca="false">MIN(AA23,$F$10)</f>
        <v>46568</v>
      </c>
      <c r="AB29" s="9" t="n">
        <f aca="false">MIN(AB23,$F$10)</f>
        <v>46752</v>
      </c>
      <c r="AC29" s="9" t="n">
        <f aca="false">MIN(AC23,$F$10)</f>
        <v>46934</v>
      </c>
      <c r="AD29" s="9" t="n">
        <f aca="false">MIN(AD23,$F$10)</f>
        <v>47118</v>
      </c>
      <c r="AE29" s="9" t="n">
        <f aca="false">MIN(AE23,$F$10)</f>
        <v>47299</v>
      </c>
      <c r="AF29" s="9" t="n">
        <f aca="false">MIN(AF23,$F$10)</f>
        <v>47483</v>
      </c>
      <c r="AG29" s="9" t="n">
        <f aca="false">MIN(AG23,$F$10)</f>
        <v>47664</v>
      </c>
      <c r="AH29" s="9" t="n">
        <f aca="false">MIN(AH23,$F$10)</f>
        <v>47848</v>
      </c>
      <c r="AI29" s="9" t="n">
        <f aca="false">MIN(AI23,$F$10)</f>
        <v>48029</v>
      </c>
      <c r="AJ29" s="9" t="n">
        <f aca="false">MIN(AJ23,$F$10)</f>
        <v>48213</v>
      </c>
      <c r="AK29" s="9" t="n">
        <f aca="false">MIN(AK23,$F$10)</f>
        <v>48395</v>
      </c>
      <c r="AL29" s="9" t="n">
        <f aca="false">MIN(AL23,$F$10)</f>
        <v>48579</v>
      </c>
      <c r="AM29" s="9" t="n">
        <f aca="false">MIN(AM23,$F$10)</f>
        <v>48760</v>
      </c>
      <c r="AN29" s="9" t="n">
        <f aca="false">MIN(AN23,$F$10)</f>
        <v>48944</v>
      </c>
      <c r="AO29" s="9" t="n">
        <f aca="false">MIN(AO23,$F$10)</f>
        <v>49125</v>
      </c>
      <c r="AP29" s="9" t="n">
        <f aca="false">MIN(AP23,$F$10)</f>
        <v>49309</v>
      </c>
      <c r="AQ29" s="9" t="n">
        <f aca="false">MIN(AQ23,$F$10)</f>
        <v>49490</v>
      </c>
      <c r="AR29" s="9" t="n">
        <f aca="false">MIN(AR23,$F$10)</f>
        <v>49674</v>
      </c>
      <c r="AS29" s="9" t="n">
        <f aca="false">MIN(AS23,$F$10)</f>
        <v>49856</v>
      </c>
      <c r="AT29" s="9" t="n">
        <f aca="false">MIN(AT23,$F$10)</f>
        <v>50040</v>
      </c>
      <c r="AU29" s="9" t="n">
        <f aca="false">MIN(AU23,$F$10)</f>
        <v>50221</v>
      </c>
      <c r="AV29" s="9" t="n">
        <f aca="false">MIN(AV23,$F$10)</f>
        <v>50405</v>
      </c>
      <c r="AW29" s="9" t="n">
        <f aca="false">MIN(AW23,$F$10)</f>
        <v>50586</v>
      </c>
      <c r="AX29" s="9" t="n">
        <f aca="false">MIN(AX23,$F$10)</f>
        <v>50770</v>
      </c>
      <c r="AY29" s="9" t="n">
        <f aca="false">MIN(AY23,$F$10)</f>
        <v>50951</v>
      </c>
      <c r="AZ29" s="9" t="n">
        <f aca="false">MIN(AZ23,$F$10)</f>
        <v>51135</v>
      </c>
      <c r="BA29" s="9" t="n">
        <f aca="false">MIN(BA23,$F$10)</f>
        <v>51317</v>
      </c>
      <c r="BB29" s="9" t="n">
        <f aca="false">MIN(BB23,$F$10)</f>
        <v>51501</v>
      </c>
      <c r="BC29" s="9" t="n">
        <f aca="false">MIN(BC23,$F$10)</f>
        <v>51682</v>
      </c>
      <c r="BD29" s="9" t="n">
        <f aca="false">MIN(BD23,$F$10)</f>
        <v>51866</v>
      </c>
      <c r="BE29" s="9" t="n">
        <f aca="false">MIN(BE23,$F$10)</f>
        <v>52047</v>
      </c>
      <c r="BF29" s="9" t="n">
        <f aca="false">MIN(BF23,$F$10)</f>
        <v>52231</v>
      </c>
      <c r="BG29" s="9" t="n">
        <f aca="false">MIN(BG23,$F$10)</f>
        <v>52412</v>
      </c>
      <c r="BH29" s="9" t="n">
        <f aca="false">MIN(BH23,$F$10)</f>
        <v>52596</v>
      </c>
      <c r="BI29" s="9" t="n">
        <f aca="false">MIN(BI23,$F$10)</f>
        <v>52778</v>
      </c>
      <c r="BJ29" s="9" t="n">
        <f aca="false">MIN(BJ23,$F$10)</f>
        <v>52962</v>
      </c>
      <c r="BK29" s="9" t="n">
        <f aca="false">MIN(BK23,$F$10)</f>
        <v>53143</v>
      </c>
      <c r="BL29" s="9" t="n">
        <f aca="false">MIN(BL23,$F$10)</f>
        <v>53327</v>
      </c>
      <c r="BM29" s="9" t="n">
        <f aca="false">MIN(BM23,$F$10)</f>
        <v>53447</v>
      </c>
      <c r="BN29" s="9" t="n">
        <f aca="false">MIN(BN23,$F$10)</f>
        <v>53447</v>
      </c>
    </row>
    <row r="30" customFormat="false" ht="15" hidden="false" customHeight="false" outlineLevel="0" collapsed="false">
      <c r="D30" s="0" t="s">
        <v>451</v>
      </c>
      <c r="E30" s="0" t="s">
        <v>97</v>
      </c>
      <c r="J30" s="10" t="n">
        <f aca="false">IF(J29&gt;=J28,(YEAR(J29)-YEAR(J28))*12+MONTH(J29)-MONTH(J28)+1,0)</f>
        <v>0</v>
      </c>
      <c r="K30" s="10" t="n">
        <f aca="false">IF(K29&gt;=K28,(YEAR(K29)-YEAR(K28))*12+MONTH(K29)-MONTH(K28)+1,0)</f>
        <v>0</v>
      </c>
      <c r="L30" s="10" t="n">
        <f aca="false">IF(L29&gt;=L28,(YEAR(L29)-YEAR(L28))*12+MONTH(L29)-MONTH(L28)+1,0)</f>
        <v>0</v>
      </c>
      <c r="M30" s="10" t="n">
        <f aca="false">IF(M29&gt;=M28,(YEAR(M29)-YEAR(M28))*12+MONTH(M29)-MONTH(M28)+1,0)</f>
        <v>0</v>
      </c>
      <c r="N30" s="10" t="n">
        <f aca="false">IF(N29&gt;=N28,(YEAR(N29)-YEAR(N28))*12+MONTH(N29)-MONTH(N28)+1,0)</f>
        <v>0</v>
      </c>
      <c r="O30" s="10" t="n">
        <f aca="false">IF(O29&gt;=O28,(YEAR(O29)-YEAR(O28))*12+MONTH(O29)-MONTH(O28)+1,0)</f>
        <v>2</v>
      </c>
      <c r="P30" s="10" t="n">
        <f aca="false">IF(P29&gt;=P28,(YEAR(P29)-YEAR(P28))*12+MONTH(P29)-MONTH(P28)+1,0)</f>
        <v>6</v>
      </c>
      <c r="Q30" s="10" t="n">
        <f aca="false">IF(Q29&gt;=Q28,(YEAR(Q29)-YEAR(Q28))*12+MONTH(Q29)-MONTH(Q28)+1,0)</f>
        <v>6</v>
      </c>
      <c r="R30" s="10" t="n">
        <f aca="false">IF(R29&gt;=R28,(YEAR(R29)-YEAR(R28))*12+MONTH(R29)-MONTH(R28)+1,0)</f>
        <v>6</v>
      </c>
      <c r="S30" s="10" t="n">
        <f aca="false">IF(S29&gt;=S28,(YEAR(S29)-YEAR(S28))*12+MONTH(S29)-MONTH(S28)+1,0)</f>
        <v>6</v>
      </c>
      <c r="T30" s="10" t="n">
        <f aca="false">IF(T29&gt;=T28,(YEAR(T29)-YEAR(T28))*12+MONTH(T29)-MONTH(T28)+1,0)</f>
        <v>6</v>
      </c>
      <c r="U30" s="10" t="n">
        <f aca="false">IF(U29&gt;=U28,(YEAR(U29)-YEAR(U28))*12+MONTH(U29)-MONTH(U28)+1,0)</f>
        <v>6</v>
      </c>
      <c r="V30" s="10" t="n">
        <f aca="false">IF(V29&gt;=V28,(YEAR(V29)-YEAR(V28))*12+MONTH(V29)-MONTH(V28)+1,0)</f>
        <v>6</v>
      </c>
      <c r="W30" s="10" t="n">
        <f aca="false">IF(W29&gt;=W28,(YEAR(W29)-YEAR(W28))*12+MONTH(W29)-MONTH(W28)+1,0)</f>
        <v>6</v>
      </c>
      <c r="X30" s="10" t="n">
        <f aca="false">IF(X29&gt;=X28,(YEAR(X29)-YEAR(X28))*12+MONTH(X29)-MONTH(X28)+1,0)</f>
        <v>6</v>
      </c>
      <c r="Y30" s="10" t="n">
        <f aca="false">IF(Y29&gt;=Y28,(YEAR(Y29)-YEAR(Y28))*12+MONTH(Y29)-MONTH(Y28)+1,0)</f>
        <v>6</v>
      </c>
      <c r="Z30" s="10" t="n">
        <f aca="false">IF(Z29&gt;=Z28,(YEAR(Z29)-YEAR(Z28))*12+MONTH(Z29)-MONTH(Z28)+1,0)</f>
        <v>6</v>
      </c>
      <c r="AA30" s="10" t="n">
        <f aca="false">IF(AA29&gt;=AA28,(YEAR(AA29)-YEAR(AA28))*12+MONTH(AA29)-MONTH(AA28)+1,0)</f>
        <v>6</v>
      </c>
      <c r="AB30" s="10" t="n">
        <f aca="false">IF(AB29&gt;=AB28,(YEAR(AB29)-YEAR(AB28))*12+MONTH(AB29)-MONTH(AB28)+1,0)</f>
        <v>6</v>
      </c>
      <c r="AC30" s="10" t="n">
        <f aca="false">IF(AC29&gt;=AC28,(YEAR(AC29)-YEAR(AC28))*12+MONTH(AC29)-MONTH(AC28)+1,0)</f>
        <v>6</v>
      </c>
      <c r="AD30" s="10" t="n">
        <f aca="false">IF(AD29&gt;=AD28,(YEAR(AD29)-YEAR(AD28))*12+MONTH(AD29)-MONTH(AD28)+1,0)</f>
        <v>6</v>
      </c>
      <c r="AE30" s="10" t="n">
        <f aca="false">IF(AE29&gt;=AE28,(YEAR(AE29)-YEAR(AE28))*12+MONTH(AE29)-MONTH(AE28)+1,0)</f>
        <v>6</v>
      </c>
      <c r="AF30" s="10" t="n">
        <f aca="false">IF(AF29&gt;=AF28,(YEAR(AF29)-YEAR(AF28))*12+MONTH(AF29)-MONTH(AF28)+1,0)</f>
        <v>6</v>
      </c>
      <c r="AG30" s="10" t="n">
        <f aca="false">IF(AG29&gt;=AG28,(YEAR(AG29)-YEAR(AG28))*12+MONTH(AG29)-MONTH(AG28)+1,0)</f>
        <v>6</v>
      </c>
      <c r="AH30" s="10" t="n">
        <f aca="false">IF(AH29&gt;=AH28,(YEAR(AH29)-YEAR(AH28))*12+MONTH(AH29)-MONTH(AH28)+1,0)</f>
        <v>6</v>
      </c>
      <c r="AI30" s="10" t="n">
        <f aca="false">IF(AI29&gt;=AI28,(YEAR(AI29)-YEAR(AI28))*12+MONTH(AI29)-MONTH(AI28)+1,0)</f>
        <v>6</v>
      </c>
      <c r="AJ30" s="10" t="n">
        <f aca="false">IF(AJ29&gt;=AJ28,(YEAR(AJ29)-YEAR(AJ28))*12+MONTH(AJ29)-MONTH(AJ28)+1,0)</f>
        <v>6</v>
      </c>
      <c r="AK30" s="10" t="n">
        <f aca="false">IF(AK29&gt;=AK28,(YEAR(AK29)-YEAR(AK28))*12+MONTH(AK29)-MONTH(AK28)+1,0)</f>
        <v>6</v>
      </c>
      <c r="AL30" s="10" t="n">
        <f aca="false">IF(AL29&gt;=AL28,(YEAR(AL29)-YEAR(AL28))*12+MONTH(AL29)-MONTH(AL28)+1,0)</f>
        <v>6</v>
      </c>
      <c r="AM30" s="10" t="n">
        <f aca="false">IF(AM29&gt;=AM28,(YEAR(AM29)-YEAR(AM28))*12+MONTH(AM29)-MONTH(AM28)+1,0)</f>
        <v>6</v>
      </c>
      <c r="AN30" s="10" t="n">
        <f aca="false">IF(AN29&gt;=AN28,(YEAR(AN29)-YEAR(AN28))*12+MONTH(AN29)-MONTH(AN28)+1,0)</f>
        <v>6</v>
      </c>
      <c r="AO30" s="10" t="n">
        <f aca="false">IF(AO29&gt;=AO28,(YEAR(AO29)-YEAR(AO28))*12+MONTH(AO29)-MONTH(AO28)+1,0)</f>
        <v>6</v>
      </c>
      <c r="AP30" s="10" t="n">
        <f aca="false">IF(AP29&gt;=AP28,(YEAR(AP29)-YEAR(AP28))*12+MONTH(AP29)-MONTH(AP28)+1,0)</f>
        <v>6</v>
      </c>
      <c r="AQ30" s="10" t="n">
        <f aca="false">IF(AQ29&gt;=AQ28,(YEAR(AQ29)-YEAR(AQ28))*12+MONTH(AQ29)-MONTH(AQ28)+1,0)</f>
        <v>6</v>
      </c>
      <c r="AR30" s="10" t="n">
        <f aca="false">IF(AR29&gt;=AR28,(YEAR(AR29)-YEAR(AR28))*12+MONTH(AR29)-MONTH(AR28)+1,0)</f>
        <v>6</v>
      </c>
      <c r="AS30" s="10" t="n">
        <f aca="false">IF(AS29&gt;=AS28,(YEAR(AS29)-YEAR(AS28))*12+MONTH(AS29)-MONTH(AS28)+1,0)</f>
        <v>6</v>
      </c>
      <c r="AT30" s="10" t="n">
        <f aca="false">IF(AT29&gt;=AT28,(YEAR(AT29)-YEAR(AT28))*12+MONTH(AT29)-MONTH(AT28)+1,0)</f>
        <v>6</v>
      </c>
      <c r="AU30" s="10" t="n">
        <f aca="false">IF(AU29&gt;=AU28,(YEAR(AU29)-YEAR(AU28))*12+MONTH(AU29)-MONTH(AU28)+1,0)</f>
        <v>6</v>
      </c>
      <c r="AV30" s="10" t="n">
        <f aca="false">IF(AV29&gt;=AV28,(YEAR(AV29)-YEAR(AV28))*12+MONTH(AV29)-MONTH(AV28)+1,0)</f>
        <v>6</v>
      </c>
      <c r="AW30" s="10" t="n">
        <f aca="false">IF(AW29&gt;=AW28,(YEAR(AW29)-YEAR(AW28))*12+MONTH(AW29)-MONTH(AW28)+1,0)</f>
        <v>6</v>
      </c>
      <c r="AX30" s="10" t="n">
        <f aca="false">IF(AX29&gt;=AX28,(YEAR(AX29)-YEAR(AX28))*12+MONTH(AX29)-MONTH(AX28)+1,0)</f>
        <v>6</v>
      </c>
      <c r="AY30" s="10" t="n">
        <f aca="false">IF(AY29&gt;=AY28,(YEAR(AY29)-YEAR(AY28))*12+MONTH(AY29)-MONTH(AY28)+1,0)</f>
        <v>6</v>
      </c>
      <c r="AZ30" s="10" t="n">
        <f aca="false">IF(AZ29&gt;=AZ28,(YEAR(AZ29)-YEAR(AZ28))*12+MONTH(AZ29)-MONTH(AZ28)+1,0)</f>
        <v>6</v>
      </c>
      <c r="BA30" s="10" t="n">
        <f aca="false">IF(BA29&gt;=BA28,(YEAR(BA29)-YEAR(BA28))*12+MONTH(BA29)-MONTH(BA28)+1,0)</f>
        <v>6</v>
      </c>
      <c r="BB30" s="10" t="n">
        <f aca="false">IF(BB29&gt;=BB28,(YEAR(BB29)-YEAR(BB28))*12+MONTH(BB29)-MONTH(BB28)+1,0)</f>
        <v>6</v>
      </c>
      <c r="BC30" s="10" t="n">
        <f aca="false">IF(BC29&gt;=BC28,(YEAR(BC29)-YEAR(BC28))*12+MONTH(BC29)-MONTH(BC28)+1,0)</f>
        <v>6</v>
      </c>
      <c r="BD30" s="10" t="n">
        <f aca="false">IF(BD29&gt;=BD28,(YEAR(BD29)-YEAR(BD28))*12+MONTH(BD29)-MONTH(BD28)+1,0)</f>
        <v>6</v>
      </c>
      <c r="BE30" s="10" t="n">
        <f aca="false">IF(BE29&gt;=BE28,(YEAR(BE29)-YEAR(BE28))*12+MONTH(BE29)-MONTH(BE28)+1,0)</f>
        <v>6</v>
      </c>
      <c r="BF30" s="10" t="n">
        <f aca="false">IF(BF29&gt;=BF28,(YEAR(BF29)-YEAR(BF28))*12+MONTH(BF29)-MONTH(BF28)+1,0)</f>
        <v>6</v>
      </c>
      <c r="BG30" s="10" t="n">
        <f aca="false">IF(BG29&gt;=BG28,(YEAR(BG29)-YEAR(BG28))*12+MONTH(BG29)-MONTH(BG28)+1,0)</f>
        <v>6</v>
      </c>
      <c r="BH30" s="10" t="n">
        <f aca="false">IF(BH29&gt;=BH28,(YEAR(BH29)-YEAR(BH28))*12+MONTH(BH29)-MONTH(BH28)+1,0)</f>
        <v>6</v>
      </c>
      <c r="BI30" s="10" t="n">
        <f aca="false">IF(BI29&gt;=BI28,(YEAR(BI29)-YEAR(BI28))*12+MONTH(BI29)-MONTH(BI28)+1,0)</f>
        <v>6</v>
      </c>
      <c r="BJ30" s="10" t="n">
        <f aca="false">IF(BJ29&gt;=BJ28,(YEAR(BJ29)-YEAR(BJ28))*12+MONTH(BJ29)-MONTH(BJ28)+1,0)</f>
        <v>6</v>
      </c>
      <c r="BK30" s="10" t="n">
        <f aca="false">IF(BK29&gt;=BK28,(YEAR(BK29)-YEAR(BK28))*12+MONTH(BK29)-MONTH(BK28)+1,0)</f>
        <v>6</v>
      </c>
      <c r="BL30" s="10" t="n">
        <f aca="false">IF(BL29&gt;=BL28,(YEAR(BL29)-YEAR(BL28))*12+MONTH(BL29)-MONTH(BL28)+1,0)</f>
        <v>6</v>
      </c>
      <c r="BM30" s="10" t="n">
        <f aca="false">IF(BM29&gt;=BM28,(YEAR(BM29)-YEAR(BM28))*12+MONTH(BM29)-MONTH(BM28)+1,0)</f>
        <v>4</v>
      </c>
      <c r="BN30" s="10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452</v>
      </c>
      <c r="E31" s="0" t="s">
        <v>111</v>
      </c>
      <c r="J31" s="10" t="n">
        <f aca="false">IF(J29&gt;=J28,J29-J28+1,0)</f>
        <v>0</v>
      </c>
      <c r="K31" s="10" t="n">
        <f aca="false">IF(K29&gt;=K28,K29-K28+1,0)</f>
        <v>0</v>
      </c>
      <c r="L31" s="10" t="n">
        <f aca="false">IF(L29&gt;=L28,L29-L28+1,0)</f>
        <v>0</v>
      </c>
      <c r="M31" s="10" t="n">
        <f aca="false">IF(M29&gt;=M28,M29-M28+1,0)</f>
        <v>0</v>
      </c>
      <c r="N31" s="10" t="n">
        <f aca="false">IF(N29&gt;=N28,N29-N28+1,0)</f>
        <v>0</v>
      </c>
      <c r="O31" s="10" t="n">
        <f aca="false">IF(O29&gt;=O28,O29-O28+1,0)</f>
        <v>61</v>
      </c>
      <c r="P31" s="10" t="n">
        <f aca="false">IF(P29&gt;=P28,P29-P28+1,0)</f>
        <v>184</v>
      </c>
      <c r="Q31" s="10" t="n">
        <f aca="false">IF(Q29&gt;=Q28,Q29-Q28+1,0)</f>
        <v>181</v>
      </c>
      <c r="R31" s="10" t="n">
        <f aca="false">IF(R29&gt;=R28,R29-R28+1,0)</f>
        <v>184</v>
      </c>
      <c r="S31" s="10" t="n">
        <f aca="false">IF(S29&gt;=S28,S29-S28+1,0)</f>
        <v>181</v>
      </c>
      <c r="T31" s="10" t="n">
        <f aca="false">IF(T29&gt;=T28,T29-T28+1,0)</f>
        <v>184</v>
      </c>
      <c r="U31" s="10" t="n">
        <f aca="false">IF(U29&gt;=U28,U29-U28+1,0)</f>
        <v>182</v>
      </c>
      <c r="V31" s="10" t="n">
        <f aca="false">IF(V29&gt;=V28,V29-V28+1,0)</f>
        <v>184</v>
      </c>
      <c r="W31" s="10" t="n">
        <f aca="false">IF(W29&gt;=W28,W29-W28+1,0)</f>
        <v>181</v>
      </c>
      <c r="X31" s="10" t="n">
        <f aca="false">IF(X29&gt;=X28,X29-X28+1,0)</f>
        <v>184</v>
      </c>
      <c r="Y31" s="10" t="n">
        <f aca="false">IF(Y29&gt;=Y28,Y29-Y28+1,0)</f>
        <v>181</v>
      </c>
      <c r="Z31" s="10" t="n">
        <f aca="false">IF(Z29&gt;=Z28,Z29-Z28+1,0)</f>
        <v>184</v>
      </c>
      <c r="AA31" s="10" t="n">
        <f aca="false">IF(AA29&gt;=AA28,AA29-AA28+1,0)</f>
        <v>181</v>
      </c>
      <c r="AB31" s="10" t="n">
        <f aca="false">IF(AB29&gt;=AB28,AB29-AB28+1,0)</f>
        <v>184</v>
      </c>
      <c r="AC31" s="10" t="n">
        <f aca="false">IF(AC29&gt;=AC28,AC29-AC28+1,0)</f>
        <v>182</v>
      </c>
      <c r="AD31" s="10" t="n">
        <f aca="false">IF(AD29&gt;=AD28,AD29-AD28+1,0)</f>
        <v>184</v>
      </c>
      <c r="AE31" s="10" t="n">
        <f aca="false">IF(AE29&gt;=AE28,AE29-AE28+1,0)</f>
        <v>181</v>
      </c>
      <c r="AF31" s="10" t="n">
        <f aca="false">IF(AF29&gt;=AF28,AF29-AF28+1,0)</f>
        <v>184</v>
      </c>
      <c r="AG31" s="10" t="n">
        <f aca="false">IF(AG29&gt;=AG28,AG29-AG28+1,0)</f>
        <v>181</v>
      </c>
      <c r="AH31" s="10" t="n">
        <f aca="false">IF(AH29&gt;=AH28,AH29-AH28+1,0)</f>
        <v>184</v>
      </c>
      <c r="AI31" s="10" t="n">
        <f aca="false">IF(AI29&gt;=AI28,AI29-AI28+1,0)</f>
        <v>181</v>
      </c>
      <c r="AJ31" s="10" t="n">
        <f aca="false">IF(AJ29&gt;=AJ28,AJ29-AJ28+1,0)</f>
        <v>184</v>
      </c>
      <c r="AK31" s="10" t="n">
        <f aca="false">IF(AK29&gt;=AK28,AK29-AK28+1,0)</f>
        <v>182</v>
      </c>
      <c r="AL31" s="10" t="n">
        <f aca="false">IF(AL29&gt;=AL28,AL29-AL28+1,0)</f>
        <v>184</v>
      </c>
      <c r="AM31" s="10" t="n">
        <f aca="false">IF(AM29&gt;=AM28,AM29-AM28+1,0)</f>
        <v>181</v>
      </c>
      <c r="AN31" s="10" t="n">
        <f aca="false">IF(AN29&gt;=AN28,AN29-AN28+1,0)</f>
        <v>184</v>
      </c>
      <c r="AO31" s="10" t="n">
        <f aca="false">IF(AO29&gt;=AO28,AO29-AO28+1,0)</f>
        <v>181</v>
      </c>
      <c r="AP31" s="10" t="n">
        <f aca="false">IF(AP29&gt;=AP28,AP29-AP28+1,0)</f>
        <v>184</v>
      </c>
      <c r="AQ31" s="10" t="n">
        <f aca="false">IF(AQ29&gt;=AQ28,AQ29-AQ28+1,0)</f>
        <v>181</v>
      </c>
      <c r="AR31" s="10" t="n">
        <f aca="false">IF(AR29&gt;=AR28,AR29-AR28+1,0)</f>
        <v>184</v>
      </c>
      <c r="AS31" s="10" t="n">
        <f aca="false">IF(AS29&gt;=AS28,AS29-AS28+1,0)</f>
        <v>182</v>
      </c>
      <c r="AT31" s="10" t="n">
        <f aca="false">IF(AT29&gt;=AT28,AT29-AT28+1,0)</f>
        <v>184</v>
      </c>
      <c r="AU31" s="10" t="n">
        <f aca="false">IF(AU29&gt;=AU28,AU29-AU28+1,0)</f>
        <v>181</v>
      </c>
      <c r="AV31" s="10" t="n">
        <f aca="false">IF(AV29&gt;=AV28,AV29-AV28+1,0)</f>
        <v>184</v>
      </c>
      <c r="AW31" s="10" t="n">
        <f aca="false">IF(AW29&gt;=AW28,AW29-AW28+1,0)</f>
        <v>181</v>
      </c>
      <c r="AX31" s="10" t="n">
        <f aca="false">IF(AX29&gt;=AX28,AX29-AX28+1,0)</f>
        <v>184</v>
      </c>
      <c r="AY31" s="10" t="n">
        <f aca="false">IF(AY29&gt;=AY28,AY29-AY28+1,0)</f>
        <v>181</v>
      </c>
      <c r="AZ31" s="10" t="n">
        <f aca="false">IF(AZ29&gt;=AZ28,AZ29-AZ28+1,0)</f>
        <v>184</v>
      </c>
      <c r="BA31" s="10" t="n">
        <f aca="false">IF(BA29&gt;=BA28,BA29-BA28+1,0)</f>
        <v>182</v>
      </c>
      <c r="BB31" s="10" t="n">
        <f aca="false">IF(BB29&gt;=BB28,BB29-BB28+1,0)</f>
        <v>184</v>
      </c>
      <c r="BC31" s="10" t="n">
        <f aca="false">IF(BC29&gt;=BC28,BC29-BC28+1,0)</f>
        <v>181</v>
      </c>
      <c r="BD31" s="10" t="n">
        <f aca="false">IF(BD29&gt;=BD28,BD29-BD28+1,0)</f>
        <v>184</v>
      </c>
      <c r="BE31" s="10" t="n">
        <f aca="false">IF(BE29&gt;=BE28,BE29-BE28+1,0)</f>
        <v>181</v>
      </c>
      <c r="BF31" s="10" t="n">
        <f aca="false">IF(BF29&gt;=BF28,BF29-BF28+1,0)</f>
        <v>184</v>
      </c>
      <c r="BG31" s="10" t="n">
        <f aca="false">IF(BG29&gt;=BG28,BG29-BG28+1,0)</f>
        <v>181</v>
      </c>
      <c r="BH31" s="10" t="n">
        <f aca="false">IF(BH29&gt;=BH28,BH29-BH28+1,0)</f>
        <v>184</v>
      </c>
      <c r="BI31" s="10" t="n">
        <f aca="false">IF(BI29&gt;=BI28,BI29-BI28+1,0)</f>
        <v>182</v>
      </c>
      <c r="BJ31" s="10" t="n">
        <f aca="false">IF(BJ29&gt;=BJ28,BJ29-BJ28+1,0)</f>
        <v>184</v>
      </c>
      <c r="BK31" s="10" t="n">
        <f aca="false">IF(BK29&gt;=BK28,BK29-BK28+1,0)</f>
        <v>181</v>
      </c>
      <c r="BL31" s="10" t="n">
        <f aca="false">IF(BL29&gt;=BL28,BL29-BL28+1,0)</f>
        <v>184</v>
      </c>
      <c r="BM31" s="10" t="n">
        <f aca="false">IF(BM29&gt;=BM28,BM29-BM28+1,0)</f>
        <v>120</v>
      </c>
      <c r="BN31" s="10" t="n">
        <f aca="false">IF(BN29&gt;=BN28,BN29-BN28+1,0)</f>
        <v>0</v>
      </c>
    </row>
    <row r="32" customFormat="false" ht="15" hidden="false" customHeight="false" outlineLevel="0" collapsed="false">
      <c r="D32" s="0" t="s">
        <v>453</v>
      </c>
      <c r="E32" s="0" t="s">
        <v>97</v>
      </c>
      <c r="J32" s="10" t="n">
        <f aca="false">MIN(MAX((YEAR(J22)-YEAR($F$8))*12+MONTH(J22)-MONTH($F$8),0),$F$9)</f>
        <v>0</v>
      </c>
      <c r="K32" s="10" t="n">
        <f aca="false">MIN(MAX((YEAR(K22)-YEAR($F$8))*12+MONTH(K22)-MONTH($F$8),0),$F$9)</f>
        <v>0</v>
      </c>
      <c r="L32" s="10" t="n">
        <f aca="false">MIN(MAX((YEAR(L22)-YEAR($F$8))*12+MONTH(L22)-MONTH($F$8),0),$F$9)</f>
        <v>0</v>
      </c>
      <c r="M32" s="10" t="n">
        <f aca="false">MIN(MAX((YEAR(M22)-YEAR($F$8))*12+MONTH(M22)-MONTH($F$8),0),$F$9)</f>
        <v>0</v>
      </c>
      <c r="N32" s="10" t="n">
        <f aca="false">MIN(MAX((YEAR(N22)-YEAR($F$8))*12+MONTH(N22)-MONTH($F$8),0),$F$9)</f>
        <v>0</v>
      </c>
      <c r="O32" s="10" t="n">
        <f aca="false">MIN(MAX((YEAR(O22)-YEAR($F$8))*12+MONTH(O22)-MONTH($F$8),0),$F$9)</f>
        <v>0</v>
      </c>
      <c r="P32" s="10" t="n">
        <f aca="false">MIN(MAX((YEAR(P22)-YEAR($F$8))*12+MONTH(P22)-MONTH($F$8),0),$F$9)</f>
        <v>2</v>
      </c>
      <c r="Q32" s="10" t="n">
        <f aca="false">MIN(MAX((YEAR(Q22)-YEAR($F$8))*12+MONTH(Q22)-MONTH($F$8),0),$F$9)</f>
        <v>8</v>
      </c>
      <c r="R32" s="10" t="n">
        <f aca="false">MIN(MAX((YEAR(R22)-YEAR($F$8))*12+MONTH(R22)-MONTH($F$8),0),$F$9)</f>
        <v>14</v>
      </c>
      <c r="S32" s="10" t="n">
        <f aca="false">MIN(MAX((YEAR(S22)-YEAR($F$8))*12+MONTH(S22)-MONTH($F$8),0),$F$9)</f>
        <v>20</v>
      </c>
      <c r="T32" s="10" t="n">
        <f aca="false">MIN(MAX((YEAR(T22)-YEAR($F$8))*12+MONTH(T22)-MONTH($F$8),0),$F$9)</f>
        <v>26</v>
      </c>
      <c r="U32" s="10" t="n">
        <f aca="false">MIN(MAX((YEAR(U22)-YEAR($F$8))*12+MONTH(U22)-MONTH($F$8),0),$F$9)</f>
        <v>32</v>
      </c>
      <c r="V32" s="10" t="n">
        <f aca="false">MIN(MAX((YEAR(V22)-YEAR($F$8))*12+MONTH(V22)-MONTH($F$8),0),$F$9)</f>
        <v>38</v>
      </c>
      <c r="W32" s="10" t="n">
        <f aca="false">MIN(MAX((YEAR(W22)-YEAR($F$8))*12+MONTH(W22)-MONTH($F$8),0),$F$9)</f>
        <v>44</v>
      </c>
      <c r="X32" s="10" t="n">
        <f aca="false">MIN(MAX((YEAR(X22)-YEAR($F$8))*12+MONTH(X22)-MONTH($F$8),0),$F$9)</f>
        <v>50</v>
      </c>
      <c r="Y32" s="10" t="n">
        <f aca="false">MIN(MAX((YEAR(Y22)-YEAR($F$8))*12+MONTH(Y22)-MONTH($F$8),0),$F$9)</f>
        <v>56</v>
      </c>
      <c r="Z32" s="10" t="n">
        <f aca="false">MIN(MAX((YEAR(Z22)-YEAR($F$8))*12+MONTH(Z22)-MONTH($F$8),0),$F$9)</f>
        <v>62</v>
      </c>
      <c r="AA32" s="10" t="n">
        <f aca="false">MIN(MAX((YEAR(AA22)-YEAR($F$8))*12+MONTH(AA22)-MONTH($F$8),0),$F$9)</f>
        <v>68</v>
      </c>
      <c r="AB32" s="10" t="n">
        <f aca="false">MIN(MAX((YEAR(AB22)-YEAR($F$8))*12+MONTH(AB22)-MONTH($F$8),0),$F$9)</f>
        <v>74</v>
      </c>
      <c r="AC32" s="10" t="n">
        <f aca="false">MIN(MAX((YEAR(AC22)-YEAR($F$8))*12+MONTH(AC22)-MONTH($F$8),0),$F$9)</f>
        <v>80</v>
      </c>
      <c r="AD32" s="10" t="n">
        <f aca="false">MIN(MAX((YEAR(AD22)-YEAR($F$8))*12+MONTH(AD22)-MONTH($F$8),0),$F$9)</f>
        <v>86</v>
      </c>
      <c r="AE32" s="10" t="n">
        <f aca="false">MIN(MAX((YEAR(AE22)-YEAR($F$8))*12+MONTH(AE22)-MONTH($F$8),0),$F$9)</f>
        <v>92</v>
      </c>
      <c r="AF32" s="10" t="n">
        <f aca="false">MIN(MAX((YEAR(AF22)-YEAR($F$8))*12+MONTH(AF22)-MONTH($F$8),0),$F$9)</f>
        <v>98</v>
      </c>
      <c r="AG32" s="10" t="n">
        <f aca="false">MIN(MAX((YEAR(AG22)-YEAR($F$8))*12+MONTH(AG22)-MONTH($F$8),0),$F$9)</f>
        <v>104</v>
      </c>
      <c r="AH32" s="10" t="n">
        <f aca="false">MIN(MAX((YEAR(AH22)-YEAR($F$8))*12+MONTH(AH22)-MONTH($F$8),0),$F$9)</f>
        <v>110</v>
      </c>
      <c r="AI32" s="10" t="n">
        <f aca="false">MIN(MAX((YEAR(AI22)-YEAR($F$8))*12+MONTH(AI22)-MONTH($F$8),0),$F$9)</f>
        <v>116</v>
      </c>
      <c r="AJ32" s="10" t="n">
        <f aca="false">MIN(MAX((YEAR(AJ22)-YEAR($F$8))*12+MONTH(AJ22)-MONTH($F$8),0),$F$9)</f>
        <v>122</v>
      </c>
      <c r="AK32" s="10" t="n">
        <f aca="false">MIN(MAX((YEAR(AK22)-YEAR($F$8))*12+MONTH(AK22)-MONTH($F$8),0),$F$9)</f>
        <v>128</v>
      </c>
      <c r="AL32" s="10" t="n">
        <f aca="false">MIN(MAX((YEAR(AL22)-YEAR($F$8))*12+MONTH(AL22)-MONTH($F$8),0),$F$9)</f>
        <v>134</v>
      </c>
      <c r="AM32" s="10" t="n">
        <f aca="false">MIN(MAX((YEAR(AM22)-YEAR($F$8))*12+MONTH(AM22)-MONTH($F$8),0),$F$9)</f>
        <v>140</v>
      </c>
      <c r="AN32" s="10" t="n">
        <f aca="false">MIN(MAX((YEAR(AN22)-YEAR($F$8))*12+MONTH(AN22)-MONTH($F$8),0),$F$9)</f>
        <v>146</v>
      </c>
      <c r="AO32" s="10" t="n">
        <f aca="false">MIN(MAX((YEAR(AO22)-YEAR($F$8))*12+MONTH(AO22)-MONTH($F$8),0),$F$9)</f>
        <v>152</v>
      </c>
      <c r="AP32" s="10" t="n">
        <f aca="false">MIN(MAX((YEAR(AP22)-YEAR($F$8))*12+MONTH(AP22)-MONTH($F$8),0),$F$9)</f>
        <v>158</v>
      </c>
      <c r="AQ32" s="10" t="n">
        <f aca="false">MIN(MAX((YEAR(AQ22)-YEAR($F$8))*12+MONTH(AQ22)-MONTH($F$8),0),$F$9)</f>
        <v>164</v>
      </c>
      <c r="AR32" s="10" t="n">
        <f aca="false">MIN(MAX((YEAR(AR22)-YEAR($F$8))*12+MONTH(AR22)-MONTH($F$8),0),$F$9)</f>
        <v>170</v>
      </c>
      <c r="AS32" s="10" t="n">
        <f aca="false">MIN(MAX((YEAR(AS22)-YEAR($F$8))*12+MONTH(AS22)-MONTH($F$8),0),$F$9)</f>
        <v>176</v>
      </c>
      <c r="AT32" s="10" t="n">
        <f aca="false">MIN(MAX((YEAR(AT22)-YEAR($F$8))*12+MONTH(AT22)-MONTH($F$8),0),$F$9)</f>
        <v>182</v>
      </c>
      <c r="AU32" s="10" t="n">
        <f aca="false">MIN(MAX((YEAR(AU22)-YEAR($F$8))*12+MONTH(AU22)-MONTH($F$8),0),$F$9)</f>
        <v>188</v>
      </c>
      <c r="AV32" s="10" t="n">
        <f aca="false">MIN(MAX((YEAR(AV22)-YEAR($F$8))*12+MONTH(AV22)-MONTH($F$8),0),$F$9)</f>
        <v>194</v>
      </c>
      <c r="AW32" s="10" t="n">
        <f aca="false">MIN(MAX((YEAR(AW22)-YEAR($F$8))*12+MONTH(AW22)-MONTH($F$8),0),$F$9)</f>
        <v>200</v>
      </c>
      <c r="AX32" s="10" t="n">
        <f aca="false">MIN(MAX((YEAR(AX22)-YEAR($F$8))*12+MONTH(AX22)-MONTH($F$8),0),$F$9)</f>
        <v>206</v>
      </c>
      <c r="AY32" s="10" t="n">
        <f aca="false">MIN(MAX((YEAR(AY22)-YEAR($F$8))*12+MONTH(AY22)-MONTH($F$8),0),$F$9)</f>
        <v>212</v>
      </c>
      <c r="AZ32" s="10" t="n">
        <f aca="false">MIN(MAX((YEAR(AZ22)-YEAR($F$8))*12+MONTH(AZ22)-MONTH($F$8),0),$F$9)</f>
        <v>218</v>
      </c>
      <c r="BA32" s="10" t="n">
        <f aca="false">MIN(MAX((YEAR(BA22)-YEAR($F$8))*12+MONTH(BA22)-MONTH($F$8),0),$F$9)</f>
        <v>224</v>
      </c>
      <c r="BB32" s="10" t="n">
        <f aca="false">MIN(MAX((YEAR(BB22)-YEAR($F$8))*12+MONTH(BB22)-MONTH($F$8),0),$F$9)</f>
        <v>230</v>
      </c>
      <c r="BC32" s="10" t="n">
        <f aca="false">MIN(MAX((YEAR(BC22)-YEAR($F$8))*12+MONTH(BC22)-MONTH($F$8),0),$F$9)</f>
        <v>236</v>
      </c>
      <c r="BD32" s="10" t="n">
        <f aca="false">MIN(MAX((YEAR(BD22)-YEAR($F$8))*12+MONTH(BD22)-MONTH($F$8),0),$F$9)</f>
        <v>242</v>
      </c>
      <c r="BE32" s="10" t="n">
        <f aca="false">MIN(MAX((YEAR(BE22)-YEAR($F$8))*12+MONTH(BE22)-MONTH($F$8),0),$F$9)</f>
        <v>248</v>
      </c>
      <c r="BF32" s="10" t="n">
        <f aca="false">MIN(MAX((YEAR(BF22)-YEAR($F$8))*12+MONTH(BF22)-MONTH($F$8),0),$F$9)</f>
        <v>254</v>
      </c>
      <c r="BG32" s="10" t="n">
        <f aca="false">MIN(MAX((YEAR(BG22)-YEAR($F$8))*12+MONTH(BG22)-MONTH($F$8),0),$F$9)</f>
        <v>260</v>
      </c>
      <c r="BH32" s="10" t="n">
        <f aca="false">MIN(MAX((YEAR(BH22)-YEAR($F$8))*12+MONTH(BH22)-MONTH($F$8),0),$F$9)</f>
        <v>266</v>
      </c>
      <c r="BI32" s="10" t="n">
        <f aca="false">MIN(MAX((YEAR(BI22)-YEAR($F$8))*12+MONTH(BI22)-MONTH($F$8),0),$F$9)</f>
        <v>272</v>
      </c>
      <c r="BJ32" s="10" t="n">
        <f aca="false">MIN(MAX((YEAR(BJ22)-YEAR($F$8))*12+MONTH(BJ22)-MONTH($F$8),0),$F$9)</f>
        <v>278</v>
      </c>
      <c r="BK32" s="10" t="n">
        <f aca="false">MIN(MAX((YEAR(BK22)-YEAR($F$8))*12+MONTH(BK22)-MONTH($F$8),0),$F$9)</f>
        <v>284</v>
      </c>
      <c r="BL32" s="10" t="n">
        <f aca="false">MIN(MAX((YEAR(BL22)-YEAR($F$8))*12+MONTH(BL22)-MONTH($F$8),0),$F$9)</f>
        <v>290</v>
      </c>
      <c r="BM32" s="10" t="n">
        <f aca="false">MIN(MAX((YEAR(BM22)-YEAR($F$8))*12+MONTH(BM22)-MONTH($F$8),0),$F$9)</f>
        <v>296</v>
      </c>
      <c r="BN32" s="10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454</v>
      </c>
      <c r="E33" s="0" t="s">
        <v>97</v>
      </c>
      <c r="J33" s="10" t="n">
        <f aca="false">J32+J30</f>
        <v>0</v>
      </c>
      <c r="K33" s="10" t="n">
        <f aca="false">K32+K30</f>
        <v>0</v>
      </c>
      <c r="L33" s="10" t="n">
        <f aca="false">L32+L30</f>
        <v>0</v>
      </c>
      <c r="M33" s="10" t="n">
        <f aca="false">M32+M30</f>
        <v>0</v>
      </c>
      <c r="N33" s="10" t="n">
        <f aca="false">N32+N30</f>
        <v>0</v>
      </c>
      <c r="O33" s="10" t="n">
        <f aca="false">O32+O30</f>
        <v>2</v>
      </c>
      <c r="P33" s="10" t="n">
        <f aca="false">P32+P30</f>
        <v>8</v>
      </c>
      <c r="Q33" s="10" t="n">
        <f aca="false">Q32+Q30</f>
        <v>14</v>
      </c>
      <c r="R33" s="10" t="n">
        <f aca="false">R32+R30</f>
        <v>20</v>
      </c>
      <c r="S33" s="10" t="n">
        <f aca="false">S32+S30</f>
        <v>26</v>
      </c>
      <c r="T33" s="10" t="n">
        <f aca="false">T32+T30</f>
        <v>32</v>
      </c>
      <c r="U33" s="10" t="n">
        <f aca="false">U32+U30</f>
        <v>38</v>
      </c>
      <c r="V33" s="10" t="n">
        <f aca="false">V32+V30</f>
        <v>44</v>
      </c>
      <c r="W33" s="10" t="n">
        <f aca="false">W32+W30</f>
        <v>50</v>
      </c>
      <c r="X33" s="10" t="n">
        <f aca="false">X32+X30</f>
        <v>56</v>
      </c>
      <c r="Y33" s="10" t="n">
        <f aca="false">Y32+Y30</f>
        <v>62</v>
      </c>
      <c r="Z33" s="10" t="n">
        <f aca="false">Z32+Z30</f>
        <v>68</v>
      </c>
      <c r="AA33" s="10" t="n">
        <f aca="false">AA32+AA30</f>
        <v>74</v>
      </c>
      <c r="AB33" s="10" t="n">
        <f aca="false">AB32+AB30</f>
        <v>80</v>
      </c>
      <c r="AC33" s="10" t="n">
        <f aca="false">AC32+AC30</f>
        <v>86</v>
      </c>
      <c r="AD33" s="10" t="n">
        <f aca="false">AD32+AD30</f>
        <v>92</v>
      </c>
      <c r="AE33" s="10" t="n">
        <f aca="false">AE32+AE30</f>
        <v>98</v>
      </c>
      <c r="AF33" s="10" t="n">
        <f aca="false">AF32+AF30</f>
        <v>104</v>
      </c>
      <c r="AG33" s="10" t="n">
        <f aca="false">AG32+AG30</f>
        <v>110</v>
      </c>
      <c r="AH33" s="10" t="n">
        <f aca="false">AH32+AH30</f>
        <v>116</v>
      </c>
      <c r="AI33" s="10" t="n">
        <f aca="false">AI32+AI30</f>
        <v>122</v>
      </c>
      <c r="AJ33" s="10" t="n">
        <f aca="false">AJ32+AJ30</f>
        <v>128</v>
      </c>
      <c r="AK33" s="10" t="n">
        <f aca="false">AK32+AK30</f>
        <v>134</v>
      </c>
      <c r="AL33" s="10" t="n">
        <f aca="false">AL32+AL30</f>
        <v>140</v>
      </c>
      <c r="AM33" s="10" t="n">
        <f aca="false">AM32+AM30</f>
        <v>146</v>
      </c>
      <c r="AN33" s="10" t="n">
        <f aca="false">AN32+AN30</f>
        <v>152</v>
      </c>
      <c r="AO33" s="10" t="n">
        <f aca="false">AO32+AO30</f>
        <v>158</v>
      </c>
      <c r="AP33" s="10" t="n">
        <f aca="false">AP32+AP30</f>
        <v>164</v>
      </c>
      <c r="AQ33" s="10" t="n">
        <f aca="false">AQ32+AQ30</f>
        <v>170</v>
      </c>
      <c r="AR33" s="10" t="n">
        <f aca="false">AR32+AR30</f>
        <v>176</v>
      </c>
      <c r="AS33" s="10" t="n">
        <f aca="false">AS32+AS30</f>
        <v>182</v>
      </c>
      <c r="AT33" s="10" t="n">
        <f aca="false">AT32+AT30</f>
        <v>188</v>
      </c>
      <c r="AU33" s="10" t="n">
        <f aca="false">AU32+AU30</f>
        <v>194</v>
      </c>
      <c r="AV33" s="10" t="n">
        <f aca="false">AV32+AV30</f>
        <v>200</v>
      </c>
      <c r="AW33" s="10" t="n">
        <f aca="false">AW32+AW30</f>
        <v>206</v>
      </c>
      <c r="AX33" s="10" t="n">
        <f aca="false">AX32+AX30</f>
        <v>212</v>
      </c>
      <c r="AY33" s="10" t="n">
        <f aca="false">AY32+AY30</f>
        <v>218</v>
      </c>
      <c r="AZ33" s="10" t="n">
        <f aca="false">AZ32+AZ30</f>
        <v>224</v>
      </c>
      <c r="BA33" s="10" t="n">
        <f aca="false">BA32+BA30</f>
        <v>230</v>
      </c>
      <c r="BB33" s="10" t="n">
        <f aca="false">BB32+BB30</f>
        <v>236</v>
      </c>
      <c r="BC33" s="10" t="n">
        <f aca="false">BC32+BC30</f>
        <v>242</v>
      </c>
      <c r="BD33" s="10" t="n">
        <f aca="false">BD32+BD30</f>
        <v>248</v>
      </c>
      <c r="BE33" s="10" t="n">
        <f aca="false">BE32+BE30</f>
        <v>254</v>
      </c>
      <c r="BF33" s="10" t="n">
        <f aca="false">BF32+BF30</f>
        <v>260</v>
      </c>
      <c r="BG33" s="10" t="n">
        <f aca="false">BG32+BG30</f>
        <v>266</v>
      </c>
      <c r="BH33" s="10" t="n">
        <f aca="false">BH32+BH30</f>
        <v>272</v>
      </c>
      <c r="BI33" s="10" t="n">
        <f aca="false">BI32+BI30</f>
        <v>278</v>
      </c>
      <c r="BJ33" s="10" t="n">
        <f aca="false">BJ32+BJ30</f>
        <v>284</v>
      </c>
      <c r="BK33" s="10" t="n">
        <f aca="false">BK32+BK30</f>
        <v>290</v>
      </c>
      <c r="BL33" s="10" t="n">
        <f aca="false">BL32+BL30</f>
        <v>296</v>
      </c>
      <c r="BM33" s="10" t="n">
        <f aca="false">BM32+BM30</f>
        <v>300</v>
      </c>
      <c r="BN33" s="10" t="n">
        <f aca="false">BN32+BN30</f>
        <v>300</v>
      </c>
    </row>
    <row r="34" customFormat="false" ht="15" hidden="false" customHeight="false" outlineLevel="0" collapsed="false">
      <c r="D34" s="0" t="s">
        <v>455</v>
      </c>
      <c r="E34" s="0" t="s">
        <v>113</v>
      </c>
      <c r="J34" s="10" t="n">
        <f aca="false">IF(J20=$F$12,1,0)</f>
        <v>0</v>
      </c>
      <c r="K34" s="10" t="n">
        <f aca="false">IF(K20=$F$12,1,0)</f>
        <v>0</v>
      </c>
      <c r="L34" s="10" t="n">
        <f aca="false">IF(L20=$F$12,1,0)</f>
        <v>0</v>
      </c>
      <c r="M34" s="10" t="n">
        <f aca="false">IF(M20=$F$12,1,0)</f>
        <v>0</v>
      </c>
      <c r="N34" s="10" t="n">
        <f aca="false">IF(N20=$F$12,1,0)</f>
        <v>0</v>
      </c>
      <c r="O34" s="10" t="n">
        <f aca="false">IF(O20=$F$12,1,0)</f>
        <v>1</v>
      </c>
      <c r="P34" s="10" t="n">
        <f aca="false">IF(P20=$F$12,1,0)</f>
        <v>0</v>
      </c>
      <c r="Q34" s="10" t="n">
        <f aca="false">IF(Q20=$F$12,1,0)</f>
        <v>0</v>
      </c>
      <c r="R34" s="10" t="n">
        <f aca="false">IF(R20=$F$12,1,0)</f>
        <v>0</v>
      </c>
      <c r="S34" s="10" t="n">
        <f aca="false">IF(S20=$F$12,1,0)</f>
        <v>0</v>
      </c>
      <c r="T34" s="10" t="n">
        <f aca="false">IF(T20=$F$12,1,0)</f>
        <v>0</v>
      </c>
      <c r="U34" s="10" t="n">
        <f aca="false">IF(U20=$F$12,1,0)</f>
        <v>0</v>
      </c>
      <c r="V34" s="10" t="n">
        <f aca="false">IF(V20=$F$12,1,0)</f>
        <v>0</v>
      </c>
      <c r="W34" s="10" t="n">
        <f aca="false">IF(W20=$F$12,1,0)</f>
        <v>0</v>
      </c>
      <c r="X34" s="10" t="n">
        <f aca="false">IF(X20=$F$12,1,0)</f>
        <v>0</v>
      </c>
      <c r="Y34" s="10" t="n">
        <f aca="false">IF(Y20=$F$12,1,0)</f>
        <v>0</v>
      </c>
      <c r="Z34" s="10" t="n">
        <f aca="false">IF(Z20=$F$12,1,0)</f>
        <v>0</v>
      </c>
      <c r="AA34" s="10" t="n">
        <f aca="false">IF(AA20=$F$12,1,0)</f>
        <v>0</v>
      </c>
      <c r="AB34" s="10" t="n">
        <f aca="false">IF(AB20=$F$12,1,0)</f>
        <v>0</v>
      </c>
      <c r="AC34" s="10" t="n">
        <f aca="false">IF(AC20=$F$12,1,0)</f>
        <v>0</v>
      </c>
      <c r="AD34" s="10" t="n">
        <f aca="false">IF(AD20=$F$12,1,0)</f>
        <v>0</v>
      </c>
      <c r="AE34" s="10" t="n">
        <f aca="false">IF(AE20=$F$12,1,0)</f>
        <v>0</v>
      </c>
      <c r="AF34" s="10" t="n">
        <f aca="false">IF(AF20=$F$12,1,0)</f>
        <v>0</v>
      </c>
      <c r="AG34" s="10" t="n">
        <f aca="false">IF(AG20=$F$12,1,0)</f>
        <v>0</v>
      </c>
      <c r="AH34" s="10" t="n">
        <f aca="false">IF(AH20=$F$12,1,0)</f>
        <v>0</v>
      </c>
      <c r="AI34" s="10" t="n">
        <f aca="false">IF(AI20=$F$12,1,0)</f>
        <v>0</v>
      </c>
      <c r="AJ34" s="10" t="n">
        <f aca="false">IF(AJ20=$F$12,1,0)</f>
        <v>0</v>
      </c>
      <c r="AK34" s="10" t="n">
        <f aca="false">IF(AK20=$F$12,1,0)</f>
        <v>0</v>
      </c>
      <c r="AL34" s="10" t="n">
        <f aca="false">IF(AL20=$F$12,1,0)</f>
        <v>0</v>
      </c>
      <c r="AM34" s="10" t="n">
        <f aca="false">IF(AM20=$F$12,1,0)</f>
        <v>0</v>
      </c>
      <c r="AN34" s="10" t="n">
        <f aca="false">IF(AN20=$F$12,1,0)</f>
        <v>0</v>
      </c>
      <c r="AO34" s="10" t="n">
        <f aca="false">IF(AO20=$F$12,1,0)</f>
        <v>0</v>
      </c>
      <c r="AP34" s="10" t="n">
        <f aca="false">IF(AP20=$F$12,1,0)</f>
        <v>0</v>
      </c>
      <c r="AQ34" s="10" t="n">
        <f aca="false">IF(AQ20=$F$12,1,0)</f>
        <v>0</v>
      </c>
      <c r="AR34" s="10" t="n">
        <f aca="false">IF(AR20=$F$12,1,0)</f>
        <v>0</v>
      </c>
      <c r="AS34" s="10" t="n">
        <f aca="false">IF(AS20=$F$12,1,0)</f>
        <v>0</v>
      </c>
      <c r="AT34" s="10" t="n">
        <f aca="false">IF(AT20=$F$12,1,0)</f>
        <v>0</v>
      </c>
      <c r="AU34" s="10" t="n">
        <f aca="false">IF(AU20=$F$12,1,0)</f>
        <v>0</v>
      </c>
      <c r="AV34" s="10" t="n">
        <f aca="false">IF(AV20=$F$12,1,0)</f>
        <v>0</v>
      </c>
      <c r="AW34" s="10" t="n">
        <f aca="false">IF(AW20=$F$12,1,0)</f>
        <v>0</v>
      </c>
      <c r="AX34" s="10" t="n">
        <f aca="false">IF(AX20=$F$12,1,0)</f>
        <v>0</v>
      </c>
      <c r="AY34" s="10" t="n">
        <f aca="false">IF(AY20=$F$12,1,0)</f>
        <v>0</v>
      </c>
      <c r="AZ34" s="10" t="n">
        <f aca="false">IF(AZ20=$F$12,1,0)</f>
        <v>0</v>
      </c>
      <c r="BA34" s="10" t="n">
        <f aca="false">IF(BA20=$F$12,1,0)</f>
        <v>0</v>
      </c>
      <c r="BB34" s="10" t="n">
        <f aca="false">IF(BB20=$F$12,1,0)</f>
        <v>0</v>
      </c>
      <c r="BC34" s="10" t="n">
        <f aca="false">IF(BC20=$F$12,1,0)</f>
        <v>0</v>
      </c>
      <c r="BD34" s="10" t="n">
        <f aca="false">IF(BD20=$F$12,1,0)</f>
        <v>0</v>
      </c>
      <c r="BE34" s="10" t="n">
        <f aca="false">IF(BE20=$F$12,1,0)</f>
        <v>0</v>
      </c>
      <c r="BF34" s="10" t="n">
        <f aca="false">IF(BF20=$F$12,1,0)</f>
        <v>0</v>
      </c>
      <c r="BG34" s="10" t="n">
        <f aca="false">IF(BG20=$F$12,1,0)</f>
        <v>0</v>
      </c>
      <c r="BH34" s="10" t="n">
        <f aca="false">IF(BH20=$F$12,1,0)</f>
        <v>0</v>
      </c>
      <c r="BI34" s="10" t="n">
        <f aca="false">IF(BI20=$F$12,1,0)</f>
        <v>0</v>
      </c>
      <c r="BJ34" s="10" t="n">
        <f aca="false">IF(BJ20=$F$12,1,0)</f>
        <v>0</v>
      </c>
      <c r="BK34" s="10" t="n">
        <f aca="false">IF(BK20=$F$12,1,0)</f>
        <v>0</v>
      </c>
      <c r="BL34" s="10" t="n">
        <f aca="false">IF(BL20=$F$12,1,0)</f>
        <v>0</v>
      </c>
      <c r="BM34" s="10" t="n">
        <f aca="false">IF(BM20=$F$12,1,0)</f>
        <v>0</v>
      </c>
      <c r="BN34" s="10" t="n">
        <f aca="false">IF(BN20=$F$12,1,0)</f>
        <v>0</v>
      </c>
    </row>
    <row r="35" customFormat="false" ht="15" hidden="false" customHeight="false" outlineLevel="0" collapsed="false">
      <c r="D35" s="0" t="s">
        <v>456</v>
      </c>
      <c r="E35" s="0" t="s">
        <v>113</v>
      </c>
      <c r="J35" s="10" t="n">
        <f aca="false">IF(J20&gt;$F$12,1,0)</f>
        <v>0</v>
      </c>
      <c r="K35" s="10" t="n">
        <f aca="false">IF(K20&gt;$F$12,1,0)</f>
        <v>0</v>
      </c>
      <c r="L35" s="10" t="n">
        <f aca="false">IF(L20&gt;$F$12,1,0)</f>
        <v>0</v>
      </c>
      <c r="M35" s="10" t="n">
        <f aca="false">IF(M20&gt;$F$12,1,0)</f>
        <v>0</v>
      </c>
      <c r="N35" s="10" t="n">
        <f aca="false">IF(N20&gt;$F$12,1,0)</f>
        <v>0</v>
      </c>
      <c r="O35" s="10" t="n">
        <f aca="false">IF(O20&gt;$F$12,1,0)</f>
        <v>0</v>
      </c>
      <c r="P35" s="10" t="n">
        <f aca="false">IF(P20&gt;$F$12,1,0)</f>
        <v>1</v>
      </c>
      <c r="Q35" s="10" t="n">
        <f aca="false">IF(Q20&gt;$F$12,1,0)</f>
        <v>1</v>
      </c>
      <c r="R35" s="10" t="n">
        <f aca="false">IF(R20&gt;$F$12,1,0)</f>
        <v>1</v>
      </c>
      <c r="S35" s="10" t="n">
        <f aca="false">IF(S20&gt;$F$12,1,0)</f>
        <v>1</v>
      </c>
      <c r="T35" s="10" t="n">
        <f aca="false">IF(T20&gt;$F$12,1,0)</f>
        <v>1</v>
      </c>
      <c r="U35" s="10" t="n">
        <f aca="false">IF(U20&gt;$F$12,1,0)</f>
        <v>1</v>
      </c>
      <c r="V35" s="10" t="n">
        <f aca="false">IF(V20&gt;$F$12,1,0)</f>
        <v>1</v>
      </c>
      <c r="W35" s="10" t="n">
        <f aca="false">IF(W20&gt;$F$12,1,0)</f>
        <v>1</v>
      </c>
      <c r="X35" s="10" t="n">
        <f aca="false">IF(X20&gt;$F$12,1,0)</f>
        <v>1</v>
      </c>
      <c r="Y35" s="10" t="n">
        <f aca="false">IF(Y20&gt;$F$12,1,0)</f>
        <v>1</v>
      </c>
      <c r="Z35" s="10" t="n">
        <f aca="false">IF(Z20&gt;$F$12,1,0)</f>
        <v>1</v>
      </c>
      <c r="AA35" s="10" t="n">
        <f aca="false">IF(AA20&gt;$F$12,1,0)</f>
        <v>1</v>
      </c>
      <c r="AB35" s="10" t="n">
        <f aca="false">IF(AB20&gt;$F$12,1,0)</f>
        <v>1</v>
      </c>
      <c r="AC35" s="10" t="n">
        <f aca="false">IF(AC20&gt;$F$12,1,0)</f>
        <v>1</v>
      </c>
      <c r="AD35" s="10" t="n">
        <f aca="false">IF(AD20&gt;$F$12,1,0)</f>
        <v>1</v>
      </c>
      <c r="AE35" s="10" t="n">
        <f aca="false">IF(AE20&gt;$F$12,1,0)</f>
        <v>1</v>
      </c>
      <c r="AF35" s="10" t="n">
        <f aca="false">IF(AF20&gt;$F$12,1,0)</f>
        <v>1</v>
      </c>
      <c r="AG35" s="10" t="n">
        <f aca="false">IF(AG20&gt;$F$12,1,0)</f>
        <v>1</v>
      </c>
      <c r="AH35" s="10" t="n">
        <f aca="false">IF(AH20&gt;$F$12,1,0)</f>
        <v>1</v>
      </c>
      <c r="AI35" s="10" t="n">
        <f aca="false">IF(AI20&gt;$F$12,1,0)</f>
        <v>1</v>
      </c>
      <c r="AJ35" s="10" t="n">
        <f aca="false">IF(AJ20&gt;$F$12,1,0)</f>
        <v>1</v>
      </c>
      <c r="AK35" s="10" t="n">
        <f aca="false">IF(AK20&gt;$F$12,1,0)</f>
        <v>1</v>
      </c>
      <c r="AL35" s="10" t="n">
        <f aca="false">IF(AL20&gt;$F$12,1,0)</f>
        <v>1</v>
      </c>
      <c r="AM35" s="10" t="n">
        <f aca="false">IF(AM20&gt;$F$12,1,0)</f>
        <v>1</v>
      </c>
      <c r="AN35" s="10" t="n">
        <f aca="false">IF(AN20&gt;$F$12,1,0)</f>
        <v>1</v>
      </c>
      <c r="AO35" s="10" t="n">
        <f aca="false">IF(AO20&gt;$F$12,1,0)</f>
        <v>1</v>
      </c>
      <c r="AP35" s="10" t="n">
        <f aca="false">IF(AP20&gt;$F$12,1,0)</f>
        <v>1</v>
      </c>
      <c r="AQ35" s="10" t="n">
        <f aca="false">IF(AQ20&gt;$F$12,1,0)</f>
        <v>1</v>
      </c>
      <c r="AR35" s="10" t="n">
        <f aca="false">IF(AR20&gt;$F$12,1,0)</f>
        <v>1</v>
      </c>
      <c r="AS35" s="10" t="n">
        <f aca="false">IF(AS20&gt;$F$12,1,0)</f>
        <v>1</v>
      </c>
      <c r="AT35" s="10" t="n">
        <f aca="false">IF(AT20&gt;$F$12,1,0)</f>
        <v>1</v>
      </c>
      <c r="AU35" s="10" t="n">
        <f aca="false">IF(AU20&gt;$F$12,1,0)</f>
        <v>1</v>
      </c>
      <c r="AV35" s="10" t="n">
        <f aca="false">IF(AV20&gt;$F$12,1,0)</f>
        <v>1</v>
      </c>
      <c r="AW35" s="10" t="n">
        <f aca="false">IF(AW20&gt;$F$12,1,0)</f>
        <v>1</v>
      </c>
      <c r="AX35" s="10" t="n">
        <f aca="false">IF(AX20&gt;$F$12,1,0)</f>
        <v>1</v>
      </c>
      <c r="AY35" s="10" t="n">
        <f aca="false">IF(AY20&gt;$F$12,1,0)</f>
        <v>1</v>
      </c>
      <c r="AZ35" s="10" t="n">
        <f aca="false">IF(AZ20&gt;$F$12,1,0)</f>
        <v>1</v>
      </c>
      <c r="BA35" s="10" t="n">
        <f aca="false">IF(BA20&gt;$F$12,1,0)</f>
        <v>1</v>
      </c>
      <c r="BB35" s="10" t="n">
        <f aca="false">IF(BB20&gt;$F$12,1,0)</f>
        <v>1</v>
      </c>
      <c r="BC35" s="10" t="n">
        <f aca="false">IF(BC20&gt;$F$12,1,0)</f>
        <v>1</v>
      </c>
      <c r="BD35" s="10" t="n">
        <f aca="false">IF(BD20&gt;$F$12,1,0)</f>
        <v>1</v>
      </c>
      <c r="BE35" s="10" t="n">
        <f aca="false">IF(BE20&gt;$F$12,1,0)</f>
        <v>1</v>
      </c>
      <c r="BF35" s="10" t="n">
        <f aca="false">IF(BF20&gt;$F$12,1,0)</f>
        <v>1</v>
      </c>
      <c r="BG35" s="10" t="n">
        <f aca="false">IF(BG20&gt;$F$12,1,0)</f>
        <v>1</v>
      </c>
      <c r="BH35" s="10" t="n">
        <f aca="false">IF(BH20&gt;$F$12,1,0)</f>
        <v>1</v>
      </c>
      <c r="BI35" s="10" t="n">
        <f aca="false">IF(BI20&gt;$F$12,1,0)</f>
        <v>1</v>
      </c>
      <c r="BJ35" s="10" t="n">
        <f aca="false">IF(BJ20&gt;$F$12,1,0)</f>
        <v>1</v>
      </c>
      <c r="BK35" s="10" t="n">
        <f aca="false">IF(BK20&gt;$F$12,1,0)</f>
        <v>1</v>
      </c>
      <c r="BL35" s="10" t="n">
        <f aca="false">IF(BL20&gt;$F$12,1,0)</f>
        <v>1</v>
      </c>
      <c r="BM35" s="10" t="n">
        <f aca="false">IF(BM20&gt;$F$12,1,0)</f>
        <v>1</v>
      </c>
      <c r="BN35" s="10" t="n">
        <f aca="false">IF(BN20&gt;$F$12,1,0)</f>
        <v>1</v>
      </c>
    </row>
    <row r="36" customFormat="false" ht="15" hidden="false" customHeight="false" outlineLevel="0" collapsed="false">
      <c r="D36" s="0" t="s">
        <v>457</v>
      </c>
      <c r="E36" s="0" t="s">
        <v>113</v>
      </c>
      <c r="J36" s="10" t="n">
        <f aca="false">IF(J30&gt;0,1,0)</f>
        <v>0</v>
      </c>
      <c r="K36" s="10" t="n">
        <f aca="false">IF(K30&gt;0,1,0)</f>
        <v>0</v>
      </c>
      <c r="L36" s="10" t="n">
        <f aca="false">IF(L30&gt;0,1,0)</f>
        <v>0</v>
      </c>
      <c r="M36" s="10" t="n">
        <f aca="false">IF(M30&gt;0,1,0)</f>
        <v>0</v>
      </c>
      <c r="N36" s="10" t="n">
        <f aca="false">IF(N30&gt;0,1,0)</f>
        <v>0</v>
      </c>
      <c r="O36" s="10" t="n">
        <f aca="false">IF(O30&gt;0,1,0)</f>
        <v>1</v>
      </c>
      <c r="P36" s="10" t="n">
        <f aca="false">IF(P30&gt;0,1,0)</f>
        <v>1</v>
      </c>
      <c r="Q36" s="10" t="n">
        <f aca="false">IF(Q30&gt;0,1,0)</f>
        <v>1</v>
      </c>
      <c r="R36" s="10" t="n">
        <f aca="false">IF(R30&gt;0,1,0)</f>
        <v>1</v>
      </c>
      <c r="S36" s="10" t="n">
        <f aca="false">IF(S30&gt;0,1,0)</f>
        <v>1</v>
      </c>
      <c r="T36" s="10" t="n">
        <f aca="false">IF(T30&gt;0,1,0)</f>
        <v>1</v>
      </c>
      <c r="U36" s="10" t="n">
        <f aca="false">IF(U30&gt;0,1,0)</f>
        <v>1</v>
      </c>
      <c r="V36" s="10" t="n">
        <f aca="false">IF(V30&gt;0,1,0)</f>
        <v>1</v>
      </c>
      <c r="W36" s="10" t="n">
        <f aca="false">IF(W30&gt;0,1,0)</f>
        <v>1</v>
      </c>
      <c r="X36" s="10" t="n">
        <f aca="false">IF(X30&gt;0,1,0)</f>
        <v>1</v>
      </c>
      <c r="Y36" s="10" t="n">
        <f aca="false">IF(Y30&gt;0,1,0)</f>
        <v>1</v>
      </c>
      <c r="Z36" s="10" t="n">
        <f aca="false">IF(Z30&gt;0,1,0)</f>
        <v>1</v>
      </c>
      <c r="AA36" s="10" t="n">
        <f aca="false">IF(AA30&gt;0,1,0)</f>
        <v>1</v>
      </c>
      <c r="AB36" s="10" t="n">
        <f aca="false">IF(AB30&gt;0,1,0)</f>
        <v>1</v>
      </c>
      <c r="AC36" s="10" t="n">
        <f aca="false">IF(AC30&gt;0,1,0)</f>
        <v>1</v>
      </c>
      <c r="AD36" s="10" t="n">
        <f aca="false">IF(AD30&gt;0,1,0)</f>
        <v>1</v>
      </c>
      <c r="AE36" s="10" t="n">
        <f aca="false">IF(AE30&gt;0,1,0)</f>
        <v>1</v>
      </c>
      <c r="AF36" s="10" t="n">
        <f aca="false">IF(AF30&gt;0,1,0)</f>
        <v>1</v>
      </c>
      <c r="AG36" s="10" t="n">
        <f aca="false">IF(AG30&gt;0,1,0)</f>
        <v>1</v>
      </c>
      <c r="AH36" s="10" t="n">
        <f aca="false">IF(AH30&gt;0,1,0)</f>
        <v>1</v>
      </c>
      <c r="AI36" s="10" t="n">
        <f aca="false">IF(AI30&gt;0,1,0)</f>
        <v>1</v>
      </c>
      <c r="AJ36" s="10" t="n">
        <f aca="false">IF(AJ30&gt;0,1,0)</f>
        <v>1</v>
      </c>
      <c r="AK36" s="10" t="n">
        <f aca="false">IF(AK30&gt;0,1,0)</f>
        <v>1</v>
      </c>
      <c r="AL36" s="10" t="n">
        <f aca="false">IF(AL30&gt;0,1,0)</f>
        <v>1</v>
      </c>
      <c r="AM36" s="10" t="n">
        <f aca="false">IF(AM30&gt;0,1,0)</f>
        <v>1</v>
      </c>
      <c r="AN36" s="10" t="n">
        <f aca="false">IF(AN30&gt;0,1,0)</f>
        <v>1</v>
      </c>
      <c r="AO36" s="10" t="n">
        <f aca="false">IF(AO30&gt;0,1,0)</f>
        <v>1</v>
      </c>
      <c r="AP36" s="10" t="n">
        <f aca="false">IF(AP30&gt;0,1,0)</f>
        <v>1</v>
      </c>
      <c r="AQ36" s="10" t="n">
        <f aca="false">IF(AQ30&gt;0,1,0)</f>
        <v>1</v>
      </c>
      <c r="AR36" s="10" t="n">
        <f aca="false">IF(AR30&gt;0,1,0)</f>
        <v>1</v>
      </c>
      <c r="AS36" s="10" t="n">
        <f aca="false">IF(AS30&gt;0,1,0)</f>
        <v>1</v>
      </c>
      <c r="AT36" s="10" t="n">
        <f aca="false">IF(AT30&gt;0,1,0)</f>
        <v>1</v>
      </c>
      <c r="AU36" s="10" t="n">
        <f aca="false">IF(AU30&gt;0,1,0)</f>
        <v>1</v>
      </c>
      <c r="AV36" s="10" t="n">
        <f aca="false">IF(AV30&gt;0,1,0)</f>
        <v>1</v>
      </c>
      <c r="AW36" s="10" t="n">
        <f aca="false">IF(AW30&gt;0,1,0)</f>
        <v>1</v>
      </c>
      <c r="AX36" s="10" t="n">
        <f aca="false">IF(AX30&gt;0,1,0)</f>
        <v>1</v>
      </c>
      <c r="AY36" s="10" t="n">
        <f aca="false">IF(AY30&gt;0,1,0)</f>
        <v>1</v>
      </c>
      <c r="AZ36" s="10" t="n">
        <f aca="false">IF(AZ30&gt;0,1,0)</f>
        <v>1</v>
      </c>
      <c r="BA36" s="10" t="n">
        <f aca="false">IF(BA30&gt;0,1,0)</f>
        <v>1</v>
      </c>
      <c r="BB36" s="10" t="n">
        <f aca="false">IF(BB30&gt;0,1,0)</f>
        <v>1</v>
      </c>
      <c r="BC36" s="10" t="n">
        <f aca="false">IF(BC30&gt;0,1,0)</f>
        <v>1</v>
      </c>
      <c r="BD36" s="10" t="n">
        <f aca="false">IF(BD30&gt;0,1,0)</f>
        <v>1</v>
      </c>
      <c r="BE36" s="10" t="n">
        <f aca="false">IF(BE30&gt;0,1,0)</f>
        <v>1</v>
      </c>
      <c r="BF36" s="10" t="n">
        <f aca="false">IF(BF30&gt;0,1,0)</f>
        <v>1</v>
      </c>
      <c r="BG36" s="10" t="n">
        <f aca="false">IF(BG30&gt;0,1,0)</f>
        <v>1</v>
      </c>
      <c r="BH36" s="10" t="n">
        <f aca="false">IF(BH30&gt;0,1,0)</f>
        <v>1</v>
      </c>
      <c r="BI36" s="10" t="n">
        <f aca="false">IF(BI30&gt;0,1,0)</f>
        <v>1</v>
      </c>
      <c r="BJ36" s="10" t="n">
        <f aca="false">IF(BJ30&gt;0,1,0)</f>
        <v>1</v>
      </c>
      <c r="BK36" s="10" t="n">
        <f aca="false">IF(BK30&gt;0,1,0)</f>
        <v>1</v>
      </c>
      <c r="BL36" s="10" t="n">
        <f aca="false">IF(BL30&gt;0,1,0)</f>
        <v>1</v>
      </c>
      <c r="BM36" s="10" t="n">
        <f aca="false">IF(BM30&gt;0,1,0)</f>
        <v>1</v>
      </c>
      <c r="BN36" s="10" t="n">
        <f aca="false">IF(BN30&gt;0,1,0)</f>
        <v>0</v>
      </c>
    </row>
    <row r="37" customFormat="false" ht="15" hidden="false" customHeight="false" outlineLevel="0" collapsed="false">
      <c r="D37" s="0" t="s">
        <v>458</v>
      </c>
      <c r="E37" s="0" t="s">
        <v>113</v>
      </c>
      <c r="J37" s="10" t="n">
        <f aca="false">IF(AND(J30&gt;0,K30=0),1,0)</f>
        <v>0</v>
      </c>
      <c r="K37" s="10" t="n">
        <f aca="false">IF(AND(K30&gt;0,L30=0),1,0)</f>
        <v>0</v>
      </c>
      <c r="L37" s="10" t="n">
        <f aca="false">IF(AND(L30&gt;0,M30=0),1,0)</f>
        <v>0</v>
      </c>
      <c r="M37" s="10" t="n">
        <f aca="false">IF(AND(M30&gt;0,N30=0),1,0)</f>
        <v>0</v>
      </c>
      <c r="N37" s="10" t="n">
        <f aca="false">IF(AND(N30&gt;0,O30=0),1,0)</f>
        <v>0</v>
      </c>
      <c r="O37" s="10" t="n">
        <f aca="false">IF(AND(O30&gt;0,P30=0),1,0)</f>
        <v>0</v>
      </c>
      <c r="P37" s="10" t="n">
        <f aca="false">IF(AND(P30&gt;0,Q30=0),1,0)</f>
        <v>0</v>
      </c>
      <c r="Q37" s="10" t="n">
        <f aca="false">IF(AND(Q30&gt;0,R30=0),1,0)</f>
        <v>0</v>
      </c>
      <c r="R37" s="10" t="n">
        <f aca="false">IF(AND(R30&gt;0,S30=0),1,0)</f>
        <v>0</v>
      </c>
      <c r="S37" s="10" t="n">
        <f aca="false">IF(AND(S30&gt;0,T30=0),1,0)</f>
        <v>0</v>
      </c>
      <c r="T37" s="10" t="n">
        <f aca="false">IF(AND(T30&gt;0,U30=0),1,0)</f>
        <v>0</v>
      </c>
      <c r="U37" s="10" t="n">
        <f aca="false">IF(AND(U30&gt;0,V30=0),1,0)</f>
        <v>0</v>
      </c>
      <c r="V37" s="10" t="n">
        <f aca="false">IF(AND(V30&gt;0,W30=0),1,0)</f>
        <v>0</v>
      </c>
      <c r="W37" s="10" t="n">
        <f aca="false">IF(AND(W30&gt;0,X30=0),1,0)</f>
        <v>0</v>
      </c>
      <c r="X37" s="10" t="n">
        <f aca="false">IF(AND(X30&gt;0,Y30=0),1,0)</f>
        <v>0</v>
      </c>
      <c r="Y37" s="10" t="n">
        <f aca="false">IF(AND(Y30&gt;0,Z30=0),1,0)</f>
        <v>0</v>
      </c>
      <c r="Z37" s="10" t="n">
        <f aca="false">IF(AND(Z30&gt;0,AA30=0),1,0)</f>
        <v>0</v>
      </c>
      <c r="AA37" s="10" t="n">
        <f aca="false">IF(AND(AA30&gt;0,AB30=0),1,0)</f>
        <v>0</v>
      </c>
      <c r="AB37" s="10" t="n">
        <f aca="false">IF(AND(AB30&gt;0,AC30=0),1,0)</f>
        <v>0</v>
      </c>
      <c r="AC37" s="10" t="n">
        <f aca="false">IF(AND(AC30&gt;0,AD30=0),1,0)</f>
        <v>0</v>
      </c>
      <c r="AD37" s="10" t="n">
        <f aca="false">IF(AND(AD30&gt;0,AE30=0),1,0)</f>
        <v>0</v>
      </c>
      <c r="AE37" s="10" t="n">
        <f aca="false">IF(AND(AE30&gt;0,AF30=0),1,0)</f>
        <v>0</v>
      </c>
      <c r="AF37" s="10" t="n">
        <f aca="false">IF(AND(AF30&gt;0,AG30=0),1,0)</f>
        <v>0</v>
      </c>
      <c r="AG37" s="10" t="n">
        <f aca="false">IF(AND(AG30&gt;0,AH30=0),1,0)</f>
        <v>0</v>
      </c>
      <c r="AH37" s="10" t="n">
        <f aca="false">IF(AND(AH30&gt;0,AI30=0),1,0)</f>
        <v>0</v>
      </c>
      <c r="AI37" s="10" t="n">
        <f aca="false">IF(AND(AI30&gt;0,AJ30=0),1,0)</f>
        <v>0</v>
      </c>
      <c r="AJ37" s="10" t="n">
        <f aca="false">IF(AND(AJ30&gt;0,AK30=0),1,0)</f>
        <v>0</v>
      </c>
      <c r="AK37" s="10" t="n">
        <f aca="false">IF(AND(AK30&gt;0,AL30=0),1,0)</f>
        <v>0</v>
      </c>
      <c r="AL37" s="10" t="n">
        <f aca="false">IF(AND(AL30&gt;0,AM30=0),1,0)</f>
        <v>0</v>
      </c>
      <c r="AM37" s="10" t="n">
        <f aca="false">IF(AND(AM30&gt;0,AN30=0),1,0)</f>
        <v>0</v>
      </c>
      <c r="AN37" s="10" t="n">
        <f aca="false">IF(AND(AN30&gt;0,AO30=0),1,0)</f>
        <v>0</v>
      </c>
      <c r="AO37" s="10" t="n">
        <f aca="false">IF(AND(AO30&gt;0,AP30=0),1,0)</f>
        <v>0</v>
      </c>
      <c r="AP37" s="10" t="n">
        <f aca="false">IF(AND(AP30&gt;0,AQ30=0),1,0)</f>
        <v>0</v>
      </c>
      <c r="AQ37" s="10" t="n">
        <f aca="false">IF(AND(AQ30&gt;0,AR30=0),1,0)</f>
        <v>0</v>
      </c>
      <c r="AR37" s="10" t="n">
        <f aca="false">IF(AND(AR30&gt;0,AS30=0),1,0)</f>
        <v>0</v>
      </c>
      <c r="AS37" s="10" t="n">
        <f aca="false">IF(AND(AS30&gt;0,AT30=0),1,0)</f>
        <v>0</v>
      </c>
      <c r="AT37" s="10" t="n">
        <f aca="false">IF(AND(AT30&gt;0,AU30=0),1,0)</f>
        <v>0</v>
      </c>
      <c r="AU37" s="10" t="n">
        <f aca="false">IF(AND(AU30&gt;0,AV30=0),1,0)</f>
        <v>0</v>
      </c>
      <c r="AV37" s="10" t="n">
        <f aca="false">IF(AND(AV30&gt;0,AW30=0),1,0)</f>
        <v>0</v>
      </c>
      <c r="AW37" s="10" t="n">
        <f aca="false">IF(AND(AW30&gt;0,AX30=0),1,0)</f>
        <v>0</v>
      </c>
      <c r="AX37" s="10" t="n">
        <f aca="false">IF(AND(AX30&gt;0,AY30=0),1,0)</f>
        <v>0</v>
      </c>
      <c r="AY37" s="10" t="n">
        <f aca="false">IF(AND(AY30&gt;0,AZ30=0),1,0)</f>
        <v>0</v>
      </c>
      <c r="AZ37" s="10" t="n">
        <f aca="false">IF(AND(AZ30&gt;0,BA30=0),1,0)</f>
        <v>0</v>
      </c>
      <c r="BA37" s="10" t="n">
        <f aca="false">IF(AND(BA30&gt;0,BB30=0),1,0)</f>
        <v>0</v>
      </c>
      <c r="BB37" s="10" t="n">
        <f aca="false">IF(AND(BB30&gt;0,BC30=0),1,0)</f>
        <v>0</v>
      </c>
      <c r="BC37" s="10" t="n">
        <f aca="false">IF(AND(BC30&gt;0,BD30=0),1,0)</f>
        <v>0</v>
      </c>
      <c r="BD37" s="10" t="n">
        <f aca="false">IF(AND(BD30&gt;0,BE30=0),1,0)</f>
        <v>0</v>
      </c>
      <c r="BE37" s="10" t="n">
        <f aca="false">IF(AND(BE30&gt;0,BF30=0),1,0)</f>
        <v>0</v>
      </c>
      <c r="BF37" s="10" t="n">
        <f aca="false">IF(AND(BF30&gt;0,BG30=0),1,0)</f>
        <v>0</v>
      </c>
      <c r="BG37" s="10" t="n">
        <f aca="false">IF(AND(BG30&gt;0,BH30=0),1,0)</f>
        <v>0</v>
      </c>
      <c r="BH37" s="10" t="n">
        <f aca="false">IF(AND(BH30&gt;0,BI30=0),1,0)</f>
        <v>0</v>
      </c>
      <c r="BI37" s="10" t="n">
        <f aca="false">IF(AND(BI30&gt;0,BJ30=0),1,0)</f>
        <v>0</v>
      </c>
      <c r="BJ37" s="10" t="n">
        <f aca="false">IF(AND(BJ30&gt;0,BK30=0),1,0)</f>
        <v>0</v>
      </c>
      <c r="BK37" s="10" t="n">
        <f aca="false">IF(AND(BK30&gt;0,BL30=0),1,0)</f>
        <v>0</v>
      </c>
      <c r="BL37" s="10" t="n">
        <f aca="false">IF(AND(BL30&gt;0,BM30=0),1,0)</f>
        <v>0</v>
      </c>
      <c r="BM37" s="10" t="n">
        <f aca="false">IF(AND(BM30&gt;0,BN30=0),1,0)</f>
        <v>1</v>
      </c>
      <c r="BN37" s="10" t="n">
        <f aca="false">IF(AND(BN30&gt;0,BO30=0),1,0)</f>
        <v>0</v>
      </c>
    </row>
    <row r="38" customFormat="false" ht="15" hidden="false" customHeight="false" outlineLevel="0" collapsed="false">
      <c r="D38" s="0" t="s">
        <v>459</v>
      </c>
      <c r="E38" s="0" t="s">
        <v>113</v>
      </c>
      <c r="J38" s="10" t="n">
        <f aca="false">IF(AND(J22&gt;=Inputs!$F$193,J22&lt;EDATE(Inputs!$F$193,Inputs!$F$211)),1,0)</f>
        <v>0</v>
      </c>
      <c r="K38" s="10" t="n">
        <f aca="false">IF(AND(K22&gt;=Inputs!$F$193,K22&lt;EDATE(Inputs!$F$193,Inputs!$F$211)),1,0)</f>
        <v>0</v>
      </c>
      <c r="L38" s="10" t="n">
        <f aca="false">IF(AND(L22&gt;=Inputs!$F$193,L22&lt;EDATE(Inputs!$F$193,Inputs!$F$211)),1,0)</f>
        <v>0</v>
      </c>
      <c r="M38" s="10" t="n">
        <f aca="false">IF(AND(M22&gt;=Inputs!$F$193,M22&lt;EDATE(Inputs!$F$193,Inputs!$F$211)),1,0)</f>
        <v>0</v>
      </c>
      <c r="N38" s="10" t="n">
        <f aca="false">IF(AND(N22&gt;=Inputs!$F$193,N22&lt;EDATE(Inputs!$F$193,Inputs!$F$211)),1,0)</f>
        <v>0</v>
      </c>
      <c r="O38" s="10" t="n">
        <f aca="false">IF(AND(O22&gt;=Inputs!$F$193,O22&lt;EDATE(Inputs!$F$193,Inputs!$F$211)),1,0)</f>
        <v>0</v>
      </c>
      <c r="P38" s="10" t="n">
        <f aca="false">IF(AND(P22&gt;=Inputs!$F$193,P22&lt;EDATE(Inputs!$F$193,Inputs!$F$211)),1,0)</f>
        <v>0</v>
      </c>
      <c r="Q38" s="10" t="n">
        <f aca="false">IF(AND(Q22&gt;=Inputs!$F$193,Q22&lt;EDATE(Inputs!$F$193,Inputs!$F$211)),1,0)</f>
        <v>1</v>
      </c>
      <c r="R38" s="10" t="n">
        <f aca="false">IF(AND(R22&gt;=Inputs!$F$193,R22&lt;EDATE(Inputs!$F$193,Inputs!$F$211)),1,0)</f>
        <v>1</v>
      </c>
      <c r="S38" s="10" t="n">
        <f aca="false">IF(AND(S22&gt;=Inputs!$F$193,S22&lt;EDATE(Inputs!$F$193,Inputs!$F$211)),1,0)</f>
        <v>0</v>
      </c>
      <c r="T38" s="10" t="n">
        <f aca="false">IF(AND(T22&gt;=Inputs!$F$193,T22&lt;EDATE(Inputs!$F$193,Inputs!$F$211)),1,0)</f>
        <v>0</v>
      </c>
      <c r="U38" s="10" t="n">
        <f aca="false">IF(AND(U22&gt;=Inputs!$F$193,U22&lt;EDATE(Inputs!$F$193,Inputs!$F$211)),1,0)</f>
        <v>0</v>
      </c>
      <c r="V38" s="10" t="n">
        <f aca="false">IF(AND(V22&gt;=Inputs!$F$193,V22&lt;EDATE(Inputs!$F$193,Inputs!$F$211)),1,0)</f>
        <v>0</v>
      </c>
      <c r="W38" s="10" t="n">
        <f aca="false">IF(AND(W22&gt;=Inputs!$F$193,W22&lt;EDATE(Inputs!$F$193,Inputs!$F$211)),1,0)</f>
        <v>0</v>
      </c>
      <c r="X38" s="10" t="n">
        <f aca="false">IF(AND(X22&gt;=Inputs!$F$193,X22&lt;EDATE(Inputs!$F$193,Inputs!$F$211)),1,0)</f>
        <v>0</v>
      </c>
      <c r="Y38" s="10" t="n">
        <f aca="false">IF(AND(Y22&gt;=Inputs!$F$193,Y22&lt;EDATE(Inputs!$F$193,Inputs!$F$211)),1,0)</f>
        <v>0</v>
      </c>
      <c r="Z38" s="10" t="n">
        <f aca="false">IF(AND(Z22&gt;=Inputs!$F$193,Z22&lt;EDATE(Inputs!$F$193,Inputs!$F$211)),1,0)</f>
        <v>0</v>
      </c>
      <c r="AA38" s="10" t="n">
        <f aca="false">IF(AND(AA22&gt;=Inputs!$F$193,AA22&lt;EDATE(Inputs!$F$193,Inputs!$F$211)),1,0)</f>
        <v>0</v>
      </c>
      <c r="AB38" s="10" t="n">
        <f aca="false">IF(AND(AB22&gt;=Inputs!$F$193,AB22&lt;EDATE(Inputs!$F$193,Inputs!$F$211)),1,0)</f>
        <v>0</v>
      </c>
      <c r="AC38" s="10" t="n">
        <f aca="false">IF(AND(AC22&gt;=Inputs!$F$193,AC22&lt;EDATE(Inputs!$F$193,Inputs!$F$211)),1,0)</f>
        <v>0</v>
      </c>
      <c r="AD38" s="10" t="n">
        <f aca="false">IF(AND(AD22&gt;=Inputs!$F$193,AD22&lt;EDATE(Inputs!$F$193,Inputs!$F$211)),1,0)</f>
        <v>0</v>
      </c>
      <c r="AE38" s="10" t="n">
        <f aca="false">IF(AND(AE22&gt;=Inputs!$F$193,AE22&lt;EDATE(Inputs!$F$193,Inputs!$F$211)),1,0)</f>
        <v>0</v>
      </c>
      <c r="AF38" s="10" t="n">
        <f aca="false">IF(AND(AF22&gt;=Inputs!$F$193,AF22&lt;EDATE(Inputs!$F$193,Inputs!$F$211)),1,0)</f>
        <v>0</v>
      </c>
      <c r="AG38" s="10" t="n">
        <f aca="false">IF(AND(AG22&gt;=Inputs!$F$193,AG22&lt;EDATE(Inputs!$F$193,Inputs!$F$211)),1,0)</f>
        <v>0</v>
      </c>
      <c r="AH38" s="10" t="n">
        <f aca="false">IF(AND(AH22&gt;=Inputs!$F$193,AH22&lt;EDATE(Inputs!$F$193,Inputs!$F$211)),1,0)</f>
        <v>0</v>
      </c>
      <c r="AI38" s="10" t="n">
        <f aca="false">IF(AND(AI22&gt;=Inputs!$F$193,AI22&lt;EDATE(Inputs!$F$193,Inputs!$F$211)),1,0)</f>
        <v>0</v>
      </c>
      <c r="AJ38" s="10" t="n">
        <f aca="false">IF(AND(AJ22&gt;=Inputs!$F$193,AJ22&lt;EDATE(Inputs!$F$193,Inputs!$F$211)),1,0)</f>
        <v>0</v>
      </c>
      <c r="AK38" s="10" t="n">
        <f aca="false">IF(AND(AK22&gt;=Inputs!$F$193,AK22&lt;EDATE(Inputs!$F$193,Inputs!$F$211)),1,0)</f>
        <v>0</v>
      </c>
      <c r="AL38" s="10" t="n">
        <f aca="false">IF(AND(AL22&gt;=Inputs!$F$193,AL22&lt;EDATE(Inputs!$F$193,Inputs!$F$211)),1,0)</f>
        <v>0</v>
      </c>
      <c r="AM38" s="10" t="n">
        <f aca="false">IF(AND(AM22&gt;=Inputs!$F$193,AM22&lt;EDATE(Inputs!$F$193,Inputs!$F$211)),1,0)</f>
        <v>0</v>
      </c>
      <c r="AN38" s="10" t="n">
        <f aca="false">IF(AND(AN22&gt;=Inputs!$F$193,AN22&lt;EDATE(Inputs!$F$193,Inputs!$F$211)),1,0)</f>
        <v>0</v>
      </c>
      <c r="AO38" s="10" t="n">
        <f aca="false">IF(AND(AO22&gt;=Inputs!$F$193,AO22&lt;EDATE(Inputs!$F$193,Inputs!$F$211)),1,0)</f>
        <v>0</v>
      </c>
      <c r="AP38" s="10" t="n">
        <f aca="false">IF(AND(AP22&gt;=Inputs!$F$193,AP22&lt;EDATE(Inputs!$F$193,Inputs!$F$211)),1,0)</f>
        <v>0</v>
      </c>
      <c r="AQ38" s="10" t="n">
        <f aca="false">IF(AND(AQ22&gt;=Inputs!$F$193,AQ22&lt;EDATE(Inputs!$F$193,Inputs!$F$211)),1,0)</f>
        <v>0</v>
      </c>
      <c r="AR38" s="10" t="n">
        <f aca="false">IF(AND(AR22&gt;=Inputs!$F$193,AR22&lt;EDATE(Inputs!$F$193,Inputs!$F$211)),1,0)</f>
        <v>0</v>
      </c>
      <c r="AS38" s="10" t="n">
        <f aca="false">IF(AND(AS22&gt;=Inputs!$F$193,AS22&lt;EDATE(Inputs!$F$193,Inputs!$F$211)),1,0)</f>
        <v>0</v>
      </c>
      <c r="AT38" s="10" t="n">
        <f aca="false">IF(AND(AT22&gt;=Inputs!$F$193,AT22&lt;EDATE(Inputs!$F$193,Inputs!$F$211)),1,0)</f>
        <v>0</v>
      </c>
      <c r="AU38" s="10" t="n">
        <f aca="false">IF(AND(AU22&gt;=Inputs!$F$193,AU22&lt;EDATE(Inputs!$F$193,Inputs!$F$211)),1,0)</f>
        <v>0</v>
      </c>
      <c r="AV38" s="10" t="n">
        <f aca="false">IF(AND(AV22&gt;=Inputs!$F$193,AV22&lt;EDATE(Inputs!$F$193,Inputs!$F$211)),1,0)</f>
        <v>0</v>
      </c>
      <c r="AW38" s="10" t="n">
        <f aca="false">IF(AND(AW22&gt;=Inputs!$F$193,AW22&lt;EDATE(Inputs!$F$193,Inputs!$F$211)),1,0)</f>
        <v>0</v>
      </c>
      <c r="AX38" s="10" t="n">
        <f aca="false">IF(AND(AX22&gt;=Inputs!$F$193,AX22&lt;EDATE(Inputs!$F$193,Inputs!$F$211)),1,0)</f>
        <v>0</v>
      </c>
      <c r="AY38" s="10" t="n">
        <f aca="false">IF(AND(AY22&gt;=Inputs!$F$193,AY22&lt;EDATE(Inputs!$F$193,Inputs!$F$211)),1,0)</f>
        <v>0</v>
      </c>
      <c r="AZ38" s="10" t="n">
        <f aca="false">IF(AND(AZ22&gt;=Inputs!$F$193,AZ22&lt;EDATE(Inputs!$F$193,Inputs!$F$211)),1,0)</f>
        <v>0</v>
      </c>
      <c r="BA38" s="10" t="n">
        <f aca="false">IF(AND(BA22&gt;=Inputs!$F$193,BA22&lt;EDATE(Inputs!$F$193,Inputs!$F$211)),1,0)</f>
        <v>0</v>
      </c>
      <c r="BB38" s="10" t="n">
        <f aca="false">IF(AND(BB22&gt;=Inputs!$F$193,BB22&lt;EDATE(Inputs!$F$193,Inputs!$F$211)),1,0)</f>
        <v>0</v>
      </c>
      <c r="BC38" s="10" t="n">
        <f aca="false">IF(AND(BC22&gt;=Inputs!$F$193,BC22&lt;EDATE(Inputs!$F$193,Inputs!$F$211)),1,0)</f>
        <v>0</v>
      </c>
      <c r="BD38" s="10" t="n">
        <f aca="false">IF(AND(BD22&gt;=Inputs!$F$193,BD22&lt;EDATE(Inputs!$F$193,Inputs!$F$211)),1,0)</f>
        <v>0</v>
      </c>
      <c r="BE38" s="10" t="n">
        <f aca="false">IF(AND(BE22&gt;=Inputs!$F$193,BE22&lt;EDATE(Inputs!$F$193,Inputs!$F$211)),1,0)</f>
        <v>0</v>
      </c>
      <c r="BF38" s="10" t="n">
        <f aca="false">IF(AND(BF22&gt;=Inputs!$F$193,BF22&lt;EDATE(Inputs!$F$193,Inputs!$F$211)),1,0)</f>
        <v>0</v>
      </c>
      <c r="BG38" s="10" t="n">
        <f aca="false">IF(AND(BG22&gt;=Inputs!$F$193,BG22&lt;EDATE(Inputs!$F$193,Inputs!$F$211)),1,0)</f>
        <v>0</v>
      </c>
      <c r="BH38" s="10" t="n">
        <f aca="false">IF(AND(BH22&gt;=Inputs!$F$193,BH22&lt;EDATE(Inputs!$F$193,Inputs!$F$211)),1,0)</f>
        <v>0</v>
      </c>
      <c r="BI38" s="10" t="n">
        <f aca="false">IF(AND(BI22&gt;=Inputs!$F$193,BI22&lt;EDATE(Inputs!$F$193,Inputs!$F$211)),1,0)</f>
        <v>0</v>
      </c>
      <c r="BJ38" s="10" t="n">
        <f aca="false">IF(AND(BJ22&gt;=Inputs!$F$193,BJ22&lt;EDATE(Inputs!$F$193,Inputs!$F$211)),1,0)</f>
        <v>0</v>
      </c>
      <c r="BK38" s="10" t="n">
        <f aca="false">IF(AND(BK22&gt;=Inputs!$F$193,BK22&lt;EDATE(Inputs!$F$193,Inputs!$F$211)),1,0)</f>
        <v>0</v>
      </c>
      <c r="BL38" s="10" t="n">
        <f aca="false">IF(AND(BL22&gt;=Inputs!$F$193,BL22&lt;EDATE(Inputs!$F$193,Inputs!$F$211)),1,0)</f>
        <v>0</v>
      </c>
      <c r="BM38" s="10" t="n">
        <f aca="false">IF(AND(BM22&gt;=Inputs!$F$193,BM22&lt;EDATE(Inputs!$F$193,Inputs!$F$211)),1,0)</f>
        <v>0</v>
      </c>
      <c r="BN38" s="10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460</v>
      </c>
      <c r="E39" s="0" t="s">
        <v>113</v>
      </c>
      <c r="J39" s="10" t="n">
        <f aca="false">IF(J22&gt;=Inputs!$F$193,1,0)</f>
        <v>0</v>
      </c>
      <c r="K39" s="10" t="n">
        <f aca="false">IF(K22&gt;=Inputs!$F$193,1,0)</f>
        <v>0</v>
      </c>
      <c r="L39" s="10" t="n">
        <f aca="false">IF(L22&gt;=Inputs!$F$193,1,0)</f>
        <v>0</v>
      </c>
      <c r="M39" s="10" t="n">
        <f aca="false">IF(M22&gt;=Inputs!$F$193,1,0)</f>
        <v>0</v>
      </c>
      <c r="N39" s="10" t="n">
        <f aca="false">IF(N22&gt;=Inputs!$F$193,1,0)</f>
        <v>0</v>
      </c>
      <c r="O39" s="10" t="n">
        <f aca="false">IF(O22&gt;=Inputs!$F$193,1,0)</f>
        <v>0</v>
      </c>
      <c r="P39" s="10" t="n">
        <f aca="false">IF(P22&gt;=Inputs!$F$193,1,0)</f>
        <v>0</v>
      </c>
      <c r="Q39" s="10" t="n">
        <f aca="false">IF(Q22&gt;=Inputs!$F$193,1,0)</f>
        <v>1</v>
      </c>
      <c r="R39" s="10" t="n">
        <f aca="false">IF(R22&gt;=Inputs!$F$193,1,0)</f>
        <v>1</v>
      </c>
      <c r="S39" s="10" t="n">
        <f aca="false">IF(S22&gt;=Inputs!$F$193,1,0)</f>
        <v>1</v>
      </c>
      <c r="T39" s="10" t="n">
        <f aca="false">IF(T22&gt;=Inputs!$F$193,1,0)</f>
        <v>1</v>
      </c>
      <c r="U39" s="10" t="n">
        <f aca="false">IF(U22&gt;=Inputs!$F$193,1,0)</f>
        <v>1</v>
      </c>
      <c r="V39" s="10" t="n">
        <f aca="false">IF(V22&gt;=Inputs!$F$193,1,0)</f>
        <v>1</v>
      </c>
      <c r="W39" s="10" t="n">
        <f aca="false">IF(W22&gt;=Inputs!$F$193,1,0)</f>
        <v>1</v>
      </c>
      <c r="X39" s="10" t="n">
        <f aca="false">IF(X22&gt;=Inputs!$F$193,1,0)</f>
        <v>1</v>
      </c>
      <c r="Y39" s="10" t="n">
        <f aca="false">IF(Y22&gt;=Inputs!$F$193,1,0)</f>
        <v>1</v>
      </c>
      <c r="Z39" s="10" t="n">
        <f aca="false">IF(Z22&gt;=Inputs!$F$193,1,0)</f>
        <v>1</v>
      </c>
      <c r="AA39" s="10" t="n">
        <f aca="false">IF(AA22&gt;=Inputs!$F$193,1,0)</f>
        <v>1</v>
      </c>
      <c r="AB39" s="10" t="n">
        <f aca="false">IF(AB22&gt;=Inputs!$F$193,1,0)</f>
        <v>1</v>
      </c>
      <c r="AC39" s="10" t="n">
        <f aca="false">IF(AC22&gt;=Inputs!$F$193,1,0)</f>
        <v>1</v>
      </c>
      <c r="AD39" s="10" t="n">
        <f aca="false">IF(AD22&gt;=Inputs!$F$193,1,0)</f>
        <v>1</v>
      </c>
      <c r="AE39" s="10" t="n">
        <f aca="false">IF(AE22&gt;=Inputs!$F$193,1,0)</f>
        <v>1</v>
      </c>
      <c r="AF39" s="10" t="n">
        <f aca="false">IF(AF22&gt;=Inputs!$F$193,1,0)</f>
        <v>1</v>
      </c>
      <c r="AG39" s="10" t="n">
        <f aca="false">IF(AG22&gt;=Inputs!$F$193,1,0)</f>
        <v>1</v>
      </c>
      <c r="AH39" s="10" t="n">
        <f aca="false">IF(AH22&gt;=Inputs!$F$193,1,0)</f>
        <v>1</v>
      </c>
      <c r="AI39" s="10" t="n">
        <f aca="false">IF(AI22&gt;=Inputs!$F$193,1,0)</f>
        <v>1</v>
      </c>
      <c r="AJ39" s="10" t="n">
        <f aca="false">IF(AJ22&gt;=Inputs!$F$193,1,0)</f>
        <v>1</v>
      </c>
      <c r="AK39" s="10" t="n">
        <f aca="false">IF(AK22&gt;=Inputs!$F$193,1,0)</f>
        <v>1</v>
      </c>
      <c r="AL39" s="10" t="n">
        <f aca="false">IF(AL22&gt;=Inputs!$F$193,1,0)</f>
        <v>1</v>
      </c>
      <c r="AM39" s="10" t="n">
        <f aca="false">IF(AM22&gt;=Inputs!$F$193,1,0)</f>
        <v>1</v>
      </c>
      <c r="AN39" s="10" t="n">
        <f aca="false">IF(AN22&gt;=Inputs!$F$193,1,0)</f>
        <v>1</v>
      </c>
      <c r="AO39" s="10" t="n">
        <f aca="false">IF(AO22&gt;=Inputs!$F$193,1,0)</f>
        <v>1</v>
      </c>
      <c r="AP39" s="10" t="n">
        <f aca="false">IF(AP22&gt;=Inputs!$F$193,1,0)</f>
        <v>1</v>
      </c>
      <c r="AQ39" s="10" t="n">
        <f aca="false">IF(AQ22&gt;=Inputs!$F$193,1,0)</f>
        <v>1</v>
      </c>
      <c r="AR39" s="10" t="n">
        <f aca="false">IF(AR22&gt;=Inputs!$F$193,1,0)</f>
        <v>1</v>
      </c>
      <c r="AS39" s="10" t="n">
        <f aca="false">IF(AS22&gt;=Inputs!$F$193,1,0)</f>
        <v>1</v>
      </c>
      <c r="AT39" s="10" t="n">
        <f aca="false">IF(AT22&gt;=Inputs!$F$193,1,0)</f>
        <v>1</v>
      </c>
      <c r="AU39" s="10" t="n">
        <f aca="false">IF(AU22&gt;=Inputs!$F$193,1,0)</f>
        <v>1</v>
      </c>
      <c r="AV39" s="10" t="n">
        <f aca="false">IF(AV22&gt;=Inputs!$F$193,1,0)</f>
        <v>1</v>
      </c>
      <c r="AW39" s="10" t="n">
        <f aca="false">IF(AW22&gt;=Inputs!$F$193,1,0)</f>
        <v>1</v>
      </c>
      <c r="AX39" s="10" t="n">
        <f aca="false">IF(AX22&gt;=Inputs!$F$193,1,0)</f>
        <v>1</v>
      </c>
      <c r="AY39" s="10" t="n">
        <f aca="false">IF(AY22&gt;=Inputs!$F$193,1,0)</f>
        <v>1</v>
      </c>
      <c r="AZ39" s="10" t="n">
        <f aca="false">IF(AZ22&gt;=Inputs!$F$193,1,0)</f>
        <v>1</v>
      </c>
      <c r="BA39" s="10" t="n">
        <f aca="false">IF(BA22&gt;=Inputs!$F$193,1,0)</f>
        <v>1</v>
      </c>
      <c r="BB39" s="10" t="n">
        <f aca="false">IF(BB22&gt;=Inputs!$F$193,1,0)</f>
        <v>1</v>
      </c>
      <c r="BC39" s="10" t="n">
        <f aca="false">IF(BC22&gt;=Inputs!$F$193,1,0)</f>
        <v>1</v>
      </c>
      <c r="BD39" s="10" t="n">
        <f aca="false">IF(BD22&gt;=Inputs!$F$193,1,0)</f>
        <v>1</v>
      </c>
      <c r="BE39" s="10" t="n">
        <f aca="false">IF(BE22&gt;=Inputs!$F$193,1,0)</f>
        <v>1</v>
      </c>
      <c r="BF39" s="10" t="n">
        <f aca="false">IF(BF22&gt;=Inputs!$F$193,1,0)</f>
        <v>1</v>
      </c>
      <c r="BG39" s="10" t="n">
        <f aca="false">IF(BG22&gt;=Inputs!$F$193,1,0)</f>
        <v>1</v>
      </c>
      <c r="BH39" s="10" t="n">
        <f aca="false">IF(BH22&gt;=Inputs!$F$193,1,0)</f>
        <v>1</v>
      </c>
      <c r="BI39" s="10" t="n">
        <f aca="false">IF(BI22&gt;=Inputs!$F$193,1,0)</f>
        <v>1</v>
      </c>
      <c r="BJ39" s="10" t="n">
        <f aca="false">IF(BJ22&gt;=Inputs!$F$193,1,0)</f>
        <v>1</v>
      </c>
      <c r="BK39" s="10" t="n">
        <f aca="false">IF(BK22&gt;=Inputs!$F$193,1,0)</f>
        <v>1</v>
      </c>
      <c r="BL39" s="10" t="n">
        <f aca="false">IF(BL22&gt;=Inputs!$F$193,1,0)</f>
        <v>1</v>
      </c>
      <c r="BM39" s="10" t="n">
        <f aca="false">IF(BM22&gt;=Inputs!$F$193,1,0)</f>
        <v>1</v>
      </c>
      <c r="BN39" s="10" t="n">
        <f aca="false">IF(BN22&gt;=Inputs!$F$193,1,0)</f>
        <v>1</v>
      </c>
    </row>
    <row r="40" customFormat="false" ht="15" hidden="false" customHeight="false" outlineLevel="0" collapsed="false">
      <c r="D40" s="0" t="s">
        <v>461</v>
      </c>
      <c r="E40" s="0" t="s">
        <v>113</v>
      </c>
      <c r="J40" s="10" t="n">
        <f aca="false">IF(J22&gt;=Inputs!$F$196,1,0)</f>
        <v>0</v>
      </c>
      <c r="K40" s="10" t="n">
        <f aca="false">IF(K22&gt;=Inputs!$F$196,1,0)</f>
        <v>0</v>
      </c>
      <c r="L40" s="10" t="n">
        <f aca="false">IF(L22&gt;=Inputs!$F$196,1,0)</f>
        <v>0</v>
      </c>
      <c r="M40" s="10" t="n">
        <f aca="false">IF(M22&gt;=Inputs!$F$196,1,0)</f>
        <v>0</v>
      </c>
      <c r="N40" s="10" t="n">
        <f aca="false">IF(N22&gt;=Inputs!$F$196,1,0)</f>
        <v>0</v>
      </c>
      <c r="O40" s="10" t="n">
        <f aca="false">IF(O22&gt;=Inputs!$F$196,1,0)</f>
        <v>0</v>
      </c>
      <c r="P40" s="10" t="n">
        <f aca="false">IF(P22&gt;=Inputs!$F$196,1,0)</f>
        <v>0</v>
      </c>
      <c r="Q40" s="10" t="n">
        <f aca="false">IF(Q22&gt;=Inputs!$F$196,1,0)</f>
        <v>0</v>
      </c>
      <c r="R40" s="10" t="n">
        <f aca="false">IF(R22&gt;=Inputs!$F$196,1,0)</f>
        <v>0</v>
      </c>
      <c r="S40" s="10" t="n">
        <f aca="false">IF(S22&gt;=Inputs!$F$196,1,0)</f>
        <v>1</v>
      </c>
      <c r="T40" s="10" t="n">
        <f aca="false">IF(T22&gt;=Inputs!$F$196,1,0)</f>
        <v>1</v>
      </c>
      <c r="U40" s="10" t="n">
        <f aca="false">IF(U22&gt;=Inputs!$F$196,1,0)</f>
        <v>1</v>
      </c>
      <c r="V40" s="10" t="n">
        <f aca="false">IF(V22&gt;=Inputs!$F$196,1,0)</f>
        <v>1</v>
      </c>
      <c r="W40" s="10" t="n">
        <f aca="false">IF(W22&gt;=Inputs!$F$196,1,0)</f>
        <v>1</v>
      </c>
      <c r="X40" s="10" t="n">
        <f aca="false">IF(X22&gt;=Inputs!$F$196,1,0)</f>
        <v>1</v>
      </c>
      <c r="Y40" s="10" t="n">
        <f aca="false">IF(Y22&gt;=Inputs!$F$196,1,0)</f>
        <v>1</v>
      </c>
      <c r="Z40" s="10" t="n">
        <f aca="false">IF(Z22&gt;=Inputs!$F$196,1,0)</f>
        <v>1</v>
      </c>
      <c r="AA40" s="10" t="n">
        <f aca="false">IF(AA22&gt;=Inputs!$F$196,1,0)</f>
        <v>1</v>
      </c>
      <c r="AB40" s="10" t="n">
        <f aca="false">IF(AB22&gt;=Inputs!$F$196,1,0)</f>
        <v>1</v>
      </c>
      <c r="AC40" s="10" t="n">
        <f aca="false">IF(AC22&gt;=Inputs!$F$196,1,0)</f>
        <v>1</v>
      </c>
      <c r="AD40" s="10" t="n">
        <f aca="false">IF(AD22&gt;=Inputs!$F$196,1,0)</f>
        <v>1</v>
      </c>
      <c r="AE40" s="10" t="n">
        <f aca="false">IF(AE22&gt;=Inputs!$F$196,1,0)</f>
        <v>1</v>
      </c>
      <c r="AF40" s="10" t="n">
        <f aca="false">IF(AF22&gt;=Inputs!$F$196,1,0)</f>
        <v>1</v>
      </c>
      <c r="AG40" s="10" t="n">
        <f aca="false">IF(AG22&gt;=Inputs!$F$196,1,0)</f>
        <v>1</v>
      </c>
      <c r="AH40" s="10" t="n">
        <f aca="false">IF(AH22&gt;=Inputs!$F$196,1,0)</f>
        <v>1</v>
      </c>
      <c r="AI40" s="10" t="n">
        <f aca="false">IF(AI22&gt;=Inputs!$F$196,1,0)</f>
        <v>1</v>
      </c>
      <c r="AJ40" s="10" t="n">
        <f aca="false">IF(AJ22&gt;=Inputs!$F$196,1,0)</f>
        <v>1</v>
      </c>
      <c r="AK40" s="10" t="n">
        <f aca="false">IF(AK22&gt;=Inputs!$F$196,1,0)</f>
        <v>1</v>
      </c>
      <c r="AL40" s="10" t="n">
        <f aca="false">IF(AL22&gt;=Inputs!$F$196,1,0)</f>
        <v>1</v>
      </c>
      <c r="AM40" s="10" t="n">
        <f aca="false">IF(AM22&gt;=Inputs!$F$196,1,0)</f>
        <v>1</v>
      </c>
      <c r="AN40" s="10" t="n">
        <f aca="false">IF(AN22&gt;=Inputs!$F$196,1,0)</f>
        <v>1</v>
      </c>
      <c r="AO40" s="10" t="n">
        <f aca="false">IF(AO22&gt;=Inputs!$F$196,1,0)</f>
        <v>1</v>
      </c>
      <c r="AP40" s="10" t="n">
        <f aca="false">IF(AP22&gt;=Inputs!$F$196,1,0)</f>
        <v>1</v>
      </c>
      <c r="AQ40" s="10" t="n">
        <f aca="false">IF(AQ22&gt;=Inputs!$F$196,1,0)</f>
        <v>1</v>
      </c>
      <c r="AR40" s="10" t="n">
        <f aca="false">IF(AR22&gt;=Inputs!$F$196,1,0)</f>
        <v>1</v>
      </c>
      <c r="AS40" s="10" t="n">
        <f aca="false">IF(AS22&gt;=Inputs!$F$196,1,0)</f>
        <v>1</v>
      </c>
      <c r="AT40" s="10" t="n">
        <f aca="false">IF(AT22&gt;=Inputs!$F$196,1,0)</f>
        <v>1</v>
      </c>
      <c r="AU40" s="10" t="n">
        <f aca="false">IF(AU22&gt;=Inputs!$F$196,1,0)</f>
        <v>1</v>
      </c>
      <c r="AV40" s="10" t="n">
        <f aca="false">IF(AV22&gt;=Inputs!$F$196,1,0)</f>
        <v>1</v>
      </c>
      <c r="AW40" s="10" t="n">
        <f aca="false">IF(AW22&gt;=Inputs!$F$196,1,0)</f>
        <v>1</v>
      </c>
      <c r="AX40" s="10" t="n">
        <f aca="false">IF(AX22&gt;=Inputs!$F$196,1,0)</f>
        <v>1</v>
      </c>
      <c r="AY40" s="10" t="n">
        <f aca="false">IF(AY22&gt;=Inputs!$F$196,1,0)</f>
        <v>1</v>
      </c>
      <c r="AZ40" s="10" t="n">
        <f aca="false">IF(AZ22&gt;=Inputs!$F$196,1,0)</f>
        <v>1</v>
      </c>
      <c r="BA40" s="10" t="n">
        <f aca="false">IF(BA22&gt;=Inputs!$F$196,1,0)</f>
        <v>1</v>
      </c>
      <c r="BB40" s="10" t="n">
        <f aca="false">IF(BB22&gt;=Inputs!$F$196,1,0)</f>
        <v>1</v>
      </c>
      <c r="BC40" s="10" t="n">
        <f aca="false">IF(BC22&gt;=Inputs!$F$196,1,0)</f>
        <v>1</v>
      </c>
      <c r="BD40" s="10" t="n">
        <f aca="false">IF(BD22&gt;=Inputs!$F$196,1,0)</f>
        <v>1</v>
      </c>
      <c r="BE40" s="10" t="n">
        <f aca="false">IF(BE22&gt;=Inputs!$F$196,1,0)</f>
        <v>1</v>
      </c>
      <c r="BF40" s="10" t="n">
        <f aca="false">IF(BF22&gt;=Inputs!$F$196,1,0)</f>
        <v>1</v>
      </c>
      <c r="BG40" s="10" t="n">
        <f aca="false">IF(BG22&gt;=Inputs!$F$196,1,0)</f>
        <v>1</v>
      </c>
      <c r="BH40" s="10" t="n">
        <f aca="false">IF(BH22&gt;=Inputs!$F$196,1,0)</f>
        <v>1</v>
      </c>
      <c r="BI40" s="10" t="n">
        <f aca="false">IF(BI22&gt;=Inputs!$F$196,1,0)</f>
        <v>1</v>
      </c>
      <c r="BJ40" s="10" t="n">
        <f aca="false">IF(BJ22&gt;=Inputs!$F$196,1,0)</f>
        <v>1</v>
      </c>
      <c r="BK40" s="10" t="n">
        <f aca="false">IF(BK22&gt;=Inputs!$F$196,1,0)</f>
        <v>1</v>
      </c>
      <c r="BL40" s="10" t="n">
        <f aca="false">IF(BL22&gt;=Inputs!$F$196,1,0)</f>
        <v>1</v>
      </c>
      <c r="BM40" s="10" t="n">
        <f aca="false">IF(BM22&gt;=Inputs!$F$196,1,0)</f>
        <v>1</v>
      </c>
      <c r="BN40" s="10" t="n">
        <f aca="false">IF(BN22&gt;=Inputs!$F$196,1,0)</f>
        <v>1</v>
      </c>
    </row>
    <row r="41" customFormat="false" ht="15" hidden="false" customHeight="false" outlineLevel="0" collapsed="false">
      <c r="D41" s="0" t="s">
        <v>462</v>
      </c>
      <c r="E41" s="0" t="s">
        <v>113</v>
      </c>
      <c r="J41" s="10" t="n">
        <f aca="false">IF(J22&gt;=Inputs!$F$195,1,0)</f>
        <v>0</v>
      </c>
      <c r="K41" s="10" t="n">
        <f aca="false">IF(K22&gt;=Inputs!$F$195,1,0)</f>
        <v>0</v>
      </c>
      <c r="L41" s="10" t="n">
        <f aca="false">IF(L22&gt;=Inputs!$F$195,1,0)</f>
        <v>0</v>
      </c>
      <c r="M41" s="10" t="n">
        <f aca="false">IF(M22&gt;=Inputs!$F$195,1,0)</f>
        <v>0</v>
      </c>
      <c r="N41" s="10" t="n">
        <f aca="false">IF(N22&gt;=Inputs!$F$195,1,0)</f>
        <v>0</v>
      </c>
      <c r="O41" s="10" t="n">
        <f aca="false">IF(O22&gt;=Inputs!$F$195,1,0)</f>
        <v>0</v>
      </c>
      <c r="P41" s="10" t="n">
        <f aca="false">IF(P22&gt;=Inputs!$F$195,1,0)</f>
        <v>0</v>
      </c>
      <c r="Q41" s="10" t="n">
        <f aca="false">IF(Q22&gt;=Inputs!$F$195,1,0)</f>
        <v>0</v>
      </c>
      <c r="R41" s="10" t="n">
        <f aca="false">IF(R22&gt;=Inputs!$F$195,1,0)</f>
        <v>1</v>
      </c>
      <c r="S41" s="10" t="n">
        <f aca="false">IF(S22&gt;=Inputs!$F$195,1,0)</f>
        <v>1</v>
      </c>
      <c r="T41" s="10" t="n">
        <f aca="false">IF(T22&gt;=Inputs!$F$195,1,0)</f>
        <v>1</v>
      </c>
      <c r="U41" s="10" t="n">
        <f aca="false">IF(U22&gt;=Inputs!$F$195,1,0)</f>
        <v>1</v>
      </c>
      <c r="V41" s="10" t="n">
        <f aca="false">IF(V22&gt;=Inputs!$F$195,1,0)</f>
        <v>1</v>
      </c>
      <c r="W41" s="10" t="n">
        <f aca="false">IF(W22&gt;=Inputs!$F$195,1,0)</f>
        <v>1</v>
      </c>
      <c r="X41" s="10" t="n">
        <f aca="false">IF(X22&gt;=Inputs!$F$195,1,0)</f>
        <v>1</v>
      </c>
      <c r="Y41" s="10" t="n">
        <f aca="false">IF(Y22&gt;=Inputs!$F$195,1,0)</f>
        <v>1</v>
      </c>
      <c r="Z41" s="10" t="n">
        <f aca="false">IF(Z22&gt;=Inputs!$F$195,1,0)</f>
        <v>1</v>
      </c>
      <c r="AA41" s="10" t="n">
        <f aca="false">IF(AA22&gt;=Inputs!$F$195,1,0)</f>
        <v>1</v>
      </c>
      <c r="AB41" s="10" t="n">
        <f aca="false">IF(AB22&gt;=Inputs!$F$195,1,0)</f>
        <v>1</v>
      </c>
      <c r="AC41" s="10" t="n">
        <f aca="false">IF(AC22&gt;=Inputs!$F$195,1,0)</f>
        <v>1</v>
      </c>
      <c r="AD41" s="10" t="n">
        <f aca="false">IF(AD22&gt;=Inputs!$F$195,1,0)</f>
        <v>1</v>
      </c>
      <c r="AE41" s="10" t="n">
        <f aca="false">IF(AE22&gt;=Inputs!$F$195,1,0)</f>
        <v>1</v>
      </c>
      <c r="AF41" s="10" t="n">
        <f aca="false">IF(AF22&gt;=Inputs!$F$195,1,0)</f>
        <v>1</v>
      </c>
      <c r="AG41" s="10" t="n">
        <f aca="false">IF(AG22&gt;=Inputs!$F$195,1,0)</f>
        <v>1</v>
      </c>
      <c r="AH41" s="10" t="n">
        <f aca="false">IF(AH22&gt;=Inputs!$F$195,1,0)</f>
        <v>1</v>
      </c>
      <c r="AI41" s="10" t="n">
        <f aca="false">IF(AI22&gt;=Inputs!$F$195,1,0)</f>
        <v>1</v>
      </c>
      <c r="AJ41" s="10" t="n">
        <f aca="false">IF(AJ22&gt;=Inputs!$F$195,1,0)</f>
        <v>1</v>
      </c>
      <c r="AK41" s="10" t="n">
        <f aca="false">IF(AK22&gt;=Inputs!$F$195,1,0)</f>
        <v>1</v>
      </c>
      <c r="AL41" s="10" t="n">
        <f aca="false">IF(AL22&gt;=Inputs!$F$195,1,0)</f>
        <v>1</v>
      </c>
      <c r="AM41" s="10" t="n">
        <f aca="false">IF(AM22&gt;=Inputs!$F$195,1,0)</f>
        <v>1</v>
      </c>
      <c r="AN41" s="10" t="n">
        <f aca="false">IF(AN22&gt;=Inputs!$F$195,1,0)</f>
        <v>1</v>
      </c>
      <c r="AO41" s="10" t="n">
        <f aca="false">IF(AO22&gt;=Inputs!$F$195,1,0)</f>
        <v>1</v>
      </c>
      <c r="AP41" s="10" t="n">
        <f aca="false">IF(AP22&gt;=Inputs!$F$195,1,0)</f>
        <v>1</v>
      </c>
      <c r="AQ41" s="10" t="n">
        <f aca="false">IF(AQ22&gt;=Inputs!$F$195,1,0)</f>
        <v>1</v>
      </c>
      <c r="AR41" s="10" t="n">
        <f aca="false">IF(AR22&gt;=Inputs!$F$195,1,0)</f>
        <v>1</v>
      </c>
      <c r="AS41" s="10" t="n">
        <f aca="false">IF(AS22&gt;=Inputs!$F$195,1,0)</f>
        <v>1</v>
      </c>
      <c r="AT41" s="10" t="n">
        <f aca="false">IF(AT22&gt;=Inputs!$F$195,1,0)</f>
        <v>1</v>
      </c>
      <c r="AU41" s="10" t="n">
        <f aca="false">IF(AU22&gt;=Inputs!$F$195,1,0)</f>
        <v>1</v>
      </c>
      <c r="AV41" s="10" t="n">
        <f aca="false">IF(AV22&gt;=Inputs!$F$195,1,0)</f>
        <v>1</v>
      </c>
      <c r="AW41" s="10" t="n">
        <f aca="false">IF(AW22&gt;=Inputs!$F$195,1,0)</f>
        <v>1</v>
      </c>
      <c r="AX41" s="10" t="n">
        <f aca="false">IF(AX22&gt;=Inputs!$F$195,1,0)</f>
        <v>1</v>
      </c>
      <c r="AY41" s="10" t="n">
        <f aca="false">IF(AY22&gt;=Inputs!$F$195,1,0)</f>
        <v>1</v>
      </c>
      <c r="AZ41" s="10" t="n">
        <f aca="false">IF(AZ22&gt;=Inputs!$F$195,1,0)</f>
        <v>1</v>
      </c>
      <c r="BA41" s="10" t="n">
        <f aca="false">IF(BA22&gt;=Inputs!$F$195,1,0)</f>
        <v>1</v>
      </c>
      <c r="BB41" s="10" t="n">
        <f aca="false">IF(BB22&gt;=Inputs!$F$195,1,0)</f>
        <v>1</v>
      </c>
      <c r="BC41" s="10" t="n">
        <f aca="false">IF(BC22&gt;=Inputs!$F$195,1,0)</f>
        <v>1</v>
      </c>
      <c r="BD41" s="10" t="n">
        <f aca="false">IF(BD22&gt;=Inputs!$F$195,1,0)</f>
        <v>1</v>
      </c>
      <c r="BE41" s="10" t="n">
        <f aca="false">IF(BE22&gt;=Inputs!$F$195,1,0)</f>
        <v>1</v>
      </c>
      <c r="BF41" s="10" t="n">
        <f aca="false">IF(BF22&gt;=Inputs!$F$195,1,0)</f>
        <v>1</v>
      </c>
      <c r="BG41" s="10" t="n">
        <f aca="false">IF(BG22&gt;=Inputs!$F$195,1,0)</f>
        <v>1</v>
      </c>
      <c r="BH41" s="10" t="n">
        <f aca="false">IF(BH22&gt;=Inputs!$F$195,1,0)</f>
        <v>1</v>
      </c>
      <c r="BI41" s="10" t="n">
        <f aca="false">IF(BI22&gt;=Inputs!$F$195,1,0)</f>
        <v>1</v>
      </c>
      <c r="BJ41" s="10" t="n">
        <f aca="false">IF(BJ22&gt;=Inputs!$F$195,1,0)</f>
        <v>1</v>
      </c>
      <c r="BK41" s="10" t="n">
        <f aca="false">IF(BK22&gt;=Inputs!$F$195,1,0)</f>
        <v>1</v>
      </c>
      <c r="BL41" s="10" t="n">
        <f aca="false">IF(BL22&gt;=Inputs!$F$195,1,0)</f>
        <v>1</v>
      </c>
      <c r="BM41" s="10" t="n">
        <f aca="false">IF(BM22&gt;=Inputs!$F$195,1,0)</f>
        <v>1</v>
      </c>
      <c r="BN41" s="10" t="n">
        <f aca="false">IF(BN22&gt;=Inputs!$F$195,1,0)</f>
        <v>1</v>
      </c>
    </row>
    <row r="42" customFormat="false" ht="15" hidden="false" customHeight="false" outlineLevel="0" collapsed="false">
      <c r="D42" s="0" t="s">
        <v>463</v>
      </c>
      <c r="E42" s="0" t="s">
        <v>113</v>
      </c>
      <c r="J42" s="10" t="n">
        <f aca="false">Inputs!$F$48*IF(J23=Inputs!$F$198,1,0)</f>
        <v>0</v>
      </c>
      <c r="K42" s="10" t="n">
        <f aca="false">Inputs!$F$48*IF(K23=Inputs!$F$198,1,0)</f>
        <v>0</v>
      </c>
      <c r="L42" s="10" t="n">
        <f aca="false">Inputs!$F$48*IF(L23=Inputs!$F$198,1,0)</f>
        <v>0</v>
      </c>
      <c r="M42" s="10" t="n">
        <f aca="false">Inputs!$F$48*IF(M23=Inputs!$F$198,1,0)</f>
        <v>0</v>
      </c>
      <c r="N42" s="10" t="n">
        <f aca="false">Inputs!$F$48*IF(N23=Inputs!$F$198,1,0)</f>
        <v>0</v>
      </c>
      <c r="O42" s="10" t="n">
        <f aca="false">Inputs!$F$48*IF(O23=Inputs!$F$198,1,0)</f>
        <v>0</v>
      </c>
      <c r="P42" s="10" t="n">
        <f aca="false">Inputs!$F$48*IF(P23=Inputs!$F$198,1,0)</f>
        <v>0</v>
      </c>
      <c r="Q42" s="10" t="n">
        <f aca="false">Inputs!$F$48*IF(Q23=Inputs!$F$198,1,0)</f>
        <v>0</v>
      </c>
      <c r="R42" s="10" t="n">
        <f aca="false">Inputs!$F$48*IF(R23=Inputs!$F$198,1,0)</f>
        <v>0</v>
      </c>
      <c r="S42" s="10" t="n">
        <f aca="false">Inputs!$F$48*IF(S23=Inputs!$F$198,1,0)</f>
        <v>0</v>
      </c>
      <c r="T42" s="10" t="n">
        <f aca="false">Inputs!$F$48*IF(T23=Inputs!$F$198,1,0)</f>
        <v>0</v>
      </c>
      <c r="U42" s="10" t="n">
        <f aca="false">Inputs!$F$48*IF(U23=Inputs!$F$198,1,0)</f>
        <v>0</v>
      </c>
      <c r="V42" s="10" t="n">
        <f aca="false">Inputs!$F$48*IF(V23=Inputs!$F$198,1,0)</f>
        <v>0</v>
      </c>
      <c r="W42" s="10" t="n">
        <f aca="false">Inputs!$F$48*IF(W23=Inputs!$F$198,1,0)</f>
        <v>0</v>
      </c>
      <c r="X42" s="10" t="n">
        <f aca="false">Inputs!$F$48*IF(X23=Inputs!$F$198,1,0)</f>
        <v>0</v>
      </c>
      <c r="Y42" s="10" t="n">
        <f aca="false">Inputs!$F$48*IF(Y23=Inputs!$F$198,1,0)</f>
        <v>0</v>
      </c>
      <c r="Z42" s="10" t="n">
        <f aca="false">Inputs!$F$48*IF(Z23=Inputs!$F$198,1,0)</f>
        <v>0</v>
      </c>
      <c r="AA42" s="10" t="n">
        <f aca="false">Inputs!$F$48*IF(AA23=Inputs!$F$198,1,0)</f>
        <v>0</v>
      </c>
      <c r="AB42" s="10" t="n">
        <f aca="false">Inputs!$F$48*IF(AB23=Inputs!$F$198,1,0)</f>
        <v>0</v>
      </c>
      <c r="AC42" s="10" t="n">
        <f aca="false">Inputs!$F$48*IF(AC23=Inputs!$F$198,1,0)</f>
        <v>0</v>
      </c>
      <c r="AD42" s="10" t="n">
        <f aca="false">Inputs!$F$48*IF(AD23=Inputs!$F$198,1,0)</f>
        <v>0</v>
      </c>
      <c r="AE42" s="10" t="n">
        <f aca="false">Inputs!$F$48*IF(AE23=Inputs!$F$198,1,0)</f>
        <v>0</v>
      </c>
      <c r="AF42" s="10" t="n">
        <f aca="false">Inputs!$F$48*IF(AF23=Inputs!$F$198,1,0)</f>
        <v>0</v>
      </c>
      <c r="AG42" s="10" t="n">
        <f aca="false">Inputs!$F$48*IF(AG23=Inputs!$F$198,1,0)</f>
        <v>0</v>
      </c>
      <c r="AH42" s="10" t="n">
        <f aca="false">Inputs!$F$48*IF(AH23=Inputs!$F$198,1,0)</f>
        <v>0</v>
      </c>
      <c r="AI42" s="10" t="n">
        <f aca="false">Inputs!$F$48*IF(AI23=Inputs!$F$198,1,0)</f>
        <v>0</v>
      </c>
      <c r="AJ42" s="10" t="n">
        <f aca="false">Inputs!$F$48*IF(AJ23=Inputs!$F$198,1,0)</f>
        <v>0</v>
      </c>
      <c r="AK42" s="10" t="n">
        <f aca="false">Inputs!$F$48*IF(AK23=Inputs!$F$198,1,0)</f>
        <v>0</v>
      </c>
      <c r="AL42" s="10" t="n">
        <f aca="false">Inputs!$F$48*IF(AL23=Inputs!$F$198,1,0)</f>
        <v>0</v>
      </c>
      <c r="AM42" s="10" t="n">
        <f aca="false">Inputs!$F$48*IF(AM23=Inputs!$F$198,1,0)</f>
        <v>0</v>
      </c>
      <c r="AN42" s="10" t="n">
        <f aca="false">Inputs!$F$48*IF(AN23=Inputs!$F$198,1,0)</f>
        <v>0</v>
      </c>
      <c r="AO42" s="10" t="n">
        <f aca="false">Inputs!$F$48*IF(AO23=Inputs!$F$198,1,0)</f>
        <v>0</v>
      </c>
      <c r="AP42" s="10" t="n">
        <f aca="false">Inputs!$F$48*IF(AP23=Inputs!$F$198,1,0)</f>
        <v>0</v>
      </c>
      <c r="AQ42" s="10" t="n">
        <f aca="false">Inputs!$F$48*IF(AQ23=Inputs!$F$198,1,0)</f>
        <v>0</v>
      </c>
      <c r="AR42" s="10" t="n">
        <f aca="false">Inputs!$F$48*IF(AR23=Inputs!$F$198,1,0)</f>
        <v>0</v>
      </c>
      <c r="AS42" s="10" t="n">
        <f aca="false">Inputs!$F$48*IF(AS23=Inputs!$F$198,1,0)</f>
        <v>0</v>
      </c>
      <c r="AT42" s="10" t="n">
        <f aca="false">Inputs!$F$48*IF(AT23=Inputs!$F$198,1,0)</f>
        <v>0</v>
      </c>
      <c r="AU42" s="10" t="n">
        <f aca="false">Inputs!$F$48*IF(AU23=Inputs!$F$198,1,0)</f>
        <v>0</v>
      </c>
      <c r="AV42" s="10" t="n">
        <f aca="false">Inputs!$F$48*IF(AV23=Inputs!$F$198,1,0)</f>
        <v>0</v>
      </c>
      <c r="AW42" s="10" t="n">
        <f aca="false">Inputs!$F$48*IF(AW23=Inputs!$F$198,1,0)</f>
        <v>0</v>
      </c>
      <c r="AX42" s="10" t="n">
        <f aca="false">Inputs!$F$48*IF(AX23=Inputs!$F$198,1,0)</f>
        <v>0</v>
      </c>
      <c r="AY42" s="10" t="n">
        <f aca="false">Inputs!$F$48*IF(AY23=Inputs!$F$198,1,0)</f>
        <v>0</v>
      </c>
      <c r="AZ42" s="10" t="n">
        <f aca="false">Inputs!$F$48*IF(AZ23=Inputs!$F$198,1,0)</f>
        <v>0</v>
      </c>
      <c r="BA42" s="10" t="n">
        <f aca="false">Inputs!$F$48*IF(BA23=Inputs!$F$198,1,0)</f>
        <v>0</v>
      </c>
      <c r="BB42" s="10" t="n">
        <f aca="false">Inputs!$F$48*IF(BB23=Inputs!$F$198,1,0)</f>
        <v>0</v>
      </c>
      <c r="BC42" s="10" t="n">
        <f aca="false">Inputs!$F$48*IF(BC23=Inputs!$F$198,1,0)</f>
        <v>0</v>
      </c>
      <c r="BD42" s="10" t="n">
        <f aca="false">Inputs!$F$48*IF(BD23=Inputs!$F$198,1,0)</f>
        <v>0</v>
      </c>
      <c r="BE42" s="10" t="n">
        <f aca="false">Inputs!$F$48*IF(BE23=Inputs!$F$198,1,0)</f>
        <v>0</v>
      </c>
      <c r="BF42" s="10" t="n">
        <f aca="false">Inputs!$F$48*IF(BF23=Inputs!$F$198,1,0)</f>
        <v>0</v>
      </c>
      <c r="BG42" s="10" t="n">
        <f aca="false">Inputs!$F$48*IF(BG23=Inputs!$F$198,1,0)</f>
        <v>0</v>
      </c>
      <c r="BH42" s="10" t="n">
        <f aca="false">Inputs!$F$48*IF(BH23=Inputs!$F$198,1,0)</f>
        <v>0</v>
      </c>
      <c r="BI42" s="10" t="n">
        <f aca="false">Inputs!$F$48*IF(BI23=Inputs!$F$198,1,0)</f>
        <v>0</v>
      </c>
      <c r="BJ42" s="10" t="n">
        <f aca="false">Inputs!$F$48*IF(BJ23=Inputs!$F$198,1,0)</f>
        <v>0</v>
      </c>
      <c r="BK42" s="10" t="n">
        <f aca="false">Inputs!$F$48*IF(BK23=Inputs!$F$198,1,0)</f>
        <v>0</v>
      </c>
      <c r="BL42" s="10" t="n">
        <f aca="false">Inputs!$F$48*IF(BL23=Inputs!$F$198,1,0)</f>
        <v>0</v>
      </c>
      <c r="BM42" s="10" t="n">
        <f aca="false">Inputs!$F$48*IF(BM23=Inputs!$F$198,1,0)</f>
        <v>0</v>
      </c>
      <c r="BN42" s="10" t="n">
        <f aca="false">Inputs!$F$48*IF(BN23=Inputs!$F$198,1,0)</f>
        <v>0</v>
      </c>
    </row>
    <row r="43" customFormat="false" ht="15" hidden="false" customHeight="false" outlineLevel="0" collapsed="false">
      <c r="D43" s="0" t="s">
        <v>464</v>
      </c>
      <c r="E43" s="0" t="s">
        <v>113</v>
      </c>
      <c r="J43" s="10" t="n">
        <f aca="false">Inputs!$F$49*IF(J23=Inputs!$F$200,1,0)</f>
        <v>0</v>
      </c>
      <c r="K43" s="10" t="n">
        <f aca="false">Inputs!$F$49*IF(K23=Inputs!$F$200,1,0)</f>
        <v>0</v>
      </c>
      <c r="L43" s="10" t="n">
        <f aca="false">Inputs!$F$49*IF(L23=Inputs!$F$200,1,0)</f>
        <v>0</v>
      </c>
      <c r="M43" s="10" t="n">
        <f aca="false">Inputs!$F$49*IF(M23=Inputs!$F$200,1,0)</f>
        <v>0</v>
      </c>
      <c r="N43" s="10" t="n">
        <f aca="false">Inputs!$F$49*IF(N23=Inputs!$F$200,1,0)</f>
        <v>0</v>
      </c>
      <c r="O43" s="10" t="n">
        <f aca="false">Inputs!$F$49*IF(O23=Inputs!$F$200,1,0)</f>
        <v>0</v>
      </c>
      <c r="P43" s="10" t="n">
        <f aca="false">Inputs!$F$49*IF(P23=Inputs!$F$200,1,0)</f>
        <v>0</v>
      </c>
      <c r="Q43" s="10" t="n">
        <f aca="false">Inputs!$F$49*IF(Q23=Inputs!$F$200,1,0)</f>
        <v>0</v>
      </c>
      <c r="R43" s="10" t="n">
        <f aca="false">Inputs!$F$49*IF(R23=Inputs!$F$200,1,0)</f>
        <v>0</v>
      </c>
      <c r="S43" s="10" t="n">
        <f aca="false">Inputs!$F$49*IF(S23=Inputs!$F$200,1,0)</f>
        <v>0</v>
      </c>
      <c r="T43" s="10" t="n">
        <f aca="false">Inputs!$F$49*IF(T23=Inputs!$F$200,1,0)</f>
        <v>0</v>
      </c>
      <c r="U43" s="10" t="n">
        <f aca="false">Inputs!$F$49*IF(U23=Inputs!$F$200,1,0)</f>
        <v>0</v>
      </c>
      <c r="V43" s="10" t="n">
        <f aca="false">Inputs!$F$49*IF(V23=Inputs!$F$200,1,0)</f>
        <v>0</v>
      </c>
      <c r="W43" s="10" t="n">
        <f aca="false">Inputs!$F$49*IF(W23=Inputs!$F$200,1,0)</f>
        <v>0</v>
      </c>
      <c r="X43" s="10" t="n">
        <f aca="false">Inputs!$F$49*IF(X23=Inputs!$F$200,1,0)</f>
        <v>0</v>
      </c>
      <c r="Y43" s="10" t="n">
        <f aca="false">Inputs!$F$49*IF(Y23=Inputs!$F$200,1,0)</f>
        <v>0</v>
      </c>
      <c r="Z43" s="10" t="n">
        <f aca="false">Inputs!$F$49*IF(Z23=Inputs!$F$200,1,0)</f>
        <v>0</v>
      </c>
      <c r="AA43" s="10" t="n">
        <f aca="false">Inputs!$F$49*IF(AA23=Inputs!$F$200,1,0)</f>
        <v>0</v>
      </c>
      <c r="AB43" s="10" t="n">
        <f aca="false">Inputs!$F$49*IF(AB23=Inputs!$F$200,1,0)</f>
        <v>0</v>
      </c>
      <c r="AC43" s="10" t="n">
        <f aca="false">Inputs!$F$49*IF(AC23=Inputs!$F$200,1,0)</f>
        <v>0</v>
      </c>
      <c r="AD43" s="10" t="n">
        <f aca="false">Inputs!$F$49*IF(AD23=Inputs!$F$200,1,0)</f>
        <v>0</v>
      </c>
      <c r="AE43" s="10" t="n">
        <f aca="false">Inputs!$F$49*IF(AE23=Inputs!$F$200,1,0)</f>
        <v>0</v>
      </c>
      <c r="AF43" s="10" t="n">
        <f aca="false">Inputs!$F$49*IF(AF23=Inputs!$F$200,1,0)</f>
        <v>0</v>
      </c>
      <c r="AG43" s="10" t="n">
        <f aca="false">Inputs!$F$49*IF(AG23=Inputs!$F$200,1,0)</f>
        <v>0</v>
      </c>
      <c r="AH43" s="10" t="n">
        <f aca="false">Inputs!$F$49*IF(AH23=Inputs!$F$200,1,0)</f>
        <v>0</v>
      </c>
      <c r="AI43" s="10" t="n">
        <f aca="false">Inputs!$F$49*IF(AI23=Inputs!$F$200,1,0)</f>
        <v>0</v>
      </c>
      <c r="AJ43" s="10" t="n">
        <f aca="false">Inputs!$F$49*IF(AJ23=Inputs!$F$200,1,0)</f>
        <v>0</v>
      </c>
      <c r="AK43" s="10" t="n">
        <f aca="false">Inputs!$F$49*IF(AK23=Inputs!$F$200,1,0)</f>
        <v>0</v>
      </c>
      <c r="AL43" s="10" t="n">
        <f aca="false">Inputs!$F$49*IF(AL23=Inputs!$F$200,1,0)</f>
        <v>0</v>
      </c>
      <c r="AM43" s="10" t="n">
        <f aca="false">Inputs!$F$49*IF(AM23=Inputs!$F$200,1,0)</f>
        <v>0</v>
      </c>
      <c r="AN43" s="10" t="n">
        <f aca="false">Inputs!$F$49*IF(AN23=Inputs!$F$200,1,0)</f>
        <v>0</v>
      </c>
      <c r="AO43" s="10" t="n">
        <f aca="false">Inputs!$F$49*IF(AO23=Inputs!$F$200,1,0)</f>
        <v>0</v>
      </c>
      <c r="AP43" s="10" t="n">
        <f aca="false">Inputs!$F$49*IF(AP23=Inputs!$F$200,1,0)</f>
        <v>0</v>
      </c>
      <c r="AQ43" s="10" t="n">
        <f aca="false">Inputs!$F$49*IF(AQ23=Inputs!$F$200,1,0)</f>
        <v>0</v>
      </c>
      <c r="AR43" s="10" t="n">
        <f aca="false">Inputs!$F$49*IF(AR23=Inputs!$F$200,1,0)</f>
        <v>0</v>
      </c>
      <c r="AS43" s="10" t="n">
        <f aca="false">Inputs!$F$49*IF(AS23=Inputs!$F$200,1,0)</f>
        <v>0</v>
      </c>
      <c r="AT43" s="10" t="n">
        <f aca="false">Inputs!$F$49*IF(AT23=Inputs!$F$200,1,0)</f>
        <v>0</v>
      </c>
      <c r="AU43" s="10" t="n">
        <f aca="false">Inputs!$F$49*IF(AU23=Inputs!$F$200,1,0)</f>
        <v>0</v>
      </c>
      <c r="AV43" s="10" t="n">
        <f aca="false">Inputs!$F$49*IF(AV23=Inputs!$F$200,1,0)</f>
        <v>0</v>
      </c>
      <c r="AW43" s="10" t="n">
        <f aca="false">Inputs!$F$49*IF(AW23=Inputs!$F$200,1,0)</f>
        <v>0</v>
      </c>
      <c r="AX43" s="10" t="n">
        <f aca="false">Inputs!$F$49*IF(AX23=Inputs!$F$200,1,0)</f>
        <v>0</v>
      </c>
      <c r="AY43" s="10" t="n">
        <f aca="false">Inputs!$F$49*IF(AY23=Inputs!$F$200,1,0)</f>
        <v>0</v>
      </c>
      <c r="AZ43" s="10" t="n">
        <f aca="false">Inputs!$F$49*IF(AZ23=Inputs!$F$200,1,0)</f>
        <v>0</v>
      </c>
      <c r="BA43" s="10" t="n">
        <f aca="false">Inputs!$F$49*IF(BA23=Inputs!$F$200,1,0)</f>
        <v>0</v>
      </c>
      <c r="BB43" s="10" t="n">
        <f aca="false">Inputs!$F$49*IF(BB23=Inputs!$F$200,1,0)</f>
        <v>0</v>
      </c>
      <c r="BC43" s="10" t="n">
        <f aca="false">Inputs!$F$49*IF(BC23=Inputs!$F$200,1,0)</f>
        <v>0</v>
      </c>
      <c r="BD43" s="10" t="n">
        <f aca="false">Inputs!$F$49*IF(BD23=Inputs!$F$200,1,0)</f>
        <v>0</v>
      </c>
      <c r="BE43" s="10" t="n">
        <f aca="false">Inputs!$F$49*IF(BE23=Inputs!$F$200,1,0)</f>
        <v>0</v>
      </c>
      <c r="BF43" s="10" t="n">
        <f aca="false">Inputs!$F$49*IF(BF23=Inputs!$F$200,1,0)</f>
        <v>0</v>
      </c>
      <c r="BG43" s="10" t="n">
        <f aca="false">Inputs!$F$49*IF(BG23=Inputs!$F$200,1,0)</f>
        <v>0</v>
      </c>
      <c r="BH43" s="10" t="n">
        <f aca="false">Inputs!$F$49*IF(BH23=Inputs!$F$200,1,0)</f>
        <v>0</v>
      </c>
      <c r="BI43" s="10" t="n">
        <f aca="false">Inputs!$F$49*IF(BI23=Inputs!$F$200,1,0)</f>
        <v>0</v>
      </c>
      <c r="BJ43" s="10" t="n">
        <f aca="false">Inputs!$F$49*IF(BJ23=Inputs!$F$200,1,0)</f>
        <v>0</v>
      </c>
      <c r="BK43" s="10" t="n">
        <f aca="false">Inputs!$F$49*IF(BK23=Inputs!$F$200,1,0)</f>
        <v>0</v>
      </c>
      <c r="BL43" s="10" t="n">
        <f aca="false">Inputs!$F$49*IF(BL23=Inputs!$F$200,1,0)</f>
        <v>0</v>
      </c>
      <c r="BM43" s="10" t="n">
        <f aca="false">Inputs!$F$49*IF(BM23=Inputs!$F$200,1,0)</f>
        <v>0</v>
      </c>
      <c r="BN43" s="10" t="n">
        <f aca="false">Inputs!$F$49*IF(BN23=Inputs!$F$200,1,0)</f>
        <v>0</v>
      </c>
    </row>
    <row r="44" customFormat="false" ht="15" hidden="false" customHeight="false" outlineLevel="0" collapsed="false">
      <c r="D44" s="0" t="s">
        <v>465</v>
      </c>
      <c r="E44" s="0" t="s">
        <v>113</v>
      </c>
      <c r="J44" s="10" t="n">
        <f aca="false">Inputs!$F$49*IF(AND(J22&gt;=Inputs!$F$201,J23&lt;=Inputs!$F$202),1,0)</f>
        <v>0</v>
      </c>
      <c r="K44" s="10" t="n">
        <f aca="false">Inputs!$F$49*IF(AND(K22&gt;=Inputs!$F$201,K23&lt;=Inputs!$F$202),1,0)</f>
        <v>0</v>
      </c>
      <c r="L44" s="10" t="n">
        <f aca="false">Inputs!$F$49*IF(AND(L22&gt;=Inputs!$F$201,L23&lt;=Inputs!$F$202),1,0)</f>
        <v>0</v>
      </c>
      <c r="M44" s="10" t="n">
        <f aca="false">Inputs!$F$49*IF(AND(M22&gt;=Inputs!$F$201,M23&lt;=Inputs!$F$202),1,0)</f>
        <v>0</v>
      </c>
      <c r="N44" s="10" t="n">
        <f aca="false">Inputs!$F$49*IF(AND(N22&gt;=Inputs!$F$201,N23&lt;=Inputs!$F$202),1,0)</f>
        <v>0</v>
      </c>
      <c r="O44" s="10" t="n">
        <f aca="false">Inputs!$F$49*IF(AND(O22&gt;=Inputs!$F$201,O23&lt;=Inputs!$F$202),1,0)</f>
        <v>0</v>
      </c>
      <c r="P44" s="10" t="n">
        <f aca="false">Inputs!$F$49*IF(AND(P22&gt;=Inputs!$F$201,P23&lt;=Inputs!$F$202),1,0)</f>
        <v>0</v>
      </c>
      <c r="Q44" s="10" t="n">
        <f aca="false">Inputs!$F$49*IF(AND(Q22&gt;=Inputs!$F$201,Q23&lt;=Inputs!$F$202),1,0)</f>
        <v>0</v>
      </c>
      <c r="R44" s="10" t="n">
        <f aca="false">Inputs!$F$49*IF(AND(R22&gt;=Inputs!$F$201,R23&lt;=Inputs!$F$202),1,0)</f>
        <v>0</v>
      </c>
      <c r="S44" s="10" t="n">
        <f aca="false">Inputs!$F$49*IF(AND(S22&gt;=Inputs!$F$201,S23&lt;=Inputs!$F$202),1,0)</f>
        <v>0</v>
      </c>
      <c r="T44" s="10" t="n">
        <f aca="false">Inputs!$F$49*IF(AND(T22&gt;=Inputs!$F$201,T23&lt;=Inputs!$F$202),1,0)</f>
        <v>0</v>
      </c>
      <c r="U44" s="10" t="n">
        <f aca="false">Inputs!$F$49*IF(AND(U22&gt;=Inputs!$F$201,U23&lt;=Inputs!$F$202),1,0)</f>
        <v>0</v>
      </c>
      <c r="V44" s="10" t="n">
        <f aca="false">Inputs!$F$49*IF(AND(V22&gt;=Inputs!$F$201,V23&lt;=Inputs!$F$202),1,0)</f>
        <v>0</v>
      </c>
      <c r="W44" s="10" t="n">
        <f aca="false">Inputs!$F$49*IF(AND(W22&gt;=Inputs!$F$201,W23&lt;=Inputs!$F$202),1,0)</f>
        <v>0</v>
      </c>
      <c r="X44" s="10" t="n">
        <f aca="false">Inputs!$F$49*IF(AND(X22&gt;=Inputs!$F$201,X23&lt;=Inputs!$F$202),1,0)</f>
        <v>0</v>
      </c>
      <c r="Y44" s="10" t="n">
        <f aca="false">Inputs!$F$49*IF(AND(Y22&gt;=Inputs!$F$201,Y23&lt;=Inputs!$F$202),1,0)</f>
        <v>0</v>
      </c>
      <c r="Z44" s="10" t="n">
        <f aca="false">Inputs!$F$49*IF(AND(Z22&gt;=Inputs!$F$201,Z23&lt;=Inputs!$F$202),1,0)</f>
        <v>0</v>
      </c>
      <c r="AA44" s="10" t="n">
        <f aca="false">Inputs!$F$49*IF(AND(AA22&gt;=Inputs!$F$201,AA23&lt;=Inputs!$F$202),1,0)</f>
        <v>0</v>
      </c>
      <c r="AB44" s="10" t="n">
        <f aca="false">Inputs!$F$49*IF(AND(AB22&gt;=Inputs!$F$201,AB23&lt;=Inputs!$F$202),1,0)</f>
        <v>0</v>
      </c>
      <c r="AC44" s="10" t="n">
        <f aca="false">Inputs!$F$49*IF(AND(AC22&gt;=Inputs!$F$201,AC23&lt;=Inputs!$F$202),1,0)</f>
        <v>0</v>
      </c>
      <c r="AD44" s="10" t="n">
        <f aca="false">Inputs!$F$49*IF(AND(AD22&gt;=Inputs!$F$201,AD23&lt;=Inputs!$F$202),1,0)</f>
        <v>0</v>
      </c>
      <c r="AE44" s="10" t="n">
        <f aca="false">Inputs!$F$49*IF(AND(AE22&gt;=Inputs!$F$201,AE23&lt;=Inputs!$F$202),1,0)</f>
        <v>0</v>
      </c>
      <c r="AF44" s="10" t="n">
        <f aca="false">Inputs!$F$49*IF(AND(AF22&gt;=Inputs!$F$201,AF23&lt;=Inputs!$F$202),1,0)</f>
        <v>0</v>
      </c>
      <c r="AG44" s="10" t="n">
        <f aca="false">Inputs!$F$49*IF(AND(AG22&gt;=Inputs!$F$201,AG23&lt;=Inputs!$F$202),1,0)</f>
        <v>0</v>
      </c>
      <c r="AH44" s="10" t="n">
        <f aca="false">Inputs!$F$49*IF(AND(AH22&gt;=Inputs!$F$201,AH23&lt;=Inputs!$F$202),1,0)</f>
        <v>0</v>
      </c>
      <c r="AI44" s="10" t="n">
        <f aca="false">Inputs!$F$49*IF(AND(AI22&gt;=Inputs!$F$201,AI23&lt;=Inputs!$F$202),1,0)</f>
        <v>0</v>
      </c>
      <c r="AJ44" s="10" t="n">
        <f aca="false">Inputs!$F$49*IF(AND(AJ22&gt;=Inputs!$F$201,AJ23&lt;=Inputs!$F$202),1,0)</f>
        <v>0</v>
      </c>
      <c r="AK44" s="10" t="n">
        <f aca="false">Inputs!$F$49*IF(AND(AK22&gt;=Inputs!$F$201,AK23&lt;=Inputs!$F$202),1,0)</f>
        <v>0</v>
      </c>
      <c r="AL44" s="10" t="n">
        <f aca="false">Inputs!$F$49*IF(AND(AL22&gt;=Inputs!$F$201,AL23&lt;=Inputs!$F$202),1,0)</f>
        <v>0</v>
      </c>
      <c r="AM44" s="10" t="n">
        <f aca="false">Inputs!$F$49*IF(AND(AM22&gt;=Inputs!$F$201,AM23&lt;=Inputs!$F$202),1,0)</f>
        <v>0</v>
      </c>
      <c r="AN44" s="10" t="n">
        <f aca="false">Inputs!$F$49*IF(AND(AN22&gt;=Inputs!$F$201,AN23&lt;=Inputs!$F$202),1,0)</f>
        <v>0</v>
      </c>
      <c r="AO44" s="10" t="n">
        <f aca="false">Inputs!$F$49*IF(AND(AO22&gt;=Inputs!$F$201,AO23&lt;=Inputs!$F$202),1,0)</f>
        <v>0</v>
      </c>
      <c r="AP44" s="10" t="n">
        <f aca="false">Inputs!$F$49*IF(AND(AP22&gt;=Inputs!$F$201,AP23&lt;=Inputs!$F$202),1,0)</f>
        <v>0</v>
      </c>
      <c r="AQ44" s="10" t="n">
        <f aca="false">Inputs!$F$49*IF(AND(AQ22&gt;=Inputs!$F$201,AQ23&lt;=Inputs!$F$202),1,0)</f>
        <v>0</v>
      </c>
      <c r="AR44" s="10" t="n">
        <f aca="false">Inputs!$F$49*IF(AND(AR22&gt;=Inputs!$F$201,AR23&lt;=Inputs!$F$202),1,0)</f>
        <v>0</v>
      </c>
      <c r="AS44" s="10" t="n">
        <f aca="false">Inputs!$F$49*IF(AND(AS22&gt;=Inputs!$F$201,AS23&lt;=Inputs!$F$202),1,0)</f>
        <v>0</v>
      </c>
      <c r="AT44" s="10" t="n">
        <f aca="false">Inputs!$F$49*IF(AND(AT22&gt;=Inputs!$F$201,AT23&lt;=Inputs!$F$202),1,0)</f>
        <v>0</v>
      </c>
      <c r="AU44" s="10" t="n">
        <f aca="false">Inputs!$F$49*IF(AND(AU22&gt;=Inputs!$F$201,AU23&lt;=Inputs!$F$202),1,0)</f>
        <v>0</v>
      </c>
      <c r="AV44" s="10" t="n">
        <f aca="false">Inputs!$F$49*IF(AND(AV22&gt;=Inputs!$F$201,AV23&lt;=Inputs!$F$202),1,0)</f>
        <v>0</v>
      </c>
      <c r="AW44" s="10" t="n">
        <f aca="false">Inputs!$F$49*IF(AND(AW22&gt;=Inputs!$F$201,AW23&lt;=Inputs!$F$202),1,0)</f>
        <v>0</v>
      </c>
      <c r="AX44" s="10" t="n">
        <f aca="false">Inputs!$F$49*IF(AND(AX22&gt;=Inputs!$F$201,AX23&lt;=Inputs!$F$202),1,0)</f>
        <v>0</v>
      </c>
      <c r="AY44" s="10" t="n">
        <f aca="false">Inputs!$F$49*IF(AND(AY22&gt;=Inputs!$F$201,AY23&lt;=Inputs!$F$202),1,0)</f>
        <v>0</v>
      </c>
      <c r="AZ44" s="10" t="n">
        <f aca="false">Inputs!$F$49*IF(AND(AZ22&gt;=Inputs!$F$201,AZ23&lt;=Inputs!$F$202),1,0)</f>
        <v>0</v>
      </c>
      <c r="BA44" s="10" t="n">
        <f aca="false">Inputs!$F$49*IF(AND(BA22&gt;=Inputs!$F$201,BA23&lt;=Inputs!$F$202),1,0)</f>
        <v>0</v>
      </c>
      <c r="BB44" s="10" t="n">
        <f aca="false">Inputs!$F$49*IF(AND(BB22&gt;=Inputs!$F$201,BB23&lt;=Inputs!$F$202),1,0)</f>
        <v>0</v>
      </c>
      <c r="BC44" s="10" t="n">
        <f aca="false">Inputs!$F$49*IF(AND(BC22&gt;=Inputs!$F$201,BC23&lt;=Inputs!$F$202),1,0)</f>
        <v>0</v>
      </c>
      <c r="BD44" s="10" t="n">
        <f aca="false">Inputs!$F$49*IF(AND(BD22&gt;=Inputs!$F$201,BD23&lt;=Inputs!$F$202),1,0)</f>
        <v>0</v>
      </c>
      <c r="BE44" s="10" t="n">
        <f aca="false">Inputs!$F$49*IF(AND(BE22&gt;=Inputs!$F$201,BE23&lt;=Inputs!$F$202),1,0)</f>
        <v>0</v>
      </c>
      <c r="BF44" s="10" t="n">
        <f aca="false">Inputs!$F$49*IF(AND(BF22&gt;=Inputs!$F$201,BF23&lt;=Inputs!$F$202),1,0)</f>
        <v>0</v>
      </c>
      <c r="BG44" s="10" t="n">
        <f aca="false">Inputs!$F$49*IF(AND(BG22&gt;=Inputs!$F$201,BG23&lt;=Inputs!$F$202),1,0)</f>
        <v>0</v>
      </c>
      <c r="BH44" s="10" t="n">
        <f aca="false">Inputs!$F$49*IF(AND(BH22&gt;=Inputs!$F$201,BH23&lt;=Inputs!$F$202),1,0)</f>
        <v>0</v>
      </c>
      <c r="BI44" s="10" t="n">
        <f aca="false">Inputs!$F$49*IF(AND(BI22&gt;=Inputs!$F$201,BI23&lt;=Inputs!$F$202),1,0)</f>
        <v>0</v>
      </c>
      <c r="BJ44" s="10" t="n">
        <f aca="false">Inputs!$F$49*IF(AND(BJ22&gt;=Inputs!$F$201,BJ23&lt;=Inputs!$F$202),1,0)</f>
        <v>0</v>
      </c>
      <c r="BK44" s="10" t="n">
        <f aca="false">Inputs!$F$49*IF(AND(BK22&gt;=Inputs!$F$201,BK23&lt;=Inputs!$F$202),1,0)</f>
        <v>0</v>
      </c>
      <c r="BL44" s="10" t="n">
        <f aca="false">Inputs!$F$49*IF(AND(BL22&gt;=Inputs!$F$201,BL23&lt;=Inputs!$F$202),1,0)</f>
        <v>0</v>
      </c>
      <c r="BM44" s="10" t="n">
        <f aca="false">Inputs!$F$49*IF(AND(BM22&gt;=Inputs!$F$201,BM23&lt;=Inputs!$F$202),1,0)</f>
        <v>0</v>
      </c>
      <c r="BN44" s="10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466</v>
      </c>
      <c r="E45" s="0" t="s">
        <v>113</v>
      </c>
      <c r="J45" s="10" t="n">
        <f aca="false">Inputs!$F$49*IF(AND(J23&gt;=Inputs!$F$203,J23&lt;=Inputs!$F$204),1,0)</f>
        <v>0</v>
      </c>
      <c r="K45" s="10" t="n">
        <f aca="false">Inputs!$F$49*IF(AND(K23&gt;=Inputs!$F$203,K23&lt;=Inputs!$F$204),1,0)</f>
        <v>0</v>
      </c>
      <c r="L45" s="10" t="n">
        <f aca="false">Inputs!$F$49*IF(AND(L23&gt;=Inputs!$F$203,L23&lt;=Inputs!$F$204),1,0)</f>
        <v>0</v>
      </c>
      <c r="M45" s="10" t="n">
        <f aca="false">Inputs!$F$49*IF(AND(M23&gt;=Inputs!$F$203,M23&lt;=Inputs!$F$204),1,0)</f>
        <v>0</v>
      </c>
      <c r="N45" s="10" t="n">
        <f aca="false">Inputs!$F$49*IF(AND(N23&gt;=Inputs!$F$203,N23&lt;=Inputs!$F$204),1,0)</f>
        <v>0</v>
      </c>
      <c r="O45" s="10" t="n">
        <f aca="false">Inputs!$F$49*IF(AND(O23&gt;=Inputs!$F$203,O23&lt;=Inputs!$F$204),1,0)</f>
        <v>0</v>
      </c>
      <c r="P45" s="10" t="n">
        <f aca="false">Inputs!$F$49*IF(AND(P23&gt;=Inputs!$F$203,P23&lt;=Inputs!$F$204),1,0)</f>
        <v>0</v>
      </c>
      <c r="Q45" s="10" t="n">
        <f aca="false">Inputs!$F$49*IF(AND(Q23&gt;=Inputs!$F$203,Q23&lt;=Inputs!$F$204),1,0)</f>
        <v>0</v>
      </c>
      <c r="R45" s="10" t="n">
        <f aca="false">Inputs!$F$49*IF(AND(R23&gt;=Inputs!$F$203,R23&lt;=Inputs!$F$204),1,0)</f>
        <v>0</v>
      </c>
      <c r="S45" s="10" t="n">
        <f aca="false">Inputs!$F$49*IF(AND(S23&gt;=Inputs!$F$203,S23&lt;=Inputs!$F$204),1,0)</f>
        <v>0</v>
      </c>
      <c r="T45" s="10" t="n">
        <f aca="false">Inputs!$F$49*IF(AND(T23&gt;=Inputs!$F$203,T23&lt;=Inputs!$F$204),1,0)</f>
        <v>0</v>
      </c>
      <c r="U45" s="10" t="n">
        <f aca="false">Inputs!$F$49*IF(AND(U23&gt;=Inputs!$F$203,U23&lt;=Inputs!$F$204),1,0)</f>
        <v>0</v>
      </c>
      <c r="V45" s="10" t="n">
        <f aca="false">Inputs!$F$49*IF(AND(V23&gt;=Inputs!$F$203,V23&lt;=Inputs!$F$204),1,0)</f>
        <v>0</v>
      </c>
      <c r="W45" s="10" t="n">
        <f aca="false">Inputs!$F$49*IF(AND(W23&gt;=Inputs!$F$203,W23&lt;=Inputs!$F$204),1,0)</f>
        <v>0</v>
      </c>
      <c r="X45" s="10" t="n">
        <f aca="false">Inputs!$F$49*IF(AND(X23&gt;=Inputs!$F$203,X23&lt;=Inputs!$F$204),1,0)</f>
        <v>0</v>
      </c>
      <c r="Y45" s="10" t="n">
        <f aca="false">Inputs!$F$49*IF(AND(Y23&gt;=Inputs!$F$203,Y23&lt;=Inputs!$F$204),1,0)</f>
        <v>0</v>
      </c>
      <c r="Z45" s="10" t="n">
        <f aca="false">Inputs!$F$49*IF(AND(Z23&gt;=Inputs!$F$203,Z23&lt;=Inputs!$F$204),1,0)</f>
        <v>0</v>
      </c>
      <c r="AA45" s="10" t="n">
        <f aca="false">Inputs!$F$49*IF(AND(AA23&gt;=Inputs!$F$203,AA23&lt;=Inputs!$F$204),1,0)</f>
        <v>0</v>
      </c>
      <c r="AB45" s="10" t="n">
        <f aca="false">Inputs!$F$49*IF(AND(AB23&gt;=Inputs!$F$203,AB23&lt;=Inputs!$F$204),1,0)</f>
        <v>0</v>
      </c>
      <c r="AC45" s="10" t="n">
        <f aca="false">Inputs!$F$49*IF(AND(AC23&gt;=Inputs!$F$203,AC23&lt;=Inputs!$F$204),1,0)</f>
        <v>0</v>
      </c>
      <c r="AD45" s="10" t="n">
        <f aca="false">Inputs!$F$49*IF(AND(AD23&gt;=Inputs!$F$203,AD23&lt;=Inputs!$F$204),1,0)</f>
        <v>0</v>
      </c>
      <c r="AE45" s="10" t="n">
        <f aca="false">Inputs!$F$49*IF(AND(AE23&gt;=Inputs!$F$203,AE23&lt;=Inputs!$F$204),1,0)</f>
        <v>0</v>
      </c>
      <c r="AF45" s="10" t="n">
        <f aca="false">Inputs!$F$49*IF(AND(AF23&gt;=Inputs!$F$203,AF23&lt;=Inputs!$F$204),1,0)</f>
        <v>0</v>
      </c>
      <c r="AG45" s="10" t="n">
        <f aca="false">Inputs!$F$49*IF(AND(AG23&gt;=Inputs!$F$203,AG23&lt;=Inputs!$F$204),1,0)</f>
        <v>0</v>
      </c>
      <c r="AH45" s="10" t="n">
        <f aca="false">Inputs!$F$49*IF(AND(AH23&gt;=Inputs!$F$203,AH23&lt;=Inputs!$F$204),1,0)</f>
        <v>0</v>
      </c>
      <c r="AI45" s="10" t="n">
        <f aca="false">Inputs!$F$49*IF(AND(AI23&gt;=Inputs!$F$203,AI23&lt;=Inputs!$F$204),1,0)</f>
        <v>0</v>
      </c>
      <c r="AJ45" s="10" t="n">
        <f aca="false">Inputs!$F$49*IF(AND(AJ23&gt;=Inputs!$F$203,AJ23&lt;=Inputs!$F$204),1,0)</f>
        <v>0</v>
      </c>
      <c r="AK45" s="10" t="n">
        <f aca="false">Inputs!$F$49*IF(AND(AK23&gt;=Inputs!$F$203,AK23&lt;=Inputs!$F$204),1,0)</f>
        <v>0</v>
      </c>
      <c r="AL45" s="10" t="n">
        <f aca="false">Inputs!$F$49*IF(AND(AL23&gt;=Inputs!$F$203,AL23&lt;=Inputs!$F$204),1,0)</f>
        <v>0</v>
      </c>
      <c r="AM45" s="10" t="n">
        <f aca="false">Inputs!$F$49*IF(AND(AM23&gt;=Inputs!$F$203,AM23&lt;=Inputs!$F$204),1,0)</f>
        <v>0</v>
      </c>
      <c r="AN45" s="10" t="n">
        <f aca="false">Inputs!$F$49*IF(AND(AN23&gt;=Inputs!$F$203,AN23&lt;=Inputs!$F$204),1,0)</f>
        <v>0</v>
      </c>
      <c r="AO45" s="10" t="n">
        <f aca="false">Inputs!$F$49*IF(AND(AO23&gt;=Inputs!$F$203,AO23&lt;=Inputs!$F$204),1,0)</f>
        <v>0</v>
      </c>
      <c r="AP45" s="10" t="n">
        <f aca="false">Inputs!$F$49*IF(AND(AP23&gt;=Inputs!$F$203,AP23&lt;=Inputs!$F$204),1,0)</f>
        <v>0</v>
      </c>
      <c r="AQ45" s="10" t="n">
        <f aca="false">Inputs!$F$49*IF(AND(AQ23&gt;=Inputs!$F$203,AQ23&lt;=Inputs!$F$204),1,0)</f>
        <v>0</v>
      </c>
      <c r="AR45" s="10" t="n">
        <f aca="false">Inputs!$F$49*IF(AND(AR23&gt;=Inputs!$F$203,AR23&lt;=Inputs!$F$204),1,0)</f>
        <v>0</v>
      </c>
      <c r="AS45" s="10" t="n">
        <f aca="false">Inputs!$F$49*IF(AND(AS23&gt;=Inputs!$F$203,AS23&lt;=Inputs!$F$204),1,0)</f>
        <v>0</v>
      </c>
      <c r="AT45" s="10" t="n">
        <f aca="false">Inputs!$F$49*IF(AND(AT23&gt;=Inputs!$F$203,AT23&lt;=Inputs!$F$204),1,0)</f>
        <v>0</v>
      </c>
      <c r="AU45" s="10" t="n">
        <f aca="false">Inputs!$F$49*IF(AND(AU23&gt;=Inputs!$F$203,AU23&lt;=Inputs!$F$204),1,0)</f>
        <v>0</v>
      </c>
      <c r="AV45" s="10" t="n">
        <f aca="false">Inputs!$F$49*IF(AND(AV23&gt;=Inputs!$F$203,AV23&lt;=Inputs!$F$204),1,0)</f>
        <v>0</v>
      </c>
      <c r="AW45" s="10" t="n">
        <f aca="false">Inputs!$F$49*IF(AND(AW23&gt;=Inputs!$F$203,AW23&lt;=Inputs!$F$204),1,0)</f>
        <v>0</v>
      </c>
      <c r="AX45" s="10" t="n">
        <f aca="false">Inputs!$F$49*IF(AND(AX23&gt;=Inputs!$F$203,AX23&lt;=Inputs!$F$204),1,0)</f>
        <v>0</v>
      </c>
      <c r="AY45" s="10" t="n">
        <f aca="false">Inputs!$F$49*IF(AND(AY23&gt;=Inputs!$F$203,AY23&lt;=Inputs!$F$204),1,0)</f>
        <v>0</v>
      </c>
      <c r="AZ45" s="10" t="n">
        <f aca="false">Inputs!$F$49*IF(AND(AZ23&gt;=Inputs!$F$203,AZ23&lt;=Inputs!$F$204),1,0)</f>
        <v>0</v>
      </c>
      <c r="BA45" s="10" t="n">
        <f aca="false">Inputs!$F$49*IF(AND(BA23&gt;=Inputs!$F$203,BA23&lt;=Inputs!$F$204),1,0)</f>
        <v>0</v>
      </c>
      <c r="BB45" s="10" t="n">
        <f aca="false">Inputs!$F$49*IF(AND(BB23&gt;=Inputs!$F$203,BB23&lt;=Inputs!$F$204),1,0)</f>
        <v>0</v>
      </c>
      <c r="BC45" s="10" t="n">
        <f aca="false">Inputs!$F$49*IF(AND(BC23&gt;=Inputs!$F$203,BC23&lt;=Inputs!$F$204),1,0)</f>
        <v>0</v>
      </c>
      <c r="BD45" s="10" t="n">
        <f aca="false">Inputs!$F$49*IF(AND(BD23&gt;=Inputs!$F$203,BD23&lt;=Inputs!$F$204),1,0)</f>
        <v>0</v>
      </c>
      <c r="BE45" s="10" t="n">
        <f aca="false">Inputs!$F$49*IF(AND(BE23&gt;=Inputs!$F$203,BE23&lt;=Inputs!$F$204),1,0)</f>
        <v>0</v>
      </c>
      <c r="BF45" s="10" t="n">
        <f aca="false">Inputs!$F$49*IF(AND(BF23&gt;=Inputs!$F$203,BF23&lt;=Inputs!$F$204),1,0)</f>
        <v>0</v>
      </c>
      <c r="BG45" s="10" t="n">
        <f aca="false">Inputs!$F$49*IF(AND(BG23&gt;=Inputs!$F$203,BG23&lt;=Inputs!$F$204),1,0)</f>
        <v>0</v>
      </c>
      <c r="BH45" s="10" t="n">
        <f aca="false">Inputs!$F$49*IF(AND(BH23&gt;=Inputs!$F$203,BH23&lt;=Inputs!$F$204),1,0)</f>
        <v>0</v>
      </c>
      <c r="BI45" s="10" t="n">
        <f aca="false">Inputs!$F$49*IF(AND(BI23&gt;=Inputs!$F$203,BI23&lt;=Inputs!$F$204),1,0)</f>
        <v>0</v>
      </c>
      <c r="BJ45" s="10" t="n">
        <f aca="false">Inputs!$F$49*IF(AND(BJ23&gt;=Inputs!$F$203,BJ23&lt;=Inputs!$F$204),1,0)</f>
        <v>0</v>
      </c>
      <c r="BK45" s="10" t="n">
        <f aca="false">Inputs!$F$49*IF(AND(BK23&gt;=Inputs!$F$203,BK23&lt;=Inputs!$F$204),1,0)</f>
        <v>0</v>
      </c>
      <c r="BL45" s="10" t="n">
        <f aca="false">Inputs!$F$49*IF(AND(BL23&gt;=Inputs!$F$203,BL23&lt;=Inputs!$F$204),1,0)</f>
        <v>0</v>
      </c>
      <c r="BM45" s="10" t="n">
        <f aca="false">Inputs!$F$49*IF(AND(BM23&gt;=Inputs!$F$203,BM23&lt;=Inputs!$F$204),1,0)</f>
        <v>0</v>
      </c>
      <c r="BN45" s="10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467</v>
      </c>
      <c r="E46" s="0" t="s">
        <v>367</v>
      </c>
      <c r="J46" s="10" t="n">
        <f aca="false">SUM(J45:BN45)</f>
        <v>0</v>
      </c>
      <c r="K46" s="10" t="n">
        <f aca="false">SUM(K45:BN45)</f>
        <v>0</v>
      </c>
      <c r="L46" s="10" t="n">
        <f aca="false">SUM(L45:BN45)</f>
        <v>0</v>
      </c>
      <c r="M46" s="10" t="n">
        <f aca="false">SUM(M45:BN45)</f>
        <v>0</v>
      </c>
      <c r="N46" s="10" t="n">
        <f aca="false">SUM(N45:BN45)</f>
        <v>0</v>
      </c>
      <c r="O46" s="10" t="n">
        <f aca="false">SUM(O45:BN45)</f>
        <v>0</v>
      </c>
      <c r="P46" s="10" t="n">
        <f aca="false">SUM(P45:BN45)</f>
        <v>0</v>
      </c>
      <c r="Q46" s="10" t="n">
        <f aca="false">SUM(Q45:BN45)</f>
        <v>0</v>
      </c>
      <c r="R46" s="10" t="n">
        <f aca="false">SUM(R45:BN45)</f>
        <v>0</v>
      </c>
      <c r="S46" s="10" t="n">
        <f aca="false">SUM(S45:BN45)</f>
        <v>0</v>
      </c>
      <c r="T46" s="10" t="n">
        <f aca="false">SUM(T45:BN45)</f>
        <v>0</v>
      </c>
      <c r="U46" s="10" t="n">
        <f aca="false">SUM(U45:BN45)</f>
        <v>0</v>
      </c>
      <c r="V46" s="10" t="n">
        <f aca="false">SUM(V45:BN45)</f>
        <v>0</v>
      </c>
      <c r="W46" s="10" t="n">
        <f aca="false">SUM(W45:BN45)</f>
        <v>0</v>
      </c>
      <c r="X46" s="10" t="n">
        <f aca="false">SUM(X45:BN45)</f>
        <v>0</v>
      </c>
      <c r="Y46" s="10" t="n">
        <f aca="false">SUM(Y45:BN45)</f>
        <v>0</v>
      </c>
      <c r="Z46" s="10" t="n">
        <f aca="false">SUM(Z45:BN45)</f>
        <v>0</v>
      </c>
      <c r="AA46" s="10" t="n">
        <f aca="false">SUM(AA45:BN45)</f>
        <v>0</v>
      </c>
      <c r="AB46" s="10" t="n">
        <f aca="false">SUM(AB45:BN45)</f>
        <v>0</v>
      </c>
      <c r="AC46" s="10" t="n">
        <f aca="false">SUM(AC45:BN45)</f>
        <v>0</v>
      </c>
      <c r="AD46" s="10" t="n">
        <f aca="false">SUM(AD45:BN45)</f>
        <v>0</v>
      </c>
      <c r="AE46" s="10" t="n">
        <f aca="false">SUM(AE45:BN45)</f>
        <v>0</v>
      </c>
      <c r="AF46" s="10" t="n">
        <f aca="false">SUM(AF45:BN45)</f>
        <v>0</v>
      </c>
      <c r="AG46" s="10" t="n">
        <f aca="false">SUM(AG45:BN45)</f>
        <v>0</v>
      </c>
      <c r="AH46" s="10" t="n">
        <f aca="false">SUM(AH45:BN45)</f>
        <v>0</v>
      </c>
      <c r="AI46" s="10" t="n">
        <f aca="false">SUM(AI45:BN45)</f>
        <v>0</v>
      </c>
      <c r="AJ46" s="10" t="n">
        <f aca="false">SUM(AJ45:BN45)</f>
        <v>0</v>
      </c>
      <c r="AK46" s="10" t="n">
        <f aca="false">SUM(AK45:BN45)</f>
        <v>0</v>
      </c>
      <c r="AL46" s="10" t="n">
        <f aca="false">SUM(AL45:BN45)</f>
        <v>0</v>
      </c>
      <c r="AM46" s="10" t="n">
        <f aca="false">SUM(AM45:BN45)</f>
        <v>0</v>
      </c>
      <c r="AN46" s="10" t="n">
        <f aca="false">SUM(AN45:BN45)</f>
        <v>0</v>
      </c>
      <c r="AO46" s="10" t="n">
        <f aca="false">SUM(AO45:BN45)</f>
        <v>0</v>
      </c>
      <c r="AP46" s="10" t="n">
        <f aca="false">SUM(AP45:BN45)</f>
        <v>0</v>
      </c>
      <c r="AQ46" s="10" t="n">
        <f aca="false">SUM(AQ45:BN45)</f>
        <v>0</v>
      </c>
      <c r="AR46" s="10" t="n">
        <f aca="false">SUM(AR45:BN45)</f>
        <v>0</v>
      </c>
      <c r="AS46" s="10" t="n">
        <f aca="false">SUM(AS45:BN45)</f>
        <v>0</v>
      </c>
      <c r="AT46" s="10" t="n">
        <f aca="false">SUM(AT45:BN45)</f>
        <v>0</v>
      </c>
      <c r="AU46" s="10" t="n">
        <f aca="false">SUM(AU45:BN45)</f>
        <v>0</v>
      </c>
      <c r="AV46" s="10" t="n">
        <f aca="false">SUM(AV45:BN45)</f>
        <v>0</v>
      </c>
      <c r="AW46" s="10" t="n">
        <f aca="false">SUM(AW45:BN45)</f>
        <v>0</v>
      </c>
      <c r="AX46" s="10" t="n">
        <f aca="false">SUM(AX45:BN45)</f>
        <v>0</v>
      </c>
      <c r="AY46" s="10" t="n">
        <f aca="false">SUM(AY45:BN45)</f>
        <v>0</v>
      </c>
      <c r="AZ46" s="10" t="n">
        <f aca="false">SUM(AZ45:BN45)</f>
        <v>0</v>
      </c>
      <c r="BA46" s="10" t="n">
        <f aca="false">SUM(BA45:BN45)</f>
        <v>0</v>
      </c>
      <c r="BB46" s="10" t="n">
        <f aca="false">SUM(BB45:BN45)</f>
        <v>0</v>
      </c>
      <c r="BC46" s="10" t="n">
        <f aca="false">SUM(BC45:BN45)</f>
        <v>0</v>
      </c>
      <c r="BD46" s="10" t="n">
        <f aca="false">SUM(BD45:BN45)</f>
        <v>0</v>
      </c>
      <c r="BE46" s="10" t="n">
        <f aca="false">SUM(BE45:BN45)</f>
        <v>0</v>
      </c>
      <c r="BF46" s="10" t="n">
        <f aca="false">SUM(BF45:BN45)</f>
        <v>0</v>
      </c>
      <c r="BG46" s="10" t="n">
        <f aca="false">SUM(BG45:BN45)</f>
        <v>0</v>
      </c>
      <c r="BH46" s="10" t="n">
        <f aca="false">SUM(BH45:BN45)</f>
        <v>0</v>
      </c>
      <c r="BI46" s="10" t="n">
        <f aca="false">SUM(BI45:BN45)</f>
        <v>0</v>
      </c>
      <c r="BJ46" s="10" t="n">
        <f aca="false">SUM(BJ45:BN45)</f>
        <v>0</v>
      </c>
      <c r="BK46" s="10" t="n">
        <f aca="false">SUM(BK45:BN45)</f>
        <v>0</v>
      </c>
      <c r="BL46" s="10" t="n">
        <f aca="false">SUM(BL45:BN45)</f>
        <v>0</v>
      </c>
      <c r="BM46" s="10" t="n">
        <f aca="false">SUM(BM45:BN45)</f>
        <v>0</v>
      </c>
      <c r="BN46" s="10" t="n">
        <f aca="false">SUM(BN45:BN45)</f>
        <v>0</v>
      </c>
    </row>
    <row r="47" customFormat="false" ht="15" hidden="false" customHeight="false" outlineLevel="0" collapsed="false">
      <c r="D47" s="0" t="s">
        <v>468</v>
      </c>
      <c r="E47" s="0" t="s">
        <v>113</v>
      </c>
      <c r="J47" s="10" t="n">
        <f aca="false">Inputs!$F$50*IF(J23=Inputs!$F$205,1,0)</f>
        <v>0</v>
      </c>
      <c r="K47" s="10" t="n">
        <f aca="false">Inputs!$F$50*IF(K23=Inputs!$F$205,1,0)</f>
        <v>0</v>
      </c>
      <c r="L47" s="10" t="n">
        <f aca="false">Inputs!$F$50*IF(L23=Inputs!$F$205,1,0)</f>
        <v>0</v>
      </c>
      <c r="M47" s="10" t="n">
        <f aca="false">Inputs!$F$50*IF(M23=Inputs!$F$205,1,0)</f>
        <v>0</v>
      </c>
      <c r="N47" s="10" t="n">
        <f aca="false">Inputs!$F$50*IF(N23=Inputs!$F$205,1,0)</f>
        <v>0</v>
      </c>
      <c r="O47" s="10" t="n">
        <f aca="false">Inputs!$F$50*IF(O23=Inputs!$F$205,1,0)</f>
        <v>0</v>
      </c>
      <c r="P47" s="10" t="n">
        <f aca="false">Inputs!$F$50*IF(P23=Inputs!$F$205,1,0)</f>
        <v>0</v>
      </c>
      <c r="Q47" s="10" t="n">
        <f aca="false">Inputs!$F$50*IF(Q23=Inputs!$F$205,1,0)</f>
        <v>0</v>
      </c>
      <c r="R47" s="10" t="n">
        <f aca="false">Inputs!$F$50*IF(R23=Inputs!$F$205,1,0)</f>
        <v>0</v>
      </c>
      <c r="S47" s="10" t="n">
        <f aca="false">Inputs!$F$50*IF(S23=Inputs!$F$205,1,0)</f>
        <v>0</v>
      </c>
      <c r="T47" s="10" t="n">
        <f aca="false">Inputs!$F$50*IF(T23=Inputs!$F$205,1,0)</f>
        <v>0</v>
      </c>
      <c r="U47" s="10" t="n">
        <f aca="false">Inputs!$F$50*IF(U23=Inputs!$F$205,1,0)</f>
        <v>0</v>
      </c>
      <c r="V47" s="10" t="n">
        <f aca="false">Inputs!$F$50*IF(V23=Inputs!$F$205,1,0)</f>
        <v>0</v>
      </c>
      <c r="W47" s="10" t="n">
        <f aca="false">Inputs!$F$50*IF(W23=Inputs!$F$205,1,0)</f>
        <v>0</v>
      </c>
      <c r="X47" s="10" t="n">
        <f aca="false">Inputs!$F$50*IF(X23=Inputs!$F$205,1,0)</f>
        <v>0</v>
      </c>
      <c r="Y47" s="10" t="n">
        <f aca="false">Inputs!$F$50*IF(Y23=Inputs!$F$205,1,0)</f>
        <v>0</v>
      </c>
      <c r="Z47" s="10" t="n">
        <f aca="false">Inputs!$F$50*IF(Z23=Inputs!$F$205,1,0)</f>
        <v>0</v>
      </c>
      <c r="AA47" s="10" t="n">
        <f aca="false">Inputs!$F$50*IF(AA23=Inputs!$F$205,1,0)</f>
        <v>0</v>
      </c>
      <c r="AB47" s="10" t="n">
        <f aca="false">Inputs!$F$50*IF(AB23=Inputs!$F$205,1,0)</f>
        <v>0</v>
      </c>
      <c r="AC47" s="10" t="n">
        <f aca="false">Inputs!$F$50*IF(AC23=Inputs!$F$205,1,0)</f>
        <v>0</v>
      </c>
      <c r="AD47" s="10" t="n">
        <f aca="false">Inputs!$F$50*IF(AD23=Inputs!$F$205,1,0)</f>
        <v>0</v>
      </c>
      <c r="AE47" s="10" t="n">
        <f aca="false">Inputs!$F$50*IF(AE23=Inputs!$F$205,1,0)</f>
        <v>0</v>
      </c>
      <c r="AF47" s="10" t="n">
        <f aca="false">Inputs!$F$50*IF(AF23=Inputs!$F$205,1,0)</f>
        <v>0</v>
      </c>
      <c r="AG47" s="10" t="n">
        <f aca="false">Inputs!$F$50*IF(AG23=Inputs!$F$205,1,0)</f>
        <v>0</v>
      </c>
      <c r="AH47" s="10" t="n">
        <f aca="false">Inputs!$F$50*IF(AH23=Inputs!$F$205,1,0)</f>
        <v>0</v>
      </c>
      <c r="AI47" s="10" t="n">
        <f aca="false">Inputs!$F$50*IF(AI23=Inputs!$F$205,1,0)</f>
        <v>0</v>
      </c>
      <c r="AJ47" s="10" t="n">
        <f aca="false">Inputs!$F$50*IF(AJ23=Inputs!$F$205,1,0)</f>
        <v>0</v>
      </c>
      <c r="AK47" s="10" t="n">
        <f aca="false">Inputs!$F$50*IF(AK23=Inputs!$F$205,1,0)</f>
        <v>0</v>
      </c>
      <c r="AL47" s="10" t="n">
        <f aca="false">Inputs!$F$50*IF(AL23=Inputs!$F$205,1,0)</f>
        <v>0</v>
      </c>
      <c r="AM47" s="10" t="n">
        <f aca="false">Inputs!$F$50*IF(AM23=Inputs!$F$205,1,0)</f>
        <v>0</v>
      </c>
      <c r="AN47" s="10" t="n">
        <f aca="false">Inputs!$F$50*IF(AN23=Inputs!$F$205,1,0)</f>
        <v>0</v>
      </c>
      <c r="AO47" s="10" t="n">
        <f aca="false">Inputs!$F$50*IF(AO23=Inputs!$F$205,1,0)</f>
        <v>0</v>
      </c>
      <c r="AP47" s="10" t="n">
        <f aca="false">Inputs!$F$50*IF(AP23=Inputs!$F$205,1,0)</f>
        <v>0</v>
      </c>
      <c r="AQ47" s="10" t="n">
        <f aca="false">Inputs!$F$50*IF(AQ23=Inputs!$F$205,1,0)</f>
        <v>0</v>
      </c>
      <c r="AR47" s="10" t="n">
        <f aca="false">Inputs!$F$50*IF(AR23=Inputs!$F$205,1,0)</f>
        <v>0</v>
      </c>
      <c r="AS47" s="10" t="n">
        <f aca="false">Inputs!$F$50*IF(AS23=Inputs!$F$205,1,0)</f>
        <v>0</v>
      </c>
      <c r="AT47" s="10" t="n">
        <f aca="false">Inputs!$F$50*IF(AT23=Inputs!$F$205,1,0)</f>
        <v>0</v>
      </c>
      <c r="AU47" s="10" t="n">
        <f aca="false">Inputs!$F$50*IF(AU23=Inputs!$F$205,1,0)</f>
        <v>0</v>
      </c>
      <c r="AV47" s="10" t="n">
        <f aca="false">Inputs!$F$50*IF(AV23=Inputs!$F$205,1,0)</f>
        <v>0</v>
      </c>
      <c r="AW47" s="10" t="n">
        <f aca="false">Inputs!$F$50*IF(AW23=Inputs!$F$205,1,0)</f>
        <v>0</v>
      </c>
      <c r="AX47" s="10" t="n">
        <f aca="false">Inputs!$F$50*IF(AX23=Inputs!$F$205,1,0)</f>
        <v>0</v>
      </c>
      <c r="AY47" s="10" t="n">
        <f aca="false">Inputs!$F$50*IF(AY23=Inputs!$F$205,1,0)</f>
        <v>0</v>
      </c>
      <c r="AZ47" s="10" t="n">
        <f aca="false">Inputs!$F$50*IF(AZ23=Inputs!$F$205,1,0)</f>
        <v>0</v>
      </c>
      <c r="BA47" s="10" t="n">
        <f aca="false">Inputs!$F$50*IF(BA23=Inputs!$F$205,1,0)</f>
        <v>0</v>
      </c>
      <c r="BB47" s="10" t="n">
        <f aca="false">Inputs!$F$50*IF(BB23=Inputs!$F$205,1,0)</f>
        <v>0</v>
      </c>
      <c r="BC47" s="10" t="n">
        <f aca="false">Inputs!$F$50*IF(BC23=Inputs!$F$205,1,0)</f>
        <v>0</v>
      </c>
      <c r="BD47" s="10" t="n">
        <f aca="false">Inputs!$F$50*IF(BD23=Inputs!$F$205,1,0)</f>
        <v>0</v>
      </c>
      <c r="BE47" s="10" t="n">
        <f aca="false">Inputs!$F$50*IF(BE23=Inputs!$F$205,1,0)</f>
        <v>0</v>
      </c>
      <c r="BF47" s="10" t="n">
        <f aca="false">Inputs!$F$50*IF(BF23=Inputs!$F$205,1,0)</f>
        <v>0</v>
      </c>
      <c r="BG47" s="10" t="n">
        <f aca="false">Inputs!$F$50*IF(BG23=Inputs!$F$205,1,0)</f>
        <v>0</v>
      </c>
      <c r="BH47" s="10" t="n">
        <f aca="false">Inputs!$F$50*IF(BH23=Inputs!$F$205,1,0)</f>
        <v>0</v>
      </c>
      <c r="BI47" s="10" t="n">
        <f aca="false">Inputs!$F$50*IF(BI23=Inputs!$F$205,1,0)</f>
        <v>0</v>
      </c>
      <c r="BJ47" s="10" t="n">
        <f aca="false">Inputs!$F$50*IF(BJ23=Inputs!$F$205,1,0)</f>
        <v>0</v>
      </c>
      <c r="BK47" s="10" t="n">
        <f aca="false">Inputs!$F$50*IF(BK23=Inputs!$F$205,1,0)</f>
        <v>0</v>
      </c>
      <c r="BL47" s="10" t="n">
        <f aca="false">Inputs!$F$50*IF(BL23=Inputs!$F$205,1,0)</f>
        <v>0</v>
      </c>
      <c r="BM47" s="10" t="n">
        <f aca="false">Inputs!$F$50*IF(BM23=Inputs!$F$205,1,0)</f>
        <v>0</v>
      </c>
      <c r="BN47" s="10" t="n">
        <f aca="false">Inputs!$F$50*IF(BN23=Inputs!$F$205,1,0)</f>
        <v>0</v>
      </c>
    </row>
    <row r="48" customFormat="false" ht="15" hidden="false" customHeight="false" outlineLevel="0" collapsed="false">
      <c r="D48" s="0" t="s">
        <v>469</v>
      </c>
      <c r="E48" s="0" t="s">
        <v>113</v>
      </c>
      <c r="J48" s="10" t="n">
        <f aca="false">Inputs!$F$50*IF(J23&gt;Inputs!$F$205,1,0)</f>
        <v>0</v>
      </c>
      <c r="K48" s="10" t="n">
        <f aca="false">Inputs!$F$50*IF(K23&gt;Inputs!$F$205,1,0)</f>
        <v>0</v>
      </c>
      <c r="L48" s="10" t="n">
        <f aca="false">Inputs!$F$50*IF(L23&gt;Inputs!$F$205,1,0)</f>
        <v>0</v>
      </c>
      <c r="M48" s="10" t="n">
        <f aca="false">Inputs!$F$50*IF(M23&gt;Inputs!$F$205,1,0)</f>
        <v>0</v>
      </c>
      <c r="N48" s="10" t="n">
        <f aca="false">Inputs!$F$50*IF(N23&gt;Inputs!$F$205,1,0)</f>
        <v>0</v>
      </c>
      <c r="O48" s="10" t="n">
        <f aca="false">Inputs!$F$50*IF(O23&gt;Inputs!$F$205,1,0)</f>
        <v>0</v>
      </c>
      <c r="P48" s="10" t="n">
        <f aca="false">Inputs!$F$50*IF(P23&gt;Inputs!$F$205,1,0)</f>
        <v>0</v>
      </c>
      <c r="Q48" s="10" t="n">
        <f aca="false">Inputs!$F$50*IF(Q23&gt;Inputs!$F$205,1,0)</f>
        <v>0</v>
      </c>
      <c r="R48" s="10" t="n">
        <f aca="false">Inputs!$F$50*IF(R23&gt;Inputs!$F$205,1,0)</f>
        <v>0</v>
      </c>
      <c r="S48" s="10" t="n">
        <f aca="false">Inputs!$F$50*IF(S23&gt;Inputs!$F$205,1,0)</f>
        <v>0</v>
      </c>
      <c r="T48" s="10" t="n">
        <f aca="false">Inputs!$F$50*IF(T23&gt;Inputs!$F$205,1,0)</f>
        <v>0</v>
      </c>
      <c r="U48" s="10" t="n">
        <f aca="false">Inputs!$F$50*IF(U23&gt;Inputs!$F$205,1,0)</f>
        <v>0</v>
      </c>
      <c r="V48" s="10" t="n">
        <f aca="false">Inputs!$F$50*IF(V23&gt;Inputs!$F$205,1,0)</f>
        <v>0</v>
      </c>
      <c r="W48" s="10" t="n">
        <f aca="false">Inputs!$F$50*IF(W23&gt;Inputs!$F$205,1,0)</f>
        <v>0</v>
      </c>
      <c r="X48" s="10" t="n">
        <f aca="false">Inputs!$F$50*IF(X23&gt;Inputs!$F$205,1,0)</f>
        <v>0</v>
      </c>
      <c r="Y48" s="10" t="n">
        <f aca="false">Inputs!$F$50*IF(Y23&gt;Inputs!$F$205,1,0)</f>
        <v>0</v>
      </c>
      <c r="Z48" s="10" t="n">
        <f aca="false">Inputs!$F$50*IF(Z23&gt;Inputs!$F$205,1,0)</f>
        <v>0</v>
      </c>
      <c r="AA48" s="10" t="n">
        <f aca="false">Inputs!$F$50*IF(AA23&gt;Inputs!$F$205,1,0)</f>
        <v>0</v>
      </c>
      <c r="AB48" s="10" t="n">
        <f aca="false">Inputs!$F$50*IF(AB23&gt;Inputs!$F$205,1,0)</f>
        <v>0</v>
      </c>
      <c r="AC48" s="10" t="n">
        <f aca="false">Inputs!$F$50*IF(AC23&gt;Inputs!$F$205,1,0)</f>
        <v>0</v>
      </c>
      <c r="AD48" s="10" t="n">
        <f aca="false">Inputs!$F$50*IF(AD23&gt;Inputs!$F$205,1,0)</f>
        <v>0</v>
      </c>
      <c r="AE48" s="10" t="n">
        <f aca="false">Inputs!$F$50*IF(AE23&gt;Inputs!$F$205,1,0)</f>
        <v>0</v>
      </c>
      <c r="AF48" s="10" t="n">
        <f aca="false">Inputs!$F$50*IF(AF23&gt;Inputs!$F$205,1,0)</f>
        <v>0</v>
      </c>
      <c r="AG48" s="10" t="n">
        <f aca="false">Inputs!$F$50*IF(AG23&gt;Inputs!$F$205,1,0)</f>
        <v>0</v>
      </c>
      <c r="AH48" s="10" t="n">
        <f aca="false">Inputs!$F$50*IF(AH23&gt;Inputs!$F$205,1,0)</f>
        <v>0</v>
      </c>
      <c r="AI48" s="10" t="n">
        <f aca="false">Inputs!$F$50*IF(AI23&gt;Inputs!$F$205,1,0)</f>
        <v>0</v>
      </c>
      <c r="AJ48" s="10" t="n">
        <f aca="false">Inputs!$F$50*IF(AJ23&gt;Inputs!$F$205,1,0)</f>
        <v>0</v>
      </c>
      <c r="AK48" s="10" t="n">
        <f aca="false">Inputs!$F$50*IF(AK23&gt;Inputs!$F$205,1,0)</f>
        <v>0</v>
      </c>
      <c r="AL48" s="10" t="n">
        <f aca="false">Inputs!$F$50*IF(AL23&gt;Inputs!$F$205,1,0)</f>
        <v>0</v>
      </c>
      <c r="AM48" s="10" t="n">
        <f aca="false">Inputs!$F$50*IF(AM23&gt;Inputs!$F$205,1,0)</f>
        <v>0</v>
      </c>
      <c r="AN48" s="10" t="n">
        <f aca="false">Inputs!$F$50*IF(AN23&gt;Inputs!$F$205,1,0)</f>
        <v>0</v>
      </c>
      <c r="AO48" s="10" t="n">
        <f aca="false">Inputs!$F$50*IF(AO23&gt;Inputs!$F$205,1,0)</f>
        <v>0</v>
      </c>
      <c r="AP48" s="10" t="n">
        <f aca="false">Inputs!$F$50*IF(AP23&gt;Inputs!$F$205,1,0)</f>
        <v>0</v>
      </c>
      <c r="AQ48" s="10" t="n">
        <f aca="false">Inputs!$F$50*IF(AQ23&gt;Inputs!$F$205,1,0)</f>
        <v>0</v>
      </c>
      <c r="AR48" s="10" t="n">
        <f aca="false">Inputs!$F$50*IF(AR23&gt;Inputs!$F$205,1,0)</f>
        <v>0</v>
      </c>
      <c r="AS48" s="10" t="n">
        <f aca="false">Inputs!$F$50*IF(AS23&gt;Inputs!$F$205,1,0)</f>
        <v>0</v>
      </c>
      <c r="AT48" s="10" t="n">
        <f aca="false">Inputs!$F$50*IF(AT23&gt;Inputs!$F$205,1,0)</f>
        <v>0</v>
      </c>
      <c r="AU48" s="10" t="n">
        <f aca="false">Inputs!$F$50*IF(AU23&gt;Inputs!$F$205,1,0)</f>
        <v>0</v>
      </c>
      <c r="AV48" s="10" t="n">
        <f aca="false">Inputs!$F$50*IF(AV23&gt;Inputs!$F$205,1,0)</f>
        <v>0</v>
      </c>
      <c r="AW48" s="10" t="n">
        <f aca="false">Inputs!$F$50*IF(AW23&gt;Inputs!$F$205,1,0)</f>
        <v>0</v>
      </c>
      <c r="AX48" s="10" t="n">
        <f aca="false">Inputs!$F$50*IF(AX23&gt;Inputs!$F$205,1,0)</f>
        <v>0</v>
      </c>
      <c r="AY48" s="10" t="n">
        <f aca="false">Inputs!$F$50*IF(AY23&gt;Inputs!$F$205,1,0)</f>
        <v>0</v>
      </c>
      <c r="AZ48" s="10" t="n">
        <f aca="false">Inputs!$F$50*IF(AZ23&gt;Inputs!$F$205,1,0)</f>
        <v>0</v>
      </c>
      <c r="BA48" s="10" t="n">
        <f aca="false">Inputs!$F$50*IF(BA23&gt;Inputs!$F$205,1,0)</f>
        <v>0</v>
      </c>
      <c r="BB48" s="10" t="n">
        <f aca="false">Inputs!$F$50*IF(BB23&gt;Inputs!$F$205,1,0)</f>
        <v>0</v>
      </c>
      <c r="BC48" s="10" t="n">
        <f aca="false">Inputs!$F$50*IF(BC23&gt;Inputs!$F$205,1,0)</f>
        <v>0</v>
      </c>
      <c r="BD48" s="10" t="n">
        <f aca="false">Inputs!$F$50*IF(BD23&gt;Inputs!$F$205,1,0)</f>
        <v>0</v>
      </c>
      <c r="BE48" s="10" t="n">
        <f aca="false">Inputs!$F$50*IF(BE23&gt;Inputs!$F$205,1,0)</f>
        <v>0</v>
      </c>
      <c r="BF48" s="10" t="n">
        <f aca="false">Inputs!$F$50*IF(BF23&gt;Inputs!$F$205,1,0)</f>
        <v>0</v>
      </c>
      <c r="BG48" s="10" t="n">
        <f aca="false">Inputs!$F$50*IF(BG23&gt;Inputs!$F$205,1,0)</f>
        <v>0</v>
      </c>
      <c r="BH48" s="10" t="n">
        <f aca="false">Inputs!$F$50*IF(BH23&gt;Inputs!$F$205,1,0)</f>
        <v>0</v>
      </c>
      <c r="BI48" s="10" t="n">
        <f aca="false">Inputs!$F$50*IF(BI23&gt;Inputs!$F$205,1,0)</f>
        <v>0</v>
      </c>
      <c r="BJ48" s="10" t="n">
        <f aca="false">Inputs!$F$50*IF(BJ23&gt;Inputs!$F$205,1,0)</f>
        <v>0</v>
      </c>
      <c r="BK48" s="10" t="n">
        <f aca="false">Inputs!$F$50*IF(BK23&gt;Inputs!$F$205,1,0)</f>
        <v>0</v>
      </c>
      <c r="BL48" s="10" t="n">
        <f aca="false">Inputs!$F$50*IF(BL23&gt;Inputs!$F$205,1,0)</f>
        <v>0</v>
      </c>
      <c r="BM48" s="10" t="n">
        <f aca="false">Inputs!$F$50*IF(BM23&gt;Inputs!$F$205,1,0)</f>
        <v>0</v>
      </c>
      <c r="BN48" s="10" t="n">
        <f aca="false">Inputs!$F$50*IF(BN23&gt;Inputs!$F$205,1,0)</f>
        <v>0</v>
      </c>
    </row>
    <row r="49" customFormat="false" ht="15" hidden="false" customHeight="false" outlineLevel="0" collapsed="false">
      <c r="D49" s="0" t="s">
        <v>470</v>
      </c>
      <c r="E49" s="0" t="s">
        <v>113</v>
      </c>
      <c r="J49" s="10" t="n">
        <f aca="false">Inputs!$F$49*IF(AND(J23&gt;=Inputs!$F$199,J23&lt;=Inputs!$F$200),1,0)</f>
        <v>0</v>
      </c>
      <c r="K49" s="10" t="n">
        <f aca="false">Inputs!$F$49*IF(AND(K23&gt;=Inputs!$F$199,K23&lt;=Inputs!$F$200),1,0)</f>
        <v>0</v>
      </c>
      <c r="L49" s="10" t="n">
        <f aca="false">Inputs!$F$49*IF(AND(L23&gt;=Inputs!$F$199,L23&lt;=Inputs!$F$200),1,0)</f>
        <v>0</v>
      </c>
      <c r="M49" s="10" t="n">
        <f aca="false">Inputs!$F$49*IF(AND(M23&gt;=Inputs!$F$199,M23&lt;=Inputs!$F$200),1,0)</f>
        <v>0</v>
      </c>
      <c r="N49" s="10" t="n">
        <f aca="false">Inputs!$F$49*IF(AND(N23&gt;=Inputs!$F$199,N23&lt;=Inputs!$F$200),1,0)</f>
        <v>0</v>
      </c>
      <c r="O49" s="10" t="n">
        <f aca="false">Inputs!$F$49*IF(AND(O23&gt;=Inputs!$F$199,O23&lt;=Inputs!$F$200),1,0)</f>
        <v>0</v>
      </c>
      <c r="P49" s="10" t="n">
        <f aca="false">Inputs!$F$49*IF(AND(P23&gt;=Inputs!$F$199,P23&lt;=Inputs!$F$200),1,0)</f>
        <v>0</v>
      </c>
      <c r="Q49" s="10" t="n">
        <f aca="false">Inputs!$F$49*IF(AND(Q23&gt;=Inputs!$F$199,Q23&lt;=Inputs!$F$200),1,0)</f>
        <v>0</v>
      </c>
      <c r="R49" s="10" t="n">
        <f aca="false">Inputs!$F$49*IF(AND(R23&gt;=Inputs!$F$199,R23&lt;=Inputs!$F$200),1,0)</f>
        <v>0</v>
      </c>
      <c r="S49" s="10" t="n">
        <f aca="false">Inputs!$F$49*IF(AND(S23&gt;=Inputs!$F$199,S23&lt;=Inputs!$F$200),1,0)</f>
        <v>0</v>
      </c>
      <c r="T49" s="10" t="n">
        <f aca="false">Inputs!$F$49*IF(AND(T23&gt;=Inputs!$F$199,T23&lt;=Inputs!$F$200),1,0)</f>
        <v>0</v>
      </c>
      <c r="U49" s="10" t="n">
        <f aca="false">Inputs!$F$49*IF(AND(U23&gt;=Inputs!$F$199,U23&lt;=Inputs!$F$200),1,0)</f>
        <v>0</v>
      </c>
      <c r="V49" s="10" t="n">
        <f aca="false">Inputs!$F$49*IF(AND(V23&gt;=Inputs!$F$199,V23&lt;=Inputs!$F$200),1,0)</f>
        <v>0</v>
      </c>
      <c r="W49" s="10" t="n">
        <f aca="false">Inputs!$F$49*IF(AND(W23&gt;=Inputs!$F$199,W23&lt;=Inputs!$F$200),1,0)</f>
        <v>0</v>
      </c>
      <c r="X49" s="10" t="n">
        <f aca="false">Inputs!$F$49*IF(AND(X23&gt;=Inputs!$F$199,X23&lt;=Inputs!$F$200),1,0)</f>
        <v>0</v>
      </c>
      <c r="Y49" s="10" t="n">
        <f aca="false">Inputs!$F$49*IF(AND(Y23&gt;=Inputs!$F$199,Y23&lt;=Inputs!$F$200),1,0)</f>
        <v>0</v>
      </c>
      <c r="Z49" s="10" t="n">
        <f aca="false">Inputs!$F$49*IF(AND(Z23&gt;=Inputs!$F$199,Z23&lt;=Inputs!$F$200),1,0)</f>
        <v>0</v>
      </c>
      <c r="AA49" s="10" t="n">
        <f aca="false">Inputs!$F$49*IF(AND(AA23&gt;=Inputs!$F$199,AA23&lt;=Inputs!$F$200),1,0)</f>
        <v>0</v>
      </c>
      <c r="AB49" s="10" t="n">
        <f aca="false">Inputs!$F$49*IF(AND(AB23&gt;=Inputs!$F$199,AB23&lt;=Inputs!$F$200),1,0)</f>
        <v>0</v>
      </c>
      <c r="AC49" s="10" t="n">
        <f aca="false">Inputs!$F$49*IF(AND(AC23&gt;=Inputs!$F$199,AC23&lt;=Inputs!$F$200),1,0)</f>
        <v>0</v>
      </c>
      <c r="AD49" s="10" t="n">
        <f aca="false">Inputs!$F$49*IF(AND(AD23&gt;=Inputs!$F$199,AD23&lt;=Inputs!$F$200),1,0)</f>
        <v>0</v>
      </c>
      <c r="AE49" s="10" t="n">
        <f aca="false">Inputs!$F$49*IF(AND(AE23&gt;=Inputs!$F$199,AE23&lt;=Inputs!$F$200),1,0)</f>
        <v>0</v>
      </c>
      <c r="AF49" s="10" t="n">
        <f aca="false">Inputs!$F$49*IF(AND(AF23&gt;=Inputs!$F$199,AF23&lt;=Inputs!$F$200),1,0)</f>
        <v>0</v>
      </c>
      <c r="AG49" s="10" t="n">
        <f aca="false">Inputs!$F$49*IF(AND(AG23&gt;=Inputs!$F$199,AG23&lt;=Inputs!$F$200),1,0)</f>
        <v>0</v>
      </c>
      <c r="AH49" s="10" t="n">
        <f aca="false">Inputs!$F$49*IF(AND(AH23&gt;=Inputs!$F$199,AH23&lt;=Inputs!$F$200),1,0)</f>
        <v>0</v>
      </c>
      <c r="AI49" s="10" t="n">
        <f aca="false">Inputs!$F$49*IF(AND(AI23&gt;=Inputs!$F$199,AI23&lt;=Inputs!$F$200),1,0)</f>
        <v>0</v>
      </c>
      <c r="AJ49" s="10" t="n">
        <f aca="false">Inputs!$F$49*IF(AND(AJ23&gt;=Inputs!$F$199,AJ23&lt;=Inputs!$F$200),1,0)</f>
        <v>0</v>
      </c>
      <c r="AK49" s="10" t="n">
        <f aca="false">Inputs!$F$49*IF(AND(AK23&gt;=Inputs!$F$199,AK23&lt;=Inputs!$F$200),1,0)</f>
        <v>0</v>
      </c>
      <c r="AL49" s="10" t="n">
        <f aca="false">Inputs!$F$49*IF(AND(AL23&gt;=Inputs!$F$199,AL23&lt;=Inputs!$F$200),1,0)</f>
        <v>0</v>
      </c>
      <c r="AM49" s="10" t="n">
        <f aca="false">Inputs!$F$49*IF(AND(AM23&gt;=Inputs!$F$199,AM23&lt;=Inputs!$F$200),1,0)</f>
        <v>0</v>
      </c>
      <c r="AN49" s="10" t="n">
        <f aca="false">Inputs!$F$49*IF(AND(AN23&gt;=Inputs!$F$199,AN23&lt;=Inputs!$F$200),1,0)</f>
        <v>0</v>
      </c>
      <c r="AO49" s="10" t="n">
        <f aca="false">Inputs!$F$49*IF(AND(AO23&gt;=Inputs!$F$199,AO23&lt;=Inputs!$F$200),1,0)</f>
        <v>0</v>
      </c>
      <c r="AP49" s="10" t="n">
        <f aca="false">Inputs!$F$49*IF(AND(AP23&gt;=Inputs!$F$199,AP23&lt;=Inputs!$F$200),1,0)</f>
        <v>0</v>
      </c>
      <c r="AQ49" s="10" t="n">
        <f aca="false">Inputs!$F$49*IF(AND(AQ23&gt;=Inputs!$F$199,AQ23&lt;=Inputs!$F$200),1,0)</f>
        <v>0</v>
      </c>
      <c r="AR49" s="10" t="n">
        <f aca="false">Inputs!$F$49*IF(AND(AR23&gt;=Inputs!$F$199,AR23&lt;=Inputs!$F$200),1,0)</f>
        <v>0</v>
      </c>
      <c r="AS49" s="10" t="n">
        <f aca="false">Inputs!$F$49*IF(AND(AS23&gt;=Inputs!$F$199,AS23&lt;=Inputs!$F$200),1,0)</f>
        <v>0</v>
      </c>
      <c r="AT49" s="10" t="n">
        <f aca="false">Inputs!$F$49*IF(AND(AT23&gt;=Inputs!$F$199,AT23&lt;=Inputs!$F$200),1,0)</f>
        <v>0</v>
      </c>
      <c r="AU49" s="10" t="n">
        <f aca="false">Inputs!$F$49*IF(AND(AU23&gt;=Inputs!$F$199,AU23&lt;=Inputs!$F$200),1,0)</f>
        <v>0</v>
      </c>
      <c r="AV49" s="10" t="n">
        <f aca="false">Inputs!$F$49*IF(AND(AV23&gt;=Inputs!$F$199,AV23&lt;=Inputs!$F$200),1,0)</f>
        <v>0</v>
      </c>
      <c r="AW49" s="10" t="n">
        <f aca="false">Inputs!$F$49*IF(AND(AW23&gt;=Inputs!$F$199,AW23&lt;=Inputs!$F$200),1,0)</f>
        <v>0</v>
      </c>
      <c r="AX49" s="10" t="n">
        <f aca="false">Inputs!$F$49*IF(AND(AX23&gt;=Inputs!$F$199,AX23&lt;=Inputs!$F$200),1,0)</f>
        <v>0</v>
      </c>
      <c r="AY49" s="10" t="n">
        <f aca="false">Inputs!$F$49*IF(AND(AY23&gt;=Inputs!$F$199,AY23&lt;=Inputs!$F$200),1,0)</f>
        <v>0</v>
      </c>
      <c r="AZ49" s="10" t="n">
        <f aca="false">Inputs!$F$49*IF(AND(AZ23&gt;=Inputs!$F$199,AZ23&lt;=Inputs!$F$200),1,0)</f>
        <v>0</v>
      </c>
      <c r="BA49" s="10" t="n">
        <f aca="false">Inputs!$F$49*IF(AND(BA23&gt;=Inputs!$F$199,BA23&lt;=Inputs!$F$200),1,0)</f>
        <v>0</v>
      </c>
      <c r="BB49" s="10" t="n">
        <f aca="false">Inputs!$F$49*IF(AND(BB23&gt;=Inputs!$F$199,BB23&lt;=Inputs!$F$200),1,0)</f>
        <v>0</v>
      </c>
      <c r="BC49" s="10" t="n">
        <f aca="false">Inputs!$F$49*IF(AND(BC23&gt;=Inputs!$F$199,BC23&lt;=Inputs!$F$200),1,0)</f>
        <v>0</v>
      </c>
      <c r="BD49" s="10" t="n">
        <f aca="false">Inputs!$F$49*IF(AND(BD23&gt;=Inputs!$F$199,BD23&lt;=Inputs!$F$200),1,0)</f>
        <v>0</v>
      </c>
      <c r="BE49" s="10" t="n">
        <f aca="false">Inputs!$F$49*IF(AND(BE23&gt;=Inputs!$F$199,BE23&lt;=Inputs!$F$200),1,0)</f>
        <v>0</v>
      </c>
      <c r="BF49" s="10" t="n">
        <f aca="false">Inputs!$F$49*IF(AND(BF23&gt;=Inputs!$F$199,BF23&lt;=Inputs!$F$200),1,0)</f>
        <v>0</v>
      </c>
      <c r="BG49" s="10" t="n">
        <f aca="false">Inputs!$F$49*IF(AND(BG23&gt;=Inputs!$F$199,BG23&lt;=Inputs!$F$200),1,0)</f>
        <v>0</v>
      </c>
      <c r="BH49" s="10" t="n">
        <f aca="false">Inputs!$F$49*IF(AND(BH23&gt;=Inputs!$F$199,BH23&lt;=Inputs!$F$200),1,0)</f>
        <v>0</v>
      </c>
      <c r="BI49" s="10" t="n">
        <f aca="false">Inputs!$F$49*IF(AND(BI23&gt;=Inputs!$F$199,BI23&lt;=Inputs!$F$200),1,0)</f>
        <v>0</v>
      </c>
      <c r="BJ49" s="10" t="n">
        <f aca="false">Inputs!$F$49*IF(AND(BJ23&gt;=Inputs!$F$199,BJ23&lt;=Inputs!$F$200),1,0)</f>
        <v>0</v>
      </c>
      <c r="BK49" s="10" t="n">
        <f aca="false">Inputs!$F$49*IF(AND(BK23&gt;=Inputs!$F$199,BK23&lt;=Inputs!$F$200),1,0)</f>
        <v>0</v>
      </c>
      <c r="BL49" s="10" t="n">
        <f aca="false">Inputs!$F$49*IF(AND(BL23&gt;=Inputs!$F$199,BL23&lt;=Inputs!$F$200),1,0)</f>
        <v>0</v>
      </c>
      <c r="BM49" s="10" t="n">
        <f aca="false">Inputs!$F$49*IF(AND(BM23&gt;=Inputs!$F$199,BM23&lt;=Inputs!$F$200),1,0)</f>
        <v>0</v>
      </c>
      <c r="BN49" s="10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471</v>
      </c>
      <c r="E50" s="0" t="s">
        <v>113</v>
      </c>
      <c r="J50" s="10" t="n">
        <f aca="false">Inputs!$F$49*IF(J23&gt;=Inputs!$F$199,1,0)</f>
        <v>0</v>
      </c>
      <c r="K50" s="10" t="n">
        <f aca="false">Inputs!$F$49*IF(K23&gt;=Inputs!$F$199,1,0)</f>
        <v>0</v>
      </c>
      <c r="L50" s="10" t="n">
        <f aca="false">Inputs!$F$49*IF(L23&gt;=Inputs!$F$199,1,0)</f>
        <v>0</v>
      </c>
      <c r="M50" s="10" t="n">
        <f aca="false">Inputs!$F$49*IF(M23&gt;=Inputs!$F$199,1,0)</f>
        <v>0</v>
      </c>
      <c r="N50" s="10" t="n">
        <f aca="false">Inputs!$F$49*IF(N23&gt;=Inputs!$F$199,1,0)</f>
        <v>0</v>
      </c>
      <c r="O50" s="10" t="n">
        <f aca="false">Inputs!$F$49*IF(O23&gt;=Inputs!$F$199,1,0)</f>
        <v>0</v>
      </c>
      <c r="P50" s="10" t="n">
        <f aca="false">Inputs!$F$49*IF(P23&gt;=Inputs!$F$199,1,0)</f>
        <v>0</v>
      </c>
      <c r="Q50" s="10" t="n">
        <f aca="false">Inputs!$F$49*IF(Q23&gt;=Inputs!$F$199,1,0)</f>
        <v>0</v>
      </c>
      <c r="R50" s="10" t="n">
        <f aca="false">Inputs!$F$49*IF(R23&gt;=Inputs!$F$199,1,0)</f>
        <v>0</v>
      </c>
      <c r="S50" s="10" t="n">
        <f aca="false">Inputs!$F$49*IF(S23&gt;=Inputs!$F$199,1,0)</f>
        <v>0</v>
      </c>
      <c r="T50" s="10" t="n">
        <f aca="false">Inputs!$F$49*IF(T23&gt;=Inputs!$F$199,1,0)</f>
        <v>0</v>
      </c>
      <c r="U50" s="10" t="n">
        <f aca="false">Inputs!$F$49*IF(U23&gt;=Inputs!$F$199,1,0)</f>
        <v>0</v>
      </c>
      <c r="V50" s="10" t="n">
        <f aca="false">Inputs!$F$49*IF(V23&gt;=Inputs!$F$199,1,0)</f>
        <v>0</v>
      </c>
      <c r="W50" s="10" t="n">
        <f aca="false">Inputs!$F$49*IF(W23&gt;=Inputs!$F$199,1,0)</f>
        <v>0</v>
      </c>
      <c r="X50" s="10" t="n">
        <f aca="false">Inputs!$F$49*IF(X23&gt;=Inputs!$F$199,1,0)</f>
        <v>0</v>
      </c>
      <c r="Y50" s="10" t="n">
        <f aca="false">Inputs!$F$49*IF(Y23&gt;=Inputs!$F$199,1,0)</f>
        <v>0</v>
      </c>
      <c r="Z50" s="10" t="n">
        <f aca="false">Inputs!$F$49*IF(Z23&gt;=Inputs!$F$199,1,0)</f>
        <v>0</v>
      </c>
      <c r="AA50" s="10" t="n">
        <f aca="false">Inputs!$F$49*IF(AA23&gt;=Inputs!$F$199,1,0)</f>
        <v>0</v>
      </c>
      <c r="AB50" s="10" t="n">
        <f aca="false">Inputs!$F$49*IF(AB23&gt;=Inputs!$F$199,1,0)</f>
        <v>0</v>
      </c>
      <c r="AC50" s="10" t="n">
        <f aca="false">Inputs!$F$49*IF(AC23&gt;=Inputs!$F$199,1,0)</f>
        <v>0</v>
      </c>
      <c r="AD50" s="10" t="n">
        <f aca="false">Inputs!$F$49*IF(AD23&gt;=Inputs!$F$199,1,0)</f>
        <v>0</v>
      </c>
      <c r="AE50" s="10" t="n">
        <f aca="false">Inputs!$F$49*IF(AE23&gt;=Inputs!$F$199,1,0)</f>
        <v>0</v>
      </c>
      <c r="AF50" s="10" t="n">
        <f aca="false">Inputs!$F$49*IF(AF23&gt;=Inputs!$F$199,1,0)</f>
        <v>0</v>
      </c>
      <c r="AG50" s="10" t="n">
        <f aca="false">Inputs!$F$49*IF(AG23&gt;=Inputs!$F$199,1,0)</f>
        <v>0</v>
      </c>
      <c r="AH50" s="10" t="n">
        <f aca="false">Inputs!$F$49*IF(AH23&gt;=Inputs!$F$199,1,0)</f>
        <v>0</v>
      </c>
      <c r="AI50" s="10" t="n">
        <f aca="false">Inputs!$F$49*IF(AI23&gt;=Inputs!$F$199,1,0)</f>
        <v>0</v>
      </c>
      <c r="AJ50" s="10" t="n">
        <f aca="false">Inputs!$F$49*IF(AJ23&gt;=Inputs!$F$199,1,0)</f>
        <v>0</v>
      </c>
      <c r="AK50" s="10" t="n">
        <f aca="false">Inputs!$F$49*IF(AK23&gt;=Inputs!$F$199,1,0)</f>
        <v>0</v>
      </c>
      <c r="AL50" s="10" t="n">
        <f aca="false">Inputs!$F$49*IF(AL23&gt;=Inputs!$F$199,1,0)</f>
        <v>0</v>
      </c>
      <c r="AM50" s="10" t="n">
        <f aca="false">Inputs!$F$49*IF(AM23&gt;=Inputs!$F$199,1,0)</f>
        <v>0</v>
      </c>
      <c r="AN50" s="10" t="n">
        <f aca="false">Inputs!$F$49*IF(AN23&gt;=Inputs!$F$199,1,0)</f>
        <v>0</v>
      </c>
      <c r="AO50" s="10" t="n">
        <f aca="false">Inputs!$F$49*IF(AO23&gt;=Inputs!$F$199,1,0)</f>
        <v>0</v>
      </c>
      <c r="AP50" s="10" t="n">
        <f aca="false">Inputs!$F$49*IF(AP23&gt;=Inputs!$F$199,1,0)</f>
        <v>0</v>
      </c>
      <c r="AQ50" s="10" t="n">
        <f aca="false">Inputs!$F$49*IF(AQ23&gt;=Inputs!$F$199,1,0)</f>
        <v>0</v>
      </c>
      <c r="AR50" s="10" t="n">
        <f aca="false">Inputs!$F$49*IF(AR23&gt;=Inputs!$F$199,1,0)</f>
        <v>0</v>
      </c>
      <c r="AS50" s="10" t="n">
        <f aca="false">Inputs!$F$49*IF(AS23&gt;=Inputs!$F$199,1,0)</f>
        <v>0</v>
      </c>
      <c r="AT50" s="10" t="n">
        <f aca="false">Inputs!$F$49*IF(AT23&gt;=Inputs!$F$199,1,0)</f>
        <v>0</v>
      </c>
      <c r="AU50" s="10" t="n">
        <f aca="false">Inputs!$F$49*IF(AU23&gt;=Inputs!$F$199,1,0)</f>
        <v>0</v>
      </c>
      <c r="AV50" s="10" t="n">
        <f aca="false">Inputs!$F$49*IF(AV23&gt;=Inputs!$F$199,1,0)</f>
        <v>0</v>
      </c>
      <c r="AW50" s="10" t="n">
        <f aca="false">Inputs!$F$49*IF(AW23&gt;=Inputs!$F$199,1,0)</f>
        <v>0</v>
      </c>
      <c r="AX50" s="10" t="n">
        <f aca="false">Inputs!$F$49*IF(AX23&gt;=Inputs!$F$199,1,0)</f>
        <v>0</v>
      </c>
      <c r="AY50" s="10" t="n">
        <f aca="false">Inputs!$F$49*IF(AY23&gt;=Inputs!$F$199,1,0)</f>
        <v>0</v>
      </c>
      <c r="AZ50" s="10" t="n">
        <f aca="false">Inputs!$F$49*IF(AZ23&gt;=Inputs!$F$199,1,0)</f>
        <v>0</v>
      </c>
      <c r="BA50" s="10" t="n">
        <f aca="false">Inputs!$F$49*IF(BA23&gt;=Inputs!$F$199,1,0)</f>
        <v>0</v>
      </c>
      <c r="BB50" s="10" t="n">
        <f aca="false">Inputs!$F$49*IF(BB23&gt;=Inputs!$F$199,1,0)</f>
        <v>0</v>
      </c>
      <c r="BC50" s="10" t="n">
        <f aca="false">Inputs!$F$49*IF(BC23&gt;=Inputs!$F$199,1,0)</f>
        <v>0</v>
      </c>
      <c r="BD50" s="10" t="n">
        <f aca="false">Inputs!$F$49*IF(BD23&gt;=Inputs!$F$199,1,0)</f>
        <v>0</v>
      </c>
      <c r="BE50" s="10" t="n">
        <f aca="false">Inputs!$F$49*IF(BE23&gt;=Inputs!$F$199,1,0)</f>
        <v>0</v>
      </c>
      <c r="BF50" s="10" t="n">
        <f aca="false">Inputs!$F$49*IF(BF23&gt;=Inputs!$F$199,1,0)</f>
        <v>0</v>
      </c>
      <c r="BG50" s="10" t="n">
        <f aca="false">Inputs!$F$49*IF(BG23&gt;=Inputs!$F$199,1,0)</f>
        <v>0</v>
      </c>
      <c r="BH50" s="10" t="n">
        <f aca="false">Inputs!$F$49*IF(BH23&gt;=Inputs!$F$199,1,0)</f>
        <v>0</v>
      </c>
      <c r="BI50" s="10" t="n">
        <f aca="false">Inputs!$F$49*IF(BI23&gt;=Inputs!$F$199,1,0)</f>
        <v>0</v>
      </c>
      <c r="BJ50" s="10" t="n">
        <f aca="false">Inputs!$F$49*IF(BJ23&gt;=Inputs!$F$199,1,0)</f>
        <v>0</v>
      </c>
      <c r="BK50" s="10" t="n">
        <f aca="false">Inputs!$F$49*IF(BK23&gt;=Inputs!$F$199,1,0)</f>
        <v>0</v>
      </c>
      <c r="BL50" s="10" t="n">
        <f aca="false">Inputs!$F$49*IF(BL23&gt;=Inputs!$F$199,1,0)</f>
        <v>0</v>
      </c>
      <c r="BM50" s="10" t="n">
        <f aca="false">Inputs!$F$49*IF(BM23&gt;=Inputs!$F$199,1,0)</f>
        <v>0</v>
      </c>
      <c r="BN50" s="10" t="n">
        <f aca="false">Inputs!$F$49*IF(BN23&gt;=Inputs!$F$199,1,0)</f>
        <v>0</v>
      </c>
    </row>
    <row r="51" customFormat="false" ht="15" hidden="false" customHeight="false" outlineLevel="0" collapsed="false">
      <c r="D51" s="0" t="s">
        <v>472</v>
      </c>
      <c r="E51" s="0" t="s">
        <v>113</v>
      </c>
      <c r="J51" s="10" t="n">
        <f aca="false">Inputs!$F$49*IF(J23&gt;Inputs!$F$200,1,0)</f>
        <v>0</v>
      </c>
      <c r="K51" s="10" t="n">
        <f aca="false">Inputs!$F$49*IF(K23&gt;Inputs!$F$200,1,0)</f>
        <v>0</v>
      </c>
      <c r="L51" s="10" t="n">
        <f aca="false">Inputs!$F$49*IF(L23&gt;Inputs!$F$200,1,0)</f>
        <v>0</v>
      </c>
      <c r="M51" s="10" t="n">
        <f aca="false">Inputs!$F$49*IF(M23&gt;Inputs!$F$200,1,0)</f>
        <v>0</v>
      </c>
      <c r="N51" s="10" t="n">
        <f aca="false">Inputs!$F$49*IF(N23&gt;Inputs!$F$200,1,0)</f>
        <v>0</v>
      </c>
      <c r="O51" s="10" t="n">
        <f aca="false">Inputs!$F$49*IF(O23&gt;Inputs!$F$200,1,0)</f>
        <v>0</v>
      </c>
      <c r="P51" s="10" t="n">
        <f aca="false">Inputs!$F$49*IF(P23&gt;Inputs!$F$200,1,0)</f>
        <v>0</v>
      </c>
      <c r="Q51" s="10" t="n">
        <f aca="false">Inputs!$F$49*IF(Q23&gt;Inputs!$F$200,1,0)</f>
        <v>0</v>
      </c>
      <c r="R51" s="10" t="n">
        <f aca="false">Inputs!$F$49*IF(R23&gt;Inputs!$F$200,1,0)</f>
        <v>0</v>
      </c>
      <c r="S51" s="10" t="n">
        <f aca="false">Inputs!$F$49*IF(S23&gt;Inputs!$F$200,1,0)</f>
        <v>0</v>
      </c>
      <c r="T51" s="10" t="n">
        <f aca="false">Inputs!$F$49*IF(T23&gt;Inputs!$F$200,1,0)</f>
        <v>0</v>
      </c>
      <c r="U51" s="10" t="n">
        <f aca="false">Inputs!$F$49*IF(U23&gt;Inputs!$F$200,1,0)</f>
        <v>0</v>
      </c>
      <c r="V51" s="10" t="n">
        <f aca="false">Inputs!$F$49*IF(V23&gt;Inputs!$F$200,1,0)</f>
        <v>0</v>
      </c>
      <c r="W51" s="10" t="n">
        <f aca="false">Inputs!$F$49*IF(W23&gt;Inputs!$F$200,1,0)</f>
        <v>0</v>
      </c>
      <c r="X51" s="10" t="n">
        <f aca="false">Inputs!$F$49*IF(X23&gt;Inputs!$F$200,1,0)</f>
        <v>0</v>
      </c>
      <c r="Y51" s="10" t="n">
        <f aca="false">Inputs!$F$49*IF(Y23&gt;Inputs!$F$200,1,0)</f>
        <v>0</v>
      </c>
      <c r="Z51" s="10" t="n">
        <f aca="false">Inputs!$F$49*IF(Z23&gt;Inputs!$F$200,1,0)</f>
        <v>0</v>
      </c>
      <c r="AA51" s="10" t="n">
        <f aca="false">Inputs!$F$49*IF(AA23&gt;Inputs!$F$200,1,0)</f>
        <v>0</v>
      </c>
      <c r="AB51" s="10" t="n">
        <f aca="false">Inputs!$F$49*IF(AB23&gt;Inputs!$F$200,1,0)</f>
        <v>0</v>
      </c>
      <c r="AC51" s="10" t="n">
        <f aca="false">Inputs!$F$49*IF(AC23&gt;Inputs!$F$200,1,0)</f>
        <v>0</v>
      </c>
      <c r="AD51" s="10" t="n">
        <f aca="false">Inputs!$F$49*IF(AD23&gt;Inputs!$F$200,1,0)</f>
        <v>0</v>
      </c>
      <c r="AE51" s="10" t="n">
        <f aca="false">Inputs!$F$49*IF(AE23&gt;Inputs!$F$200,1,0)</f>
        <v>0</v>
      </c>
      <c r="AF51" s="10" t="n">
        <f aca="false">Inputs!$F$49*IF(AF23&gt;Inputs!$F$200,1,0)</f>
        <v>0</v>
      </c>
      <c r="AG51" s="10" t="n">
        <f aca="false">Inputs!$F$49*IF(AG23&gt;Inputs!$F$200,1,0)</f>
        <v>0</v>
      </c>
      <c r="AH51" s="10" t="n">
        <f aca="false">Inputs!$F$49*IF(AH23&gt;Inputs!$F$200,1,0)</f>
        <v>0</v>
      </c>
      <c r="AI51" s="10" t="n">
        <f aca="false">Inputs!$F$49*IF(AI23&gt;Inputs!$F$200,1,0)</f>
        <v>0</v>
      </c>
      <c r="AJ51" s="10" t="n">
        <f aca="false">Inputs!$F$49*IF(AJ23&gt;Inputs!$F$200,1,0)</f>
        <v>0</v>
      </c>
      <c r="AK51" s="10" t="n">
        <f aca="false">Inputs!$F$49*IF(AK23&gt;Inputs!$F$200,1,0)</f>
        <v>0</v>
      </c>
      <c r="AL51" s="10" t="n">
        <f aca="false">Inputs!$F$49*IF(AL23&gt;Inputs!$F$200,1,0)</f>
        <v>0</v>
      </c>
      <c r="AM51" s="10" t="n">
        <f aca="false">Inputs!$F$49*IF(AM23&gt;Inputs!$F$200,1,0)</f>
        <v>0</v>
      </c>
      <c r="AN51" s="10" t="n">
        <f aca="false">Inputs!$F$49*IF(AN23&gt;Inputs!$F$200,1,0)</f>
        <v>0</v>
      </c>
      <c r="AO51" s="10" t="n">
        <f aca="false">Inputs!$F$49*IF(AO23&gt;Inputs!$F$200,1,0)</f>
        <v>0</v>
      </c>
      <c r="AP51" s="10" t="n">
        <f aca="false">Inputs!$F$49*IF(AP23&gt;Inputs!$F$200,1,0)</f>
        <v>0</v>
      </c>
      <c r="AQ51" s="10" t="n">
        <f aca="false">Inputs!$F$49*IF(AQ23&gt;Inputs!$F$200,1,0)</f>
        <v>0</v>
      </c>
      <c r="AR51" s="10" t="n">
        <f aca="false">Inputs!$F$49*IF(AR23&gt;Inputs!$F$200,1,0)</f>
        <v>0</v>
      </c>
      <c r="AS51" s="10" t="n">
        <f aca="false">Inputs!$F$49*IF(AS23&gt;Inputs!$F$200,1,0)</f>
        <v>0</v>
      </c>
      <c r="AT51" s="10" t="n">
        <f aca="false">Inputs!$F$49*IF(AT23&gt;Inputs!$F$200,1,0)</f>
        <v>0</v>
      </c>
      <c r="AU51" s="10" t="n">
        <f aca="false">Inputs!$F$49*IF(AU23&gt;Inputs!$F$200,1,0)</f>
        <v>0</v>
      </c>
      <c r="AV51" s="10" t="n">
        <f aca="false">Inputs!$F$49*IF(AV23&gt;Inputs!$F$200,1,0)</f>
        <v>0</v>
      </c>
      <c r="AW51" s="10" t="n">
        <f aca="false">Inputs!$F$49*IF(AW23&gt;Inputs!$F$200,1,0)</f>
        <v>0</v>
      </c>
      <c r="AX51" s="10" t="n">
        <f aca="false">Inputs!$F$49*IF(AX23&gt;Inputs!$F$200,1,0)</f>
        <v>0</v>
      </c>
      <c r="AY51" s="10" t="n">
        <f aca="false">Inputs!$F$49*IF(AY23&gt;Inputs!$F$200,1,0)</f>
        <v>0</v>
      </c>
      <c r="AZ51" s="10" t="n">
        <f aca="false">Inputs!$F$49*IF(AZ23&gt;Inputs!$F$200,1,0)</f>
        <v>0</v>
      </c>
      <c r="BA51" s="10" t="n">
        <f aca="false">Inputs!$F$49*IF(BA23&gt;Inputs!$F$200,1,0)</f>
        <v>0</v>
      </c>
      <c r="BB51" s="10" t="n">
        <f aca="false">Inputs!$F$49*IF(BB23&gt;Inputs!$F$200,1,0)</f>
        <v>0</v>
      </c>
      <c r="BC51" s="10" t="n">
        <f aca="false">Inputs!$F$49*IF(BC23&gt;Inputs!$F$200,1,0)</f>
        <v>0</v>
      </c>
      <c r="BD51" s="10" t="n">
        <f aca="false">Inputs!$F$49*IF(BD23&gt;Inputs!$F$200,1,0)</f>
        <v>0</v>
      </c>
      <c r="BE51" s="10" t="n">
        <f aca="false">Inputs!$F$49*IF(BE23&gt;Inputs!$F$200,1,0)</f>
        <v>0</v>
      </c>
      <c r="BF51" s="10" t="n">
        <f aca="false">Inputs!$F$49*IF(BF23&gt;Inputs!$F$200,1,0)</f>
        <v>0</v>
      </c>
      <c r="BG51" s="10" t="n">
        <f aca="false">Inputs!$F$49*IF(BG23&gt;Inputs!$F$200,1,0)</f>
        <v>0</v>
      </c>
      <c r="BH51" s="10" t="n">
        <f aca="false">Inputs!$F$49*IF(BH23&gt;Inputs!$F$200,1,0)</f>
        <v>0</v>
      </c>
      <c r="BI51" s="10" t="n">
        <f aca="false">Inputs!$F$49*IF(BI23&gt;Inputs!$F$200,1,0)</f>
        <v>0</v>
      </c>
      <c r="BJ51" s="10" t="n">
        <f aca="false">Inputs!$F$49*IF(BJ23&gt;Inputs!$F$200,1,0)</f>
        <v>0</v>
      </c>
      <c r="BK51" s="10" t="n">
        <f aca="false">Inputs!$F$49*IF(BK23&gt;Inputs!$F$200,1,0)</f>
        <v>0</v>
      </c>
      <c r="BL51" s="10" t="n">
        <f aca="false">Inputs!$F$49*IF(BL23&gt;Inputs!$F$200,1,0)</f>
        <v>0</v>
      </c>
      <c r="BM51" s="10" t="n">
        <f aca="false">Inputs!$F$49*IF(BM23&gt;Inputs!$F$200,1,0)</f>
        <v>0</v>
      </c>
      <c r="BN51" s="10" t="n">
        <f aca="false">Inputs!$F$49*IF(BN23&gt;Inputs!$F$200,1,0)</f>
        <v>0</v>
      </c>
    </row>
    <row r="52" customFormat="false" ht="15" hidden="false" customHeight="false" outlineLevel="0" collapsed="false">
      <c r="D52" s="0" t="s">
        <v>473</v>
      </c>
      <c r="E52" s="0" t="s">
        <v>113</v>
      </c>
      <c r="J52" s="10" t="n">
        <f aca="false">IF(J22&gt;=Inputs!$F$206,1,0)</f>
        <v>0</v>
      </c>
      <c r="K52" s="10" t="n">
        <f aca="false">IF(K22&gt;=Inputs!$F$206,1,0)</f>
        <v>0</v>
      </c>
      <c r="L52" s="10" t="n">
        <f aca="false">IF(L22&gt;=Inputs!$F$206,1,0)</f>
        <v>0</v>
      </c>
      <c r="M52" s="10" t="n">
        <f aca="false">IF(M22&gt;=Inputs!$F$206,1,0)</f>
        <v>0</v>
      </c>
      <c r="N52" s="10" t="n">
        <f aca="false">IF(N22&gt;=Inputs!$F$206,1,0)</f>
        <v>0</v>
      </c>
      <c r="O52" s="10" t="n">
        <f aca="false">IF(O22&gt;=Inputs!$F$206,1,0)</f>
        <v>0</v>
      </c>
      <c r="P52" s="10" t="n">
        <f aca="false">IF(P22&gt;=Inputs!$F$206,1,0)</f>
        <v>0</v>
      </c>
      <c r="Q52" s="10" t="n">
        <f aca="false">IF(Q22&gt;=Inputs!$F$206,1,0)</f>
        <v>0</v>
      </c>
      <c r="R52" s="10" t="n">
        <f aca="false">IF(R22&gt;=Inputs!$F$206,1,0)</f>
        <v>0</v>
      </c>
      <c r="S52" s="10" t="n">
        <f aca="false">IF(S22&gt;=Inputs!$F$206,1,0)</f>
        <v>0</v>
      </c>
      <c r="T52" s="10" t="n">
        <f aca="false">IF(T22&gt;=Inputs!$F$206,1,0)</f>
        <v>0</v>
      </c>
      <c r="U52" s="10" t="n">
        <f aca="false">IF(U22&gt;=Inputs!$F$206,1,0)</f>
        <v>0</v>
      </c>
      <c r="V52" s="10" t="n">
        <f aca="false">IF(V22&gt;=Inputs!$F$206,1,0)</f>
        <v>0</v>
      </c>
      <c r="W52" s="10" t="n">
        <f aca="false">IF(W22&gt;=Inputs!$F$206,1,0)</f>
        <v>0</v>
      </c>
      <c r="X52" s="10" t="n">
        <f aca="false">IF(X22&gt;=Inputs!$F$206,1,0)</f>
        <v>0</v>
      </c>
      <c r="Y52" s="10" t="n">
        <f aca="false">IF(Y22&gt;=Inputs!$F$206,1,0)</f>
        <v>0</v>
      </c>
      <c r="Z52" s="10" t="n">
        <f aca="false">IF(Z22&gt;=Inputs!$F$206,1,0)</f>
        <v>0</v>
      </c>
      <c r="AA52" s="10" t="n">
        <f aca="false">IF(AA22&gt;=Inputs!$F$206,1,0)</f>
        <v>1</v>
      </c>
      <c r="AB52" s="10" t="n">
        <f aca="false">IF(AB22&gt;=Inputs!$F$206,1,0)</f>
        <v>1</v>
      </c>
      <c r="AC52" s="10" t="n">
        <f aca="false">IF(AC22&gt;=Inputs!$F$206,1,0)</f>
        <v>1</v>
      </c>
      <c r="AD52" s="10" t="n">
        <f aca="false">IF(AD22&gt;=Inputs!$F$206,1,0)</f>
        <v>1</v>
      </c>
      <c r="AE52" s="10" t="n">
        <f aca="false">IF(AE22&gt;=Inputs!$F$206,1,0)</f>
        <v>1</v>
      </c>
      <c r="AF52" s="10" t="n">
        <f aca="false">IF(AF22&gt;=Inputs!$F$206,1,0)</f>
        <v>1</v>
      </c>
      <c r="AG52" s="10" t="n">
        <f aca="false">IF(AG22&gt;=Inputs!$F$206,1,0)</f>
        <v>1</v>
      </c>
      <c r="AH52" s="10" t="n">
        <f aca="false">IF(AH22&gt;=Inputs!$F$206,1,0)</f>
        <v>1</v>
      </c>
      <c r="AI52" s="10" t="n">
        <f aca="false">IF(AI22&gt;=Inputs!$F$206,1,0)</f>
        <v>1</v>
      </c>
      <c r="AJ52" s="10" t="n">
        <f aca="false">IF(AJ22&gt;=Inputs!$F$206,1,0)</f>
        <v>1</v>
      </c>
      <c r="AK52" s="10" t="n">
        <f aca="false">IF(AK22&gt;=Inputs!$F$206,1,0)</f>
        <v>1</v>
      </c>
      <c r="AL52" s="10" t="n">
        <f aca="false">IF(AL22&gt;=Inputs!$F$206,1,0)</f>
        <v>1</v>
      </c>
      <c r="AM52" s="10" t="n">
        <f aca="false">IF(AM22&gt;=Inputs!$F$206,1,0)</f>
        <v>1</v>
      </c>
      <c r="AN52" s="10" t="n">
        <f aca="false">IF(AN22&gt;=Inputs!$F$206,1,0)</f>
        <v>1</v>
      </c>
      <c r="AO52" s="10" t="n">
        <f aca="false">IF(AO22&gt;=Inputs!$F$206,1,0)</f>
        <v>1</v>
      </c>
      <c r="AP52" s="10" t="n">
        <f aca="false">IF(AP22&gt;=Inputs!$F$206,1,0)</f>
        <v>1</v>
      </c>
      <c r="AQ52" s="10" t="n">
        <f aca="false">IF(AQ22&gt;=Inputs!$F$206,1,0)</f>
        <v>1</v>
      </c>
      <c r="AR52" s="10" t="n">
        <f aca="false">IF(AR22&gt;=Inputs!$F$206,1,0)</f>
        <v>1</v>
      </c>
      <c r="AS52" s="10" t="n">
        <f aca="false">IF(AS22&gt;=Inputs!$F$206,1,0)</f>
        <v>1</v>
      </c>
      <c r="AT52" s="10" t="n">
        <f aca="false">IF(AT22&gt;=Inputs!$F$206,1,0)</f>
        <v>1</v>
      </c>
      <c r="AU52" s="10" t="n">
        <f aca="false">IF(AU22&gt;=Inputs!$F$206,1,0)</f>
        <v>1</v>
      </c>
      <c r="AV52" s="10" t="n">
        <f aca="false">IF(AV22&gt;=Inputs!$F$206,1,0)</f>
        <v>1</v>
      </c>
      <c r="AW52" s="10" t="n">
        <f aca="false">IF(AW22&gt;=Inputs!$F$206,1,0)</f>
        <v>1</v>
      </c>
      <c r="AX52" s="10" t="n">
        <f aca="false">IF(AX22&gt;=Inputs!$F$206,1,0)</f>
        <v>1</v>
      </c>
      <c r="AY52" s="10" t="n">
        <f aca="false">IF(AY22&gt;=Inputs!$F$206,1,0)</f>
        <v>1</v>
      </c>
      <c r="AZ52" s="10" t="n">
        <f aca="false">IF(AZ22&gt;=Inputs!$F$206,1,0)</f>
        <v>1</v>
      </c>
      <c r="BA52" s="10" t="n">
        <f aca="false">IF(BA22&gt;=Inputs!$F$206,1,0)</f>
        <v>1</v>
      </c>
      <c r="BB52" s="10" t="n">
        <f aca="false">IF(BB22&gt;=Inputs!$F$206,1,0)</f>
        <v>1</v>
      </c>
      <c r="BC52" s="10" t="n">
        <f aca="false">IF(BC22&gt;=Inputs!$F$206,1,0)</f>
        <v>1</v>
      </c>
      <c r="BD52" s="10" t="n">
        <f aca="false">IF(BD22&gt;=Inputs!$F$206,1,0)</f>
        <v>1</v>
      </c>
      <c r="BE52" s="10" t="n">
        <f aca="false">IF(BE22&gt;=Inputs!$F$206,1,0)</f>
        <v>1</v>
      </c>
      <c r="BF52" s="10" t="n">
        <f aca="false">IF(BF22&gt;=Inputs!$F$206,1,0)</f>
        <v>1</v>
      </c>
      <c r="BG52" s="10" t="n">
        <f aca="false">IF(BG22&gt;=Inputs!$F$206,1,0)</f>
        <v>1</v>
      </c>
      <c r="BH52" s="10" t="n">
        <f aca="false">IF(BH22&gt;=Inputs!$F$206,1,0)</f>
        <v>1</v>
      </c>
      <c r="BI52" s="10" t="n">
        <f aca="false">IF(BI22&gt;=Inputs!$F$206,1,0)</f>
        <v>1</v>
      </c>
      <c r="BJ52" s="10" t="n">
        <f aca="false">IF(BJ22&gt;=Inputs!$F$206,1,0)</f>
        <v>1</v>
      </c>
      <c r="BK52" s="10" t="n">
        <f aca="false">IF(BK22&gt;=Inputs!$F$206,1,0)</f>
        <v>1</v>
      </c>
      <c r="BL52" s="10" t="n">
        <f aca="false">IF(BL22&gt;=Inputs!$F$206,1,0)</f>
        <v>1</v>
      </c>
      <c r="BM52" s="10" t="n">
        <f aca="false">IF(BM22&gt;=Inputs!$F$206,1,0)</f>
        <v>1</v>
      </c>
      <c r="BN52" s="10" t="n">
        <f aca="false">IF(BN22&gt;=Inputs!$F$206,1,0)</f>
        <v>1</v>
      </c>
    </row>
    <row r="53" customFormat="false" ht="15" hidden="false" customHeight="false" outlineLevel="0" collapsed="false">
      <c r="D53" s="0" t="s">
        <v>474</v>
      </c>
      <c r="E53" s="0" t="s">
        <v>113</v>
      </c>
      <c r="J53" s="10" t="n">
        <f aca="false">IF(AND(J20&gt;=$F$13,J23&lt;=Inputs!$F$192),1,0)</f>
        <v>0</v>
      </c>
      <c r="K53" s="10" t="n">
        <f aca="false">IF(AND(K20&gt;=$F$13,K23&lt;=Inputs!$F$192),1,0)</f>
        <v>0</v>
      </c>
      <c r="L53" s="10" t="n">
        <f aca="false">IF(AND(L20&gt;=$F$13,L23&lt;=Inputs!$F$192),1,0)</f>
        <v>0</v>
      </c>
      <c r="M53" s="10" t="n">
        <f aca="false">IF(AND(M20&gt;=$F$13,M23&lt;=Inputs!$F$192),1,0)</f>
        <v>0</v>
      </c>
      <c r="N53" s="10" t="n">
        <f aca="false">IF(AND(N20&gt;=$F$13,N23&lt;=Inputs!$F$192),1,0)</f>
        <v>0</v>
      </c>
      <c r="O53" s="10" t="n">
        <f aca="false">IF(AND(O20&gt;=$F$13,O23&lt;=Inputs!$F$192),1,0)</f>
        <v>0</v>
      </c>
      <c r="P53" s="10" t="n">
        <f aca="false">IF(AND(P20&gt;=$F$13,P23&lt;=Inputs!$F$192),1,0)</f>
        <v>1</v>
      </c>
      <c r="Q53" s="10" t="n">
        <f aca="false">IF(AND(Q20&gt;=$F$13,Q23&lt;=Inputs!$F$192),1,0)</f>
        <v>1</v>
      </c>
      <c r="R53" s="10" t="n">
        <f aca="false">IF(AND(R20&gt;=$F$13,R23&lt;=Inputs!$F$192),1,0)</f>
        <v>1</v>
      </c>
      <c r="S53" s="10" t="n">
        <f aca="false">IF(AND(S20&gt;=$F$13,S23&lt;=Inputs!$F$192),1,0)</f>
        <v>1</v>
      </c>
      <c r="T53" s="10" t="n">
        <f aca="false">IF(AND(T20&gt;=$F$13,T23&lt;=Inputs!$F$192),1,0)</f>
        <v>1</v>
      </c>
      <c r="U53" s="10" t="n">
        <f aca="false">IF(AND(U20&gt;=$F$13,U23&lt;=Inputs!$F$192),1,0)</f>
        <v>1</v>
      </c>
      <c r="V53" s="10" t="n">
        <f aca="false">IF(AND(V20&gt;=$F$13,V23&lt;=Inputs!$F$192),1,0)</f>
        <v>1</v>
      </c>
      <c r="W53" s="10" t="n">
        <f aca="false">IF(AND(W20&gt;=$F$13,W23&lt;=Inputs!$F$192),1,0)</f>
        <v>1</v>
      </c>
      <c r="X53" s="10" t="n">
        <f aca="false">IF(AND(X20&gt;=$F$13,X23&lt;=Inputs!$F$192),1,0)</f>
        <v>1</v>
      </c>
      <c r="Y53" s="10" t="n">
        <f aca="false">IF(AND(Y20&gt;=$F$13,Y23&lt;=Inputs!$F$192),1,0)</f>
        <v>1</v>
      </c>
      <c r="Z53" s="10" t="n">
        <f aca="false">IF(AND(Z20&gt;=$F$13,Z23&lt;=Inputs!$F$192),1,0)</f>
        <v>1</v>
      </c>
      <c r="AA53" s="10" t="n">
        <f aca="false">IF(AND(AA20&gt;=$F$13,AA23&lt;=Inputs!$F$192),1,0)</f>
        <v>1</v>
      </c>
      <c r="AB53" s="10" t="n">
        <f aca="false">IF(AND(AB20&gt;=$F$13,AB23&lt;=Inputs!$F$192),1,0)</f>
        <v>1</v>
      </c>
      <c r="AC53" s="10" t="n">
        <f aca="false">IF(AND(AC20&gt;=$F$13,AC23&lt;=Inputs!$F$192),1,0)</f>
        <v>1</v>
      </c>
      <c r="AD53" s="10" t="n">
        <f aca="false">IF(AND(AD20&gt;=$F$13,AD23&lt;=Inputs!$F$192),1,0)</f>
        <v>1</v>
      </c>
      <c r="AE53" s="10" t="n">
        <f aca="false">IF(AND(AE20&gt;=$F$13,AE23&lt;=Inputs!$F$192),1,0)</f>
        <v>1</v>
      </c>
      <c r="AF53" s="10" t="n">
        <f aca="false">IF(AND(AF20&gt;=$F$13,AF23&lt;=Inputs!$F$192),1,0)</f>
        <v>1</v>
      </c>
      <c r="AG53" s="10" t="n">
        <f aca="false">IF(AND(AG20&gt;=$F$13,AG23&lt;=Inputs!$F$192),1,0)</f>
        <v>1</v>
      </c>
      <c r="AH53" s="10" t="n">
        <f aca="false">IF(AND(AH20&gt;=$F$13,AH23&lt;=Inputs!$F$192),1,0)</f>
        <v>1</v>
      </c>
      <c r="AI53" s="10" t="n">
        <f aca="false">IF(AND(AI20&gt;=$F$13,AI23&lt;=Inputs!$F$192),1,0)</f>
        <v>1</v>
      </c>
      <c r="AJ53" s="10" t="n">
        <f aca="false">IF(AND(AJ20&gt;=$F$13,AJ23&lt;=Inputs!$F$192),1,0)</f>
        <v>1</v>
      </c>
      <c r="AK53" s="10" t="n">
        <f aca="false">IF(AND(AK20&gt;=$F$13,AK23&lt;=Inputs!$F$192),1,0)</f>
        <v>1</v>
      </c>
      <c r="AL53" s="10" t="n">
        <f aca="false">IF(AND(AL20&gt;=$F$13,AL23&lt;=Inputs!$F$192),1,0)</f>
        <v>1</v>
      </c>
      <c r="AM53" s="10" t="n">
        <f aca="false">IF(AND(AM20&gt;=$F$13,AM23&lt;=Inputs!$F$192),1,0)</f>
        <v>1</v>
      </c>
      <c r="AN53" s="10" t="n">
        <f aca="false">IF(AND(AN20&gt;=$F$13,AN23&lt;=Inputs!$F$192),1,0)</f>
        <v>1</v>
      </c>
      <c r="AO53" s="10" t="n">
        <f aca="false">IF(AND(AO20&gt;=$F$13,AO23&lt;=Inputs!$F$192),1,0)</f>
        <v>1</v>
      </c>
      <c r="AP53" s="10" t="n">
        <f aca="false">IF(AND(AP20&gt;=$F$13,AP23&lt;=Inputs!$F$192),1,0)</f>
        <v>0</v>
      </c>
      <c r="AQ53" s="10" t="n">
        <f aca="false">IF(AND(AQ20&gt;=$F$13,AQ23&lt;=Inputs!$F$192),1,0)</f>
        <v>0</v>
      </c>
      <c r="AR53" s="10" t="n">
        <f aca="false">IF(AND(AR20&gt;=$F$13,AR23&lt;=Inputs!$F$192),1,0)</f>
        <v>0</v>
      </c>
      <c r="AS53" s="10" t="n">
        <f aca="false">IF(AND(AS20&gt;=$F$13,AS23&lt;=Inputs!$F$192),1,0)</f>
        <v>0</v>
      </c>
      <c r="AT53" s="10" t="n">
        <f aca="false">IF(AND(AT20&gt;=$F$13,AT23&lt;=Inputs!$F$192),1,0)</f>
        <v>0</v>
      </c>
      <c r="AU53" s="10" t="n">
        <f aca="false">IF(AND(AU20&gt;=$F$13,AU23&lt;=Inputs!$F$192),1,0)</f>
        <v>0</v>
      </c>
      <c r="AV53" s="10" t="n">
        <f aca="false">IF(AND(AV20&gt;=$F$13,AV23&lt;=Inputs!$F$192),1,0)</f>
        <v>0</v>
      </c>
      <c r="AW53" s="10" t="n">
        <f aca="false">IF(AND(AW20&gt;=$F$13,AW23&lt;=Inputs!$F$192),1,0)</f>
        <v>0</v>
      </c>
      <c r="AX53" s="10" t="n">
        <f aca="false">IF(AND(AX20&gt;=$F$13,AX23&lt;=Inputs!$F$192),1,0)</f>
        <v>0</v>
      </c>
      <c r="AY53" s="10" t="n">
        <f aca="false">IF(AND(AY20&gt;=$F$13,AY23&lt;=Inputs!$F$192),1,0)</f>
        <v>0</v>
      </c>
      <c r="AZ53" s="10" t="n">
        <f aca="false">IF(AND(AZ20&gt;=$F$13,AZ23&lt;=Inputs!$F$192),1,0)</f>
        <v>0</v>
      </c>
      <c r="BA53" s="10" t="n">
        <f aca="false">IF(AND(BA20&gt;=$F$13,BA23&lt;=Inputs!$F$192),1,0)</f>
        <v>0</v>
      </c>
      <c r="BB53" s="10" t="n">
        <f aca="false">IF(AND(BB20&gt;=$F$13,BB23&lt;=Inputs!$F$192),1,0)</f>
        <v>0</v>
      </c>
      <c r="BC53" s="10" t="n">
        <f aca="false">IF(AND(BC20&gt;=$F$13,BC23&lt;=Inputs!$F$192),1,0)</f>
        <v>0</v>
      </c>
      <c r="BD53" s="10" t="n">
        <f aca="false">IF(AND(BD20&gt;=$F$13,BD23&lt;=Inputs!$F$192),1,0)</f>
        <v>0</v>
      </c>
      <c r="BE53" s="10" t="n">
        <f aca="false">IF(AND(BE20&gt;=$F$13,BE23&lt;=Inputs!$F$192),1,0)</f>
        <v>0</v>
      </c>
      <c r="BF53" s="10" t="n">
        <f aca="false">IF(AND(BF20&gt;=$F$13,BF23&lt;=Inputs!$F$192),1,0)</f>
        <v>0</v>
      </c>
      <c r="BG53" s="10" t="n">
        <f aca="false">IF(AND(BG20&gt;=$F$13,BG23&lt;=Inputs!$F$192),1,0)</f>
        <v>0</v>
      </c>
      <c r="BH53" s="10" t="n">
        <f aca="false">IF(AND(BH20&gt;=$F$13,BH23&lt;=Inputs!$F$192),1,0)</f>
        <v>0</v>
      </c>
      <c r="BI53" s="10" t="n">
        <f aca="false">IF(AND(BI20&gt;=$F$13,BI23&lt;=Inputs!$F$192),1,0)</f>
        <v>0</v>
      </c>
      <c r="BJ53" s="10" t="n">
        <f aca="false">IF(AND(BJ20&gt;=$F$13,BJ23&lt;=Inputs!$F$192),1,0)</f>
        <v>0</v>
      </c>
      <c r="BK53" s="10" t="n">
        <f aca="false">IF(AND(BK20&gt;=$F$13,BK23&lt;=Inputs!$F$192),1,0)</f>
        <v>0</v>
      </c>
      <c r="BL53" s="10" t="n">
        <f aca="false">IF(AND(BL20&gt;=$F$13,BL23&lt;=Inputs!$F$192),1,0)</f>
        <v>0</v>
      </c>
      <c r="BM53" s="10" t="n">
        <f aca="false">IF(AND(BM20&gt;=$F$13,BM23&lt;=Inputs!$F$192),1,0)</f>
        <v>0</v>
      </c>
      <c r="BN53" s="10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475</v>
      </c>
      <c r="E54" s="0" t="s">
        <v>113</v>
      </c>
      <c r="J54" s="10" t="n">
        <f aca="false">IF(J22&gt;=Inputs!$F$194,1,0)</f>
        <v>0</v>
      </c>
      <c r="K54" s="10" t="n">
        <f aca="false">IF(K22&gt;=Inputs!$F$194,1,0)</f>
        <v>0</v>
      </c>
      <c r="L54" s="10" t="n">
        <f aca="false">IF(L22&gt;=Inputs!$F$194,1,0)</f>
        <v>0</v>
      </c>
      <c r="M54" s="10" t="n">
        <f aca="false">IF(M22&gt;=Inputs!$F$194,1,0)</f>
        <v>0</v>
      </c>
      <c r="N54" s="10" t="n">
        <f aca="false">IF(N22&gt;=Inputs!$F$194,1,0)</f>
        <v>0</v>
      </c>
      <c r="O54" s="10" t="n">
        <f aca="false">IF(O22&gt;=Inputs!$F$194,1,0)</f>
        <v>0</v>
      </c>
      <c r="P54" s="10" t="n">
        <f aca="false">IF(P22&gt;=Inputs!$F$194,1,0)</f>
        <v>0</v>
      </c>
      <c r="Q54" s="10" t="n">
        <f aca="false">IF(Q22&gt;=Inputs!$F$194,1,0)</f>
        <v>1</v>
      </c>
      <c r="R54" s="10" t="n">
        <f aca="false">IF(R22&gt;=Inputs!$F$194,1,0)</f>
        <v>1</v>
      </c>
      <c r="S54" s="10" t="n">
        <f aca="false">IF(S22&gt;=Inputs!$F$194,1,0)</f>
        <v>1</v>
      </c>
      <c r="T54" s="10" t="n">
        <f aca="false">IF(T22&gt;=Inputs!$F$194,1,0)</f>
        <v>1</v>
      </c>
      <c r="U54" s="10" t="n">
        <f aca="false">IF(U22&gt;=Inputs!$F$194,1,0)</f>
        <v>1</v>
      </c>
      <c r="V54" s="10" t="n">
        <f aca="false">IF(V22&gt;=Inputs!$F$194,1,0)</f>
        <v>1</v>
      </c>
      <c r="W54" s="10" t="n">
        <f aca="false">IF(W22&gt;=Inputs!$F$194,1,0)</f>
        <v>1</v>
      </c>
      <c r="X54" s="10" t="n">
        <f aca="false">IF(X22&gt;=Inputs!$F$194,1,0)</f>
        <v>1</v>
      </c>
      <c r="Y54" s="10" t="n">
        <f aca="false">IF(Y22&gt;=Inputs!$F$194,1,0)</f>
        <v>1</v>
      </c>
      <c r="Z54" s="10" t="n">
        <f aca="false">IF(Z22&gt;=Inputs!$F$194,1,0)</f>
        <v>1</v>
      </c>
      <c r="AA54" s="10" t="n">
        <f aca="false">IF(AA22&gt;=Inputs!$F$194,1,0)</f>
        <v>1</v>
      </c>
      <c r="AB54" s="10" t="n">
        <f aca="false">IF(AB22&gt;=Inputs!$F$194,1,0)</f>
        <v>1</v>
      </c>
      <c r="AC54" s="10" t="n">
        <f aca="false">IF(AC22&gt;=Inputs!$F$194,1,0)</f>
        <v>1</v>
      </c>
      <c r="AD54" s="10" t="n">
        <f aca="false">IF(AD22&gt;=Inputs!$F$194,1,0)</f>
        <v>1</v>
      </c>
      <c r="AE54" s="10" t="n">
        <f aca="false">IF(AE22&gt;=Inputs!$F$194,1,0)</f>
        <v>1</v>
      </c>
      <c r="AF54" s="10" t="n">
        <f aca="false">IF(AF22&gt;=Inputs!$F$194,1,0)</f>
        <v>1</v>
      </c>
      <c r="AG54" s="10" t="n">
        <f aca="false">IF(AG22&gt;=Inputs!$F$194,1,0)</f>
        <v>1</v>
      </c>
      <c r="AH54" s="10" t="n">
        <f aca="false">IF(AH22&gt;=Inputs!$F$194,1,0)</f>
        <v>1</v>
      </c>
      <c r="AI54" s="10" t="n">
        <f aca="false">IF(AI22&gt;=Inputs!$F$194,1,0)</f>
        <v>1</v>
      </c>
      <c r="AJ54" s="10" t="n">
        <f aca="false">IF(AJ22&gt;=Inputs!$F$194,1,0)</f>
        <v>1</v>
      </c>
      <c r="AK54" s="10" t="n">
        <f aca="false">IF(AK22&gt;=Inputs!$F$194,1,0)</f>
        <v>1</v>
      </c>
      <c r="AL54" s="10" t="n">
        <f aca="false">IF(AL22&gt;=Inputs!$F$194,1,0)</f>
        <v>1</v>
      </c>
      <c r="AM54" s="10" t="n">
        <f aca="false">IF(AM22&gt;=Inputs!$F$194,1,0)</f>
        <v>1</v>
      </c>
      <c r="AN54" s="10" t="n">
        <f aca="false">IF(AN22&gt;=Inputs!$F$194,1,0)</f>
        <v>1</v>
      </c>
      <c r="AO54" s="10" t="n">
        <f aca="false">IF(AO22&gt;=Inputs!$F$194,1,0)</f>
        <v>1</v>
      </c>
      <c r="AP54" s="10" t="n">
        <f aca="false">IF(AP22&gt;=Inputs!$F$194,1,0)</f>
        <v>1</v>
      </c>
      <c r="AQ54" s="10" t="n">
        <f aca="false">IF(AQ22&gt;=Inputs!$F$194,1,0)</f>
        <v>1</v>
      </c>
      <c r="AR54" s="10" t="n">
        <f aca="false">IF(AR22&gt;=Inputs!$F$194,1,0)</f>
        <v>1</v>
      </c>
      <c r="AS54" s="10" t="n">
        <f aca="false">IF(AS22&gt;=Inputs!$F$194,1,0)</f>
        <v>1</v>
      </c>
      <c r="AT54" s="10" t="n">
        <f aca="false">IF(AT22&gt;=Inputs!$F$194,1,0)</f>
        <v>1</v>
      </c>
      <c r="AU54" s="10" t="n">
        <f aca="false">IF(AU22&gt;=Inputs!$F$194,1,0)</f>
        <v>1</v>
      </c>
      <c r="AV54" s="10" t="n">
        <f aca="false">IF(AV22&gt;=Inputs!$F$194,1,0)</f>
        <v>1</v>
      </c>
      <c r="AW54" s="10" t="n">
        <f aca="false">IF(AW22&gt;=Inputs!$F$194,1,0)</f>
        <v>1</v>
      </c>
      <c r="AX54" s="10" t="n">
        <f aca="false">IF(AX22&gt;=Inputs!$F$194,1,0)</f>
        <v>1</v>
      </c>
      <c r="AY54" s="10" t="n">
        <f aca="false">IF(AY22&gt;=Inputs!$F$194,1,0)</f>
        <v>1</v>
      </c>
      <c r="AZ54" s="10" t="n">
        <f aca="false">IF(AZ22&gt;=Inputs!$F$194,1,0)</f>
        <v>1</v>
      </c>
      <c r="BA54" s="10" t="n">
        <f aca="false">IF(BA22&gt;=Inputs!$F$194,1,0)</f>
        <v>1</v>
      </c>
      <c r="BB54" s="10" t="n">
        <f aca="false">IF(BB22&gt;=Inputs!$F$194,1,0)</f>
        <v>1</v>
      </c>
      <c r="BC54" s="10" t="n">
        <f aca="false">IF(BC22&gt;=Inputs!$F$194,1,0)</f>
        <v>1</v>
      </c>
      <c r="BD54" s="10" t="n">
        <f aca="false">IF(BD22&gt;=Inputs!$F$194,1,0)</f>
        <v>1</v>
      </c>
      <c r="BE54" s="10" t="n">
        <f aca="false">IF(BE22&gt;=Inputs!$F$194,1,0)</f>
        <v>1</v>
      </c>
      <c r="BF54" s="10" t="n">
        <f aca="false">IF(BF22&gt;=Inputs!$F$194,1,0)</f>
        <v>1</v>
      </c>
      <c r="BG54" s="10" t="n">
        <f aca="false">IF(BG22&gt;=Inputs!$F$194,1,0)</f>
        <v>1</v>
      </c>
      <c r="BH54" s="10" t="n">
        <f aca="false">IF(BH22&gt;=Inputs!$F$194,1,0)</f>
        <v>1</v>
      </c>
      <c r="BI54" s="10" t="n">
        <f aca="false">IF(BI22&gt;=Inputs!$F$194,1,0)</f>
        <v>1</v>
      </c>
      <c r="BJ54" s="10" t="n">
        <f aca="false">IF(BJ22&gt;=Inputs!$F$194,1,0)</f>
        <v>1</v>
      </c>
      <c r="BK54" s="10" t="n">
        <f aca="false">IF(BK22&gt;=Inputs!$F$194,1,0)</f>
        <v>1</v>
      </c>
      <c r="BL54" s="10" t="n">
        <f aca="false">IF(BL22&gt;=Inputs!$F$194,1,0)</f>
        <v>1</v>
      </c>
      <c r="BM54" s="10" t="n">
        <f aca="false">IF(BM22&gt;=Inputs!$F$194,1,0)</f>
        <v>1</v>
      </c>
      <c r="BN54" s="10" t="n">
        <f aca="false">IF(BN22&gt;=Inputs!$F$194,1,0)</f>
        <v>1</v>
      </c>
    </row>
    <row r="55" customFormat="false" ht="15" hidden="false" customHeight="false" outlineLevel="0" collapsed="false">
      <c r="D55" s="0" t="s">
        <v>476</v>
      </c>
      <c r="E55" s="0" t="s">
        <v>111</v>
      </c>
      <c r="J55" s="10" t="n">
        <f aca="false">MAX(0,MIN(J25,Inputs!$F$197-J22))</f>
        <v>184</v>
      </c>
      <c r="K55" s="10" t="n">
        <f aca="false">MAX(0,MIN(K25,Inputs!$F$197-K22))</f>
        <v>181</v>
      </c>
      <c r="L55" s="10" t="n">
        <f aca="false">MAX(0,MIN(L25,Inputs!$F$197-L22))</f>
        <v>184</v>
      </c>
      <c r="M55" s="10" t="n">
        <f aca="false">MAX(0,MIN(M25,Inputs!$F$197-M22))</f>
        <v>182</v>
      </c>
      <c r="N55" s="10" t="n">
        <f aca="false">MAX(0,MIN(N25,Inputs!$F$197-N22))</f>
        <v>184</v>
      </c>
      <c r="O55" s="10" t="n">
        <f aca="false">MAX(0,MIN(O25,Inputs!$F$197-O22))</f>
        <v>181</v>
      </c>
      <c r="P55" s="10" t="n">
        <f aca="false">MAX(0,MIN(P25,Inputs!$F$197-P22))</f>
        <v>184</v>
      </c>
      <c r="Q55" s="10" t="n">
        <f aca="false">MAX(0,MIN(Q25,Inputs!$F$197-Q22))</f>
        <v>181</v>
      </c>
      <c r="R55" s="10" t="n">
        <f aca="false">MAX(0,MIN(R25,Inputs!$F$197-R22))</f>
        <v>184</v>
      </c>
      <c r="S55" s="10" t="n">
        <f aca="false">MAX(0,MIN(S25,Inputs!$F$197-S22))</f>
        <v>181</v>
      </c>
      <c r="T55" s="10" t="n">
        <f aca="false">MAX(0,MIN(T25,Inputs!$F$197-T22))</f>
        <v>184</v>
      </c>
      <c r="U55" s="10" t="n">
        <f aca="false">MAX(0,MIN(U25,Inputs!$F$197-U22))</f>
        <v>80</v>
      </c>
      <c r="V55" s="10" t="n">
        <f aca="false">MAX(0,MIN(V25,Inputs!$F$197-V22))</f>
        <v>0</v>
      </c>
      <c r="W55" s="10" t="n">
        <f aca="false">MAX(0,MIN(W25,Inputs!$F$197-W22))</f>
        <v>0</v>
      </c>
      <c r="X55" s="10" t="n">
        <f aca="false">MAX(0,MIN(X25,Inputs!$F$197-X22))</f>
        <v>0</v>
      </c>
      <c r="Y55" s="10" t="n">
        <f aca="false">MAX(0,MIN(Y25,Inputs!$F$197-Y22))</f>
        <v>0</v>
      </c>
      <c r="Z55" s="10" t="n">
        <f aca="false">MAX(0,MIN(Z25,Inputs!$F$197-Z22))</f>
        <v>0</v>
      </c>
      <c r="AA55" s="10" t="n">
        <f aca="false">MAX(0,MIN(AA25,Inputs!$F$197-AA22))</f>
        <v>0</v>
      </c>
      <c r="AB55" s="10" t="n">
        <f aca="false">MAX(0,MIN(AB25,Inputs!$F$197-AB22))</f>
        <v>0</v>
      </c>
      <c r="AC55" s="10" t="n">
        <f aca="false">MAX(0,MIN(AC25,Inputs!$F$197-AC22))</f>
        <v>0</v>
      </c>
      <c r="AD55" s="10" t="n">
        <f aca="false">MAX(0,MIN(AD25,Inputs!$F$197-AD22))</f>
        <v>0</v>
      </c>
      <c r="AE55" s="10" t="n">
        <f aca="false">MAX(0,MIN(AE25,Inputs!$F$197-AE22))</f>
        <v>0</v>
      </c>
      <c r="AF55" s="10" t="n">
        <f aca="false">MAX(0,MIN(AF25,Inputs!$F$197-AF22))</f>
        <v>0</v>
      </c>
      <c r="AG55" s="10" t="n">
        <f aca="false">MAX(0,MIN(AG25,Inputs!$F$197-AG22))</f>
        <v>0</v>
      </c>
      <c r="AH55" s="10" t="n">
        <f aca="false">MAX(0,MIN(AH25,Inputs!$F$197-AH22))</f>
        <v>0</v>
      </c>
      <c r="AI55" s="10" t="n">
        <f aca="false">MAX(0,MIN(AI25,Inputs!$F$197-AI22))</f>
        <v>0</v>
      </c>
      <c r="AJ55" s="10" t="n">
        <f aca="false">MAX(0,MIN(AJ25,Inputs!$F$197-AJ22))</f>
        <v>0</v>
      </c>
      <c r="AK55" s="10" t="n">
        <f aca="false">MAX(0,MIN(AK25,Inputs!$F$197-AK22))</f>
        <v>0</v>
      </c>
      <c r="AL55" s="10" t="n">
        <f aca="false">MAX(0,MIN(AL25,Inputs!$F$197-AL22))</f>
        <v>0</v>
      </c>
      <c r="AM55" s="10" t="n">
        <f aca="false">MAX(0,MIN(AM25,Inputs!$F$197-AM22))</f>
        <v>0</v>
      </c>
      <c r="AN55" s="10" t="n">
        <f aca="false">MAX(0,MIN(AN25,Inputs!$F$197-AN22))</f>
        <v>0</v>
      </c>
      <c r="AO55" s="10" t="n">
        <f aca="false">MAX(0,MIN(AO25,Inputs!$F$197-AO22))</f>
        <v>0</v>
      </c>
      <c r="AP55" s="10" t="n">
        <f aca="false">MAX(0,MIN(AP25,Inputs!$F$197-AP22))</f>
        <v>0</v>
      </c>
      <c r="AQ55" s="10" t="n">
        <f aca="false">MAX(0,MIN(AQ25,Inputs!$F$197-AQ22))</f>
        <v>0</v>
      </c>
      <c r="AR55" s="10" t="n">
        <f aca="false">MAX(0,MIN(AR25,Inputs!$F$197-AR22))</f>
        <v>0</v>
      </c>
      <c r="AS55" s="10" t="n">
        <f aca="false">MAX(0,MIN(AS25,Inputs!$F$197-AS22))</f>
        <v>0</v>
      </c>
      <c r="AT55" s="10" t="n">
        <f aca="false">MAX(0,MIN(AT25,Inputs!$F$197-AT22))</f>
        <v>0</v>
      </c>
      <c r="AU55" s="10" t="n">
        <f aca="false">MAX(0,MIN(AU25,Inputs!$F$197-AU22))</f>
        <v>0</v>
      </c>
      <c r="AV55" s="10" t="n">
        <f aca="false">MAX(0,MIN(AV25,Inputs!$F$197-AV22))</f>
        <v>0</v>
      </c>
      <c r="AW55" s="10" t="n">
        <f aca="false">MAX(0,MIN(AW25,Inputs!$F$197-AW22))</f>
        <v>0</v>
      </c>
      <c r="AX55" s="10" t="n">
        <f aca="false">MAX(0,MIN(AX25,Inputs!$F$197-AX22))</f>
        <v>0</v>
      </c>
      <c r="AY55" s="10" t="n">
        <f aca="false">MAX(0,MIN(AY25,Inputs!$F$197-AY22))</f>
        <v>0</v>
      </c>
      <c r="AZ55" s="10" t="n">
        <f aca="false">MAX(0,MIN(AZ25,Inputs!$F$197-AZ22))</f>
        <v>0</v>
      </c>
      <c r="BA55" s="10" t="n">
        <f aca="false">MAX(0,MIN(BA25,Inputs!$F$197-BA22))</f>
        <v>0</v>
      </c>
      <c r="BB55" s="10" t="n">
        <f aca="false">MAX(0,MIN(BB25,Inputs!$F$197-BB22))</f>
        <v>0</v>
      </c>
      <c r="BC55" s="10" t="n">
        <f aca="false">MAX(0,MIN(BC25,Inputs!$F$197-BC22))</f>
        <v>0</v>
      </c>
      <c r="BD55" s="10" t="n">
        <f aca="false">MAX(0,MIN(BD25,Inputs!$F$197-BD22))</f>
        <v>0</v>
      </c>
      <c r="BE55" s="10" t="n">
        <f aca="false">MAX(0,MIN(BE25,Inputs!$F$197-BE22))</f>
        <v>0</v>
      </c>
      <c r="BF55" s="10" t="n">
        <f aca="false">MAX(0,MIN(BF25,Inputs!$F$197-BF22))</f>
        <v>0</v>
      </c>
      <c r="BG55" s="10" t="n">
        <f aca="false">MAX(0,MIN(BG25,Inputs!$F$197-BG22))</f>
        <v>0</v>
      </c>
      <c r="BH55" s="10" t="n">
        <f aca="false">MAX(0,MIN(BH25,Inputs!$F$197-BH22))</f>
        <v>0</v>
      </c>
      <c r="BI55" s="10" t="n">
        <f aca="false">MAX(0,MIN(BI25,Inputs!$F$197-BI22))</f>
        <v>0</v>
      </c>
      <c r="BJ55" s="10" t="n">
        <f aca="false">MAX(0,MIN(BJ25,Inputs!$F$197-BJ22))</f>
        <v>0</v>
      </c>
      <c r="BK55" s="10" t="n">
        <f aca="false">MAX(0,MIN(BK25,Inputs!$F$197-BK22))</f>
        <v>0</v>
      </c>
      <c r="BL55" s="10" t="n">
        <f aca="false">MAX(0,MIN(BL25,Inputs!$F$197-BL22))</f>
        <v>0</v>
      </c>
      <c r="BM55" s="10" t="n">
        <f aca="false">MAX(0,MIN(BM25,Inputs!$F$197-BM22))</f>
        <v>0</v>
      </c>
      <c r="BN55" s="10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477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532</v>
      </c>
    </row>
    <row r="8" customFormat="false" ht="15" hidden="false" customHeight="false" outlineLevel="0" collapsed="false">
      <c r="D8" s="0" t="s">
        <v>533</v>
      </c>
      <c r="E8" s="0" t="s">
        <v>91</v>
      </c>
      <c r="J8" s="10" t="n">
        <f aca="false">I8+1</f>
        <v>1</v>
      </c>
      <c r="K8" s="10" t="n">
        <f aca="false">J8+1</f>
        <v>2</v>
      </c>
      <c r="L8" s="10" t="n">
        <f aca="false">K8+1</f>
        <v>3</v>
      </c>
      <c r="M8" s="10" t="n">
        <f aca="false">L8+1</f>
        <v>4</v>
      </c>
      <c r="N8" s="10" t="n">
        <f aca="false">M8+1</f>
        <v>5</v>
      </c>
      <c r="O8" s="10" t="n">
        <f aca="false">N8+1</f>
        <v>6</v>
      </c>
      <c r="P8" s="10" t="n">
        <f aca="false">O8+1</f>
        <v>7</v>
      </c>
      <c r="Q8" s="10" t="n">
        <f aca="false">P8+1</f>
        <v>8</v>
      </c>
      <c r="R8" s="10" t="n">
        <f aca="false">Q8+1</f>
        <v>9</v>
      </c>
      <c r="S8" s="10" t="n">
        <f aca="false">R8+1</f>
        <v>10</v>
      </c>
      <c r="T8" s="10" t="n">
        <f aca="false">S8+1</f>
        <v>11</v>
      </c>
      <c r="U8" s="10" t="n">
        <f aca="false">T8+1</f>
        <v>12</v>
      </c>
      <c r="V8" s="10" t="n">
        <f aca="false">U8+1</f>
        <v>13</v>
      </c>
      <c r="W8" s="10" t="n">
        <f aca="false">V8+1</f>
        <v>14</v>
      </c>
      <c r="X8" s="10" t="n">
        <f aca="false">W8+1</f>
        <v>15</v>
      </c>
      <c r="Y8" s="10" t="n">
        <f aca="false">X8+1</f>
        <v>16</v>
      </c>
      <c r="Z8" s="10" t="n">
        <f aca="false">Y8+1</f>
        <v>17</v>
      </c>
      <c r="AA8" s="10" t="n">
        <f aca="false">Z8+1</f>
        <v>18</v>
      </c>
      <c r="AB8" s="10" t="n">
        <f aca="false">AA8+1</f>
        <v>19</v>
      </c>
      <c r="AC8" s="10" t="n">
        <f aca="false">AB8+1</f>
        <v>20</v>
      </c>
      <c r="AD8" s="10" t="n">
        <f aca="false">AC8+1</f>
        <v>21</v>
      </c>
      <c r="AE8" s="10" t="n">
        <f aca="false">AD8+1</f>
        <v>22</v>
      </c>
      <c r="AF8" s="10" t="n">
        <f aca="false">AE8+1</f>
        <v>23</v>
      </c>
      <c r="AG8" s="10" t="n">
        <f aca="false">AF8+1</f>
        <v>24</v>
      </c>
      <c r="AH8" s="10" t="n">
        <f aca="false">AG8+1</f>
        <v>25</v>
      </c>
      <c r="AI8" s="10" t="n">
        <f aca="false">AH8+1</f>
        <v>26</v>
      </c>
      <c r="AJ8" s="10" t="n">
        <f aca="false">AI8+1</f>
        <v>27</v>
      </c>
      <c r="AK8" s="10" t="n">
        <f aca="false">AJ8+1</f>
        <v>28</v>
      </c>
      <c r="AL8" s="10" t="n">
        <f aca="false">AK8+1</f>
        <v>29</v>
      </c>
      <c r="AM8" s="10" t="n">
        <f aca="false">AL8+1</f>
        <v>30</v>
      </c>
      <c r="AN8" s="10" t="n">
        <f aca="false">AM8+1</f>
        <v>31</v>
      </c>
      <c r="AO8" s="10" t="n">
        <f aca="false">AN8+1</f>
        <v>32</v>
      </c>
      <c r="AP8" s="10" t="n">
        <f aca="false">AO8+1</f>
        <v>33</v>
      </c>
      <c r="AQ8" s="10" t="n">
        <f aca="false">AP8+1</f>
        <v>34</v>
      </c>
      <c r="AR8" s="10" t="n">
        <f aca="false">AQ8+1</f>
        <v>35</v>
      </c>
      <c r="AS8" s="10" t="n">
        <f aca="false">AR8+1</f>
        <v>36</v>
      </c>
      <c r="AT8" s="10" t="n">
        <f aca="false">AS8+1</f>
        <v>37</v>
      </c>
      <c r="AU8" s="10" t="n">
        <f aca="false">AT8+1</f>
        <v>38</v>
      </c>
      <c r="AV8" s="10" t="n">
        <f aca="false">AU8+1</f>
        <v>39</v>
      </c>
      <c r="AW8" s="10" t="n">
        <f aca="false">AV8+1</f>
        <v>40</v>
      </c>
      <c r="AX8" s="10" t="n">
        <f aca="false">AW8+1</f>
        <v>41</v>
      </c>
      <c r="AY8" s="10" t="n">
        <f aca="false">AX8+1</f>
        <v>42</v>
      </c>
      <c r="AZ8" s="10" t="n">
        <f aca="false">AY8+1</f>
        <v>43</v>
      </c>
      <c r="BA8" s="10" t="n">
        <f aca="false">AZ8+1</f>
        <v>44</v>
      </c>
      <c r="BB8" s="10" t="n">
        <f aca="false">BA8+1</f>
        <v>45</v>
      </c>
      <c r="BC8" s="10" t="n">
        <f aca="false">BB8+1</f>
        <v>46</v>
      </c>
      <c r="BD8" s="10" t="n">
        <f aca="false">BC8+1</f>
        <v>47</v>
      </c>
      <c r="BE8" s="10" t="n">
        <f aca="false">BD8+1</f>
        <v>48</v>
      </c>
      <c r="BF8" s="10" t="n">
        <f aca="false">BE8+1</f>
        <v>49</v>
      </c>
      <c r="BG8" s="10" t="n">
        <f aca="false">BF8+1</f>
        <v>50</v>
      </c>
      <c r="BH8" s="10" t="n">
        <f aca="false">BG8+1</f>
        <v>51</v>
      </c>
      <c r="BI8" s="10" t="n">
        <f aca="false">BH8+1</f>
        <v>52</v>
      </c>
      <c r="BJ8" s="10" t="n">
        <f aca="false">BI8+1</f>
        <v>53</v>
      </c>
    </row>
    <row r="9" customFormat="false" ht="15" hidden="false" customHeight="false" outlineLevel="0" collapsed="false">
      <c r="D9" s="0" t="s">
        <v>534</v>
      </c>
      <c r="E9" s="0" t="s">
        <v>296</v>
      </c>
      <c r="J9" s="9" t="n">
        <f aca="false">IF(J8=1,Inputs!$F$188,EDATE(I9,1))</f>
        <v>43313</v>
      </c>
      <c r="K9" s="9" t="n">
        <f aca="false">IF(K8=1,Inputs!$F$188,EDATE(J9,1))</f>
        <v>43344</v>
      </c>
      <c r="L9" s="9" t="n">
        <f aca="false">IF(L8=1,Inputs!$F$188,EDATE(K9,1))</f>
        <v>43374</v>
      </c>
      <c r="M9" s="9" t="n">
        <f aca="false">IF(M8=1,Inputs!$F$188,EDATE(L9,1))</f>
        <v>43405</v>
      </c>
      <c r="N9" s="9" t="n">
        <f aca="false">IF(N8=1,Inputs!$F$188,EDATE(M9,1))</f>
        <v>43435</v>
      </c>
      <c r="O9" s="9" t="n">
        <f aca="false">IF(O8=1,Inputs!$F$188,EDATE(N9,1))</f>
        <v>43466</v>
      </c>
      <c r="P9" s="9" t="n">
        <f aca="false">IF(P8=1,Inputs!$F$188,EDATE(O9,1))</f>
        <v>43497</v>
      </c>
      <c r="Q9" s="9" t="n">
        <f aca="false">IF(Q8=1,Inputs!$F$188,EDATE(P9,1))</f>
        <v>43525</v>
      </c>
      <c r="R9" s="9" t="n">
        <f aca="false">IF(R8=1,Inputs!$F$188,EDATE(Q9,1))</f>
        <v>43556</v>
      </c>
      <c r="S9" s="9" t="n">
        <f aca="false">IF(S8=1,Inputs!$F$188,EDATE(R9,1))</f>
        <v>43586</v>
      </c>
      <c r="T9" s="9" t="n">
        <f aca="false">IF(T8=1,Inputs!$F$188,EDATE(S9,1))</f>
        <v>43617</v>
      </c>
      <c r="U9" s="9" t="n">
        <f aca="false">IF(U8=1,Inputs!$F$188,EDATE(T9,1))</f>
        <v>43647</v>
      </c>
      <c r="V9" s="9" t="n">
        <f aca="false">IF(V8=1,Inputs!$F$188,EDATE(U9,1))</f>
        <v>43678</v>
      </c>
      <c r="W9" s="9" t="n">
        <f aca="false">IF(W8=1,Inputs!$F$188,EDATE(V9,1))</f>
        <v>43709</v>
      </c>
      <c r="X9" s="9" t="n">
        <f aca="false">IF(X8=1,Inputs!$F$188,EDATE(W9,1))</f>
        <v>43739</v>
      </c>
      <c r="Y9" s="9" t="n">
        <f aca="false">IF(Y8=1,Inputs!$F$188,EDATE(X9,1))</f>
        <v>43770</v>
      </c>
      <c r="Z9" s="9" t="n">
        <f aca="false">IF(Z8=1,Inputs!$F$188,EDATE(Y9,1))</f>
        <v>43800</v>
      </c>
      <c r="AA9" s="9" t="n">
        <f aca="false">IF(AA8=1,Inputs!$F$188,EDATE(Z9,1))</f>
        <v>43831</v>
      </c>
      <c r="AB9" s="9" t="n">
        <f aca="false">IF(AB8=1,Inputs!$F$188,EDATE(AA9,1))</f>
        <v>43862</v>
      </c>
      <c r="AC9" s="9" t="n">
        <f aca="false">IF(AC8=1,Inputs!$F$188,EDATE(AB9,1))</f>
        <v>43891</v>
      </c>
      <c r="AD9" s="9" t="n">
        <f aca="false">IF(AD8=1,Inputs!$F$188,EDATE(AC9,1))</f>
        <v>43922</v>
      </c>
      <c r="AE9" s="9" t="n">
        <f aca="false">IF(AE8=1,Inputs!$F$188,EDATE(AD9,1))</f>
        <v>43952</v>
      </c>
      <c r="AF9" s="9" t="n">
        <f aca="false">IF(AF8=1,Inputs!$F$188,EDATE(AE9,1))</f>
        <v>43983</v>
      </c>
      <c r="AG9" s="9" t="n">
        <f aca="false">IF(AG8=1,Inputs!$F$188,EDATE(AF9,1))</f>
        <v>44013</v>
      </c>
      <c r="AH9" s="9" t="n">
        <f aca="false">IF(AH8=1,Inputs!$F$188,EDATE(AG9,1))</f>
        <v>44044</v>
      </c>
      <c r="AI9" s="9" t="n">
        <f aca="false">IF(AI8=1,Inputs!$F$188,EDATE(AH9,1))</f>
        <v>44075</v>
      </c>
      <c r="AJ9" s="9" t="n">
        <f aca="false">IF(AJ8=1,Inputs!$F$188,EDATE(AI9,1))</f>
        <v>44105</v>
      </c>
      <c r="AK9" s="9" t="n">
        <f aca="false">IF(AK8=1,Inputs!$F$188,EDATE(AJ9,1))</f>
        <v>44136</v>
      </c>
      <c r="AL9" s="9" t="n">
        <f aca="false">IF(AL8=1,Inputs!$F$188,EDATE(AK9,1))</f>
        <v>44166</v>
      </c>
      <c r="AM9" s="9" t="n">
        <f aca="false">IF(AM8=1,Inputs!$F$188,EDATE(AL9,1))</f>
        <v>44197</v>
      </c>
      <c r="AN9" s="9" t="n">
        <f aca="false">IF(AN8=1,Inputs!$F$188,EDATE(AM9,1))</f>
        <v>44228</v>
      </c>
      <c r="AO9" s="9" t="n">
        <f aca="false">IF(AO8=1,Inputs!$F$188,EDATE(AN9,1))</f>
        <v>44256</v>
      </c>
      <c r="AP9" s="9" t="n">
        <f aca="false">IF(AP8=1,Inputs!$F$188,EDATE(AO9,1))</f>
        <v>44287</v>
      </c>
      <c r="AQ9" s="9" t="n">
        <f aca="false">IF(AQ8=1,Inputs!$F$188,EDATE(AP9,1))</f>
        <v>44317</v>
      </c>
      <c r="AR9" s="9" t="n">
        <f aca="false">IF(AR8=1,Inputs!$F$188,EDATE(AQ9,1))</f>
        <v>44348</v>
      </c>
      <c r="AS9" s="9" t="n">
        <f aca="false">IF(AS8=1,Inputs!$F$188,EDATE(AR9,1))</f>
        <v>44378</v>
      </c>
      <c r="AT9" s="9" t="n">
        <f aca="false">IF(AT8=1,Inputs!$F$188,EDATE(AS9,1))</f>
        <v>44409</v>
      </c>
      <c r="AU9" s="9" t="n">
        <f aca="false">IF(AU8=1,Inputs!$F$188,EDATE(AT9,1))</f>
        <v>44440</v>
      </c>
      <c r="AV9" s="9" t="n">
        <f aca="false">IF(AV8=1,Inputs!$F$188,EDATE(AU9,1))</f>
        <v>44470</v>
      </c>
      <c r="AW9" s="9" t="n">
        <f aca="false">IF(AW8=1,Inputs!$F$188,EDATE(AV9,1))</f>
        <v>44501</v>
      </c>
      <c r="AX9" s="9" t="n">
        <f aca="false">IF(AX8=1,Inputs!$F$188,EDATE(AW9,1))</f>
        <v>44531</v>
      </c>
      <c r="AY9" s="9" t="n">
        <f aca="false">IF(AY8=1,Inputs!$F$188,EDATE(AX9,1))</f>
        <v>44562</v>
      </c>
      <c r="AZ9" s="9" t="n">
        <f aca="false">IF(AZ8=1,Inputs!$F$188,EDATE(AY9,1))</f>
        <v>44593</v>
      </c>
      <c r="BA9" s="9" t="n">
        <f aca="false">IF(BA8=1,Inputs!$F$188,EDATE(AZ9,1))</f>
        <v>44621</v>
      </c>
      <c r="BB9" s="9" t="n">
        <f aca="false">IF(BB8=1,Inputs!$F$188,EDATE(BA9,1))</f>
        <v>44652</v>
      </c>
      <c r="BC9" s="9" t="n">
        <f aca="false">IF(BC8=1,Inputs!$F$188,EDATE(BB9,1))</f>
        <v>44682</v>
      </c>
      <c r="BD9" s="9" t="n">
        <f aca="false">IF(BD8=1,Inputs!$F$188,EDATE(BC9,1))</f>
        <v>44713</v>
      </c>
      <c r="BE9" s="9" t="n">
        <f aca="false">IF(BE8=1,Inputs!$F$188,EDATE(BD9,1))</f>
        <v>44743</v>
      </c>
      <c r="BF9" s="9" t="n">
        <f aca="false">IF(BF8=1,Inputs!$F$188,EDATE(BE9,1))</f>
        <v>44774</v>
      </c>
      <c r="BG9" s="9" t="n">
        <f aca="false">IF(BG8=1,Inputs!$F$188,EDATE(BF9,1))</f>
        <v>44805</v>
      </c>
      <c r="BH9" s="9" t="n">
        <f aca="false">IF(BH8=1,Inputs!$F$188,EDATE(BG9,1))</f>
        <v>44835</v>
      </c>
      <c r="BI9" s="9" t="n">
        <f aca="false">IF(BI8=1,Inputs!$F$188,EDATE(BH9,1))</f>
        <v>44866</v>
      </c>
      <c r="BJ9" s="9" t="n">
        <f aca="false">IF(BJ8=1,Inputs!$F$188,EDATE(BI9,1))</f>
        <v>44896</v>
      </c>
    </row>
    <row r="10" customFormat="false" ht="15" hidden="false" customHeight="false" outlineLevel="0" collapsed="false">
      <c r="D10" s="0" t="s">
        <v>535</v>
      </c>
      <c r="E10" s="0" t="s">
        <v>296</v>
      </c>
      <c r="J10" s="9" t="n">
        <f aca="false">EOMONTH(J9,0)</f>
        <v>43343</v>
      </c>
      <c r="K10" s="9" t="n">
        <f aca="false">EOMONTH(K9,0)</f>
        <v>43373</v>
      </c>
      <c r="L10" s="9" t="n">
        <f aca="false">EOMONTH(L9,0)</f>
        <v>43404</v>
      </c>
      <c r="M10" s="9" t="n">
        <f aca="false">EOMONTH(M9,0)</f>
        <v>43434</v>
      </c>
      <c r="N10" s="9" t="n">
        <f aca="false">EOMONTH(N9,0)</f>
        <v>43465</v>
      </c>
      <c r="O10" s="9" t="n">
        <f aca="false">EOMONTH(O9,0)</f>
        <v>43496</v>
      </c>
      <c r="P10" s="9" t="n">
        <f aca="false">EOMONTH(P9,0)</f>
        <v>43524</v>
      </c>
      <c r="Q10" s="9" t="n">
        <f aca="false">EOMONTH(Q9,0)</f>
        <v>43555</v>
      </c>
      <c r="R10" s="9" t="n">
        <f aca="false">EOMONTH(R9,0)</f>
        <v>43585</v>
      </c>
      <c r="S10" s="9" t="n">
        <f aca="false">EOMONTH(S9,0)</f>
        <v>43616</v>
      </c>
      <c r="T10" s="9" t="n">
        <f aca="false">EOMONTH(T9,0)</f>
        <v>43646</v>
      </c>
      <c r="U10" s="9" t="n">
        <f aca="false">EOMONTH(U9,0)</f>
        <v>43677</v>
      </c>
      <c r="V10" s="9" t="n">
        <f aca="false">EOMONTH(V9,0)</f>
        <v>43708</v>
      </c>
      <c r="W10" s="9" t="n">
        <f aca="false">EOMONTH(W9,0)</f>
        <v>43738</v>
      </c>
      <c r="X10" s="9" t="n">
        <f aca="false">EOMONTH(X9,0)</f>
        <v>43769</v>
      </c>
      <c r="Y10" s="9" t="n">
        <f aca="false">EOMONTH(Y9,0)</f>
        <v>43799</v>
      </c>
      <c r="Z10" s="9" t="n">
        <f aca="false">EOMONTH(Z9,0)</f>
        <v>43830</v>
      </c>
      <c r="AA10" s="9" t="n">
        <f aca="false">EOMONTH(AA9,0)</f>
        <v>43861</v>
      </c>
      <c r="AB10" s="9" t="n">
        <f aca="false">EOMONTH(AB9,0)</f>
        <v>43890</v>
      </c>
      <c r="AC10" s="9" t="n">
        <f aca="false">EOMONTH(AC9,0)</f>
        <v>43921</v>
      </c>
      <c r="AD10" s="9" t="n">
        <f aca="false">EOMONTH(AD9,0)</f>
        <v>43951</v>
      </c>
      <c r="AE10" s="9" t="n">
        <f aca="false">EOMONTH(AE9,0)</f>
        <v>43982</v>
      </c>
      <c r="AF10" s="9" t="n">
        <f aca="false">EOMONTH(AF9,0)</f>
        <v>44012</v>
      </c>
      <c r="AG10" s="9" t="n">
        <f aca="false">EOMONTH(AG9,0)</f>
        <v>44043</v>
      </c>
      <c r="AH10" s="9" t="n">
        <f aca="false">EOMONTH(AH9,0)</f>
        <v>44074</v>
      </c>
      <c r="AI10" s="9" t="n">
        <f aca="false">EOMONTH(AI9,0)</f>
        <v>44104</v>
      </c>
      <c r="AJ10" s="9" t="n">
        <f aca="false">EOMONTH(AJ9,0)</f>
        <v>44135</v>
      </c>
      <c r="AK10" s="9" t="n">
        <f aca="false">EOMONTH(AK9,0)</f>
        <v>44165</v>
      </c>
      <c r="AL10" s="9" t="n">
        <f aca="false">EOMONTH(AL9,0)</f>
        <v>44196</v>
      </c>
      <c r="AM10" s="9" t="n">
        <f aca="false">EOMONTH(AM9,0)</f>
        <v>44227</v>
      </c>
      <c r="AN10" s="9" t="n">
        <f aca="false">EOMONTH(AN9,0)</f>
        <v>44255</v>
      </c>
      <c r="AO10" s="9" t="n">
        <f aca="false">EOMONTH(AO9,0)</f>
        <v>44286</v>
      </c>
      <c r="AP10" s="9" t="n">
        <f aca="false">EOMONTH(AP9,0)</f>
        <v>44316</v>
      </c>
      <c r="AQ10" s="9" t="n">
        <f aca="false">EOMONTH(AQ9,0)</f>
        <v>44347</v>
      </c>
      <c r="AR10" s="9" t="n">
        <f aca="false">EOMONTH(AR9,0)</f>
        <v>44377</v>
      </c>
      <c r="AS10" s="9" t="n">
        <f aca="false">EOMONTH(AS9,0)</f>
        <v>44408</v>
      </c>
      <c r="AT10" s="9" t="n">
        <f aca="false">EOMONTH(AT9,0)</f>
        <v>44439</v>
      </c>
      <c r="AU10" s="9" t="n">
        <f aca="false">EOMONTH(AU9,0)</f>
        <v>44469</v>
      </c>
      <c r="AV10" s="9" t="n">
        <f aca="false">EOMONTH(AV9,0)</f>
        <v>44500</v>
      </c>
      <c r="AW10" s="9" t="n">
        <f aca="false">EOMONTH(AW9,0)</f>
        <v>44530</v>
      </c>
      <c r="AX10" s="9" t="n">
        <f aca="false">EOMONTH(AX9,0)</f>
        <v>44561</v>
      </c>
      <c r="AY10" s="9" t="n">
        <f aca="false">EOMONTH(AY9,0)</f>
        <v>44592</v>
      </c>
      <c r="AZ10" s="9" t="n">
        <f aca="false">EOMONTH(AZ9,0)</f>
        <v>44620</v>
      </c>
      <c r="BA10" s="9" t="n">
        <f aca="false">EOMONTH(BA9,0)</f>
        <v>44651</v>
      </c>
      <c r="BB10" s="9" t="n">
        <f aca="false">EOMONTH(BB9,0)</f>
        <v>44681</v>
      </c>
      <c r="BC10" s="9" t="n">
        <f aca="false">EOMONTH(BC9,0)</f>
        <v>44712</v>
      </c>
      <c r="BD10" s="9" t="n">
        <f aca="false">EOMONTH(BD9,0)</f>
        <v>44742</v>
      </c>
      <c r="BE10" s="9" t="n">
        <f aca="false">EOMONTH(BE9,0)</f>
        <v>44773</v>
      </c>
      <c r="BF10" s="9" t="n">
        <f aca="false">EOMONTH(BF9,0)</f>
        <v>44804</v>
      </c>
      <c r="BG10" s="9" t="n">
        <f aca="false">EOMONTH(BG9,0)</f>
        <v>44834</v>
      </c>
      <c r="BH10" s="9" t="n">
        <f aca="false">EOMONTH(BH9,0)</f>
        <v>44865</v>
      </c>
      <c r="BI10" s="9" t="n">
        <f aca="false">EOMONTH(BI9,0)</f>
        <v>44895</v>
      </c>
      <c r="BJ10" s="9" t="n">
        <f aca="false">EOMONTH(BJ9,0)</f>
        <v>44926</v>
      </c>
    </row>
    <row r="11" customFormat="false" ht="15" hidden="false" customHeight="false" outlineLevel="0" collapsed="false">
      <c r="D11" s="0" t="s">
        <v>536</v>
      </c>
      <c r="E11" s="0" t="s">
        <v>111</v>
      </c>
      <c r="J11" s="10" t="n">
        <f aca="false">J10-J9+1</f>
        <v>31</v>
      </c>
      <c r="K11" s="10" t="n">
        <f aca="false">K10-K9+1</f>
        <v>30</v>
      </c>
      <c r="L11" s="10" t="n">
        <f aca="false">L10-L9+1</f>
        <v>31</v>
      </c>
      <c r="M11" s="10" t="n">
        <f aca="false">M10-M9+1</f>
        <v>30</v>
      </c>
      <c r="N11" s="10" t="n">
        <f aca="false">N10-N9+1</f>
        <v>31</v>
      </c>
      <c r="O11" s="10" t="n">
        <f aca="false">O10-O9+1</f>
        <v>31</v>
      </c>
      <c r="P11" s="10" t="n">
        <f aca="false">P10-P9+1</f>
        <v>28</v>
      </c>
      <c r="Q11" s="10" t="n">
        <f aca="false">Q10-Q9+1</f>
        <v>31</v>
      </c>
      <c r="R11" s="10" t="n">
        <f aca="false">R10-R9+1</f>
        <v>30</v>
      </c>
      <c r="S11" s="10" t="n">
        <f aca="false">S10-S9+1</f>
        <v>31</v>
      </c>
      <c r="T11" s="10" t="n">
        <f aca="false">T10-T9+1</f>
        <v>30</v>
      </c>
      <c r="U11" s="10" t="n">
        <f aca="false">U10-U9+1</f>
        <v>31</v>
      </c>
      <c r="V11" s="10" t="n">
        <f aca="false">V10-V9+1</f>
        <v>31</v>
      </c>
      <c r="W11" s="10" t="n">
        <f aca="false">W10-W9+1</f>
        <v>30</v>
      </c>
      <c r="X11" s="10" t="n">
        <f aca="false">X10-X9+1</f>
        <v>31</v>
      </c>
      <c r="Y11" s="10" t="n">
        <f aca="false">Y10-Y9+1</f>
        <v>30</v>
      </c>
      <c r="Z11" s="10" t="n">
        <f aca="false">Z10-Z9+1</f>
        <v>31</v>
      </c>
      <c r="AA11" s="10" t="n">
        <f aca="false">AA10-AA9+1</f>
        <v>31</v>
      </c>
      <c r="AB11" s="10" t="n">
        <f aca="false">AB10-AB9+1</f>
        <v>29</v>
      </c>
      <c r="AC11" s="10" t="n">
        <f aca="false">AC10-AC9+1</f>
        <v>31</v>
      </c>
      <c r="AD11" s="10" t="n">
        <f aca="false">AD10-AD9+1</f>
        <v>30</v>
      </c>
      <c r="AE11" s="10" t="n">
        <f aca="false">AE10-AE9+1</f>
        <v>31</v>
      </c>
      <c r="AF11" s="10" t="n">
        <f aca="false">AF10-AF9+1</f>
        <v>30</v>
      </c>
      <c r="AG11" s="10" t="n">
        <f aca="false">AG10-AG9+1</f>
        <v>31</v>
      </c>
      <c r="AH11" s="10" t="n">
        <f aca="false">AH10-AH9+1</f>
        <v>31</v>
      </c>
      <c r="AI11" s="10" t="n">
        <f aca="false">AI10-AI9+1</f>
        <v>30</v>
      </c>
      <c r="AJ11" s="10" t="n">
        <f aca="false">AJ10-AJ9+1</f>
        <v>31</v>
      </c>
      <c r="AK11" s="10" t="n">
        <f aca="false">AK10-AK9+1</f>
        <v>30</v>
      </c>
      <c r="AL11" s="10" t="n">
        <f aca="false">AL10-AL9+1</f>
        <v>31</v>
      </c>
      <c r="AM11" s="10" t="n">
        <f aca="false">AM10-AM9+1</f>
        <v>31</v>
      </c>
      <c r="AN11" s="10" t="n">
        <f aca="false">AN10-AN9+1</f>
        <v>28</v>
      </c>
      <c r="AO11" s="10" t="n">
        <f aca="false">AO10-AO9+1</f>
        <v>31</v>
      </c>
      <c r="AP11" s="10" t="n">
        <f aca="false">AP10-AP9+1</f>
        <v>30</v>
      </c>
      <c r="AQ11" s="10" t="n">
        <f aca="false">AQ10-AQ9+1</f>
        <v>31</v>
      </c>
      <c r="AR11" s="10" t="n">
        <f aca="false">AR10-AR9+1</f>
        <v>30</v>
      </c>
      <c r="AS11" s="10" t="n">
        <f aca="false">AS10-AS9+1</f>
        <v>31</v>
      </c>
      <c r="AT11" s="10" t="n">
        <f aca="false">AT10-AT9+1</f>
        <v>31</v>
      </c>
      <c r="AU11" s="10" t="n">
        <f aca="false">AU10-AU9+1</f>
        <v>30</v>
      </c>
      <c r="AV11" s="10" t="n">
        <f aca="false">AV10-AV9+1</f>
        <v>31</v>
      </c>
      <c r="AW11" s="10" t="n">
        <f aca="false">AW10-AW9+1</f>
        <v>30</v>
      </c>
      <c r="AX11" s="10" t="n">
        <f aca="false">AX10-AX9+1</f>
        <v>31</v>
      </c>
      <c r="AY11" s="10" t="n">
        <f aca="false">AY10-AY9+1</f>
        <v>31</v>
      </c>
      <c r="AZ11" s="10" t="n">
        <f aca="false">AZ10-AZ9+1</f>
        <v>28</v>
      </c>
      <c r="BA11" s="10" t="n">
        <f aca="false">BA10-BA9+1</f>
        <v>31</v>
      </c>
      <c r="BB11" s="10" t="n">
        <f aca="false">BB10-BB9+1</f>
        <v>30</v>
      </c>
      <c r="BC11" s="10" t="n">
        <f aca="false">BC10-BC9+1</f>
        <v>31</v>
      </c>
      <c r="BD11" s="10" t="n">
        <f aca="false">BD10-BD9+1</f>
        <v>30</v>
      </c>
      <c r="BE11" s="10" t="n">
        <f aca="false">BE10-BE9+1</f>
        <v>31</v>
      </c>
      <c r="BF11" s="10" t="n">
        <f aca="false">BF10-BF9+1</f>
        <v>31</v>
      </c>
      <c r="BG11" s="10" t="n">
        <f aca="false">BG10-BG9+1</f>
        <v>30</v>
      </c>
      <c r="BH11" s="10" t="n">
        <f aca="false">BH10-BH9+1</f>
        <v>31</v>
      </c>
      <c r="BI11" s="10" t="n">
        <f aca="false">BI10-BI9+1</f>
        <v>30</v>
      </c>
      <c r="BJ11" s="10" t="n">
        <f aca="false">BJ10-BJ9+1</f>
        <v>31</v>
      </c>
    </row>
    <row r="12" customFormat="false" ht="15" hidden="false" customHeight="false" outlineLevel="0" collapsed="false">
      <c r="D12" s="0" t="s">
        <v>537</v>
      </c>
      <c r="E12" s="0" t="s">
        <v>91</v>
      </c>
      <c r="J12" s="10" t="n">
        <f aca="false">MATCH(J9,Time!$J$22:$BN$22,1)</f>
        <v>1</v>
      </c>
      <c r="K12" s="10" t="n">
        <f aca="false">MATCH(K9,Time!$J$22:$BN$22,1)</f>
        <v>1</v>
      </c>
      <c r="L12" s="10" t="n">
        <f aca="false">MATCH(L9,Time!$J$22:$BN$22,1)</f>
        <v>1</v>
      </c>
      <c r="M12" s="10" t="n">
        <f aca="false">MATCH(M9,Time!$J$22:$BN$22,1)</f>
        <v>1</v>
      </c>
      <c r="N12" s="10" t="n">
        <f aca="false">MATCH(N9,Time!$J$22:$BN$22,1)</f>
        <v>1</v>
      </c>
      <c r="O12" s="10" t="n">
        <f aca="false">MATCH(O9,Time!$J$22:$BN$22,1)</f>
        <v>2</v>
      </c>
      <c r="P12" s="10" t="n">
        <f aca="false">MATCH(P9,Time!$J$22:$BN$22,1)</f>
        <v>2</v>
      </c>
      <c r="Q12" s="10" t="n">
        <f aca="false">MATCH(Q9,Time!$J$22:$BN$22,1)</f>
        <v>2</v>
      </c>
      <c r="R12" s="10" t="n">
        <f aca="false">MATCH(R9,Time!$J$22:$BN$22,1)</f>
        <v>2</v>
      </c>
      <c r="S12" s="10" t="n">
        <f aca="false">MATCH(S9,Time!$J$22:$BN$22,1)</f>
        <v>2</v>
      </c>
      <c r="T12" s="10" t="n">
        <f aca="false">MATCH(T9,Time!$J$22:$BN$22,1)</f>
        <v>2</v>
      </c>
      <c r="U12" s="10" t="n">
        <f aca="false">MATCH(U9,Time!$J$22:$BN$22,1)</f>
        <v>3</v>
      </c>
      <c r="V12" s="10" t="n">
        <f aca="false">MATCH(V9,Time!$J$22:$BN$22,1)</f>
        <v>3</v>
      </c>
      <c r="W12" s="10" t="n">
        <f aca="false">MATCH(W9,Time!$J$22:$BN$22,1)</f>
        <v>3</v>
      </c>
      <c r="X12" s="10" t="n">
        <f aca="false">MATCH(X9,Time!$J$22:$BN$22,1)</f>
        <v>3</v>
      </c>
      <c r="Y12" s="10" t="n">
        <f aca="false">MATCH(Y9,Time!$J$22:$BN$22,1)</f>
        <v>3</v>
      </c>
      <c r="Z12" s="10" t="n">
        <f aca="false">MATCH(Z9,Time!$J$22:$BN$22,1)</f>
        <v>3</v>
      </c>
      <c r="AA12" s="10" t="n">
        <f aca="false">MATCH(AA9,Time!$J$22:$BN$22,1)</f>
        <v>4</v>
      </c>
      <c r="AB12" s="10" t="n">
        <f aca="false">MATCH(AB9,Time!$J$22:$BN$22,1)</f>
        <v>4</v>
      </c>
      <c r="AC12" s="10" t="n">
        <f aca="false">MATCH(AC9,Time!$J$22:$BN$22,1)</f>
        <v>4</v>
      </c>
      <c r="AD12" s="10" t="n">
        <f aca="false">MATCH(AD9,Time!$J$22:$BN$22,1)</f>
        <v>4</v>
      </c>
      <c r="AE12" s="10" t="n">
        <f aca="false">MATCH(AE9,Time!$J$22:$BN$22,1)</f>
        <v>4</v>
      </c>
      <c r="AF12" s="10" t="n">
        <f aca="false">MATCH(AF9,Time!$J$22:$BN$22,1)</f>
        <v>4</v>
      </c>
      <c r="AG12" s="10" t="n">
        <f aca="false">MATCH(AG9,Time!$J$22:$BN$22,1)</f>
        <v>5</v>
      </c>
      <c r="AH12" s="10" t="n">
        <f aca="false">MATCH(AH9,Time!$J$22:$BN$22,1)</f>
        <v>5</v>
      </c>
      <c r="AI12" s="10" t="n">
        <f aca="false">MATCH(AI9,Time!$J$22:$BN$22,1)</f>
        <v>5</v>
      </c>
      <c r="AJ12" s="10" t="n">
        <f aca="false">MATCH(AJ9,Time!$J$22:$BN$22,1)</f>
        <v>5</v>
      </c>
      <c r="AK12" s="10" t="n">
        <f aca="false">MATCH(AK9,Time!$J$22:$BN$22,1)</f>
        <v>5</v>
      </c>
      <c r="AL12" s="10" t="n">
        <f aca="false">MATCH(AL9,Time!$J$22:$BN$22,1)</f>
        <v>5</v>
      </c>
      <c r="AM12" s="10" t="n">
        <f aca="false">MATCH(AM9,Time!$J$22:$BN$22,1)</f>
        <v>6</v>
      </c>
      <c r="AN12" s="10" t="n">
        <f aca="false">MATCH(AN9,Time!$J$22:$BN$22,1)</f>
        <v>6</v>
      </c>
      <c r="AO12" s="10" t="n">
        <f aca="false">MATCH(AO9,Time!$J$22:$BN$22,1)</f>
        <v>6</v>
      </c>
      <c r="AP12" s="10" t="n">
        <f aca="false">MATCH(AP9,Time!$J$22:$BN$22,1)</f>
        <v>6</v>
      </c>
      <c r="AQ12" s="10" t="n">
        <f aca="false">MATCH(AQ9,Time!$J$22:$BN$22,1)</f>
        <v>6</v>
      </c>
      <c r="AR12" s="10" t="n">
        <f aca="false">MATCH(AR9,Time!$J$22:$BN$22,1)</f>
        <v>6</v>
      </c>
      <c r="AS12" s="10" t="n">
        <f aca="false">MATCH(AS9,Time!$J$22:$BN$22,1)</f>
        <v>7</v>
      </c>
      <c r="AT12" s="10" t="n">
        <f aca="false">MATCH(AT9,Time!$J$22:$BN$22,1)</f>
        <v>7</v>
      </c>
      <c r="AU12" s="10" t="n">
        <f aca="false">MATCH(AU9,Time!$J$22:$BN$22,1)</f>
        <v>7</v>
      </c>
      <c r="AV12" s="10" t="n">
        <f aca="false">MATCH(AV9,Time!$J$22:$BN$22,1)</f>
        <v>7</v>
      </c>
      <c r="AW12" s="10" t="n">
        <f aca="false">MATCH(AW9,Time!$J$22:$BN$22,1)</f>
        <v>7</v>
      </c>
      <c r="AX12" s="10" t="n">
        <f aca="false">MATCH(AX9,Time!$J$22:$BN$22,1)</f>
        <v>7</v>
      </c>
      <c r="AY12" s="10" t="n">
        <f aca="false">MATCH(AY9,Time!$J$22:$BN$22,1)</f>
        <v>8</v>
      </c>
      <c r="AZ12" s="10" t="n">
        <f aca="false">MATCH(AZ9,Time!$J$22:$BN$22,1)</f>
        <v>8</v>
      </c>
      <c r="BA12" s="10" t="n">
        <f aca="false">MATCH(BA9,Time!$J$22:$BN$22,1)</f>
        <v>8</v>
      </c>
      <c r="BB12" s="10" t="n">
        <f aca="false">MATCH(BB9,Time!$J$22:$BN$22,1)</f>
        <v>8</v>
      </c>
      <c r="BC12" s="10" t="n">
        <f aca="false">MATCH(BC9,Time!$J$22:$BN$22,1)</f>
        <v>8</v>
      </c>
      <c r="BD12" s="10" t="n">
        <f aca="false">MATCH(BD9,Time!$J$22:$BN$22,1)</f>
        <v>8</v>
      </c>
      <c r="BE12" s="10" t="n">
        <f aca="false">MATCH(BE9,Time!$J$22:$BN$22,1)</f>
        <v>9</v>
      </c>
      <c r="BF12" s="10" t="n">
        <f aca="false">MATCH(BF9,Time!$J$22:$BN$22,1)</f>
        <v>9</v>
      </c>
      <c r="BG12" s="10" t="n">
        <f aca="false">MATCH(BG9,Time!$J$22:$BN$22,1)</f>
        <v>9</v>
      </c>
      <c r="BH12" s="10" t="n">
        <f aca="false">MATCH(BH9,Time!$J$22:$BN$22,1)</f>
        <v>9</v>
      </c>
      <c r="BI12" s="10" t="n">
        <f aca="false">MATCH(BI9,Time!$J$22:$BN$22,1)</f>
        <v>9</v>
      </c>
      <c r="BJ12" s="10" t="n">
        <f aca="false">MATCH(BJ9,Time!$J$22:$BN$22,1)</f>
        <v>9</v>
      </c>
    </row>
    <row r="13" customFormat="false" ht="15" hidden="false" customHeight="false" outlineLevel="0" collapsed="false">
      <c r="D13" s="0" t="s">
        <v>538</v>
      </c>
      <c r="E13" s="0" t="s">
        <v>113</v>
      </c>
      <c r="J13" s="10" t="n">
        <f aca="false">IF(J8&lt;=Time!$F$11,1,0)</f>
        <v>1</v>
      </c>
      <c r="K13" s="10" t="n">
        <f aca="false">IF(K8&lt;=Time!$F$11,1,0)</f>
        <v>1</v>
      </c>
      <c r="L13" s="10" t="n">
        <f aca="false">IF(L8&lt;=Time!$F$11,1,0)</f>
        <v>1</v>
      </c>
      <c r="M13" s="10" t="n">
        <f aca="false">IF(M8&lt;=Time!$F$11,1,0)</f>
        <v>1</v>
      </c>
      <c r="N13" s="10" t="n">
        <f aca="false">IF(N8&lt;=Time!$F$11,1,0)</f>
        <v>1</v>
      </c>
      <c r="O13" s="10" t="n">
        <f aca="false">IF(O8&lt;=Time!$F$11,1,0)</f>
        <v>1</v>
      </c>
      <c r="P13" s="10" t="n">
        <f aca="false">IF(P8&lt;=Time!$F$11,1,0)</f>
        <v>1</v>
      </c>
      <c r="Q13" s="10" t="n">
        <f aca="false">IF(Q8&lt;=Time!$F$11,1,0)</f>
        <v>1</v>
      </c>
      <c r="R13" s="10" t="n">
        <f aca="false">IF(R8&lt;=Time!$F$11,1,0)</f>
        <v>1</v>
      </c>
      <c r="S13" s="10" t="n">
        <f aca="false">IF(S8&lt;=Time!$F$11,1,0)</f>
        <v>1</v>
      </c>
      <c r="T13" s="10" t="n">
        <f aca="false">IF(T8&lt;=Time!$F$11,1,0)</f>
        <v>1</v>
      </c>
      <c r="U13" s="10" t="n">
        <f aca="false">IF(U8&lt;=Time!$F$11,1,0)</f>
        <v>1</v>
      </c>
      <c r="V13" s="10" t="n">
        <f aca="false">IF(V8&lt;=Time!$F$11,1,0)</f>
        <v>1</v>
      </c>
      <c r="W13" s="10" t="n">
        <f aca="false">IF(W8&lt;=Time!$F$11,1,0)</f>
        <v>1</v>
      </c>
      <c r="X13" s="10" t="n">
        <f aca="false">IF(X8&lt;=Time!$F$11,1,0)</f>
        <v>1</v>
      </c>
      <c r="Y13" s="10" t="n">
        <f aca="false">IF(Y8&lt;=Time!$F$11,1,0)</f>
        <v>1</v>
      </c>
      <c r="Z13" s="10" t="n">
        <f aca="false">IF(Z8&lt;=Time!$F$11,1,0)</f>
        <v>1</v>
      </c>
      <c r="AA13" s="10" t="n">
        <f aca="false">IF(AA8&lt;=Time!$F$11,1,0)</f>
        <v>1</v>
      </c>
      <c r="AB13" s="10" t="n">
        <f aca="false">IF(AB8&lt;=Time!$F$11,1,0)</f>
        <v>1</v>
      </c>
      <c r="AC13" s="10" t="n">
        <f aca="false">IF(AC8&lt;=Time!$F$11,1,0)</f>
        <v>1</v>
      </c>
      <c r="AD13" s="10" t="n">
        <f aca="false">IF(AD8&lt;=Time!$F$11,1,0)</f>
        <v>1</v>
      </c>
      <c r="AE13" s="10" t="n">
        <f aca="false">IF(AE8&lt;=Time!$F$11,1,0)</f>
        <v>1</v>
      </c>
      <c r="AF13" s="10" t="n">
        <f aca="false">IF(AF8&lt;=Time!$F$11,1,0)</f>
        <v>1</v>
      </c>
      <c r="AG13" s="10" t="n">
        <f aca="false">IF(AG8&lt;=Time!$F$11,1,0)</f>
        <v>1</v>
      </c>
      <c r="AH13" s="10" t="n">
        <f aca="false">IF(AH8&lt;=Time!$F$11,1,0)</f>
        <v>1</v>
      </c>
      <c r="AI13" s="10" t="n">
        <f aca="false">IF(AI8&lt;=Time!$F$11,1,0)</f>
        <v>1</v>
      </c>
      <c r="AJ13" s="10" t="n">
        <f aca="false">IF(AJ8&lt;=Time!$F$11,1,0)</f>
        <v>1</v>
      </c>
      <c r="AK13" s="10" t="n">
        <f aca="false">IF(AK8&lt;=Time!$F$11,1,0)</f>
        <v>1</v>
      </c>
      <c r="AL13" s="10" t="n">
        <f aca="false">IF(AL8&lt;=Time!$F$11,1,0)</f>
        <v>1</v>
      </c>
      <c r="AM13" s="10" t="n">
        <f aca="false">IF(AM8&lt;=Time!$F$11,1,0)</f>
        <v>1</v>
      </c>
      <c r="AN13" s="10" t="n">
        <f aca="false">IF(AN8&lt;=Time!$F$11,1,0)</f>
        <v>1</v>
      </c>
      <c r="AO13" s="10" t="n">
        <f aca="false">IF(AO8&lt;=Time!$F$11,1,0)</f>
        <v>1</v>
      </c>
      <c r="AP13" s="10" t="n">
        <f aca="false">IF(AP8&lt;=Time!$F$11,1,0)</f>
        <v>1</v>
      </c>
      <c r="AQ13" s="10" t="n">
        <f aca="false">IF(AQ8&lt;=Time!$F$11,1,0)</f>
        <v>0</v>
      </c>
      <c r="AR13" s="10" t="n">
        <f aca="false">IF(AR8&lt;=Time!$F$11,1,0)</f>
        <v>0</v>
      </c>
      <c r="AS13" s="10" t="n">
        <f aca="false">IF(AS8&lt;=Time!$F$11,1,0)</f>
        <v>0</v>
      </c>
      <c r="AT13" s="10" t="n">
        <f aca="false">IF(AT8&lt;=Time!$F$11,1,0)</f>
        <v>0</v>
      </c>
      <c r="AU13" s="10" t="n">
        <f aca="false">IF(AU8&lt;=Time!$F$11,1,0)</f>
        <v>0</v>
      </c>
      <c r="AV13" s="10" t="n">
        <f aca="false">IF(AV8&lt;=Time!$F$11,1,0)</f>
        <v>0</v>
      </c>
      <c r="AW13" s="10" t="n">
        <f aca="false">IF(AW8&lt;=Time!$F$11,1,0)</f>
        <v>0</v>
      </c>
      <c r="AX13" s="10" t="n">
        <f aca="false">IF(AX8&lt;=Time!$F$11,1,0)</f>
        <v>0</v>
      </c>
      <c r="AY13" s="10" t="n">
        <f aca="false">IF(AY8&lt;=Time!$F$11,1,0)</f>
        <v>0</v>
      </c>
      <c r="AZ13" s="10" t="n">
        <f aca="false">IF(AZ8&lt;=Time!$F$11,1,0)</f>
        <v>0</v>
      </c>
      <c r="BA13" s="10" t="n">
        <f aca="false">IF(BA8&lt;=Time!$F$11,1,0)</f>
        <v>0</v>
      </c>
      <c r="BB13" s="10" t="n">
        <f aca="false">IF(BB8&lt;=Time!$F$11,1,0)</f>
        <v>0</v>
      </c>
      <c r="BC13" s="10" t="n">
        <f aca="false">IF(BC8&lt;=Time!$F$11,1,0)</f>
        <v>0</v>
      </c>
      <c r="BD13" s="10" t="n">
        <f aca="false">IF(BD8&lt;=Time!$F$11,1,0)</f>
        <v>0</v>
      </c>
      <c r="BE13" s="10" t="n">
        <f aca="false">IF(BE8&lt;=Time!$F$11,1,0)</f>
        <v>0</v>
      </c>
      <c r="BF13" s="10" t="n">
        <f aca="false">IF(BF8&lt;=Time!$F$11,1,0)</f>
        <v>0</v>
      </c>
      <c r="BG13" s="10" t="n">
        <f aca="false">IF(BG8&lt;=Time!$F$11,1,0)</f>
        <v>0</v>
      </c>
      <c r="BH13" s="10" t="n">
        <f aca="false">IF(BH8&lt;=Time!$F$11,1,0)</f>
        <v>0</v>
      </c>
      <c r="BI13" s="10" t="n">
        <f aca="false">IF(BI8&lt;=Time!$F$11,1,0)</f>
        <v>0</v>
      </c>
      <c r="BJ13" s="10" t="n">
        <f aca="false">IF(BJ8&lt;=Time!$F$11,1,0)</f>
        <v>0</v>
      </c>
    </row>
    <row r="14" customFormat="false" ht="15" hidden="false" customHeight="false" outlineLevel="0" collapsed="false">
      <c r="D14" s="0" t="s">
        <v>539</v>
      </c>
      <c r="E14" s="0" t="s">
        <v>113</v>
      </c>
      <c r="J14" s="10" t="n">
        <f aca="false">IF(J8&lt;=Time!$F$14,1,0)</f>
        <v>1</v>
      </c>
      <c r="K14" s="10" t="n">
        <f aca="false">IF(K8&lt;=Time!$F$14,1,0)</f>
        <v>1</v>
      </c>
      <c r="L14" s="10" t="n">
        <f aca="false">IF(L8&lt;=Time!$F$14,1,0)</f>
        <v>1</v>
      </c>
      <c r="M14" s="10" t="n">
        <f aca="false">IF(M8&lt;=Time!$F$14,1,0)</f>
        <v>1</v>
      </c>
      <c r="N14" s="10" t="n">
        <f aca="false">IF(N8&lt;=Time!$F$14,1,0)</f>
        <v>1</v>
      </c>
      <c r="O14" s="10" t="n">
        <f aca="false">IF(O8&lt;=Time!$F$14,1,0)</f>
        <v>1</v>
      </c>
      <c r="P14" s="10" t="n">
        <f aca="false">IF(P8&lt;=Time!$F$14,1,0)</f>
        <v>1</v>
      </c>
      <c r="Q14" s="10" t="n">
        <f aca="false">IF(Q8&lt;=Time!$F$14,1,0)</f>
        <v>1</v>
      </c>
      <c r="R14" s="10" t="n">
        <f aca="false">IF(R8&lt;=Time!$F$14,1,0)</f>
        <v>1</v>
      </c>
      <c r="S14" s="10" t="n">
        <f aca="false">IF(S8&lt;=Time!$F$14,1,0)</f>
        <v>1</v>
      </c>
      <c r="T14" s="10" t="n">
        <f aca="false">IF(T8&lt;=Time!$F$14,1,0)</f>
        <v>1</v>
      </c>
      <c r="U14" s="10" t="n">
        <f aca="false">IF(U8&lt;=Time!$F$14,1,0)</f>
        <v>1</v>
      </c>
      <c r="V14" s="10" t="n">
        <f aca="false">IF(V8&lt;=Time!$F$14,1,0)</f>
        <v>1</v>
      </c>
      <c r="W14" s="10" t="n">
        <f aca="false">IF(W8&lt;=Time!$F$14,1,0)</f>
        <v>1</v>
      </c>
      <c r="X14" s="10" t="n">
        <f aca="false">IF(X8&lt;=Time!$F$14,1,0)</f>
        <v>1</v>
      </c>
      <c r="Y14" s="10" t="n">
        <f aca="false">IF(Y8&lt;=Time!$F$14,1,0)</f>
        <v>1</v>
      </c>
      <c r="Z14" s="10" t="n">
        <f aca="false">IF(Z8&lt;=Time!$F$14,1,0)</f>
        <v>1</v>
      </c>
      <c r="AA14" s="10" t="n">
        <f aca="false">IF(AA8&lt;=Time!$F$14,1,0)</f>
        <v>1</v>
      </c>
      <c r="AB14" s="10" t="n">
        <f aca="false">IF(AB8&lt;=Time!$F$14,1,0)</f>
        <v>1</v>
      </c>
      <c r="AC14" s="10" t="n">
        <f aca="false">IF(AC8&lt;=Time!$F$14,1,0)</f>
        <v>1</v>
      </c>
      <c r="AD14" s="10" t="n">
        <f aca="false">IF(AD8&lt;=Time!$F$14,1,0)</f>
        <v>1</v>
      </c>
      <c r="AE14" s="10" t="n">
        <f aca="false">IF(AE8&lt;=Time!$F$14,1,0)</f>
        <v>1</v>
      </c>
      <c r="AF14" s="10" t="n">
        <f aca="false">IF(AF8&lt;=Time!$F$14,1,0)</f>
        <v>1</v>
      </c>
      <c r="AG14" s="10" t="n">
        <f aca="false">IF(AG8&lt;=Time!$F$14,1,0)</f>
        <v>1</v>
      </c>
      <c r="AH14" s="10" t="n">
        <f aca="false">IF(AH8&lt;=Time!$F$14,1,0)</f>
        <v>1</v>
      </c>
      <c r="AI14" s="10" t="n">
        <f aca="false">IF(AI8&lt;=Time!$F$14,1,0)</f>
        <v>1</v>
      </c>
      <c r="AJ14" s="10" t="n">
        <f aca="false">IF(AJ8&lt;=Time!$F$14,1,0)</f>
        <v>1</v>
      </c>
      <c r="AK14" s="10" t="n">
        <f aca="false">IF(AK8&lt;=Time!$F$14,1,0)</f>
        <v>1</v>
      </c>
      <c r="AL14" s="10" t="n">
        <f aca="false">IF(AL8&lt;=Time!$F$14,1,0)</f>
        <v>1</v>
      </c>
      <c r="AM14" s="10" t="n">
        <f aca="false">IF(AM8&lt;=Time!$F$14,1,0)</f>
        <v>1</v>
      </c>
      <c r="AN14" s="10" t="n">
        <f aca="false">IF(AN8&lt;=Time!$F$14,1,0)</f>
        <v>1</v>
      </c>
      <c r="AO14" s="10" t="n">
        <f aca="false">IF(AO8&lt;=Time!$F$14,1,0)</f>
        <v>1</v>
      </c>
      <c r="AP14" s="10" t="n">
        <f aca="false">IF(AP8&lt;=Time!$F$14,1,0)</f>
        <v>1</v>
      </c>
      <c r="AQ14" s="10" t="n">
        <f aca="false">IF(AQ8&lt;=Time!$F$14,1,0)</f>
        <v>1</v>
      </c>
      <c r="AR14" s="10" t="n">
        <f aca="false">IF(AR8&lt;=Time!$F$14,1,0)</f>
        <v>1</v>
      </c>
      <c r="AS14" s="10" t="n">
        <f aca="false">IF(AS8&lt;=Time!$F$14,1,0)</f>
        <v>0</v>
      </c>
      <c r="AT14" s="10" t="n">
        <f aca="false">IF(AT8&lt;=Time!$F$14,1,0)</f>
        <v>0</v>
      </c>
      <c r="AU14" s="10" t="n">
        <f aca="false">IF(AU8&lt;=Time!$F$14,1,0)</f>
        <v>0</v>
      </c>
      <c r="AV14" s="10" t="n">
        <f aca="false">IF(AV8&lt;=Time!$F$14,1,0)</f>
        <v>0</v>
      </c>
      <c r="AW14" s="10" t="n">
        <f aca="false">IF(AW8&lt;=Time!$F$14,1,0)</f>
        <v>0</v>
      </c>
      <c r="AX14" s="10" t="n">
        <f aca="false">IF(AX8&lt;=Time!$F$14,1,0)</f>
        <v>0</v>
      </c>
      <c r="AY14" s="10" t="n">
        <f aca="false">IF(AY8&lt;=Time!$F$14,1,0)</f>
        <v>0</v>
      </c>
      <c r="AZ14" s="10" t="n">
        <f aca="false">IF(AZ8&lt;=Time!$F$14,1,0)</f>
        <v>0</v>
      </c>
      <c r="BA14" s="10" t="n">
        <f aca="false">IF(BA8&lt;=Time!$F$14,1,0)</f>
        <v>0</v>
      </c>
      <c r="BB14" s="10" t="n">
        <f aca="false">IF(BB8&lt;=Time!$F$14,1,0)</f>
        <v>0</v>
      </c>
      <c r="BC14" s="10" t="n">
        <f aca="false">IF(BC8&lt;=Time!$F$14,1,0)</f>
        <v>0</v>
      </c>
      <c r="BD14" s="10" t="n">
        <f aca="false">IF(BD8&lt;=Time!$F$14,1,0)</f>
        <v>0</v>
      </c>
      <c r="BE14" s="10" t="n">
        <f aca="false">IF(BE8&lt;=Time!$F$14,1,0)</f>
        <v>0</v>
      </c>
      <c r="BF14" s="10" t="n">
        <f aca="false">IF(BF8&lt;=Time!$F$14,1,0)</f>
        <v>0</v>
      </c>
      <c r="BG14" s="10" t="n">
        <f aca="false">IF(BG8&lt;=Time!$F$14,1,0)</f>
        <v>0</v>
      </c>
      <c r="BH14" s="10" t="n">
        <f aca="false">IF(BH8&lt;=Time!$F$14,1,0)</f>
        <v>0</v>
      </c>
      <c r="BI14" s="10" t="n">
        <f aca="false">IF(BI8&lt;=Time!$F$14,1,0)</f>
        <v>0</v>
      </c>
      <c r="BJ14" s="10" t="n">
        <f aca="false">IF(BJ8&lt;=Time!$F$14,1,0)</f>
        <v>0</v>
      </c>
    </row>
    <row r="15" customFormat="false" ht="15" hidden="false" customHeight="false" outlineLevel="0" collapsed="false">
      <c r="D15" s="0" t="s">
        <v>540</v>
      </c>
      <c r="E15" s="0" t="s">
        <v>113</v>
      </c>
      <c r="J15" s="10" t="n">
        <f aca="false">IF(J8=Time!$F$11+1,1,0)</f>
        <v>0</v>
      </c>
      <c r="K15" s="10" t="n">
        <f aca="false">IF(K8=Time!$F$11+1,1,0)</f>
        <v>0</v>
      </c>
      <c r="L15" s="10" t="n">
        <f aca="false">IF(L8=Time!$F$11+1,1,0)</f>
        <v>0</v>
      </c>
      <c r="M15" s="10" t="n">
        <f aca="false">IF(M8=Time!$F$11+1,1,0)</f>
        <v>0</v>
      </c>
      <c r="N15" s="10" t="n">
        <f aca="false">IF(N8=Time!$F$11+1,1,0)</f>
        <v>0</v>
      </c>
      <c r="O15" s="10" t="n">
        <f aca="false">IF(O8=Time!$F$11+1,1,0)</f>
        <v>0</v>
      </c>
      <c r="P15" s="10" t="n">
        <f aca="false">IF(P8=Time!$F$11+1,1,0)</f>
        <v>0</v>
      </c>
      <c r="Q15" s="10" t="n">
        <f aca="false">IF(Q8=Time!$F$11+1,1,0)</f>
        <v>0</v>
      </c>
      <c r="R15" s="10" t="n">
        <f aca="false">IF(R8=Time!$F$11+1,1,0)</f>
        <v>0</v>
      </c>
      <c r="S15" s="10" t="n">
        <f aca="false">IF(S8=Time!$F$11+1,1,0)</f>
        <v>0</v>
      </c>
      <c r="T15" s="10" t="n">
        <f aca="false">IF(T8=Time!$F$11+1,1,0)</f>
        <v>0</v>
      </c>
      <c r="U15" s="10" t="n">
        <f aca="false">IF(U8=Time!$F$11+1,1,0)</f>
        <v>0</v>
      </c>
      <c r="V15" s="10" t="n">
        <f aca="false">IF(V8=Time!$F$11+1,1,0)</f>
        <v>0</v>
      </c>
      <c r="W15" s="10" t="n">
        <f aca="false">IF(W8=Time!$F$11+1,1,0)</f>
        <v>0</v>
      </c>
      <c r="X15" s="10" t="n">
        <f aca="false">IF(X8=Time!$F$11+1,1,0)</f>
        <v>0</v>
      </c>
      <c r="Y15" s="10" t="n">
        <f aca="false">IF(Y8=Time!$F$11+1,1,0)</f>
        <v>0</v>
      </c>
      <c r="Z15" s="10" t="n">
        <f aca="false">IF(Z8=Time!$F$11+1,1,0)</f>
        <v>0</v>
      </c>
      <c r="AA15" s="10" t="n">
        <f aca="false">IF(AA8=Time!$F$11+1,1,0)</f>
        <v>0</v>
      </c>
      <c r="AB15" s="10" t="n">
        <f aca="false">IF(AB8=Time!$F$11+1,1,0)</f>
        <v>0</v>
      </c>
      <c r="AC15" s="10" t="n">
        <f aca="false">IF(AC8=Time!$F$11+1,1,0)</f>
        <v>0</v>
      </c>
      <c r="AD15" s="10" t="n">
        <f aca="false">IF(AD8=Time!$F$11+1,1,0)</f>
        <v>0</v>
      </c>
      <c r="AE15" s="10" t="n">
        <f aca="false">IF(AE8=Time!$F$11+1,1,0)</f>
        <v>0</v>
      </c>
      <c r="AF15" s="10" t="n">
        <f aca="false">IF(AF8=Time!$F$11+1,1,0)</f>
        <v>0</v>
      </c>
      <c r="AG15" s="10" t="n">
        <f aca="false">IF(AG8=Time!$F$11+1,1,0)</f>
        <v>0</v>
      </c>
      <c r="AH15" s="10" t="n">
        <f aca="false">IF(AH8=Time!$F$11+1,1,0)</f>
        <v>0</v>
      </c>
      <c r="AI15" s="10" t="n">
        <f aca="false">IF(AI8=Time!$F$11+1,1,0)</f>
        <v>0</v>
      </c>
      <c r="AJ15" s="10" t="n">
        <f aca="false">IF(AJ8=Time!$F$11+1,1,0)</f>
        <v>0</v>
      </c>
      <c r="AK15" s="10" t="n">
        <f aca="false">IF(AK8=Time!$F$11+1,1,0)</f>
        <v>0</v>
      </c>
      <c r="AL15" s="10" t="n">
        <f aca="false">IF(AL8=Time!$F$11+1,1,0)</f>
        <v>0</v>
      </c>
      <c r="AM15" s="10" t="n">
        <f aca="false">IF(AM8=Time!$F$11+1,1,0)</f>
        <v>0</v>
      </c>
      <c r="AN15" s="10" t="n">
        <f aca="false">IF(AN8=Time!$F$11+1,1,0)</f>
        <v>0</v>
      </c>
      <c r="AO15" s="10" t="n">
        <f aca="false">IF(AO8=Time!$F$11+1,1,0)</f>
        <v>0</v>
      </c>
      <c r="AP15" s="10" t="n">
        <f aca="false">IF(AP8=Time!$F$11+1,1,0)</f>
        <v>0</v>
      </c>
      <c r="AQ15" s="10" t="n">
        <f aca="false">IF(AQ8=Time!$F$11+1,1,0)</f>
        <v>1</v>
      </c>
      <c r="AR15" s="10" t="n">
        <f aca="false">IF(AR8=Time!$F$11+1,1,0)</f>
        <v>0</v>
      </c>
      <c r="AS15" s="10" t="n">
        <f aca="false">IF(AS8=Time!$F$11+1,1,0)</f>
        <v>0</v>
      </c>
      <c r="AT15" s="10" t="n">
        <f aca="false">IF(AT8=Time!$F$11+1,1,0)</f>
        <v>0</v>
      </c>
      <c r="AU15" s="10" t="n">
        <f aca="false">IF(AU8=Time!$F$11+1,1,0)</f>
        <v>0</v>
      </c>
      <c r="AV15" s="10" t="n">
        <f aca="false">IF(AV8=Time!$F$11+1,1,0)</f>
        <v>0</v>
      </c>
      <c r="AW15" s="10" t="n">
        <f aca="false">IF(AW8=Time!$F$11+1,1,0)</f>
        <v>0</v>
      </c>
      <c r="AX15" s="10" t="n">
        <f aca="false">IF(AX8=Time!$F$11+1,1,0)</f>
        <v>0</v>
      </c>
      <c r="AY15" s="10" t="n">
        <f aca="false">IF(AY8=Time!$F$11+1,1,0)</f>
        <v>0</v>
      </c>
      <c r="AZ15" s="10" t="n">
        <f aca="false">IF(AZ8=Time!$F$11+1,1,0)</f>
        <v>0</v>
      </c>
      <c r="BA15" s="10" t="n">
        <f aca="false">IF(BA8=Time!$F$11+1,1,0)</f>
        <v>0</v>
      </c>
      <c r="BB15" s="10" t="n">
        <f aca="false">IF(BB8=Time!$F$11+1,1,0)</f>
        <v>0</v>
      </c>
      <c r="BC15" s="10" t="n">
        <f aca="false">IF(BC8=Time!$F$11+1,1,0)</f>
        <v>0</v>
      </c>
      <c r="BD15" s="10" t="n">
        <f aca="false">IF(BD8=Time!$F$11+1,1,0)</f>
        <v>0</v>
      </c>
      <c r="BE15" s="10" t="n">
        <f aca="false">IF(BE8=Time!$F$11+1,1,0)</f>
        <v>0</v>
      </c>
      <c r="BF15" s="10" t="n">
        <f aca="false">IF(BF8=Time!$F$11+1,1,0)</f>
        <v>0</v>
      </c>
      <c r="BG15" s="10" t="n">
        <f aca="false">IF(BG8=Time!$F$11+1,1,0)</f>
        <v>0</v>
      </c>
      <c r="BH15" s="10" t="n">
        <f aca="false">IF(BH8=Time!$F$11+1,1,0)</f>
        <v>0</v>
      </c>
      <c r="BI15" s="10" t="n">
        <f aca="false">IF(BI8=Time!$F$11+1,1,0)</f>
        <v>0</v>
      </c>
      <c r="BJ15" s="10" t="n">
        <f aca="false">IF(BJ8=Time!$F$11+1,1,0)</f>
        <v>0</v>
      </c>
    </row>
    <row r="16" customFormat="false" ht="15" hidden="false" customHeight="false" outlineLevel="0" collapsed="false">
      <c r="D16" s="0" t="s">
        <v>541</v>
      </c>
      <c r="E16" s="0" t="s">
        <v>153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542</v>
      </c>
      <c r="E17" s="0" t="s">
        <v>103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543</v>
      </c>
      <c r="E18" s="0" t="s">
        <v>103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544</v>
      </c>
    </row>
    <row r="20" customFormat="false" ht="15" hidden="false" customHeight="false" outlineLevel="0" collapsed="false">
      <c r="D20" s="0" t="s">
        <v>545</v>
      </c>
      <c r="E20" s="0" t="s">
        <v>103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546</v>
      </c>
      <c r="E21" s="0" t="s">
        <v>103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547</v>
      </c>
      <c r="E22" s="0" t="s">
        <v>149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548</v>
      </c>
      <c r="E25" s="0" t="s">
        <v>149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549</v>
      </c>
      <c r="E27" s="0" t="s">
        <v>149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550</v>
      </c>
      <c r="E28" s="0" t="s">
        <v>149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551</v>
      </c>
      <c r="E29" s="0" t="s">
        <v>149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552</v>
      </c>
      <c r="E30" s="0" t="s">
        <v>153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553</v>
      </c>
      <c r="E31" s="0" t="s">
        <v>149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554</v>
      </c>
      <c r="E32" s="0" t="s">
        <v>149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555</v>
      </c>
    </row>
    <row r="34" customFormat="false" ht="15" hidden="false" customHeight="false" outlineLevel="0" collapsed="false">
      <c r="D34" s="0" t="s">
        <v>556</v>
      </c>
      <c r="E34" s="0" t="s">
        <v>166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557</v>
      </c>
      <c r="E35" s="0" t="s">
        <v>166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558</v>
      </c>
      <c r="E36" s="0" t="s">
        <v>166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559</v>
      </c>
      <c r="E37" s="0" t="s">
        <v>166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560</v>
      </c>
      <c r="E38" s="0" t="s">
        <v>149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562</v>
      </c>
    </row>
    <row r="8" customFormat="false" ht="15" hidden="false" customHeight="false" outlineLevel="0" collapsed="false">
      <c r="D8" s="0" t="s">
        <v>563</v>
      </c>
      <c r="E8" s="0" t="s">
        <v>103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564</v>
      </c>
      <c r="E9" s="0" t="s">
        <v>103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565</v>
      </c>
      <c r="E10" s="0" t="s">
        <v>153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566</v>
      </c>
      <c r="E11" s="0" t="s">
        <v>153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567</v>
      </c>
      <c r="E12" s="0" t="s">
        <v>103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568</v>
      </c>
      <c r="E13" s="0" t="s">
        <v>103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569</v>
      </c>
      <c r="E14" s="0" t="s">
        <v>103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570</v>
      </c>
      <c r="E15" s="0" t="s">
        <v>103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571</v>
      </c>
      <c r="E16" s="0" t="s">
        <v>91</v>
      </c>
      <c r="F16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572</v>
      </c>
      <c r="E17" s="0" t="s">
        <v>91</v>
      </c>
      <c r="F17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573</v>
      </c>
      <c r="E18" s="0" t="s">
        <v>91</v>
      </c>
      <c r="F18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574</v>
      </c>
      <c r="E19" s="0" t="s">
        <v>91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575</v>
      </c>
      <c r="E20" s="0" t="s">
        <v>91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576</v>
      </c>
      <c r="E21" s="0" t="s">
        <v>99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577</v>
      </c>
      <c r="E22" s="0" t="s">
        <v>91</v>
      </c>
      <c r="F22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578</v>
      </c>
      <c r="E23" s="0" t="s">
        <v>91</v>
      </c>
      <c r="F23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579</v>
      </c>
      <c r="E24" s="0" t="s">
        <v>91</v>
      </c>
      <c r="F24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580</v>
      </c>
      <c r="E25" s="0" t="s">
        <v>91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581</v>
      </c>
      <c r="E26" s="0" t="s">
        <v>91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582</v>
      </c>
      <c r="E27" s="0" t="s">
        <v>99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583</v>
      </c>
    </row>
    <row r="29" customFormat="false" ht="15" hidden="false" customHeight="false" outlineLevel="0" collapsed="false">
      <c r="D29" s="0" t="s">
        <v>584</v>
      </c>
      <c r="E29" s="0" t="s">
        <v>336</v>
      </c>
      <c r="J29" s="10" t="n">
        <f aca="false">INT(Time!J32/12)+1</f>
        <v>1</v>
      </c>
      <c r="K29" s="10" t="n">
        <f aca="false">INT(Time!K32/12)+1</f>
        <v>1</v>
      </c>
      <c r="L29" s="10" t="n">
        <f aca="false">INT(Time!L32/12)+1</f>
        <v>1</v>
      </c>
      <c r="M29" s="10" t="n">
        <f aca="false">INT(Time!M32/12)+1</f>
        <v>1</v>
      </c>
      <c r="N29" s="10" t="n">
        <f aca="false">INT(Time!N32/12)+1</f>
        <v>1</v>
      </c>
      <c r="O29" s="10" t="n">
        <f aca="false">INT(Time!O32/12)+1</f>
        <v>1</v>
      </c>
      <c r="P29" s="10" t="n">
        <f aca="false">INT(Time!P32/12)+1</f>
        <v>1</v>
      </c>
      <c r="Q29" s="10" t="n">
        <f aca="false">INT(Time!Q32/12)+1</f>
        <v>1</v>
      </c>
      <c r="R29" s="10" t="n">
        <f aca="false">INT(Time!R32/12)+1</f>
        <v>2</v>
      </c>
      <c r="S29" s="10" t="n">
        <f aca="false">INT(Time!S32/12)+1</f>
        <v>2</v>
      </c>
      <c r="T29" s="10" t="n">
        <f aca="false">INT(Time!T32/12)+1</f>
        <v>3</v>
      </c>
      <c r="U29" s="10" t="n">
        <f aca="false">INT(Time!U32/12)+1</f>
        <v>3</v>
      </c>
      <c r="V29" s="10" t="n">
        <f aca="false">INT(Time!V32/12)+1</f>
        <v>4</v>
      </c>
      <c r="W29" s="10" t="n">
        <f aca="false">INT(Time!W32/12)+1</f>
        <v>4</v>
      </c>
      <c r="X29" s="10" t="n">
        <f aca="false">INT(Time!X32/12)+1</f>
        <v>5</v>
      </c>
      <c r="Y29" s="10" t="n">
        <f aca="false">INT(Time!Y32/12)+1</f>
        <v>5</v>
      </c>
      <c r="Z29" s="10" t="n">
        <f aca="false">INT(Time!Z32/12)+1</f>
        <v>6</v>
      </c>
      <c r="AA29" s="10" t="n">
        <f aca="false">INT(Time!AA32/12)+1</f>
        <v>6</v>
      </c>
      <c r="AB29" s="10" t="n">
        <f aca="false">INT(Time!AB32/12)+1</f>
        <v>7</v>
      </c>
      <c r="AC29" s="10" t="n">
        <f aca="false">INT(Time!AC32/12)+1</f>
        <v>7</v>
      </c>
      <c r="AD29" s="10" t="n">
        <f aca="false">INT(Time!AD32/12)+1</f>
        <v>8</v>
      </c>
      <c r="AE29" s="10" t="n">
        <f aca="false">INT(Time!AE32/12)+1</f>
        <v>8</v>
      </c>
      <c r="AF29" s="10" t="n">
        <f aca="false">INT(Time!AF32/12)+1</f>
        <v>9</v>
      </c>
      <c r="AG29" s="10" t="n">
        <f aca="false">INT(Time!AG32/12)+1</f>
        <v>9</v>
      </c>
      <c r="AH29" s="10" t="n">
        <f aca="false">INT(Time!AH32/12)+1</f>
        <v>10</v>
      </c>
      <c r="AI29" s="10" t="n">
        <f aca="false">INT(Time!AI32/12)+1</f>
        <v>10</v>
      </c>
      <c r="AJ29" s="10" t="n">
        <f aca="false">INT(Time!AJ32/12)+1</f>
        <v>11</v>
      </c>
      <c r="AK29" s="10" t="n">
        <f aca="false">INT(Time!AK32/12)+1</f>
        <v>11</v>
      </c>
      <c r="AL29" s="10" t="n">
        <f aca="false">INT(Time!AL32/12)+1</f>
        <v>12</v>
      </c>
      <c r="AM29" s="10" t="n">
        <f aca="false">INT(Time!AM32/12)+1</f>
        <v>12</v>
      </c>
      <c r="AN29" s="10" t="n">
        <f aca="false">INT(Time!AN32/12)+1</f>
        <v>13</v>
      </c>
      <c r="AO29" s="10" t="n">
        <f aca="false">INT(Time!AO32/12)+1</f>
        <v>13</v>
      </c>
      <c r="AP29" s="10" t="n">
        <f aca="false">INT(Time!AP32/12)+1</f>
        <v>14</v>
      </c>
      <c r="AQ29" s="10" t="n">
        <f aca="false">INT(Time!AQ32/12)+1</f>
        <v>14</v>
      </c>
      <c r="AR29" s="10" t="n">
        <f aca="false">INT(Time!AR32/12)+1</f>
        <v>15</v>
      </c>
      <c r="AS29" s="10" t="n">
        <f aca="false">INT(Time!AS32/12)+1</f>
        <v>15</v>
      </c>
      <c r="AT29" s="10" t="n">
        <f aca="false">INT(Time!AT32/12)+1</f>
        <v>16</v>
      </c>
      <c r="AU29" s="10" t="n">
        <f aca="false">INT(Time!AU32/12)+1</f>
        <v>16</v>
      </c>
      <c r="AV29" s="10" t="n">
        <f aca="false">INT(Time!AV32/12)+1</f>
        <v>17</v>
      </c>
      <c r="AW29" s="10" t="n">
        <f aca="false">INT(Time!AW32/12)+1</f>
        <v>17</v>
      </c>
      <c r="AX29" s="10" t="n">
        <f aca="false">INT(Time!AX32/12)+1</f>
        <v>18</v>
      </c>
      <c r="AY29" s="10" t="n">
        <f aca="false">INT(Time!AY32/12)+1</f>
        <v>18</v>
      </c>
      <c r="AZ29" s="10" t="n">
        <f aca="false">INT(Time!AZ32/12)+1</f>
        <v>19</v>
      </c>
      <c r="BA29" s="10" t="n">
        <f aca="false">INT(Time!BA32/12)+1</f>
        <v>19</v>
      </c>
      <c r="BB29" s="10" t="n">
        <f aca="false">INT(Time!BB32/12)+1</f>
        <v>20</v>
      </c>
      <c r="BC29" s="10" t="n">
        <f aca="false">INT(Time!BC32/12)+1</f>
        <v>20</v>
      </c>
      <c r="BD29" s="10" t="n">
        <f aca="false">INT(Time!BD32/12)+1</f>
        <v>21</v>
      </c>
      <c r="BE29" s="10" t="n">
        <f aca="false">INT(Time!BE32/12)+1</f>
        <v>21</v>
      </c>
      <c r="BF29" s="10" t="n">
        <f aca="false">INT(Time!BF32/12)+1</f>
        <v>22</v>
      </c>
      <c r="BG29" s="10" t="n">
        <f aca="false">INT(Time!BG32/12)+1</f>
        <v>22</v>
      </c>
      <c r="BH29" s="10" t="n">
        <f aca="false">INT(Time!BH32/12)+1</f>
        <v>23</v>
      </c>
      <c r="BI29" s="10" t="n">
        <f aca="false">INT(Time!BI32/12)+1</f>
        <v>23</v>
      </c>
      <c r="BJ29" s="10" t="n">
        <f aca="false">INT(Time!BJ32/12)+1</f>
        <v>24</v>
      </c>
      <c r="BK29" s="10" t="n">
        <f aca="false">INT(Time!BK32/12)+1</f>
        <v>24</v>
      </c>
      <c r="BL29" s="10" t="n">
        <f aca="false">INT(Time!BL32/12)+1</f>
        <v>25</v>
      </c>
      <c r="BM29" s="10" t="n">
        <f aca="false">INT(Time!BM32/12)+1</f>
        <v>25</v>
      </c>
      <c r="BN29" s="10" t="n">
        <f aca="false">INT(Time!BN32/12)+1</f>
        <v>26</v>
      </c>
    </row>
    <row r="30" customFormat="false" ht="15" hidden="false" customHeight="false" outlineLevel="0" collapsed="false">
      <c r="D30" s="0" t="s">
        <v>585</v>
      </c>
      <c r="E30" s="0" t="s">
        <v>97</v>
      </c>
      <c r="J30" s="10" t="n">
        <f aca="false">MIN(Time!J33,J29*12)-Time!J32</f>
        <v>0</v>
      </c>
      <c r="K30" s="10" t="n">
        <f aca="false">MIN(Time!K33,K29*12)-Time!K32</f>
        <v>0</v>
      </c>
      <c r="L30" s="10" t="n">
        <f aca="false">MIN(Time!L33,L29*12)-Time!L32</f>
        <v>0</v>
      </c>
      <c r="M30" s="10" t="n">
        <f aca="false">MIN(Time!M33,M29*12)-Time!M32</f>
        <v>0</v>
      </c>
      <c r="N30" s="10" t="n">
        <f aca="false">MIN(Time!N33,N29*12)-Time!N32</f>
        <v>0</v>
      </c>
      <c r="O30" s="10" t="n">
        <f aca="false">MIN(Time!O33,O29*12)-Time!O32</f>
        <v>2</v>
      </c>
      <c r="P30" s="10" t="n">
        <f aca="false">MIN(Time!P33,P29*12)-Time!P32</f>
        <v>6</v>
      </c>
      <c r="Q30" s="10" t="n">
        <f aca="false">MIN(Time!Q33,Q29*12)-Time!Q32</f>
        <v>4</v>
      </c>
      <c r="R30" s="10" t="n">
        <f aca="false">MIN(Time!R33,R29*12)-Time!R32</f>
        <v>6</v>
      </c>
      <c r="S30" s="10" t="n">
        <f aca="false">MIN(Time!S33,S29*12)-Time!S32</f>
        <v>4</v>
      </c>
      <c r="T30" s="10" t="n">
        <f aca="false">MIN(Time!T33,T29*12)-Time!T32</f>
        <v>6</v>
      </c>
      <c r="U30" s="10" t="n">
        <f aca="false">MIN(Time!U33,U29*12)-Time!U32</f>
        <v>4</v>
      </c>
      <c r="V30" s="10" t="n">
        <f aca="false">MIN(Time!V33,V29*12)-Time!V32</f>
        <v>6</v>
      </c>
      <c r="W30" s="10" t="n">
        <f aca="false">MIN(Time!W33,W29*12)-Time!W32</f>
        <v>4</v>
      </c>
      <c r="X30" s="10" t="n">
        <f aca="false">MIN(Time!X33,X29*12)-Time!X32</f>
        <v>6</v>
      </c>
      <c r="Y30" s="10" t="n">
        <f aca="false">MIN(Time!Y33,Y29*12)-Time!Y32</f>
        <v>4</v>
      </c>
      <c r="Z30" s="10" t="n">
        <f aca="false">MIN(Time!Z33,Z29*12)-Time!Z32</f>
        <v>6</v>
      </c>
      <c r="AA30" s="10" t="n">
        <f aca="false">MIN(Time!AA33,AA29*12)-Time!AA32</f>
        <v>4</v>
      </c>
      <c r="AB30" s="10" t="n">
        <f aca="false">MIN(Time!AB33,AB29*12)-Time!AB32</f>
        <v>6</v>
      </c>
      <c r="AC30" s="10" t="n">
        <f aca="false">MIN(Time!AC33,AC29*12)-Time!AC32</f>
        <v>4</v>
      </c>
      <c r="AD30" s="10" t="n">
        <f aca="false">MIN(Time!AD33,AD29*12)-Time!AD32</f>
        <v>6</v>
      </c>
      <c r="AE30" s="10" t="n">
        <f aca="false">MIN(Time!AE33,AE29*12)-Time!AE32</f>
        <v>4</v>
      </c>
      <c r="AF30" s="10" t="n">
        <f aca="false">MIN(Time!AF33,AF29*12)-Time!AF32</f>
        <v>6</v>
      </c>
      <c r="AG30" s="10" t="n">
        <f aca="false">MIN(Time!AG33,AG29*12)-Time!AG32</f>
        <v>4</v>
      </c>
      <c r="AH30" s="10" t="n">
        <f aca="false">MIN(Time!AH33,AH29*12)-Time!AH32</f>
        <v>6</v>
      </c>
      <c r="AI30" s="10" t="n">
        <f aca="false">MIN(Time!AI33,AI29*12)-Time!AI32</f>
        <v>4</v>
      </c>
      <c r="AJ30" s="10" t="n">
        <f aca="false">MIN(Time!AJ33,AJ29*12)-Time!AJ32</f>
        <v>6</v>
      </c>
      <c r="AK30" s="10" t="n">
        <f aca="false">MIN(Time!AK33,AK29*12)-Time!AK32</f>
        <v>4</v>
      </c>
      <c r="AL30" s="10" t="n">
        <f aca="false">MIN(Time!AL33,AL29*12)-Time!AL32</f>
        <v>6</v>
      </c>
      <c r="AM30" s="10" t="n">
        <f aca="false">MIN(Time!AM33,AM29*12)-Time!AM32</f>
        <v>4</v>
      </c>
      <c r="AN30" s="10" t="n">
        <f aca="false">MIN(Time!AN33,AN29*12)-Time!AN32</f>
        <v>6</v>
      </c>
      <c r="AO30" s="10" t="n">
        <f aca="false">MIN(Time!AO33,AO29*12)-Time!AO32</f>
        <v>4</v>
      </c>
      <c r="AP30" s="10" t="n">
        <f aca="false">MIN(Time!AP33,AP29*12)-Time!AP32</f>
        <v>6</v>
      </c>
      <c r="AQ30" s="10" t="n">
        <f aca="false">MIN(Time!AQ33,AQ29*12)-Time!AQ32</f>
        <v>4</v>
      </c>
      <c r="AR30" s="10" t="n">
        <f aca="false">MIN(Time!AR33,AR29*12)-Time!AR32</f>
        <v>6</v>
      </c>
      <c r="AS30" s="10" t="n">
        <f aca="false">MIN(Time!AS33,AS29*12)-Time!AS32</f>
        <v>4</v>
      </c>
      <c r="AT30" s="10" t="n">
        <f aca="false">MIN(Time!AT33,AT29*12)-Time!AT32</f>
        <v>6</v>
      </c>
      <c r="AU30" s="10" t="n">
        <f aca="false">MIN(Time!AU33,AU29*12)-Time!AU32</f>
        <v>4</v>
      </c>
      <c r="AV30" s="10" t="n">
        <f aca="false">MIN(Time!AV33,AV29*12)-Time!AV32</f>
        <v>6</v>
      </c>
      <c r="AW30" s="10" t="n">
        <f aca="false">MIN(Time!AW33,AW29*12)-Time!AW32</f>
        <v>4</v>
      </c>
      <c r="AX30" s="10" t="n">
        <f aca="false">MIN(Time!AX33,AX29*12)-Time!AX32</f>
        <v>6</v>
      </c>
      <c r="AY30" s="10" t="n">
        <f aca="false">MIN(Time!AY33,AY29*12)-Time!AY32</f>
        <v>4</v>
      </c>
      <c r="AZ30" s="10" t="n">
        <f aca="false">MIN(Time!AZ33,AZ29*12)-Time!AZ32</f>
        <v>6</v>
      </c>
      <c r="BA30" s="10" t="n">
        <f aca="false">MIN(Time!BA33,BA29*12)-Time!BA32</f>
        <v>4</v>
      </c>
      <c r="BB30" s="10" t="n">
        <f aca="false">MIN(Time!BB33,BB29*12)-Time!BB32</f>
        <v>6</v>
      </c>
      <c r="BC30" s="10" t="n">
        <f aca="false">MIN(Time!BC33,BC29*12)-Time!BC32</f>
        <v>4</v>
      </c>
      <c r="BD30" s="10" t="n">
        <f aca="false">MIN(Time!BD33,BD29*12)-Time!BD32</f>
        <v>6</v>
      </c>
      <c r="BE30" s="10" t="n">
        <f aca="false">MIN(Time!BE33,BE29*12)-Time!BE32</f>
        <v>4</v>
      </c>
      <c r="BF30" s="10" t="n">
        <f aca="false">MIN(Time!BF33,BF29*12)-Time!BF32</f>
        <v>6</v>
      </c>
      <c r="BG30" s="10" t="n">
        <f aca="false">MIN(Time!BG33,BG29*12)-Time!BG32</f>
        <v>4</v>
      </c>
      <c r="BH30" s="10" t="n">
        <f aca="false">MIN(Time!BH33,BH29*12)-Time!BH32</f>
        <v>6</v>
      </c>
      <c r="BI30" s="10" t="n">
        <f aca="false">MIN(Time!BI33,BI29*12)-Time!BI32</f>
        <v>4</v>
      </c>
      <c r="BJ30" s="10" t="n">
        <f aca="false">MIN(Time!BJ33,BJ29*12)-Time!BJ32</f>
        <v>6</v>
      </c>
      <c r="BK30" s="10" t="n">
        <f aca="false">MIN(Time!BK33,BK29*12)-Time!BK32</f>
        <v>4</v>
      </c>
      <c r="BL30" s="10" t="n">
        <f aca="false">MIN(Time!BL33,BL29*12)-Time!BL32</f>
        <v>6</v>
      </c>
      <c r="BM30" s="10" t="n">
        <f aca="false">MIN(Time!BM33,BM29*12)-Time!BM32</f>
        <v>4</v>
      </c>
      <c r="BN30" s="10" t="n">
        <f aca="false">MIN(Time!BN33,BN29*12)-Time!BN32</f>
        <v>0</v>
      </c>
    </row>
    <row r="31" customFormat="false" ht="15" hidden="false" customHeight="false" outlineLevel="0" collapsed="false">
      <c r="D31" s="0" t="s">
        <v>586</v>
      </c>
      <c r="E31" s="0" t="s">
        <v>103</v>
      </c>
      <c r="J31" s="13" t="n">
        <f aca="false">IF(Time!J30&gt;0,(J30*INDEX(Inputs!$J$302:$Q$302,1,MOD(J29-1,Inputs!$F$220)+1)+(Time!J30-J30)*INDEX(Inputs!$J$302:$Q$302,1,MOD(J29,Inputs!$F$220)+1))/Time!J30,0)</f>
        <v>0</v>
      </c>
      <c r="K31" s="13" t="n">
        <f aca="false">IF(Time!K30&gt;0,(K30*INDEX(Inputs!$J$302:$Q$302,1,MOD(K29-1,Inputs!$F$220)+1)+(Time!K30-K30)*INDEX(Inputs!$J$302:$Q$302,1,MOD(K29,Inputs!$F$220)+1))/Time!K30,0)</f>
        <v>0</v>
      </c>
      <c r="L31" s="13" t="n">
        <f aca="false">IF(Time!L30&gt;0,(L30*INDEX(Inputs!$J$302:$Q$302,1,MOD(L29-1,Inputs!$F$220)+1)+(Time!L30-L30)*INDEX(Inputs!$J$302:$Q$302,1,MOD(L29,Inputs!$F$220)+1))/Time!L30,0)</f>
        <v>0</v>
      </c>
      <c r="M31" s="13" t="n">
        <f aca="false">IF(Time!M30&gt;0,(M30*INDEX(Inputs!$J$302:$Q$302,1,MOD(M29-1,Inputs!$F$220)+1)+(Time!M30-M30)*INDEX(Inputs!$J$302:$Q$302,1,MOD(M29,Inputs!$F$220)+1))/Time!M30,0)</f>
        <v>0</v>
      </c>
      <c r="N31" s="13" t="n">
        <f aca="false">IF(Time!N30&gt;0,(N30*INDEX(Inputs!$J$302:$Q$302,1,MOD(N29-1,Inputs!$F$220)+1)+(Time!N30-N30)*INDEX(Inputs!$J$302:$Q$302,1,MOD(N29,Inputs!$F$220)+1))/Time!N30,0)</f>
        <v>0</v>
      </c>
      <c r="O31" s="13" t="n">
        <f aca="false">IF(Time!O30&gt;0,(O30*INDEX(Inputs!$J$302:$Q$302,1,MOD(O29-1,Inputs!$F$220)+1)+(Time!O30-O30)*INDEX(Inputs!$J$302:$Q$302,1,MOD(O29,Inputs!$F$220)+1))/Time!O30,0)</f>
        <v>93.8</v>
      </c>
      <c r="P31" s="13" t="n">
        <f aca="false">IF(Time!P30&gt;0,(P30*INDEX(Inputs!$J$302:$Q$302,1,MOD(P29-1,Inputs!$F$220)+1)+(Time!P30-P30)*INDEX(Inputs!$J$302:$Q$302,1,MOD(P29,Inputs!$F$220)+1))/Time!P30,0)</f>
        <v>93.8</v>
      </c>
      <c r="Q31" s="13" t="n">
        <f aca="false">IF(Time!Q30&gt;0,(Q30*INDEX(Inputs!$J$302:$Q$302,1,MOD(Q29-1,Inputs!$F$220)+1)+(Time!Q30-Q30)*INDEX(Inputs!$J$302:$Q$302,1,MOD(Q29,Inputs!$F$220)+1))/Time!Q30,0)</f>
        <v>93.5</v>
      </c>
      <c r="R31" s="13" t="n">
        <f aca="false">IF(Time!R30&gt;0,(R30*INDEX(Inputs!$J$302:$Q$302,1,MOD(R29-1,Inputs!$F$220)+1)+(Time!R30-R30)*INDEX(Inputs!$J$302:$Q$302,1,MOD(R29,Inputs!$F$220)+1))/Time!R30,0)</f>
        <v>92.9</v>
      </c>
      <c r="S31" s="13" t="n">
        <f aca="false">IF(Time!S30&gt;0,(S30*INDEX(Inputs!$J$302:$Q$302,1,MOD(S29-1,Inputs!$F$220)+1)+(Time!S30-S30)*INDEX(Inputs!$J$302:$Q$302,1,MOD(S29,Inputs!$F$220)+1))/Time!S30,0)</f>
        <v>93.2</v>
      </c>
      <c r="T31" s="13" t="n">
        <f aca="false">IF(Time!T30&gt;0,(T30*INDEX(Inputs!$J$302:$Q$302,1,MOD(T29-1,Inputs!$F$220)+1)+(Time!T30-T30)*INDEX(Inputs!$J$302:$Q$302,1,MOD(T29,Inputs!$F$220)+1))/Time!T30,0)</f>
        <v>93.8</v>
      </c>
      <c r="U31" s="13" t="n">
        <f aca="false">IF(Time!U30&gt;0,(U30*INDEX(Inputs!$J$302:$Q$302,1,MOD(U29-1,Inputs!$F$220)+1)+(Time!U30-U30)*INDEX(Inputs!$J$302:$Q$302,1,MOD(U29,Inputs!$F$220)+1))/Time!U30,0)</f>
        <v>92.7333333333333</v>
      </c>
      <c r="V31" s="13" t="n">
        <f aca="false">IF(Time!V30&gt;0,(V30*INDEX(Inputs!$J$302:$Q$302,1,MOD(V29-1,Inputs!$F$220)+1)+(Time!V30-V30)*INDEX(Inputs!$J$302:$Q$302,1,MOD(V29,Inputs!$F$220)+1))/Time!V30,0)</f>
        <v>90.6</v>
      </c>
      <c r="W31" s="13" t="n">
        <f aca="false">IF(Time!W30&gt;0,(W30*INDEX(Inputs!$J$302:$Q$302,1,MOD(W29-1,Inputs!$F$220)+1)+(Time!W30-W30)*INDEX(Inputs!$J$302:$Q$302,1,MOD(W29,Inputs!$F$220)+1))/Time!W30,0)</f>
        <v>91.6666666666667</v>
      </c>
      <c r="X31" s="13" t="n">
        <f aca="false">IF(Time!X30&gt;0,(X30*INDEX(Inputs!$J$302:$Q$302,1,MOD(X29-1,Inputs!$F$220)+1)+(Time!X30-X30)*INDEX(Inputs!$J$302:$Q$302,1,MOD(X29,Inputs!$F$220)+1))/Time!X30,0)</f>
        <v>93.8</v>
      </c>
      <c r="Y31" s="13" t="n">
        <f aca="false">IF(Time!Y30&gt;0,(Y30*INDEX(Inputs!$J$302:$Q$302,1,MOD(Y29-1,Inputs!$F$220)+1)+(Time!Y30-Y30)*INDEX(Inputs!$J$302:$Q$302,1,MOD(Y29,Inputs!$F$220)+1))/Time!Y30,0)</f>
        <v>93.5</v>
      </c>
      <c r="Z31" s="13" t="n">
        <f aca="false">IF(Time!Z30&gt;0,(Z30*INDEX(Inputs!$J$302:$Q$302,1,MOD(Z29-1,Inputs!$F$220)+1)+(Time!Z30-Z30)*INDEX(Inputs!$J$302:$Q$302,1,MOD(Z29,Inputs!$F$220)+1))/Time!Z30,0)</f>
        <v>92.9</v>
      </c>
      <c r="AA31" s="13" t="n">
        <f aca="false">IF(Time!AA30&gt;0,(AA30*INDEX(Inputs!$J$302:$Q$302,1,MOD(AA29-1,Inputs!$F$220)+1)+(Time!AA30-AA30)*INDEX(Inputs!$J$302:$Q$302,1,MOD(AA29,Inputs!$F$220)+1))/Time!AA30,0)</f>
        <v>93.2</v>
      </c>
      <c r="AB31" s="13" t="n">
        <f aca="false">IF(Time!AB30&gt;0,(AB30*INDEX(Inputs!$J$302:$Q$302,1,MOD(AB29-1,Inputs!$F$220)+1)+(Time!AB30-AB30)*INDEX(Inputs!$J$302:$Q$302,1,MOD(AB29,Inputs!$F$220)+1))/Time!AB30,0)</f>
        <v>93.8</v>
      </c>
      <c r="AC31" s="13" t="n">
        <f aca="false">IF(Time!AC30&gt;0,(AC30*INDEX(Inputs!$J$302:$Q$302,1,MOD(AC29-1,Inputs!$F$220)+1)+(Time!AC30-AC30)*INDEX(Inputs!$J$302:$Q$302,1,MOD(AC29,Inputs!$F$220)+1))/Time!AC30,0)</f>
        <v>92.1</v>
      </c>
      <c r="AD31" s="13" t="n">
        <f aca="false">IF(Time!AD30&gt;0,(AD30*INDEX(Inputs!$J$302:$Q$302,1,MOD(AD29-1,Inputs!$F$220)+1)+(Time!AD30-AD30)*INDEX(Inputs!$J$302:$Q$302,1,MOD(AD29,Inputs!$F$220)+1))/Time!AD30,0)</f>
        <v>88.7</v>
      </c>
      <c r="AE31" s="13" t="n">
        <f aca="false">IF(Time!AE30&gt;0,(AE30*INDEX(Inputs!$J$302:$Q$302,1,MOD(AE29-1,Inputs!$F$220)+1)+(Time!AE30-AE30)*INDEX(Inputs!$J$302:$Q$302,1,MOD(AE29,Inputs!$F$220)+1))/Time!AE30,0)</f>
        <v>90.4</v>
      </c>
      <c r="AF31" s="13" t="n">
        <f aca="false">IF(Time!AF30&gt;0,(AF30*INDEX(Inputs!$J$302:$Q$302,1,MOD(AF29-1,Inputs!$F$220)+1)+(Time!AF30-AF30)*INDEX(Inputs!$J$302:$Q$302,1,MOD(AF29,Inputs!$F$220)+1))/Time!AF30,0)</f>
        <v>93.8</v>
      </c>
      <c r="AG31" s="13" t="n">
        <f aca="false">IF(Time!AG30&gt;0,(AG30*INDEX(Inputs!$J$302:$Q$302,1,MOD(AG29-1,Inputs!$F$220)+1)+(Time!AG30-AG30)*INDEX(Inputs!$J$302:$Q$302,1,MOD(AG29,Inputs!$F$220)+1))/Time!AG30,0)</f>
        <v>93.5</v>
      </c>
      <c r="AH31" s="13" t="n">
        <f aca="false">IF(Time!AH30&gt;0,(AH30*INDEX(Inputs!$J$302:$Q$302,1,MOD(AH29-1,Inputs!$F$220)+1)+(Time!AH30-AH30)*INDEX(Inputs!$J$302:$Q$302,1,MOD(AH29,Inputs!$F$220)+1))/Time!AH30,0)</f>
        <v>92.9</v>
      </c>
      <c r="AI31" s="13" t="n">
        <f aca="false">IF(Time!AI30&gt;0,(AI30*INDEX(Inputs!$J$302:$Q$302,1,MOD(AI29-1,Inputs!$F$220)+1)+(Time!AI30-AI30)*INDEX(Inputs!$J$302:$Q$302,1,MOD(AI29,Inputs!$F$220)+1))/Time!AI30,0)</f>
        <v>93.2</v>
      </c>
      <c r="AJ31" s="13" t="n">
        <f aca="false">IF(Time!AJ30&gt;0,(AJ30*INDEX(Inputs!$J$302:$Q$302,1,MOD(AJ29-1,Inputs!$F$220)+1)+(Time!AJ30-AJ30)*INDEX(Inputs!$J$302:$Q$302,1,MOD(AJ29,Inputs!$F$220)+1))/Time!AJ30,0)</f>
        <v>93.8</v>
      </c>
      <c r="AK31" s="13" t="n">
        <f aca="false">IF(Time!AK30&gt;0,(AK30*INDEX(Inputs!$J$302:$Q$302,1,MOD(AK29-1,Inputs!$F$220)+1)+(Time!AK30-AK30)*INDEX(Inputs!$J$302:$Q$302,1,MOD(AK29,Inputs!$F$220)+1))/Time!AK30,0)</f>
        <v>92.7333333333333</v>
      </c>
      <c r="AL31" s="13" t="n">
        <f aca="false">IF(Time!AL30&gt;0,(AL30*INDEX(Inputs!$J$302:$Q$302,1,MOD(AL29-1,Inputs!$F$220)+1)+(Time!AL30-AL30)*INDEX(Inputs!$J$302:$Q$302,1,MOD(AL29,Inputs!$F$220)+1))/Time!AL30,0)</f>
        <v>90.6</v>
      </c>
      <c r="AM31" s="13" t="n">
        <f aca="false">IF(Time!AM30&gt;0,(AM30*INDEX(Inputs!$J$302:$Q$302,1,MOD(AM29-1,Inputs!$F$220)+1)+(Time!AM30-AM30)*INDEX(Inputs!$J$302:$Q$302,1,MOD(AM29,Inputs!$F$220)+1))/Time!AM30,0)</f>
        <v>91.6666666666667</v>
      </c>
      <c r="AN31" s="13" t="n">
        <f aca="false">IF(Time!AN30&gt;0,(AN30*INDEX(Inputs!$J$302:$Q$302,1,MOD(AN29-1,Inputs!$F$220)+1)+(Time!AN30-AN30)*INDEX(Inputs!$J$302:$Q$302,1,MOD(AN29,Inputs!$F$220)+1))/Time!AN30,0)</f>
        <v>93.8</v>
      </c>
      <c r="AO31" s="13" t="n">
        <f aca="false">IF(Time!AO30&gt;0,(AO30*INDEX(Inputs!$J$302:$Q$302,1,MOD(AO29-1,Inputs!$F$220)+1)+(Time!AO30-AO30)*INDEX(Inputs!$J$302:$Q$302,1,MOD(AO29,Inputs!$F$220)+1))/Time!AO30,0)</f>
        <v>93.5</v>
      </c>
      <c r="AP31" s="13" t="n">
        <f aca="false">IF(Time!AP30&gt;0,(AP30*INDEX(Inputs!$J$302:$Q$302,1,MOD(AP29-1,Inputs!$F$220)+1)+(Time!AP30-AP30)*INDEX(Inputs!$J$302:$Q$302,1,MOD(AP29,Inputs!$F$220)+1))/Time!AP30,0)</f>
        <v>92.9</v>
      </c>
      <c r="AQ31" s="13" t="n">
        <f aca="false">IF(Time!AQ30&gt;0,(AQ30*INDEX(Inputs!$J$302:$Q$302,1,MOD(AQ29-1,Inputs!$F$220)+1)+(Time!AQ30-AQ30)*INDEX(Inputs!$J$302:$Q$302,1,MOD(AQ29,Inputs!$F$220)+1))/Time!AQ30,0)</f>
        <v>93.2</v>
      </c>
      <c r="AR31" s="13" t="n">
        <f aca="false">IF(Time!AR30&gt;0,(AR30*INDEX(Inputs!$J$302:$Q$302,1,MOD(AR29-1,Inputs!$F$220)+1)+(Time!AR30-AR30)*INDEX(Inputs!$J$302:$Q$302,1,MOD(AR29,Inputs!$F$220)+1))/Time!AR30,0)</f>
        <v>93.8</v>
      </c>
      <c r="AS31" s="13" t="n">
        <f aca="false">IF(Time!AS30&gt;0,(AS30*INDEX(Inputs!$J$302:$Q$302,1,MOD(AS29-1,Inputs!$F$220)+1)+(Time!AS30-AS30)*INDEX(Inputs!$J$302:$Q$302,1,MOD(AS29,Inputs!$F$220)+1))/Time!AS30,0)</f>
        <v>92.1</v>
      </c>
      <c r="AT31" s="13" t="n">
        <f aca="false">IF(Time!AT30&gt;0,(AT30*INDEX(Inputs!$J$302:$Q$302,1,MOD(AT29-1,Inputs!$F$220)+1)+(Time!AT30-AT30)*INDEX(Inputs!$J$302:$Q$302,1,MOD(AT29,Inputs!$F$220)+1))/Time!AT30,0)</f>
        <v>88.7</v>
      </c>
      <c r="AU31" s="13" t="n">
        <f aca="false">IF(Time!AU30&gt;0,(AU30*INDEX(Inputs!$J$302:$Q$302,1,MOD(AU29-1,Inputs!$F$220)+1)+(Time!AU30-AU30)*INDEX(Inputs!$J$302:$Q$302,1,MOD(AU29,Inputs!$F$220)+1))/Time!AU30,0)</f>
        <v>90.4</v>
      </c>
      <c r="AV31" s="13" t="n">
        <f aca="false">IF(Time!AV30&gt;0,(AV30*INDEX(Inputs!$J$302:$Q$302,1,MOD(AV29-1,Inputs!$F$220)+1)+(Time!AV30-AV30)*INDEX(Inputs!$J$302:$Q$302,1,MOD(AV29,Inputs!$F$220)+1))/Time!AV30,0)</f>
        <v>93.8</v>
      </c>
      <c r="AW31" s="13" t="n">
        <f aca="false">IF(Time!AW30&gt;0,(AW30*INDEX(Inputs!$J$302:$Q$302,1,MOD(AW29-1,Inputs!$F$220)+1)+(Time!AW30-AW30)*INDEX(Inputs!$J$302:$Q$302,1,MOD(AW29,Inputs!$F$220)+1))/Time!AW30,0)</f>
        <v>93.5</v>
      </c>
      <c r="AX31" s="13" t="n">
        <f aca="false">IF(Time!AX30&gt;0,(AX30*INDEX(Inputs!$J$302:$Q$302,1,MOD(AX29-1,Inputs!$F$220)+1)+(Time!AX30-AX30)*INDEX(Inputs!$J$302:$Q$302,1,MOD(AX29,Inputs!$F$220)+1))/Time!AX30,0)</f>
        <v>92.9</v>
      </c>
      <c r="AY31" s="13" t="n">
        <f aca="false">IF(Time!AY30&gt;0,(AY30*INDEX(Inputs!$J$302:$Q$302,1,MOD(AY29-1,Inputs!$F$220)+1)+(Time!AY30-AY30)*INDEX(Inputs!$J$302:$Q$302,1,MOD(AY29,Inputs!$F$220)+1))/Time!AY30,0)</f>
        <v>93.2</v>
      </c>
      <c r="AZ31" s="13" t="n">
        <f aca="false">IF(Time!AZ30&gt;0,(AZ30*INDEX(Inputs!$J$302:$Q$302,1,MOD(AZ29-1,Inputs!$F$220)+1)+(Time!AZ30-AZ30)*INDEX(Inputs!$J$302:$Q$302,1,MOD(AZ29,Inputs!$F$220)+1))/Time!AZ30,0)</f>
        <v>93.8</v>
      </c>
      <c r="BA31" s="13" t="n">
        <f aca="false">IF(Time!BA30&gt;0,(BA30*INDEX(Inputs!$J$302:$Q$302,1,MOD(BA29-1,Inputs!$F$220)+1)+(Time!BA30-BA30)*INDEX(Inputs!$J$302:$Q$302,1,MOD(BA29,Inputs!$F$220)+1))/Time!BA30,0)</f>
        <v>92.7333333333333</v>
      </c>
      <c r="BB31" s="13" t="n">
        <f aca="false">IF(Time!BB30&gt;0,(BB30*INDEX(Inputs!$J$302:$Q$302,1,MOD(BB29-1,Inputs!$F$220)+1)+(Time!BB30-BB30)*INDEX(Inputs!$J$302:$Q$302,1,MOD(BB29,Inputs!$F$220)+1))/Time!BB30,0)</f>
        <v>90.6</v>
      </c>
      <c r="BC31" s="13" t="n">
        <f aca="false">IF(Time!BC30&gt;0,(BC30*INDEX(Inputs!$J$302:$Q$302,1,MOD(BC29-1,Inputs!$F$220)+1)+(Time!BC30-BC30)*INDEX(Inputs!$J$302:$Q$302,1,MOD(BC29,Inputs!$F$220)+1))/Time!BC30,0)</f>
        <v>91.6666666666667</v>
      </c>
      <c r="BD31" s="13" t="n">
        <f aca="false">IF(Time!BD30&gt;0,(BD30*INDEX(Inputs!$J$302:$Q$302,1,MOD(BD29-1,Inputs!$F$220)+1)+(Time!BD30-BD30)*INDEX(Inputs!$J$302:$Q$302,1,MOD(BD29,Inputs!$F$220)+1))/Time!BD30,0)</f>
        <v>93.8</v>
      </c>
      <c r="BE31" s="13" t="n">
        <f aca="false">IF(Time!BE30&gt;0,(BE30*INDEX(Inputs!$J$302:$Q$302,1,MOD(BE29-1,Inputs!$F$220)+1)+(Time!BE30-BE30)*INDEX(Inputs!$J$302:$Q$302,1,MOD(BE29,Inputs!$F$220)+1))/Time!BE30,0)</f>
        <v>93.5</v>
      </c>
      <c r="BF31" s="13" t="n">
        <f aca="false">IF(Time!BF30&gt;0,(BF30*INDEX(Inputs!$J$302:$Q$302,1,MOD(BF29-1,Inputs!$F$220)+1)+(Time!BF30-BF30)*INDEX(Inputs!$J$302:$Q$302,1,MOD(BF29,Inputs!$F$220)+1))/Time!BF30,0)</f>
        <v>92.9</v>
      </c>
      <c r="BG31" s="13" t="n">
        <f aca="false">IF(Time!BG30&gt;0,(BG30*INDEX(Inputs!$J$302:$Q$302,1,MOD(BG29-1,Inputs!$F$220)+1)+(Time!BG30-BG30)*INDEX(Inputs!$J$302:$Q$302,1,MOD(BG29,Inputs!$F$220)+1))/Time!BG30,0)</f>
        <v>93.2</v>
      </c>
      <c r="BH31" s="13" t="n">
        <f aca="false">IF(Time!BH30&gt;0,(BH30*INDEX(Inputs!$J$302:$Q$302,1,MOD(BH29-1,Inputs!$F$220)+1)+(Time!BH30-BH30)*INDEX(Inputs!$J$302:$Q$302,1,MOD(BH29,Inputs!$F$220)+1))/Time!BH30,0)</f>
        <v>93.8</v>
      </c>
      <c r="BI31" s="13" t="n">
        <f aca="false">IF(Time!BI30&gt;0,(BI30*INDEX(Inputs!$J$302:$Q$302,1,MOD(BI29-1,Inputs!$F$220)+1)+(Time!BI30-BI30)*INDEX(Inputs!$J$302:$Q$302,1,MOD(BI29,Inputs!$F$220)+1))/Time!BI30,0)</f>
        <v>92.1</v>
      </c>
      <c r="BJ31" s="13" t="n">
        <f aca="false">IF(Time!BJ30&gt;0,(BJ30*INDEX(Inputs!$J$302:$Q$302,1,MOD(BJ29-1,Inputs!$F$220)+1)+(Time!BJ30-BJ30)*INDEX(Inputs!$J$302:$Q$302,1,MOD(BJ29,Inputs!$F$220)+1))/Time!BJ30,0)</f>
        <v>88.7</v>
      </c>
      <c r="BK31" s="13" t="n">
        <f aca="false">IF(Time!BK30&gt;0,(BK30*INDEX(Inputs!$J$302:$Q$302,1,MOD(BK29-1,Inputs!$F$220)+1)+(Time!BK30-BK30)*INDEX(Inputs!$J$302:$Q$302,1,MOD(BK29,Inputs!$F$220)+1))/Time!BK30,0)</f>
        <v>90.4</v>
      </c>
      <c r="BL31" s="13" t="n">
        <f aca="false">IF(Time!BL30&gt;0,(BL30*INDEX(Inputs!$J$302:$Q$302,1,MOD(BL29-1,Inputs!$F$220)+1)+(Time!BL30-BL30)*INDEX(Inputs!$J$302:$Q$302,1,MOD(BL29,Inputs!$F$220)+1))/Time!BL30,0)</f>
        <v>93.8</v>
      </c>
      <c r="BM31" s="13" t="n">
        <f aca="false">IF(Time!BM30&gt;0,(BM30*INDEX(Inputs!$J$302:$Q$302,1,MOD(BM29-1,Inputs!$F$220)+1)+(Time!BM30-BM30)*INDEX(Inputs!$J$302:$Q$302,1,MOD(BM29,Inputs!$F$220)+1))/Time!BM30,0)</f>
        <v>93.8</v>
      </c>
      <c r="BN31" s="13" t="n">
        <f aca="false">IF(Time!BN30&gt;0,(BN30*INDEX(Inputs!$J$302:$Q$302,1,MOD(BN29-1,Inputs!$F$220)+1)+(Time!BN30-BN30)*INDEX(Inputs!$J$302:$Q$302,1,MOD(BN29,Inputs!$F$220)+1))/Time!BN30,0)</f>
        <v>0</v>
      </c>
    </row>
    <row r="32" customFormat="false" ht="15" hidden="false" customHeight="false" outlineLevel="0" collapsed="false">
      <c r="D32" s="0" t="s">
        <v>587</v>
      </c>
      <c r="E32" s="0" t="s">
        <v>103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588</v>
      </c>
      <c r="E33" s="0" t="s">
        <v>321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589</v>
      </c>
      <c r="E34" s="0" t="s">
        <v>214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590</v>
      </c>
      <c r="E35" s="0" t="s">
        <v>217</v>
      </c>
      <c r="F35" s="10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591</v>
      </c>
      <c r="E36" s="0" t="s">
        <v>99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129</v>
      </c>
      <c r="E37" s="0" t="s">
        <v>103</v>
      </c>
      <c r="J37" s="13" t="n">
        <f aca="false">IF(AND(Inputs!$F$55=1,Inputs!J303&gt;0),Inputs!J303,Inputs!$F$38)</f>
        <v>76.5</v>
      </c>
      <c r="K37" s="13" t="n">
        <f aca="false">IF(AND(Inputs!$F$55=1,Inputs!K303&gt;0),Inputs!K303,Inputs!$F$38)</f>
        <v>76.5</v>
      </c>
      <c r="L37" s="13" t="n">
        <f aca="false">IF(AND(Inputs!$F$55=1,Inputs!L303&gt;0),Inputs!L303,Inputs!$F$38)</f>
        <v>76.5</v>
      </c>
      <c r="M37" s="13" t="n">
        <f aca="false">IF(AND(Inputs!$F$55=1,Inputs!M303&gt;0),Inputs!M303,Inputs!$F$38)</f>
        <v>76.5</v>
      </c>
      <c r="N37" s="13" t="n">
        <f aca="false">IF(AND(Inputs!$F$55=1,Inputs!N303&gt;0),Inputs!N303,Inputs!$F$38)</f>
        <v>76.5</v>
      </c>
      <c r="O37" s="13" t="n">
        <f aca="false">IF(AND(Inputs!$F$55=1,Inputs!O303&gt;0),Inputs!O303,Inputs!$F$38)</f>
        <v>76.5</v>
      </c>
      <c r="P37" s="13" t="n">
        <f aca="false">IF(AND(Inputs!$F$55=1,Inputs!P303&gt;0),Inputs!P303,Inputs!$F$38)</f>
        <v>76.5</v>
      </c>
      <c r="Q37" s="13" t="n">
        <f aca="false">IF(AND(Inputs!$F$55=1,Inputs!Q303&gt;0),Inputs!Q303,Inputs!$F$38)</f>
        <v>76.5</v>
      </c>
      <c r="R37" s="13" t="n">
        <f aca="false">IF(AND(Inputs!$F$55=1,Inputs!R303&gt;0),Inputs!R303,Inputs!$F$38)</f>
        <v>76.5</v>
      </c>
      <c r="S37" s="13" t="n">
        <f aca="false">IF(AND(Inputs!$F$55=1,Inputs!S303&gt;0),Inputs!S303,Inputs!$F$38)</f>
        <v>76.5</v>
      </c>
      <c r="T37" s="13" t="n">
        <f aca="false">IF(AND(Inputs!$F$55=1,Inputs!T303&gt;0),Inputs!T303,Inputs!$F$38)</f>
        <v>76.5</v>
      </c>
      <c r="U37" s="13" t="n">
        <f aca="false">IF(AND(Inputs!$F$55=1,Inputs!U303&gt;0),Inputs!U303,Inputs!$F$38)</f>
        <v>76.5</v>
      </c>
      <c r="V37" s="13" t="n">
        <f aca="false">IF(AND(Inputs!$F$55=1,Inputs!V303&gt;0),Inputs!V303,Inputs!$F$38)</f>
        <v>76.5</v>
      </c>
      <c r="W37" s="13" t="n">
        <f aca="false">IF(AND(Inputs!$F$55=1,Inputs!W303&gt;0),Inputs!W303,Inputs!$F$38)</f>
        <v>76.5</v>
      </c>
      <c r="X37" s="13" t="n">
        <f aca="false">IF(AND(Inputs!$F$55=1,Inputs!X303&gt;0),Inputs!X303,Inputs!$F$38)</f>
        <v>76.5</v>
      </c>
      <c r="Y37" s="13" t="n">
        <f aca="false">IF(AND(Inputs!$F$55=1,Inputs!Y303&gt;0),Inputs!Y303,Inputs!$F$38)</f>
        <v>76.5</v>
      </c>
      <c r="Z37" s="13" t="n">
        <f aca="false">IF(AND(Inputs!$F$55=1,Inputs!Z303&gt;0),Inputs!Z303,Inputs!$F$38)</f>
        <v>76.5</v>
      </c>
      <c r="AA37" s="13" t="n">
        <f aca="false">IF(AND(Inputs!$F$55=1,Inputs!AA303&gt;0),Inputs!AA303,Inputs!$F$38)</f>
        <v>76.5</v>
      </c>
      <c r="AB37" s="13" t="n">
        <f aca="false">IF(AND(Inputs!$F$55=1,Inputs!AB303&gt;0),Inputs!AB303,Inputs!$F$38)</f>
        <v>76.5</v>
      </c>
      <c r="AC37" s="13" t="n">
        <f aca="false">IF(AND(Inputs!$F$55=1,Inputs!AC303&gt;0),Inputs!AC303,Inputs!$F$38)</f>
        <v>76.5</v>
      </c>
      <c r="AD37" s="13" t="n">
        <f aca="false">IF(AND(Inputs!$F$55=1,Inputs!AD303&gt;0),Inputs!AD303,Inputs!$F$38)</f>
        <v>76.5</v>
      </c>
      <c r="AE37" s="13" t="n">
        <f aca="false">IF(AND(Inputs!$F$55=1,Inputs!AE303&gt;0),Inputs!AE303,Inputs!$F$38)</f>
        <v>76.5</v>
      </c>
      <c r="AF37" s="13" t="n">
        <f aca="false">IF(AND(Inputs!$F$55=1,Inputs!AF303&gt;0),Inputs!AF303,Inputs!$F$38)</f>
        <v>76.5</v>
      </c>
      <c r="AG37" s="13" t="n">
        <f aca="false">IF(AND(Inputs!$F$55=1,Inputs!AG303&gt;0),Inputs!AG303,Inputs!$F$38)</f>
        <v>76.5</v>
      </c>
      <c r="AH37" s="13" t="n">
        <f aca="false">IF(AND(Inputs!$F$55=1,Inputs!AH303&gt;0),Inputs!AH303,Inputs!$F$38)</f>
        <v>76.5</v>
      </c>
      <c r="AI37" s="13" t="n">
        <f aca="false">IF(AND(Inputs!$F$55=1,Inputs!AI303&gt;0),Inputs!AI303,Inputs!$F$38)</f>
        <v>76.5</v>
      </c>
      <c r="AJ37" s="13" t="n">
        <f aca="false">IF(AND(Inputs!$F$55=1,Inputs!AJ303&gt;0),Inputs!AJ303,Inputs!$F$38)</f>
        <v>76.5</v>
      </c>
      <c r="AK37" s="13" t="n">
        <f aca="false">IF(AND(Inputs!$F$55=1,Inputs!AK303&gt;0),Inputs!AK303,Inputs!$F$38)</f>
        <v>76.5</v>
      </c>
      <c r="AL37" s="13" t="n">
        <f aca="false">IF(AND(Inputs!$F$55=1,Inputs!AL303&gt;0),Inputs!AL303,Inputs!$F$38)</f>
        <v>76.5</v>
      </c>
      <c r="AM37" s="13" t="n">
        <f aca="false">IF(AND(Inputs!$F$55=1,Inputs!AM303&gt;0),Inputs!AM303,Inputs!$F$38)</f>
        <v>76.5</v>
      </c>
      <c r="AN37" s="13" t="n">
        <f aca="false">IF(AND(Inputs!$F$55=1,Inputs!AN303&gt;0),Inputs!AN303,Inputs!$F$38)</f>
        <v>76.5</v>
      </c>
      <c r="AO37" s="13" t="n">
        <f aca="false">IF(AND(Inputs!$F$55=1,Inputs!AO303&gt;0),Inputs!AO303,Inputs!$F$38)</f>
        <v>76.5</v>
      </c>
      <c r="AP37" s="13" t="n">
        <f aca="false">IF(AND(Inputs!$F$55=1,Inputs!AP303&gt;0),Inputs!AP303,Inputs!$F$38)</f>
        <v>76.5</v>
      </c>
      <c r="AQ37" s="13" t="n">
        <f aca="false">IF(AND(Inputs!$F$55=1,Inputs!AQ303&gt;0),Inputs!AQ303,Inputs!$F$38)</f>
        <v>76.5</v>
      </c>
      <c r="AR37" s="13" t="n">
        <f aca="false">IF(AND(Inputs!$F$55=1,Inputs!AR303&gt;0),Inputs!AR303,Inputs!$F$38)</f>
        <v>76.5</v>
      </c>
      <c r="AS37" s="13" t="n">
        <f aca="false">IF(AND(Inputs!$F$55=1,Inputs!AS303&gt;0),Inputs!AS303,Inputs!$F$38)</f>
        <v>76.5</v>
      </c>
      <c r="AT37" s="13" t="n">
        <f aca="false">IF(AND(Inputs!$F$55=1,Inputs!AT303&gt;0),Inputs!AT303,Inputs!$F$38)</f>
        <v>76.5</v>
      </c>
      <c r="AU37" s="13" t="n">
        <f aca="false">IF(AND(Inputs!$F$55=1,Inputs!AU303&gt;0),Inputs!AU303,Inputs!$F$38)</f>
        <v>76.5</v>
      </c>
      <c r="AV37" s="13" t="n">
        <f aca="false">IF(AND(Inputs!$F$55=1,Inputs!AV303&gt;0),Inputs!AV303,Inputs!$F$38)</f>
        <v>76.5</v>
      </c>
      <c r="AW37" s="13" t="n">
        <f aca="false">IF(AND(Inputs!$F$55=1,Inputs!AW303&gt;0),Inputs!AW303,Inputs!$F$38)</f>
        <v>76.5</v>
      </c>
      <c r="AX37" s="13" t="n">
        <f aca="false">IF(AND(Inputs!$F$55=1,Inputs!AX303&gt;0),Inputs!AX303,Inputs!$F$38)</f>
        <v>76.5</v>
      </c>
      <c r="AY37" s="13" t="n">
        <f aca="false">IF(AND(Inputs!$F$55=1,Inputs!AY303&gt;0),Inputs!AY303,Inputs!$F$38)</f>
        <v>76.5</v>
      </c>
      <c r="AZ37" s="13" t="n">
        <f aca="false">IF(AND(Inputs!$F$55=1,Inputs!AZ303&gt;0),Inputs!AZ303,Inputs!$F$38)</f>
        <v>76.5</v>
      </c>
      <c r="BA37" s="13" t="n">
        <f aca="false">IF(AND(Inputs!$F$55=1,Inputs!BA303&gt;0),Inputs!BA303,Inputs!$F$38)</f>
        <v>76.5</v>
      </c>
      <c r="BB37" s="13" t="n">
        <f aca="false">IF(AND(Inputs!$F$55=1,Inputs!BB303&gt;0),Inputs!BB303,Inputs!$F$38)</f>
        <v>76.5</v>
      </c>
      <c r="BC37" s="13" t="n">
        <f aca="false">IF(AND(Inputs!$F$55=1,Inputs!BC303&gt;0),Inputs!BC303,Inputs!$F$38)</f>
        <v>76.5</v>
      </c>
      <c r="BD37" s="13" t="n">
        <f aca="false">IF(AND(Inputs!$F$55=1,Inputs!BD303&gt;0),Inputs!BD303,Inputs!$F$38)</f>
        <v>76.5</v>
      </c>
      <c r="BE37" s="13" t="n">
        <f aca="false">IF(AND(Inputs!$F$55=1,Inputs!BE303&gt;0),Inputs!BE303,Inputs!$F$38)</f>
        <v>76.5</v>
      </c>
      <c r="BF37" s="13" t="n">
        <f aca="false">IF(AND(Inputs!$F$55=1,Inputs!BF303&gt;0),Inputs!BF303,Inputs!$F$38)</f>
        <v>76.5</v>
      </c>
      <c r="BG37" s="13" t="n">
        <f aca="false">IF(AND(Inputs!$F$55=1,Inputs!BG303&gt;0),Inputs!BG303,Inputs!$F$38)</f>
        <v>76.5</v>
      </c>
      <c r="BH37" s="13" t="n">
        <f aca="false">IF(AND(Inputs!$F$55=1,Inputs!BH303&gt;0),Inputs!BH303,Inputs!$F$38)</f>
        <v>76.5</v>
      </c>
      <c r="BI37" s="13" t="n">
        <f aca="false">IF(AND(Inputs!$F$55=1,Inputs!BI303&gt;0),Inputs!BI303,Inputs!$F$38)</f>
        <v>76.5</v>
      </c>
      <c r="BJ37" s="13" t="n">
        <f aca="false">IF(AND(Inputs!$F$55=1,Inputs!BJ303&gt;0),Inputs!BJ303,Inputs!$F$38)</f>
        <v>76.5</v>
      </c>
      <c r="BK37" s="13" t="n">
        <f aca="false">IF(AND(Inputs!$F$55=1,Inputs!BK303&gt;0),Inputs!BK303,Inputs!$F$38)</f>
        <v>76.5</v>
      </c>
      <c r="BL37" s="13" t="n">
        <f aca="false">IF(AND(Inputs!$F$55=1,Inputs!BL303&gt;0),Inputs!BL303,Inputs!$F$38)</f>
        <v>76.5</v>
      </c>
      <c r="BM37" s="13" t="n">
        <f aca="false">IF(AND(Inputs!$F$55=1,Inputs!BM303&gt;0),Inputs!BM303,Inputs!$F$38)</f>
        <v>76.5</v>
      </c>
      <c r="BN37" s="13" t="n">
        <f aca="false">IF(AND(Inputs!$F$55=1,Inputs!BN303&gt;0),Inputs!BN303,Inputs!$F$38)</f>
        <v>76.5</v>
      </c>
    </row>
    <row r="38" customFormat="false" ht="15" hidden="false" customHeight="false" outlineLevel="0" collapsed="false">
      <c r="D38" s="0" t="s">
        <v>592</v>
      </c>
      <c r="E38" s="0" t="s">
        <v>593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594</v>
      </c>
      <c r="E39" s="0" t="s">
        <v>217</v>
      </c>
      <c r="J39" s="13" t="n">
        <f aca="false">$F$35*(1+Inputs!$F$127/100*J33)*(1+Inputs!$F$128/100)*(1+Inputs!$F$122/100)*Inputs!$F$39</f>
        <v>6456.243024</v>
      </c>
      <c r="K39" s="13" t="n">
        <f aca="false">$F$35*(1+Inputs!$F$127/100*K33)*(1+Inputs!$F$128/100)*(1+Inputs!$F$122/100)*Inputs!$F$39</f>
        <v>6456.243024</v>
      </c>
      <c r="L39" s="13" t="n">
        <f aca="false">$F$35*(1+Inputs!$F$127/100*L33)*(1+Inputs!$F$128/100)*(1+Inputs!$F$122/100)*Inputs!$F$39</f>
        <v>6456.243024</v>
      </c>
      <c r="M39" s="13" t="n">
        <f aca="false">$F$35*(1+Inputs!$F$127/100*M33)*(1+Inputs!$F$128/100)*(1+Inputs!$F$122/100)*Inputs!$F$39</f>
        <v>6456.243024</v>
      </c>
      <c r="N39" s="13" t="n">
        <f aca="false">$F$35*(1+Inputs!$F$127/100*N33)*(1+Inputs!$F$128/100)*(1+Inputs!$F$122/100)*Inputs!$F$39</f>
        <v>6456.243024</v>
      </c>
      <c r="O39" s="13" t="n">
        <f aca="false">$F$35*(1+Inputs!$F$127/100*O33)*(1+Inputs!$F$128/100)*(1+Inputs!$F$122/100)*Inputs!$F$39</f>
        <v>6456.8886483024</v>
      </c>
      <c r="P39" s="13" t="n">
        <f aca="false">$F$35*(1+Inputs!$F$127/100*P33)*(1+Inputs!$F$128/100)*(1+Inputs!$F$122/100)*Inputs!$F$39</f>
        <v>6459.471145512</v>
      </c>
      <c r="Q39" s="13" t="n">
        <f aca="false">$F$35*(1+Inputs!$F$127/100*Q33)*(1+Inputs!$F$128/100)*(1+Inputs!$F$122/100)*Inputs!$F$39</f>
        <v>6463.3448913264</v>
      </c>
      <c r="R39" s="13" t="n">
        <f aca="false">$F$35*(1+Inputs!$F$127/100*R33)*(1+Inputs!$F$128/100)*(1+Inputs!$F$122/100)*Inputs!$F$39</f>
        <v>6467.2186371408</v>
      </c>
      <c r="S39" s="13" t="n">
        <f aca="false">$F$35*(1+Inputs!$F$127/100*S33)*(1+Inputs!$F$128/100)*(1+Inputs!$F$122/100)*Inputs!$F$39</f>
        <v>6471.0923829552</v>
      </c>
      <c r="T39" s="13" t="n">
        <f aca="false">$F$35*(1+Inputs!$F$127/100*T33)*(1+Inputs!$F$128/100)*(1+Inputs!$F$122/100)*Inputs!$F$39</f>
        <v>6474.9661287696</v>
      </c>
      <c r="U39" s="13" t="n">
        <f aca="false">$F$35*(1+Inputs!$F$127/100*U33)*(1+Inputs!$F$128/100)*(1+Inputs!$F$122/100)*Inputs!$F$39</f>
        <v>6478.839874584</v>
      </c>
      <c r="V39" s="13" t="n">
        <f aca="false">$F$35*(1+Inputs!$F$127/100*V33)*(1+Inputs!$F$128/100)*(1+Inputs!$F$122/100)*Inputs!$F$39</f>
        <v>6482.7136203984</v>
      </c>
      <c r="W39" s="13" t="n">
        <f aca="false">$F$35*(1+Inputs!$F$127/100*W33)*(1+Inputs!$F$128/100)*(1+Inputs!$F$122/100)*Inputs!$F$39</f>
        <v>6486.5873662128</v>
      </c>
      <c r="X39" s="13" t="n">
        <f aca="false">$F$35*(1+Inputs!$F$127/100*X33)*(1+Inputs!$F$128/100)*(1+Inputs!$F$122/100)*Inputs!$F$39</f>
        <v>6490.4611120272</v>
      </c>
      <c r="Y39" s="13" t="n">
        <f aca="false">$F$35*(1+Inputs!$F$127/100*Y33)*(1+Inputs!$F$128/100)*(1+Inputs!$F$122/100)*Inputs!$F$39</f>
        <v>6494.3348578416</v>
      </c>
      <c r="Z39" s="13" t="n">
        <f aca="false">$F$35*(1+Inputs!$F$127/100*Z33)*(1+Inputs!$F$128/100)*(1+Inputs!$F$122/100)*Inputs!$F$39</f>
        <v>6498.208603656</v>
      </c>
      <c r="AA39" s="13" t="n">
        <f aca="false">$F$35*(1+Inputs!$F$127/100*AA33)*(1+Inputs!$F$128/100)*(1+Inputs!$F$122/100)*Inputs!$F$39</f>
        <v>6502.0823494704</v>
      </c>
      <c r="AB39" s="13" t="n">
        <f aca="false">$F$35*(1+Inputs!$F$127/100*AB33)*(1+Inputs!$F$128/100)*(1+Inputs!$F$122/100)*Inputs!$F$39</f>
        <v>6505.9560952848</v>
      </c>
      <c r="AC39" s="13" t="n">
        <f aca="false">$F$35*(1+Inputs!$F$127/100*AC33)*(1+Inputs!$F$128/100)*(1+Inputs!$F$122/100)*Inputs!$F$39</f>
        <v>6509.8298410992</v>
      </c>
      <c r="AD39" s="13" t="n">
        <f aca="false">$F$35*(1+Inputs!$F$127/100*AD33)*(1+Inputs!$F$128/100)*(1+Inputs!$F$122/100)*Inputs!$F$39</f>
        <v>6513.7035869136</v>
      </c>
      <c r="AE39" s="13" t="n">
        <f aca="false">$F$35*(1+Inputs!$F$127/100*AE33)*(1+Inputs!$F$128/100)*(1+Inputs!$F$122/100)*Inputs!$F$39</f>
        <v>6517.577332728</v>
      </c>
      <c r="AF39" s="13" t="n">
        <f aca="false">$F$35*(1+Inputs!$F$127/100*AF33)*(1+Inputs!$F$128/100)*(1+Inputs!$F$122/100)*Inputs!$F$39</f>
        <v>6521.4510785424</v>
      </c>
      <c r="AG39" s="13" t="n">
        <f aca="false">$F$35*(1+Inputs!$F$127/100*AG33)*(1+Inputs!$F$128/100)*(1+Inputs!$F$122/100)*Inputs!$F$39</f>
        <v>6525.3248243568</v>
      </c>
      <c r="AH39" s="13" t="n">
        <f aca="false">$F$35*(1+Inputs!$F$127/100*AH33)*(1+Inputs!$F$128/100)*(1+Inputs!$F$122/100)*Inputs!$F$39</f>
        <v>6529.1985701712</v>
      </c>
      <c r="AI39" s="13" t="n">
        <f aca="false">$F$35*(1+Inputs!$F$127/100*AI33)*(1+Inputs!$F$128/100)*(1+Inputs!$F$122/100)*Inputs!$F$39</f>
        <v>6533.0723159856</v>
      </c>
      <c r="AJ39" s="13" t="n">
        <f aca="false">$F$35*(1+Inputs!$F$127/100*AJ33)*(1+Inputs!$F$128/100)*(1+Inputs!$F$122/100)*Inputs!$F$39</f>
        <v>6536.9460618</v>
      </c>
      <c r="AK39" s="13" t="n">
        <f aca="false">$F$35*(1+Inputs!$F$127/100*AK33)*(1+Inputs!$F$128/100)*(1+Inputs!$F$122/100)*Inputs!$F$39</f>
        <v>6540.8198076144</v>
      </c>
      <c r="AL39" s="13" t="n">
        <f aca="false">$F$35*(1+Inputs!$F$127/100*AL33)*(1+Inputs!$F$128/100)*(1+Inputs!$F$122/100)*Inputs!$F$39</f>
        <v>6544.6935534288</v>
      </c>
      <c r="AM39" s="13" t="n">
        <f aca="false">$F$35*(1+Inputs!$F$127/100*AM33)*(1+Inputs!$F$128/100)*(1+Inputs!$F$122/100)*Inputs!$F$39</f>
        <v>6548.5672992432</v>
      </c>
      <c r="AN39" s="13" t="n">
        <f aca="false">$F$35*(1+Inputs!$F$127/100*AN33)*(1+Inputs!$F$128/100)*(1+Inputs!$F$122/100)*Inputs!$F$39</f>
        <v>6552.4410450576</v>
      </c>
      <c r="AO39" s="13" t="n">
        <f aca="false">$F$35*(1+Inputs!$F$127/100*AO33)*(1+Inputs!$F$128/100)*(1+Inputs!$F$122/100)*Inputs!$F$39</f>
        <v>6556.314790872</v>
      </c>
      <c r="AP39" s="13" t="n">
        <f aca="false">$F$35*(1+Inputs!$F$127/100*AP33)*(1+Inputs!$F$128/100)*(1+Inputs!$F$122/100)*Inputs!$F$39</f>
        <v>6560.1885366864</v>
      </c>
      <c r="AQ39" s="13" t="n">
        <f aca="false">$F$35*(1+Inputs!$F$127/100*AQ33)*(1+Inputs!$F$128/100)*(1+Inputs!$F$122/100)*Inputs!$F$39</f>
        <v>6564.0622825008</v>
      </c>
      <c r="AR39" s="13" t="n">
        <f aca="false">$F$35*(1+Inputs!$F$127/100*AR33)*(1+Inputs!$F$128/100)*(1+Inputs!$F$122/100)*Inputs!$F$39</f>
        <v>6567.9360283152</v>
      </c>
      <c r="AS39" s="13" t="n">
        <f aca="false">$F$35*(1+Inputs!$F$127/100*AS33)*(1+Inputs!$F$128/100)*(1+Inputs!$F$122/100)*Inputs!$F$39</f>
        <v>6571.8097741296</v>
      </c>
      <c r="AT39" s="13" t="n">
        <f aca="false">$F$35*(1+Inputs!$F$127/100*AT33)*(1+Inputs!$F$128/100)*(1+Inputs!$F$122/100)*Inputs!$F$39</f>
        <v>6575.683519944</v>
      </c>
      <c r="AU39" s="13" t="n">
        <f aca="false">$F$35*(1+Inputs!$F$127/100*AU33)*(1+Inputs!$F$128/100)*(1+Inputs!$F$122/100)*Inputs!$F$39</f>
        <v>6579.5572657584</v>
      </c>
      <c r="AV39" s="13" t="n">
        <f aca="false">$F$35*(1+Inputs!$F$127/100*AV33)*(1+Inputs!$F$128/100)*(1+Inputs!$F$122/100)*Inputs!$F$39</f>
        <v>6583.4310115728</v>
      </c>
      <c r="AW39" s="13" t="n">
        <f aca="false">$F$35*(1+Inputs!$F$127/100*AW33)*(1+Inputs!$F$128/100)*(1+Inputs!$F$122/100)*Inputs!$F$39</f>
        <v>6587.3047573872</v>
      </c>
      <c r="AX39" s="13" t="n">
        <f aca="false">$F$35*(1+Inputs!$F$127/100*AX33)*(1+Inputs!$F$128/100)*(1+Inputs!$F$122/100)*Inputs!$F$39</f>
        <v>6591.1785032016</v>
      </c>
      <c r="AY39" s="13" t="n">
        <f aca="false">$F$35*(1+Inputs!$F$127/100*AY33)*(1+Inputs!$F$128/100)*(1+Inputs!$F$122/100)*Inputs!$F$39</f>
        <v>6595.052249016</v>
      </c>
      <c r="AZ39" s="13" t="n">
        <f aca="false">$F$35*(1+Inputs!$F$127/100*AZ33)*(1+Inputs!$F$128/100)*(1+Inputs!$F$122/100)*Inputs!$F$39</f>
        <v>6598.9259948304</v>
      </c>
      <c r="BA39" s="13" t="n">
        <f aca="false">$F$35*(1+Inputs!$F$127/100*BA33)*(1+Inputs!$F$128/100)*(1+Inputs!$F$122/100)*Inputs!$F$39</f>
        <v>6602.7997406448</v>
      </c>
      <c r="BB39" s="13" t="n">
        <f aca="false">$F$35*(1+Inputs!$F$127/100*BB33)*(1+Inputs!$F$128/100)*(1+Inputs!$F$122/100)*Inputs!$F$39</f>
        <v>6606.6734864592</v>
      </c>
      <c r="BC39" s="13" t="n">
        <f aca="false">$F$35*(1+Inputs!$F$127/100*BC33)*(1+Inputs!$F$128/100)*(1+Inputs!$F$122/100)*Inputs!$F$39</f>
        <v>6610.5472322736</v>
      </c>
      <c r="BD39" s="13" t="n">
        <f aca="false">$F$35*(1+Inputs!$F$127/100*BD33)*(1+Inputs!$F$128/100)*(1+Inputs!$F$122/100)*Inputs!$F$39</f>
        <v>6614.420978088</v>
      </c>
      <c r="BE39" s="13" t="n">
        <f aca="false">$F$35*(1+Inputs!$F$127/100*BE33)*(1+Inputs!$F$128/100)*(1+Inputs!$F$122/100)*Inputs!$F$39</f>
        <v>6618.2947239024</v>
      </c>
      <c r="BF39" s="13" t="n">
        <f aca="false">$F$35*(1+Inputs!$F$127/100*BF33)*(1+Inputs!$F$128/100)*(1+Inputs!$F$122/100)*Inputs!$F$39</f>
        <v>6622.1684697168</v>
      </c>
      <c r="BG39" s="13" t="n">
        <f aca="false">$F$35*(1+Inputs!$F$127/100*BG33)*(1+Inputs!$F$128/100)*(1+Inputs!$F$122/100)*Inputs!$F$39</f>
        <v>6626.0422155312</v>
      </c>
      <c r="BH39" s="13" t="n">
        <f aca="false">$F$35*(1+Inputs!$F$127/100*BH33)*(1+Inputs!$F$128/100)*(1+Inputs!$F$122/100)*Inputs!$F$39</f>
        <v>6629.9159613456</v>
      </c>
      <c r="BI39" s="13" t="n">
        <f aca="false">$F$35*(1+Inputs!$F$127/100*BI33)*(1+Inputs!$F$128/100)*(1+Inputs!$F$122/100)*Inputs!$F$39</f>
        <v>6633.78970716</v>
      </c>
      <c r="BJ39" s="13" t="n">
        <f aca="false">$F$35*(1+Inputs!$F$127/100*BJ33)*(1+Inputs!$F$128/100)*(1+Inputs!$F$122/100)*Inputs!$F$39</f>
        <v>6637.6634529744</v>
      </c>
      <c r="BK39" s="13" t="n">
        <f aca="false">$F$35*(1+Inputs!$F$127/100*BK33)*(1+Inputs!$F$128/100)*(1+Inputs!$F$122/100)*Inputs!$F$39</f>
        <v>6641.5371987888</v>
      </c>
      <c r="BL39" s="13" t="n">
        <f aca="false">$F$35*(1+Inputs!$F$127/100*BL33)*(1+Inputs!$F$128/100)*(1+Inputs!$F$122/100)*Inputs!$F$39</f>
        <v>6645.4109446032</v>
      </c>
      <c r="BM39" s="13" t="n">
        <f aca="false">$F$35*(1+Inputs!$F$127/100*BM33)*(1+Inputs!$F$128/100)*(1+Inputs!$F$122/100)*Inputs!$F$39</f>
        <v>6648.6390661152</v>
      </c>
      <c r="BN39" s="13" t="n">
        <f aca="false">$F$35*(1+Inputs!$F$127/100*BN33)*(1+Inputs!$F$128/100)*(1+Inputs!$F$122/100)*Inputs!$F$39</f>
        <v>6456.243024</v>
      </c>
    </row>
    <row r="40" customFormat="false" ht="15" hidden="false" customHeight="false" outlineLevel="0" collapsed="false">
      <c r="D40" s="0" t="s">
        <v>595</v>
      </c>
      <c r="E40" s="0" t="s">
        <v>217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596</v>
      </c>
      <c r="E41" s="0" t="s">
        <v>247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597</v>
      </c>
      <c r="E42" s="0" t="s">
        <v>598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599</v>
      </c>
      <c r="E43" s="0" t="s">
        <v>598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600</v>
      </c>
    </row>
    <row r="45" customFormat="false" ht="15" hidden="false" customHeight="false" outlineLevel="0" collapsed="false">
      <c r="D45" s="0" t="s">
        <v>601</v>
      </c>
      <c r="E45" s="0" t="s">
        <v>237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602</v>
      </c>
      <c r="E46" s="0" t="s">
        <v>237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603</v>
      </c>
      <c r="E47" s="0" t="s">
        <v>99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604</v>
      </c>
      <c r="E48" s="0" t="s">
        <v>149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605</v>
      </c>
      <c r="E49" s="0" t="s">
        <v>243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606</v>
      </c>
      <c r="E50" s="0" t="s">
        <v>149</v>
      </c>
      <c r="G50" s="13" t="n">
        <f aca="false">SUM(J50:BN50)</f>
        <v>485.811746936375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7.68105848814811</v>
      </c>
      <c r="R50" s="13" t="n">
        <f aca="false">R38*R49/1000000</f>
        <v>7.70946659936317</v>
      </c>
      <c r="S50" s="13" t="n">
        <f aca="false">S38*S49/1000000</f>
        <v>7.81310103237857</v>
      </c>
      <c r="T50" s="13" t="n">
        <f aca="false">T38*T49/1000000</f>
        <v>7.94344753175194</v>
      </c>
      <c r="U50" s="13" t="n">
        <f aca="false">U38*U49/1000000</f>
        <v>7.93305531916128</v>
      </c>
      <c r="V50" s="13" t="n">
        <f aca="false">V38*V49/1000000</f>
        <v>7.82944507757228</v>
      </c>
      <c r="W50" s="13" t="n">
        <f aca="false">W38*W49/1000000</f>
        <v>8.00225062439422</v>
      </c>
      <c r="X50" s="13" t="n">
        <f aca="false">X38*X49/1000000</f>
        <v>8.27182288419171</v>
      </c>
      <c r="Y50" s="13" t="n">
        <f aca="false">Y38*Y49/1000000</f>
        <v>8.32927939454739</v>
      </c>
      <c r="Z50" s="13" t="n">
        <f aca="false">Z38*Z49/1000000</f>
        <v>8.36004694624821</v>
      </c>
      <c r="AA50" s="13" t="n">
        <f aca="false">AA38*AA49/1000000</f>
        <v>8.47238825046235</v>
      </c>
      <c r="AB50" s="13" t="n">
        <f aca="false">AB38*AB49/1000000</f>
        <v>8.61369443244836</v>
      </c>
      <c r="AC50" s="13" t="n">
        <f aca="false">AC38*AC49/1000000</f>
        <v>8.54363507447978</v>
      </c>
      <c r="AD50" s="13" t="n">
        <f aca="false">AD38*AD49/1000000</f>
        <v>8.31194894771562</v>
      </c>
      <c r="AE50" s="13" t="n">
        <f aca="false">AE38*AE49/1000000</f>
        <v>8.55743512544264</v>
      </c>
      <c r="AF50" s="13" t="n">
        <f aca="false">AF38*AF49/1000000</f>
        <v>8.96961310830208</v>
      </c>
      <c r="AG50" s="13" t="n">
        <f aca="false">AG38*AG49/1000000</f>
        <v>9.03187503656419</v>
      </c>
      <c r="AH50" s="13" t="n">
        <f aca="false">AH38*AH49/1000000</f>
        <v>9.06519622327226</v>
      </c>
      <c r="AI50" s="13" t="n">
        <f aca="false">AI38*AI49/1000000</f>
        <v>9.18697092919141</v>
      </c>
      <c r="AJ50" s="13" t="n">
        <f aca="false">AJ38*AJ49/1000000</f>
        <v>9.34015215220506</v>
      </c>
      <c r="AK50" s="13" t="n">
        <f aca="false">AK38*AK49/1000000</f>
        <v>9.32784700738049</v>
      </c>
      <c r="AL50" s="13" t="n">
        <f aca="false">AL38*AL49/1000000</f>
        <v>9.20593532085</v>
      </c>
      <c r="AM50" s="13" t="n">
        <f aca="false">AM38*AM49/1000000</f>
        <v>9.40903504492034</v>
      </c>
      <c r="AN50" s="13" t="n">
        <f aca="false">AN38*AN49/1000000</f>
        <v>9.72590800784114</v>
      </c>
      <c r="AO50" s="13" t="n">
        <f aca="false">AO38*AO49/1000000</f>
        <v>9.79337418754218</v>
      </c>
      <c r="AP50" s="13" t="n">
        <f aca="false">AP38*AP49/1000000</f>
        <v>9.82945901083024</v>
      </c>
      <c r="AQ50" s="13" t="n">
        <f aca="false">AQ38*AQ49/1000000</f>
        <v>9.96145378288492</v>
      </c>
      <c r="AR50" s="13" t="n">
        <f aca="false">AR38*AR49/1000000</f>
        <v>10.1275012521276</v>
      </c>
      <c r="AS50" s="13" t="n">
        <f aca="false">AS38*AS49/1000000</f>
        <v>10.0450359953257</v>
      </c>
      <c r="AT50" s="13" t="n">
        <f aca="false">AT38*AT49/1000000</f>
        <v>9.77254392926223</v>
      </c>
      <c r="AU50" s="13" t="n">
        <f aca="false">AU38*AU49/1000000</f>
        <v>10.061073700488</v>
      </c>
      <c r="AV50" s="13" t="n">
        <f aca="false">AV38*AV49/1000000</f>
        <v>10.5455775620424</v>
      </c>
      <c r="AW50" s="13" t="n">
        <f aca="false">AW38*AW49/1000000</f>
        <v>10.6186796248286</v>
      </c>
      <c r="AX50" s="13" t="n">
        <f aca="false">AX38*AX49/1000000</f>
        <v>10.6577551622769</v>
      </c>
      <c r="AY50" s="13" t="n">
        <f aca="false">AY38*AY49/1000000</f>
        <v>10.8008217274309</v>
      </c>
      <c r="AZ50" s="13" t="n">
        <f aca="false">AZ38*AZ49/1000000</f>
        <v>10.9808087197124</v>
      </c>
      <c r="BA50" s="13" t="n">
        <f aca="false">BA38*BA49/1000000</f>
        <v>10.9662389078837</v>
      </c>
      <c r="BB50" s="13" t="n">
        <f aca="false">BB38*BB49/1000000</f>
        <v>10.822812016699</v>
      </c>
      <c r="BC50" s="13" t="n">
        <f aca="false">BC38*BC49/1000000</f>
        <v>11.0614785827123</v>
      </c>
      <c r="BD50" s="13" t="n">
        <f aca="false">BD38*BD49/1000000</f>
        <v>11.4338936572534</v>
      </c>
      <c r="BE50" s="13" t="n">
        <f aca="false">BE38*BE49/1000000</f>
        <v>11.5130986997715</v>
      </c>
      <c r="BF50" s="13" t="n">
        <f aca="false">BF38*BF49/1000000</f>
        <v>11.5554104739938</v>
      </c>
      <c r="BG50" s="13" t="n">
        <f aca="false">BG38*BG49/1000000</f>
        <v>11.7104709494486</v>
      </c>
      <c r="BH50" s="13" t="n">
        <f aca="false">BH38*BH49/1000000</f>
        <v>11.905559542911</v>
      </c>
      <c r="BI50" s="13" t="n">
        <f aca="false">BI38*BI49/1000000</f>
        <v>11.8085035891832</v>
      </c>
      <c r="BJ50" s="13" t="n">
        <f aca="false">BJ38*BJ49/1000000</f>
        <v>11.4880642629858</v>
      </c>
      <c r="BK50" s="13" t="n">
        <f aca="false">BK38*BK49/1000000</f>
        <v>11.8271309481052</v>
      </c>
      <c r="BL50" s="13" t="n">
        <f aca="false">BL38*BL49/1000000</f>
        <v>12.3965629101064</v>
      </c>
      <c r="BM50" s="13" t="n">
        <f aca="false">BM38*BM49/1000000</f>
        <v>8.34936857212671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607</v>
      </c>
      <c r="E51" s="0" t="s">
        <v>149</v>
      </c>
      <c r="G51" s="13" t="n">
        <f aca="false">SUM(J51:BN51)</f>
        <v>4886.82613822903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25.7791196996463</v>
      </c>
      <c r="P51" s="13" t="n">
        <f aca="false">P38*P40*(1000*Inputs!$F$123/Inputs!$F$124)*P41/1000000</f>
        <v>77.3244496667218</v>
      </c>
      <c r="Q51" s="13" t="n">
        <f aca="false">Q38*Q40*(1000*Inputs!$F$123/Inputs!$F$124)*Q41/1000000</f>
        <v>78.5989487836604</v>
      </c>
      <c r="R51" s="13" t="n">
        <f aca="false">R38*R40*(1000*Inputs!$F$123/Inputs!$F$124)*R41/1000000</f>
        <v>78.0749011546623</v>
      </c>
      <c r="S51" s="13" t="n">
        <f aca="false">S38*S40*(1000*Inputs!$F$123/Inputs!$F$124)*S41/1000000</f>
        <v>79.8733798268943</v>
      </c>
      <c r="T51" s="13" t="n">
        <f aca="false">T38*T40*(1000*Inputs!$F$123/Inputs!$F$124)*T41/1000000</f>
        <v>80.3672083375917</v>
      </c>
      <c r="U51" s="13" t="n">
        <f aca="false">U38*U40*(1000*Inputs!$F$123/Inputs!$F$124)*U41/1000000</f>
        <v>81.021751587173</v>
      </c>
      <c r="V51" s="13" t="n">
        <f aca="false">V38*V40*(1000*Inputs!$F$123/Inputs!$F$124)*V41/1000000</f>
        <v>79.137648401152</v>
      </c>
      <c r="W51" s="13" t="n">
        <f aca="false">W38*W40*(1000*Inputs!$F$123/Inputs!$F$124)*W41/1000000</f>
        <v>81.6498489848216</v>
      </c>
      <c r="X51" s="13" t="n">
        <f aca="false">X38*X40*(1000*Inputs!$F$123/Inputs!$F$124)*X41/1000000</f>
        <v>83.5286114440956</v>
      </c>
      <c r="Y51" s="13" t="n">
        <f aca="false">Y38*Y40*(1000*Inputs!$F$123/Inputs!$F$124)*Y41/1000000</f>
        <v>84.9048165069735</v>
      </c>
      <c r="Z51" s="13" t="n">
        <f aca="false">Z38*Z40*(1000*Inputs!$F$123/Inputs!$F$124)*Z41/1000000</f>
        <v>84.3381746041477</v>
      </c>
      <c r="AA51" s="13" t="n">
        <f aca="false">AA38*AA40*(1000*Inputs!$F$123/Inputs!$F$124)*AA41/1000000</f>
        <v>86.2803657749892</v>
      </c>
      <c r="AB51" s="13" t="n">
        <f aca="false">AB38*AB40*(1000*Inputs!$F$123/Inputs!$F$124)*AB41/1000000</f>
        <v>86.8132386021557</v>
      </c>
      <c r="AC51" s="13" t="n">
        <f aca="false">AC38*AC40*(1000*Inputs!$F$123/Inputs!$F$124)*AC41/1000000</f>
        <v>86.9219818515905</v>
      </c>
      <c r="AD51" s="13" t="n">
        <f aca="false">AD38*AD40*(1000*Inputs!$F$123/Inputs!$F$124)*AD41/1000000</f>
        <v>83.6912300873451</v>
      </c>
      <c r="AE51" s="13" t="n">
        <f aca="false">AE38*AE40*(1000*Inputs!$F$123/Inputs!$F$124)*AE41/1000000</f>
        <v>86.9783006666355</v>
      </c>
      <c r="AF51" s="13" t="n">
        <f aca="false">AF38*AF40*(1000*Inputs!$F$123/Inputs!$F$124)*AF41/1000000</f>
        <v>90.2258441743053</v>
      </c>
      <c r="AG51" s="13" t="n">
        <f aca="false">AG38*AG40*(1000*Inputs!$F$123/Inputs!$F$124)*AG41/1000000</f>
        <v>91.7117897628972</v>
      </c>
      <c r="AH51" s="13" t="n">
        <f aca="false">AH38*AH40*(1000*Inputs!$F$123/Inputs!$F$124)*AH41/1000000</f>
        <v>91.0991206249612</v>
      </c>
      <c r="AI51" s="13" t="n">
        <f aca="false">AI38*AI40*(1000*Inputs!$F$123/Inputs!$F$124)*AI41/1000000</f>
        <v>93.1963942315242</v>
      </c>
      <c r="AJ51" s="13" t="n">
        <f aca="false">AJ38*AJ40*(1000*Inputs!$F$123/Inputs!$F$124)*AJ41/1000000</f>
        <v>93.7713638483066</v>
      </c>
      <c r="AK51" s="13" t="n">
        <f aca="false">AK38*AK40*(1000*Inputs!$F$123/Inputs!$F$124)*AK41/1000000</f>
        <v>94.5338347262224</v>
      </c>
      <c r="AL51" s="13" t="n">
        <f aca="false">AL38*AL40*(1000*Inputs!$F$123/Inputs!$F$124)*AL41/1000000</f>
        <v>92.3343043481119</v>
      </c>
      <c r="AM51" s="13" t="n">
        <f aca="false">AM38*AM40*(1000*Inputs!$F$123/Inputs!$F$124)*AM41/1000000</f>
        <v>95.2641759921699</v>
      </c>
      <c r="AN51" s="13" t="n">
        <f aca="false">AN38*AN40*(1000*Inputs!$F$123/Inputs!$F$124)*AN41/1000000</f>
        <v>97.454921459431</v>
      </c>
      <c r="AO51" s="13" t="n">
        <f aca="false">AO38*AO40*(1000*Inputs!$F$123/Inputs!$F$124)*AO41/1000000</f>
        <v>99.0592696696603</v>
      </c>
      <c r="AP51" s="13" t="n">
        <f aca="false">AP38*AP40*(1000*Inputs!$F$123/Inputs!$F$124)*AP41/1000000</f>
        <v>98.3968661325441</v>
      </c>
      <c r="AQ51" s="13" t="n">
        <f aca="false">AQ38*AQ40*(1000*Inputs!$F$123/Inputs!$F$124)*AQ41/1000000</f>
        <v>100.661481636439</v>
      </c>
      <c r="AR51" s="13" t="n">
        <f aca="false">AR38*AR40*(1000*Inputs!$F$123/Inputs!$F$124)*AR41/1000000</f>
        <v>101.281836065243</v>
      </c>
      <c r="AS51" s="13" t="n">
        <f aca="false">AS38*AS40*(1000*Inputs!$F$123/Inputs!$F$124)*AS41/1000000</f>
        <v>101.407363093729</v>
      </c>
      <c r="AT51" s="13" t="n">
        <f aca="false">AT38*AT40*(1000*Inputs!$F$123/Inputs!$F$124)*AT41/1000000</f>
        <v>97.6369218120997</v>
      </c>
      <c r="AU51" s="13" t="n">
        <f aca="false">AU38*AU40*(1000*Inputs!$F$123/Inputs!$F$124)*AU41/1000000</f>
        <v>101.470383003147</v>
      </c>
      <c r="AV51" s="13" t="n">
        <f aca="false">AV38*AV40*(1000*Inputs!$F$123/Inputs!$F$124)*AV41/1000000</f>
        <v>105.257629282044</v>
      </c>
      <c r="AW51" s="13" t="n">
        <f aca="false">AW38*AW40*(1000*Inputs!$F$123/Inputs!$F$124)*AW41/1000000</f>
        <v>106.989718090849</v>
      </c>
      <c r="AX51" s="13" t="n">
        <f aca="false">AX38*AX40*(1000*Inputs!$F$123/Inputs!$F$124)*AX41/1000000</f>
        <v>106.273577101457</v>
      </c>
      <c r="AY51" s="13" t="n">
        <f aca="false">AY38*AY40*(1000*Inputs!$F$123/Inputs!$F$124)*AY41/1000000</f>
        <v>108.718752184724</v>
      </c>
      <c r="AZ51" s="13" t="n">
        <f aca="false">AZ38*AZ40*(1000*Inputs!$F$123/Inputs!$F$124)*AZ41/1000000</f>
        <v>109.388032892451</v>
      </c>
      <c r="BA51" s="13" t="n">
        <f aca="false">BA38*BA40*(1000*Inputs!$F$123/Inputs!$F$124)*BA41/1000000</f>
        <v>110.276019419535</v>
      </c>
      <c r="BB51" s="13" t="n">
        <f aca="false">BB38*BB40*(1000*Inputs!$F$123/Inputs!$F$124)*BB41/1000000</f>
        <v>107.708780540664</v>
      </c>
      <c r="BC51" s="13" t="n">
        <f aca="false">BC38*BC40*(1000*Inputs!$F$123/Inputs!$F$124)*BC41/1000000</f>
        <v>111.125021868197</v>
      </c>
      <c r="BD51" s="13" t="n">
        <f aca="false">BD38*BD40*(1000*Inputs!$F$123/Inputs!$F$124)*BD41/1000000</f>
        <v>113.678996733924</v>
      </c>
      <c r="BE51" s="13" t="n">
        <f aca="false">BE38*BE40*(1000*Inputs!$F$123/Inputs!$F$124)*BE41/1000000</f>
        <v>115.548892032972</v>
      </c>
      <c r="BF51" s="13" t="n">
        <f aca="false">BF38*BF40*(1000*Inputs!$F$123/Inputs!$F$124)*BF41/1000000</f>
        <v>114.774691266782</v>
      </c>
      <c r="BG51" s="13" t="n">
        <f aca="false">BG38*BG40*(1000*Inputs!$F$123/Inputs!$F$124)*BG41/1000000</f>
        <v>117.414675751632</v>
      </c>
      <c r="BH51" s="13" t="n">
        <f aca="false">BH38*BH40*(1000*Inputs!$F$123/Inputs!$F$124)*BH41/1000000</f>
        <v>118.136696878405</v>
      </c>
      <c r="BI51" s="13" t="n">
        <f aca="false">BI38*BI40*(1000*Inputs!$F$123/Inputs!$F$124)*BI41/1000000</f>
        <v>118.281530787593</v>
      </c>
      <c r="BJ51" s="13" t="n">
        <f aca="false">BJ38*BJ40*(1000*Inputs!$F$123/Inputs!$F$124)*BJ41/1000000</f>
        <v>113.882163597378</v>
      </c>
      <c r="BK51" s="13" t="n">
        <f aca="false">BK38*BK40*(1000*Inputs!$F$123/Inputs!$F$124)*BK41/1000000</f>
        <v>118.351865898643</v>
      </c>
      <c r="BL51" s="13" t="n">
        <f aca="false">BL38*BL40*(1000*Inputs!$F$123/Inputs!$F$124)*BL41/1000000</f>
        <v>122.767544113567</v>
      </c>
      <c r="BM51" s="13" t="n">
        <f aca="false">BM38*BM40*(1000*Inputs!$F$123/Inputs!$F$124)*BM41/1000000</f>
        <v>83.4617032271672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608</v>
      </c>
      <c r="E52" s="0" t="s">
        <v>149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609</v>
      </c>
      <c r="E53" s="0" t="s">
        <v>149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610</v>
      </c>
      <c r="E54" s="0" t="s">
        <v>149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611</v>
      </c>
      <c r="E55" s="0" t="s">
        <v>149</v>
      </c>
      <c r="G55" s="13" t="n">
        <f aca="false">SUM(J55:BN55)</f>
        <v>3820.61994930087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68.3501693814498</v>
      </c>
      <c r="R55" s="13" t="n">
        <f aca="false">R48+R50</f>
        <v>68.598604560017</v>
      </c>
      <c r="S55" s="13" t="n">
        <f aca="false">S48+S50</f>
        <v>68.9246731909329</v>
      </c>
      <c r="T55" s="13" t="n">
        <f aca="false">T48+T50</f>
        <v>69.2798873531401</v>
      </c>
      <c r="U55" s="13" t="n">
        <f aca="false">U48+U50</f>
        <v>69.4968228908038</v>
      </c>
      <c r="V55" s="13" t="n">
        <f aca="false">V48+V50</f>
        <v>69.623027400631</v>
      </c>
      <c r="W55" s="13" t="n">
        <f aca="false">W48+W50</f>
        <v>70.0281619082129</v>
      </c>
      <c r="X55" s="13" t="n">
        <f aca="false">X48+X50</f>
        <v>70.5326048439577</v>
      </c>
      <c r="Y55" s="13" t="n">
        <f aca="false">Y48+Y50</f>
        <v>70.82750155221</v>
      </c>
      <c r="Z55" s="13" t="n">
        <f aca="false">Z48+Z50</f>
        <v>71.098306934729</v>
      </c>
      <c r="AA55" s="13" t="n">
        <f aca="false">AA48+AA50</f>
        <v>71.4533121211936</v>
      </c>
      <c r="AB55" s="13" t="n">
        <f aca="false">AB48+AB50</f>
        <v>71.8399369662758</v>
      </c>
      <c r="AC55" s="13" t="n">
        <f aca="false">AC48+AC50</f>
        <v>72.0178800959671</v>
      </c>
      <c r="AD55" s="13" t="n">
        <f aca="false">AD48+AD50</f>
        <v>71.1164379884014</v>
      </c>
      <c r="AE55" s="13" t="n">
        <f aca="false">AE48+AE50</f>
        <v>72.5358543630027</v>
      </c>
      <c r="AF55" s="13" t="n">
        <f aca="false">AF48+AF50</f>
        <v>73.2042637643675</v>
      </c>
      <c r="AG55" s="13" t="n">
        <f aca="false">AG48+AG50</f>
        <v>73.5255603229505</v>
      </c>
      <c r="AH55" s="13" t="n">
        <f aca="false">AH48+AH50</f>
        <v>73.8207500193711</v>
      </c>
      <c r="AI55" s="13" t="n">
        <f aca="false">AI48+AI50</f>
        <v>74.2072581174783</v>
      </c>
      <c r="AJ55" s="13" t="n">
        <f aca="false">AJ48+AJ50</f>
        <v>74.6280689574181</v>
      </c>
      <c r="AK55" s="13" t="n">
        <f aca="false">AK48+AK50</f>
        <v>74.8863213394096</v>
      </c>
      <c r="AL55" s="13" t="n">
        <f aca="false">AL48+AL50</f>
        <v>75.0379271213777</v>
      </c>
      <c r="AM55" s="13" t="n">
        <f aca="false">AM48+AM50</f>
        <v>75.5175366378541</v>
      </c>
      <c r="AN55" s="13" t="n">
        <f aca="false">AN48+AN50</f>
        <v>76.1139444535804</v>
      </c>
      <c r="AO55" s="13" t="n">
        <f aca="false">AO48+AO50</f>
        <v>76.4640036411205</v>
      </c>
      <c r="AP55" s="13" t="n">
        <f aca="false">AP48+AP50</f>
        <v>76.7857730839758</v>
      </c>
      <c r="AQ55" s="13" t="n">
        <f aca="false">AQ48+AQ50</f>
        <v>77.206577910042</v>
      </c>
      <c r="AR55" s="13" t="n">
        <f aca="false">AR48+AR50</f>
        <v>77.6645950604824</v>
      </c>
      <c r="AS55" s="13" t="n">
        <f aca="false">AS48+AS50</f>
        <v>77.8772936788802</v>
      </c>
      <c r="AT55" s="13" t="n">
        <f aca="false">AT48+AT50</f>
        <v>76.9190852280334</v>
      </c>
      <c r="AU55" s="13" t="n">
        <f aca="false">AU48+AU50</f>
        <v>78.4933818786806</v>
      </c>
      <c r="AV55" s="13" t="n">
        <f aca="false">AV48+AV50</f>
        <v>79.2828434007312</v>
      </c>
      <c r="AW55" s="13" t="n">
        <f aca="false">AW48+AW50</f>
        <v>79.6642394085416</v>
      </c>
      <c r="AX55" s="13" t="n">
        <f aca="false">AX48+AX50</f>
        <v>80.0149816750168</v>
      </c>
      <c r="AY55" s="13" t="n">
        <f aca="false">AY48+AY50</f>
        <v>80.4731246519855</v>
      </c>
      <c r="AZ55" s="13" t="n">
        <f aca="false">AZ48+AZ50</f>
        <v>80.9716350413326</v>
      </c>
      <c r="BA55" s="13" t="n">
        <f aca="false">BA48+BA50</f>
        <v>81.2790733223785</v>
      </c>
      <c r="BB55" s="13" t="n">
        <f aca="false">BB48+BB50</f>
        <v>81.4611773429948</v>
      </c>
      <c r="BC55" s="13" t="n">
        <f aca="false">BC48+BC50</f>
        <v>82.028936179926</v>
      </c>
      <c r="BD55" s="13" t="n">
        <f aca="false">BD48+BD50</f>
        <v>82.7340438463278</v>
      </c>
      <c r="BE55" s="13" t="n">
        <f aca="false">BE48+BE50</f>
        <v>83.1495811897239</v>
      </c>
      <c r="BF55" s="13" t="n">
        <f aca="false">BF48+BF50</f>
        <v>83.5319047928278</v>
      </c>
      <c r="BG55" s="13" t="n">
        <f aca="false">BG48+BG50</f>
        <v>84.03069687978</v>
      </c>
      <c r="BH55" s="13" t="n">
        <f aca="false">BH48+BH50</f>
        <v>84.5732775623593</v>
      </c>
      <c r="BI55" s="13" t="n">
        <f aca="false">BI48+BI50</f>
        <v>84.8275153155818</v>
      </c>
      <c r="BJ55" s="13" t="n">
        <f aca="false">BJ48+BJ50</f>
        <v>83.8023640907518</v>
      </c>
      <c r="BK55" s="13" t="n">
        <f aca="false">BK48+BK50</f>
        <v>85.5603017580846</v>
      </c>
      <c r="BL55" s="13" t="n">
        <f aca="false">BL48+BL50</f>
        <v>86.492683647295</v>
      </c>
      <c r="BM55" s="13" t="n">
        <f aca="false">BM48+BM50</f>
        <v>57.991396167726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612</v>
      </c>
      <c r="E56" s="0" t="s">
        <v>149</v>
      </c>
      <c r="G56" s="13" t="n">
        <f aca="false">SUM(J56:BN56)</f>
        <v>9544.22236214768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53.012677547694</v>
      </c>
      <c r="P56" s="13" t="n">
        <f aca="false">P55+P51+P52+P53+P54</f>
        <v>159.381503190336</v>
      </c>
      <c r="Q56" s="13" t="n">
        <f aca="false">Q55+Q51+Q52+Q53+Q54</f>
        <v>160.937444509165</v>
      </c>
      <c r="R56" s="13" t="n">
        <f aca="false">R55+R51+R52+R53+R54</f>
        <v>160.835951131398</v>
      </c>
      <c r="S56" s="13" t="n">
        <f aca="false">S55+S51+S52+S53+S54</f>
        <v>162.987309962954</v>
      </c>
      <c r="T56" s="13" t="n">
        <f aca="false">T55+T51+T52+T53+T54</f>
        <v>164.045566446772</v>
      </c>
      <c r="U56" s="13" t="n">
        <f aca="false">U55+U51+U52+U53+U54</f>
        <v>164.972480869412</v>
      </c>
      <c r="V56" s="13" t="n">
        <f aca="false">V55+V51+V52+V53+V54</f>
        <v>163.286434200741</v>
      </c>
      <c r="W56" s="13" t="n">
        <f aca="false">W55+W51+W52+W53+W54</f>
        <v>166.251784671663</v>
      </c>
      <c r="X56" s="13" t="n">
        <f aca="false">X55+X51+X52+X53+X54</f>
        <v>168.893245858532</v>
      </c>
      <c r="Y56" s="13" t="n">
        <f aca="false">Y55+Y51+Y52+Y53+Y54</f>
        <v>170.575728481196</v>
      </c>
      <c r="Z56" s="13" t="n">
        <f aca="false">Z55+Z51+Z52+Z53+Z54</f>
        <v>170.464697759845</v>
      </c>
      <c r="AA56" s="13" t="n">
        <f aca="false">AA55+AA51+AA52+AA53+AA54</f>
        <v>172.790271522572</v>
      </c>
      <c r="AB56" s="13" t="n">
        <f aca="false">AB55+AB51+AB52+AB53+AB54</f>
        <v>173.931780018733</v>
      </c>
      <c r="AC56" s="13" t="n">
        <f aca="false">AC55+AC51+AC52+AC53+AC54</f>
        <v>174.25883107632</v>
      </c>
      <c r="AD56" s="13" t="n">
        <f aca="false">AD55+AD51+AD52+AD53+AD54</f>
        <v>170.166084577391</v>
      </c>
      <c r="AE56" s="13" t="n">
        <f aca="false">AE55+AE51+AE52+AE53+AE54</f>
        <v>174.941314099289</v>
      </c>
      <c r="AF56" s="13" t="n">
        <f aca="false">AF55+AF51+AF52+AF53+AF54</f>
        <v>179.168692903681</v>
      </c>
      <c r="AG56" s="13" t="n">
        <f aca="false">AG55+AG51+AG52+AG53+AG54</f>
        <v>180.987951830394</v>
      </c>
      <c r="AH56" s="13" t="n">
        <f aca="false">AH55+AH51+AH52+AH53+AH54</f>
        <v>180.866621861231</v>
      </c>
      <c r="AI56" s="13" t="n">
        <f aca="false">AI55+AI51+AI52+AI53+AI54</f>
        <v>183.380435125148</v>
      </c>
      <c r="AJ56" s="13" t="n">
        <f aca="false">AJ55+AJ51+AJ52+AJ53+AJ54</f>
        <v>184.611805112988</v>
      </c>
      <c r="AK56" s="13" t="n">
        <f aca="false">AK55+AK51+AK52+AK53+AK54</f>
        <v>185.694909265728</v>
      </c>
      <c r="AL56" s="13" t="n">
        <f aca="false">AL55+AL51+AL52+AL53+AL54</f>
        <v>183.728056753514</v>
      </c>
      <c r="AM56" s="13" t="n">
        <f aca="false">AM55+AM51+AM52+AM53+AM54</f>
        <v>187.191387739894</v>
      </c>
      <c r="AN56" s="13" t="n">
        <f aca="false">AN55+AN51+AN52+AN53+AN54</f>
        <v>190.269245551567</v>
      </c>
      <c r="AO56" s="13" t="n">
        <f aca="false">AO55+AO51+AO52+AO53+AO54</f>
        <v>192.236338851718</v>
      </c>
      <c r="AP56" s="13" t="n">
        <f aca="false">AP55+AP51+AP52+AP53+AP54</f>
        <v>192.103895298566</v>
      </c>
      <c r="AQ56" s="13" t="n">
        <f aca="false">AQ55+AQ51+AQ52+AQ53+AQ54</f>
        <v>194.821094375658</v>
      </c>
      <c r="AR56" s="13" t="n">
        <f aca="false">AR55+AR51+AR52+AR53+AR54</f>
        <v>196.149463570819</v>
      </c>
      <c r="AS56" s="13" t="n">
        <f aca="false">AS55+AS51+AS52+AS53+AS54</f>
        <v>196.533143982971</v>
      </c>
      <c r="AT56" s="13" t="n">
        <f aca="false">AT55+AT51+AT52+AT53+AT54</f>
        <v>191.849192813492</v>
      </c>
      <c r="AU56" s="13" t="n">
        <f aca="false">AU55+AU51+AU52+AU53+AU54</f>
        <v>197.334071085754</v>
      </c>
      <c r="AV56" s="13" t="n">
        <f aca="false">AV55+AV51+AV52+AV53+AV54</f>
        <v>202.261241587036</v>
      </c>
      <c r="AW56" s="13" t="n">
        <f aca="false">AW55+AW51+AW52+AW53+AW54</f>
        <v>204.388116180541</v>
      </c>
      <c r="AX56" s="13" t="n">
        <f aca="false">AX55+AX51+AX52+AX53+AX54</f>
        <v>204.243689405396</v>
      </c>
      <c r="AY56" s="13" t="n">
        <f aca="false">AY55+AY51+AY52+AY53+AY54</f>
        <v>207.180631432313</v>
      </c>
      <c r="AZ56" s="13" t="n">
        <f aca="false">AZ55+AZ51+AZ52+AZ53+AZ54</f>
        <v>208.613708195696</v>
      </c>
      <c r="BA56" s="13" t="n">
        <f aca="false">BA55+BA51+BA52+BA53+BA54</f>
        <v>209.879326641693</v>
      </c>
      <c r="BB56" s="13" t="n">
        <f aca="false">BB55+BB51+BB52+BB53+BB54</f>
        <v>207.585683976232</v>
      </c>
      <c r="BC56" s="13" t="n">
        <f aca="false">BC55+BC51+BC52+BC53+BC54</f>
        <v>211.630056549633</v>
      </c>
      <c r="BD56" s="13" t="n">
        <f aca="false">BD55+BD51+BD52+BD53+BD54</f>
        <v>215.216351801121</v>
      </c>
      <c r="BE56" s="13" t="n">
        <f aca="false">BE55+BE51+BE52+BE53+BE54</f>
        <v>217.515914462009</v>
      </c>
      <c r="BF56" s="13" t="n">
        <f aca="false">BF55+BF51+BF52+BF53+BF54</f>
        <v>217.358576582138</v>
      </c>
      <c r="BG56" s="13" t="n">
        <f aca="false">BG55+BG51+BG52+BG53+BG54</f>
        <v>220.532925620718</v>
      </c>
      <c r="BH56" s="13" t="n">
        <f aca="false">BH55+BH51+BH52+BH53+BH54</f>
        <v>222.079034781665</v>
      </c>
      <c r="BI56" s="13" t="n">
        <f aca="false">BI55+BI51+BI52+BI53+BI54</f>
        <v>222.529295839892</v>
      </c>
      <c r="BJ56" s="13" t="n">
        <f aca="false">BJ55+BJ51+BJ52+BJ53+BJ54</f>
        <v>217.155453486585</v>
      </c>
      <c r="BK56" s="13" t="n">
        <f aca="false">BK55+BK51+BK52+BK53+BK54</f>
        <v>223.469585243309</v>
      </c>
      <c r="BL56" s="13" t="n">
        <f aca="false">BL55+BL51+BL52+BL53+BL54</f>
        <v>229.212008211435</v>
      </c>
      <c r="BM56" s="13" t="n">
        <f aca="false">BM55+BM51+BM52+BM53+BM54</f>
        <v>154.711350103131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613</v>
      </c>
      <c r="E57" s="0" t="s">
        <v>149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614</v>
      </c>
      <c r="E58" s="0" t="s">
        <v>149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615</v>
      </c>
    </row>
    <row r="60" customFormat="false" ht="15" hidden="false" customHeight="false" outlineLevel="0" collapsed="false">
      <c r="D60" s="0" t="s">
        <v>257</v>
      </c>
      <c r="E60" s="0" t="s">
        <v>149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616</v>
      </c>
      <c r="E61" s="0" t="s">
        <v>149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261</v>
      </c>
      <c r="E62" s="0" t="s">
        <v>149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617</v>
      </c>
      <c r="E63" s="0" t="s">
        <v>618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262</v>
      </c>
      <c r="E64" s="0" t="s">
        <v>149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264</v>
      </c>
      <c r="E65" s="0" t="s">
        <v>149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619</v>
      </c>
      <c r="E66" s="0" t="s">
        <v>149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267</v>
      </c>
      <c r="E67" s="0" t="s">
        <v>149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620</v>
      </c>
      <c r="E68" s="0" t="s">
        <v>149</v>
      </c>
      <c r="G68" s="13" t="n">
        <f aca="false">SUM(J68:BN68)</f>
        <v>21.0134097211548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0.375925931597974</v>
      </c>
      <c r="R68" s="13" t="n">
        <f aca="false">Inputs!$F$161/100*R55</f>
        <v>0.377292325080093</v>
      </c>
      <c r="S68" s="13" t="n">
        <f aca="false">Inputs!$F$161/100*S55</f>
        <v>0.379085702550131</v>
      </c>
      <c r="T68" s="13" t="n">
        <f aca="false">Inputs!$F$161/100*T55</f>
        <v>0.381039380442271</v>
      </c>
      <c r="U68" s="13" t="n">
        <f aca="false">Inputs!$F$161/100*U55</f>
        <v>0.382232525899421</v>
      </c>
      <c r="V68" s="13" t="n">
        <f aca="false">Inputs!$F$161/100*V55</f>
        <v>0.38292665070347</v>
      </c>
      <c r="W68" s="13" t="n">
        <f aca="false">Inputs!$F$161/100*W55</f>
        <v>0.385154890495171</v>
      </c>
      <c r="X68" s="13" t="n">
        <f aca="false">Inputs!$F$161/100*X55</f>
        <v>0.387929326641767</v>
      </c>
      <c r="Y68" s="13" t="n">
        <f aca="false">Inputs!$F$161/100*Y55</f>
        <v>0.389551258537155</v>
      </c>
      <c r="Z68" s="13" t="n">
        <f aca="false">Inputs!$F$161/100*Z55</f>
        <v>0.39104068814101</v>
      </c>
      <c r="AA68" s="13" t="n">
        <f aca="false">Inputs!$F$161/100*AA55</f>
        <v>0.392993216666565</v>
      </c>
      <c r="AB68" s="13" t="n">
        <f aca="false">Inputs!$F$161/100*AB55</f>
        <v>0.395119653314517</v>
      </c>
      <c r="AC68" s="13" t="n">
        <f aca="false">Inputs!$F$161/100*AC55</f>
        <v>0.396098340527819</v>
      </c>
      <c r="AD68" s="13" t="n">
        <f aca="false">Inputs!$F$161/100*AD55</f>
        <v>0.391140408936208</v>
      </c>
      <c r="AE68" s="13" t="n">
        <f aca="false">Inputs!$F$161/100*AE55</f>
        <v>0.398947198996515</v>
      </c>
      <c r="AF68" s="13" t="n">
        <f aca="false">Inputs!$F$161/100*AF55</f>
        <v>0.402623450704021</v>
      </c>
      <c r="AG68" s="13" t="n">
        <f aca="false">Inputs!$F$161/100*AG55</f>
        <v>0.404390581776228</v>
      </c>
      <c r="AH68" s="13" t="n">
        <f aca="false">Inputs!$F$161/100*AH55</f>
        <v>0.406014125106541</v>
      </c>
      <c r="AI68" s="13" t="n">
        <f aca="false">Inputs!$F$161/100*AI55</f>
        <v>0.40813991964613</v>
      </c>
      <c r="AJ68" s="13" t="n">
        <f aca="false">Inputs!$F$161/100*AJ55</f>
        <v>0.410454379265799</v>
      </c>
      <c r="AK68" s="13" t="n">
        <f aca="false">Inputs!$F$161/100*AK55</f>
        <v>0.411874767366753</v>
      </c>
      <c r="AL68" s="13" t="n">
        <f aca="false">Inputs!$F$161/100*AL55</f>
        <v>0.412708599167577</v>
      </c>
      <c r="AM68" s="13" t="n">
        <f aca="false">Inputs!$F$161/100*AM55</f>
        <v>0.415346451508198</v>
      </c>
      <c r="AN68" s="13" t="n">
        <f aca="false">Inputs!$F$161/100*AN55</f>
        <v>0.418626694494692</v>
      </c>
      <c r="AO68" s="13" t="n">
        <f aca="false">Inputs!$F$161/100*AO55</f>
        <v>0.420552020026163</v>
      </c>
      <c r="AP68" s="13" t="n">
        <f aca="false">Inputs!$F$161/100*AP55</f>
        <v>0.422321751961867</v>
      </c>
      <c r="AQ68" s="13" t="n">
        <f aca="false">Inputs!$F$161/100*AQ55</f>
        <v>0.424636178505231</v>
      </c>
      <c r="AR68" s="13" t="n">
        <f aca="false">Inputs!$F$161/100*AR55</f>
        <v>0.427155272832653</v>
      </c>
      <c r="AS68" s="13" t="n">
        <f aca="false">Inputs!$F$161/100*AS55</f>
        <v>0.428325115233841</v>
      </c>
      <c r="AT68" s="13" t="n">
        <f aca="false">Inputs!$F$161/100*AT55</f>
        <v>0.423054968754184</v>
      </c>
      <c r="AU68" s="13" t="n">
        <f aca="false">Inputs!$F$161/100*AU55</f>
        <v>0.431713600332744</v>
      </c>
      <c r="AV68" s="13" t="n">
        <f aca="false">Inputs!$F$161/100*AV55</f>
        <v>0.436055638704022</v>
      </c>
      <c r="AW68" s="13" t="n">
        <f aca="false">Inputs!$F$161/100*AW55</f>
        <v>0.438153316746979</v>
      </c>
      <c r="AX68" s="13" t="n">
        <f aca="false">Inputs!$F$161/100*AX55</f>
        <v>0.440082399212593</v>
      </c>
      <c r="AY68" s="13" t="n">
        <f aca="false">Inputs!$F$161/100*AY55</f>
        <v>0.44260218558592</v>
      </c>
      <c r="AZ68" s="13" t="n">
        <f aca="false">Inputs!$F$161/100*AZ55</f>
        <v>0.445343992727329</v>
      </c>
      <c r="BA68" s="13" t="n">
        <f aca="false">Inputs!$F$161/100*BA55</f>
        <v>0.447034903273082</v>
      </c>
      <c r="BB68" s="13" t="n">
        <f aca="false">Inputs!$F$161/100*BB55</f>
        <v>0.448036475386472</v>
      </c>
      <c r="BC68" s="13" t="n">
        <f aca="false">Inputs!$F$161/100*BC55</f>
        <v>0.451159148989593</v>
      </c>
      <c r="BD68" s="13" t="n">
        <f aca="false">Inputs!$F$161/100*BD55</f>
        <v>0.455037241154803</v>
      </c>
      <c r="BE68" s="13" t="n">
        <f aca="false">Inputs!$F$161/100*BE55</f>
        <v>0.457322696543481</v>
      </c>
      <c r="BF68" s="13" t="n">
        <f aca="false">Inputs!$F$161/100*BF55</f>
        <v>0.459425476360553</v>
      </c>
      <c r="BG68" s="13" t="n">
        <f aca="false">Inputs!$F$161/100*BG55</f>
        <v>0.46216883283879</v>
      </c>
      <c r="BH68" s="13" t="n">
        <f aca="false">Inputs!$F$161/100*BH55</f>
        <v>0.465153026592976</v>
      </c>
      <c r="BI68" s="13" t="n">
        <f aca="false">Inputs!$F$161/100*BI55</f>
        <v>0.4665513342357</v>
      </c>
      <c r="BJ68" s="13" t="n">
        <f aca="false">Inputs!$F$161/100*BJ55</f>
        <v>0.460913002499135</v>
      </c>
      <c r="BK68" s="13" t="n">
        <f aca="false">Inputs!$F$161/100*BK55</f>
        <v>0.470581659669465</v>
      </c>
      <c r="BL68" s="13" t="n">
        <f aca="false">Inputs!$F$161/100*BL55</f>
        <v>0.475709760060123</v>
      </c>
      <c r="BM68" s="13" t="n">
        <f aca="false">Inputs!$F$161/100*BM55</f>
        <v>0.318952678922493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271</v>
      </c>
      <c r="E69" s="0" t="s">
        <v>149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203</v>
      </c>
      <c r="E70" s="0" t="s">
        <v>149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621</v>
      </c>
      <c r="E71" s="0" t="s">
        <v>149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622</v>
      </c>
      <c r="E72" s="0" t="s">
        <v>149</v>
      </c>
      <c r="G72" s="13" t="n">
        <f aca="false">SUM(J72:BN72)</f>
        <v>1128.1600087771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5.75836399137642</v>
      </c>
      <c r="P72" s="13" t="n">
        <f aca="false">P60+P61+P62+P64+P65+P66+P67+P68+P69+P70+P71</f>
        <v>17.4574658935764</v>
      </c>
      <c r="Q72" s="13" t="n">
        <f aca="false">Q60+Q61+Q62+Q64+Q65+Q66+Q67+Q68+Q69+Q70+Q71</f>
        <v>17.6017487159346</v>
      </c>
      <c r="R72" s="13" t="n">
        <f aca="false">R60+R61+R62+R64+R65+R66+R67+R68+R69+R70+R71</f>
        <v>17.7072147729084</v>
      </c>
      <c r="S72" s="13" t="n">
        <f aca="false">S60+S61+S62+S64+S65+S66+S67+S68+S69+S70+S71</f>
        <v>17.9341254550187</v>
      </c>
      <c r="T72" s="13" t="n">
        <f aca="false">T60+T61+T62+T64+T65+T66+T67+T68+T69+T70+T71</f>
        <v>18.2047551040536</v>
      </c>
      <c r="U72" s="13" t="n">
        <f aca="false">U60+U61+U62+U64+U65+U66+U67+U68+U69+U70+U71</f>
        <v>18.2499495239068</v>
      </c>
      <c r="V72" s="13" t="n">
        <f aca="false">V60+V61+V62+V64+V65+V66+V67+V68+V69+V70+V71</f>
        <v>18.1457491176677</v>
      </c>
      <c r="W72" s="13" t="n">
        <f aca="false">W60+W61+W62+W64+W65+W66+W67+W68+W69+W70+W71</f>
        <v>18.4869466575179</v>
      </c>
      <c r="X72" s="13" t="n">
        <f aca="false">X60+X61+X62+X64+X65+X66+X67+X68+X69+X70+X71</f>
        <v>18.9849855107892</v>
      </c>
      <c r="Y72" s="13" t="n">
        <f aca="false">Y60+Y61+Y62+Y64+Y65+Y66+Y67+Y68+Y69+Y70+Y71</f>
        <v>19.1422813830959</v>
      </c>
      <c r="Z72" s="13" t="n">
        <f aca="false">Z60+Z61+Z62+Z64+Z65+Z66+Z67+Z68+Z69+Z70+Z71</f>
        <v>19.2572757717362</v>
      </c>
      <c r="AA72" s="13" t="n">
        <f aca="false">AA60+AA61+AA62+AA64+AA65+AA66+AA67+AA68+AA69+AA70+AA71</f>
        <v>19.5046198816516</v>
      </c>
      <c r="AB72" s="13" t="n">
        <f aca="false">AB60+AB61+AB62+AB64+AB65+AB66+AB67+AB68+AB69+AB70+AB71</f>
        <v>19.7996090706214</v>
      </c>
      <c r="AC72" s="13" t="n">
        <f aca="false">AC60+AC61+AC62+AC64+AC65+AC66+AC67+AC68+AC69+AC70+AC71</f>
        <v>19.7539854644344</v>
      </c>
      <c r="AD72" s="13" t="n">
        <f aca="false">AD60+AD61+AD62+AD64+AD65+AD66+AD67+AD68+AD69+AD70+AD71</f>
        <v>19.4799736382469</v>
      </c>
      <c r="AE72" s="13" t="n">
        <f aca="false">AE60+AE61+AE62+AE64+AE65+AE66+AE67+AE68+AE69+AE70+AE71</f>
        <v>19.9133232608234</v>
      </c>
      <c r="AF72" s="13" t="n">
        <f aca="false">AF60+AF61+AF62+AF64+AF65+AF66+AF67+AF68+AF69+AF70+AF71</f>
        <v>20.6501417331803</v>
      </c>
      <c r="AG72" s="13" t="n">
        <f aca="false">AG60+AG61+AG62+AG64+AG65+AG66+AG67+AG68+AG69+AG70+AG71</f>
        <v>20.8216242364756</v>
      </c>
      <c r="AH72" s="13" t="n">
        <f aca="false">AH60+AH61+AH62+AH64+AH65+AH66+AH67+AH68+AH69+AH70+AH71</f>
        <v>20.9470077557761</v>
      </c>
      <c r="AI72" s="13" t="n">
        <f aca="false">AI60+AI61+AI62+AI64+AI65+AI66+AI67+AI68+AI69+AI70+AI71</f>
        <v>21.2166251522691</v>
      </c>
      <c r="AJ72" s="13" t="n">
        <f aca="false">AJ60+AJ61+AJ62+AJ64+AJ65+AJ66+AJ67+AJ68+AJ69+AJ70+AJ71</f>
        <v>21.5381662610284</v>
      </c>
      <c r="AK72" s="13" t="n">
        <f aca="false">AK60+AK61+AK62+AK64+AK65+AK66+AK67+AK68+AK69+AK70+AK71</f>
        <v>21.591972998871</v>
      </c>
      <c r="AL72" s="13" t="n">
        <f aca="false">AL60+AL61+AL62+AL64+AL65+AL66+AL67+AL68+AL69+AL70+AL71</f>
        <v>21.468354141903</v>
      </c>
      <c r="AM72" s="13" t="n">
        <f aca="false">AM60+AM61+AM62+AM64+AM65+AM66+AM67+AM68+AM69+AM70+AM71</f>
        <v>21.8737086300817</v>
      </c>
      <c r="AN72" s="13" t="n">
        <f aca="false">AN60+AN61+AN62+AN64+AN65+AN66+AN67+AN68+AN69+AN70+AN71</f>
        <v>22.4653351740724</v>
      </c>
      <c r="AO72" s="13" t="n">
        <f aca="false">AO60+AO61+AO62+AO64+AO65+AO66+AO67+AO68+AO69+AO70+AO71</f>
        <v>22.6522837211702</v>
      </c>
      <c r="AP72" s="13" t="n">
        <f aca="false">AP60+AP61+AP62+AP64+AP65+AP66+AP67+AP68+AP69+AP70+AP71</f>
        <v>22.7889949320678</v>
      </c>
      <c r="AQ72" s="13" t="n">
        <f aca="false">AQ60+AQ61+AQ62+AQ64+AQ65+AQ66+AQ67+AQ68+AQ69+AQ70+AQ71</f>
        <v>23.0828911210165</v>
      </c>
      <c r="AR72" s="13" t="n">
        <f aca="false">AR60+AR61+AR62+AR64+AR65+AR66+AR67+AR68+AR69+AR70+AR71</f>
        <v>23.4333738237227</v>
      </c>
      <c r="AS72" s="13" t="n">
        <f aca="false">AS60+AS61+AS62+AS64+AS65+AS66+AS67+AS68+AS69+AS70+AS71</f>
        <v>23.3793338073707</v>
      </c>
      <c r="AT72" s="13" t="n">
        <f aca="false">AT60+AT61+AT62+AT64+AT65+AT66+AT67+AT68+AT69+AT70+AT71</f>
        <v>23.054748133438</v>
      </c>
      <c r="AU72" s="13" t="n">
        <f aca="false">AU60+AU61+AU62+AU64+AU65+AU66+AU67+AU68+AU69+AU70+AU71</f>
        <v>23.5688626095593</v>
      </c>
      <c r="AV72" s="13" t="n">
        <f aca="false">AV60+AV61+AV62+AV64+AV65+AV66+AV67+AV68+AV69+AV70+AV71</f>
        <v>24.444083602517</v>
      </c>
      <c r="AW72" s="13" t="n">
        <f aca="false">AW60+AW61+AW62+AW64+AW65+AW66+AW67+AW68+AW69+AW70+AW71</f>
        <v>24.6478929810627</v>
      </c>
      <c r="AX72" s="13" t="n">
        <f aca="false">AX60+AX61+AX62+AX64+AX65+AX66+AX67+AX68+AX69+AX70+AX71</f>
        <v>24.7969552308929</v>
      </c>
      <c r="AY72" s="13" t="n">
        <f aca="false">AY60+AY61+AY62+AY64+AY65+AY66+AY67+AY68+AY69+AY70+AY71</f>
        <v>25.117316277368</v>
      </c>
      <c r="AZ72" s="13" t="n">
        <f aca="false">AZ60+AZ61+AZ62+AZ64+AZ65+AZ66+AZ67+AZ68+AZ69+AZ70+AZ71</f>
        <v>25.4993452951761</v>
      </c>
      <c r="BA72" s="13" t="n">
        <f aca="false">BA60+BA61+BA62+BA64+BA65+BA66+BA67+BA68+BA69+BA70+BA71</f>
        <v>25.5634055204311</v>
      </c>
      <c r="BB72" s="13" t="n">
        <f aca="false">BB60+BB61+BB62+BB64+BB65+BB66+BB67+BB68+BB69+BB70+BB71</f>
        <v>25.4167509642183</v>
      </c>
      <c r="BC72" s="13" t="n">
        <f aca="false">BC60+BC61+BC62+BC64+BC65+BC66+BC67+BC68+BC69+BC70+BC71</f>
        <v>25.8983245793522</v>
      </c>
      <c r="BD72" s="13" t="n">
        <f aca="false">BD60+BD61+BD62+BD64+BD65+BD66+BD67+BD68+BD69+BD70+BD71</f>
        <v>26.6011225773252</v>
      </c>
      <c r="BE72" s="13" t="n">
        <f aca="false">BE60+BE61+BE62+BE64+BE65+BE66+BE67+BE68+BE69+BE70+BE71</f>
        <v>26.8233133533053</v>
      </c>
      <c r="BF72" s="13" t="n">
        <f aca="false">BF60+BF61+BF62+BF64+BF65+BF66+BF67+BF68+BF69+BF70+BF71</f>
        <v>26.9858424347673</v>
      </c>
      <c r="BG72" s="13" t="n">
        <f aca="false">BG60+BG61+BG62+BG64+BG65+BG66+BG67+BG68+BG69+BG70+BG71</f>
        <v>27.3350512174119</v>
      </c>
      <c r="BH72" s="13" t="n">
        <f aca="false">BH60+BH61+BH62+BH64+BH65+BH66+BH67+BH68+BH69+BH70+BH71</f>
        <v>27.7514656683858</v>
      </c>
      <c r="BI72" s="13" t="n">
        <f aca="false">BI60+BI61+BI62+BI64+BI65+BI66+BI67+BI68+BI69+BI70+BI71</f>
        <v>27.6874581026048</v>
      </c>
      <c r="BJ72" s="13" t="n">
        <f aca="false">BJ60+BJ61+BJ62+BJ64+BJ65+BJ66+BJ67+BJ68+BJ69+BJ70+BJ71</f>
        <v>27.3028563262922</v>
      </c>
      <c r="BK72" s="13" t="n">
        <f aca="false">BK60+BK61+BK62+BK64+BK65+BK66+BK67+BK68+BK69+BK70+BK71</f>
        <v>27.912898366566</v>
      </c>
      <c r="BL72" s="13" t="n">
        <f aca="false">BL60+BL61+BL62+BL64+BL65+BL66+BL67+BL68+BL69+BL70+BL71</f>
        <v>28.9525151454309</v>
      </c>
      <c r="BM72" s="13" t="n">
        <f aca="false">BM60+BM61+BM62+BM64+BM65+BM66+BM67+BM68+BM69+BM70+BM71</f>
        <v>19.5076136886312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623</v>
      </c>
      <c r="E73" s="0" t="s">
        <v>149</v>
      </c>
      <c r="G73" s="13" t="n">
        <f aca="false">SUM(J73:BN73)</f>
        <v>4890.55365079805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25.73098281395</v>
      </c>
      <c r="P73" s="13" t="n">
        <f aca="false">P42*P41/1000000</f>
        <v>77.1852057954582</v>
      </c>
      <c r="Q73" s="13" t="n">
        <f aca="false">Q42*Q41/1000000</f>
        <v>78.465244465635</v>
      </c>
      <c r="R73" s="13" t="n">
        <f aca="false">R42*R41/1000000</f>
        <v>77.9498629222601</v>
      </c>
      <c r="S73" s="13" t="n">
        <f aca="false">S42*S41/1000000</f>
        <v>79.7534070844464</v>
      </c>
      <c r="T73" s="13" t="n">
        <f aca="false">T42*T41/1000000</f>
        <v>80.2544807799192</v>
      </c>
      <c r="U73" s="13" t="n">
        <f aca="false">U42*U41/1000000</f>
        <v>80.9161498839552</v>
      </c>
      <c r="V73" s="13" t="n">
        <f aca="false">V42*V41/1000000</f>
        <v>79.0423514574039</v>
      </c>
      <c r="W73" s="13" t="n">
        <f aca="false">W42*W41/1000000</f>
        <v>81.5596170351762</v>
      </c>
      <c r="X73" s="13" t="n">
        <f aca="false">X42*X41/1000000</f>
        <v>83.4445713392668</v>
      </c>
      <c r="Y73" s="13" t="n">
        <f aca="false">Y42*Y41/1000000</f>
        <v>84.8277877116459</v>
      </c>
      <c r="Z73" s="13" t="n">
        <f aca="false">Z42*Z41/1000000</f>
        <v>84.2699915009788</v>
      </c>
      <c r="AA73" s="13" t="n">
        <f aca="false">AA42*AA41/1000000</f>
        <v>86.2191275153245</v>
      </c>
      <c r="AB73" s="13" t="n">
        <f aca="false">AB42*AB41/1000000</f>
        <v>86.760181213263</v>
      </c>
      <c r="AC73" s="13" t="n">
        <f aca="false">AC42*AC41/1000000</f>
        <v>86.8774192946939</v>
      </c>
      <c r="AD73" s="13" t="n">
        <f aca="false">AD42*AD41/1000000</f>
        <v>83.6565587500607</v>
      </c>
      <c r="AE73" s="13" t="n">
        <f aca="false">AE42*AE41/1000000</f>
        <v>86.950817416645</v>
      </c>
      <c r="AF73" s="13" t="n">
        <f aca="false">AF42*AF41/1000000</f>
        <v>90.2061950496166</v>
      </c>
      <c r="AG73" s="13" t="n">
        <f aca="false">AG42*AG41/1000000</f>
        <v>91.7008143065316</v>
      </c>
      <c r="AH73" s="13" t="n">
        <f aca="false">AH42*AH41/1000000</f>
        <v>91.0971468030825</v>
      </c>
      <c r="AI73" s="13" t="n">
        <f aca="false">AI42*AI41/1000000</f>
        <v>93.2034997853314</v>
      </c>
      <c r="AJ73" s="13" t="n">
        <f aca="false">AJ42*AJ41/1000000</f>
        <v>93.7876852647484</v>
      </c>
      <c r="AK73" s="13" t="n">
        <f aca="false">AK42*AK41/1000000</f>
        <v>94.5595263127573</v>
      </c>
      <c r="AL73" s="13" t="n">
        <f aca="false">AL42*AL41/1000000</f>
        <v>92.3684117734683</v>
      </c>
      <c r="AM73" s="13" t="n">
        <f aca="false">AM42*AM41/1000000</f>
        <v>95.3086561145915</v>
      </c>
      <c r="AN73" s="13" t="n">
        <f aca="false">AN42*AN41/1000000</f>
        <v>97.5099191604306</v>
      </c>
      <c r="AO73" s="13" t="n">
        <f aca="false">AO42*AO41/1000000</f>
        <v>99.1248142365637</v>
      </c>
      <c r="AP73" s="13" t="n">
        <f aca="false">AP42*AP41/1000000</f>
        <v>98.4715399528155</v>
      </c>
      <c r="AQ73" s="13" t="n">
        <f aca="false">AQ42*AQ41/1000000</f>
        <v>100.747652174361</v>
      </c>
      <c r="AR73" s="13" t="n">
        <f aca="false">AR42*AR41/1000000</f>
        <v>101.378366305647</v>
      </c>
      <c r="AS73" s="13" t="n">
        <f aca="false">AS42*AS41/1000000</f>
        <v>101.513844109913</v>
      </c>
      <c r="AT73" s="13" t="n">
        <f aca="false">AT42*AT41/1000000</f>
        <v>97.748900025806</v>
      </c>
      <c r="AU73" s="13" t="n">
        <f aca="false">AU42*AU41/1000000</f>
        <v>101.596575637686</v>
      </c>
      <c r="AV73" s="13" t="n">
        <f aca="false">AV42*AV41/1000000</f>
        <v>105.398706193355</v>
      </c>
      <c r="AW73" s="13" t="n">
        <f aca="false">AW42*AW41/1000000</f>
        <v>107.143448083852</v>
      </c>
      <c r="AX73" s="13" t="n">
        <f aca="false">AX42*AX41/1000000</f>
        <v>106.436530414813</v>
      </c>
      <c r="AY73" s="13" t="n">
        <f aca="false">AY42*AY41/1000000</f>
        <v>108.895932682542</v>
      </c>
      <c r="AZ73" s="13" t="n">
        <f aca="false">AZ42*AZ41/1000000</f>
        <v>109.576836182168</v>
      </c>
      <c r="BA73" s="13" t="n">
        <f aca="false">BA42*BA41/1000000</f>
        <v>110.476962502246</v>
      </c>
      <c r="BB73" s="13" t="n">
        <f aca="false">BB42*BB41/1000000</f>
        <v>107.915395678231</v>
      </c>
      <c r="BC73" s="13" t="n">
        <f aca="false">BC42*BC41/1000000</f>
        <v>111.348858138568</v>
      </c>
      <c r="BD73" s="13" t="n">
        <f aca="false">BD42*BD41/1000000</f>
        <v>113.918879733346</v>
      </c>
      <c r="BE73" s="13" t="n">
        <f aca="false">BE42*BE41/1000000</f>
        <v>115.803791645587</v>
      </c>
      <c r="BF73" s="13" t="n">
        <f aca="false">BF42*BF41/1000000</f>
        <v>115.038868858136</v>
      </c>
      <c r="BG73" s="13" t="n">
        <f aca="false">BG42*BG41/1000000</f>
        <v>117.696157361461</v>
      </c>
      <c r="BH73" s="13" t="n">
        <f aca="false">BH42*BH41/1000000</f>
        <v>118.431194953835</v>
      </c>
      <c r="BI73" s="13" t="n">
        <f aca="false">BI42*BI41/1000000</f>
        <v>118.58767824655</v>
      </c>
      <c r="BJ73" s="13" t="n">
        <f aca="false">BJ42*BJ41/1000000</f>
        <v>114.187782052212</v>
      </c>
      <c r="BK73" s="13" t="n">
        <f aca="false">BK42*BK41/1000000</f>
        <v>118.680752403128</v>
      </c>
      <c r="BL73" s="13" t="n">
        <f aca="false">BL42*BL41/1000000</f>
        <v>123.120383456475</v>
      </c>
      <c r="BM73" s="13" t="n">
        <f aca="false">BM42*BM41/1000000</f>
        <v>83.7081882181135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624</v>
      </c>
      <c r="E74" s="0" t="s">
        <v>149</v>
      </c>
      <c r="G74" s="13" t="n">
        <f aca="false">SUM(J74:BN74)</f>
        <v>5727.32992541584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30.3693941991122</v>
      </c>
      <c r="P74" s="13" t="n">
        <f aca="false">P73+P52+P53+P54</f>
        <v>91.1627555204036</v>
      </c>
      <c r="Q74" s="13" t="n">
        <f aca="false">Q73+Q52+Q53+Q54</f>
        <v>92.4535708096896</v>
      </c>
      <c r="R74" s="13" t="n">
        <f aca="false">R73+R52+R53+R54</f>
        <v>92.1123083389789</v>
      </c>
      <c r="S74" s="13" t="n">
        <f aca="false">S73+S52+S53+S54</f>
        <v>93.9426640295733</v>
      </c>
      <c r="T74" s="13" t="n">
        <f aca="false">T73+T52+T53+T54</f>
        <v>94.652951535959</v>
      </c>
      <c r="U74" s="13" t="n">
        <f aca="false">U73+U52+U53+U54</f>
        <v>95.3700562753901</v>
      </c>
      <c r="V74" s="13" t="n">
        <f aca="false">V73+V52+V53+V54</f>
        <v>93.5681098563624</v>
      </c>
      <c r="W74" s="13" t="n">
        <f aca="false">W73+W52+W53+W54</f>
        <v>96.133390813805</v>
      </c>
      <c r="X74" s="13" t="n">
        <f aca="false">X73+X52+X53+X54</f>
        <v>98.2766009097452</v>
      </c>
      <c r="Y74" s="13" t="n">
        <f aca="false">Y73+Y52+Y53+Y54</f>
        <v>99.6711981336584</v>
      </c>
      <c r="Z74" s="13" t="n">
        <f aca="false">Z73+Z52+Z53+Z54</f>
        <v>99.2982077219474</v>
      </c>
      <c r="AA74" s="13" t="n">
        <f aca="false">AA73+AA52+AA53+AA54</f>
        <v>101.275721141714</v>
      </c>
      <c r="AB74" s="13" t="n">
        <f aca="false">AB73+AB52+AB53+AB54</f>
        <v>102.038785663564</v>
      </c>
      <c r="AC74" s="13" t="n">
        <f aca="false">AC73+AC52+AC53+AC54</f>
        <v>102.196388423457</v>
      </c>
      <c r="AD74" s="13" t="n">
        <f aca="false">AD73+AD52+AD53+AD54</f>
        <v>99.0149752517049</v>
      </c>
      <c r="AE74" s="13" t="n">
        <f aca="false">AE73+AE52+AE53+AE54</f>
        <v>102.377976486296</v>
      </c>
      <c r="AF74" s="13" t="n">
        <f aca="false">AF73+AF52+AF53+AF54</f>
        <v>105.944780014625</v>
      </c>
      <c r="AG74" s="13" t="n">
        <f aca="false">AG73+AG52+AG53+AG54</f>
        <v>107.451416051078</v>
      </c>
      <c r="AH74" s="13" t="n">
        <f aca="false">AH73+AH52+AH53+AH54</f>
        <v>107.043898019981</v>
      </c>
      <c r="AI74" s="13" t="n">
        <f aca="false">AI73+AI52+AI53+AI54</f>
        <v>109.180282561477</v>
      </c>
      <c r="AJ74" s="13" t="n">
        <f aca="false">AJ73+AJ52+AJ53+AJ54</f>
        <v>110.000057572012</v>
      </c>
      <c r="AK74" s="13" t="n">
        <f aca="false">AK73+AK52+AK53+AK54</f>
        <v>110.834279512853</v>
      </c>
      <c r="AL74" s="13" t="n">
        <f aca="false">AL73+AL52+AL53+AL54</f>
        <v>108.724237057493</v>
      </c>
      <c r="AM74" s="13" t="n">
        <f aca="false">AM73+AM52+AM53+AM54</f>
        <v>111.718331224462</v>
      </c>
      <c r="AN74" s="13" t="n">
        <f aca="false">AN73+AN52+AN53+AN54</f>
        <v>114.210298798986</v>
      </c>
      <c r="AO74" s="13" t="n">
        <f aca="false">AO73+AO52+AO53+AO54</f>
        <v>115.837879777501</v>
      </c>
      <c r="AP74" s="13" t="n">
        <f aca="false">AP73+AP52+AP53+AP54</f>
        <v>115.392796034862</v>
      </c>
      <c r="AQ74" s="13" t="n">
        <f aca="false">AQ73+AQ52+AQ53+AQ54</f>
        <v>117.700687003539</v>
      </c>
      <c r="AR74" s="13" t="n">
        <f aca="false">AR73+AR52+AR53+AR54</f>
        <v>118.581398750741</v>
      </c>
      <c r="AS74" s="13" t="n">
        <f aca="false">AS73+AS52+AS53+AS54</f>
        <v>118.762331320275</v>
      </c>
      <c r="AT74" s="13" t="n">
        <f aca="false">AT73+AT52+AT53+AT54</f>
        <v>115.042085799165</v>
      </c>
      <c r="AU74" s="13" t="n">
        <f aca="false">AU73+AU52+AU53+AU54</f>
        <v>118.966881841612</v>
      </c>
      <c r="AV74" s="13" t="n">
        <f aca="false">AV73+AV52+AV53+AV54</f>
        <v>123.119475097615</v>
      </c>
      <c r="AW74" s="13" t="n">
        <f aca="false">AW73+AW52+AW53+AW54</f>
        <v>124.877606765003</v>
      </c>
      <c r="AX74" s="13" t="n">
        <f aca="false">AX73+AX52+AX53+AX54</f>
        <v>124.391661043734</v>
      </c>
      <c r="AY74" s="13" t="n">
        <f aca="false">AY73+AY52+AY53+AY54</f>
        <v>126.884687278145</v>
      </c>
      <c r="AZ74" s="13" t="n">
        <f aca="false">AZ73+AZ52+AZ53+AZ54</f>
        <v>127.83087644408</v>
      </c>
      <c r="BA74" s="13" t="n">
        <f aca="false">BA73+BA52+BA53+BA54</f>
        <v>128.801196402025</v>
      </c>
      <c r="BB74" s="13" t="n">
        <f aca="false">BB73+BB52+BB53+BB54</f>
        <v>126.331121770805</v>
      </c>
      <c r="BC74" s="13" t="n">
        <f aca="false">BC73+BC52+BC53+BC54</f>
        <v>129.824956640078</v>
      </c>
      <c r="BD74" s="13" t="n">
        <f aca="false">BD73+BD52+BD53+BD54</f>
        <v>132.722190954215</v>
      </c>
      <c r="BE74" s="13" t="n">
        <f aca="false">BE73+BE52+BE53+BE54</f>
        <v>134.621232884901</v>
      </c>
      <c r="BF74" s="13" t="n">
        <f aca="false">BF73+BF52+BF53+BF54</f>
        <v>134.090849380663</v>
      </c>
      <c r="BG74" s="13" t="n">
        <f aca="false">BG73+BG52+BG53+BG54</f>
        <v>136.783710350767</v>
      </c>
      <c r="BH74" s="13" t="n">
        <f aca="false">BH73+BH52+BH53+BH54</f>
        <v>137.800255294735</v>
      </c>
      <c r="BI74" s="13" t="n">
        <f aca="false">BI73+BI52+BI53+BI54</f>
        <v>138.007927983268</v>
      </c>
      <c r="BJ74" s="13" t="n">
        <f aca="false">BJ73+BJ52+BJ53+BJ54</f>
        <v>133.658707850668</v>
      </c>
      <c r="BK74" s="13" t="n">
        <f aca="false">BK73+BK52+BK53+BK54</f>
        <v>138.23816998971</v>
      </c>
      <c r="BL74" s="13" t="n">
        <f aca="false">BL73+BL52+BL53+BL54</f>
        <v>143.072163907049</v>
      </c>
      <c r="BM74" s="13" t="n">
        <f aca="false">BM73+BM52+BM53+BM54</f>
        <v>96.9664389263518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625</v>
      </c>
      <c r="E75" s="0" t="s">
        <v>149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626</v>
      </c>
      <c r="E76" s="0" t="s">
        <v>149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627</v>
      </c>
      <c r="E77" s="0" t="s">
        <v>336</v>
      </c>
      <c r="J77" s="10" t="n">
        <f aca="false">INT((Time!J33-Inputs!$F$221)/12)+1</f>
        <v>0</v>
      </c>
      <c r="K77" s="10" t="n">
        <f aca="false">INT((Time!K33-Inputs!$F$221)/12)+1</f>
        <v>0</v>
      </c>
      <c r="L77" s="10" t="n">
        <f aca="false">INT((Time!L33-Inputs!$F$221)/12)+1</f>
        <v>0</v>
      </c>
      <c r="M77" s="10" t="n">
        <f aca="false">INT((Time!M33-Inputs!$F$221)/12)+1</f>
        <v>0</v>
      </c>
      <c r="N77" s="10" t="n">
        <f aca="false">INT((Time!N33-Inputs!$F$221)/12)+1</f>
        <v>0</v>
      </c>
      <c r="O77" s="10" t="n">
        <f aca="false">INT((Time!O33-Inputs!$F$221)/12)+1</f>
        <v>0</v>
      </c>
      <c r="P77" s="10" t="n">
        <f aca="false">INT((Time!P33-Inputs!$F$221)/12)+1</f>
        <v>1</v>
      </c>
      <c r="Q77" s="10" t="n">
        <f aca="false">INT((Time!Q33-Inputs!$F$221)/12)+1</f>
        <v>1</v>
      </c>
      <c r="R77" s="10" t="n">
        <f aca="false">INT((Time!R33-Inputs!$F$221)/12)+1</f>
        <v>2</v>
      </c>
      <c r="S77" s="10" t="n">
        <f aca="false">INT((Time!S33-Inputs!$F$221)/12)+1</f>
        <v>2</v>
      </c>
      <c r="T77" s="10" t="n">
        <f aca="false">INT((Time!T33-Inputs!$F$221)/12)+1</f>
        <v>3</v>
      </c>
      <c r="U77" s="10" t="n">
        <f aca="false">INT((Time!U33-Inputs!$F$221)/12)+1</f>
        <v>3</v>
      </c>
      <c r="V77" s="10" t="n">
        <f aca="false">INT((Time!V33-Inputs!$F$221)/12)+1</f>
        <v>4</v>
      </c>
      <c r="W77" s="10" t="n">
        <f aca="false">INT((Time!W33-Inputs!$F$221)/12)+1</f>
        <v>4</v>
      </c>
      <c r="X77" s="10" t="n">
        <f aca="false">INT((Time!X33-Inputs!$F$221)/12)+1</f>
        <v>5</v>
      </c>
      <c r="Y77" s="10" t="n">
        <f aca="false">INT((Time!Y33-Inputs!$F$221)/12)+1</f>
        <v>5</v>
      </c>
      <c r="Z77" s="10" t="n">
        <f aca="false">INT((Time!Z33-Inputs!$F$221)/12)+1</f>
        <v>6</v>
      </c>
      <c r="AA77" s="10" t="n">
        <f aca="false">INT((Time!AA33-Inputs!$F$221)/12)+1</f>
        <v>6</v>
      </c>
      <c r="AB77" s="10" t="n">
        <f aca="false">INT((Time!AB33-Inputs!$F$221)/12)+1</f>
        <v>7</v>
      </c>
      <c r="AC77" s="10" t="n">
        <f aca="false">INT((Time!AC33-Inputs!$F$221)/12)+1</f>
        <v>7</v>
      </c>
      <c r="AD77" s="10" t="n">
        <f aca="false">INT((Time!AD33-Inputs!$F$221)/12)+1</f>
        <v>8</v>
      </c>
      <c r="AE77" s="10" t="n">
        <f aca="false">INT((Time!AE33-Inputs!$F$221)/12)+1</f>
        <v>8</v>
      </c>
      <c r="AF77" s="10" t="n">
        <f aca="false">INT((Time!AF33-Inputs!$F$221)/12)+1</f>
        <v>9</v>
      </c>
      <c r="AG77" s="10" t="n">
        <f aca="false">INT((Time!AG33-Inputs!$F$221)/12)+1</f>
        <v>9</v>
      </c>
      <c r="AH77" s="10" t="n">
        <f aca="false">INT((Time!AH33-Inputs!$F$221)/12)+1</f>
        <v>10</v>
      </c>
      <c r="AI77" s="10" t="n">
        <f aca="false">INT((Time!AI33-Inputs!$F$221)/12)+1</f>
        <v>10</v>
      </c>
      <c r="AJ77" s="10" t="n">
        <f aca="false">INT((Time!AJ33-Inputs!$F$221)/12)+1</f>
        <v>11</v>
      </c>
      <c r="AK77" s="10" t="n">
        <f aca="false">INT((Time!AK33-Inputs!$F$221)/12)+1</f>
        <v>11</v>
      </c>
      <c r="AL77" s="10" t="n">
        <f aca="false">INT((Time!AL33-Inputs!$F$221)/12)+1</f>
        <v>12</v>
      </c>
      <c r="AM77" s="10" t="n">
        <f aca="false">INT((Time!AM33-Inputs!$F$221)/12)+1</f>
        <v>12</v>
      </c>
      <c r="AN77" s="10" t="n">
        <f aca="false">INT((Time!AN33-Inputs!$F$221)/12)+1</f>
        <v>13</v>
      </c>
      <c r="AO77" s="10" t="n">
        <f aca="false">INT((Time!AO33-Inputs!$F$221)/12)+1</f>
        <v>13</v>
      </c>
      <c r="AP77" s="10" t="n">
        <f aca="false">INT((Time!AP33-Inputs!$F$221)/12)+1</f>
        <v>14</v>
      </c>
      <c r="AQ77" s="10" t="n">
        <f aca="false">INT((Time!AQ33-Inputs!$F$221)/12)+1</f>
        <v>14</v>
      </c>
      <c r="AR77" s="10" t="n">
        <f aca="false">INT((Time!AR33-Inputs!$F$221)/12)+1</f>
        <v>15</v>
      </c>
      <c r="AS77" s="10" t="n">
        <f aca="false">INT((Time!AS33-Inputs!$F$221)/12)+1</f>
        <v>15</v>
      </c>
      <c r="AT77" s="10" t="n">
        <f aca="false">INT((Time!AT33-Inputs!$F$221)/12)+1</f>
        <v>16</v>
      </c>
      <c r="AU77" s="10" t="n">
        <f aca="false">INT((Time!AU33-Inputs!$F$221)/12)+1</f>
        <v>16</v>
      </c>
      <c r="AV77" s="10" t="n">
        <f aca="false">INT((Time!AV33-Inputs!$F$221)/12)+1</f>
        <v>17</v>
      </c>
      <c r="AW77" s="10" t="n">
        <f aca="false">INT((Time!AW33-Inputs!$F$221)/12)+1</f>
        <v>17</v>
      </c>
      <c r="AX77" s="10" t="n">
        <f aca="false">INT((Time!AX33-Inputs!$F$221)/12)+1</f>
        <v>18</v>
      </c>
      <c r="AY77" s="10" t="n">
        <f aca="false">INT((Time!AY33-Inputs!$F$221)/12)+1</f>
        <v>18</v>
      </c>
      <c r="AZ77" s="10" t="n">
        <f aca="false">INT((Time!AZ33-Inputs!$F$221)/12)+1</f>
        <v>19</v>
      </c>
      <c r="BA77" s="10" t="n">
        <f aca="false">INT((Time!BA33-Inputs!$F$221)/12)+1</f>
        <v>19</v>
      </c>
      <c r="BB77" s="10" t="n">
        <f aca="false">INT((Time!BB33-Inputs!$F$221)/12)+1</f>
        <v>20</v>
      </c>
      <c r="BC77" s="10" t="n">
        <f aca="false">INT((Time!BC33-Inputs!$F$221)/12)+1</f>
        <v>20</v>
      </c>
      <c r="BD77" s="10" t="n">
        <f aca="false">INT((Time!BD33-Inputs!$F$221)/12)+1</f>
        <v>21</v>
      </c>
      <c r="BE77" s="10" t="n">
        <f aca="false">INT((Time!BE33-Inputs!$F$221)/12)+1</f>
        <v>21</v>
      </c>
      <c r="BF77" s="10" t="n">
        <f aca="false">INT((Time!BF33-Inputs!$F$221)/12)+1</f>
        <v>22</v>
      </c>
      <c r="BG77" s="10" t="n">
        <f aca="false">INT((Time!BG33-Inputs!$F$221)/12)+1</f>
        <v>22</v>
      </c>
      <c r="BH77" s="10" t="n">
        <f aca="false">INT((Time!BH33-Inputs!$F$221)/12)+1</f>
        <v>23</v>
      </c>
      <c r="BI77" s="10" t="n">
        <f aca="false">INT((Time!BI33-Inputs!$F$221)/12)+1</f>
        <v>23</v>
      </c>
      <c r="BJ77" s="10" t="n">
        <f aca="false">INT((Time!BJ33-Inputs!$F$221)/12)+1</f>
        <v>24</v>
      </c>
      <c r="BK77" s="10" t="n">
        <f aca="false">INT((Time!BK33-Inputs!$F$221)/12)+1</f>
        <v>24</v>
      </c>
      <c r="BL77" s="10" t="n">
        <f aca="false">INT((Time!BL33-Inputs!$F$221)/12)+1</f>
        <v>25</v>
      </c>
      <c r="BM77" s="10" t="n">
        <f aca="false">INT((Time!BM33-Inputs!$F$221)/12)+1</f>
        <v>25</v>
      </c>
      <c r="BN77" s="10" t="n">
        <f aca="false">INT((Time!BN33-Inputs!$F$221)/12)+1</f>
        <v>25</v>
      </c>
    </row>
    <row r="78" customFormat="false" ht="15" hidden="false" customHeight="false" outlineLevel="0" collapsed="false">
      <c r="D78" s="0" t="s">
        <v>628</v>
      </c>
      <c r="E78" s="0" t="s">
        <v>149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629</v>
      </c>
      <c r="E79" s="0" t="s">
        <v>149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630</v>
      </c>
      <c r="E80" s="0" t="s">
        <v>97</v>
      </c>
      <c r="J80" s="10" t="n">
        <f aca="false">MAX(0,MIN(Time!J33,Time!$F$9)-MAX(Time!J32,(Inputs!$F$227-1)*12))</f>
        <v>0</v>
      </c>
      <c r="K80" s="10" t="n">
        <f aca="false">MAX(0,MIN(Time!K33,Time!$F$9)-MAX(Time!K32,(Inputs!$F$227-1)*12))</f>
        <v>0</v>
      </c>
      <c r="L80" s="10" t="n">
        <f aca="false">MAX(0,MIN(Time!L33,Time!$F$9)-MAX(Time!L32,(Inputs!$F$227-1)*12))</f>
        <v>0</v>
      </c>
      <c r="M80" s="10" t="n">
        <f aca="false">MAX(0,MIN(Time!M33,Time!$F$9)-MAX(Time!M32,(Inputs!$F$227-1)*12))</f>
        <v>0</v>
      </c>
      <c r="N80" s="10" t="n">
        <f aca="false">MAX(0,MIN(Time!N33,Time!$F$9)-MAX(Time!N32,(Inputs!$F$227-1)*12))</f>
        <v>0</v>
      </c>
      <c r="O80" s="10" t="n">
        <f aca="false">MAX(0,MIN(Time!O33,Time!$F$9)-MAX(Time!O32,(Inputs!$F$227-1)*12))</f>
        <v>0</v>
      </c>
      <c r="P80" s="10" t="n">
        <f aca="false">MAX(0,MIN(Time!P33,Time!$F$9)-MAX(Time!P32,(Inputs!$F$227-1)*12))</f>
        <v>0</v>
      </c>
      <c r="Q80" s="10" t="n">
        <f aca="false">MAX(0,MIN(Time!Q33,Time!$F$9)-MAX(Time!Q32,(Inputs!$F$227-1)*12))</f>
        <v>0</v>
      </c>
      <c r="R80" s="10" t="n">
        <f aca="false">MAX(0,MIN(Time!R33,Time!$F$9)-MAX(Time!R32,(Inputs!$F$227-1)*12))</f>
        <v>0</v>
      </c>
      <c r="S80" s="10" t="n">
        <f aca="false">MAX(0,MIN(Time!S33,Time!$F$9)-MAX(Time!S32,(Inputs!$F$227-1)*12))</f>
        <v>0</v>
      </c>
      <c r="T80" s="10" t="n">
        <f aca="false">MAX(0,MIN(Time!T33,Time!$F$9)-MAX(Time!T32,(Inputs!$F$227-1)*12))</f>
        <v>0</v>
      </c>
      <c r="U80" s="10" t="n">
        <f aca="false">MAX(0,MIN(Time!U33,Time!$F$9)-MAX(Time!U32,(Inputs!$F$227-1)*12))</f>
        <v>0</v>
      </c>
      <c r="V80" s="10" t="n">
        <f aca="false">MAX(0,MIN(Time!V33,Time!$F$9)-MAX(Time!V32,(Inputs!$F$227-1)*12))</f>
        <v>0</v>
      </c>
      <c r="W80" s="10" t="n">
        <f aca="false">MAX(0,MIN(Time!W33,Time!$F$9)-MAX(Time!W32,(Inputs!$F$227-1)*12))</f>
        <v>0</v>
      </c>
      <c r="X80" s="10" t="n">
        <f aca="false">MAX(0,MIN(Time!X33,Time!$F$9)-MAX(Time!X32,(Inputs!$F$227-1)*12))</f>
        <v>0</v>
      </c>
      <c r="Y80" s="10" t="n">
        <f aca="false">MAX(0,MIN(Time!Y33,Time!$F$9)-MAX(Time!Y32,(Inputs!$F$227-1)*12))</f>
        <v>0</v>
      </c>
      <c r="Z80" s="10" t="n">
        <f aca="false">MAX(0,MIN(Time!Z33,Time!$F$9)-MAX(Time!Z32,(Inputs!$F$227-1)*12))</f>
        <v>0</v>
      </c>
      <c r="AA80" s="10" t="n">
        <f aca="false">MAX(0,MIN(Time!AA33,Time!$F$9)-MAX(Time!AA32,(Inputs!$F$227-1)*12))</f>
        <v>0</v>
      </c>
      <c r="AB80" s="10" t="n">
        <f aca="false">MAX(0,MIN(Time!AB33,Time!$F$9)-MAX(Time!AB32,(Inputs!$F$227-1)*12))</f>
        <v>0</v>
      </c>
      <c r="AC80" s="10" t="n">
        <f aca="false">MAX(0,MIN(Time!AC33,Time!$F$9)-MAX(Time!AC32,(Inputs!$F$227-1)*12))</f>
        <v>0</v>
      </c>
      <c r="AD80" s="10" t="n">
        <f aca="false">MAX(0,MIN(Time!AD33,Time!$F$9)-MAX(Time!AD32,(Inputs!$F$227-1)*12))</f>
        <v>0</v>
      </c>
      <c r="AE80" s="10" t="n">
        <f aca="false">MAX(0,MIN(Time!AE33,Time!$F$9)-MAX(Time!AE32,(Inputs!$F$227-1)*12))</f>
        <v>0</v>
      </c>
      <c r="AF80" s="10" t="n">
        <f aca="false">MAX(0,MIN(Time!AF33,Time!$F$9)-MAX(Time!AF32,(Inputs!$F$227-1)*12))</f>
        <v>0</v>
      </c>
      <c r="AG80" s="10" t="n">
        <f aca="false">MAX(0,MIN(Time!AG33,Time!$F$9)-MAX(Time!AG32,(Inputs!$F$227-1)*12))</f>
        <v>0</v>
      </c>
      <c r="AH80" s="10" t="n">
        <f aca="false">MAX(0,MIN(Time!AH33,Time!$F$9)-MAX(Time!AH32,(Inputs!$F$227-1)*12))</f>
        <v>0</v>
      </c>
      <c r="AI80" s="10" t="n">
        <f aca="false">MAX(0,MIN(Time!AI33,Time!$F$9)-MAX(Time!AI32,(Inputs!$F$227-1)*12))</f>
        <v>0</v>
      </c>
      <c r="AJ80" s="10" t="n">
        <f aca="false">MAX(0,MIN(Time!AJ33,Time!$F$9)-MAX(Time!AJ32,(Inputs!$F$227-1)*12))</f>
        <v>0</v>
      </c>
      <c r="AK80" s="10" t="n">
        <f aca="false">MAX(0,MIN(Time!AK33,Time!$F$9)-MAX(Time!AK32,(Inputs!$F$227-1)*12))</f>
        <v>0</v>
      </c>
      <c r="AL80" s="10" t="n">
        <f aca="false">MAX(0,MIN(Time!AL33,Time!$F$9)-MAX(Time!AL32,(Inputs!$F$227-1)*12))</f>
        <v>0</v>
      </c>
      <c r="AM80" s="10" t="n">
        <f aca="false">MAX(0,MIN(Time!AM33,Time!$F$9)-MAX(Time!AM32,(Inputs!$F$227-1)*12))</f>
        <v>0</v>
      </c>
      <c r="AN80" s="10" t="n">
        <f aca="false">MAX(0,MIN(Time!AN33,Time!$F$9)-MAX(Time!AN32,(Inputs!$F$227-1)*12))</f>
        <v>0</v>
      </c>
      <c r="AO80" s="10" t="n">
        <f aca="false">MAX(0,MIN(Time!AO33,Time!$F$9)-MAX(Time!AO32,(Inputs!$F$227-1)*12))</f>
        <v>0</v>
      </c>
      <c r="AP80" s="10" t="n">
        <f aca="false">MAX(0,MIN(Time!AP33,Time!$F$9)-MAX(Time!AP32,(Inputs!$F$227-1)*12))</f>
        <v>0</v>
      </c>
      <c r="AQ80" s="10" t="n">
        <f aca="false">MAX(0,MIN(Time!AQ33,Time!$F$9)-MAX(Time!AQ32,(Inputs!$F$227-1)*12))</f>
        <v>0</v>
      </c>
      <c r="AR80" s="10" t="n">
        <f aca="false">MAX(0,MIN(Time!AR33,Time!$F$9)-MAX(Time!AR32,(Inputs!$F$227-1)*12))</f>
        <v>0</v>
      </c>
      <c r="AS80" s="10" t="n">
        <f aca="false">MAX(0,MIN(Time!AS33,Time!$F$9)-MAX(Time!AS32,(Inputs!$F$227-1)*12))</f>
        <v>0</v>
      </c>
      <c r="AT80" s="10" t="n">
        <f aca="false">MAX(0,MIN(Time!AT33,Time!$F$9)-MAX(Time!AT32,(Inputs!$F$227-1)*12))</f>
        <v>0</v>
      </c>
      <c r="AU80" s="10" t="n">
        <f aca="false">MAX(0,MIN(Time!AU33,Time!$F$9)-MAX(Time!AU32,(Inputs!$F$227-1)*12))</f>
        <v>0</v>
      </c>
      <c r="AV80" s="10" t="n">
        <f aca="false">MAX(0,MIN(Time!AV33,Time!$F$9)-MAX(Time!AV32,(Inputs!$F$227-1)*12))</f>
        <v>0</v>
      </c>
      <c r="AW80" s="10" t="n">
        <f aca="false">MAX(0,MIN(Time!AW33,Time!$F$9)-MAX(Time!AW32,(Inputs!$F$227-1)*12))</f>
        <v>0</v>
      </c>
      <c r="AX80" s="10" t="n">
        <f aca="false">MAX(0,MIN(Time!AX33,Time!$F$9)-MAX(Time!AX32,(Inputs!$F$227-1)*12))</f>
        <v>0</v>
      </c>
      <c r="AY80" s="10" t="n">
        <f aca="false">MAX(0,MIN(Time!AY33,Time!$F$9)-MAX(Time!AY32,(Inputs!$F$227-1)*12))</f>
        <v>0</v>
      </c>
      <c r="AZ80" s="10" t="n">
        <f aca="false">MAX(0,MIN(Time!AZ33,Time!$F$9)-MAX(Time!AZ32,(Inputs!$F$227-1)*12))</f>
        <v>0</v>
      </c>
      <c r="BA80" s="10" t="n">
        <f aca="false">MAX(0,MIN(Time!BA33,Time!$F$9)-MAX(Time!BA32,(Inputs!$F$227-1)*12))</f>
        <v>2</v>
      </c>
      <c r="BB80" s="10" t="n">
        <f aca="false">MAX(0,MIN(Time!BB33,Time!$F$9)-MAX(Time!BB32,(Inputs!$F$227-1)*12))</f>
        <v>6</v>
      </c>
      <c r="BC80" s="10" t="n">
        <f aca="false">MAX(0,MIN(Time!BC33,Time!$F$9)-MAX(Time!BC32,(Inputs!$F$227-1)*12))</f>
        <v>6</v>
      </c>
      <c r="BD80" s="10" t="n">
        <f aca="false">MAX(0,MIN(Time!BD33,Time!$F$9)-MAX(Time!BD32,(Inputs!$F$227-1)*12))</f>
        <v>6</v>
      </c>
      <c r="BE80" s="10" t="n">
        <f aca="false">MAX(0,MIN(Time!BE33,Time!$F$9)-MAX(Time!BE32,(Inputs!$F$227-1)*12))</f>
        <v>6</v>
      </c>
      <c r="BF80" s="10" t="n">
        <f aca="false">MAX(0,MIN(Time!BF33,Time!$F$9)-MAX(Time!BF32,(Inputs!$F$227-1)*12))</f>
        <v>6</v>
      </c>
      <c r="BG80" s="10" t="n">
        <f aca="false">MAX(0,MIN(Time!BG33,Time!$F$9)-MAX(Time!BG32,(Inputs!$F$227-1)*12))</f>
        <v>6</v>
      </c>
      <c r="BH80" s="10" t="n">
        <f aca="false">MAX(0,MIN(Time!BH33,Time!$F$9)-MAX(Time!BH32,(Inputs!$F$227-1)*12))</f>
        <v>6</v>
      </c>
      <c r="BI80" s="10" t="n">
        <f aca="false">MAX(0,MIN(Time!BI33,Time!$F$9)-MAX(Time!BI32,(Inputs!$F$227-1)*12))</f>
        <v>6</v>
      </c>
      <c r="BJ80" s="10" t="n">
        <f aca="false">MAX(0,MIN(Time!BJ33,Time!$F$9)-MAX(Time!BJ32,(Inputs!$F$227-1)*12))</f>
        <v>6</v>
      </c>
      <c r="BK80" s="10" t="n">
        <f aca="false">MAX(0,MIN(Time!BK33,Time!$F$9)-MAX(Time!BK32,(Inputs!$F$227-1)*12))</f>
        <v>6</v>
      </c>
      <c r="BL80" s="10" t="n">
        <f aca="false">MAX(0,MIN(Time!BL33,Time!$F$9)-MAX(Time!BL32,(Inputs!$F$227-1)*12))</f>
        <v>6</v>
      </c>
      <c r="BM80" s="10" t="n">
        <f aca="false">MAX(0,MIN(Time!BM33,Time!$F$9)-MAX(Time!BM32,(Inputs!$F$227-1)*12))</f>
        <v>4</v>
      </c>
      <c r="BN80" s="10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631</v>
      </c>
      <c r="E81" s="0" t="s">
        <v>149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632</v>
      </c>
      <c r="E82" s="0" t="s">
        <v>149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633</v>
      </c>
      <c r="E83" s="0" t="s">
        <v>149</v>
      </c>
      <c r="G83" s="13" t="n">
        <f aca="false">SUM(J83:BN83)</f>
        <v>6926.36858670277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36.1277581904886</v>
      </c>
      <c r="P83" s="13" t="n">
        <f aca="false">P72+P74+P75+P76+P79+P82</f>
        <v>108.718867147168</v>
      </c>
      <c r="Q83" s="13" t="n">
        <f aca="false">Q72+Q74+Q75+Q76+Q79+Q82</f>
        <v>110.068070954753</v>
      </c>
      <c r="R83" s="13" t="n">
        <f aca="false">R72+R74+R75+R76+R79+R82</f>
        <v>109.819523111887</v>
      </c>
      <c r="S83" s="13" t="n">
        <f aca="false">S72+S74+S75+S76+S79+S82</f>
        <v>111.876789484592</v>
      </c>
      <c r="T83" s="13" t="n">
        <f aca="false">T72+T74+T75+T76+T79+T82</f>
        <v>112.857706640013</v>
      </c>
      <c r="U83" s="13" t="n">
        <f aca="false">U72+U74+U75+U76+U79+U82</f>
        <v>113.620005799297</v>
      </c>
      <c r="V83" s="13" t="n">
        <f aca="false">V72+V74+V75+V76+V79+V82</f>
        <v>114.211468788759</v>
      </c>
      <c r="W83" s="13" t="n">
        <f aca="false">W72+W74+W75+W76+W79+W82</f>
        <v>114.620337471323</v>
      </c>
      <c r="X83" s="13" t="n">
        <f aca="false">X72+X74+X75+X76+X79+X82</f>
        <v>117.261586420534</v>
      </c>
      <c r="Y83" s="13" t="n">
        <f aca="false">Y72+Y74+Y75+Y76+Y79+Y82</f>
        <v>118.813479516754</v>
      </c>
      <c r="Z83" s="13" t="n">
        <f aca="false">Z72+Z74+Z75+Z76+Z79+Z82</f>
        <v>118.555483493684</v>
      </c>
      <c r="AA83" s="13" t="n">
        <f aca="false">AA72+AA74+AA75+AA76+AA79+AA82</f>
        <v>120.780341023365</v>
      </c>
      <c r="AB83" s="13" t="n">
        <f aca="false">AB72+AB74+AB75+AB76+AB79+AB82</f>
        <v>121.838394734186</v>
      </c>
      <c r="AC83" s="13" t="n">
        <f aca="false">AC72+AC74+AC75+AC76+AC79+AC82</f>
        <v>121.950373887891</v>
      </c>
      <c r="AD83" s="13" t="n">
        <f aca="false">AD72+AD74+AD75+AD76+AD79+AD82</f>
        <v>130.331404151753</v>
      </c>
      <c r="AE83" s="13" t="n">
        <f aca="false">AE72+AE74+AE75+AE76+AE79+AE82</f>
        <v>122.29129974712</v>
      </c>
      <c r="AF83" s="13" t="n">
        <f aca="false">AF72+AF74+AF75+AF76+AF79+AF82</f>
        <v>126.594921747805</v>
      </c>
      <c r="AG83" s="13" t="n">
        <f aca="false">AG72+AG74+AG75+AG76+AG79+AG82</f>
        <v>128.273040287554</v>
      </c>
      <c r="AH83" s="13" t="n">
        <f aca="false">AH72+AH74+AH75+AH76+AH79+AH82</f>
        <v>127.990905775757</v>
      </c>
      <c r="AI83" s="13" t="n">
        <f aca="false">AI72+AI74+AI75+AI76+AI79+AI82</f>
        <v>130.396907713746</v>
      </c>
      <c r="AJ83" s="13" t="n">
        <f aca="false">AJ72+AJ74+AJ75+AJ76+AJ79+AJ82</f>
        <v>131.53822383304</v>
      </c>
      <c r="AK83" s="13" t="n">
        <f aca="false">AK72+AK74+AK75+AK76+AK79+AK82</f>
        <v>132.426252511724</v>
      </c>
      <c r="AL83" s="13" t="n">
        <f aca="false">AL72+AL74+AL75+AL76+AL79+AL82</f>
        <v>133.165158928891</v>
      </c>
      <c r="AM83" s="13" t="n">
        <f aca="false">AM72+AM74+AM75+AM76+AM79+AM82</f>
        <v>133.592039854543</v>
      </c>
      <c r="AN83" s="13" t="n">
        <f aca="false">AN72+AN74+AN75+AN76+AN79+AN82</f>
        <v>136.675633973058</v>
      </c>
      <c r="AO83" s="13" t="n">
        <f aca="false">AO72+AO74+AO75+AO76+AO79+AO82</f>
        <v>138.490163498671</v>
      </c>
      <c r="AP83" s="13" t="n">
        <f aca="false">AP72+AP74+AP75+AP76+AP79+AP82</f>
        <v>138.181790966929</v>
      </c>
      <c r="AQ83" s="13" t="n">
        <f aca="false">AQ72+AQ74+AQ75+AQ76+AQ79+AQ82</f>
        <v>140.783578124556</v>
      </c>
      <c r="AR83" s="13" t="n">
        <f aca="false">AR72+AR74+AR75+AR76+AR79+AR82</f>
        <v>142.014772574464</v>
      </c>
      <c r="AS83" s="13" t="n">
        <f aca="false">AS72+AS74+AS75+AS76+AS79+AS82</f>
        <v>142.141665127646</v>
      </c>
      <c r="AT83" s="13" t="n">
        <f aca="false">AT72+AT74+AT75+AT76+AT79+AT82</f>
        <v>152.184168445525</v>
      </c>
      <c r="AU83" s="13" t="n">
        <f aca="false">AU72+AU74+AU75+AU76+AU79+AU82</f>
        <v>142.535744451172</v>
      </c>
      <c r="AV83" s="13" t="n">
        <f aca="false">AV72+AV74+AV75+AV76+AV79+AV82</f>
        <v>147.563558700132</v>
      </c>
      <c r="AW83" s="13" t="n">
        <f aca="false">AW72+AW74+AW75+AW76+AW79+AW82</f>
        <v>149.525499746066</v>
      </c>
      <c r="AX83" s="13" t="n">
        <f aca="false">AX72+AX74+AX75+AX76+AX79+AX82</f>
        <v>149.188616274627</v>
      </c>
      <c r="AY83" s="13" t="n">
        <f aca="false">AY72+AY74+AY75+AY76+AY79+AY82</f>
        <v>152.002003555513</v>
      </c>
      <c r="AZ83" s="13" t="n">
        <f aca="false">AZ72+AZ74+AZ75+AZ76+AZ79+AZ82</f>
        <v>153.330221739256</v>
      </c>
      <c r="BA83" s="13" t="n">
        <f aca="false">BA72+BA74+BA75+BA76+BA79+BA82</f>
        <v>154.364601922456</v>
      </c>
      <c r="BB83" s="13" t="n">
        <f aca="false">BB72+BB74+BB75+BB76+BB79+BB82</f>
        <v>155.285718740564</v>
      </c>
      <c r="BC83" s="13" t="n">
        <f aca="false">BC72+BC74+BC75+BC76+BC79+BC82</f>
        <v>155.723281219431</v>
      </c>
      <c r="BD83" s="13" t="n">
        <f aca="false">BD72+BD74+BD75+BD76+BD79+BD82</f>
        <v>159.32331353154</v>
      </c>
      <c r="BE83" s="13" t="n">
        <f aca="false">BE72+BE74+BE75+BE76+BE79+BE82</f>
        <v>161.444546238206</v>
      </c>
      <c r="BF83" s="13" t="n">
        <f aca="false">BF72+BF74+BF75+BF76+BF79+BF82</f>
        <v>161.076691815431</v>
      </c>
      <c r="BG83" s="13" t="n">
        <f aca="false">BG72+BG74+BG75+BG76+BG79+BG82</f>
        <v>164.118761568179</v>
      </c>
      <c r="BH83" s="13" t="n">
        <f aca="false">BH72+BH74+BH75+BH76+BH79+BH82</f>
        <v>165.551720963121</v>
      </c>
      <c r="BI83" s="13" t="n">
        <f aca="false">BI72+BI74+BI75+BI76+BI79+BI82</f>
        <v>165.695386085873</v>
      </c>
      <c r="BJ83" s="13" t="n">
        <f aca="false">BJ72+BJ74+BJ75+BJ76+BJ79+BJ82</f>
        <v>177.727816343638</v>
      </c>
      <c r="BK83" s="13" t="n">
        <f aca="false">BK72+BK74+BK75+BK76+BK79+BK82</f>
        <v>166.151068356276</v>
      </c>
      <c r="BL83" s="13" t="n">
        <f aca="false">BL72+BL74+BL75+BL76+BL79+BL82</f>
        <v>172.02467905248</v>
      </c>
      <c r="BM83" s="13" t="n">
        <f aca="false">BM72+BM74+BM75+BM76+BM79+BM82</f>
        <v>135.543242471337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634</v>
      </c>
      <c r="E84" s="0" t="s">
        <v>149</v>
      </c>
      <c r="G84" s="13" t="n">
        <f aca="false">SUM(J84:BN84)</f>
        <v>2617.85377544491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16.8849193572054</v>
      </c>
      <c r="P84" s="13" t="n">
        <f aca="false">P56-P83+P58</f>
        <v>50.6626360431684</v>
      </c>
      <c r="Q84" s="13" t="n">
        <f aca="false">Q56-Q83+Q58</f>
        <v>50.869373554412</v>
      </c>
      <c r="R84" s="13" t="n">
        <f aca="false">R56-R83+R58</f>
        <v>51.0164280195108</v>
      </c>
      <c r="S84" s="13" t="n">
        <f aca="false">S56-S83+S58</f>
        <v>51.1105204783621</v>
      </c>
      <c r="T84" s="13" t="n">
        <f aca="false">T56-T83+T58</f>
        <v>51.187859806759</v>
      </c>
      <c r="U84" s="13" t="n">
        <f aca="false">U56-U83+U58</f>
        <v>51.3524750701148</v>
      </c>
      <c r="V84" s="13" t="n">
        <f aca="false">V56-V83+V58</f>
        <v>49.0749654119822</v>
      </c>
      <c r="W84" s="13" t="n">
        <f aca="false">W56-W83+W58</f>
        <v>51.6314472003403</v>
      </c>
      <c r="X84" s="13" t="n">
        <f aca="false">X56-X83+X58</f>
        <v>51.6316594379973</v>
      </c>
      <c r="Y84" s="13" t="n">
        <f aca="false">Y56-Y83+Y58</f>
        <v>51.7622489644418</v>
      </c>
      <c r="Z84" s="13" t="n">
        <f aca="false">Z56-Z83+Z58</f>
        <v>51.9092142661617</v>
      </c>
      <c r="AA84" s="13" t="n">
        <f aca="false">AA56-AA83+AA58</f>
        <v>52.0099304992066</v>
      </c>
      <c r="AB84" s="13" t="n">
        <f aca="false">AB56-AB83+AB58</f>
        <v>52.093385284547</v>
      </c>
      <c r="AC84" s="13" t="n">
        <f aca="false">AC56-AC83+AC58</f>
        <v>52.3084571884293</v>
      </c>
      <c r="AD84" s="13" t="n">
        <f aca="false">AD56-AD83+AD58</f>
        <v>39.8346804256382</v>
      </c>
      <c r="AE84" s="13" t="n">
        <f aca="false">AE56-AE83+AE58</f>
        <v>52.6500143521698</v>
      </c>
      <c r="AF84" s="13" t="n">
        <f aca="false">AF56-AF83+AF58</f>
        <v>52.5737711558758</v>
      </c>
      <c r="AG84" s="13" t="n">
        <f aca="false">AG56-AG83+AG58</f>
        <v>52.7149115428405</v>
      </c>
      <c r="AH84" s="13" t="n">
        <f aca="false">AH56-AH83+AH58</f>
        <v>52.8757160854737</v>
      </c>
      <c r="AI84" s="13" t="n">
        <f aca="false">AI56-AI83+AI58</f>
        <v>52.983527411402</v>
      </c>
      <c r="AJ84" s="13" t="n">
        <f aca="false">AJ56-AJ83+AJ58</f>
        <v>53.0735812799479</v>
      </c>
      <c r="AK84" s="13" t="n">
        <f aca="false">AK56-AK83+AK58</f>
        <v>53.2686567540037</v>
      </c>
      <c r="AL84" s="13" t="n">
        <f aca="false">AL56-AL83+AL58</f>
        <v>50.5628978246228</v>
      </c>
      <c r="AM84" s="13" t="n">
        <f aca="false">AM56-AM83+AM58</f>
        <v>53.5993478853508</v>
      </c>
      <c r="AN84" s="13" t="n">
        <f aca="false">AN56-AN83+AN58</f>
        <v>53.5936115785085</v>
      </c>
      <c r="AO84" s="13" t="n">
        <f aca="false">AO56-AO83+AO58</f>
        <v>53.746175353047</v>
      </c>
      <c r="AP84" s="13" t="n">
        <f aca="false">AP56-AP83+AP58</f>
        <v>53.9221043316366</v>
      </c>
      <c r="AQ84" s="13" t="n">
        <f aca="false">AQ56-AQ83+AQ58</f>
        <v>54.0375162511027</v>
      </c>
      <c r="AR84" s="13" t="n">
        <f aca="false">AR56-AR83+AR58</f>
        <v>54.1346909963557</v>
      </c>
      <c r="AS84" s="13" t="n">
        <f aca="false">AS56-AS83+AS58</f>
        <v>54.3914788553252</v>
      </c>
      <c r="AT84" s="13" t="n">
        <f aca="false">AT56-AT83+AT58</f>
        <v>39.6650243679675</v>
      </c>
      <c r="AU84" s="13" t="n">
        <f aca="false">AU56-AU83+AU58</f>
        <v>54.7983266345823</v>
      </c>
      <c r="AV84" s="13" t="n">
        <f aca="false">AV56-AV83+AV58</f>
        <v>54.6976828869036</v>
      </c>
      <c r="AW84" s="13" t="n">
        <f aca="false">AW56-AW83+AW58</f>
        <v>54.8626164344755</v>
      </c>
      <c r="AX84" s="13" t="n">
        <f aca="false">AX56-AX83+AX58</f>
        <v>55.0550731307683</v>
      </c>
      <c r="AY84" s="13" t="n">
        <f aca="false">AY56-AY83+AY58</f>
        <v>55.1786278768001</v>
      </c>
      <c r="AZ84" s="13" t="n">
        <f aca="false">AZ56-AZ83+AZ58</f>
        <v>55.2834864564394</v>
      </c>
      <c r="BA84" s="13" t="n">
        <f aca="false">BA56-BA83+BA58</f>
        <v>55.5147247192366</v>
      </c>
      <c r="BB84" s="13" t="n">
        <f aca="false">BB56-BB83+BB58</f>
        <v>52.2999652356685</v>
      </c>
      <c r="BC84" s="13" t="n">
        <f aca="false">BC56-BC83+BC58</f>
        <v>55.9067753302021</v>
      </c>
      <c r="BD84" s="13" t="n">
        <f aca="false">BD56-BD83+BD58</f>
        <v>55.8930382695803</v>
      </c>
      <c r="BE84" s="13" t="n">
        <f aca="false">BE56-BE83+BE58</f>
        <v>56.0713682238035</v>
      </c>
      <c r="BF84" s="13" t="n">
        <f aca="false">BF56-BF83+BF58</f>
        <v>56.2818847667069</v>
      </c>
      <c r="BG84" s="13" t="n">
        <f aca="false">BG56-BG83+BG58</f>
        <v>56.4141640525392</v>
      </c>
      <c r="BH84" s="13" t="n">
        <f aca="false">BH56-BH83+BH58</f>
        <v>56.5273138185437</v>
      </c>
      <c r="BI84" s="13" t="n">
        <f aca="false">BI56-BI83+BI58</f>
        <v>56.8339097540195</v>
      </c>
      <c r="BJ84" s="13" t="n">
        <f aca="false">BJ56-BJ83+BJ58</f>
        <v>39.4276371429473</v>
      </c>
      <c r="BK84" s="13" t="n">
        <f aca="false">BK56-BK83+BK58</f>
        <v>57.3185168870333</v>
      </c>
      <c r="BL84" s="13" t="n">
        <f aca="false">BL56-BL83+BL58</f>
        <v>57.1873291589556</v>
      </c>
      <c r="BM84" s="13" t="n">
        <f aca="false">BM56-BM83+BM58</f>
        <v>19.1681076317943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635</v>
      </c>
    </row>
    <row r="86" customFormat="false" ht="15" hidden="false" customHeight="false" outlineLevel="0" collapsed="false">
      <c r="D86" s="0" t="s">
        <v>636</v>
      </c>
      <c r="E86" s="0" t="s">
        <v>113</v>
      </c>
      <c r="J86" s="10" t="n">
        <f aca="false">IF(Time!J20&gt;=Time!$F$15,1,0)</f>
        <v>0</v>
      </c>
      <c r="K86" s="10" t="n">
        <f aca="false">IF(Time!K20&gt;=Time!$F$15,1,0)</f>
        <v>0</v>
      </c>
      <c r="L86" s="10" t="n">
        <f aca="false">IF(Time!L20&gt;=Time!$F$15,1,0)</f>
        <v>0</v>
      </c>
      <c r="M86" s="10" t="n">
        <f aca="false">IF(Time!M20&gt;=Time!$F$15,1,0)</f>
        <v>0</v>
      </c>
      <c r="N86" s="10" t="n">
        <f aca="false">IF(Time!N20&gt;=Time!$F$15,1,0)</f>
        <v>0</v>
      </c>
      <c r="O86" s="10" t="n">
        <f aca="false">IF(Time!O20&gt;=Time!$F$15,1,0)</f>
        <v>0</v>
      </c>
      <c r="P86" s="10" t="n">
        <f aca="false">IF(Time!P20&gt;=Time!$F$15,1,0)</f>
        <v>0</v>
      </c>
      <c r="Q86" s="10" t="n">
        <f aca="false">IF(Time!Q20&gt;=Time!$F$15,1,0)</f>
        <v>0</v>
      </c>
      <c r="R86" s="10" t="n">
        <f aca="false">IF(Time!R20&gt;=Time!$F$15,1,0)</f>
        <v>0</v>
      </c>
      <c r="S86" s="10" t="n">
        <f aca="false">IF(Time!S20&gt;=Time!$F$15,1,0)</f>
        <v>0</v>
      </c>
      <c r="T86" s="10" t="n">
        <f aca="false">IF(Time!T20&gt;=Time!$F$15,1,0)</f>
        <v>0</v>
      </c>
      <c r="U86" s="10" t="n">
        <f aca="false">IF(Time!U20&gt;=Time!$F$15,1,0)</f>
        <v>0</v>
      </c>
      <c r="V86" s="10" t="n">
        <f aca="false">IF(Time!V20&gt;=Time!$F$15,1,0)</f>
        <v>0</v>
      </c>
      <c r="W86" s="10" t="n">
        <f aca="false">IF(Time!W20&gt;=Time!$F$15,1,0)</f>
        <v>0</v>
      </c>
      <c r="X86" s="10" t="n">
        <f aca="false">IF(Time!X20&gt;=Time!$F$15,1,0)</f>
        <v>0</v>
      </c>
      <c r="Y86" s="10" t="n">
        <f aca="false">IF(Time!Y20&gt;=Time!$F$15,1,0)</f>
        <v>0</v>
      </c>
      <c r="Z86" s="10" t="n">
        <f aca="false">IF(Time!Z20&gt;=Time!$F$15,1,0)</f>
        <v>0</v>
      </c>
      <c r="AA86" s="10" t="n">
        <f aca="false">IF(Time!AA20&gt;=Time!$F$15,1,0)</f>
        <v>0</v>
      </c>
      <c r="AB86" s="10" t="n">
        <f aca="false">IF(Time!AB20&gt;=Time!$F$15,1,0)</f>
        <v>0</v>
      </c>
      <c r="AC86" s="10" t="n">
        <f aca="false">IF(Time!AC20&gt;=Time!$F$15,1,0)</f>
        <v>0</v>
      </c>
      <c r="AD86" s="10" t="n">
        <f aca="false">IF(Time!AD20&gt;=Time!$F$15,1,0)</f>
        <v>0</v>
      </c>
      <c r="AE86" s="10" t="n">
        <f aca="false">IF(Time!AE20&gt;=Time!$F$15,1,0)</f>
        <v>0</v>
      </c>
      <c r="AF86" s="10" t="n">
        <f aca="false">IF(Time!AF20&gt;=Time!$F$15,1,0)</f>
        <v>0</v>
      </c>
      <c r="AG86" s="10" t="n">
        <f aca="false">IF(Time!AG20&gt;=Time!$F$15,1,0)</f>
        <v>0</v>
      </c>
      <c r="AH86" s="10" t="n">
        <f aca="false">IF(Time!AH20&gt;=Time!$F$15,1,0)</f>
        <v>0</v>
      </c>
      <c r="AI86" s="10" t="n">
        <f aca="false">IF(Time!AI20&gt;=Time!$F$15,1,0)</f>
        <v>0</v>
      </c>
      <c r="AJ86" s="10" t="n">
        <f aca="false">IF(Time!AJ20&gt;=Time!$F$15,1,0)</f>
        <v>0</v>
      </c>
      <c r="AK86" s="10" t="n">
        <f aca="false">IF(Time!AK20&gt;=Time!$F$15,1,0)</f>
        <v>0</v>
      </c>
      <c r="AL86" s="10" t="n">
        <f aca="false">IF(Time!AL20&gt;=Time!$F$15,1,0)</f>
        <v>0</v>
      </c>
      <c r="AM86" s="10" t="n">
        <f aca="false">IF(Time!AM20&gt;=Time!$F$15,1,0)</f>
        <v>0</v>
      </c>
      <c r="AN86" s="10" t="n">
        <f aca="false">IF(Time!AN20&gt;=Time!$F$15,1,0)</f>
        <v>0</v>
      </c>
      <c r="AO86" s="10" t="n">
        <f aca="false">IF(Time!AO20&gt;=Time!$F$15,1,0)</f>
        <v>0</v>
      </c>
      <c r="AP86" s="10" t="n">
        <f aca="false">IF(Time!AP20&gt;=Time!$F$15,1,0)</f>
        <v>0</v>
      </c>
      <c r="AQ86" s="10" t="n">
        <f aca="false">IF(Time!AQ20&gt;=Time!$F$15,1,0)</f>
        <v>0</v>
      </c>
      <c r="AR86" s="10" t="n">
        <f aca="false">IF(Time!AR20&gt;=Time!$F$15,1,0)</f>
        <v>0</v>
      </c>
      <c r="AS86" s="10" t="n">
        <f aca="false">IF(Time!AS20&gt;=Time!$F$15,1,0)</f>
        <v>0</v>
      </c>
      <c r="AT86" s="10" t="n">
        <f aca="false">IF(Time!AT20&gt;=Time!$F$15,1,0)</f>
        <v>0</v>
      </c>
      <c r="AU86" s="10" t="n">
        <f aca="false">IF(Time!AU20&gt;=Time!$F$15,1,0)</f>
        <v>0</v>
      </c>
      <c r="AV86" s="10" t="n">
        <f aca="false">IF(Time!AV20&gt;=Time!$F$15,1,0)</f>
        <v>0</v>
      </c>
      <c r="AW86" s="10" t="n">
        <f aca="false">IF(Time!AW20&gt;=Time!$F$15,1,0)</f>
        <v>0</v>
      </c>
      <c r="AX86" s="10" t="n">
        <f aca="false">IF(Time!AX20&gt;=Time!$F$15,1,0)</f>
        <v>0</v>
      </c>
      <c r="AY86" s="10" t="n">
        <f aca="false">IF(Time!AY20&gt;=Time!$F$15,1,0)</f>
        <v>0</v>
      </c>
      <c r="AZ86" s="10" t="n">
        <f aca="false">IF(Time!AZ20&gt;=Time!$F$15,1,0)</f>
        <v>0</v>
      </c>
      <c r="BA86" s="10" t="n">
        <f aca="false">IF(Time!BA20&gt;=Time!$F$15,1,0)</f>
        <v>0</v>
      </c>
      <c r="BB86" s="10" t="n">
        <f aca="false">IF(Time!BB20&gt;=Time!$F$15,1,0)</f>
        <v>0</v>
      </c>
      <c r="BC86" s="10" t="n">
        <f aca="false">IF(Time!BC20&gt;=Time!$F$15,1,0)</f>
        <v>0</v>
      </c>
      <c r="BD86" s="10" t="n">
        <f aca="false">IF(Time!BD20&gt;=Time!$F$15,1,0)</f>
        <v>0</v>
      </c>
      <c r="BE86" s="10" t="n">
        <f aca="false">IF(Time!BE20&gt;=Time!$F$15,1,0)</f>
        <v>0</v>
      </c>
      <c r="BF86" s="10" t="n">
        <f aca="false">IF(Time!BF20&gt;=Time!$F$15,1,0)</f>
        <v>0</v>
      </c>
      <c r="BG86" s="10" t="n">
        <f aca="false">IF(Time!BG20&gt;=Time!$F$15,1,0)</f>
        <v>0</v>
      </c>
      <c r="BH86" s="10" t="n">
        <f aca="false">IF(Time!BH20&gt;=Time!$F$15,1,0)</f>
        <v>0</v>
      </c>
      <c r="BI86" s="10" t="n">
        <f aca="false">IF(Time!BI20&gt;=Time!$F$15,1,0)</f>
        <v>0</v>
      </c>
      <c r="BJ86" s="10" t="n">
        <f aca="false">IF(Time!BJ20&gt;=Time!$F$15,1,0)</f>
        <v>0</v>
      </c>
      <c r="BK86" s="10" t="n">
        <f aca="false">IF(Time!BK20&gt;=Time!$F$15,1,0)</f>
        <v>0</v>
      </c>
      <c r="BL86" s="10" t="n">
        <f aca="false">IF(Time!BL20&gt;=Time!$F$15,1,0)</f>
        <v>0</v>
      </c>
      <c r="BM86" s="10" t="n">
        <f aca="false">IF(Time!BM20&gt;=Time!$F$15,1,0)</f>
        <v>1</v>
      </c>
      <c r="BN86" s="10" t="n">
        <f aca="false">IF(Time!BN20&gt;=Time!$F$15,1,0)</f>
        <v>1</v>
      </c>
    </row>
    <row r="87" customFormat="false" ht="15" hidden="false" customHeight="false" outlineLevel="0" collapsed="false">
      <c r="D87" s="0" t="s">
        <v>637</v>
      </c>
      <c r="E87" s="0" t="s">
        <v>111</v>
      </c>
      <c r="J87" s="10" t="n">
        <f aca="false">Inputs!$F$44*Time!J38</f>
        <v>0</v>
      </c>
      <c r="K87" s="10" t="n">
        <f aca="false">Inputs!$F$44*Time!K38</f>
        <v>0</v>
      </c>
      <c r="L87" s="10" t="n">
        <f aca="false">Inputs!$F$44*Time!L38</f>
        <v>0</v>
      </c>
      <c r="M87" s="10" t="n">
        <f aca="false">Inputs!$F$44*Time!M38</f>
        <v>0</v>
      </c>
      <c r="N87" s="10" t="n">
        <f aca="false">Inputs!$F$44*Time!N38</f>
        <v>0</v>
      </c>
      <c r="O87" s="10" t="n">
        <f aca="false">Inputs!$F$44*Time!O38</f>
        <v>0</v>
      </c>
      <c r="P87" s="10" t="n">
        <f aca="false">Inputs!$F$44*Time!P38</f>
        <v>0</v>
      </c>
      <c r="Q87" s="10" t="n">
        <f aca="false">Inputs!$F$44*Time!Q38</f>
        <v>120</v>
      </c>
      <c r="R87" s="10" t="n">
        <f aca="false">Inputs!$F$44*Time!R38</f>
        <v>120</v>
      </c>
      <c r="S87" s="10" t="n">
        <f aca="false">Inputs!$F$44*Time!S38</f>
        <v>0</v>
      </c>
      <c r="T87" s="10" t="n">
        <f aca="false">Inputs!$F$44*Time!T38</f>
        <v>0</v>
      </c>
      <c r="U87" s="10" t="n">
        <f aca="false">Inputs!$F$44*Time!U38</f>
        <v>0</v>
      </c>
      <c r="V87" s="10" t="n">
        <f aca="false">Inputs!$F$44*Time!V38</f>
        <v>0</v>
      </c>
      <c r="W87" s="10" t="n">
        <f aca="false">Inputs!$F$44*Time!W38</f>
        <v>0</v>
      </c>
      <c r="X87" s="10" t="n">
        <f aca="false">Inputs!$F$44*Time!X38</f>
        <v>0</v>
      </c>
      <c r="Y87" s="10" t="n">
        <f aca="false">Inputs!$F$44*Time!Y38</f>
        <v>0</v>
      </c>
      <c r="Z87" s="10" t="n">
        <f aca="false">Inputs!$F$44*Time!Z38</f>
        <v>0</v>
      </c>
      <c r="AA87" s="10" t="n">
        <f aca="false">Inputs!$F$44*Time!AA38</f>
        <v>0</v>
      </c>
      <c r="AB87" s="10" t="n">
        <f aca="false">Inputs!$F$44*Time!AB38</f>
        <v>0</v>
      </c>
      <c r="AC87" s="10" t="n">
        <f aca="false">Inputs!$F$44*Time!AC38</f>
        <v>0</v>
      </c>
      <c r="AD87" s="10" t="n">
        <f aca="false">Inputs!$F$44*Time!AD38</f>
        <v>0</v>
      </c>
      <c r="AE87" s="10" t="n">
        <f aca="false">Inputs!$F$44*Time!AE38</f>
        <v>0</v>
      </c>
      <c r="AF87" s="10" t="n">
        <f aca="false">Inputs!$F$44*Time!AF38</f>
        <v>0</v>
      </c>
      <c r="AG87" s="10" t="n">
        <f aca="false">Inputs!$F$44*Time!AG38</f>
        <v>0</v>
      </c>
      <c r="AH87" s="10" t="n">
        <f aca="false">Inputs!$F$44*Time!AH38</f>
        <v>0</v>
      </c>
      <c r="AI87" s="10" t="n">
        <f aca="false">Inputs!$F$44*Time!AI38</f>
        <v>0</v>
      </c>
      <c r="AJ87" s="10" t="n">
        <f aca="false">Inputs!$F$44*Time!AJ38</f>
        <v>0</v>
      </c>
      <c r="AK87" s="10" t="n">
        <f aca="false">Inputs!$F$44*Time!AK38</f>
        <v>0</v>
      </c>
      <c r="AL87" s="10" t="n">
        <f aca="false">Inputs!$F$44*Time!AL38</f>
        <v>0</v>
      </c>
      <c r="AM87" s="10" t="n">
        <f aca="false">Inputs!$F$44*Time!AM38</f>
        <v>0</v>
      </c>
      <c r="AN87" s="10" t="n">
        <f aca="false">Inputs!$F$44*Time!AN38</f>
        <v>0</v>
      </c>
      <c r="AO87" s="10" t="n">
        <f aca="false">Inputs!$F$44*Time!AO38</f>
        <v>0</v>
      </c>
      <c r="AP87" s="10" t="n">
        <f aca="false">Inputs!$F$44*Time!AP38</f>
        <v>0</v>
      </c>
      <c r="AQ87" s="10" t="n">
        <f aca="false">Inputs!$F$44*Time!AQ38</f>
        <v>0</v>
      </c>
      <c r="AR87" s="10" t="n">
        <f aca="false">Inputs!$F$44*Time!AR38</f>
        <v>0</v>
      </c>
      <c r="AS87" s="10" t="n">
        <f aca="false">Inputs!$F$44*Time!AS38</f>
        <v>0</v>
      </c>
      <c r="AT87" s="10" t="n">
        <f aca="false">Inputs!$F$44*Time!AT38</f>
        <v>0</v>
      </c>
      <c r="AU87" s="10" t="n">
        <f aca="false">Inputs!$F$44*Time!AU38</f>
        <v>0</v>
      </c>
      <c r="AV87" s="10" t="n">
        <f aca="false">Inputs!$F$44*Time!AV38</f>
        <v>0</v>
      </c>
      <c r="AW87" s="10" t="n">
        <f aca="false">Inputs!$F$44*Time!AW38</f>
        <v>0</v>
      </c>
      <c r="AX87" s="10" t="n">
        <f aca="false">Inputs!$F$44*Time!AX38</f>
        <v>0</v>
      </c>
      <c r="AY87" s="10" t="n">
        <f aca="false">Inputs!$F$44*Time!AY38</f>
        <v>0</v>
      </c>
      <c r="AZ87" s="10" t="n">
        <f aca="false">Inputs!$F$44*Time!AZ38</f>
        <v>0</v>
      </c>
      <c r="BA87" s="10" t="n">
        <f aca="false">Inputs!$F$44*Time!BA38</f>
        <v>0</v>
      </c>
      <c r="BB87" s="10" t="n">
        <f aca="false">Inputs!$F$44*Time!BB38</f>
        <v>0</v>
      </c>
      <c r="BC87" s="10" t="n">
        <f aca="false">Inputs!$F$44*Time!BC38</f>
        <v>0</v>
      </c>
      <c r="BD87" s="10" t="n">
        <f aca="false">Inputs!$F$44*Time!BD38</f>
        <v>0</v>
      </c>
      <c r="BE87" s="10" t="n">
        <f aca="false">Inputs!$F$44*Time!BE38</f>
        <v>0</v>
      </c>
      <c r="BF87" s="10" t="n">
        <f aca="false">Inputs!$F$44*Time!BF38</f>
        <v>0</v>
      </c>
      <c r="BG87" s="10" t="n">
        <f aca="false">Inputs!$F$44*Time!BG38</f>
        <v>0</v>
      </c>
      <c r="BH87" s="10" t="n">
        <f aca="false">Inputs!$F$44*Time!BH38</f>
        <v>0</v>
      </c>
      <c r="BI87" s="10" t="n">
        <f aca="false">Inputs!$F$44*Time!BI38</f>
        <v>0</v>
      </c>
      <c r="BJ87" s="10" t="n">
        <f aca="false">Inputs!$F$44*Time!BJ38</f>
        <v>0</v>
      </c>
      <c r="BK87" s="10" t="n">
        <f aca="false">Inputs!$F$44*Time!BK38</f>
        <v>0</v>
      </c>
      <c r="BL87" s="10" t="n">
        <f aca="false">Inputs!$F$44*Time!BL38</f>
        <v>0</v>
      </c>
      <c r="BM87" s="10" t="n">
        <f aca="false">Inputs!$F$44*Time!BM38</f>
        <v>0</v>
      </c>
      <c r="BN87" s="10" t="n">
        <f aca="false">Inputs!$F$44*Time!BN38</f>
        <v>0</v>
      </c>
    </row>
    <row r="88" customFormat="false" ht="15" hidden="false" customHeight="false" outlineLevel="0" collapsed="false">
      <c r="D88" s="0" t="s">
        <v>638</v>
      </c>
      <c r="E88" s="0" t="s">
        <v>149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39.1077129450201</v>
      </c>
      <c r="P88" s="13" t="n">
        <f aca="false">(1-P86)*(P56/MAX(Time!P31,1)*Inputs!$F$168+P55/MAX(Time!P31,1)*P87)</f>
        <v>38.9791719758974</v>
      </c>
      <c r="Q88" s="13" t="n">
        <f aca="false">(1-Q86)*(Q56/MAX(Time!Q31,1)*Inputs!$F$168+Q55/MAX(Time!Q31,1)*Q87)</f>
        <v>85.3271012634607</v>
      </c>
      <c r="R88" s="13" t="n">
        <f aca="false">(1-R86)*(R56/MAX(Time!R31,1)*Inputs!$F$168+R55/MAX(Time!R31,1)*R87)</f>
        <v>84.073099718016</v>
      </c>
      <c r="S88" s="13" t="n">
        <f aca="false">(1-S86)*(S56/MAX(Time!S31,1)*Inputs!$F$168+S55/MAX(Time!S31,1)*S87)</f>
        <v>40.521706896867</v>
      </c>
      <c r="T88" s="13" t="n">
        <f aca="false">(1-T86)*(T56/MAX(Time!T31,1)*Inputs!$F$168+T55/MAX(Time!T31,1)*T87)</f>
        <v>40.1198396201344</v>
      </c>
      <c r="U88" s="13" t="n">
        <f aca="false">(1-U86)*(U56/MAX(Time!U31,1)*Inputs!$F$168+U55/MAX(Time!U31,1)*U87)</f>
        <v>40.7898991160633</v>
      </c>
      <c r="V88" s="13" t="n">
        <f aca="false">(1-V86)*(V56/MAX(Time!V31,1)*Inputs!$F$168+V55/MAX(Time!V31,1)*V87)</f>
        <v>39.9341822773552</v>
      </c>
      <c r="W88" s="13" t="n">
        <f aca="false">(1-W86)*(W56/MAX(Time!W31,1)*Inputs!$F$168+W55/MAX(Time!W31,1)*W87)</f>
        <v>41.3333166310765</v>
      </c>
      <c r="X88" s="13" t="n">
        <f aca="false">(1-X86)*(X56/MAX(Time!X31,1)*Inputs!$F$168+X55/MAX(Time!X31,1)*X87)</f>
        <v>41.3054133893148</v>
      </c>
      <c r="Y88" s="13" t="n">
        <f aca="false">(1-Y86)*(Y56/MAX(Time!Y31,1)*Inputs!$F$168+Y55/MAX(Time!Y31,1)*Y87)</f>
        <v>42.4083302853802</v>
      </c>
      <c r="Z88" s="13" t="n">
        <f aca="false">(1-Z86)*(Z56/MAX(Time!Z31,1)*Inputs!$F$168+Z55/MAX(Time!Z31,1)*Z87)</f>
        <v>41.6897358651796</v>
      </c>
      <c r="AA88" s="13" t="n">
        <f aca="false">(1-AA86)*(AA56/MAX(Time!AA31,1)*Inputs!$F$168+AA55/MAX(Time!AA31,1)*AA87)</f>
        <v>42.9589072846173</v>
      </c>
      <c r="AB88" s="13" t="n">
        <f aca="false">(1-AB86)*(AB56/MAX(Time!AB31,1)*Inputs!$F$168+AB55/MAX(Time!AB31,1)*AB87)</f>
        <v>42.5376635915379</v>
      </c>
      <c r="AC88" s="13" t="n">
        <f aca="false">(1-AC86)*(AC56/MAX(Time!AC31,1)*Inputs!$F$168+AC55/MAX(Time!AC31,1)*AC87)</f>
        <v>43.0859747166726</v>
      </c>
      <c r="AD88" s="13" t="n">
        <f aca="false">(1-AD86)*(AD56/MAX(Time!AD31,1)*Inputs!$F$168+AD55/MAX(Time!AD31,1)*AD87)</f>
        <v>41.6167054672967</v>
      </c>
      <c r="AE88" s="13" t="n">
        <f aca="false">(1-AE86)*(AE56/MAX(Time!AE31,1)*Inputs!$F$168+AE55/MAX(Time!AE31,1)*AE87)</f>
        <v>43.4936968755139</v>
      </c>
      <c r="AF88" s="13" t="n">
        <f aca="false">(1-AF86)*(AF56/MAX(Time!AF31,1)*Inputs!$F$168+AF55/MAX(Time!AF31,1)*AF87)</f>
        <v>43.8184303297045</v>
      </c>
      <c r="AG88" s="13" t="n">
        <f aca="false">(1-AG86)*(AG56/MAX(Time!AG31,1)*Inputs!$F$168+AG55/MAX(Time!AG31,1)*AG87)</f>
        <v>44.9970045987169</v>
      </c>
      <c r="AH88" s="13" t="n">
        <f aca="false">(1-AH86)*(AH56/MAX(Time!AH31,1)*Inputs!$F$168+AH55/MAX(Time!AH31,1)*AH87)</f>
        <v>44.2336846943227</v>
      </c>
      <c r="AI88" s="13" t="n">
        <f aca="false">(1-AI86)*(AI56/MAX(Time!AI31,1)*Inputs!$F$168+AI55/MAX(Time!AI31,1)*AI87)</f>
        <v>45.5918208874678</v>
      </c>
      <c r="AJ88" s="13" t="n">
        <f aca="false">(1-AJ86)*(AJ56/MAX(Time!AJ31,1)*Inputs!$F$168+AJ55/MAX(Time!AJ31,1)*AJ87)</f>
        <v>45.149626250459</v>
      </c>
      <c r="AK88" s="13" t="n">
        <f aca="false">(1-AK86)*(AK56/MAX(Time!AK31,1)*Inputs!$F$168+AK55/MAX(Time!AK31,1)*AK87)</f>
        <v>45.9135764668008</v>
      </c>
      <c r="AL88" s="13" t="n">
        <f aca="false">(1-AL86)*(AL56/MAX(Time!AL31,1)*Inputs!$F$168+AL55/MAX(Time!AL31,1)*AL87)</f>
        <v>44.9334921408051</v>
      </c>
      <c r="AM88" s="13" t="n">
        <f aca="false">(1-AM86)*(AM56/MAX(Time!AM31,1)*Inputs!$F$168+AM55/MAX(Time!AM31,1)*AM87)</f>
        <v>46.5392952944488</v>
      </c>
      <c r="AN88" s="13" t="n">
        <f aca="false">(1-AN86)*(AN56/MAX(Time!AN31,1)*Inputs!$F$168+AN55/MAX(Time!AN31,1)*AN87)</f>
        <v>46.5332394011983</v>
      </c>
      <c r="AO88" s="13" t="n">
        <f aca="false">(1-AO86)*(AO56/MAX(Time!AO31,1)*Inputs!$F$168+AO55/MAX(Time!AO31,1)*AO87)</f>
        <v>47.7935649078857</v>
      </c>
      <c r="AP88" s="13" t="n">
        <f aca="false">(1-AP86)*(AP56/MAX(Time!AP31,1)*Inputs!$F$168+AP55/MAX(Time!AP31,1)*AP87)</f>
        <v>46.9819309154102</v>
      </c>
      <c r="AQ88" s="13" t="n">
        <f aca="false">(1-AQ86)*(AQ56/MAX(Time!AQ31,1)*Inputs!$F$168+AQ55/MAX(Time!AQ31,1)*AQ87)</f>
        <v>48.436183684556</v>
      </c>
      <c r="AR88" s="13" t="n">
        <f aca="false">(1-AR86)*(AR56/MAX(Time!AR31,1)*Inputs!$F$168+AR55/MAX(Time!AR31,1)*AR87)</f>
        <v>47.9713361993852</v>
      </c>
      <c r="AS88" s="13" t="n">
        <f aca="false">(1-AS86)*(AS56/MAX(Time!AS31,1)*Inputs!$F$168+AS55/MAX(Time!AS31,1)*AS87)</f>
        <v>48.5933597760093</v>
      </c>
      <c r="AT88" s="13" t="n">
        <f aca="false">(1-AT86)*(AT56/MAX(Time!AT31,1)*Inputs!$F$168+AT55/MAX(Time!AT31,1)*AT87)</f>
        <v>46.919639546778</v>
      </c>
      <c r="AU88" s="13" t="n">
        <f aca="false">(1-AU86)*(AU56/MAX(Time!AU31,1)*Inputs!$F$168+AU55/MAX(Time!AU31,1)*AU87)</f>
        <v>49.0609568997731</v>
      </c>
      <c r="AV88" s="13" t="n">
        <f aca="false">(1-AV86)*(AV56/MAX(Time!AV31,1)*Inputs!$F$168+AV55/MAX(Time!AV31,1)*AV87)</f>
        <v>49.4660645185685</v>
      </c>
      <c r="AW88" s="13" t="n">
        <f aca="false">(1-AW86)*(AW56/MAX(Time!AW31,1)*Inputs!$F$168+AW55/MAX(Time!AW31,1)*AW87)</f>
        <v>50.8147250172617</v>
      </c>
      <c r="AX88" s="13" t="n">
        <f aca="false">(1-AX86)*(AX56/MAX(Time!AX31,1)*Inputs!$F$168+AX55/MAX(Time!AX31,1)*AX87)</f>
        <v>49.9509023002326</v>
      </c>
      <c r="AY88" s="13" t="n">
        <f aca="false">(1-AY86)*(AY56/MAX(Time!AY31,1)*Inputs!$F$168+AY55/MAX(Time!AY31,1)*AY87)</f>
        <v>51.5089967649398</v>
      </c>
      <c r="AZ88" s="13" t="n">
        <f aca="false">(1-AZ86)*(AZ56/MAX(Time!AZ31,1)*Inputs!$F$168+AZ55/MAX(Time!AZ31,1)*AZ87)</f>
        <v>51.0196568956865</v>
      </c>
      <c r="BA88" s="13" t="n">
        <f aca="false">(1-BA86)*(BA56/MAX(Time!BA31,1)*Inputs!$F$168+BA55/MAX(Time!BA31,1)*BA87)</f>
        <v>51.8932401037153</v>
      </c>
      <c r="BB88" s="13" t="n">
        <f aca="false">(1-BB86)*(BB56/MAX(Time!BB31,1)*Inputs!$F$168+BB55/MAX(Time!BB31,1)*BB87)</f>
        <v>50.7682379289699</v>
      </c>
      <c r="BC88" s="13" t="n">
        <f aca="false">(1-BC86)*(BC56/MAX(Time!BC31,1)*Inputs!$F$168+BC55/MAX(Time!BC31,1)*BC87)</f>
        <v>52.6152074294667</v>
      </c>
      <c r="BD88" s="13" t="n">
        <f aca="false">(1-BD86)*(BD56/MAX(Time!BD31,1)*Inputs!$F$168+BD55/MAX(Time!BD31,1)*BD87)</f>
        <v>52.6344338644045</v>
      </c>
      <c r="BE88" s="13" t="n">
        <f aca="false">(1-BE86)*(BE56/MAX(Time!BE31,1)*Inputs!$F$168+BE55/MAX(Time!BE31,1)*BE87)</f>
        <v>54.0785422695604</v>
      </c>
      <c r="BF88" s="13" t="n">
        <f aca="false">(1-BF86)*(BF56/MAX(Time!BF31,1)*Inputs!$F$168+BF55/MAX(Time!BF31,1)*BF87)</f>
        <v>53.1583475336749</v>
      </c>
      <c r="BG88" s="13" t="n">
        <f aca="false">(1-BG86)*(BG56/MAX(Time!BG31,1)*Inputs!$F$168+BG55/MAX(Time!BG31,1)*BG87)</f>
        <v>54.8286279167531</v>
      </c>
      <c r="BH88" s="13" t="n">
        <f aca="false">(1-BH86)*(BH56/MAX(Time!BH31,1)*Inputs!$F$168+BH55/MAX(Time!BH31,1)*BH87)</f>
        <v>54.3128074194288</v>
      </c>
      <c r="BI88" s="13" t="n">
        <f aca="false">(1-BI86)*(BI56/MAX(Time!BI31,1)*Inputs!$F$168+BI55/MAX(Time!BI31,1)*BI87)</f>
        <v>55.0209797406327</v>
      </c>
      <c r="BJ88" s="13" t="n">
        <f aca="false">(1-BJ86)*(BJ56/MAX(Time!BJ31,1)*Inputs!$F$168+BJ55/MAX(Time!BJ31,1)*BJ87)</f>
        <v>53.108670689654</v>
      </c>
      <c r="BK88" s="13" t="n">
        <f aca="false">(1-BK86)*(BK56/MAX(Time!BK31,1)*Inputs!$F$168+BK55/MAX(Time!BK31,1)*BK87)</f>
        <v>55.5587366627012</v>
      </c>
      <c r="BL88" s="13" t="n">
        <f aca="false">(1-BL86)*(BL56/MAX(Time!BL31,1)*Inputs!$F$168+BL55/MAX(Time!BL31,1)*BL87)</f>
        <v>56.0572846169271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639</v>
      </c>
      <c r="E89" s="0" t="s">
        <v>149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640</v>
      </c>
      <c r="E90" s="0" t="s">
        <v>149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18.981872567668</v>
      </c>
      <c r="P90" s="13" t="n">
        <f aca="false">(1-P86)*(P73+P54)/MAX(Time!P31,1)*Inputs!$F$169</f>
        <v>18.8768166347588</v>
      </c>
      <c r="Q90" s="13" t="n">
        <f aca="false">(1-Q86)*(Q73+Q54)/MAX(Time!Q31,1)*Inputs!$F$169</f>
        <v>19.5079337069258</v>
      </c>
      <c r="R90" s="13" t="n">
        <f aca="false">(1-R86)*(R73+R54)/MAX(Time!R31,1)*Inputs!$F$169</f>
        <v>19.0638251712049</v>
      </c>
      <c r="S90" s="13" t="n">
        <f aca="false">(1-S86)*(S73+S54)/MAX(Time!S31,1)*Inputs!$F$169</f>
        <v>19.8281951314922</v>
      </c>
      <c r="T90" s="13" t="n">
        <f aca="false">(1-T86)*(T73+T54)/MAX(Time!T31,1)*Inputs!$F$169</f>
        <v>19.6274545385672</v>
      </c>
      <c r="U90" s="13" t="n">
        <f aca="false">(1-U86)*(U73+U54)/MAX(Time!U31,1)*Inputs!$F$169</f>
        <v>20.006740355923</v>
      </c>
      <c r="V90" s="13" t="n">
        <f aca="false">(1-V86)*(V73+V54)/MAX(Time!V31,1)*Inputs!$F$169</f>
        <v>19.3310098672999</v>
      </c>
      <c r="W90" s="13" t="n">
        <f aca="false">(1-W86)*(W73+W54)/MAX(Time!W31,1)*Inputs!$F$169</f>
        <v>20.2772528540493</v>
      </c>
      <c r="X90" s="13" t="n">
        <f aca="false">(1-X86)*(X73+X54)/MAX(Time!X31,1)*Inputs!$F$169</f>
        <v>20.407639729712</v>
      </c>
      <c r="Y90" s="13" t="n">
        <f aca="false">(1-Y86)*(Y73+Y54)/MAX(Time!Y31,1)*Inputs!$F$169</f>
        <v>21.0897814752711</v>
      </c>
      <c r="Z90" s="13" t="n">
        <f aca="false">(1-Z86)*(Z73+Z54)/MAX(Time!Z31,1)*Inputs!$F$169</f>
        <v>20.6095087910003</v>
      </c>
      <c r="AA90" s="13" t="n">
        <f aca="false">(1-AA86)*(AA73+AA54)/MAX(Time!AA31,1)*Inputs!$F$169</f>
        <v>21.4356946861304</v>
      </c>
      <c r="AB90" s="13" t="n">
        <f aca="false">(1-AB86)*(AB73+AB54)/MAX(Time!AB31,1)*Inputs!$F$169</f>
        <v>21.2185225793306</v>
      </c>
      <c r="AC90" s="13" t="n">
        <f aca="false">(1-AC86)*(AC73+AC54)/MAX(Time!AC31,1)*Inputs!$F$169</f>
        <v>21.4806805948419</v>
      </c>
      <c r="AD90" s="13" t="n">
        <f aca="false">(1-AD86)*(AD73+AD54)/MAX(Time!AD31,1)*Inputs!$F$169</f>
        <v>20.459484476917</v>
      </c>
      <c r="AE90" s="13" t="n">
        <f aca="false">(1-AE86)*(AE73+AE54)/MAX(Time!AE31,1)*Inputs!$F$169</f>
        <v>21.6176065400499</v>
      </c>
      <c r="AF90" s="13" t="n">
        <f aca="false">(1-AF86)*(AF73+AF54)/MAX(Time!AF31,1)*Inputs!$F$169</f>
        <v>22.0612977023519</v>
      </c>
      <c r="AG90" s="13" t="n">
        <f aca="false">(1-AG86)*(AG73+AG54)/MAX(Time!AG31,1)*Inputs!$F$169</f>
        <v>22.7985449933366</v>
      </c>
      <c r="AH90" s="13" t="n">
        <f aca="false">(1-AH86)*(AH73+AH54)/MAX(Time!AH31,1)*Inputs!$F$169</f>
        <v>22.2791935116234</v>
      </c>
      <c r="AI90" s="13" t="n">
        <f aca="false">(1-AI86)*(AI73+AI54)/MAX(Time!AI31,1)*Inputs!$F$169</f>
        <v>23.1721408306072</v>
      </c>
      <c r="AJ90" s="13" t="n">
        <f aca="false">(1-AJ86)*(AJ73+AJ54)/MAX(Time!AJ31,1)*Inputs!$F$169</f>
        <v>22.9372056354004</v>
      </c>
      <c r="AK90" s="13" t="n">
        <f aca="false">(1-AK86)*(AK73+AK54)/MAX(Time!AK31,1)*Inputs!$F$169</f>
        <v>23.3801026597477</v>
      </c>
      <c r="AL90" s="13" t="n">
        <f aca="false">(1-AL86)*(AL73+AL54)/MAX(Time!AL31,1)*Inputs!$F$169</f>
        <v>22.5901007054678</v>
      </c>
      <c r="AM90" s="13" t="n">
        <f aca="false">(1-AM86)*(AM73+AM54)/MAX(Time!AM31,1)*Inputs!$F$169</f>
        <v>23.6955222384344</v>
      </c>
      <c r="AN90" s="13" t="n">
        <f aca="false">(1-AN86)*(AN73+AN54)/MAX(Time!AN31,1)*Inputs!$F$169</f>
        <v>23.8475345772792</v>
      </c>
      <c r="AO90" s="13" t="n">
        <f aca="false">(1-AO86)*(AO73+AO54)/MAX(Time!AO31,1)*Inputs!$F$169</f>
        <v>24.6442908322948</v>
      </c>
      <c r="AP90" s="13" t="n">
        <f aca="false">(1-AP86)*(AP73+AP54)/MAX(Time!AP31,1)*Inputs!$F$169</f>
        <v>24.0827135754168</v>
      </c>
      <c r="AQ90" s="13" t="n">
        <f aca="false">(1-AQ86)*(AQ73+AQ54)/MAX(Time!AQ31,1)*Inputs!$F$169</f>
        <v>25.0477588278799</v>
      </c>
      <c r="AR90" s="13" t="n">
        <f aca="false">(1-AR86)*(AR73+AR54)/MAX(Time!AR31,1)*Inputs!$F$169</f>
        <v>24.7936221943159</v>
      </c>
      <c r="AS90" s="13" t="n">
        <f aca="false">(1-AS86)*(AS73+AS54)/MAX(Time!AS31,1)*Inputs!$F$169</f>
        <v>25.0995768403631</v>
      </c>
      <c r="AT90" s="13" t="n">
        <f aca="false">(1-AT86)*(AT73+AT54)/MAX(Time!AT31,1)*Inputs!$F$169</f>
        <v>23.9059809845721</v>
      </c>
      <c r="AU90" s="13" t="n">
        <f aca="false">(1-AU86)*(AU73+AU54)/MAX(Time!AU31,1)*Inputs!$F$169</f>
        <v>25.258817147491</v>
      </c>
      <c r="AV90" s="13" t="n">
        <f aca="false">(1-AV86)*(AV73+AV54)/MAX(Time!AV31,1)*Inputs!$F$169</f>
        <v>25.77685749294</v>
      </c>
      <c r="AW90" s="13" t="n">
        <f aca="false">(1-AW86)*(AW73+AW54)/MAX(Time!AW31,1)*Inputs!$F$169</f>
        <v>26.6378738330019</v>
      </c>
      <c r="AX90" s="13" t="n">
        <f aca="false">(1-AX86)*(AX73+AX54)/MAX(Time!AX31,1)*Inputs!$F$169</f>
        <v>26.0306731992748</v>
      </c>
      <c r="AY90" s="13" t="n">
        <f aca="false">(1-AY86)*(AY73+AY54)/MAX(Time!AY31,1)*Inputs!$F$169</f>
        <v>27.0735744238363</v>
      </c>
      <c r="AZ90" s="13" t="n">
        <f aca="false">(1-AZ86)*(AZ73+AZ54)/MAX(Time!AZ31,1)*Inputs!$F$169</f>
        <v>26.7986827619432</v>
      </c>
      <c r="BA90" s="13" t="n">
        <f aca="false">(1-BA86)*(BA73+BA54)/MAX(Time!BA31,1)*Inputs!$F$169</f>
        <v>27.315732486819</v>
      </c>
      <c r="BB90" s="13" t="n">
        <f aca="false">(1-BB86)*(BB73+BB54)/MAX(Time!BB31,1)*Inputs!$F$169</f>
        <v>26.3923522039153</v>
      </c>
      <c r="BC90" s="13" t="n">
        <f aca="false">(1-BC86)*(BC73+BC54)/MAX(Time!BC31,1)*Inputs!$F$169</f>
        <v>27.6834177692573</v>
      </c>
      <c r="BD90" s="13" t="n">
        <f aca="false">(1-BD86)*(BD73+BD54)/MAX(Time!BD31,1)*Inputs!$F$169</f>
        <v>27.8605955869597</v>
      </c>
      <c r="BE90" s="13" t="n">
        <f aca="false">(1-BE86)*(BE73+BE54)/MAX(Time!BE31,1)*Inputs!$F$169</f>
        <v>28.7909979229361</v>
      </c>
      <c r="BF90" s="13" t="n">
        <f aca="false">(1-BF86)*(BF73+BF54)/MAX(Time!BF31,1)*Inputs!$F$169</f>
        <v>28.1345059707397</v>
      </c>
      <c r="BG90" s="13" t="n">
        <f aca="false">(1-BG86)*(BG73+BG54)/MAX(Time!BG31,1)*Inputs!$F$169</f>
        <v>29.2614755871037</v>
      </c>
      <c r="BH90" s="13" t="n">
        <f aca="false">(1-BH86)*(BH73+BH54)/MAX(Time!BH31,1)*Inputs!$F$169</f>
        <v>28.9641509397965</v>
      </c>
      <c r="BI90" s="13" t="n">
        <f aca="false">(1-BI86)*(BI73+BI54)/MAX(Time!BI31,1)*Inputs!$F$169</f>
        <v>29.3211292367844</v>
      </c>
      <c r="BJ90" s="13" t="n">
        <f aca="false">(1-BJ86)*(BJ73+BJ54)/MAX(Time!BJ31,1)*Inputs!$F$169</f>
        <v>27.9263597410302</v>
      </c>
      <c r="BK90" s="13" t="n">
        <f aca="false">(1-BK86)*(BK73+BK54)/MAX(Time!BK31,1)*Inputs!$F$169</f>
        <v>29.5062644096175</v>
      </c>
      <c r="BL90" s="13" t="n">
        <f aca="false">(1-BL86)*(BL73+BL54)/MAX(Time!BL31,1)*Inputs!$F$169</f>
        <v>30.1109633453336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641</v>
      </c>
      <c r="E91" s="0" t="s">
        <v>149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642</v>
      </c>
      <c r="E92" s="0" t="s">
        <v>149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1.6628928836941</v>
      </c>
      <c r="P92" s="13" t="n">
        <f aca="false">(1-P86)*(P60+P61+P62+P64)/MAX(Time!P31,1)*Inputs!$F$171</f>
        <v>1.67194885949894</v>
      </c>
      <c r="Q92" s="13" t="n">
        <f aca="false">(1-Q86)*(Q60+Q61+Q62+Q64)/MAX(Time!Q31,1)*Inputs!$F$171</f>
        <v>1.71286010751399</v>
      </c>
      <c r="R92" s="13" t="n">
        <f aca="false">(1-R86)*(R60+R61+R62+R64)/MAX(Time!R31,1)*Inputs!$F$171</f>
        <v>1.69263594622123</v>
      </c>
      <c r="S92" s="13" t="n">
        <f aca="false">(1-S86)*(S60+S61+S62+S64)/MAX(Time!S31,1)*Inputs!$F$171</f>
        <v>1.74502917045463</v>
      </c>
      <c r="T92" s="13" t="n">
        <f aca="false">(1-T86)*(T60+T61+T62+T64)/MAX(Time!T31,1)*Inputs!$F$171</f>
        <v>1.74632383256489</v>
      </c>
      <c r="U92" s="13" t="n">
        <f aca="false">(1-U86)*(U60+U61+U62+U64)/MAX(Time!U31,1)*Inputs!$F$171</f>
        <v>1.76490315486203</v>
      </c>
      <c r="V92" s="13" t="n">
        <f aca="false">(1-V86)*(V60+V61+V62+V64)/MAX(Time!V31,1)*Inputs!$F$171</f>
        <v>1.72496769206929</v>
      </c>
      <c r="W92" s="13" t="n">
        <f aca="false">(1-W86)*(W60+W61+W62+W64)/MAX(Time!W31,1)*Inputs!$F$171</f>
        <v>1.79321945412016</v>
      </c>
      <c r="X92" s="13" t="n">
        <f aca="false">(1-X86)*(X60+X61+X62+X64)/MAX(Time!X31,1)*Inputs!$F$171</f>
        <v>1.8240073019327</v>
      </c>
      <c r="Y92" s="13" t="n">
        <f aca="false">(1-Y86)*(Y60+Y61+Y62+Y64)/MAX(Time!Y31,1)*Inputs!$F$171</f>
        <v>1.8686392981129</v>
      </c>
      <c r="Z92" s="13" t="n">
        <f aca="false">(1-Z86)*(Z60+Z61+Z62+Z64)/MAX(Time!Z31,1)*Inputs!$F$171</f>
        <v>1.84657581353687</v>
      </c>
      <c r="AA92" s="13" t="n">
        <f aca="false">(1-AA86)*(AA60+AA61+AA62+AA64)/MAX(Time!AA31,1)*Inputs!$F$171</f>
        <v>1.90373403523161</v>
      </c>
      <c r="AB92" s="13" t="n">
        <f aca="false">(1-AB86)*(AB60+AB61+AB62+AB64)/MAX(Time!AB31,1)*Inputs!$F$171</f>
        <v>1.90514644275188</v>
      </c>
      <c r="AC92" s="13" t="n">
        <f aca="false">(1-AC86)*(AC60+AC61+AC62+AC64)/MAX(Time!AC31,1)*Inputs!$F$171</f>
        <v>1.91250840221712</v>
      </c>
      <c r="AD92" s="13" t="n">
        <f aca="false">(1-AD86)*(AD60+AD61+AD62+AD64)/MAX(Time!AD31,1)*Inputs!$F$171</f>
        <v>1.84924221133948</v>
      </c>
      <c r="AE92" s="13" t="n">
        <f aca="false">(1-AE86)*(AE60+AE61+AE62+AE64)/MAX(Time!AE31,1)*Inputs!$F$171</f>
        <v>1.9297792162426</v>
      </c>
      <c r="AF92" s="13" t="n">
        <f aca="false">(1-AF86)*(AF60+AF61+AF62+AF64)/MAX(Time!AF31,1)*Inputs!$F$171</f>
        <v>1.98989497711125</v>
      </c>
      <c r="AG92" s="13" t="n">
        <f aca="false">(1-AG86)*(AG60+AG61+AG62+AG64)/MAX(Time!AG31,1)*Inputs!$F$171</f>
        <v>2.03858611169351</v>
      </c>
      <c r="AH92" s="13" t="n">
        <f aca="false">(1-AH86)*(AH60+AH61+AH62+AH64)/MAX(Time!AH31,1)*Inputs!$F$171</f>
        <v>2.01451602321914</v>
      </c>
      <c r="AI92" s="13" t="n">
        <f aca="false">(1-AI86)*(AI60+AI61+AI62+AI64)/MAX(Time!AI31,1)*Inputs!$F$171</f>
        <v>2.07687260377146</v>
      </c>
      <c r="AJ92" s="13" t="n">
        <f aca="false">(1-AJ86)*(AJ60+AJ61+AJ62+AJ64)/MAX(Time!AJ31,1)*Inputs!$F$171</f>
        <v>2.07841346527307</v>
      </c>
      <c r="AK92" s="13" t="n">
        <f aca="false">(1-AK86)*(AK60+AK61+AK62+AK64)/MAX(Time!AK31,1)*Inputs!$F$171</f>
        <v>2.10052592398087</v>
      </c>
      <c r="AL92" s="13" t="n">
        <f aca="false">(1-AL86)*(AL60+AL61+AL62+AL64)/MAX(Time!AL31,1)*Inputs!$F$171</f>
        <v>2.05299613479598</v>
      </c>
      <c r="AM92" s="13" t="n">
        <f aca="false">(1-AM86)*(AM60+AM61+AM62+AM64)/MAX(Time!AM31,1)*Inputs!$F$171</f>
        <v>2.13422699165647</v>
      </c>
      <c r="AN92" s="13" t="n">
        <f aca="false">(1-AN86)*(AN60+AN61+AN62+AN64)/MAX(Time!AN31,1)*Inputs!$F$171</f>
        <v>2.17086960986228</v>
      </c>
      <c r="AO92" s="13" t="n">
        <f aca="false">(1-AO86)*(AO60+AO61+AO62+AO64)/MAX(Time!AO31,1)*Inputs!$F$171</f>
        <v>2.22398904860159</v>
      </c>
      <c r="AP92" s="13" t="n">
        <f aca="false">(1-AP86)*(AP60+AP61+AP62+AP64)/MAX(Time!AP31,1)*Inputs!$F$171</f>
        <v>2.19772986197278</v>
      </c>
      <c r="AQ92" s="13" t="n">
        <f aca="false">(1-AQ86)*(AQ60+AQ61+AQ62+AQ64)/MAX(Time!AQ31,1)*Inputs!$F$171</f>
        <v>2.2657575756225</v>
      </c>
      <c r="AR92" s="13" t="n">
        <f aca="false">(1-AR86)*(AR60+AR61+AR62+AR64)/MAX(Time!AR31,1)*Inputs!$F$171</f>
        <v>2.26743857358739</v>
      </c>
      <c r="AS92" s="13" t="n">
        <f aca="false">(1-AS86)*(AS60+AS61+AS62+AS64)/MAX(Time!AS31,1)*Inputs!$F$171</f>
        <v>2.2762005199103</v>
      </c>
      <c r="AT92" s="13" t="n">
        <f aca="false">(1-AT86)*(AT60+AT61+AT62+AT64)/MAX(Time!AT31,1)*Inputs!$F$171</f>
        <v>2.20090331525411</v>
      </c>
      <c r="AU92" s="13" t="n">
        <f aca="false">(1-AU86)*(AU60+AU61+AU62+AU64)/MAX(Time!AU31,1)*Inputs!$F$171</f>
        <v>2.29675563790011</v>
      </c>
      <c r="AV92" s="13" t="n">
        <f aca="false">(1-AV86)*(AV60+AV61+AV62+AV64)/MAX(Time!AV31,1)*Inputs!$F$171</f>
        <v>2.36830331109485</v>
      </c>
      <c r="AW92" s="13" t="n">
        <f aca="false">(1-AW86)*(AW60+AW61+AW62+AW64)/MAX(Time!AW31,1)*Inputs!$F$171</f>
        <v>2.4262537942</v>
      </c>
      <c r="AX92" s="13" t="n">
        <f aca="false">(1-AX86)*(AX60+AX61+AX62+AX64)/MAX(Time!AX31,1)*Inputs!$F$171</f>
        <v>2.39760641788724</v>
      </c>
      <c r="AY92" s="13" t="n">
        <f aca="false">(1-AY86)*(AY60+AY61+AY62+AY64)/MAX(Time!AY31,1)*Inputs!$F$171</f>
        <v>2.47182103619086</v>
      </c>
      <c r="AZ92" s="13" t="n">
        <f aca="false">(1-AZ86)*(AZ60+AZ61+AZ62+AZ64)/MAX(Time!AZ31,1)*Inputs!$F$171</f>
        <v>2.47365491558559</v>
      </c>
      <c r="BA92" s="13" t="n">
        <f aca="false">(1-BA86)*(BA60+BA61+BA62+BA64)/MAX(Time!BA31,1)*Inputs!$F$171</f>
        <v>2.49997238951085</v>
      </c>
      <c r="BB92" s="13" t="n">
        <f aca="false">(1-BB86)*(BB60+BB61+BB62+BB64)/MAX(Time!BB31,1)*Inputs!$F$171</f>
        <v>2.44340409902468</v>
      </c>
      <c r="BC92" s="13" t="n">
        <f aca="false">(1-BC86)*(BC60+BC61+BC62+BC64)/MAX(Time!BC31,1)*Inputs!$F$171</f>
        <v>2.54008221997006</v>
      </c>
      <c r="BD92" s="13" t="n">
        <f aca="false">(1-BD86)*(BD60+BD61+BD62+BD64)/MAX(Time!BD31,1)*Inputs!$F$171</f>
        <v>2.5836929808505</v>
      </c>
      <c r="BE92" s="13" t="n">
        <f aca="false">(1-BE86)*(BE60+BE61+BE62+BE64)/MAX(Time!BE31,1)*Inputs!$F$171</f>
        <v>2.64691387647407</v>
      </c>
      <c r="BF92" s="13" t="n">
        <f aca="false">(1-BF86)*(BF60+BF61+BF62+BF64)/MAX(Time!BF31,1)*Inputs!$F$171</f>
        <v>2.6156611122051</v>
      </c>
      <c r="BG92" s="13" t="n">
        <f aca="false">(1-BG86)*(BG60+BG61+BG62+BG64)/MAX(Time!BG31,1)*Inputs!$F$171</f>
        <v>2.69662531450523</v>
      </c>
      <c r="BH92" s="13" t="n">
        <f aca="false">(1-BH86)*(BH60+BH61+BH62+BH64)/MAX(Time!BH31,1)*Inputs!$F$171</f>
        <v>2.69862597941065</v>
      </c>
      <c r="BI92" s="13" t="n">
        <f aca="false">(1-BI86)*(BI60+BI61+BI62+BI64)/MAX(Time!BI31,1)*Inputs!$F$171</f>
        <v>2.70905414106083</v>
      </c>
      <c r="BJ92" s="13" t="n">
        <f aca="false">(1-BJ86)*(BJ60+BJ61+BJ62+BJ64)/MAX(Time!BJ31,1)*Inputs!$F$171</f>
        <v>2.61943804515896</v>
      </c>
      <c r="BK92" s="13" t="n">
        <f aca="false">(1-BK86)*(BK60+BK61+BK62+BK64)/MAX(Time!BK31,1)*Inputs!$F$171</f>
        <v>2.73351812260516</v>
      </c>
      <c r="BL92" s="13" t="n">
        <f aca="false">(1-BL86)*(BL60+BL61+BL62+BL64)/MAX(Time!BL31,1)*Inputs!$F$171</f>
        <v>2.81867165747875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643</v>
      </c>
      <c r="E93" s="0" t="s">
        <v>149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1.16908940714676</v>
      </c>
      <c r="P93" s="13" t="n">
        <f aca="false">(1-P86)*(P65+P66+P67+P68+P69+P70+P71)/MAX(Time!P31,1)*Inputs!$F$172</f>
        <v>1.17437710141026</v>
      </c>
      <c r="Q93" s="13" t="n">
        <f aca="false">(1-Q86)*(Q65+Q66+Q67+Q68+Q69+Q70+Q71)/MAX(Time!Q31,1)*Inputs!$F$172</f>
        <v>1.20455680672931</v>
      </c>
      <c r="R93" s="13" t="n">
        <f aca="false">(1-R86)*(R65+R66+R67+R68+R69+R70+R71)/MAX(Time!R31,1)*Inputs!$F$172</f>
        <v>1.19440994066601</v>
      </c>
      <c r="S93" s="13" t="n">
        <f aca="false">(1-S86)*(S65+S66+S67+S68+S69+S70+S71)/MAX(Time!S31,1)*Inputs!$F$172</f>
        <v>1.22747781104018</v>
      </c>
      <c r="T93" s="13" t="n">
        <f aca="false">(1-T86)*(T65+T66+T67+T68+T69+T70+T71)/MAX(Time!T31,1)*Inputs!$F$172</f>
        <v>1.22184276048733</v>
      </c>
      <c r="U93" s="13" t="n">
        <f aca="false">(1-U86)*(U65+U66+U67+U68+U69+U70+U71)/MAX(Time!U31,1)*Inputs!$F$172</f>
        <v>1.24333028314458</v>
      </c>
      <c r="V93" s="13" t="n">
        <f aca="false">(1-V86)*(V65+V66+V67+V68+V69+V70+V71)/MAX(Time!V31,1)*Inputs!$F$172</f>
        <v>1.23357835972436</v>
      </c>
      <c r="W93" s="13" t="n">
        <f aca="false">(1-W86)*(W65+W66+W67+W68+W69+W70+W71)/MAX(Time!W31,1)*Inputs!$F$172</f>
        <v>1.2709153509933</v>
      </c>
      <c r="X93" s="13" t="n">
        <f aca="false">(1-X86)*(X65+X66+X67+X68+X69+X70+X71)/MAX(Time!X31,1)*Inputs!$F$172</f>
        <v>1.27137077047858</v>
      </c>
      <c r="Y93" s="13" t="n">
        <f aca="false">(1-Y86)*(Y65+Y66+Y67+Y68+Y69+Y70+Y71)/MAX(Time!Y31,1)*Inputs!$F$172</f>
        <v>1.30411452228973</v>
      </c>
      <c r="Z93" s="13" t="n">
        <f aca="false">(1-Z86)*(Z65+Z66+Z67+Z68+Z69+Z70+Z71)/MAX(Time!Z31,1)*Inputs!$F$172</f>
        <v>1.29319741011577</v>
      </c>
      <c r="AA93" s="13" t="n">
        <f aca="false">(1-AA86)*(AA65+AA66+AA67+AA68+AA69+AA70+AA71)/MAX(Time!AA31,1)*Inputs!$F$172</f>
        <v>1.32907588990402</v>
      </c>
      <c r="AB93" s="13" t="n">
        <f aca="false">(1-AB86)*(AB65+AB66+AB67+AB68+AB69+AB70+AB71)/MAX(Time!AB31,1)*Inputs!$F$172</f>
        <v>1.3230506883277</v>
      </c>
      <c r="AC93" s="13" t="n">
        <f aca="false">(1-AC86)*(AC65+AC66+AC67+AC68+AC69+AC70+AC71)/MAX(Time!AC31,1)*Inputs!$F$172</f>
        <v>1.34364304796437</v>
      </c>
      <c r="AD93" s="13" t="n">
        <f aca="false">(1-AD86)*(AD65+AD66+AD67+AD68+AD69+AD70+AD71)/MAX(Time!AD31,1)*Inputs!$F$172</f>
        <v>1.32684044707034</v>
      </c>
      <c r="AE93" s="13" t="n">
        <f aca="false">(1-AE86)*(AE65+AE66+AE67+AE68+AE69+AE70+AE71)/MAX(Time!AE31,1)*Inputs!$F$172</f>
        <v>1.37077160046846</v>
      </c>
      <c r="AF93" s="13" t="n">
        <f aca="false">(1-AF86)*(AF65+AF66+AF67+AF68+AF69+AF70+AF71)/MAX(Time!AF31,1)*Inputs!$F$172</f>
        <v>1.37697595764641</v>
      </c>
      <c r="AG93" s="13" t="n">
        <f aca="false">(1-AG86)*(AG65+AG66+AG67+AG68+AG69+AG70+AG71)/MAX(Time!AG31,1)*Inputs!$F$172</f>
        <v>1.41251182805383</v>
      </c>
      <c r="AH93" s="13" t="n">
        <f aca="false">(1-AH86)*(AH65+AH66+AH67+AH68+AH69+AH70+AH71)/MAX(Time!AH31,1)*Inputs!$F$172</f>
        <v>1.40075698044001</v>
      </c>
      <c r="AI93" s="13" t="n">
        <f aca="false">(1-AI86)*(AI65+AI66+AI67+AI68+AI69+AI70+AI71)/MAX(Time!AI31,1)*Inputs!$F$172</f>
        <v>1.43969510102453</v>
      </c>
      <c r="AJ93" s="13" t="n">
        <f aca="false">(1-AJ86)*(AJ65+AJ66+AJ67+AJ68+AJ69+AJ70+AJ71)/MAX(Time!AJ31,1)*Inputs!$F$172</f>
        <v>1.4332440772859</v>
      </c>
      <c r="AK93" s="13" t="n">
        <f aca="false">(1-AK86)*(AK65+AK66+AK67+AK68+AK69+AK70+AK71)/MAX(Time!AK31,1)*Inputs!$F$172</f>
        <v>1.45859050440447</v>
      </c>
      <c r="AL93" s="13" t="n">
        <f aca="false">(1-AL86)*(AL65+AL66+AL67+AL68+AL69+AL70+AL71)/MAX(Time!AL31,1)*Inputs!$F$172</f>
        <v>1.44727899703603</v>
      </c>
      <c r="AM93" s="13" t="n">
        <f aca="false">(1-AM86)*(AM65+AM66+AM67+AM68+AM69+AM70+AM71)/MAX(Time!AM31,1)*Inputs!$F$172</f>
        <v>1.49124957686535</v>
      </c>
      <c r="AN93" s="13" t="n">
        <f aca="false">(1-AN86)*(AN65+AN66+AN67+AN68+AN69+AN70+AN71)/MAX(Time!AN31,1)*Inputs!$F$172</f>
        <v>1.49195677721474</v>
      </c>
      <c r="AO93" s="13" t="n">
        <f aca="false">(1-AO86)*(AO65+AO66+AO67+AO68+AO69+AO70+AO71)/MAX(Time!AO31,1)*Inputs!$F$172</f>
        <v>1.53053311512828</v>
      </c>
      <c r="AP93" s="13" t="n">
        <f aca="false">(1-AP86)*(AP65+AP66+AP67+AP68+AP69+AP70+AP71)/MAX(Time!AP31,1)*Inputs!$F$172</f>
        <v>1.51786713782089</v>
      </c>
      <c r="AQ93" s="13" t="n">
        <f aca="false">(1-AQ86)*(AQ65+AQ66+AQ67+AQ68+AQ69+AQ70+AQ71)/MAX(Time!AQ31,1)*Inputs!$F$172</f>
        <v>1.56013598034708</v>
      </c>
      <c r="AR93" s="13" t="n">
        <f aca="false">(1-AR86)*(AR65+AR66+AR67+AR68+AR69+AR70+AR71)/MAX(Time!AR31,1)*Inputs!$F$172</f>
        <v>1.55322020201958</v>
      </c>
      <c r="AS93" s="13" t="n">
        <f aca="false">(1-AS86)*(AS65+AS66+AS67+AS68+AS69+AS70+AS71)/MAX(Time!AS31,1)*Inputs!$F$172</f>
        <v>1.57753582196399</v>
      </c>
      <c r="AT93" s="13" t="n">
        <f aca="false">(1-AT86)*(AT65+AT66+AT67+AT68+AT69+AT70+AT71)/MAX(Time!AT31,1)*Inputs!$F$172</f>
        <v>1.55802301084991</v>
      </c>
      <c r="AU93" s="13" t="n">
        <f aca="false">(1-AU86)*(AU65+AU66+AU67+AU68+AU69+AU70+AU71)/MAX(Time!AU31,1)*Inputs!$F$172</f>
        <v>1.60968567860143</v>
      </c>
      <c r="AV93" s="13" t="n">
        <f aca="false">(1-AV86)*(AV65+AV66+AV67+AV68+AV69+AV70+AV71)/MAX(Time!AV31,1)*Inputs!$F$172</f>
        <v>1.61714510235901</v>
      </c>
      <c r="AW93" s="13" t="n">
        <f aca="false">(1-AW86)*(AW65+AW66+AW67+AW68+AW69+AW70+AW71)/MAX(Time!AW31,1)*Inputs!$F$172</f>
        <v>1.6590323352579</v>
      </c>
      <c r="AX93" s="13" t="n">
        <f aca="false">(1-AX86)*(AX65+AX66+AX67+AX68+AX69+AX70+AX71)/MAX(Time!AX31,1)*Inputs!$F$172</f>
        <v>1.64537541323661</v>
      </c>
      <c r="AY93" s="13" t="n">
        <f aca="false">(1-AY86)*(AY65+AY66+AY67+AY68+AY69+AY70+AY71)/MAX(Time!AY31,1)*Inputs!$F$172</f>
        <v>1.6912700595055</v>
      </c>
      <c r="AZ93" s="13" t="n">
        <f aca="false">(1-AZ86)*(AZ65+AZ66+AZ67+AZ68+AZ69+AZ70+AZ71)/MAX(Time!AZ31,1)*Inputs!$F$172</f>
        <v>1.68384703471486</v>
      </c>
      <c r="BA93" s="13" t="n">
        <f aca="false">(1-BA86)*(BA65+BA66+BA67+BA68+BA69+BA70+BA71)/MAX(Time!BA31,1)*Inputs!$F$172</f>
        <v>1.71377577319758</v>
      </c>
      <c r="BB93" s="13" t="n">
        <f aca="false">(1-BB86)*(BB65+BB66+BB67+BB68+BB69+BB70+BB71)/MAX(Time!BB31,1)*Inputs!$F$172</f>
        <v>1.70063138427179</v>
      </c>
      <c r="BC93" s="13" t="n">
        <f aca="false">(1-BC86)*(BC65+BC66+BC67+BC68+BC69+BC70+BC71)/MAX(Time!BC31,1)*Inputs!$F$172</f>
        <v>1.75245776555793</v>
      </c>
      <c r="BD93" s="13" t="n">
        <f aca="false">(1-BD86)*(BD65+BD66+BD67+BD68+BD69+BD70+BD71)/MAX(Time!BD31,1)*Inputs!$F$172</f>
        <v>1.75344656980035</v>
      </c>
      <c r="BE93" s="13" t="n">
        <f aca="false">(1-BE86)*(BE65+BE66+BE67+BE68+BE69+BE70+BE71)/MAX(Time!BE31,1)*Inputs!$F$172</f>
        <v>1.79893916551024</v>
      </c>
      <c r="BF93" s="13" t="n">
        <f aca="false">(1-BF86)*(BF65+BF66+BF67+BF68+BF69+BF70+BF71)/MAX(Time!BF31,1)*Inputs!$F$172</f>
        <v>1.78420450215914</v>
      </c>
      <c r="BG93" s="13" t="n">
        <f aca="false">(1-BG86)*(BG65+BG66+BG67+BG68+BG69+BG70+BG71)/MAX(Time!BG31,1)*Inputs!$F$172</f>
        <v>1.83404615799398</v>
      </c>
      <c r="BH93" s="13" t="n">
        <f aca="false">(1-BH86)*(BH65+BH66+BH67+BH68+BH69+BH70+BH71)/MAX(Time!BH31,1)*Inputs!$F$172</f>
        <v>1.82606951000008</v>
      </c>
      <c r="BI93" s="13" t="n">
        <f aca="false">(1-BI86)*(BI65+BI66+BI67+BI68+BI69+BI70+BI71)/MAX(Time!BI31,1)*Inputs!$F$172</f>
        <v>1.85481257914875</v>
      </c>
      <c r="BJ93" s="13" t="n">
        <f aca="false">(1-BJ86)*(BJ65+BJ66+BJ67+BJ68+BJ69+BJ70+BJ71)/MAX(Time!BJ31,1)*Inputs!$F$172</f>
        <v>1.8321146167365</v>
      </c>
      <c r="BK93" s="13" t="n">
        <f aca="false">(1-BK86)*(BK65+BK66+BK67+BK68+BK69+BK70+BK71)/MAX(Time!BK31,1)*Inputs!$F$172</f>
        <v>1.89292912047208</v>
      </c>
      <c r="BL93" s="13" t="n">
        <f aca="false">(1-BL86)*(BL65+BL66+BL67+BL68+BL69+BL70+BL71)/MAX(Time!BL31,1)*Inputs!$F$172</f>
        <v>1.9018471162328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644</v>
      </c>
      <c r="E94" s="0" t="s">
        <v>149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645</v>
      </c>
      <c r="E95" s="0" t="s">
        <v>149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15.0126721593823</v>
      </c>
      <c r="P95" s="13" t="n">
        <f aca="false">P88+P89-P90-P91-P92-P93-P94</f>
        <v>14.9770810555101</v>
      </c>
      <c r="Q95" s="13" t="n">
        <f aca="false">Q88+Q89-Q90-Q91-Q92-Q93-Q94</f>
        <v>60.5832435134428</v>
      </c>
      <c r="R95" s="13" t="n">
        <f aca="false">R88+R89-R90-R91-R92-R93-R94</f>
        <v>59.8131342985023</v>
      </c>
      <c r="S95" s="13" t="n">
        <f aca="false">S88+S89-S90-S91-S92-S93-S94</f>
        <v>15.3691942404888</v>
      </c>
      <c r="T95" s="13" t="n">
        <f aca="false">T88+T89-T90-T91-T92-T93-T94</f>
        <v>15.1766417348128</v>
      </c>
      <c r="U95" s="13" t="n">
        <f aca="false">U88+U89-U90-U91-U92-U93-U94</f>
        <v>15.3924132795895</v>
      </c>
      <c r="V95" s="13" t="n">
        <f aca="false">V88+V89-V90-V91-V92-V93-V94</f>
        <v>15.2762961845185</v>
      </c>
      <c r="W95" s="13" t="n">
        <f aca="false">W88+W89-W90-W91-W92-W93-W94</f>
        <v>15.5763863566713</v>
      </c>
      <c r="X95" s="13" t="n">
        <f aca="false">X88+X89-X90-X91-X92-X93-X94</f>
        <v>15.3841298963527</v>
      </c>
      <c r="Y95" s="13" t="n">
        <f aca="false">Y88+Y89-Y90-Y91-Y92-Y93-Y94</f>
        <v>15.6855612181022</v>
      </c>
      <c r="Z95" s="13" t="n">
        <f aca="false">Z88+Z89-Z90-Z91-Z92-Z93-Z94</f>
        <v>15.4902012058035</v>
      </c>
      <c r="AA95" s="13" t="n">
        <f aca="false">AA88+AA89-AA90-AA91-AA92-AA93-AA94</f>
        <v>15.7948346689774</v>
      </c>
      <c r="AB95" s="13" t="n">
        <f aca="false">AB88+AB89-AB90-AB91-AB92-AB93-AB94</f>
        <v>15.5998670685786</v>
      </c>
      <c r="AC95" s="13" t="n">
        <f aca="false">AC88+AC89-AC90-AC91-AC92-AC93-AC94</f>
        <v>15.8240378702048</v>
      </c>
      <c r="AD95" s="13" t="n">
        <f aca="false">AD88+AD89-AD90-AD91-AD92-AD93-AD94</f>
        <v>15.4770486849626</v>
      </c>
      <c r="AE95" s="13" t="n">
        <f aca="false">AE88+AE89-AE90-AE91-AE92-AE93-AE94</f>
        <v>16.0185518276506</v>
      </c>
      <c r="AF95" s="13" t="n">
        <f aca="false">AF88+AF89-AF90-AF91-AF92-AF93-AF94</f>
        <v>15.8241880569958</v>
      </c>
      <c r="AG95" s="13" t="n">
        <f aca="false">AG88+AG89-AG90-AG91-AG92-AG93-AG94</f>
        <v>16.1367646913987</v>
      </c>
      <c r="AH95" s="13" t="n">
        <f aca="false">AH88+AH89-AH90-AH91-AH92-AH93-AH94</f>
        <v>15.9392043936763</v>
      </c>
      <c r="AI95" s="13" t="n">
        <f aca="false">AI88+AI89-AI90-AI91-AI92-AI93-AI94</f>
        <v>16.255026809057</v>
      </c>
      <c r="AJ95" s="13" t="n">
        <f aca="false">AJ88+AJ89-AJ90-AJ91-AJ92-AJ93-AJ94</f>
        <v>16.0574415006632</v>
      </c>
      <c r="AK95" s="13" t="n">
        <f aca="false">AK88+AK89-AK90-AK91-AK92-AK93-AK94</f>
        <v>16.2917057522784</v>
      </c>
      <c r="AL95" s="13" t="n">
        <f aca="false">AL88+AL89-AL90-AL91-AL92-AL93-AL94</f>
        <v>16.1764056593709</v>
      </c>
      <c r="AM95" s="13" t="n">
        <f aca="false">AM88+AM89-AM90-AM91-AM92-AM93-AM94</f>
        <v>16.498460833923</v>
      </c>
      <c r="AN95" s="13" t="n">
        <f aca="false">AN88+AN89-AN90-AN91-AN92-AN93-AN94</f>
        <v>16.2999904522951</v>
      </c>
      <c r="AO95" s="13" t="n">
        <f aca="false">AO88+AO89-AO90-AO91-AO92-AO93-AO94</f>
        <v>16.6246305514847</v>
      </c>
      <c r="AP95" s="13" t="n">
        <f aca="false">AP88+AP89-AP90-AP91-AP92-AP93-AP94</f>
        <v>16.42471989204</v>
      </c>
      <c r="AQ95" s="13" t="n">
        <f aca="false">AQ88+AQ89-AQ90-AQ91-AQ92-AQ93-AQ94</f>
        <v>16.7526360251521</v>
      </c>
      <c r="AR95" s="13" t="n">
        <f aca="false">AR88+AR89-AR90-AR91-AR92-AR93-AR94</f>
        <v>16.5522129829796</v>
      </c>
      <c r="AS95" s="13" t="n">
        <f aca="false">AS88+AS89-AS90-AS91-AS92-AS93-AS94</f>
        <v>16.7968893612947</v>
      </c>
      <c r="AT95" s="13" t="n">
        <f aca="false">AT88+AT89-AT90-AT91-AT92-AT93-AT94</f>
        <v>16.435191077402</v>
      </c>
      <c r="AU95" s="13" t="n">
        <f aca="false">AU88+AU89-AU90-AU91-AU92-AU93-AU94</f>
        <v>17.0166421588867</v>
      </c>
      <c r="AV95" s="13" t="n">
        <f aca="false">AV88+AV89-AV90-AV91-AV92-AV93-AV94</f>
        <v>16.814502812567</v>
      </c>
      <c r="AW95" s="13" t="n">
        <f aca="false">AW88+AW89-AW90-AW91-AW92-AW93-AW94</f>
        <v>17.152201737484</v>
      </c>
      <c r="AX95" s="13" t="n">
        <f aca="false">AX88+AX89-AX90-AX91-AX92-AX93-AX94</f>
        <v>16.9497803194663</v>
      </c>
      <c r="AY95" s="13" t="n">
        <f aca="false">AY88+AY89-AY90-AY91-AY92-AY93-AY94</f>
        <v>17.2907697102242</v>
      </c>
      <c r="AZ95" s="13" t="n">
        <f aca="false">AZ88+AZ89-AZ90-AZ91-AZ92-AZ93-AZ94</f>
        <v>17.0872699668267</v>
      </c>
      <c r="BA95" s="13" t="n">
        <f aca="false">BA88+BA89-BA90-BA91-BA92-BA93-BA94</f>
        <v>17.3432813388396</v>
      </c>
      <c r="BB95" s="13" t="n">
        <f aca="false">BB88+BB89-BB90-BB91-BB92-BB93-BB94</f>
        <v>17.2292862049255</v>
      </c>
      <c r="BC95" s="13" t="n">
        <f aca="false">BC88+BC89-BC90-BC91-BC92-BC93-BC94</f>
        <v>17.5769129064753</v>
      </c>
      <c r="BD95" s="13" t="n">
        <f aca="false">BD88+BD89-BD90-BD91-BD92-BD93-BD94</f>
        <v>17.3709414625219</v>
      </c>
      <c r="BE95" s="13" t="n">
        <f aca="false">BE88+BE89-BE90-BE91-BE92-BE93-BE94</f>
        <v>17.7227783920466</v>
      </c>
      <c r="BF95" s="13" t="n">
        <f aca="false">BF88+BF89-BF90-BF91-BF92-BF93-BF94</f>
        <v>17.5176747764197</v>
      </c>
      <c r="BG95" s="13" t="n">
        <f aca="false">BG88+BG89-BG90-BG91-BG92-BG93-BG94</f>
        <v>17.8727980412432</v>
      </c>
      <c r="BH95" s="13" t="n">
        <f aca="false">BH88+BH89-BH90-BH91-BH92-BH93-BH94</f>
        <v>17.6659620215965</v>
      </c>
      <c r="BI95" s="13" t="n">
        <f aca="false">BI88+BI89-BI90-BI91-BI92-BI93-BI94</f>
        <v>17.9348437171468</v>
      </c>
      <c r="BJ95" s="13" t="n">
        <f aca="false">BJ88+BJ89-BJ90-BJ91-BJ92-BJ93-BJ94</f>
        <v>17.5561508195889</v>
      </c>
      <c r="BK95" s="13" t="n">
        <f aca="false">BK88+BK89-BK90-BK91-BK92-BK93-BK94</f>
        <v>18.1844640840537</v>
      </c>
      <c r="BL95" s="13" t="n">
        <f aca="false">BL88+BL89-BL90-BL91-BL92-BL93-BL94</f>
        <v>17.9727948157232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646</v>
      </c>
      <c r="E96" s="0" t="s">
        <v>149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15.0126721593823</v>
      </c>
      <c r="P96" s="13" t="n">
        <f aca="false">P95-O95</f>
        <v>-0.0355911038722496</v>
      </c>
      <c r="Q96" s="13" t="n">
        <f aca="false">Q95-P95</f>
        <v>45.6061624579327</v>
      </c>
      <c r="R96" s="13" t="n">
        <f aca="false">R95-Q95</f>
        <v>-0.770109214940433</v>
      </c>
      <c r="S96" s="13" t="n">
        <f aca="false">S95-R95</f>
        <v>-44.4439400580135</v>
      </c>
      <c r="T96" s="13" t="n">
        <f aca="false">T95-S95</f>
        <v>-0.192552505676016</v>
      </c>
      <c r="U96" s="13" t="n">
        <f aca="false">U95-T95</f>
        <v>0.215771544776699</v>
      </c>
      <c r="V96" s="13" t="n">
        <f aca="false">V95-U95</f>
        <v>-0.116117095071015</v>
      </c>
      <c r="W96" s="13" t="n">
        <f aca="false">W95-V95</f>
        <v>0.300090172152856</v>
      </c>
      <c r="X96" s="13" t="n">
        <f aca="false">X95-W95</f>
        <v>-0.19225646031866</v>
      </c>
      <c r="Y96" s="13" t="n">
        <f aca="false">Y95-X95</f>
        <v>0.301431321749558</v>
      </c>
      <c r="Z96" s="13" t="n">
        <f aca="false">Z95-Y95</f>
        <v>-0.195360012298716</v>
      </c>
      <c r="AA96" s="13" t="n">
        <f aca="false">AA95-Z95</f>
        <v>0.304633463173856</v>
      </c>
      <c r="AB96" s="13" t="n">
        <f aca="false">AB95-AA95</f>
        <v>-0.194967600398813</v>
      </c>
      <c r="AC96" s="13" t="n">
        <f aca="false">AC95-AB95</f>
        <v>0.224170801626244</v>
      </c>
      <c r="AD96" s="13" t="n">
        <f aca="false">AD95-AC95</f>
        <v>-0.346989185242208</v>
      </c>
      <c r="AE96" s="13" t="n">
        <f aca="false">AE95-AD95</f>
        <v>0.541503142688004</v>
      </c>
      <c r="AF96" s="13" t="n">
        <f aca="false">AF95-AE95</f>
        <v>-0.194363770654764</v>
      </c>
      <c r="AG96" s="13" t="n">
        <f aca="false">AG95-AF95</f>
        <v>0.31257663440282</v>
      </c>
      <c r="AH96" s="13" t="n">
        <f aca="false">AH95-AG95</f>
        <v>-0.197560297722392</v>
      </c>
      <c r="AI96" s="13" t="n">
        <f aca="false">AI95-AH95</f>
        <v>0.315822415380717</v>
      </c>
      <c r="AJ96" s="13" t="n">
        <f aca="false">AJ95-AI95</f>
        <v>-0.197585308393784</v>
      </c>
      <c r="AK96" s="13" t="n">
        <f aca="false">AK95-AJ95</f>
        <v>0.234264251615162</v>
      </c>
      <c r="AL96" s="13" t="n">
        <f aca="false">AL95-AK95</f>
        <v>-0.115300092907503</v>
      </c>
      <c r="AM96" s="13" t="n">
        <f aca="false">AM95-AL95</f>
        <v>0.32205517455213</v>
      </c>
      <c r="AN96" s="13" t="n">
        <f aca="false">AN95-AM95</f>
        <v>-0.198470381627924</v>
      </c>
      <c r="AO96" s="13" t="n">
        <f aca="false">AO95-AN95</f>
        <v>0.324640099189601</v>
      </c>
      <c r="AP96" s="13" t="n">
        <f aca="false">AP95-AO95</f>
        <v>-0.199910659444708</v>
      </c>
      <c r="AQ96" s="13" t="n">
        <f aca="false">AQ95-AP95</f>
        <v>0.327916133112176</v>
      </c>
      <c r="AR96" s="13" t="n">
        <f aca="false">AR95-AQ95</f>
        <v>-0.200423042172499</v>
      </c>
      <c r="AS96" s="13" t="n">
        <f aca="false">AS95-AR95</f>
        <v>0.24467637831501</v>
      </c>
      <c r="AT96" s="13" t="n">
        <f aca="false">AT95-AS95</f>
        <v>-0.361698283892643</v>
      </c>
      <c r="AU96" s="13" t="n">
        <f aca="false">AU95-AT95</f>
        <v>0.581451081484683</v>
      </c>
      <c r="AV96" s="13" t="n">
        <f aca="false">AV95-AU95</f>
        <v>-0.202139346319711</v>
      </c>
      <c r="AW96" s="13" t="n">
        <f aca="false">AW95-AV95</f>
        <v>0.337698924917028</v>
      </c>
      <c r="AX96" s="13" t="n">
        <f aca="false">AX95-AW95</f>
        <v>-0.202421418017732</v>
      </c>
      <c r="AY96" s="13" t="n">
        <f aca="false">AY95-AX95</f>
        <v>0.340989390757926</v>
      </c>
      <c r="AZ96" s="13" t="n">
        <f aca="false">AZ95-AY95</f>
        <v>-0.203499743397543</v>
      </c>
      <c r="BA96" s="13" t="n">
        <f aca="false">BA95-AZ95</f>
        <v>0.256011372012942</v>
      </c>
      <c r="BB96" s="13" t="n">
        <f aca="false">BB95-BA95</f>
        <v>-0.113995133914148</v>
      </c>
      <c r="BC96" s="13" t="n">
        <f aca="false">BC95-BB95</f>
        <v>0.34762670154986</v>
      </c>
      <c r="BD96" s="13" t="n">
        <f aca="false">BD95-BC95</f>
        <v>-0.20597144395343</v>
      </c>
      <c r="BE96" s="13" t="n">
        <f aca="false">BE95-BD95</f>
        <v>0.35183692952474</v>
      </c>
      <c r="BF96" s="13" t="n">
        <f aca="false">BF95-BE95</f>
        <v>-0.205103615626875</v>
      </c>
      <c r="BG96" s="13" t="n">
        <f aca="false">BG95-BF95</f>
        <v>0.355123264823476</v>
      </c>
      <c r="BH96" s="13" t="n">
        <f aca="false">BH95-BG95</f>
        <v>-0.206836019646694</v>
      </c>
      <c r="BI96" s="13" t="n">
        <f aca="false">BI95-BH95</f>
        <v>0.26888169555026</v>
      </c>
      <c r="BJ96" s="13" t="n">
        <f aca="false">BJ95-BI95</f>
        <v>-0.378692897557905</v>
      </c>
      <c r="BK96" s="13" t="n">
        <f aca="false">BK95-BJ95</f>
        <v>0.628313264464811</v>
      </c>
      <c r="BL96" s="13" t="n">
        <f aca="false">BL95-BK95</f>
        <v>-0.211669268330493</v>
      </c>
      <c r="BM96" s="13" t="n">
        <f aca="false">BM95-BL95</f>
        <v>-17.9727948157232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647</v>
      </c>
      <c r="E97" s="0" t="s">
        <v>149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649</v>
      </c>
      <c r="E7" s="0" t="s">
        <v>97</v>
      </c>
      <c r="J7" s="10" t="n">
        <f aca="false">MAX(0,MIN(Time!J33,Inputs!$F$228*12)-MIN(Time!J32,Inputs!$F$228*12))</f>
        <v>0</v>
      </c>
      <c r="K7" s="10" t="n">
        <f aca="false">MAX(0,MIN(Time!K33,Inputs!$F$228*12)-MIN(Time!K32,Inputs!$F$228*12))</f>
        <v>0</v>
      </c>
      <c r="L7" s="10" t="n">
        <f aca="false">MAX(0,MIN(Time!L33,Inputs!$F$228*12)-MIN(Time!L32,Inputs!$F$228*12))</f>
        <v>0</v>
      </c>
      <c r="M7" s="10" t="n">
        <f aca="false">MAX(0,MIN(Time!M33,Inputs!$F$228*12)-MIN(Time!M32,Inputs!$F$228*12))</f>
        <v>0</v>
      </c>
      <c r="N7" s="10" t="n">
        <f aca="false">MAX(0,MIN(Time!N33,Inputs!$F$228*12)-MIN(Time!N32,Inputs!$F$228*12))</f>
        <v>0</v>
      </c>
      <c r="O7" s="10" t="n">
        <f aca="false">MAX(0,MIN(Time!O33,Inputs!$F$228*12)-MIN(Time!O32,Inputs!$F$228*12))</f>
        <v>2</v>
      </c>
      <c r="P7" s="10" t="n">
        <f aca="false">MAX(0,MIN(Time!P33,Inputs!$F$228*12)-MIN(Time!P32,Inputs!$F$228*12))</f>
        <v>6</v>
      </c>
      <c r="Q7" s="10" t="n">
        <f aca="false">MAX(0,MIN(Time!Q33,Inputs!$F$228*12)-MIN(Time!Q32,Inputs!$F$228*12))</f>
        <v>6</v>
      </c>
      <c r="R7" s="10" t="n">
        <f aca="false">MAX(0,MIN(Time!R33,Inputs!$F$228*12)-MIN(Time!R32,Inputs!$F$228*12))</f>
        <v>6</v>
      </c>
      <c r="S7" s="10" t="n">
        <f aca="false">MAX(0,MIN(Time!S33,Inputs!$F$228*12)-MIN(Time!S32,Inputs!$F$228*12))</f>
        <v>6</v>
      </c>
      <c r="T7" s="10" t="n">
        <f aca="false">MAX(0,MIN(Time!T33,Inputs!$F$228*12)-MIN(Time!T32,Inputs!$F$228*12))</f>
        <v>6</v>
      </c>
      <c r="U7" s="10" t="n">
        <f aca="false">MAX(0,MIN(Time!U33,Inputs!$F$228*12)-MIN(Time!U32,Inputs!$F$228*12))</f>
        <v>6</v>
      </c>
      <c r="V7" s="10" t="n">
        <f aca="false">MAX(0,MIN(Time!V33,Inputs!$F$228*12)-MIN(Time!V32,Inputs!$F$228*12))</f>
        <v>6</v>
      </c>
      <c r="W7" s="10" t="n">
        <f aca="false">MAX(0,MIN(Time!W33,Inputs!$F$228*12)-MIN(Time!W32,Inputs!$F$228*12))</f>
        <v>6</v>
      </c>
      <c r="X7" s="10" t="n">
        <f aca="false">MAX(0,MIN(Time!X33,Inputs!$F$228*12)-MIN(Time!X32,Inputs!$F$228*12))</f>
        <v>6</v>
      </c>
      <c r="Y7" s="10" t="n">
        <f aca="false">MAX(0,MIN(Time!Y33,Inputs!$F$228*12)-MIN(Time!Y32,Inputs!$F$228*12))</f>
        <v>4</v>
      </c>
      <c r="Z7" s="10" t="n">
        <f aca="false">MAX(0,MIN(Time!Z33,Inputs!$F$228*12)-MIN(Time!Z32,Inputs!$F$228*12))</f>
        <v>0</v>
      </c>
      <c r="AA7" s="10" t="n">
        <f aca="false">MAX(0,MIN(Time!AA33,Inputs!$F$228*12)-MIN(Time!AA32,Inputs!$F$228*12))</f>
        <v>0</v>
      </c>
      <c r="AB7" s="10" t="n">
        <f aca="false">MAX(0,MIN(Time!AB33,Inputs!$F$228*12)-MIN(Time!AB32,Inputs!$F$228*12))</f>
        <v>0</v>
      </c>
      <c r="AC7" s="10" t="n">
        <f aca="false">MAX(0,MIN(Time!AC33,Inputs!$F$228*12)-MIN(Time!AC32,Inputs!$F$228*12))</f>
        <v>0</v>
      </c>
      <c r="AD7" s="10" t="n">
        <f aca="false">MAX(0,MIN(Time!AD33,Inputs!$F$228*12)-MIN(Time!AD32,Inputs!$F$228*12))</f>
        <v>0</v>
      </c>
      <c r="AE7" s="10" t="n">
        <f aca="false">MAX(0,MIN(Time!AE33,Inputs!$F$228*12)-MIN(Time!AE32,Inputs!$F$228*12))</f>
        <v>0</v>
      </c>
      <c r="AF7" s="10" t="n">
        <f aca="false">MAX(0,MIN(Time!AF33,Inputs!$F$228*12)-MIN(Time!AF32,Inputs!$F$228*12))</f>
        <v>0</v>
      </c>
      <c r="AG7" s="10" t="n">
        <f aca="false">MAX(0,MIN(Time!AG33,Inputs!$F$228*12)-MIN(Time!AG32,Inputs!$F$228*12))</f>
        <v>0</v>
      </c>
      <c r="AH7" s="10" t="n">
        <f aca="false">MAX(0,MIN(Time!AH33,Inputs!$F$228*12)-MIN(Time!AH32,Inputs!$F$228*12))</f>
        <v>0</v>
      </c>
      <c r="AI7" s="10" t="n">
        <f aca="false">MAX(0,MIN(Time!AI33,Inputs!$F$228*12)-MIN(Time!AI32,Inputs!$F$228*12))</f>
        <v>0</v>
      </c>
      <c r="AJ7" s="10" t="n">
        <f aca="false">MAX(0,MIN(Time!AJ33,Inputs!$F$228*12)-MIN(Time!AJ32,Inputs!$F$228*12))</f>
        <v>0</v>
      </c>
      <c r="AK7" s="10" t="n">
        <f aca="false">MAX(0,MIN(Time!AK33,Inputs!$F$228*12)-MIN(Time!AK32,Inputs!$F$228*12))</f>
        <v>0</v>
      </c>
      <c r="AL7" s="10" t="n">
        <f aca="false">MAX(0,MIN(Time!AL33,Inputs!$F$228*12)-MIN(Time!AL32,Inputs!$F$228*12))</f>
        <v>0</v>
      </c>
      <c r="AM7" s="10" t="n">
        <f aca="false">MAX(0,MIN(Time!AM33,Inputs!$F$228*12)-MIN(Time!AM32,Inputs!$F$228*12))</f>
        <v>0</v>
      </c>
      <c r="AN7" s="10" t="n">
        <f aca="false">MAX(0,MIN(Time!AN33,Inputs!$F$228*12)-MIN(Time!AN32,Inputs!$F$228*12))</f>
        <v>0</v>
      </c>
      <c r="AO7" s="10" t="n">
        <f aca="false">MAX(0,MIN(Time!AO33,Inputs!$F$228*12)-MIN(Time!AO32,Inputs!$F$228*12))</f>
        <v>0</v>
      </c>
      <c r="AP7" s="10" t="n">
        <f aca="false">MAX(0,MIN(Time!AP33,Inputs!$F$228*12)-MIN(Time!AP32,Inputs!$F$228*12))</f>
        <v>0</v>
      </c>
      <c r="AQ7" s="10" t="n">
        <f aca="false">MAX(0,MIN(Time!AQ33,Inputs!$F$228*12)-MIN(Time!AQ32,Inputs!$F$228*12))</f>
        <v>0</v>
      </c>
      <c r="AR7" s="10" t="n">
        <f aca="false">MAX(0,MIN(Time!AR33,Inputs!$F$228*12)-MIN(Time!AR32,Inputs!$F$228*12))</f>
        <v>0</v>
      </c>
      <c r="AS7" s="10" t="n">
        <f aca="false">MAX(0,MIN(Time!AS33,Inputs!$F$228*12)-MIN(Time!AS32,Inputs!$F$228*12))</f>
        <v>0</v>
      </c>
      <c r="AT7" s="10" t="n">
        <f aca="false">MAX(0,MIN(Time!AT33,Inputs!$F$228*12)-MIN(Time!AT32,Inputs!$F$228*12))</f>
        <v>0</v>
      </c>
      <c r="AU7" s="10" t="n">
        <f aca="false">MAX(0,MIN(Time!AU33,Inputs!$F$228*12)-MIN(Time!AU32,Inputs!$F$228*12))</f>
        <v>0</v>
      </c>
      <c r="AV7" s="10" t="n">
        <f aca="false">MAX(0,MIN(Time!AV33,Inputs!$F$228*12)-MIN(Time!AV32,Inputs!$F$228*12))</f>
        <v>0</v>
      </c>
      <c r="AW7" s="10" t="n">
        <f aca="false">MAX(0,MIN(Time!AW33,Inputs!$F$228*12)-MIN(Time!AW32,Inputs!$F$228*12))</f>
        <v>0</v>
      </c>
      <c r="AX7" s="10" t="n">
        <f aca="false">MAX(0,MIN(Time!AX33,Inputs!$F$228*12)-MIN(Time!AX32,Inputs!$F$228*12))</f>
        <v>0</v>
      </c>
      <c r="AY7" s="10" t="n">
        <f aca="false">MAX(0,MIN(Time!AY33,Inputs!$F$228*12)-MIN(Time!AY32,Inputs!$F$228*12))</f>
        <v>0</v>
      </c>
      <c r="AZ7" s="10" t="n">
        <f aca="false">MAX(0,MIN(Time!AZ33,Inputs!$F$228*12)-MIN(Time!AZ32,Inputs!$F$228*12))</f>
        <v>0</v>
      </c>
      <c r="BA7" s="10" t="n">
        <f aca="false">MAX(0,MIN(Time!BA33,Inputs!$F$228*12)-MIN(Time!BA32,Inputs!$F$228*12))</f>
        <v>0</v>
      </c>
      <c r="BB7" s="10" t="n">
        <f aca="false">MAX(0,MIN(Time!BB33,Inputs!$F$228*12)-MIN(Time!BB32,Inputs!$F$228*12))</f>
        <v>0</v>
      </c>
      <c r="BC7" s="10" t="n">
        <f aca="false">MAX(0,MIN(Time!BC33,Inputs!$F$228*12)-MIN(Time!BC32,Inputs!$F$228*12))</f>
        <v>0</v>
      </c>
      <c r="BD7" s="10" t="n">
        <f aca="false">MAX(0,MIN(Time!BD33,Inputs!$F$228*12)-MIN(Time!BD32,Inputs!$F$228*12))</f>
        <v>0</v>
      </c>
      <c r="BE7" s="10" t="n">
        <f aca="false">MAX(0,MIN(Time!BE33,Inputs!$F$228*12)-MIN(Time!BE32,Inputs!$F$228*12))</f>
        <v>0</v>
      </c>
      <c r="BF7" s="10" t="n">
        <f aca="false">MAX(0,MIN(Time!BF33,Inputs!$F$228*12)-MIN(Time!BF32,Inputs!$F$228*12))</f>
        <v>0</v>
      </c>
      <c r="BG7" s="10" t="n">
        <f aca="false">MAX(0,MIN(Time!BG33,Inputs!$F$228*12)-MIN(Time!BG32,Inputs!$F$228*12))</f>
        <v>0</v>
      </c>
      <c r="BH7" s="10" t="n">
        <f aca="false">MAX(0,MIN(Time!BH33,Inputs!$F$228*12)-MIN(Time!BH32,Inputs!$F$228*12))</f>
        <v>0</v>
      </c>
      <c r="BI7" s="10" t="n">
        <f aca="false">MAX(0,MIN(Time!BI33,Inputs!$F$228*12)-MIN(Time!BI32,Inputs!$F$228*12))</f>
        <v>0</v>
      </c>
      <c r="BJ7" s="10" t="n">
        <f aca="false">MAX(0,MIN(Time!BJ33,Inputs!$F$228*12)-MIN(Time!BJ32,Inputs!$F$228*12))</f>
        <v>0</v>
      </c>
      <c r="BK7" s="10" t="n">
        <f aca="false">MAX(0,MIN(Time!BK33,Inputs!$F$228*12)-MIN(Time!BK32,Inputs!$F$228*12))</f>
        <v>0</v>
      </c>
      <c r="BL7" s="10" t="n">
        <f aca="false">MAX(0,MIN(Time!BL33,Inputs!$F$228*12)-MIN(Time!BL32,Inputs!$F$228*12))</f>
        <v>0</v>
      </c>
      <c r="BM7" s="10" t="n">
        <f aca="false">MAX(0,MIN(Time!BM33,Inputs!$F$228*12)-MIN(Time!BM32,Inputs!$F$228*12))</f>
        <v>0</v>
      </c>
      <c r="BN7" s="10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650</v>
      </c>
      <c r="E8" s="0" t="s">
        <v>97</v>
      </c>
      <c r="J8" s="10" t="n">
        <f aca="false">MAX(0,MIN(Time!J33,Inputs!$F$229*12)-MIN(MAX(Time!J32,Inputs!$F$228*12),Inputs!$F$229*12))</f>
        <v>0</v>
      </c>
      <c r="K8" s="10" t="n">
        <f aca="false">MAX(0,MIN(Time!K33,Inputs!$F$229*12)-MIN(MAX(Time!K32,Inputs!$F$228*12),Inputs!$F$229*12))</f>
        <v>0</v>
      </c>
      <c r="L8" s="10" t="n">
        <f aca="false">MAX(0,MIN(Time!L33,Inputs!$F$229*12)-MIN(MAX(Time!L32,Inputs!$F$228*12),Inputs!$F$229*12))</f>
        <v>0</v>
      </c>
      <c r="M8" s="10" t="n">
        <f aca="false">MAX(0,MIN(Time!M33,Inputs!$F$229*12)-MIN(MAX(Time!M32,Inputs!$F$228*12),Inputs!$F$229*12))</f>
        <v>0</v>
      </c>
      <c r="N8" s="10" t="n">
        <f aca="false">MAX(0,MIN(Time!N33,Inputs!$F$229*12)-MIN(MAX(Time!N32,Inputs!$F$228*12),Inputs!$F$229*12))</f>
        <v>0</v>
      </c>
      <c r="O8" s="10" t="n">
        <f aca="false">MAX(0,MIN(Time!O33,Inputs!$F$229*12)-MIN(MAX(Time!O32,Inputs!$F$228*12),Inputs!$F$229*12))</f>
        <v>0</v>
      </c>
      <c r="P8" s="10" t="n">
        <f aca="false">MAX(0,MIN(Time!P33,Inputs!$F$229*12)-MIN(MAX(Time!P32,Inputs!$F$228*12),Inputs!$F$229*12))</f>
        <v>0</v>
      </c>
      <c r="Q8" s="10" t="n">
        <f aca="false">MAX(0,MIN(Time!Q33,Inputs!$F$229*12)-MIN(MAX(Time!Q32,Inputs!$F$228*12),Inputs!$F$229*12))</f>
        <v>0</v>
      </c>
      <c r="R8" s="10" t="n">
        <f aca="false">MAX(0,MIN(Time!R33,Inputs!$F$229*12)-MIN(MAX(Time!R32,Inputs!$F$228*12),Inputs!$F$229*12))</f>
        <v>0</v>
      </c>
      <c r="S8" s="10" t="n">
        <f aca="false">MAX(0,MIN(Time!S33,Inputs!$F$229*12)-MIN(MAX(Time!S32,Inputs!$F$228*12),Inputs!$F$229*12))</f>
        <v>0</v>
      </c>
      <c r="T8" s="10" t="n">
        <f aca="false">MAX(0,MIN(Time!T33,Inputs!$F$229*12)-MIN(MAX(Time!T32,Inputs!$F$228*12),Inputs!$F$229*12))</f>
        <v>0</v>
      </c>
      <c r="U8" s="10" t="n">
        <f aca="false">MAX(0,MIN(Time!U33,Inputs!$F$229*12)-MIN(MAX(Time!U32,Inputs!$F$228*12),Inputs!$F$229*12))</f>
        <v>0</v>
      </c>
      <c r="V8" s="10" t="n">
        <f aca="false">MAX(0,MIN(Time!V33,Inputs!$F$229*12)-MIN(MAX(Time!V32,Inputs!$F$228*12),Inputs!$F$229*12))</f>
        <v>0</v>
      </c>
      <c r="W8" s="10" t="n">
        <f aca="false">MAX(0,MIN(Time!W33,Inputs!$F$229*12)-MIN(MAX(Time!W32,Inputs!$F$228*12),Inputs!$F$229*12))</f>
        <v>0</v>
      </c>
      <c r="X8" s="10" t="n">
        <f aca="false">MAX(0,MIN(Time!X33,Inputs!$F$229*12)-MIN(MAX(Time!X32,Inputs!$F$228*12),Inputs!$F$229*12))</f>
        <v>0</v>
      </c>
      <c r="Y8" s="10" t="n">
        <f aca="false">MAX(0,MIN(Time!Y33,Inputs!$F$229*12)-MIN(MAX(Time!Y32,Inputs!$F$228*12),Inputs!$F$229*12))</f>
        <v>2</v>
      </c>
      <c r="Z8" s="10" t="n">
        <f aca="false">MAX(0,MIN(Time!Z33,Inputs!$F$229*12)-MIN(MAX(Time!Z32,Inputs!$F$228*12),Inputs!$F$229*12))</f>
        <v>6</v>
      </c>
      <c r="AA8" s="10" t="n">
        <f aca="false">MAX(0,MIN(Time!AA33,Inputs!$F$229*12)-MIN(MAX(Time!AA32,Inputs!$F$228*12),Inputs!$F$229*12))</f>
        <v>6</v>
      </c>
      <c r="AB8" s="10" t="n">
        <f aca="false">MAX(0,MIN(Time!AB33,Inputs!$F$229*12)-MIN(MAX(Time!AB32,Inputs!$F$228*12),Inputs!$F$229*12))</f>
        <v>6</v>
      </c>
      <c r="AC8" s="10" t="n">
        <f aca="false">MAX(0,MIN(Time!AC33,Inputs!$F$229*12)-MIN(MAX(Time!AC32,Inputs!$F$228*12),Inputs!$F$229*12))</f>
        <v>6</v>
      </c>
      <c r="AD8" s="10" t="n">
        <f aca="false">MAX(0,MIN(Time!AD33,Inputs!$F$229*12)-MIN(MAX(Time!AD32,Inputs!$F$228*12),Inputs!$F$229*12))</f>
        <v>6</v>
      </c>
      <c r="AE8" s="10" t="n">
        <f aca="false">MAX(0,MIN(Time!AE33,Inputs!$F$229*12)-MIN(MAX(Time!AE32,Inputs!$F$228*12),Inputs!$F$229*12))</f>
        <v>4</v>
      </c>
      <c r="AF8" s="10" t="n">
        <f aca="false">MAX(0,MIN(Time!AF33,Inputs!$F$229*12)-MIN(MAX(Time!AF32,Inputs!$F$228*12),Inputs!$F$229*12))</f>
        <v>0</v>
      </c>
      <c r="AG8" s="10" t="n">
        <f aca="false">MAX(0,MIN(Time!AG33,Inputs!$F$229*12)-MIN(MAX(Time!AG32,Inputs!$F$228*12),Inputs!$F$229*12))</f>
        <v>0</v>
      </c>
      <c r="AH8" s="10" t="n">
        <f aca="false">MAX(0,MIN(Time!AH33,Inputs!$F$229*12)-MIN(MAX(Time!AH32,Inputs!$F$228*12),Inputs!$F$229*12))</f>
        <v>0</v>
      </c>
      <c r="AI8" s="10" t="n">
        <f aca="false">MAX(0,MIN(Time!AI33,Inputs!$F$229*12)-MIN(MAX(Time!AI32,Inputs!$F$228*12),Inputs!$F$229*12))</f>
        <v>0</v>
      </c>
      <c r="AJ8" s="10" t="n">
        <f aca="false">MAX(0,MIN(Time!AJ33,Inputs!$F$229*12)-MIN(MAX(Time!AJ32,Inputs!$F$228*12),Inputs!$F$229*12))</f>
        <v>0</v>
      </c>
      <c r="AK8" s="10" t="n">
        <f aca="false">MAX(0,MIN(Time!AK33,Inputs!$F$229*12)-MIN(MAX(Time!AK32,Inputs!$F$228*12),Inputs!$F$229*12))</f>
        <v>0</v>
      </c>
      <c r="AL8" s="10" t="n">
        <f aca="false">MAX(0,MIN(Time!AL33,Inputs!$F$229*12)-MIN(MAX(Time!AL32,Inputs!$F$228*12),Inputs!$F$229*12))</f>
        <v>0</v>
      </c>
      <c r="AM8" s="10" t="n">
        <f aca="false">MAX(0,MIN(Time!AM33,Inputs!$F$229*12)-MIN(MAX(Time!AM32,Inputs!$F$228*12),Inputs!$F$229*12))</f>
        <v>0</v>
      </c>
      <c r="AN8" s="10" t="n">
        <f aca="false">MAX(0,MIN(Time!AN33,Inputs!$F$229*12)-MIN(MAX(Time!AN32,Inputs!$F$228*12),Inputs!$F$229*12))</f>
        <v>0</v>
      </c>
      <c r="AO8" s="10" t="n">
        <f aca="false">MAX(0,MIN(Time!AO33,Inputs!$F$229*12)-MIN(MAX(Time!AO32,Inputs!$F$228*12),Inputs!$F$229*12))</f>
        <v>0</v>
      </c>
      <c r="AP8" s="10" t="n">
        <f aca="false">MAX(0,MIN(Time!AP33,Inputs!$F$229*12)-MIN(MAX(Time!AP32,Inputs!$F$228*12),Inputs!$F$229*12))</f>
        <v>0</v>
      </c>
      <c r="AQ8" s="10" t="n">
        <f aca="false">MAX(0,MIN(Time!AQ33,Inputs!$F$229*12)-MIN(MAX(Time!AQ32,Inputs!$F$228*12),Inputs!$F$229*12))</f>
        <v>0</v>
      </c>
      <c r="AR8" s="10" t="n">
        <f aca="false">MAX(0,MIN(Time!AR33,Inputs!$F$229*12)-MIN(MAX(Time!AR32,Inputs!$F$228*12),Inputs!$F$229*12))</f>
        <v>0</v>
      </c>
      <c r="AS8" s="10" t="n">
        <f aca="false">MAX(0,MIN(Time!AS33,Inputs!$F$229*12)-MIN(MAX(Time!AS32,Inputs!$F$228*12),Inputs!$F$229*12))</f>
        <v>0</v>
      </c>
      <c r="AT8" s="10" t="n">
        <f aca="false">MAX(0,MIN(Time!AT33,Inputs!$F$229*12)-MIN(MAX(Time!AT32,Inputs!$F$228*12),Inputs!$F$229*12))</f>
        <v>0</v>
      </c>
      <c r="AU8" s="10" t="n">
        <f aca="false">MAX(0,MIN(Time!AU33,Inputs!$F$229*12)-MIN(MAX(Time!AU32,Inputs!$F$228*12),Inputs!$F$229*12))</f>
        <v>0</v>
      </c>
      <c r="AV8" s="10" t="n">
        <f aca="false">MAX(0,MIN(Time!AV33,Inputs!$F$229*12)-MIN(MAX(Time!AV32,Inputs!$F$228*12),Inputs!$F$229*12))</f>
        <v>0</v>
      </c>
      <c r="AW8" s="10" t="n">
        <f aca="false">MAX(0,MIN(Time!AW33,Inputs!$F$229*12)-MIN(MAX(Time!AW32,Inputs!$F$228*12),Inputs!$F$229*12))</f>
        <v>0</v>
      </c>
      <c r="AX8" s="10" t="n">
        <f aca="false">MAX(0,MIN(Time!AX33,Inputs!$F$229*12)-MIN(MAX(Time!AX32,Inputs!$F$228*12),Inputs!$F$229*12))</f>
        <v>0</v>
      </c>
      <c r="AY8" s="10" t="n">
        <f aca="false">MAX(0,MIN(Time!AY33,Inputs!$F$229*12)-MIN(MAX(Time!AY32,Inputs!$F$228*12),Inputs!$F$229*12))</f>
        <v>0</v>
      </c>
      <c r="AZ8" s="10" t="n">
        <f aca="false">MAX(0,MIN(Time!AZ33,Inputs!$F$229*12)-MIN(MAX(Time!AZ32,Inputs!$F$228*12),Inputs!$F$229*12))</f>
        <v>0</v>
      </c>
      <c r="BA8" s="10" t="n">
        <f aca="false">MAX(0,MIN(Time!BA33,Inputs!$F$229*12)-MIN(MAX(Time!BA32,Inputs!$F$228*12),Inputs!$F$229*12))</f>
        <v>0</v>
      </c>
      <c r="BB8" s="10" t="n">
        <f aca="false">MAX(0,MIN(Time!BB33,Inputs!$F$229*12)-MIN(MAX(Time!BB32,Inputs!$F$228*12),Inputs!$F$229*12))</f>
        <v>0</v>
      </c>
      <c r="BC8" s="10" t="n">
        <f aca="false">MAX(0,MIN(Time!BC33,Inputs!$F$229*12)-MIN(MAX(Time!BC32,Inputs!$F$228*12),Inputs!$F$229*12))</f>
        <v>0</v>
      </c>
      <c r="BD8" s="10" t="n">
        <f aca="false">MAX(0,MIN(Time!BD33,Inputs!$F$229*12)-MIN(MAX(Time!BD32,Inputs!$F$228*12),Inputs!$F$229*12))</f>
        <v>0</v>
      </c>
      <c r="BE8" s="10" t="n">
        <f aca="false">MAX(0,MIN(Time!BE33,Inputs!$F$229*12)-MIN(MAX(Time!BE32,Inputs!$F$228*12),Inputs!$F$229*12))</f>
        <v>0</v>
      </c>
      <c r="BF8" s="10" t="n">
        <f aca="false">MAX(0,MIN(Time!BF33,Inputs!$F$229*12)-MIN(MAX(Time!BF32,Inputs!$F$228*12),Inputs!$F$229*12))</f>
        <v>0</v>
      </c>
      <c r="BG8" s="10" t="n">
        <f aca="false">MAX(0,MIN(Time!BG33,Inputs!$F$229*12)-MIN(MAX(Time!BG32,Inputs!$F$228*12),Inputs!$F$229*12))</f>
        <v>0</v>
      </c>
      <c r="BH8" s="10" t="n">
        <f aca="false">MAX(0,MIN(Time!BH33,Inputs!$F$229*12)-MIN(MAX(Time!BH32,Inputs!$F$228*12),Inputs!$F$229*12))</f>
        <v>0</v>
      </c>
      <c r="BI8" s="10" t="n">
        <f aca="false">MAX(0,MIN(Time!BI33,Inputs!$F$229*12)-MIN(MAX(Time!BI32,Inputs!$F$228*12),Inputs!$F$229*12))</f>
        <v>0</v>
      </c>
      <c r="BJ8" s="10" t="n">
        <f aca="false">MAX(0,MIN(Time!BJ33,Inputs!$F$229*12)-MIN(MAX(Time!BJ32,Inputs!$F$228*12),Inputs!$F$229*12))</f>
        <v>0</v>
      </c>
      <c r="BK8" s="10" t="n">
        <f aca="false">MAX(0,MIN(Time!BK33,Inputs!$F$229*12)-MIN(MAX(Time!BK32,Inputs!$F$228*12),Inputs!$F$229*12))</f>
        <v>0</v>
      </c>
      <c r="BL8" s="10" t="n">
        <f aca="false">MAX(0,MIN(Time!BL33,Inputs!$F$229*12)-MIN(MAX(Time!BL32,Inputs!$F$228*12),Inputs!$F$229*12))</f>
        <v>0</v>
      </c>
      <c r="BM8" s="10" t="n">
        <f aca="false">MAX(0,MIN(Time!BM33,Inputs!$F$229*12)-MIN(MAX(Time!BM32,Inputs!$F$228*12),Inputs!$F$229*12))</f>
        <v>0</v>
      </c>
      <c r="BN8" s="10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651</v>
      </c>
      <c r="E9" s="0" t="s">
        <v>97</v>
      </c>
      <c r="J9" s="10" t="n">
        <f aca="false">Time!J30-J7-J8</f>
        <v>0</v>
      </c>
      <c r="K9" s="10" t="n">
        <f aca="false">Time!K30-K7-K8</f>
        <v>0</v>
      </c>
      <c r="L9" s="10" t="n">
        <f aca="false">Time!L30-L7-L8</f>
        <v>0</v>
      </c>
      <c r="M9" s="10" t="n">
        <f aca="false">Time!M30-M7-M8</f>
        <v>0</v>
      </c>
      <c r="N9" s="10" t="n">
        <f aca="false">Time!N30-N7-N8</f>
        <v>0</v>
      </c>
      <c r="O9" s="10" t="n">
        <f aca="false">Time!O30-O7-O8</f>
        <v>0</v>
      </c>
      <c r="P9" s="10" t="n">
        <f aca="false">Time!P30-P7-P8</f>
        <v>0</v>
      </c>
      <c r="Q9" s="10" t="n">
        <f aca="false">Time!Q30-Q7-Q8</f>
        <v>0</v>
      </c>
      <c r="R9" s="10" t="n">
        <f aca="false">Time!R30-R7-R8</f>
        <v>0</v>
      </c>
      <c r="S9" s="10" t="n">
        <f aca="false">Time!S30-S7-S8</f>
        <v>0</v>
      </c>
      <c r="T9" s="10" t="n">
        <f aca="false">Time!T30-T7-T8</f>
        <v>0</v>
      </c>
      <c r="U9" s="10" t="n">
        <f aca="false">Time!U30-U7-U8</f>
        <v>0</v>
      </c>
      <c r="V9" s="10" t="n">
        <f aca="false">Time!V30-V7-V8</f>
        <v>0</v>
      </c>
      <c r="W9" s="10" t="n">
        <f aca="false">Time!W30-W7-W8</f>
        <v>0</v>
      </c>
      <c r="X9" s="10" t="n">
        <f aca="false">Time!X30-X7-X8</f>
        <v>0</v>
      </c>
      <c r="Y9" s="10" t="n">
        <f aca="false">Time!Y30-Y7-Y8</f>
        <v>0</v>
      </c>
      <c r="Z9" s="10" t="n">
        <f aca="false">Time!Z30-Z7-Z8</f>
        <v>0</v>
      </c>
      <c r="AA9" s="10" t="n">
        <f aca="false">Time!AA30-AA7-AA8</f>
        <v>0</v>
      </c>
      <c r="AB9" s="10" t="n">
        <f aca="false">Time!AB30-AB7-AB8</f>
        <v>0</v>
      </c>
      <c r="AC9" s="10" t="n">
        <f aca="false">Time!AC30-AC7-AC8</f>
        <v>0</v>
      </c>
      <c r="AD9" s="10" t="n">
        <f aca="false">Time!AD30-AD7-AD8</f>
        <v>0</v>
      </c>
      <c r="AE9" s="10" t="n">
        <f aca="false">Time!AE30-AE7-AE8</f>
        <v>2</v>
      </c>
      <c r="AF9" s="10" t="n">
        <f aca="false">Time!AF30-AF7-AF8</f>
        <v>6</v>
      </c>
      <c r="AG9" s="10" t="n">
        <f aca="false">Time!AG30-AG7-AG8</f>
        <v>6</v>
      </c>
      <c r="AH9" s="10" t="n">
        <f aca="false">Time!AH30-AH7-AH8</f>
        <v>6</v>
      </c>
      <c r="AI9" s="10" t="n">
        <f aca="false">Time!AI30-AI7-AI8</f>
        <v>6</v>
      </c>
      <c r="AJ9" s="10" t="n">
        <f aca="false">Time!AJ30-AJ7-AJ8</f>
        <v>6</v>
      </c>
      <c r="AK9" s="10" t="n">
        <f aca="false">Time!AK30-AK7-AK8</f>
        <v>6</v>
      </c>
      <c r="AL9" s="10" t="n">
        <f aca="false">Time!AL30-AL7-AL8</f>
        <v>6</v>
      </c>
      <c r="AM9" s="10" t="n">
        <f aca="false">Time!AM30-AM7-AM8</f>
        <v>6</v>
      </c>
      <c r="AN9" s="10" t="n">
        <f aca="false">Time!AN30-AN7-AN8</f>
        <v>6</v>
      </c>
      <c r="AO9" s="10" t="n">
        <f aca="false">Time!AO30-AO7-AO8</f>
        <v>6</v>
      </c>
      <c r="AP9" s="10" t="n">
        <f aca="false">Time!AP30-AP7-AP8</f>
        <v>6</v>
      </c>
      <c r="AQ9" s="10" t="n">
        <f aca="false">Time!AQ30-AQ7-AQ8</f>
        <v>6</v>
      </c>
      <c r="AR9" s="10" t="n">
        <f aca="false">Time!AR30-AR7-AR8</f>
        <v>6</v>
      </c>
      <c r="AS9" s="10" t="n">
        <f aca="false">Time!AS30-AS7-AS8</f>
        <v>6</v>
      </c>
      <c r="AT9" s="10" t="n">
        <f aca="false">Time!AT30-AT7-AT8</f>
        <v>6</v>
      </c>
      <c r="AU9" s="10" t="n">
        <f aca="false">Time!AU30-AU7-AU8</f>
        <v>6</v>
      </c>
      <c r="AV9" s="10" t="n">
        <f aca="false">Time!AV30-AV7-AV8</f>
        <v>6</v>
      </c>
      <c r="AW9" s="10" t="n">
        <f aca="false">Time!AW30-AW7-AW8</f>
        <v>6</v>
      </c>
      <c r="AX9" s="10" t="n">
        <f aca="false">Time!AX30-AX7-AX8</f>
        <v>6</v>
      </c>
      <c r="AY9" s="10" t="n">
        <f aca="false">Time!AY30-AY7-AY8</f>
        <v>6</v>
      </c>
      <c r="AZ9" s="10" t="n">
        <f aca="false">Time!AZ30-AZ7-AZ8</f>
        <v>6</v>
      </c>
      <c r="BA9" s="10" t="n">
        <f aca="false">Time!BA30-BA7-BA8</f>
        <v>6</v>
      </c>
      <c r="BB9" s="10" t="n">
        <f aca="false">Time!BB30-BB7-BB8</f>
        <v>6</v>
      </c>
      <c r="BC9" s="10" t="n">
        <f aca="false">Time!BC30-BC7-BC8</f>
        <v>6</v>
      </c>
      <c r="BD9" s="10" t="n">
        <f aca="false">Time!BD30-BD7-BD8</f>
        <v>6</v>
      </c>
      <c r="BE9" s="10" t="n">
        <f aca="false">Time!BE30-BE7-BE8</f>
        <v>6</v>
      </c>
      <c r="BF9" s="10" t="n">
        <f aca="false">Time!BF30-BF7-BF8</f>
        <v>6</v>
      </c>
      <c r="BG9" s="10" t="n">
        <f aca="false">Time!BG30-BG7-BG8</f>
        <v>6</v>
      </c>
      <c r="BH9" s="10" t="n">
        <f aca="false">Time!BH30-BH7-BH8</f>
        <v>6</v>
      </c>
      <c r="BI9" s="10" t="n">
        <f aca="false">Time!BI30-BI7-BI8</f>
        <v>6</v>
      </c>
      <c r="BJ9" s="10" t="n">
        <f aca="false">Time!BJ30-BJ7-BJ8</f>
        <v>6</v>
      </c>
      <c r="BK9" s="10" t="n">
        <f aca="false">Time!BK30-BK7-BK8</f>
        <v>6</v>
      </c>
      <c r="BL9" s="10" t="n">
        <f aca="false">Time!BL30-BL7-BL8</f>
        <v>6</v>
      </c>
      <c r="BM9" s="10" t="n">
        <f aca="false">Time!BM30-BM7-BM8</f>
        <v>4</v>
      </c>
      <c r="BN9" s="10" t="n">
        <f aca="false">Time!BN30-BN7-BN8</f>
        <v>0</v>
      </c>
    </row>
    <row r="10" customFormat="false" ht="15" hidden="false" customHeight="false" outlineLevel="0" collapsed="false">
      <c r="D10" s="0" t="s">
        <v>652</v>
      </c>
      <c r="E10" s="0" t="s">
        <v>149</v>
      </c>
      <c r="G10" s="13" t="n">
        <f aca="false">SUM(J10:BN10)</f>
        <v>836.686552347281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7.53017897112553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22.5905369133766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22.5905369133766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22.5905369133766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22.5905369133766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22.5905369133766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22.5905369133766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22.5905369133766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22.5905369133766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22.5905369133766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21.7538503610293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20.0804772563347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20.0804772563347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20.0804772563347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20.0804772563347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20.0804772563347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20.0804772563347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20.0804772563347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20.0804772563347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20.0804772563347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20.0804772563347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20.0804772563347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20.0804772563347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20.0804772563347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20.0804772563347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20.0804772563347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20.0804772563347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20.0804772563347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20.0804772563347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20.0804772563347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20.0804772563347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20.0804772563347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20.0804772563347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20.0804772563347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20.0804772563347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20.0804772563347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20.0804772563347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20.0804772563347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20.0804772563347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20.0804772563347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13.6658803550056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0.836686552347281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0.836686552347281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0.836686552347281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0.836686552347281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0.836686552347281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0.836686552347281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0.836686552347281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0.836686552347281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0.836686552347281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0.557791034898187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653</v>
      </c>
      <c r="E11" s="0" t="s">
        <v>149</v>
      </c>
      <c r="G11" s="13" t="n">
        <f aca="false">SUM(J11:BN11)</f>
        <v>225.905369133766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7.53017897112553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22.5905369133766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22.5905369133766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22.5905369133766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22.5905369133766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22.5905369133766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22.5905369133766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22.5905369133766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22.5905369133766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22.5905369133766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15.0603579422511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654</v>
      </c>
      <c r="E12" s="0" t="s">
        <v>149</v>
      </c>
      <c r="G12" s="13" t="n">
        <f aca="false">SUM(J12:BN12)</f>
        <v>610.781183213515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6.69349241877825</v>
      </c>
      <c r="Z12" s="13" t="n">
        <f aca="false">Z10-Z11</f>
        <v>20.0804772563347</v>
      </c>
      <c r="AA12" s="13" t="n">
        <f aca="false">AA10-AA11</f>
        <v>20.0804772563347</v>
      </c>
      <c r="AB12" s="13" t="n">
        <f aca="false">AB10-AB11</f>
        <v>20.0804772563347</v>
      </c>
      <c r="AC12" s="13" t="n">
        <f aca="false">AC10-AC11</f>
        <v>20.0804772563347</v>
      </c>
      <c r="AD12" s="13" t="n">
        <f aca="false">AD10-AD11</f>
        <v>20.0804772563347</v>
      </c>
      <c r="AE12" s="13" t="n">
        <f aca="false">AE10-AE11</f>
        <v>20.0804772563347</v>
      </c>
      <c r="AF12" s="13" t="n">
        <f aca="false">AF10-AF11</f>
        <v>20.0804772563347</v>
      </c>
      <c r="AG12" s="13" t="n">
        <f aca="false">AG10-AG11</f>
        <v>20.0804772563347</v>
      </c>
      <c r="AH12" s="13" t="n">
        <f aca="false">AH10-AH11</f>
        <v>20.0804772563347</v>
      </c>
      <c r="AI12" s="13" t="n">
        <f aca="false">AI10-AI11</f>
        <v>20.0804772563347</v>
      </c>
      <c r="AJ12" s="13" t="n">
        <f aca="false">AJ10-AJ11</f>
        <v>20.0804772563347</v>
      </c>
      <c r="AK12" s="13" t="n">
        <f aca="false">AK10-AK11</f>
        <v>20.0804772563347</v>
      </c>
      <c r="AL12" s="13" t="n">
        <f aca="false">AL10-AL11</f>
        <v>20.0804772563347</v>
      </c>
      <c r="AM12" s="13" t="n">
        <f aca="false">AM10-AM11</f>
        <v>20.0804772563347</v>
      </c>
      <c r="AN12" s="13" t="n">
        <f aca="false">AN10-AN11</f>
        <v>20.0804772563347</v>
      </c>
      <c r="AO12" s="13" t="n">
        <f aca="false">AO10-AO11</f>
        <v>20.0804772563347</v>
      </c>
      <c r="AP12" s="13" t="n">
        <f aca="false">AP10-AP11</f>
        <v>20.0804772563347</v>
      </c>
      <c r="AQ12" s="13" t="n">
        <f aca="false">AQ10-AQ11</f>
        <v>20.0804772563347</v>
      </c>
      <c r="AR12" s="13" t="n">
        <f aca="false">AR10-AR11</f>
        <v>20.0804772563347</v>
      </c>
      <c r="AS12" s="13" t="n">
        <f aca="false">AS10-AS11</f>
        <v>20.0804772563347</v>
      </c>
      <c r="AT12" s="13" t="n">
        <f aca="false">AT10-AT11</f>
        <v>20.0804772563347</v>
      </c>
      <c r="AU12" s="13" t="n">
        <f aca="false">AU10-AU11</f>
        <v>20.0804772563347</v>
      </c>
      <c r="AV12" s="13" t="n">
        <f aca="false">AV10-AV11</f>
        <v>20.0804772563347</v>
      </c>
      <c r="AW12" s="13" t="n">
        <f aca="false">AW10-AW11</f>
        <v>20.0804772563347</v>
      </c>
      <c r="AX12" s="13" t="n">
        <f aca="false">AX10-AX11</f>
        <v>20.0804772563347</v>
      </c>
      <c r="AY12" s="13" t="n">
        <f aca="false">AY10-AY11</f>
        <v>20.0804772563347</v>
      </c>
      <c r="AZ12" s="13" t="n">
        <f aca="false">AZ10-AZ11</f>
        <v>20.0804772563347</v>
      </c>
      <c r="BA12" s="13" t="n">
        <f aca="false">BA10-BA11</f>
        <v>20.0804772563347</v>
      </c>
      <c r="BB12" s="13" t="n">
        <f aca="false">BB10-BB11</f>
        <v>20.0804772563347</v>
      </c>
      <c r="BC12" s="13" t="n">
        <f aca="false">BC10-BC11</f>
        <v>13.6658803550056</v>
      </c>
      <c r="BD12" s="13" t="n">
        <f aca="false">BD10-BD11</f>
        <v>0.836686552347281</v>
      </c>
      <c r="BE12" s="13" t="n">
        <f aca="false">BE10-BE11</f>
        <v>0.836686552347281</v>
      </c>
      <c r="BF12" s="13" t="n">
        <f aca="false">BF10-BF11</f>
        <v>0.836686552347281</v>
      </c>
      <c r="BG12" s="13" t="n">
        <f aca="false">BG10-BG11</f>
        <v>0.836686552347281</v>
      </c>
      <c r="BH12" s="13" t="n">
        <f aca="false">BH10-BH11</f>
        <v>0.836686552347281</v>
      </c>
      <c r="BI12" s="13" t="n">
        <f aca="false">BI10-BI11</f>
        <v>0.836686552347281</v>
      </c>
      <c r="BJ12" s="13" t="n">
        <f aca="false">BJ10-BJ11</f>
        <v>0.836686552347281</v>
      </c>
      <c r="BK12" s="13" t="n">
        <f aca="false">BK10-BK11</f>
        <v>0.836686552347281</v>
      </c>
      <c r="BL12" s="13" t="n">
        <f aca="false">BL10-BL11</f>
        <v>0.836686552347281</v>
      </c>
      <c r="BM12" s="13" t="n">
        <f aca="false">BM10-BM11</f>
        <v>0.557791034898187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655</v>
      </c>
      <c r="E13" s="0" t="s">
        <v>149</v>
      </c>
      <c r="G13" s="13" t="n">
        <f aca="false">SUM(J13:BN13)</f>
        <v>194.895034785874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3.20169334249331</v>
      </c>
      <c r="P13" s="13" t="n">
        <f aca="false">IF(Time!P20&gt;=Time!$F$12,Waterfall!P33*Inputs!$F$104/100*Time!P31/Inputs!$F$248,0)</f>
        <v>9.81089721352277</v>
      </c>
      <c r="Q13" s="13" t="n">
        <f aca="false">IF(Time!Q20&gt;=Time!$F$12,Waterfall!Q33*Inputs!$F$104/100*Time!Q31/Inputs!$F$248,0)</f>
        <v>9.40661283049369</v>
      </c>
      <c r="R13" s="13" t="n">
        <f aca="false">IF(Time!R20&gt;=Time!$F$12,Waterfall!R33*Inputs!$F$104/100*Time!R31/Inputs!$F$248,0)</f>
        <v>10.013010094575</v>
      </c>
      <c r="S13" s="13" t="n">
        <f aca="false">IF(Time!S20&gt;=Time!$F$12,Waterfall!S33*Inputs!$F$104/100*Time!S31/Inputs!$F$248,0)</f>
        <v>10.3214632858267</v>
      </c>
      <c r="T13" s="13" t="n">
        <f aca="false">IF(Time!T20&gt;=Time!$F$12,Waterfall!T33*Inputs!$F$104/100*Time!T31/Inputs!$F$248,0)</f>
        <v>9.13605931648488</v>
      </c>
      <c r="U13" s="13" t="n">
        <f aca="false">IF(Time!U20&gt;=Time!$F$12,Waterfall!U33*Inputs!$F$104/100*Time!U31/Inputs!$F$248,0)</f>
        <v>8.83508225098527</v>
      </c>
      <c r="V13" s="13" t="n">
        <f aca="false">IF(Time!V20&gt;=Time!$F$12,Waterfall!V33*Inputs!$F$104/100*Time!V31/Inputs!$F$248,0)</f>
        <v>8.75988853477069</v>
      </c>
      <c r="W13" s="13" t="n">
        <f aca="false">IF(Time!W20&gt;=Time!$F$12,Waterfall!W33*Inputs!$F$104/100*Time!W31/Inputs!$F$248,0)</f>
        <v>8.38596457879893</v>
      </c>
      <c r="X13" s="13" t="n">
        <f aca="false">IF(Time!X20&gt;=Time!$F$12,Waterfall!X33*Inputs!$F$104/100*Time!X31/Inputs!$F$248,0)</f>
        <v>8.23672536517001</v>
      </c>
      <c r="Y13" s="13" t="n">
        <f aca="false">IF(Time!Y20&gt;=Time!$F$12,Waterfall!Y33*Inputs!$F$104/100*Time!Y31/Inputs!$F$248,0)</f>
        <v>7.86480752720062</v>
      </c>
      <c r="Z13" s="13" t="n">
        <f aca="false">IF(Time!Z20&gt;=Time!$F$12,Waterfall!Z33*Inputs!$F$104/100*Time!Z31/Inputs!$F$248,0)</f>
        <v>7.77324605907304</v>
      </c>
      <c r="AA13" s="13" t="n">
        <f aca="false">IF(Time!AA20&gt;=Time!$F$12,Waterfall!AA33*Inputs!$F$104/100*Time!AA31/Inputs!$F$248,0)</f>
        <v>7.39075949490554</v>
      </c>
      <c r="AB13" s="13" t="n">
        <f aca="false">IF(Time!AB20&gt;=Time!$F$12,Waterfall!AB33*Inputs!$F$104/100*Time!AB31/Inputs!$F$248,0)</f>
        <v>7.57098967514788</v>
      </c>
      <c r="AC13" s="13" t="n">
        <f aca="false">IF(Time!AC20&gt;=Time!$F$12,Waterfall!AC33*Inputs!$F$104/100*Time!AC31/Inputs!$F$248,0)</f>
        <v>7.50654641732445</v>
      </c>
      <c r="AD13" s="13" t="n">
        <f aca="false">IF(Time!AD20&gt;=Time!$F$12,Waterfall!AD33*Inputs!$F$104/100*Time!AD31/Inputs!$F$248,0)</f>
        <v>7.61967418541829</v>
      </c>
      <c r="AE13" s="13" t="n">
        <f aca="false">IF(Time!AE20&gt;=Time!$F$12,Waterfall!AE33*Inputs!$F$104/100*Time!AE31/Inputs!$F$248,0)</f>
        <v>7.46768513722398</v>
      </c>
      <c r="AF13" s="13" t="n">
        <f aca="false">IF(Time!AF20&gt;=Time!$F$12,Waterfall!AF33*Inputs!$F$104/100*Time!AF31/Inputs!$F$248,0)</f>
        <v>7.52658048525111</v>
      </c>
      <c r="AG13" s="13" t="n">
        <f aca="false">IF(Time!AG20&gt;=Time!$F$12,Waterfall!AG33*Inputs!$F$104/100*Time!AG31/Inputs!$F$248,0)</f>
        <v>7.30056048057203</v>
      </c>
      <c r="AH13" s="13" t="n">
        <f aca="false">IF(Time!AH20&gt;=Time!$F$12,Waterfall!AH33*Inputs!$F$104/100*Time!AH31/Inputs!$F$248,0)</f>
        <v>7.28482737475168</v>
      </c>
      <c r="AI13" s="13" t="n">
        <f aca="false">IF(Time!AI20&gt;=Time!$F$12,Waterfall!AI33*Inputs!$F$104/100*Time!AI31/Inputs!$F$248,0)</f>
        <v>6.96565420700688</v>
      </c>
      <c r="AJ13" s="13" t="n">
        <f aca="false">IF(Time!AJ20&gt;=Time!$F$12,Waterfall!AJ33*Inputs!$F$104/100*Time!AJ31/Inputs!$F$248,0)</f>
        <v>6.82001216840304</v>
      </c>
      <c r="AK13" s="13" t="n">
        <f aca="false">IF(Time!AK20&gt;=Time!$F$12,Waterfall!AK33*Inputs!$F$104/100*Time!AK31/Inputs!$F$248,0)</f>
        <v>6.35578205783662</v>
      </c>
      <c r="AL13" s="13" t="n">
        <f aca="false">IF(Time!AL20&gt;=Time!$F$12,Waterfall!AL33*Inputs!$F$104/100*Time!AL31/Inputs!$F$248,0)</f>
        <v>5.20279524103144</v>
      </c>
      <c r="AM13" s="13" t="n">
        <f aca="false">IF(Time!AM20&gt;=Time!$F$12,Waterfall!AM33*Inputs!$F$104/100*Time!AM31/Inputs!$F$248,0)</f>
        <v>3.96361776479568</v>
      </c>
      <c r="AN13" s="13" t="n">
        <f aca="false">IF(Time!AN20&gt;=Time!$F$12,Waterfall!AN33*Inputs!$F$104/100*Time!AN31/Inputs!$F$248,0)</f>
        <v>2.60198392593547</v>
      </c>
      <c r="AO13" s="13" t="n">
        <f aca="false">IF(Time!AO20&gt;=Time!$F$12,Waterfall!AO33*Inputs!$F$104/100*Time!AO31/Inputs!$F$248,0)</f>
        <v>1.57211577087482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656</v>
      </c>
      <c r="E14" s="0" t="s">
        <v>109</v>
      </c>
      <c r="J14" s="6" t="n">
        <f aca="false">IF(Waterfall!J33&gt;0,MIN(1,Inputs!$F$183*(Waterfall!$F$32+MAX(0,Waterfall!I43))/Waterfall!J33),1)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0.660024031532499</v>
      </c>
      <c r="P14" s="6" t="n">
        <f aca="false">IF(Waterfall!P33&gt;0,MIN(1,Inputs!$F$183*(Waterfall!$F$32+MAX(0,Waterfall!O43))/Waterfall!P33),1)</f>
        <v>0.79290836289058</v>
      </c>
      <c r="Q14" s="6" t="n">
        <f aca="false">IF(Waterfall!Q33&gt;0,MIN(1,Inputs!$F$183*(Waterfall!$F$32+MAX(0,Waterfall!P43))/Waterfall!Q33),1)</f>
        <v>0.92441244821243</v>
      </c>
      <c r="R14" s="6" t="n">
        <f aca="false">IF(Waterfall!R33&gt;0,MIN(1,Inputs!$F$183*(Waterfall!$F$32+MAX(0,Waterfall!Q43))/Waterfall!R33),1)</f>
        <v>1</v>
      </c>
      <c r="S14" s="6" t="n">
        <f aca="false">IF(Waterfall!S33&gt;0,MIN(1,Inputs!$F$183*(Waterfall!$F$32+MAX(0,Waterfall!R43))/Waterfall!S33),1)</f>
        <v>1</v>
      </c>
      <c r="T14" s="6" t="n">
        <f aca="false">IF(Waterfall!T33&gt;0,MIN(1,Inputs!$F$183*(Waterfall!$F$32+MAX(0,Waterfall!S43))/Waterfall!T33),1)</f>
        <v>1</v>
      </c>
      <c r="U14" s="6" t="n">
        <f aca="false">IF(Waterfall!U33&gt;0,MIN(1,Inputs!$F$183*(Waterfall!$F$32+MAX(0,Waterfall!T43))/Waterfall!U33),1)</f>
        <v>1</v>
      </c>
      <c r="V14" s="6" t="n">
        <f aca="false">IF(Waterfall!V33&gt;0,MIN(1,Inputs!$F$183*(Waterfall!$F$32+MAX(0,Waterfall!U43))/Waterfall!V33),1)</f>
        <v>1</v>
      </c>
      <c r="W14" s="6" t="n">
        <f aca="false">IF(Waterfall!W33&gt;0,MIN(1,Inputs!$F$183*(Waterfall!$F$32+MAX(0,Waterfall!V43))/Waterfall!W33),1)</f>
        <v>1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657</v>
      </c>
      <c r="E15" s="0" t="s">
        <v>149</v>
      </c>
      <c r="G15" s="13" t="n">
        <f aca="false">SUM(J15:BN15)</f>
        <v>191.063758391093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2.1131945476432</v>
      </c>
      <c r="P15" s="13" t="n">
        <f aca="false">P13*P14</f>
        <v>7.77914244806209</v>
      </c>
      <c r="Q15" s="13" t="n">
        <f aca="false">Q13*Q14</f>
        <v>8.69558999602313</v>
      </c>
      <c r="R15" s="13" t="n">
        <f aca="false">R13*R14</f>
        <v>10.013010094575</v>
      </c>
      <c r="S15" s="13" t="n">
        <f aca="false">S13*S14</f>
        <v>10.3214632858267</v>
      </c>
      <c r="T15" s="13" t="n">
        <f aca="false">T13*T14</f>
        <v>9.13605931648488</v>
      </c>
      <c r="U15" s="13" t="n">
        <f aca="false">U13*U14</f>
        <v>8.83508225098527</v>
      </c>
      <c r="V15" s="13" t="n">
        <f aca="false">V13*V14</f>
        <v>8.75988853477069</v>
      </c>
      <c r="W15" s="13" t="n">
        <f aca="false">W13*W14</f>
        <v>8.38596457879893</v>
      </c>
      <c r="X15" s="13" t="n">
        <f aca="false">X13*X14</f>
        <v>8.23672536517001</v>
      </c>
      <c r="Y15" s="13" t="n">
        <f aca="false">Y13*Y14</f>
        <v>7.86480752720062</v>
      </c>
      <c r="Z15" s="13" t="n">
        <f aca="false">Z13*Z14</f>
        <v>7.77324605907304</v>
      </c>
      <c r="AA15" s="13" t="n">
        <f aca="false">AA13*AA14</f>
        <v>7.39075949490554</v>
      </c>
      <c r="AB15" s="13" t="n">
        <f aca="false">AB13*AB14</f>
        <v>7.57098967514788</v>
      </c>
      <c r="AC15" s="13" t="n">
        <f aca="false">AC13*AC14</f>
        <v>7.50654641732445</v>
      </c>
      <c r="AD15" s="13" t="n">
        <f aca="false">AD13*AD14</f>
        <v>7.61967418541829</v>
      </c>
      <c r="AE15" s="13" t="n">
        <f aca="false">AE13*AE14</f>
        <v>7.46768513722398</v>
      </c>
      <c r="AF15" s="13" t="n">
        <f aca="false">AF13*AF14</f>
        <v>7.52658048525111</v>
      </c>
      <c r="AG15" s="13" t="n">
        <f aca="false">AG13*AG14</f>
        <v>7.30056048057203</v>
      </c>
      <c r="AH15" s="13" t="n">
        <f aca="false">AH13*AH14</f>
        <v>7.28482737475168</v>
      </c>
      <c r="AI15" s="13" t="n">
        <f aca="false">AI13*AI14</f>
        <v>6.96565420700688</v>
      </c>
      <c r="AJ15" s="13" t="n">
        <f aca="false">AJ13*AJ14</f>
        <v>6.82001216840304</v>
      </c>
      <c r="AK15" s="13" t="n">
        <f aca="false">AK13*AK14</f>
        <v>6.35578205783662</v>
      </c>
      <c r="AL15" s="13" t="n">
        <f aca="false">AL13*AL14</f>
        <v>5.20279524103144</v>
      </c>
      <c r="AM15" s="13" t="n">
        <f aca="false">AM13*AM14</f>
        <v>3.96361776479568</v>
      </c>
      <c r="AN15" s="13" t="n">
        <f aca="false">AN13*AN14</f>
        <v>2.60198392593547</v>
      </c>
      <c r="AO15" s="13" t="n">
        <f aca="false">AO13*AO14</f>
        <v>1.57211577087482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658</v>
      </c>
      <c r="E16" s="0" t="s">
        <v>149</v>
      </c>
      <c r="G16" s="13" t="n">
        <f aca="false">SUM(J16:BN16)</f>
        <v>312.748889604495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21.7561806363521</v>
      </c>
      <c r="Q16" s="13" t="n">
        <f aca="false">Debt!Q112+Debt!Q110+Debt!Q104-Debt!Q103</f>
        <v>21.0117501255587</v>
      </c>
      <c r="R16" s="13" t="n">
        <f aca="false">Debt!R112+Debt!R110+Debt!R104-Debt!R103</f>
        <v>20.6842237422474</v>
      </c>
      <c r="S16" s="13" t="n">
        <f aca="false">Debt!S112+Debt!S110+Debt!S104-Debt!S103</f>
        <v>19.8935402102571</v>
      </c>
      <c r="T16" s="13" t="n">
        <f aca="false">Debt!T112+Debt!T110+Debt!T104-Debt!T103</f>
        <v>19.5092222239857</v>
      </c>
      <c r="U16" s="13" t="n">
        <f aca="false">Debt!U112+Debt!U110+Debt!U104-Debt!U103</f>
        <v>18.7469278452348</v>
      </c>
      <c r="V16" s="13" t="n">
        <f aca="false">Debt!V112+Debt!V110+Debt!V104-Debt!V103</f>
        <v>18.2344120634116</v>
      </c>
      <c r="W16" s="13" t="n">
        <f aca="false">Debt!W112+Debt!W110+Debt!W104-Debt!W103</f>
        <v>17.3566958167685</v>
      </c>
      <c r="X16" s="13" t="n">
        <f aca="false">Debt!X112+Debt!X110+Debt!X104-Debt!X103</f>
        <v>16.8339195388541</v>
      </c>
      <c r="Y16" s="13" t="n">
        <f aca="false">Debt!Y112+Debt!Y110+Debt!Y104-Debt!Y103</f>
        <v>16.4680618167729</v>
      </c>
      <c r="Z16" s="13" t="n">
        <f aca="false">Debt!Z112+Debt!Z110+Debt!Z104-Debt!Z103</f>
        <v>15.9362344502122</v>
      </c>
      <c r="AA16" s="13" t="n">
        <f aca="false">Debt!AA112+Debt!AA110+Debt!AA104-Debt!AA103</f>
        <v>15.0282191551691</v>
      </c>
      <c r="AB16" s="13" t="n">
        <f aca="false">Debt!AB112+Debt!AB110+Debt!AB104-Debt!AB103</f>
        <v>14.125886064444</v>
      </c>
      <c r="AC16" s="13" t="n">
        <f aca="false">Debt!AC112+Debt!AC110+Debt!AC104-Debt!AC103</f>
        <v>12.8970280129363</v>
      </c>
      <c r="AD16" s="13" t="n">
        <f aca="false">Debt!AD112+Debt!AD110+Debt!AD104-Debt!AD103</f>
        <v>11.8635981529339</v>
      </c>
      <c r="AE16" s="13" t="n">
        <f aca="false">Debt!AE112+Debt!AE110+Debt!AE104-Debt!AE103</f>
        <v>10.514913346323</v>
      </c>
      <c r="AF16" s="13" t="n">
        <f aca="false">Debt!AF112+Debt!AF110+Debt!AF104-Debt!AF103</f>
        <v>9.34952923503765</v>
      </c>
      <c r="AG16" s="13" t="n">
        <f aca="false">Debt!AG112+Debt!AG110+Debt!AG104-Debt!AG103</f>
        <v>8.15157515258252</v>
      </c>
      <c r="AH16" s="13" t="n">
        <f aca="false">Debt!AH112+Debt!AH110+Debt!AH104-Debt!AH103</f>
        <v>6.88523395233094</v>
      </c>
      <c r="AI16" s="13" t="n">
        <f aca="false">Debt!AI112+Debt!AI110+Debt!AI104-Debt!AI103</f>
        <v>5.44061486127451</v>
      </c>
      <c r="AJ16" s="13" t="n">
        <f aca="false">Debt!AJ112+Debt!AJ110+Debt!AJ104-Debt!AJ103</f>
        <v>4.10072340070946</v>
      </c>
      <c r="AK16" s="13" t="n">
        <f aca="false">Debt!AK112+Debt!AK110+Debt!AK104-Debt!AK103</f>
        <v>2.71621064713489</v>
      </c>
      <c r="AL16" s="13" t="n">
        <f aca="false">Debt!AL112+Debt!AL110+Debt!AL104-Debt!AL103</f>
        <v>2.17365325142159</v>
      </c>
      <c r="AM16" s="13" t="n">
        <f aca="false">Debt!AM112+Debt!AM110+Debt!AM104-Debt!AM103</f>
        <v>1.58118904940136</v>
      </c>
      <c r="AN16" s="13" t="n">
        <f aca="false">Debt!AN112+Debt!AN110+Debt!AN104-Debt!AN103</f>
        <v>0.992093469110137</v>
      </c>
      <c r="AO16" s="13" t="n">
        <f aca="false">Debt!AO112+Debt!AO110+Debt!AO104-Debt!AO103</f>
        <v>0.497253384030616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659</v>
      </c>
      <c r="E17" s="0" t="s">
        <v>109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660</v>
      </c>
      <c r="E18" s="0" t="s">
        <v>149</v>
      </c>
      <c r="G18" s="13" t="n">
        <f aca="false">SUM(J18:BN18)</f>
        <v>1265.85439939665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2.44963412137782</v>
      </c>
      <c r="Z18" s="13" t="n">
        <f aca="false">(Operations!Z84-Z16-Z15)*Z17-Z12</f>
        <v>8.11925650054171</v>
      </c>
      <c r="AA18" s="13" t="n">
        <f aca="false">(Operations!AA84-AA16-AA15)*AA17-AA12</f>
        <v>9.51047459279717</v>
      </c>
      <c r="AB18" s="13" t="n">
        <f aca="false">(Operations!AB84-AB16-AB15)*AB17-AB12</f>
        <v>10.3160322886204</v>
      </c>
      <c r="AC18" s="13" t="n">
        <f aca="false">(Operations!AC84-AC16-AC15)*AC17-AC12</f>
        <v>11.8244055018338</v>
      </c>
      <c r="AD18" s="13" t="n">
        <f aca="false">(Operations!AD84-AD16-AD15)*AD17-AD12</f>
        <v>0.270930830951283</v>
      </c>
      <c r="AE18" s="13" t="n">
        <f aca="false">(Operations!AE84-AE16-AE15)*AE17-AE12</f>
        <v>14.586938612288</v>
      </c>
      <c r="AF18" s="13" t="n">
        <f aca="false">(Operations!AF84-AF16-AF15)*AF17-AF12</f>
        <v>15.6171841792523</v>
      </c>
      <c r="AG18" s="13" t="n">
        <f aca="false">(Operations!AG84-AG16-AG15)*AG17-AG12</f>
        <v>17.1822986533512</v>
      </c>
      <c r="AH18" s="13" t="n">
        <f aca="false">(Operations!AH84-AH16-AH15)*AH17-AH12</f>
        <v>18.6251775020563</v>
      </c>
      <c r="AI18" s="13" t="n">
        <f aca="false">(Operations!AI84-AI16-AI15)*AI17-AI12</f>
        <v>20.4967810867859</v>
      </c>
      <c r="AJ18" s="13" t="n">
        <f aca="false">(Operations!AJ84-AJ16-AJ15)*AJ17-AJ12</f>
        <v>22.0723684545006</v>
      </c>
      <c r="AK18" s="13" t="n">
        <f aca="false">(Operations!AK84-AK16-AK15)*AK17-AK12</f>
        <v>24.1161867926974</v>
      </c>
      <c r="AL18" s="13" t="n">
        <f aca="false">(Operations!AL84-AL16-AL15)*AL17-AL12</f>
        <v>23.105972075835</v>
      </c>
      <c r="AM18" s="13" t="n">
        <f aca="false">(Operations!AM84-AM16-AM15)*AM17-AM12</f>
        <v>27.974063814819</v>
      </c>
      <c r="AN18" s="13" t="n">
        <f aca="false">(Operations!AN84-AN16-AN15)*AN17-AN12</f>
        <v>29.9190569271281</v>
      </c>
      <c r="AO18" s="13" t="n">
        <f aca="false">(Operations!AO84-AO16-AO15)*AO17-AO12</f>
        <v>31.5963289418068</v>
      </c>
      <c r="AP18" s="13" t="n">
        <f aca="false">(Operations!AP84-AP16-AP15)*AP17-AP12</f>
        <v>33.8416270753018</v>
      </c>
      <c r="AQ18" s="13" t="n">
        <f aca="false">(Operations!AQ84-AQ16-AQ15)*AQ17-AQ12</f>
        <v>33.9570389947679</v>
      </c>
      <c r="AR18" s="13" t="n">
        <f aca="false">(Operations!AR84-AR16-AR15)*AR17-AR12</f>
        <v>34.054213740021</v>
      </c>
      <c r="AS18" s="13" t="n">
        <f aca="false">(Operations!AS84-AS16-AS15)*AS17-AS12</f>
        <v>34.3110015989905</v>
      </c>
      <c r="AT18" s="13" t="n">
        <f aca="false">(Operations!AT84-AT16-AT15)*AT17-AT12</f>
        <v>19.5845471116328</v>
      </c>
      <c r="AU18" s="13" t="n">
        <f aca="false">(Operations!AU84-AU16-AU15)*AU17-AU12</f>
        <v>34.7178493782476</v>
      </c>
      <c r="AV18" s="13" t="n">
        <f aca="false">(Operations!AV84-AV16-AV15)*AV17-AV12</f>
        <v>34.6172056305689</v>
      </c>
      <c r="AW18" s="13" t="n">
        <f aca="false">(Operations!AW84-AW16-AW15)*AW17-AW12</f>
        <v>34.7821391781407</v>
      </c>
      <c r="AX18" s="13" t="n">
        <f aca="false">(Operations!AX84-AX16-AX15)*AX17-AX12</f>
        <v>34.9745958744335</v>
      </c>
      <c r="AY18" s="13" t="n">
        <f aca="false">(Operations!AY84-AY16-AY15)*AY17-AY12</f>
        <v>35.0981506204654</v>
      </c>
      <c r="AZ18" s="13" t="n">
        <f aca="false">(Operations!AZ84-AZ16-AZ15)*AZ17-AZ12</f>
        <v>35.2030092001047</v>
      </c>
      <c r="BA18" s="13" t="n">
        <f aca="false">(Operations!BA84-BA16-BA15)*BA17-BA12</f>
        <v>35.4342474629019</v>
      </c>
      <c r="BB18" s="13" t="n">
        <f aca="false">(Operations!BB84-BB16-BB15)*BB17-BB12</f>
        <v>32.2194879793337</v>
      </c>
      <c r="BC18" s="13" t="n">
        <f aca="false">(Operations!BC84-BC16-BC15)*BC17-BC12</f>
        <v>42.2408949751965</v>
      </c>
      <c r="BD18" s="13" t="n">
        <f aca="false">(Operations!BD84-BD16-BD15)*BD17-BD12</f>
        <v>55.0563517172331</v>
      </c>
      <c r="BE18" s="13" t="n">
        <f aca="false">(Operations!BE84-BE16-BE15)*BE17-BE12</f>
        <v>55.2346816714562</v>
      </c>
      <c r="BF18" s="13" t="n">
        <f aca="false">(Operations!BF84-BF16-BF15)*BF17-BF12</f>
        <v>55.4451982143596</v>
      </c>
      <c r="BG18" s="13" t="n">
        <f aca="false">(Operations!BG84-BG16-BG15)*BG17-BG12</f>
        <v>55.5774775001919</v>
      </c>
      <c r="BH18" s="13" t="n">
        <f aca="false">(Operations!BH84-BH16-BH15)*BH17-BH12</f>
        <v>55.6906272661964</v>
      </c>
      <c r="BI18" s="13" t="n">
        <f aca="false">(Operations!BI84-BI16-BI15)*BI17-BI12</f>
        <v>55.9972232016723</v>
      </c>
      <c r="BJ18" s="13" t="n">
        <f aca="false">(Operations!BJ84-BJ16-BJ15)*BJ17-BJ12</f>
        <v>38.5909505906001</v>
      </c>
      <c r="BK18" s="13" t="n">
        <f aca="false">(Operations!BK84-BK16-BK15)*BK17-BK12</f>
        <v>56.481830334686</v>
      </c>
      <c r="BL18" s="13" t="n">
        <f aca="false">(Operations!BL84-BL16-BL15)*BL17-BL12</f>
        <v>56.3506426066083</v>
      </c>
      <c r="BM18" s="13" t="n">
        <f aca="false">(Operations!BM84-BM16-BM15)*BM17-BM12</f>
        <v>18.6103165968961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661</v>
      </c>
      <c r="E19" s="0" t="s">
        <v>149</v>
      </c>
      <c r="G19" s="13" t="n">
        <f aca="false">SUM(J19:BN19)</f>
        <v>0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662</v>
      </c>
      <c r="E20" s="0" t="s">
        <v>149</v>
      </c>
      <c r="G20" s="13" t="n">
        <f aca="false">SUM(J20:BN20)</f>
        <v>225.905369133766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2.44963412137782</v>
      </c>
      <c r="Z20" s="13" t="n">
        <f aca="false">MIN(Y21,MAX(0,Z18-Z19))</f>
        <v>8.11925650054171</v>
      </c>
      <c r="AA20" s="13" t="n">
        <f aca="false">MIN(Z21,MAX(0,AA18-AA19))</f>
        <v>9.51047459279717</v>
      </c>
      <c r="AB20" s="13" t="n">
        <f aca="false">MIN(AA21,MAX(0,AB18-AB19))</f>
        <v>10.3160322886204</v>
      </c>
      <c r="AC20" s="13" t="n">
        <f aca="false">MIN(AB21,MAX(0,AC18-AC19))</f>
        <v>11.8244055018338</v>
      </c>
      <c r="AD20" s="13" t="n">
        <f aca="false">MIN(AC21,MAX(0,AD18-AD19))</f>
        <v>0.270930830951283</v>
      </c>
      <c r="AE20" s="13" t="n">
        <f aca="false">MIN(AD21,MAX(0,AE18-AE19))</f>
        <v>14.586938612288</v>
      </c>
      <c r="AF20" s="13" t="n">
        <f aca="false">MIN(AE21,MAX(0,AF18-AF19))</f>
        <v>15.6171841792523</v>
      </c>
      <c r="AG20" s="13" t="n">
        <f aca="false">MIN(AF21,MAX(0,AG18-AG19))</f>
        <v>17.1822986533512</v>
      </c>
      <c r="AH20" s="13" t="n">
        <f aca="false">MIN(AG21,MAX(0,AH18-AH19))</f>
        <v>18.6251775020563</v>
      </c>
      <c r="AI20" s="13" t="n">
        <f aca="false">MIN(AH21,MAX(0,AI18-AI19))</f>
        <v>20.4967810867859</v>
      </c>
      <c r="AJ20" s="13" t="n">
        <f aca="false">MIN(AI21,MAX(0,AJ18-AJ19))</f>
        <v>22.0723684545006</v>
      </c>
      <c r="AK20" s="13" t="n">
        <f aca="false">MIN(AJ21,MAX(0,AK18-AK19))</f>
        <v>24.1161867926974</v>
      </c>
      <c r="AL20" s="13" t="n">
        <f aca="false">MIN(AK21,MAX(0,AL18-AL19))</f>
        <v>23.105972075835</v>
      </c>
      <c r="AM20" s="13" t="n">
        <f aca="false">MIN(AL21,MAX(0,AM18-AM19))</f>
        <v>27.6117279408768</v>
      </c>
      <c r="AN20" s="13" t="n">
        <f aca="false">MIN(AM21,MAX(0,AN18-AN19))</f>
        <v>0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663</v>
      </c>
      <c r="E21" s="0" t="s">
        <v>149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7.53017897112553</v>
      </c>
      <c r="P21" s="13" t="n">
        <f aca="false">O21+P11-P20</f>
        <v>30.1207158845021</v>
      </c>
      <c r="Q21" s="13" t="n">
        <f aca="false">P21+Q11-Q20</f>
        <v>52.7112527978787</v>
      </c>
      <c r="R21" s="13" t="n">
        <f aca="false">Q21+R11-R20</f>
        <v>75.3017897112553</v>
      </c>
      <c r="S21" s="13" t="n">
        <f aca="false">R21+S11-S20</f>
        <v>97.8923266246319</v>
      </c>
      <c r="T21" s="13" t="n">
        <f aca="false">S21+T11-T20</f>
        <v>120.482863538008</v>
      </c>
      <c r="U21" s="13" t="n">
        <f aca="false">T21+U11-U20</f>
        <v>143.073400451385</v>
      </c>
      <c r="V21" s="13" t="n">
        <f aca="false">U21+V11-V20</f>
        <v>165.663937364762</v>
      </c>
      <c r="W21" s="13" t="n">
        <f aca="false">V21+W11-W20</f>
        <v>188.254474278138</v>
      </c>
      <c r="X21" s="13" t="n">
        <f aca="false">W21+X11-X20</f>
        <v>210.845011191515</v>
      </c>
      <c r="Y21" s="13" t="n">
        <f aca="false">X21+Y11-Y20</f>
        <v>223.455735012388</v>
      </c>
      <c r="Z21" s="13" t="n">
        <f aca="false">Y21+Z11-Z20</f>
        <v>215.336478511846</v>
      </c>
      <c r="AA21" s="13" t="n">
        <f aca="false">Z21+AA11-AA20</f>
        <v>205.826003919049</v>
      </c>
      <c r="AB21" s="13" t="n">
        <f aca="false">AA21+AB11-AB20</f>
        <v>195.509971630429</v>
      </c>
      <c r="AC21" s="13" t="n">
        <f aca="false">AB21+AC11-AC20</f>
        <v>183.685566128595</v>
      </c>
      <c r="AD21" s="13" t="n">
        <f aca="false">AC21+AD11-AD20</f>
        <v>183.414635297644</v>
      </c>
      <c r="AE21" s="13" t="n">
        <f aca="false">AD21+AE11-AE20</f>
        <v>168.827696685356</v>
      </c>
      <c r="AF21" s="13" t="n">
        <f aca="false">AE21+AF11-AF20</f>
        <v>153.210512506103</v>
      </c>
      <c r="AG21" s="13" t="n">
        <f aca="false">AF21+AG11-AG20</f>
        <v>136.028213852752</v>
      </c>
      <c r="AH21" s="13" t="n">
        <f aca="false">AG21+AH11-AH20</f>
        <v>117.403036350696</v>
      </c>
      <c r="AI21" s="13" t="n">
        <f aca="false">AH21+AI11-AI20</f>
        <v>96.9062552639099</v>
      </c>
      <c r="AJ21" s="13" t="n">
        <f aca="false">AI21+AJ11-AJ20</f>
        <v>74.8338868094093</v>
      </c>
      <c r="AK21" s="13" t="n">
        <f aca="false">AJ21+AK11-AK20</f>
        <v>50.7177000167119</v>
      </c>
      <c r="AL21" s="13" t="n">
        <f aca="false">AK21+AL11-AL20</f>
        <v>27.6117279408768</v>
      </c>
      <c r="AM21" s="13" t="n">
        <f aca="false">AL21+AM11-AM20</f>
        <v>0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664</v>
      </c>
      <c r="E22" s="0" t="s">
        <v>149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665</v>
      </c>
      <c r="E23" s="0" t="s">
        <v>149</v>
      </c>
      <c r="G23" s="13" t="n">
        <f aca="false">SUM(J23:BN23)</f>
        <v>1039.94903026288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0.362335873942151</v>
      </c>
      <c r="AN23" s="13" t="n">
        <f aca="false">MAX(0,AN18-AN19-AN20)</f>
        <v>29.9190569271281</v>
      </c>
      <c r="AO23" s="13" t="n">
        <f aca="false">MAX(0,AO18-AO19-AO20)</f>
        <v>31.5963289418068</v>
      </c>
      <c r="AP23" s="13" t="n">
        <f aca="false">MAX(0,AP18-AP19-AP20)</f>
        <v>33.8416270753018</v>
      </c>
      <c r="AQ23" s="13" t="n">
        <f aca="false">MAX(0,AQ18-AQ19-AQ20)</f>
        <v>33.9570389947679</v>
      </c>
      <c r="AR23" s="13" t="n">
        <f aca="false">MAX(0,AR18-AR19-AR20)</f>
        <v>34.054213740021</v>
      </c>
      <c r="AS23" s="13" t="n">
        <f aca="false">MAX(0,AS18-AS19-AS20)</f>
        <v>34.3110015989905</v>
      </c>
      <c r="AT23" s="13" t="n">
        <f aca="false">MAX(0,AT18-AT19-AT20)</f>
        <v>19.5845471116328</v>
      </c>
      <c r="AU23" s="13" t="n">
        <f aca="false">MAX(0,AU18-AU19-AU20)</f>
        <v>34.7178493782476</v>
      </c>
      <c r="AV23" s="13" t="n">
        <f aca="false">MAX(0,AV18-AV19-AV20)</f>
        <v>34.6172056305689</v>
      </c>
      <c r="AW23" s="13" t="n">
        <f aca="false">MAX(0,AW18-AW19-AW20)</f>
        <v>34.7821391781407</v>
      </c>
      <c r="AX23" s="13" t="n">
        <f aca="false">MAX(0,AX18-AX19-AX20)</f>
        <v>34.9745958744335</v>
      </c>
      <c r="AY23" s="13" t="n">
        <f aca="false">MAX(0,AY18-AY19-AY20)</f>
        <v>35.0981506204654</v>
      </c>
      <c r="AZ23" s="13" t="n">
        <f aca="false">MAX(0,AZ18-AZ19-AZ20)</f>
        <v>35.2030092001047</v>
      </c>
      <c r="BA23" s="13" t="n">
        <f aca="false">MAX(0,BA18-BA19-BA20)</f>
        <v>35.4342474629019</v>
      </c>
      <c r="BB23" s="13" t="n">
        <f aca="false">MAX(0,BB18-BB19-BB20)</f>
        <v>32.2194879793337</v>
      </c>
      <c r="BC23" s="13" t="n">
        <f aca="false">MAX(0,BC18-BC19-BC20)</f>
        <v>42.2408949751965</v>
      </c>
      <c r="BD23" s="13" t="n">
        <f aca="false">MAX(0,BD18-BD19-BD20)</f>
        <v>55.0563517172331</v>
      </c>
      <c r="BE23" s="13" t="n">
        <f aca="false">MAX(0,BE18-BE19-BE20)</f>
        <v>55.2346816714562</v>
      </c>
      <c r="BF23" s="13" t="n">
        <f aca="false">MAX(0,BF18-BF19-BF20)</f>
        <v>55.4451982143596</v>
      </c>
      <c r="BG23" s="13" t="n">
        <f aca="false">MAX(0,BG18-BG19-BG20)</f>
        <v>55.5774775001919</v>
      </c>
      <c r="BH23" s="13" t="n">
        <f aca="false">MAX(0,BH18-BH19-BH20)</f>
        <v>55.6906272661964</v>
      </c>
      <c r="BI23" s="13" t="n">
        <f aca="false">MAX(0,BI18-BI19-BI20)</f>
        <v>55.9972232016723</v>
      </c>
      <c r="BJ23" s="13" t="n">
        <f aca="false">MAX(0,BJ18-BJ19-BJ20)</f>
        <v>38.5909505906001</v>
      </c>
      <c r="BK23" s="13" t="n">
        <f aca="false">MAX(0,BK18-BK19-BK20)</f>
        <v>56.481830334686</v>
      </c>
      <c r="BL23" s="13" t="n">
        <f aca="false">MAX(0,BL18-BL19-BL20)</f>
        <v>56.3506426066083</v>
      </c>
      <c r="BM23" s="13" t="n">
        <f aca="false">MAX(0,BM18-BM19-BM20)</f>
        <v>18.6103165968961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666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0.15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0.2</v>
      </c>
      <c r="AF24" s="6" t="n">
        <f aca="false">IF(AF8+AF9&gt;0,(AF8*Inputs!$F$175+AF9*Inputs!$F$174)/(AF8+AF9)/100,0)</f>
        <v>0.3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3" t="n">
        <f aca="false">SUM(J25:BN25)</f>
        <v>311.984709078865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0.108700762182645</v>
      </c>
      <c r="AN25" s="13" t="n">
        <f aca="false">AN23*AN24</f>
        <v>8.97571707813844</v>
      </c>
      <c r="AO25" s="13" t="n">
        <f aca="false">AO23*AO24</f>
        <v>9.47889868254204</v>
      </c>
      <c r="AP25" s="13" t="n">
        <f aca="false">AP23*AP24</f>
        <v>10.1524881225905</v>
      </c>
      <c r="AQ25" s="13" t="n">
        <f aca="false">AQ23*AQ24</f>
        <v>10.1871116984304</v>
      </c>
      <c r="AR25" s="13" t="n">
        <f aca="false">AR23*AR24</f>
        <v>10.2162641220063</v>
      </c>
      <c r="AS25" s="13" t="n">
        <f aca="false">AS23*AS24</f>
        <v>10.2933004796971</v>
      </c>
      <c r="AT25" s="13" t="n">
        <f aca="false">AT23*AT24</f>
        <v>5.87536413348984</v>
      </c>
      <c r="AU25" s="13" t="n">
        <f aca="false">AU23*AU24</f>
        <v>10.4153548134743</v>
      </c>
      <c r="AV25" s="13" t="n">
        <f aca="false">AV23*AV24</f>
        <v>10.3851616891707</v>
      </c>
      <c r="AW25" s="13" t="n">
        <f aca="false">AW23*AW24</f>
        <v>10.4346417534422</v>
      </c>
      <c r="AX25" s="13" t="n">
        <f aca="false">AX23*AX24</f>
        <v>10.4923787623301</v>
      </c>
      <c r="AY25" s="13" t="n">
        <f aca="false">AY23*AY24</f>
        <v>10.5294451861396</v>
      </c>
      <c r="AZ25" s="13" t="n">
        <f aca="false">AZ23*AZ24</f>
        <v>10.5609027600314</v>
      </c>
      <c r="BA25" s="13" t="n">
        <f aca="false">BA23*BA24</f>
        <v>10.6302742388706</v>
      </c>
      <c r="BB25" s="13" t="n">
        <f aca="false">BB23*BB24</f>
        <v>9.66584639380012</v>
      </c>
      <c r="BC25" s="13" t="n">
        <f aca="false">BC23*BC24</f>
        <v>12.672268492559</v>
      </c>
      <c r="BD25" s="13" t="n">
        <f aca="false">BD23*BD24</f>
        <v>16.5169055151699</v>
      </c>
      <c r="BE25" s="13" t="n">
        <f aca="false">BE23*BE24</f>
        <v>16.5704045014369</v>
      </c>
      <c r="BF25" s="13" t="n">
        <f aca="false">BF23*BF24</f>
        <v>16.6335594643079</v>
      </c>
      <c r="BG25" s="13" t="n">
        <f aca="false">BG23*BG24</f>
        <v>16.6732432500576</v>
      </c>
      <c r="BH25" s="13" t="n">
        <f aca="false">BH23*BH24</f>
        <v>16.7071881798589</v>
      </c>
      <c r="BI25" s="13" t="n">
        <f aca="false">BI23*BI24</f>
        <v>16.7991669605017</v>
      </c>
      <c r="BJ25" s="13" t="n">
        <f aca="false">BJ23*BJ24</f>
        <v>11.57728517718</v>
      </c>
      <c r="BK25" s="13" t="n">
        <f aca="false">BK23*BK24</f>
        <v>16.9445491004058</v>
      </c>
      <c r="BL25" s="13" t="n">
        <f aca="false">BL23*BL24</f>
        <v>16.9051927819825</v>
      </c>
      <c r="BM25" s="13" t="n">
        <f aca="false">BM23*BM24</f>
        <v>5.58309497906883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667</v>
      </c>
      <c r="E26" s="0" t="s">
        <v>149</v>
      </c>
      <c r="G26" s="13" t="n">
        <f aca="false">SUM(J26:BN26)</f>
        <v>15.6394650657101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0.11804583592035</v>
      </c>
      <c r="Z26" s="13" t="n">
        <f aca="false">IF(Time!Z30&gt;0,Inputs!$F$176/100*Operations!Z55*(Z8+Z9)/Time!Z30,0)</f>
        <v>0.355491534673645</v>
      </c>
      <c r="AA26" s="13" t="n">
        <f aca="false">IF(Time!AA30&gt;0,Inputs!$F$176/100*Operations!AA55*(AA8+AA9)/Time!AA30,0)</f>
        <v>0.357266560605968</v>
      </c>
      <c r="AB26" s="13" t="n">
        <f aca="false">IF(Time!AB30&gt;0,Inputs!$F$176/100*Operations!AB55*(AB8+AB9)/Time!AB30,0)</f>
        <v>0.359199684831379</v>
      </c>
      <c r="AC26" s="13" t="n">
        <f aca="false">IF(Time!AC30&gt;0,Inputs!$F$176/100*Operations!AC55*(AC8+AC9)/Time!AC30,0)</f>
        <v>0.360089400479836</v>
      </c>
      <c r="AD26" s="13" t="n">
        <f aca="false">IF(Time!AD30&gt;0,Inputs!$F$176/100*Operations!AD55*(AD8+AD9)/Time!AD30,0)</f>
        <v>0.355582189942007</v>
      </c>
      <c r="AE26" s="13" t="n">
        <f aca="false">IF(Time!AE30&gt;0,Inputs!$F$176/100*Operations!AE55*(AE8+AE9)/Time!AE30,0)</f>
        <v>0.362679271815013</v>
      </c>
      <c r="AF26" s="13" t="n">
        <f aca="false">IF(Time!AF30&gt;0,Inputs!$F$176/100*Operations!AF55*(AF8+AF9)/Time!AF30,0)</f>
        <v>0.366021318821837</v>
      </c>
      <c r="AG26" s="13" t="n">
        <f aca="false">IF(Time!AG30&gt;0,Inputs!$F$176/100*Operations!AG55*(AG8+AG9)/Time!AG30,0)</f>
        <v>0.367627801614753</v>
      </c>
      <c r="AH26" s="13" t="n">
        <f aca="false">IF(Time!AH30&gt;0,Inputs!$F$176/100*Operations!AH55*(AH8+AH9)/Time!AH30,0)</f>
        <v>0.369103750096856</v>
      </c>
      <c r="AI26" s="13" t="n">
        <f aca="false">IF(Time!AI30&gt;0,Inputs!$F$176/100*Operations!AI55*(AI8+AI9)/Time!AI30,0)</f>
        <v>0.371036290587391</v>
      </c>
      <c r="AJ26" s="13" t="n">
        <f aca="false">IF(Time!AJ30&gt;0,Inputs!$F$176/100*Operations!AJ55*(AJ8+AJ9)/Time!AJ30,0)</f>
        <v>0.37314034478709</v>
      </c>
      <c r="AK26" s="13" t="n">
        <f aca="false">IF(Time!AK30&gt;0,Inputs!$F$176/100*Operations!AK55*(AK8+AK9)/Time!AK30,0)</f>
        <v>0.374431606697048</v>
      </c>
      <c r="AL26" s="13" t="n">
        <f aca="false">IF(Time!AL30&gt;0,Inputs!$F$176/100*Operations!AL55*(AL8+AL9)/Time!AL30,0)</f>
        <v>0.375189635606888</v>
      </c>
      <c r="AM26" s="13" t="n">
        <f aca="false">IF(Time!AM30&gt;0,Inputs!$F$176/100*Operations!AM55*(AM8+AM9)/Time!AM30,0)</f>
        <v>0.377587683189271</v>
      </c>
      <c r="AN26" s="13" t="n">
        <f aca="false">IF(Time!AN30&gt;0,Inputs!$F$176/100*Operations!AN55*(AN8+AN9)/Time!AN30,0)</f>
        <v>0.380569722267902</v>
      </c>
      <c r="AO26" s="13" t="n">
        <f aca="false">IF(Time!AO30&gt;0,Inputs!$F$176/100*Operations!AO55*(AO8+AO9)/Time!AO30,0)</f>
        <v>0.382320018205603</v>
      </c>
      <c r="AP26" s="13" t="n">
        <f aca="false">IF(Time!AP30&gt;0,Inputs!$F$176/100*Operations!AP55*(AP8+AP9)/Time!AP30,0)</f>
        <v>0.383928865419879</v>
      </c>
      <c r="AQ26" s="13" t="n">
        <f aca="false">IF(Time!AQ30&gt;0,Inputs!$F$176/100*Operations!AQ55*(AQ8+AQ9)/Time!AQ30,0)</f>
        <v>0.38603288955021</v>
      </c>
      <c r="AR26" s="13" t="n">
        <f aca="false">IF(Time!AR30&gt;0,Inputs!$F$176/100*Operations!AR55*(AR8+AR9)/Time!AR30,0)</f>
        <v>0.388322975302412</v>
      </c>
      <c r="AS26" s="13" t="n">
        <f aca="false">IF(Time!AS30&gt;0,Inputs!$F$176/100*Operations!AS55*(AS8+AS9)/Time!AS30,0)</f>
        <v>0.389386468394401</v>
      </c>
      <c r="AT26" s="13" t="n">
        <f aca="false">IF(Time!AT30&gt;0,Inputs!$F$176/100*Operations!AT55*(AT8+AT9)/Time!AT30,0)</f>
        <v>0.384595426140167</v>
      </c>
      <c r="AU26" s="13" t="n">
        <f aca="false">IF(Time!AU30&gt;0,Inputs!$F$176/100*Operations!AU55*(AU8+AU9)/Time!AU30,0)</f>
        <v>0.392466909393403</v>
      </c>
      <c r="AV26" s="13" t="n">
        <f aca="false">IF(Time!AV30&gt;0,Inputs!$F$176/100*Operations!AV55*(AV8+AV9)/Time!AV30,0)</f>
        <v>0.396414217003656</v>
      </c>
      <c r="AW26" s="13" t="n">
        <f aca="false">IF(Time!AW30&gt;0,Inputs!$F$176/100*Operations!AW55*(AW8+AW9)/Time!AW30,0)</f>
        <v>0.398321197042708</v>
      </c>
      <c r="AX26" s="13" t="n">
        <f aca="false">IF(Time!AX30&gt;0,Inputs!$F$176/100*Operations!AX55*(AX8+AX9)/Time!AX30,0)</f>
        <v>0.400074908375084</v>
      </c>
      <c r="AY26" s="13" t="n">
        <f aca="false">IF(Time!AY30&gt;0,Inputs!$F$176/100*Operations!AY55*(AY8+AY9)/Time!AY30,0)</f>
        <v>0.402365623259928</v>
      </c>
      <c r="AZ26" s="13" t="n">
        <f aca="false">IF(Time!AZ30&gt;0,Inputs!$F$176/100*Operations!AZ55*(AZ8+AZ9)/Time!AZ30,0)</f>
        <v>0.404858175206663</v>
      </c>
      <c r="BA26" s="13" t="n">
        <f aca="false">IF(Time!BA30&gt;0,Inputs!$F$176/100*Operations!BA55*(BA8+BA9)/Time!BA30,0)</f>
        <v>0.406395366611893</v>
      </c>
      <c r="BB26" s="13" t="n">
        <f aca="false">IF(Time!BB30&gt;0,Inputs!$F$176/100*Operations!BB55*(BB8+BB9)/Time!BB30,0)</f>
        <v>0.407305886714974</v>
      </c>
      <c r="BC26" s="13" t="n">
        <f aca="false">IF(Time!BC30&gt;0,Inputs!$F$176/100*Operations!BC55*(BC8+BC9)/Time!BC30,0)</f>
        <v>0.41014468089963</v>
      </c>
      <c r="BD26" s="13" t="n">
        <f aca="false">IF(Time!BD30&gt;0,Inputs!$F$176/100*Operations!BD55*(BD8+BD9)/Time!BD30,0)</f>
        <v>0.413670219231639</v>
      </c>
      <c r="BE26" s="13" t="n">
        <f aca="false">IF(Time!BE30&gt;0,Inputs!$F$176/100*Operations!BE55*(BE8+BE9)/Time!BE30,0)</f>
        <v>0.41574790594862</v>
      </c>
      <c r="BF26" s="13" t="n">
        <f aca="false">IF(Time!BF30&gt;0,Inputs!$F$176/100*Operations!BF55*(BF8+BF9)/Time!BF30,0)</f>
        <v>0.417659523964139</v>
      </c>
      <c r="BG26" s="13" t="n">
        <f aca="false">IF(Time!BG30&gt;0,Inputs!$F$176/100*Operations!BG55*(BG8+BG9)/Time!BG30,0)</f>
        <v>0.4201534843989</v>
      </c>
      <c r="BH26" s="13" t="n">
        <f aca="false">IF(Time!BH30&gt;0,Inputs!$F$176/100*Operations!BH55*(BH8+BH9)/Time!BH30,0)</f>
        <v>0.422866387811796</v>
      </c>
      <c r="BI26" s="13" t="n">
        <f aca="false">IF(Time!BI30&gt;0,Inputs!$F$176/100*Operations!BI55*(BI8+BI9)/Time!BI30,0)</f>
        <v>0.424137576577909</v>
      </c>
      <c r="BJ26" s="13" t="n">
        <f aca="false">IF(Time!BJ30&gt;0,Inputs!$F$176/100*Operations!BJ55*(BJ8+BJ9)/Time!BJ30,0)</f>
        <v>0.419011820453759</v>
      </c>
      <c r="BK26" s="13" t="n">
        <f aca="false">IF(Time!BK30&gt;0,Inputs!$F$176/100*Operations!BK55*(BK8+BK9)/Time!BK30,0)</f>
        <v>0.427801508790423</v>
      </c>
      <c r="BL26" s="13" t="n">
        <f aca="false">IF(Time!BL30&gt;0,Inputs!$F$176/100*Operations!BL55*(BL8+BL9)/Time!BL30,0)</f>
        <v>0.432463418236475</v>
      </c>
      <c r="BM26" s="13" t="n">
        <f aca="false">IF(Time!BM30&gt;0,Inputs!$F$176/100*Operations!BM55*(BM8+BM9)/Time!BM30,0)</f>
        <v>0.28995698083863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668</v>
      </c>
      <c r="E27" s="0" t="s">
        <v>149</v>
      </c>
      <c r="G27" s="13" t="n">
        <f aca="false">SUM(J27:BN27)</f>
        <v>317.118501226352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0.11804583592035</v>
      </c>
      <c r="Z27" s="13" t="n">
        <f aca="false">MAX(Z25,Z26)</f>
        <v>0.355491534673645</v>
      </c>
      <c r="AA27" s="13" t="n">
        <f aca="false">MAX(AA25,AA26)</f>
        <v>0.357266560605968</v>
      </c>
      <c r="AB27" s="13" t="n">
        <f aca="false">MAX(AB25,AB26)</f>
        <v>0.359199684831379</v>
      </c>
      <c r="AC27" s="13" t="n">
        <f aca="false">MAX(AC25,AC26)</f>
        <v>0.360089400479836</v>
      </c>
      <c r="AD27" s="13" t="n">
        <f aca="false">MAX(AD25,AD26)</f>
        <v>0.355582189942007</v>
      </c>
      <c r="AE27" s="13" t="n">
        <f aca="false">MAX(AE25,AE26)</f>
        <v>0.362679271815013</v>
      </c>
      <c r="AF27" s="13" t="n">
        <f aca="false">MAX(AF25,AF26)</f>
        <v>0.366021318821837</v>
      </c>
      <c r="AG27" s="13" t="n">
        <f aca="false">MAX(AG25,AG26)</f>
        <v>0.367627801614753</v>
      </c>
      <c r="AH27" s="13" t="n">
        <f aca="false">MAX(AH25,AH26)</f>
        <v>0.369103750096856</v>
      </c>
      <c r="AI27" s="13" t="n">
        <f aca="false">MAX(AI25,AI26)</f>
        <v>0.371036290587391</v>
      </c>
      <c r="AJ27" s="13" t="n">
        <f aca="false">MAX(AJ25,AJ26)</f>
        <v>0.37314034478709</v>
      </c>
      <c r="AK27" s="13" t="n">
        <f aca="false">MAX(AK25,AK26)</f>
        <v>0.374431606697048</v>
      </c>
      <c r="AL27" s="13" t="n">
        <f aca="false">MAX(AL25,AL26)</f>
        <v>0.375189635606888</v>
      </c>
      <c r="AM27" s="13" t="n">
        <f aca="false">MAX(AM25,AM26)</f>
        <v>0.377587683189271</v>
      </c>
      <c r="AN27" s="13" t="n">
        <f aca="false">MAX(AN25,AN26)</f>
        <v>8.97571707813844</v>
      </c>
      <c r="AO27" s="13" t="n">
        <f aca="false">MAX(AO25,AO26)</f>
        <v>9.47889868254204</v>
      </c>
      <c r="AP27" s="13" t="n">
        <f aca="false">MAX(AP25,AP26)</f>
        <v>10.1524881225905</v>
      </c>
      <c r="AQ27" s="13" t="n">
        <f aca="false">MAX(AQ25,AQ26)</f>
        <v>10.1871116984304</v>
      </c>
      <c r="AR27" s="13" t="n">
        <f aca="false">MAX(AR25,AR26)</f>
        <v>10.2162641220063</v>
      </c>
      <c r="AS27" s="13" t="n">
        <f aca="false">MAX(AS25,AS26)</f>
        <v>10.2933004796971</v>
      </c>
      <c r="AT27" s="13" t="n">
        <f aca="false">MAX(AT25,AT26)</f>
        <v>5.87536413348984</v>
      </c>
      <c r="AU27" s="13" t="n">
        <f aca="false">MAX(AU25,AU26)</f>
        <v>10.4153548134743</v>
      </c>
      <c r="AV27" s="13" t="n">
        <f aca="false">MAX(AV25,AV26)</f>
        <v>10.3851616891707</v>
      </c>
      <c r="AW27" s="13" t="n">
        <f aca="false">MAX(AW25,AW26)</f>
        <v>10.4346417534422</v>
      </c>
      <c r="AX27" s="13" t="n">
        <f aca="false">MAX(AX25,AX26)</f>
        <v>10.4923787623301</v>
      </c>
      <c r="AY27" s="13" t="n">
        <f aca="false">MAX(AY25,AY26)</f>
        <v>10.5294451861396</v>
      </c>
      <c r="AZ27" s="13" t="n">
        <f aca="false">MAX(AZ25,AZ26)</f>
        <v>10.5609027600314</v>
      </c>
      <c r="BA27" s="13" t="n">
        <f aca="false">MAX(BA25,BA26)</f>
        <v>10.6302742388706</v>
      </c>
      <c r="BB27" s="13" t="n">
        <f aca="false">MAX(BB25,BB26)</f>
        <v>9.66584639380012</v>
      </c>
      <c r="BC27" s="13" t="n">
        <f aca="false">MAX(BC25,BC26)</f>
        <v>12.672268492559</v>
      </c>
      <c r="BD27" s="13" t="n">
        <f aca="false">MAX(BD25,BD26)</f>
        <v>16.5169055151699</v>
      </c>
      <c r="BE27" s="13" t="n">
        <f aca="false">MAX(BE25,BE26)</f>
        <v>16.5704045014369</v>
      </c>
      <c r="BF27" s="13" t="n">
        <f aca="false">MAX(BF25,BF26)</f>
        <v>16.6335594643079</v>
      </c>
      <c r="BG27" s="13" t="n">
        <f aca="false">MAX(BG25,BG26)</f>
        <v>16.6732432500576</v>
      </c>
      <c r="BH27" s="13" t="n">
        <f aca="false">MAX(BH25,BH26)</f>
        <v>16.7071881798589</v>
      </c>
      <c r="BI27" s="13" t="n">
        <f aca="false">MAX(BI25,BI26)</f>
        <v>16.7991669605017</v>
      </c>
      <c r="BJ27" s="13" t="n">
        <f aca="false">MAX(BJ25,BJ26)</f>
        <v>11.57728517718</v>
      </c>
      <c r="BK27" s="13" t="n">
        <f aca="false">MAX(BK25,BK26)</f>
        <v>16.9445491004058</v>
      </c>
      <c r="BL27" s="13" t="n">
        <f aca="false">MAX(BL25,BL26)</f>
        <v>16.9051927819825</v>
      </c>
      <c r="BM27" s="13" t="n">
        <f aca="false">MAX(BM25,BM26)</f>
        <v>5.58309497906883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669</v>
      </c>
      <c r="E28" s="0" t="s">
        <v>149</v>
      </c>
      <c r="G28" s="13" t="n">
        <f aca="false">SUM(J28:BN28)</f>
        <v>3.83127639478136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1.08849879485012</v>
      </c>
      <c r="P28" s="13" t="n">
        <f aca="false">P13-P15</f>
        <v>2.03175476546068</v>
      </c>
      <c r="Q28" s="13" t="n">
        <f aca="false">Q13-Q15</f>
        <v>0.711022834470558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671</v>
      </c>
    </row>
    <row r="8" customFormat="false" ht="15" hidden="false" customHeight="false" outlineLevel="0" collapsed="false">
      <c r="D8" s="0" t="s">
        <v>672</v>
      </c>
      <c r="E8" s="0" t="s">
        <v>109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673</v>
      </c>
      <c r="E9" s="0" t="s">
        <v>109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674</v>
      </c>
      <c r="E10" s="0" t="s">
        <v>99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675</v>
      </c>
      <c r="E11" s="0" t="s">
        <v>109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676</v>
      </c>
      <c r="E12" s="0" t="s">
        <v>99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677</v>
      </c>
      <c r="E13" s="0" t="s">
        <v>99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678</v>
      </c>
      <c r="E14" s="0" t="s">
        <v>99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679</v>
      </c>
      <c r="E15" s="0" t="s">
        <v>99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680</v>
      </c>
      <c r="E16" s="0" t="s">
        <v>99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681</v>
      </c>
      <c r="E17" s="0" t="s">
        <v>149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682</v>
      </c>
    </row>
    <row r="19" customFormat="false" ht="15" hidden="false" customHeight="false" outlineLevel="0" collapsed="false">
      <c r="D19" s="0" t="s">
        <v>683</v>
      </c>
      <c r="E19" s="0" t="s">
        <v>99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684</v>
      </c>
      <c r="E20" s="0" t="s">
        <v>99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685</v>
      </c>
      <c r="E21" s="0" t="s">
        <v>149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1.51015872973752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2.14073632334925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3.447598117152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5.33422511157639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7.67966660417626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10.4072865001054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13.3258674112293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16.3644435309182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19.3724016456049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22.2491895376056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24.8877008112056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27.2420677226985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29.2265082464778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30.7475948342201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31.8103259721398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32.3290222317982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33.4584983588564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31.828166358387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30.74605734235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29.2411851097714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27.2496805862512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24.924430484466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22.2235069163292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19.3362718946411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16.351690308253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13.2855275750901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10.3798503285824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7.62910981519539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5.24757474614267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3.45762227696786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2.04017239312868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49.6738675140834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-0.557372926276622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0.0101597331456643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686</v>
      </c>
      <c r="E22" s="0" t="s">
        <v>149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84.5897872517379</v>
      </c>
      <c r="L22" s="13" t="n">
        <f aca="false">K22+Construction!L14*$F$9/$F$10*(L21+(L19-L20)*K22)</f>
        <v>86.5314775442891</v>
      </c>
      <c r="M22" s="13" t="n">
        <f aca="false">L22+Construction!M14*$F$9/$F$10*(M21+(M19-M20)*L22)</f>
        <v>89.4748680230947</v>
      </c>
      <c r="N22" s="13" t="n">
        <f aca="false">M22+Construction!N14*$F$9/$F$10*(N21+(N19-N20)*M22)</f>
        <v>93.8887006875826</v>
      </c>
      <c r="O22" s="13" t="n">
        <f aca="false">N22+Construction!O14*$F$9/$F$10*(O21+(O19-O20)*N22)</f>
        <v>100.138565769989</v>
      </c>
      <c r="P22" s="13" t="n">
        <f aca="false">O22+Construction!P14*$F$9/$F$10*(P21+(P19-P20)*O22)</f>
        <v>108.472656280673</v>
      </c>
      <c r="Q22" s="13" t="n">
        <f aca="false">P22+Construction!Q14*$F$9/$F$10*(Q21+(Q19-Q20)*P22)</f>
        <v>119.116880192044</v>
      </c>
      <c r="R22" s="13" t="n">
        <f aca="false">Q22+Construction!R14*$F$9/$F$10*(R21+(R19-R20)*Q22)</f>
        <v>132.122127706019</v>
      </c>
      <c r="S22" s="13" t="n">
        <f aca="false">R22+Construction!S14*$F$9/$F$10*(S21+(S19-S20)*R22)</f>
        <v>147.501880875375</v>
      </c>
      <c r="T22" s="13" t="n">
        <f aca="false">S22+Construction!T14*$F$9/$F$10*(T21+(T19-T20)*S22)</f>
        <v>165.132356660884</v>
      </c>
      <c r="U22" s="13" t="n">
        <f aca="false">T22+Construction!U14*$F$9/$F$10*(U21+(U19-U20)*T22)</f>
        <v>184.890827725612</v>
      </c>
      <c r="V22" s="13" t="n">
        <f aca="false">U22+Construction!V14*$F$9/$F$10*(V21+(V19-V20)*U22)</f>
        <v>206.534115886957</v>
      </c>
      <c r="W22" s="13" t="n">
        <f aca="false">V22+Construction!W14*$F$9/$F$10*(W21+(W19-W20)*V22)</f>
        <v>229.759733600122</v>
      </c>
      <c r="X22" s="13" t="n">
        <f aca="false">W22+Construction!X14*$F$9/$F$10*(X21+(X19-X20)*W22)</f>
        <v>254.267945954304</v>
      </c>
      <c r="Y22" s="13" t="n">
        <f aca="false">X22+Construction!Y14*$F$9/$F$10*(Y21+(Y19-Y20)*X22)</f>
        <v>279.654927920348</v>
      </c>
      <c r="Z22" s="13" t="n">
        <f aca="false">Y22+Construction!Z14*$F$9/$F$10*(Z21+(Z19-Z20)*Y22)</f>
        <v>305.567921486741</v>
      </c>
      <c r="AA22" s="13" t="n">
        <f aca="false">Z22+Construction!AA14*$F$9/$F$10*(AA21+(AA19-AA20)*Z22)</f>
        <v>332.464258691782</v>
      </c>
      <c r="AB22" s="13" t="n">
        <f aca="false">AA22+Construction!AB14*$F$9/$F$10*(AB21+(AB19-AB20)*AA22)</f>
        <v>358.128186657326</v>
      </c>
      <c r="AC22" s="13" t="n">
        <f aca="false">AB22+Construction!AC14*$F$9/$F$10*(AC21+(AC19-AC20)*AB22)</f>
        <v>383.141316316476</v>
      </c>
      <c r="AD22" s="13" t="n">
        <f aca="false">AC22+Construction!AD14*$F$9/$F$10*(AD21+(AD19-AD20)*AC22)</f>
        <v>407.046186967856</v>
      </c>
      <c r="AE22" s="13" t="n">
        <f aca="false">AD22+Construction!AE14*$F$9/$F$10*(AE21+(AE19-AE20)*AD22)</f>
        <v>429.559444740341</v>
      </c>
      <c r="AF22" s="13" t="n">
        <f aca="false">AE22+Construction!AF14*$F$9/$F$10*(AF21+(AF19-AF20)*AE22)</f>
        <v>450.318399233825</v>
      </c>
      <c r="AG22" s="13" t="n">
        <f aca="false">AF22+Construction!AG14*$F$9/$F$10*(AG21+(AG19-AG20)*AF22)</f>
        <v>469.146453657566</v>
      </c>
      <c r="AH22" s="13" t="n">
        <f aca="false">AG22+Construction!AH14*$F$9/$F$10*(AH21+(AH19-AH20)*AG22)</f>
        <v>485.827785662566</v>
      </c>
      <c r="AI22" s="13" t="n">
        <f aca="false">AH22+Construction!AI14*$F$9/$F$10*(AI21+(AI19-AI20)*AH22)</f>
        <v>500.218576242731</v>
      </c>
      <c r="AJ22" s="13" t="n">
        <f aca="false">AI22+Construction!AJ14*$F$9/$F$10*(AJ21+(AJ19-AJ20)*AI22)</f>
        <v>512.368583747398</v>
      </c>
      <c r="AK22" s="13" t="n">
        <f aca="false">AJ22+Construction!AK14*$F$9/$F$10*(AK21+(AK19-AK20)*AJ22)</f>
        <v>522.267852061306</v>
      </c>
      <c r="AL22" s="13" t="n">
        <f aca="false">AK22+Construction!AL14*$F$9/$F$10*(AL21+(AL19-AL20)*AK22)</f>
        <v>530.154749853881</v>
      </c>
      <c r="AM22" s="13" t="n">
        <f aca="false">AL22+Construction!AM14*$F$9/$F$10*(AM21+(AM19-AM20)*AL22)</f>
        <v>536.252307131536</v>
      </c>
      <c r="AN22" s="13" t="n">
        <f aca="false">AM22+Construction!AN14*$F$9/$F$10*(AN21+(AN19-AN20)*AM22)</f>
        <v>540.79555933258</v>
      </c>
      <c r="AO22" s="13" t="n">
        <f aca="false">AN22+Construction!AO14*$F$9/$F$10*(AO21+(AO19-AO20)*AN22)</f>
        <v>544.468784431638</v>
      </c>
      <c r="AP22" s="13" t="n">
        <f aca="false">AO22+Construction!AP14*$F$9/$F$10*(AP21+(AP19-AP20)*AO22)</f>
        <v>584.707186262926</v>
      </c>
      <c r="AQ22" s="13" t="n">
        <f aca="false">AP22+Construction!AQ14*$F$9/$F$10*(AQ21+(AQ19-AQ20)*AP22)</f>
        <v>586.554409369774</v>
      </c>
      <c r="AR22" s="13" t="n">
        <f aca="false">AQ22+Construction!AR14*$F$9/$F$10*(AR21+(AR19-AR20)*AQ22)</f>
        <v>588.771480631791</v>
      </c>
      <c r="AS22" s="13" t="n">
        <f aca="false">AR22+Construction!AS14*$F$9/$F$10*(AS21+(AS19-AS20)*AR22)</f>
        <v>588.771480631791</v>
      </c>
      <c r="AT22" s="13" t="n">
        <f aca="false">AS22+Construction!AT14*$F$9/$F$10*(AT21+(AT19-AT20)*AS22)</f>
        <v>588.771480631791</v>
      </c>
      <c r="AU22" s="13" t="n">
        <f aca="false">AT22+Construction!AU14*$F$9/$F$10*(AU21+(AU19-AU20)*AT22)</f>
        <v>588.771480631791</v>
      </c>
      <c r="AV22" s="13" t="n">
        <f aca="false">AU22+Construction!AV14*$F$9/$F$10*(AV21+(AV19-AV20)*AU22)</f>
        <v>588.771480631791</v>
      </c>
      <c r="AW22" s="13" t="n">
        <f aca="false">AV22+Construction!AW14*$F$9/$F$10*(AW21+(AW19-AW20)*AV22)</f>
        <v>588.771480631791</v>
      </c>
      <c r="AX22" s="13" t="n">
        <f aca="false">AW22+Construction!AX14*$F$9/$F$10*(AX21+(AX19-AX20)*AW22)</f>
        <v>588.771480631791</v>
      </c>
      <c r="AY22" s="13" t="n">
        <f aca="false">AX22+Construction!AY14*$F$9/$F$10*(AY21+(AY19-AY20)*AX22)</f>
        <v>588.771480631791</v>
      </c>
      <c r="AZ22" s="13" t="n">
        <f aca="false">AY22+Construction!AZ14*$F$9/$F$10*(AZ21+(AZ19-AZ20)*AY22)</f>
        <v>588.771480631791</v>
      </c>
      <c r="BA22" s="13" t="n">
        <f aca="false">AZ22+Construction!BA14*$F$9/$F$10*(BA21+(BA19-BA20)*AZ22)</f>
        <v>588.771480631791</v>
      </c>
      <c r="BB22" s="13" t="n">
        <f aca="false">BA22+Construction!BB14*$F$9/$F$10*(BB21+(BB19-BB20)*BA22)</f>
        <v>588.771480631791</v>
      </c>
      <c r="BC22" s="13" t="n">
        <f aca="false">BB22+Construction!BC14*$F$9/$F$10*(BC21+(BC19-BC20)*BB22)</f>
        <v>588.771480631791</v>
      </c>
      <c r="BD22" s="13" t="n">
        <f aca="false">BC22+Construction!BD14*$F$9/$F$10*(BD21+(BD19-BD20)*BC22)</f>
        <v>588.771480631791</v>
      </c>
      <c r="BE22" s="13" t="n">
        <f aca="false">BD22+Construction!BE14*$F$9/$F$10*(BE21+(BE19-BE20)*BD22)</f>
        <v>588.771480631791</v>
      </c>
      <c r="BF22" s="13" t="n">
        <f aca="false">BE22+Construction!BF14*$F$9/$F$10*(BF21+(BF19-BF20)*BE22)</f>
        <v>588.771480631791</v>
      </c>
      <c r="BG22" s="13" t="n">
        <f aca="false">BF22+Construction!BG14*$F$9/$F$10*(BG21+(BG19-BG20)*BF22)</f>
        <v>588.771480631791</v>
      </c>
      <c r="BH22" s="13" t="n">
        <f aca="false">BG22+Construction!BH14*$F$9/$F$10*(BH21+(BH19-BH20)*BG22)</f>
        <v>588.771480631791</v>
      </c>
      <c r="BI22" s="13" t="n">
        <f aca="false">BH22+Construction!BI14*$F$9/$F$10*(BI21+(BI19-BI20)*BH22)</f>
        <v>588.771480631791</v>
      </c>
      <c r="BJ22" s="13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687</v>
      </c>
      <c r="E23" s="0" t="s">
        <v>99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688</v>
      </c>
      <c r="E24" s="0" t="s">
        <v>149</v>
      </c>
      <c r="F24" s="17" t="n">
        <f aca="false">INDEX(Funding!$J$22:$BJ$22,1,Time!$F$14)/(Funding!$F$9-INDEX(Funding!$J$23:$BJ$23,1,Time!$F$14))</f>
        <v>857.21111806745</v>
      </c>
    </row>
    <row r="25" customFormat="false" ht="15" hidden="false" customHeight="false" outlineLevel="0" collapsed="false">
      <c r="D25" s="0" t="s">
        <v>689</v>
      </c>
      <c r="E25" s="0" t="s">
        <v>149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690</v>
      </c>
      <c r="E26" s="0" t="s">
        <v>109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691</v>
      </c>
    </row>
    <row r="28" customFormat="false" ht="15" hidden="false" customHeight="false" outlineLevel="0" collapsed="false">
      <c r="D28" s="0" t="s">
        <v>692</v>
      </c>
      <c r="E28" s="0" t="s">
        <v>149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27.5695773059137</v>
      </c>
      <c r="M28" s="13" t="n">
        <f aca="false">L61</f>
        <v>28.2773158474081</v>
      </c>
      <c r="N28" s="13" t="n">
        <f aca="false">M61</f>
        <v>29.2778305475518</v>
      </c>
      <c r="O28" s="13" t="n">
        <f aca="false">N61</f>
        <v>30.7184974274133</v>
      </c>
      <c r="P28" s="13" t="n">
        <f aca="false">O61</f>
        <v>32.7037510289397</v>
      </c>
      <c r="Q28" s="13" t="n">
        <f aca="false">P61</f>
        <v>35.2935701625513</v>
      </c>
      <c r="R28" s="13" t="n">
        <f aca="false">Q61</f>
        <v>38.5808781243885</v>
      </c>
      <c r="S28" s="13" t="n">
        <f aca="false">R61</f>
        <v>42.5633405306353</v>
      </c>
      <c r="T28" s="13" t="n">
        <f aca="false">S61</f>
        <v>47.25364486873</v>
      </c>
      <c r="U28" s="13" t="n">
        <f aca="false">T61</f>
        <v>52.606356870313</v>
      </c>
      <c r="V28" s="13" t="n">
        <f aca="false">U61</f>
        <v>58.5941789800537</v>
      </c>
      <c r="W28" s="13" t="n">
        <f aca="false">V61</f>
        <v>65.1403884672871</v>
      </c>
      <c r="X28" s="13" t="n">
        <f aca="false">W61</f>
        <v>72.1509604086586</v>
      </c>
      <c r="Y28" s="13" t="n">
        <f aca="false">X61</f>
        <v>79.5459361278171</v>
      </c>
      <c r="Z28" s="13" t="n">
        <f aca="false">Y61</f>
        <v>87.1968746106349</v>
      </c>
      <c r="AA28" s="13" t="n">
        <f aca="false">Z61</f>
        <v>95.0081457223257</v>
      </c>
      <c r="AB28" s="13" t="n">
        <f aca="false">AA61</f>
        <v>103.110941776807</v>
      </c>
      <c r="AC28" s="13" t="n">
        <f aca="false">AB61</f>
        <v>110.840005565615</v>
      </c>
      <c r="AD28" s="13" t="n">
        <f aca="false">AC61</f>
        <v>118.385358322786</v>
      </c>
      <c r="AE28" s="13" t="n">
        <f aca="false">AD61</f>
        <v>125.598214100278</v>
      </c>
      <c r="AF28" s="13" t="n">
        <f aca="false">AE61</f>
        <v>132.40357932969</v>
      </c>
      <c r="AG28" s="13" t="n">
        <f aca="false">AF61</f>
        <v>138.685157188152</v>
      </c>
      <c r="AH28" s="13" t="n">
        <f aca="false">AG61</f>
        <v>144.399698782452</v>
      </c>
      <c r="AI28" s="13" t="n">
        <f aca="false">AH61</f>
        <v>149.478771573439</v>
      </c>
      <c r="AJ28" s="13" t="n">
        <f aca="false">AI61</f>
        <v>153.875320923412</v>
      </c>
      <c r="AK28" s="13" t="n">
        <f aca="false">AJ61</f>
        <v>157.613094467536</v>
      </c>
      <c r="AL28" s="13" t="n">
        <f aca="false">AK61</f>
        <v>160.680179388032</v>
      </c>
      <c r="AM28" s="13" t="n">
        <f aca="false">AL61</f>
        <v>163.156219622677</v>
      </c>
      <c r="AN28" s="13" t="n">
        <f aca="false">AM61</f>
        <v>165.102876179334</v>
      </c>
      <c r="AO28" s="13" t="n">
        <f aca="false">AN61</f>
        <v>166.576014178828</v>
      </c>
      <c r="AP28" s="13" t="n">
        <f aca="false">AO61</f>
        <v>167.805613265118</v>
      </c>
      <c r="AQ28" s="13" t="n">
        <f aca="false">AP61</f>
        <v>179.859372115354</v>
      </c>
      <c r="AR28" s="13" t="n">
        <f aca="false">AQ61</f>
        <v>189.15009701887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693</v>
      </c>
      <c r="E29" s="0" t="s">
        <v>149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20.2176900243367</v>
      </c>
      <c r="M29" s="13" t="n">
        <f aca="false">L62</f>
        <v>20.7366982880993</v>
      </c>
      <c r="N29" s="13" t="n">
        <f aca="false">M62</f>
        <v>21.4704090682047</v>
      </c>
      <c r="O29" s="13" t="n">
        <f aca="false">N62</f>
        <v>22.5268981134365</v>
      </c>
      <c r="P29" s="13" t="n">
        <f aca="false">O62</f>
        <v>23.9827507545558</v>
      </c>
      <c r="Q29" s="13" t="n">
        <f aca="false">P62</f>
        <v>25.8819514525376</v>
      </c>
      <c r="R29" s="13" t="n">
        <f aca="false">Q62</f>
        <v>28.2926439578849</v>
      </c>
      <c r="S29" s="13" t="n">
        <f aca="false">R62</f>
        <v>31.2131163891325</v>
      </c>
      <c r="T29" s="13" t="n">
        <f aca="false">S62</f>
        <v>34.6526729037354</v>
      </c>
      <c r="U29" s="13" t="n">
        <f aca="false">T62</f>
        <v>38.5779950382296</v>
      </c>
      <c r="V29" s="13" t="n">
        <f aca="false">U62</f>
        <v>42.9690645853727</v>
      </c>
      <c r="W29" s="13" t="n">
        <f aca="false">V62</f>
        <v>47.7696182093439</v>
      </c>
      <c r="X29" s="13" t="n">
        <f aca="false">W62</f>
        <v>52.910704299683</v>
      </c>
      <c r="Y29" s="13" t="n">
        <f aca="false">X62</f>
        <v>58.3336864937326</v>
      </c>
      <c r="Z29" s="13" t="n">
        <f aca="false">Y62</f>
        <v>63.9443747144656</v>
      </c>
      <c r="AA29" s="13" t="n">
        <f aca="false">Z62</f>
        <v>69.6726401963722</v>
      </c>
      <c r="AB29" s="13" t="n">
        <f aca="false">AA62</f>
        <v>75.6146906363249</v>
      </c>
      <c r="AC29" s="13" t="n">
        <f aca="false">AB62</f>
        <v>81.2826707481177</v>
      </c>
      <c r="AD29" s="13" t="n">
        <f aca="false">AC62</f>
        <v>86.8159294367101</v>
      </c>
      <c r="AE29" s="13" t="n">
        <f aca="false">AD62</f>
        <v>92.1053570068706</v>
      </c>
      <c r="AF29" s="13" t="n">
        <f aca="false">AE62</f>
        <v>97.0959581751059</v>
      </c>
      <c r="AG29" s="13" t="n">
        <f aca="false">AF62</f>
        <v>101.702448604644</v>
      </c>
      <c r="AH29" s="13" t="n">
        <f aca="false">AG62</f>
        <v>105.893112440465</v>
      </c>
      <c r="AI29" s="13" t="n">
        <f aca="false">AH62</f>
        <v>109.617765820522</v>
      </c>
      <c r="AJ29" s="13" t="n">
        <f aca="false">AI62</f>
        <v>112.841902010502</v>
      </c>
      <c r="AK29" s="13" t="n">
        <f aca="false">AJ62</f>
        <v>115.58293594286</v>
      </c>
      <c r="AL29" s="13" t="n">
        <f aca="false">AK62</f>
        <v>117.832131551223</v>
      </c>
      <c r="AM29" s="13" t="n">
        <f aca="false">AL62</f>
        <v>119.647894389963</v>
      </c>
      <c r="AN29" s="13" t="n">
        <f aca="false">AM62</f>
        <v>121.075442531512</v>
      </c>
      <c r="AO29" s="13" t="n">
        <f aca="false">AN62</f>
        <v>122.155743731141</v>
      </c>
      <c r="AP29" s="13" t="n">
        <f aca="false">AO62</f>
        <v>123.057449727754</v>
      </c>
      <c r="AQ29" s="13" t="n">
        <f aca="false">AP62</f>
        <v>131.896872884593</v>
      </c>
      <c r="AR29" s="13" t="n">
        <f aca="false">AQ62</f>
        <v>138.710071147171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694</v>
      </c>
      <c r="E30" s="0" t="s">
        <v>149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9.18985910197123</v>
      </c>
      <c r="M30" s="13" t="n">
        <f aca="false">L63</f>
        <v>9.42577194913603</v>
      </c>
      <c r="N30" s="13" t="n">
        <f aca="false">M63</f>
        <v>9.75927684918395</v>
      </c>
      <c r="O30" s="13" t="n">
        <f aca="false">N63</f>
        <v>10.2394991424711</v>
      </c>
      <c r="P30" s="13" t="n">
        <f aca="false">O63</f>
        <v>10.9012503429799</v>
      </c>
      <c r="Q30" s="13" t="n">
        <f aca="false">P63</f>
        <v>11.7645233875171</v>
      </c>
      <c r="R30" s="13" t="n">
        <f aca="false">Q63</f>
        <v>12.8602927081295</v>
      </c>
      <c r="S30" s="13" t="n">
        <f aca="false">R63</f>
        <v>14.1877801768784</v>
      </c>
      <c r="T30" s="13" t="n">
        <f aca="false">S63</f>
        <v>15.7512149562433</v>
      </c>
      <c r="U30" s="13" t="n">
        <f aca="false">T63</f>
        <v>17.5354522901043</v>
      </c>
      <c r="V30" s="13" t="n">
        <f aca="false">U63</f>
        <v>19.5313929933512</v>
      </c>
      <c r="W30" s="13" t="n">
        <f aca="false">V63</f>
        <v>21.713462822429</v>
      </c>
      <c r="X30" s="13" t="n">
        <f aca="false">W63</f>
        <v>24.0503201362195</v>
      </c>
      <c r="Y30" s="13" t="n">
        <f aca="false">X63</f>
        <v>26.5153120426057</v>
      </c>
      <c r="Z30" s="13" t="n">
        <f aca="false">Y63</f>
        <v>29.0656248702116</v>
      </c>
      <c r="AA30" s="13" t="n">
        <f aca="false">Z63</f>
        <v>31.6693819074419</v>
      </c>
      <c r="AB30" s="13" t="n">
        <f aca="false">AA63</f>
        <v>34.3703139256022</v>
      </c>
      <c r="AC30" s="13" t="n">
        <f aca="false">AB63</f>
        <v>36.9466685218717</v>
      </c>
      <c r="AD30" s="13" t="n">
        <f aca="false">AC63</f>
        <v>39.4617861075955</v>
      </c>
      <c r="AE30" s="13" t="n">
        <f aca="false">AD63</f>
        <v>41.8660713667593</v>
      </c>
      <c r="AF30" s="13" t="n">
        <f aca="false">AE63</f>
        <v>44.1345264432299</v>
      </c>
      <c r="AG30" s="13" t="n">
        <f aca="false">AF63</f>
        <v>46.2283857293838</v>
      </c>
      <c r="AH30" s="13" t="n">
        <f aca="false">AG63</f>
        <v>48.1332329274839</v>
      </c>
      <c r="AI30" s="13" t="n">
        <f aca="false">AH63</f>
        <v>49.8262571911463</v>
      </c>
      <c r="AJ30" s="13" t="n">
        <f aca="false">AI63</f>
        <v>51.2917736411373</v>
      </c>
      <c r="AK30" s="13" t="n">
        <f aca="false">AJ63</f>
        <v>52.5376981558454</v>
      </c>
      <c r="AL30" s="13" t="n">
        <f aca="false">AK63</f>
        <v>53.5600597960105</v>
      </c>
      <c r="AM30" s="13" t="n">
        <f aca="false">AL63</f>
        <v>54.3854065408923</v>
      </c>
      <c r="AN30" s="13" t="n">
        <f aca="false">AM63</f>
        <v>55.0342920597781</v>
      </c>
      <c r="AO30" s="13" t="n">
        <f aca="false">AN63</f>
        <v>55.5253380596093</v>
      </c>
      <c r="AP30" s="13" t="n">
        <f aca="false">AO63</f>
        <v>55.9352044217061</v>
      </c>
      <c r="AQ30" s="13" t="n">
        <f aca="false">AP63</f>
        <v>59.9531240384514</v>
      </c>
      <c r="AR30" s="13" t="n">
        <f aca="false">AQ63</f>
        <v>63.0500323396234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695</v>
      </c>
      <c r="E31" s="0" t="s">
        <v>149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34.9214645874907</v>
      </c>
      <c r="M31" s="13" t="n">
        <f aca="false">L64</f>
        <v>35.8179334067169</v>
      </c>
      <c r="N31" s="13" t="n">
        <f aca="false">M64</f>
        <v>37.085252026899</v>
      </c>
      <c r="O31" s="13" t="n">
        <f aca="false">N64</f>
        <v>38.9100967413902</v>
      </c>
      <c r="P31" s="13" t="n">
        <f aca="false">O64</f>
        <v>41.4247513033236</v>
      </c>
      <c r="Q31" s="13" t="n">
        <f aca="false">P64</f>
        <v>44.705188872565</v>
      </c>
      <c r="R31" s="13" t="n">
        <f aca="false">Q64</f>
        <v>48.8691122908921</v>
      </c>
      <c r="S31" s="13" t="n">
        <f aca="false">R64</f>
        <v>53.913564672138</v>
      </c>
      <c r="T31" s="13" t="n">
        <f aca="false">S64</f>
        <v>59.8546168337247</v>
      </c>
      <c r="U31" s="13" t="n">
        <f aca="false">T64</f>
        <v>66.6347187023965</v>
      </c>
      <c r="V31" s="13" t="n">
        <f aca="false">U64</f>
        <v>74.2192933747346</v>
      </c>
      <c r="W31" s="13" t="n">
        <f aca="false">V64</f>
        <v>82.5111587252303</v>
      </c>
      <c r="X31" s="13" t="n">
        <f aca="false">W64</f>
        <v>91.3912165176342</v>
      </c>
      <c r="Y31" s="13" t="n">
        <f aca="false">X64</f>
        <v>100.758185761902</v>
      </c>
      <c r="Z31" s="13" t="n">
        <f aca="false">Y64</f>
        <v>110.449374506804</v>
      </c>
      <c r="AA31" s="13" t="n">
        <f aca="false">Z64</f>
        <v>120.343651248279</v>
      </c>
      <c r="AB31" s="13" t="n">
        <f aca="false">AA64</f>
        <v>130.607192917288</v>
      </c>
      <c r="AC31" s="13" t="n">
        <f aca="false">AB64</f>
        <v>140.397340383112</v>
      </c>
      <c r="AD31" s="13" t="n">
        <f aca="false">AC64</f>
        <v>149.954787208863</v>
      </c>
      <c r="AE31" s="13" t="n">
        <f aca="false">AD64</f>
        <v>159.091071193685</v>
      </c>
      <c r="AF31" s="13" t="n">
        <f aca="false">AE64</f>
        <v>167.711200484274</v>
      </c>
      <c r="AG31" s="13" t="n">
        <f aca="false">AF64</f>
        <v>175.667865771659</v>
      </c>
      <c r="AH31" s="13" t="n">
        <f aca="false">AG64</f>
        <v>182.906285124439</v>
      </c>
      <c r="AI31" s="13" t="n">
        <f aca="false">AH64</f>
        <v>189.339777326356</v>
      </c>
      <c r="AJ31" s="13" t="n">
        <f aca="false">AI64</f>
        <v>194.908739836322</v>
      </c>
      <c r="AK31" s="13" t="n">
        <f aca="false">AJ64</f>
        <v>199.643252992213</v>
      </c>
      <c r="AL31" s="13" t="n">
        <f aca="false">AK64</f>
        <v>203.52822722484</v>
      </c>
      <c r="AM31" s="13" t="n">
        <f aca="false">AL64</f>
        <v>206.664544855391</v>
      </c>
      <c r="AN31" s="13" t="n">
        <f aca="false">AM64</f>
        <v>209.130309827157</v>
      </c>
      <c r="AO31" s="13" t="n">
        <f aca="false">AN64</f>
        <v>210.996284626515</v>
      </c>
      <c r="AP31" s="13" t="n">
        <f aca="false">AO64</f>
        <v>212.553776802483</v>
      </c>
      <c r="AQ31" s="13" t="n">
        <f aca="false">AP64</f>
        <v>227.821871346115</v>
      </c>
      <c r="AR31" s="13" t="n">
        <f aca="false">AQ64</f>
        <v>239.590122890569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696</v>
      </c>
      <c r="E32" s="0" t="s">
        <v>149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1.74223968585352E-011</v>
      </c>
      <c r="AT32" s="13" t="n">
        <f aca="false">AS65</f>
        <v>1.74223968585352E-011</v>
      </c>
      <c r="AU32" s="13" t="n">
        <f aca="false">AT65</f>
        <v>1.74223968585352E-011</v>
      </c>
      <c r="AV32" s="13" t="n">
        <f aca="false">AU65</f>
        <v>1.74223968585352E-011</v>
      </c>
      <c r="AW32" s="13" t="n">
        <f aca="false">AV65</f>
        <v>1.74223968585352E-011</v>
      </c>
      <c r="AX32" s="13" t="n">
        <f aca="false">AW65</f>
        <v>1.74223968585352E-011</v>
      </c>
      <c r="AY32" s="13" t="n">
        <f aca="false">AX65</f>
        <v>1.74223968585352E-011</v>
      </c>
      <c r="AZ32" s="13" t="n">
        <f aca="false">AY65</f>
        <v>1.74223968585352E-011</v>
      </c>
      <c r="BA32" s="13" t="n">
        <f aca="false">AZ65</f>
        <v>1.74223968585352E-011</v>
      </c>
      <c r="BB32" s="13" t="n">
        <f aca="false">BA65</f>
        <v>1.74223968585352E-011</v>
      </c>
      <c r="BC32" s="13" t="n">
        <f aca="false">BB65</f>
        <v>1.74223968585352E-011</v>
      </c>
      <c r="BD32" s="13" t="n">
        <f aca="false">BC65</f>
        <v>1.74223968585352E-011</v>
      </c>
      <c r="BE32" s="13" t="n">
        <f aca="false">BD65</f>
        <v>1.74223968585352E-011</v>
      </c>
      <c r="BF32" s="13" t="n">
        <f aca="false">BE65</f>
        <v>1.74223968585352E-011</v>
      </c>
      <c r="BG32" s="13" t="n">
        <f aca="false">BF65</f>
        <v>1.74223968585352E-011</v>
      </c>
      <c r="BH32" s="13" t="n">
        <f aca="false">BG65</f>
        <v>1.74223968585352E-011</v>
      </c>
      <c r="BI32" s="13" t="n">
        <f aca="false">BH65</f>
        <v>1.74223968585352E-011</v>
      </c>
      <c r="BJ32" s="13" t="n">
        <f aca="false">BI65</f>
        <v>1.74223968585352E-011</v>
      </c>
    </row>
    <row r="33" customFormat="false" ht="15" hidden="false" customHeight="false" outlineLevel="0" collapsed="false">
      <c r="D33" s="0" t="s">
        <v>697</v>
      </c>
      <c r="E33" s="0" t="s">
        <v>149</v>
      </c>
      <c r="G33" s="13" t="n">
        <f aca="false">SUM(J33:BJ33)</f>
        <v>12.4338223254569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0.0918756163719574</v>
      </c>
      <c r="M33" s="13" t="n">
        <f aca="false">Construction!M14*M28*(Construction!M17+Inputs!$F$79)/100*Construction!M11/Inputs!$F$247*1</f>
        <v>0.0911943436078911</v>
      </c>
      <c r="N33" s="13" t="n">
        <f aca="false">Construction!N14*N28*(Construction!N17+Inputs!$F$79)/100*Construction!N11/Inputs!$F$247*1</f>
        <v>0.0975683702997165</v>
      </c>
      <c r="O33" s="13" t="n">
        <f aca="false">Construction!O14*O28*(Construction!O17+Inputs!$F$79)/100*Construction!O11/Inputs!$F$247*1</f>
        <v>0.109511443328729</v>
      </c>
      <c r="P33" s="13" t="n">
        <f aca="false">Construction!P14*P28*(Construction!P17+Inputs!$F$79)/100*Construction!P11/Inputs!$F$247*1</f>
        <v>0.105306078313186</v>
      </c>
      <c r="Q33" s="13" t="n">
        <f aca="false">Construction!Q14*Q28*(Construction!Q17+Inputs!$F$79)/100*Construction!Q11/Inputs!$F$247*1</f>
        <v>0.125821577629495</v>
      </c>
      <c r="R33" s="13" t="n">
        <f aca="false">Construction!R14*R28*(Construction!R17+Inputs!$F$79)/100*Construction!R11/Inputs!$F$247*1</f>
        <v>0.13310402952914</v>
      </c>
      <c r="S33" s="13" t="n">
        <f aca="false">Construction!S14*S28*(Construction!S17+Inputs!$F$79)/100*Construction!S11/Inputs!$F$247*1</f>
        <v>0.151738308991715</v>
      </c>
      <c r="T33" s="13" t="n">
        <f aca="false">Construction!T14*T28*(Construction!T17+Inputs!$F$79)/100*Construction!T11/Inputs!$F$247*1</f>
        <v>0.163025074797119</v>
      </c>
      <c r="U33" s="13" t="n">
        <f aca="false">Construction!U14*U28*(Construction!U17+Inputs!$F$79)/100*Construction!U11/Inputs!$F$247*1</f>
        <v>0.194336650005081</v>
      </c>
      <c r="V33" s="13" t="n">
        <f aca="false">Construction!V14*V28*(Construction!V17+Inputs!$F$79)/100*Construction!V11/Inputs!$F$247*1</f>
        <v>0.216456662848815</v>
      </c>
      <c r="W33" s="13" t="n">
        <f aca="false">Construction!W14*W28*(Construction!W17+Inputs!$F$79)/100*Construction!W11/Inputs!$F$247*1</f>
        <v>0.232876888770551</v>
      </c>
      <c r="X33" s="13" t="n">
        <f aca="false">Construction!X14*X28*(Construction!X17+Inputs!$F$79)/100*Construction!X11/Inputs!$F$247*1</f>
        <v>0.266537672909653</v>
      </c>
      <c r="Y33" s="13" t="n">
        <f aca="false">Construction!Y14*Y28*(Construction!Y17+Inputs!$F$79)/100*Construction!Y11/Inputs!$F$247*1</f>
        <v>0.284376721656946</v>
      </c>
      <c r="Z33" s="13" t="n">
        <f aca="false">Construction!Z14*Z28*(Construction!Z17+Inputs!$F$79)/100*Construction!Z11/Inputs!$F$247*1</f>
        <v>0.32211978762412</v>
      </c>
      <c r="AA33" s="13" t="n">
        <f aca="false">Construction!AA14*AA28*(Construction!AA17+Inputs!$F$79)/100*Construction!AA11/Inputs!$F$247*1</f>
        <v>0.35752093058343</v>
      </c>
      <c r="AB33" s="13" t="n">
        <f aca="false">Construction!AB14*AB28*(Construction!AB17+Inputs!$F$79)/100*Construction!AB11/Inputs!$F$247*1</f>
        <v>0.362979156982631</v>
      </c>
      <c r="AC33" s="13" t="n">
        <f aca="false">Construction!AC14*AC28*(Construction!AC17+Inputs!$F$79)/100*Construction!AC11/Inputs!$F$247*1</f>
        <v>0.417097098721496</v>
      </c>
      <c r="AD33" s="13" t="n">
        <f aca="false">Construction!AD14*AD28*(Construction!AD17+Inputs!$F$79)/100*Construction!AD11/Inputs!$F$247*1</f>
        <v>0.431120013225481</v>
      </c>
      <c r="AE33" s="13" t="n">
        <f aca="false">Construction!AE14*AE28*(Construction!AE17+Inputs!$F$79)/100*Construction!AE11/Inputs!$F$247*1</f>
        <v>0.472633057337907</v>
      </c>
      <c r="AF33" s="13" t="n">
        <f aca="false">Construction!AF14*AF28*(Construction!AF17+Inputs!$F$79)/100*Construction!AF11/Inputs!$F$247*1</f>
        <v>0.482169701392287</v>
      </c>
      <c r="AG33" s="13" t="n">
        <f aca="false">Construction!AG14*AG28*(Construction!AG17+Inputs!$F$79)/100*Construction!AG11/Inputs!$F$247*1</f>
        <v>0.526656884422005</v>
      </c>
      <c r="AH33" s="13" t="n">
        <f aca="false">Construction!AH14*AH28*(Construction!AH17+Inputs!$F$79)/100*Construction!AH11/Inputs!$F$247*1</f>
        <v>0.548357856126361</v>
      </c>
      <c r="AI33" s="13" t="n">
        <f aca="false">Construction!AI14*AI28*(Construction!AI17+Inputs!$F$79)/100*Construction!AI11/Inputs!$F$247*1</f>
        <v>0.549334485532388</v>
      </c>
      <c r="AJ33" s="13" t="n">
        <f aca="false">Construction!AJ14*AJ28*(Construction!AJ17+Inputs!$F$79)/100*Construction!AJ11/Inputs!$F$247*1</f>
        <v>0.584341531206656</v>
      </c>
      <c r="AK33" s="13" t="n">
        <f aca="false">Construction!AK14*AK28*(Construction!AK17+Inputs!$F$79)/100*Construction!AK11/Inputs!$F$247*1</f>
        <v>0.579228122168195</v>
      </c>
      <c r="AL33" s="13" t="n">
        <f aca="false">Construction!AL14*AL28*(Construction!AL17+Inputs!$F$79)/100*Construction!AL11/Inputs!$F$247*1</f>
        <v>0.61018298122605</v>
      </c>
      <c r="AM33" s="13" t="n">
        <f aca="false">Construction!AM14*AM28*(Construction!AM17+Inputs!$F$79)/100*Construction!AM11/Inputs!$F$247*1</f>
        <v>0.623800613024035</v>
      </c>
      <c r="AN33" s="13" t="n">
        <f aca="false">Construction!AN14*AN28*(Construction!AN17+Inputs!$F$79)/100*Construction!AN11/Inputs!$F$247*1</f>
        <v>0.570155265739301</v>
      </c>
      <c r="AO33" s="13" t="n">
        <f aca="false">Construction!AO14*AO28*(Construction!AO17+Inputs!$F$79)/100*Construction!AO11/Inputs!$F$247*1</f>
        <v>0.636875627543719</v>
      </c>
      <c r="AP33" s="13" t="n">
        <f aca="false">Construction!AP14*AP28*(Construction!AP17+Inputs!$F$79)/100*Construction!AP11/Inputs!$F$247*1</f>
        <v>0.620880769080938</v>
      </c>
      <c r="AQ33" s="13" t="n">
        <f aca="false">Construction!AQ14*AQ28*(Construction!AQ17+Inputs!$F$79)/100*Construction!AQ11/Inputs!$F$247*1</f>
        <v>0.687662332721037</v>
      </c>
      <c r="AR33" s="13" t="n">
        <f aca="false">Construction!AR14*AR28*(Construction!AR17+Inputs!$F$79)/100*Construction!AR11/Inputs!$F$247*1</f>
        <v>0.699855358969819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698</v>
      </c>
      <c r="E34" s="0" t="s">
        <v>149</v>
      </c>
      <c r="G34" s="13" t="n">
        <f aca="false">SUM(J34:BJ34)</f>
        <v>13.9280603473294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0.107417710304302</v>
      </c>
      <c r="M34" s="13" t="n">
        <f aca="false">Construction!M14*M29*(Construction!M17+Inputs!$F$80)/100*Construction!M11/Inputs!$F$247*1</f>
        <v>0.106621190364644</v>
      </c>
      <c r="N34" s="13" t="n">
        <f aca="false">Construction!N14*N29*(Construction!N17+Inputs!$F$80)/100*Construction!N11/Inputs!$F$247*1</f>
        <v>0.114073476179875</v>
      </c>
      <c r="O34" s="13" t="n">
        <f aca="false">Construction!O14*O29*(Construction!O17+Inputs!$F$80)/100*Construction!O11/Inputs!$F$247*1</f>
        <v>0.124924164982401</v>
      </c>
      <c r="P34" s="13" t="n">
        <f aca="false">Construction!P14*P29*(Construction!P17+Inputs!$F$80)/100*Construction!P11/Inputs!$F$247*1</f>
        <v>0.120126933779486</v>
      </c>
      <c r="Q34" s="13" t="n">
        <f aca="false">Construction!Q14*Q29*(Construction!Q17+Inputs!$F$80)/100*Construction!Q11/Inputs!$F$247*1</f>
        <v>0.143529799666239</v>
      </c>
      <c r="R34" s="13" t="n">
        <f aca="false">Construction!R14*R29*(Construction!R17+Inputs!$F$80)/100*Construction!R11/Inputs!$F$247*1</f>
        <v>0.151837189240649</v>
      </c>
      <c r="S34" s="13" t="n">
        <f aca="false">Construction!S14*S29*(Construction!S17+Inputs!$F$80)/100*Construction!S11/Inputs!$F$247*1</f>
        <v>0.173094070997956</v>
      </c>
      <c r="T34" s="13" t="n">
        <f aca="false">Construction!T14*T29*(Construction!T17+Inputs!$F$80)/100*Construction!T11/Inputs!$F$247*1</f>
        <v>0.18596934458338</v>
      </c>
      <c r="U34" s="13" t="n">
        <f aca="false">Construction!U14*U29*(Construction!U17+Inputs!$F$80)/100*Construction!U11/Inputs!$F$247*1</f>
        <v>0.21891940573222</v>
      </c>
      <c r="V34" s="13" t="n">
        <f aca="false">Construction!V14*V29*(Construction!V17+Inputs!$F$80)/100*Construction!V11/Inputs!$F$247*1</f>
        <v>0.243837505670716</v>
      </c>
      <c r="W34" s="13" t="n">
        <f aca="false">Construction!W14*W29*(Construction!W17+Inputs!$F$80)/100*Construction!W11/Inputs!$F$247*1</f>
        <v>0.262334819999647</v>
      </c>
      <c r="X34" s="13" t="n">
        <f aca="false">Construction!X14*X29*(Construction!X17+Inputs!$F$80)/100*Construction!X11/Inputs!$F$247*1</f>
        <v>0.30025354948284</v>
      </c>
      <c r="Y34" s="13" t="n">
        <f aca="false">Construction!Y14*Y29*(Construction!Y17+Inputs!$F$80)/100*Construction!Y11/Inputs!$F$247*1</f>
        <v>0.320349161661415</v>
      </c>
      <c r="Z34" s="13" t="n">
        <f aca="false">Construction!Z14*Z29*(Construction!Z17+Inputs!$F$80)/100*Construction!Z11/Inputs!$F$247*1</f>
        <v>0.362866564178283</v>
      </c>
      <c r="AA34" s="13" t="n">
        <f aca="false">Construction!AA14*AA29*(Construction!AA17+Inputs!$F$80)/100*Construction!AA11/Inputs!$F$247*1</f>
        <v>0.40017255037233</v>
      </c>
      <c r="AB34" s="13" t="n">
        <f aca="false">Construction!AB14*AB29*(Construction!AB17+Inputs!$F$80)/100*Construction!AB11/Inputs!$F$247*1</f>
        <v>0.40628193360512</v>
      </c>
      <c r="AC34" s="13" t="n">
        <f aca="false">Construction!AC14*AC29*(Construction!AC17+Inputs!$F$80)/100*Construction!AC11/Inputs!$F$247*1</f>
        <v>0.466856050849675</v>
      </c>
      <c r="AD34" s="13" t="n">
        <f aca="false">Construction!AD14*AD29*(Construction!AD17+Inputs!$F$80)/100*Construction!AD11/Inputs!$F$247*1</f>
        <v>0.48255187445238</v>
      </c>
      <c r="AE34" s="13" t="n">
        <f aca="false">Construction!AE14*AE29*(Construction!AE17+Inputs!$F$80)/100*Construction!AE11/Inputs!$F$247*1</f>
        <v>0.529017351897517</v>
      </c>
      <c r="AF34" s="13" t="n">
        <f aca="false">Construction!AF14*AF29*(Construction!AF17+Inputs!$F$80)/100*Construction!AF11/Inputs!$F$247*1</f>
        <v>0.53969170085663</v>
      </c>
      <c r="AG34" s="13" t="n">
        <f aca="false">Construction!AG14*AG29*(Construction!AG17+Inputs!$F$80)/100*Construction!AG11/Inputs!$F$247*1</f>
        <v>0.587642398173669</v>
      </c>
      <c r="AH34" s="13" t="n">
        <f aca="false">Construction!AH14*AH29*(Construction!AH17+Inputs!$F$80)/100*Construction!AH11/Inputs!$F$247*1</f>
        <v>0.611856286631696</v>
      </c>
      <c r="AI34" s="13" t="n">
        <f aca="false">Construction!AI14*AI29*(Construction!AI17+Inputs!$F$80)/100*Construction!AI11/Inputs!$F$247*1</f>
        <v>0.612946007213085</v>
      </c>
      <c r="AJ34" s="13" t="n">
        <f aca="false">Construction!AJ14*AJ29*(Construction!AJ17+Inputs!$F$80)/100*Construction!AJ11/Inputs!$F$247*1</f>
        <v>0.652006778811237</v>
      </c>
      <c r="AK34" s="13" t="n">
        <f aca="false">Construction!AK14*AK29*(Construction!AK17+Inputs!$F$80)/100*Construction!AK11/Inputs!$F$247*1</f>
        <v>0.646301250147158</v>
      </c>
      <c r="AL34" s="13" t="n">
        <f aca="false">Construction!AL14*AL29*(Construction!AL17+Inputs!$F$80)/100*Construction!AL11/Inputs!$F$247*1</f>
        <v>0.680840602332498</v>
      </c>
      <c r="AM34" s="13" t="n">
        <f aca="false">Construction!AM14*AM29*(Construction!AM17+Inputs!$F$80)/100*Construction!AM11/Inputs!$F$247*1</f>
        <v>0.694423084828858</v>
      </c>
      <c r="AN34" s="13" t="n">
        <f aca="false">Construction!AN14*AN29*(Construction!AN17+Inputs!$F$80)/100*Construction!AN11/Inputs!$F$247*1</f>
        <v>0.634704375404081</v>
      </c>
      <c r="AO34" s="13" t="n">
        <f aca="false">Construction!AO14*AO29*(Construction!AO17+Inputs!$F$80)/100*Construction!AO11/Inputs!$F$247*1</f>
        <v>0.708978363755125</v>
      </c>
      <c r="AP34" s="13" t="n">
        <f aca="false">Construction!AP14*AP29*(Construction!AP17+Inputs!$F$80)/100*Construction!AP11/Inputs!$F$247*1</f>
        <v>0.691172675970882</v>
      </c>
      <c r="AQ34" s="13" t="n">
        <f aca="false">Construction!AQ14*AQ29*(Construction!AQ17+Inputs!$F$80)/100*Construction!AQ11/Inputs!$F$247*1</f>
        <v>0.76551479501408</v>
      </c>
      <c r="AR34" s="13" t="n">
        <f aca="false">Construction!AR14*AR29*(Construction!AR17+Inputs!$F$80)/100*Construction!AR11/Inputs!$F$247*1</f>
        <v>0.77908823294328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699</v>
      </c>
      <c r="E35" s="0" t="s">
        <v>149</v>
      </c>
      <c r="G35" s="13" t="n">
        <f aca="false">SUM(J35:BJ35)</f>
        <v>6.0932920563292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0.0468478595109378</v>
      </c>
      <c r="M35" s="13" t="n">
        <f aca="false">Construction!M14*M30*(Construction!M17+Inputs!$F$81)/100*Construction!M11/Inputs!$F$247*1</f>
        <v>0.0465004749490711</v>
      </c>
      <c r="N35" s="13" t="n">
        <f aca="false">Construction!N14*N30*(Construction!N17+Inputs!$F$81)/100*Construction!N11/Inputs!$F$247*1</f>
        <v>0.0497506246489511</v>
      </c>
      <c r="O35" s="13" t="n">
        <f aca="false">Construction!O14*O30*(Construction!O17+Inputs!$F$81)/100*Construction!O11/Inputs!$F$247*1</f>
        <v>0.0545793747346884</v>
      </c>
      <c r="P35" s="13" t="n">
        <f aca="false">Construction!P14*P30*(Construction!P17+Inputs!$F$81)/100*Construction!P11/Inputs!$F$247*1</f>
        <v>0.0524834641512576</v>
      </c>
      <c r="Q35" s="13" t="n">
        <f aca="false">Construction!Q14*Q30*(Construction!Q17+Inputs!$F$81)/100*Construction!Q11/Inputs!$F$247*1</f>
        <v>0.0627081775786294</v>
      </c>
      <c r="R35" s="13" t="n">
        <f aca="false">Construction!R14*R30*(Construction!R17+Inputs!$F$81)/100*Construction!R11/Inputs!$F$247*1</f>
        <v>0.066337676552768</v>
      </c>
      <c r="S35" s="13" t="n">
        <f aca="false">Construction!S14*S30*(Construction!S17+Inputs!$F$81)/100*Construction!S11/Inputs!$F$247*1</f>
        <v>0.0756248093928112</v>
      </c>
      <c r="T35" s="13" t="n">
        <f aca="false">Construction!T14*T30*(Construction!T17+Inputs!$F$81)/100*Construction!T11/Inputs!$F$247*1</f>
        <v>0.0812500171492886</v>
      </c>
      <c r="U35" s="13" t="n">
        <f aca="false">Construction!U14*U30*(Construction!U17+Inputs!$F$81)/100*Construction!U11/Inputs!$F$247*1</f>
        <v>0.0957338275860308</v>
      </c>
      <c r="V35" s="13" t="n">
        <f aca="false">Construction!V14*V30*(Construction!V17+Inputs!$F$81)/100*Construction!V11/Inputs!$F$247*1</f>
        <v>0.106630554969812</v>
      </c>
      <c r="W35" s="13" t="n">
        <f aca="false">Construction!W14*W30*(Construction!W17+Inputs!$F$81)/100*Construction!W11/Inputs!$F$247*1</f>
        <v>0.114719461911833</v>
      </c>
      <c r="X35" s="13" t="n">
        <f aca="false">Construction!X14*X30*(Construction!X17+Inputs!$F$81)/100*Construction!X11/Inputs!$F$247*1</f>
        <v>0.131301386654794</v>
      </c>
      <c r="Y35" s="13" t="n">
        <f aca="false">Construction!Y14*Y30*(Construction!Y17+Inputs!$F$81)/100*Construction!Y11/Inputs!$F$247*1</f>
        <v>0.140089231958434</v>
      </c>
      <c r="Z35" s="13" t="n">
        <f aca="false">Construction!Z14*Z30*(Construction!Z17+Inputs!$F$81)/100*Construction!Z11/Inputs!$F$247*1</f>
        <v>0.158682164221983</v>
      </c>
      <c r="AA35" s="13" t="n">
        <f aca="false">Construction!AA14*AA30*(Construction!AA17+Inputs!$F$81)/100*Construction!AA11/Inputs!$F$247*1</f>
        <v>0.175078899644975</v>
      </c>
      <c r="AB35" s="13" t="n">
        <f aca="false">Construction!AB14*AB30*(Construction!AB17+Inputs!$F$81)/100*Construction!AB11/Inputs!$F$247*1</f>
        <v>0.177751806851906</v>
      </c>
      <c r="AC35" s="13" t="n">
        <f aca="false">Construction!AC14*AC30*(Construction!AC17+Inputs!$F$81)/100*Construction!AC11/Inputs!$F$247*1</f>
        <v>0.20425349914508</v>
      </c>
      <c r="AD35" s="13" t="n">
        <f aca="false">Construction!AD14*AD30*(Construction!AD17+Inputs!$F$81)/100*Construction!AD11/Inputs!$F$247*1</f>
        <v>0.211120555675636</v>
      </c>
      <c r="AE35" s="13" t="n">
        <f aca="false">Construction!AE14*AE30*(Construction!AE17+Inputs!$F$81)/100*Construction!AE11/Inputs!$F$247*1</f>
        <v>0.231449597872568</v>
      </c>
      <c r="AF35" s="13" t="n">
        <f aca="false">Construction!AF14*AF30*(Construction!AF17+Inputs!$F$81)/100*Construction!AF11/Inputs!$F$247*1</f>
        <v>0.23611971647128</v>
      </c>
      <c r="AG35" s="13" t="n">
        <f aca="false">Construction!AG14*AG30*(Construction!AG17+Inputs!$F$81)/100*Construction!AG11/Inputs!$F$247*1</f>
        <v>0.257158236837956</v>
      </c>
      <c r="AH35" s="13" t="n">
        <f aca="false">Construction!AH14*AH30*(Construction!AH17+Inputs!$F$81)/100*Construction!AH11/Inputs!$F$247*1</f>
        <v>0.267754478501609</v>
      </c>
      <c r="AI35" s="13" t="n">
        <f aca="false">Construction!AI14*AI30*(Construction!AI17+Inputs!$F$81)/100*Construction!AI11/Inputs!$F$247*1</f>
        <v>0.268231351212338</v>
      </c>
      <c r="AJ35" s="13" t="n">
        <f aca="false">Construction!AJ14*AJ30*(Construction!AJ17+Inputs!$F$81)/100*Construction!AJ11/Inputs!$F$247*1</f>
        <v>0.285324738593726</v>
      </c>
      <c r="AK35" s="13" t="n">
        <f aca="false">Construction!AK14*AK30*(Construction!AK17+Inputs!$F$81)/100*Construction!AK11/Inputs!$F$247*1</f>
        <v>0.282827941738968</v>
      </c>
      <c r="AL35" s="13" t="n">
        <f aca="false">Construction!AL14*AL30*(Construction!AL17+Inputs!$F$81)/100*Construction!AL11/Inputs!$F$247*1</f>
        <v>0.297942710409696</v>
      </c>
      <c r="AM35" s="13" t="n">
        <f aca="false">Construction!AM14*AM30*(Construction!AM17+Inputs!$F$81)/100*Construction!AM11/Inputs!$F$247*1</f>
        <v>0.303938887276726</v>
      </c>
      <c r="AN35" s="13" t="n">
        <f aca="false">Construction!AN14*AN30*(Construction!AN17+Inputs!$F$81)/100*Construction!AN11/Inputs!$F$247*1</f>
        <v>0.27780087647508</v>
      </c>
      <c r="AO35" s="13" t="n">
        <f aca="false">Construction!AO14*AO30*(Construction!AO17+Inputs!$F$81)/100*Construction!AO11/Inputs!$F$247*1</f>
        <v>0.310309521228133</v>
      </c>
      <c r="AP35" s="13" t="n">
        <f aca="false">Construction!AP14*AP30*(Construction!AP17+Inputs!$F$81)/100*Construction!AP11/Inputs!$F$247*1</f>
        <v>0.302516230580727</v>
      </c>
      <c r="AQ35" s="13" t="n">
        <f aca="false">Construction!AQ14*AQ30*(Construction!AQ17+Inputs!$F$81)/100*Construction!AQ11/Inputs!$F$247*1</f>
        <v>0.335054695147112</v>
      </c>
      <c r="AR35" s="13" t="n">
        <f aca="false">Construction!AR14*AR30*(Construction!AR17+Inputs!$F$81)/100*Construction!AR11/Inputs!$F$247*1</f>
        <v>0.34099559157013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700</v>
      </c>
      <c r="E36" s="0" t="s">
        <v>149</v>
      </c>
      <c r="G36" s="13" t="n">
        <f aca="false">SUM(J36:BJ36)</f>
        <v>28.5367188040118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0.221190832180396</v>
      </c>
      <c r="M36" s="13" t="n">
        <f aca="false">Construction!M14*M31*(Construction!M17+Inputs!$F$82)/100*Construction!M11/Inputs!$F$247*(1/(1-Inputs!$F$93/100))</f>
        <v>0.219550665881913</v>
      </c>
      <c r="N36" s="13" t="n">
        <f aca="false">Construction!N14*N31*(Construction!N17+Inputs!$F$82)/100*Construction!N11/Inputs!$F$247*(1/(1-Inputs!$F$93/100))</f>
        <v>0.234896154967908</v>
      </c>
      <c r="O36" s="13" t="n">
        <f aca="false">Construction!O14*O31*(Construction!O17+Inputs!$F$82)/100*Construction!O11/Inputs!$F$247*(1/(1-Inputs!$F$93/100))</f>
        <v>0.256506406265233</v>
      </c>
      <c r="P36" s="13" t="n">
        <f aca="false">Construction!P14*P31*(Construction!P17+Inputs!$F$82)/100*Construction!P11/Inputs!$F$247*(1/(1-Inputs!$F$93/100))</f>
        <v>0.24665626609374</v>
      </c>
      <c r="Q36" s="13" t="n">
        <f aca="false">Construction!Q14*Q31*(Construction!Q17+Inputs!$F$82)/100*Construction!Q11/Inputs!$F$247*(1/(1-Inputs!$F$93/100))</f>
        <v>0.294709299113925</v>
      </c>
      <c r="R36" s="13" t="n">
        <f aca="false">Construction!R14*R31*(Construction!R17+Inputs!$F$82)/100*Construction!R11/Inputs!$F$247*(1/(1-Inputs!$F$93/100))</f>
        <v>0.311766836744673</v>
      </c>
      <c r="S36" s="13" t="n">
        <f aca="false">Construction!S14*S31*(Construction!S17+Inputs!$F$82)/100*Construction!S11/Inputs!$F$247*(1/(1-Inputs!$F$93/100))</f>
        <v>0.355413527108703</v>
      </c>
      <c r="T36" s="13" t="n">
        <f aca="false">Construction!T14*T31*(Construction!T17+Inputs!$F$82)/100*Construction!T11/Inputs!$F$247*(1/(1-Inputs!$F$93/100))</f>
        <v>0.381850287022559</v>
      </c>
      <c r="U36" s="13" t="n">
        <f aca="false">Construction!U14*U31*(Construction!U17+Inputs!$F$82)/100*Construction!U11/Inputs!$F$247*(1/(1-Inputs!$F$93/100))</f>
        <v>0.448838302765772</v>
      </c>
      <c r="V36" s="13" t="n">
        <f aca="false">Construction!V14*V31*(Construction!V17+Inputs!$F$82)/100*Construction!V11/Inputs!$F$247*(1/(1-Inputs!$F$93/100))</f>
        <v>0.499926499571052</v>
      </c>
      <c r="W36" s="13" t="n">
        <f aca="false">Construction!W14*W31*(Construction!W17+Inputs!$F$82)/100*Construction!W11/Inputs!$F$247*(1/(1-Inputs!$F$93/100))</f>
        <v>0.537850516134835</v>
      </c>
      <c r="X36" s="13" t="n">
        <f aca="false">Construction!X14*X31*(Construction!X17+Inputs!$F$82)/100*Construction!X11/Inputs!$F$247*(1/(1-Inputs!$F$93/100))</f>
        <v>0.615593181876805</v>
      </c>
      <c r="Y36" s="13" t="n">
        <f aca="false">Construction!Y14*Y31*(Construction!Y17+Inputs!$F$82)/100*Construction!Y11/Inputs!$F$247*(1/(1-Inputs!$F$93/100))</f>
        <v>0.656794099781285</v>
      </c>
      <c r="Z36" s="13" t="n">
        <f aca="false">Construction!Z14*Z31*(Construction!Z17+Inputs!$F$82)/100*Construction!Z11/Inputs!$F$247*(1/(1-Inputs!$F$93/100))</f>
        <v>0.743965169517437</v>
      </c>
      <c r="AA36" s="13" t="n">
        <f aca="false">Construction!AA14*AA31*(Construction!AA17+Inputs!$F$82)/100*Construction!AA11/Inputs!$F$247*(1/(1-Inputs!$F$93/100))</f>
        <v>0.819822552577784</v>
      </c>
      <c r="AB36" s="13" t="n">
        <f aca="false">Construction!AB14*AB31*(Construction!AB17+Inputs!$F$82)/100*Construction!AB11/Inputs!$F$247*(1/(1-Inputs!$F$93/100))</f>
        <v>0.832338678813633</v>
      </c>
      <c r="AC36" s="13" t="n">
        <f aca="false">Construction!AC14*AC31*(Construction!AC17+Inputs!$F$82)/100*Construction!AC11/Inputs!$F$247*(1/(1-Inputs!$F$93/100))</f>
        <v>0.95643521510372</v>
      </c>
      <c r="AD36" s="13" t="n">
        <f aca="false">Construction!AD14*AD31*(Construction!AD17+Inputs!$F$82)/100*Construction!AD11/Inputs!$F$247*(1/(1-Inputs!$F$93/100))</f>
        <v>0.988590819376948</v>
      </c>
      <c r="AE36" s="13" t="n">
        <f aca="false">Construction!AE14*AE31*(Construction!AE17+Inputs!$F$82)/100*Construction!AE11/Inputs!$F$247*(1/(1-Inputs!$F$93/100))</f>
        <v>1.08378337141575</v>
      </c>
      <c r="AF36" s="13" t="n">
        <f aca="false">Construction!AF14*AF31*(Construction!AF17+Inputs!$F$82)/100*Construction!AF11/Inputs!$F$247*(1/(1-Inputs!$F$93/100))</f>
        <v>1.10565161800743</v>
      </c>
      <c r="AG36" s="13" t="n">
        <f aca="false">Construction!AG14*AG31*(Construction!AG17+Inputs!$F$82)/100*Construction!AG11/Inputs!$F$247*(1/(1-Inputs!$F$93/100))</f>
        <v>1.20343331749004</v>
      </c>
      <c r="AH36" s="13" t="n">
        <f aca="false">Construction!AH14*AH31*(Construction!AH17+Inputs!$F$82)/100*Construction!AH11/Inputs!$F$247*(1/(1-Inputs!$F$93/100))</f>
        <v>1.25302095821668</v>
      </c>
      <c r="AI36" s="13" t="n">
        <f aca="false">Construction!AI14*AI31*(Construction!AI17+Inputs!$F$82)/100*Construction!AI11/Inputs!$F$247*(1/(1-Inputs!$F$93/100))</f>
        <v>1.25525259783029</v>
      </c>
      <c r="AJ36" s="13" t="n">
        <f aca="false">Construction!AJ14*AJ31*(Construction!AJ17+Inputs!$F$82)/100*Construction!AJ11/Inputs!$F$247*(1/(1-Inputs!$F$93/100))</f>
        <v>1.33524518191574</v>
      </c>
      <c r="AK36" s="13" t="n">
        <f aca="false">Construction!AK14*AK31*(Construction!AK17+Inputs!$F$82)/100*Construction!AK11/Inputs!$F$247*(1/(1-Inputs!$F$93/100))</f>
        <v>1.32356082539282</v>
      </c>
      <c r="AL36" s="13" t="n">
        <f aca="false">Construction!AL14*AL31*(Construction!AL17+Inputs!$F$82)/100*Construction!AL11/Inputs!$F$247*(1/(1-Inputs!$F$93/100))</f>
        <v>1.39429399119832</v>
      </c>
      <c r="AM36" s="13" t="n">
        <f aca="false">Construction!AM14*AM31*(Construction!AM17+Inputs!$F$82)/100*Construction!AM11/Inputs!$F$247*(1/(1-Inputs!$F$93/100))</f>
        <v>1.42171174082772</v>
      </c>
      <c r="AN36" s="13" t="n">
        <f aca="false">Construction!AN14*AN31*(Construction!AN17+Inputs!$F$82)/100*Construction!AN11/Inputs!$F$247*(1/(1-Inputs!$F$93/100))</f>
        <v>1.29944796217294</v>
      </c>
      <c r="AO36" s="13" t="n">
        <f aca="false">Construction!AO14*AO31*(Construction!AO17+Inputs!$F$82)/100*Construction!AO11/Inputs!$F$247*(1/(1-Inputs!$F$93/100))</f>
        <v>1.45151116914827</v>
      </c>
      <c r="AP36" s="13" t="n">
        <f aca="false">Construction!AP14*AP31*(Construction!AP17+Inputs!$F$82)/100*Construction!AP11/Inputs!$F$247*(1/(1-Inputs!$F$93/100))</f>
        <v>1.41505708815727</v>
      </c>
      <c r="AQ36" s="13" t="n">
        <f aca="false">Construction!AQ14*AQ31*(Construction!AQ17+Inputs!$F$82)/100*Construction!AQ11/Inputs!$F$247*(1/(1-Inputs!$F$93/100))</f>
        <v>1.56725978099801</v>
      </c>
      <c r="AR36" s="13" t="n">
        <f aca="false">Construction!AR14*AR31*(Construction!AR17+Inputs!$F$82)/100*Construction!AR11/Inputs!$F$247*(1/(1-Inputs!$F$93/100))</f>
        <v>1.59504905887332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701</v>
      </c>
      <c r="E37" s="0" t="s">
        <v>149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702</v>
      </c>
      <c r="E38" s="0" t="s">
        <v>149</v>
      </c>
      <c r="G38" s="13" t="n">
        <f aca="false">SUM(J38:BJ38)</f>
        <v>3.68740871632844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0.030697402501086</v>
      </c>
      <c r="M38" s="13" t="n">
        <f aca="false">Construction!M14*(Inputs!$F$95/100*Inputs!$F$96/100)*M31*Construction!M11/Inputs!$F$248</f>
        <v>0.0304697762268099</v>
      </c>
      <c r="N38" s="13" t="n">
        <f aca="false">Construction!N14*(Inputs!$F$95/100*Inputs!$F$96/100)*N31*Construction!N11/Inputs!$F$248</f>
        <v>0.0325994605830974</v>
      </c>
      <c r="O38" s="13" t="n">
        <f aca="false">Construction!O14*(Inputs!$F$95/100*Inputs!$F$96/100)*O31*Construction!O11/Inputs!$F$248</f>
        <v>0.0342035740807536</v>
      </c>
      <c r="P38" s="13" t="n">
        <f aca="false">Construction!P14*(Inputs!$F$95/100*Inputs!$F$96/100)*P31*Construction!P11/Inputs!$F$248</f>
        <v>0.0328901176101457</v>
      </c>
      <c r="Q38" s="13" t="n">
        <f aca="false">Construction!Q14*(Inputs!$F$95/100*Inputs!$F$96/100)*Q31*Construction!Q11/Inputs!$F$248</f>
        <v>0.0392976982185274</v>
      </c>
      <c r="R38" s="13" t="n">
        <f aca="false">Construction!R14*(Inputs!$F$95/100*Inputs!$F$96/100)*R31*Construction!R11/Inputs!$F$248</f>
        <v>0.0415722174419781</v>
      </c>
      <c r="S38" s="13" t="n">
        <f aca="false">Construction!S14*(Inputs!$F$95/100*Inputs!$F$96/100)*S31*Construction!S11/Inputs!$F$248</f>
        <v>0.0473922389727548</v>
      </c>
      <c r="T38" s="13" t="n">
        <f aca="false">Construction!T14*(Inputs!$F$95/100*Inputs!$F$96/100)*T31*Construction!T11/Inputs!$F$248</f>
        <v>0.0509174206215658</v>
      </c>
      <c r="U38" s="13" t="n">
        <f aca="false">Construction!U14*(Inputs!$F$95/100*Inputs!$F$96/100)*U31*Construction!U11/Inputs!$F$248</f>
        <v>0.0585746561525039</v>
      </c>
      <c r="V38" s="13" t="n">
        <f aca="false">Construction!V14*(Inputs!$F$95/100*Inputs!$F$96/100)*V31*Construction!V11/Inputs!$F$248</f>
        <v>0.0652418089843387</v>
      </c>
      <c r="W38" s="13" t="n">
        <f aca="false">Construction!W14*(Inputs!$F$95/100*Inputs!$F$96/100)*W31*Construction!W11/Inputs!$F$248</f>
        <v>0.0701909994087233</v>
      </c>
      <c r="X38" s="13" t="n">
        <f aca="false">Construction!X14*(Inputs!$F$95/100*Inputs!$F$96/100)*X31*Construction!X11/Inputs!$F$248</f>
        <v>0.080336635122419</v>
      </c>
      <c r="Y38" s="13" t="n">
        <f aca="false">Construction!Y14*(Inputs!$F$95/100*Inputs!$F$96/100)*Y31*Construction!Y11/Inputs!$F$248</f>
        <v>0.0857134703536178</v>
      </c>
      <c r="Z38" s="13" t="n">
        <f aca="false">Construction!Z14*(Inputs!$F$95/100*Inputs!$F$96/100)*Z31*Construction!Z11/Inputs!$F$248</f>
        <v>0.0970895392068716</v>
      </c>
      <c r="AA38" s="13" t="n">
        <f aca="false">Construction!AA14*(Inputs!$F$95/100*Inputs!$F$96/100)*AA31*Construction!AA11/Inputs!$F$248</f>
        <v>0.105787015076741</v>
      </c>
      <c r="AB38" s="13" t="n">
        <f aca="false">Construction!AB14*(Inputs!$F$95/100*Inputs!$F$96/100)*AB31*Construction!AB11/Inputs!$F$248</f>
        <v>0.107402051929107</v>
      </c>
      <c r="AC38" s="13" t="n">
        <f aca="false">Construction!AC14*(Inputs!$F$95/100*Inputs!$F$96/100)*AC31*Construction!AC11/Inputs!$F$248</f>
        <v>0.12341503195047</v>
      </c>
      <c r="AD38" s="13" t="n">
        <f aca="false">Construction!AD14*(Inputs!$F$95/100*Inputs!$F$96/100)*AD31*Construction!AD11/Inputs!$F$248</f>
        <v>0.127564277885896</v>
      </c>
      <c r="AE38" s="13" t="n">
        <f aca="false">Construction!AE14*(Inputs!$F$95/100*Inputs!$F$96/100)*AE31*Construction!AE11/Inputs!$F$248</f>
        <v>0.139847589568477</v>
      </c>
      <c r="AF38" s="13" t="n">
        <f aca="false">Construction!AF14*(Inputs!$F$95/100*Inputs!$F$96/100)*AF31*Construction!AF11/Inputs!$F$248</f>
        <v>0.142669391096896</v>
      </c>
      <c r="AG38" s="13" t="n">
        <f aca="false">Construction!AG14*(Inputs!$F$95/100*Inputs!$F$96/100)*AG31*Construction!AG11/Inputs!$F$248</f>
        <v>0.154419273240648</v>
      </c>
      <c r="AH38" s="13" t="n">
        <f aca="false">Construction!AH14*(Inputs!$F$95/100*Inputs!$F$96/100)*AH31*Construction!AH11/Inputs!$F$248</f>
        <v>0.160782141321031</v>
      </c>
      <c r="AI38" s="13" t="n">
        <f aca="false">Construction!AI14*(Inputs!$F$95/100*Inputs!$F$96/100)*AI31*Construction!AI11/Inputs!$F$248</f>
        <v>0.161068495506393</v>
      </c>
      <c r="AJ38" s="13" t="n">
        <f aca="false">Construction!AJ14*(Inputs!$F$95/100*Inputs!$F$96/100)*AJ31*Construction!AJ11/Inputs!$F$248</f>
        <v>0.171332792264339</v>
      </c>
      <c r="AK38" s="13" t="n">
        <f aca="false">Construction!AK14*(Inputs!$F$95/100*Inputs!$F$96/100)*AK31*Construction!AK11/Inputs!$F$248</f>
        <v>0.169833506997485</v>
      </c>
      <c r="AL38" s="13" t="n">
        <f aca="false">Construction!AL14*(Inputs!$F$95/100*Inputs!$F$96/100)*AL31*Construction!AL11/Inputs!$F$248</f>
        <v>0.178909675904356</v>
      </c>
      <c r="AM38" s="13" t="n">
        <f aca="false">Construction!AM14*(Inputs!$F$95/100*Inputs!$F$96/100)*AM31*Construction!AM11/Inputs!$F$248</f>
        <v>0.181666627991376</v>
      </c>
      <c r="AN38" s="13" t="n">
        <f aca="false">Construction!AN14*(Inputs!$F$95/100*Inputs!$F$96/100)*AN31*Construction!AN11/Inputs!$F$248</f>
        <v>0.166043736405233</v>
      </c>
      <c r="AO38" s="13" t="n">
        <f aca="false">Construction!AO14*(Inputs!$F$95/100*Inputs!$F$96/100)*AO31*Construction!AO11/Inputs!$F$248</f>
        <v>0.185474405266897</v>
      </c>
      <c r="AP38" s="13" t="n">
        <f aca="false">Construction!AP14*(Inputs!$F$95/100*Inputs!$F$96/100)*AP31*Construction!AP11/Inputs!$F$248</f>
        <v>0.180816295060743</v>
      </c>
      <c r="AQ38" s="13" t="n">
        <f aca="false">Construction!AQ14*(Inputs!$F$95/100*Inputs!$F$96/100)*AQ31*Construction!AQ11/Inputs!$F$248</f>
        <v>0.200264787455893</v>
      </c>
      <c r="AR38" s="13" t="n">
        <f aca="false">Construction!AR14*(Inputs!$F$95/100*Inputs!$F$96/100)*AR31*Construction!AR11/Inputs!$F$248</f>
        <v>0.203815707280881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703</v>
      </c>
      <c r="E39" s="0" t="s">
        <v>149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704</v>
      </c>
      <c r="E40" s="0" t="s">
        <v>149</v>
      </c>
      <c r="G40" s="13" t="n">
        <f aca="false">SUM(J40:BJ40)</f>
        <v>9.30371396326007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0.469991443537797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0.452848368125863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0.465047916828092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0.460878760272855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0.411088431121123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0.447638923395211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0.423992669549053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0.426600881076862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0.39970410446115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0.397537321698755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0.380209118941139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0.349611285305413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0.340977048744296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0.309267748773895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0.29743556618398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0.274830470852591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0.235163553244022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0.22901453437906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0.200495789171206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0.186305645380535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0.161236982451317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0.148433243838219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0.131895889588536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0.113416957950906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0.104474316485018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0.0906363347791596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0.084781686167896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0.0776162549918166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0.0650167326631995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0.06771968619396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0.0620916196354864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0.029278878266203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0.00231520707845162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705</v>
      </c>
      <c r="E41" s="0" t="s">
        <v>149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706</v>
      </c>
      <c r="E42" s="0" t="s">
        <v>149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707</v>
      </c>
      <c r="E43" s="0" t="s">
        <v>149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708</v>
      </c>
      <c r="E44" s="0" t="s">
        <v>149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709</v>
      </c>
      <c r="E45" s="0" t="s">
        <v>149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2.43880187959064</v>
      </c>
      <c r="L45" s="13" t="n">
        <f aca="false">Construction!L14*(Construction!L32+Construction!L38)+L33+L34+L35+L36+L37+L38+L39+L40+L41+L42+L43+L44</f>
        <v>3.10875718775573</v>
      </c>
      <c r="M45" s="13" t="n">
        <f aca="false">Construction!M14*(Construction!M32+Construction!M38)+M33+M34+M35+M36+M37+M38+M39+M40+M41+M42+M43+M44</f>
        <v>4.39478293630819</v>
      </c>
      <c r="N45" s="13" t="n">
        <f aca="false">Construction!N14*(Construction!N32+Construction!N38)+N33+N34+N35+N36+N37+N38+N39+N40+N41+N42+N43+N44</f>
        <v>6.32816111508403</v>
      </c>
      <c r="O45" s="13" t="n">
        <f aca="false">Construction!O14*(Construction!O32+Construction!O38)+O33+O34+O35+O36+O37+O38+O39+O40+O41+O42+O43+O44</f>
        <v>8.72027032784092</v>
      </c>
      <c r="P45" s="13" t="n">
        <f aca="false">Construction!P14*(Construction!P32+Construction!P38)+P33+P34+P35+P36+P37+P38+P39+P40+P41+P42+P43+P44</f>
        <v>11.3758377911744</v>
      </c>
      <c r="Q45" s="13" t="n">
        <f aca="false">Construction!Q14*(Construction!Q32+Construction!Q38)+Q33+Q34+Q35+Q36+Q37+Q38+Q39+Q40+Q41+Q42+Q43+Q44</f>
        <v>14.4395728868313</v>
      </c>
      <c r="R45" s="13" t="n">
        <f aca="false">Construction!R14*(Construction!R32+Construction!R38)+R33+R34+R35+R36+R37+R38+R39+R40+R41+R42+R43+R44</f>
        <v>17.4930541499764</v>
      </c>
      <c r="S45" s="13" t="n">
        <f aca="false">Construction!S14*(Construction!S32+Construction!S38)+S33+S34+S35+S36+S37+S38+S39+S40+S41+S42+S43+S44</f>
        <v>20.6022654821457</v>
      </c>
      <c r="T45" s="13" t="n">
        <f aca="false">Construction!T14*(Construction!T32+Construction!T38)+T33+T34+T35+T36+T37+T38+T39+T40+T41+T42+T43+T44</f>
        <v>23.5119057862407</v>
      </c>
      <c r="U45" s="13" t="n">
        <f aca="false">Construction!U14*(Construction!U32+Construction!U38)+U33+U34+U35+U36+U37+U38+U39+U40+U41+U42+U43+U44</f>
        <v>26.301640975146</v>
      </c>
      <c r="V45" s="13" t="n">
        <f aca="false">Construction!V14*(Construction!V32+Construction!V38)+V33+V34+V35+V36+V37+V38+V39+V40+V41+V42+V43+V44</f>
        <v>28.7543698736844</v>
      </c>
      <c r="W45" s="13" t="n">
        <f aca="false">Construction!W14*(Construction!W32+Construction!W38)+W33+W34+W35+W36+W37+W38+W39+W40+W41+W42+W43+W44</f>
        <v>30.7940922180088</v>
      </c>
      <c r="X45" s="13" t="n">
        <f aca="false">Construction!X14*(Construction!X32+Construction!X38)+X33+X34+X35+X36+X37+X38+X39+X40+X41+X42+X43+X44</f>
        <v>32.4825943090109</v>
      </c>
      <c r="Y45" s="13" t="n">
        <f aca="false">Construction!Y14*(Construction!Y32+Construction!Y38)+Y33+Y34+Y35+Y36+Y37+Y38+Y39+Y40+Y41+Y42+Y43+Y44</f>
        <v>33.6069164063254</v>
      </c>
      <c r="Z45" s="13" t="n">
        <f aca="false">Construction!Z14*(Construction!Z32+Construction!Z38)+Z33+Z34+Z35+Z36+Z37+Z38+Z39+Z40+Z41+Z42+Z43+Z44</f>
        <v>34.3111810227308</v>
      </c>
      <c r="AA45" s="13" t="n">
        <f aca="false">Construction!AA14*(Construction!AA32+Construction!AA38)+AA33+AA34+AA35+AA36+AA37+AA38+AA39+AA40+AA41+AA42+AA43+AA44</f>
        <v>35.5917107779642</v>
      </c>
      <c r="AB45" s="13" t="n">
        <f aca="false">Construction!AB14*(Construction!AB32+Construction!AB38)+AB33+AB34+AB35+AB36+AB37+AB38+AB39+AB40+AB41+AB42+AB43+AB44</f>
        <v>33.9500835398134</v>
      </c>
      <c r="AC45" s="13" t="n">
        <f aca="false">Construction!AC14*(Construction!AC32+Construction!AC38)+AC33+AC34+AC35+AC36+AC37+AC38+AC39+AC40+AC41+AC42+AC43+AC44</f>
        <v>33.1431287724995</v>
      </c>
      <c r="AD45" s="13" t="n">
        <f aca="false">Construction!AD14*(Construction!AD32+Construction!AD38)+AD33+AD34+AD35+AD36+AD37+AD38+AD39+AD40+AD41+AD42+AD43+AD44</f>
        <v>31.682628439559</v>
      </c>
      <c r="AE45" s="13" t="n">
        <f aca="false">Construction!AE14*(Construction!AE32+Construction!AE38)+AE33+AE34+AE35+AE36+AE37+AE38+AE39+AE40+AE41+AE42+AE43+AE44</f>
        <v>29.8927171997239</v>
      </c>
      <c r="AF45" s="13" t="n">
        <f aca="false">Construction!AF14*(Construction!AF32+Construction!AF38)+AF33+AF34+AF35+AF36+AF37+AF38+AF39+AF40+AF41+AF42+AF43+AF44</f>
        <v>27.5919695947418</v>
      </c>
      <c r="AG45" s="13" t="n">
        <f aca="false">Construction!AG14*(Construction!AG32+Construction!AG38)+AG33+AG34+AG35+AG36+AG37+AG38+AG39+AG40+AG41+AG42+AG43+AG44</f>
        <v>25.1012502703318</v>
      </c>
      <c r="AH45" s="13" t="n">
        <f aca="false">Construction!AH14*(Construction!AH32+Construction!AH38)+AH33+AH34+AH35+AH36+AH37+AH38+AH39+AH40+AH41+AH42+AH43+AH44</f>
        <v>22.309939505027</v>
      </c>
      <c r="AI45" s="13" t="n">
        <f aca="false">Construction!AI14*(Construction!AI32+Construction!AI38)+AI33+AI34+AI35+AI36+AI37+AI38+AI39+AI40+AI41+AI42+AI43+AI44</f>
        <v>19.3119402034984</v>
      </c>
      <c r="AJ45" s="13" t="n">
        <f aca="false">Construction!AJ14*(Construction!AJ32+Construction!AJ38)+AJ33+AJ34+AJ35+AJ36+AJ37+AJ38+AJ39+AJ40+AJ41+AJ42+AJ43+AJ44</f>
        <v>16.4182529143668</v>
      </c>
      <c r="AK45" s="13" t="n">
        <f aca="false">Construction!AK14*(Construction!AK32+Construction!AK38)+AK33+AK34+AK35+AK36+AK37+AK38+AK39+AK40+AK41+AK42+AK43+AK44</f>
        <v>13.4722383098062</v>
      </c>
      <c r="AL45" s="13" t="n">
        <f aca="false">Construction!AL14*(Construction!AL32+Construction!AL38)+AL33+AL34+AL35+AL36+AL37+AL38+AL39+AL40+AL41+AL42+AL43+AL44</f>
        <v>10.8760614624342</v>
      </c>
      <c r="AM45" s="13" t="n">
        <f aca="false">Construction!AM14*(Construction!AM32+Construction!AM38)+AM33+AM34+AM35+AM36+AM37+AM38+AM39+AM40+AM41+AM42+AM43+AM44</f>
        <v>8.5507319550832</v>
      </c>
      <c r="AN45" s="13" t="n">
        <f aca="false">Construction!AN14*(Construction!AN32+Construction!AN38)+AN33+AN34+AN35+AN36+AN37+AN38+AN39+AN40+AN41+AN42+AN43+AN44</f>
        <v>6.47079122582769</v>
      </c>
      <c r="AO45" s="13" t="n">
        <f aca="false">Construction!AO14*(Construction!AO32+Construction!AO38)+AO33+AO34+AO35+AO36+AO37+AO38+AO39+AO40+AO41+AO42+AO43+AO44</f>
        <v>5.40104116626479</v>
      </c>
      <c r="AP45" s="13" t="n">
        <f aca="false">Construction!AP14*(Construction!AP32+Construction!AP38)+AP33+AP34+AP35+AP36+AP37+AP38+AP39+AP40+AP41+AP42+AP43+AP44</f>
        <v>52.9464021925694</v>
      </c>
      <c r="AQ45" s="13" t="n">
        <f aca="false">Construction!AQ14*(Construction!AQ32+Construction!AQ38)+AQ33+AQ34+AQ35+AQ36+AQ37+AQ38+AQ39+AQ40+AQ41+AQ42+AQ43+AQ44</f>
        <v>40.8097145059829</v>
      </c>
      <c r="AR45" s="13" t="n">
        <f aca="false">Construction!AR14*(Construction!AR32+Construction!AR38)+AR33+AR34+AR35+AR36+AR37+AR38+AR39+AR40+AR41+AR42+AR43+AR44</f>
        <v>3.63127888986155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710</v>
      </c>
      <c r="E46" s="0" t="s">
        <v>149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541.357384523062</v>
      </c>
      <c r="M46" s="13" t="n">
        <f aca="false">$F$25-M28-M29-M30-M31</f>
        <v>538.998256051414</v>
      </c>
      <c r="N46" s="13" t="n">
        <f aca="false">$F$25-N28-N29-N30-N31</f>
        <v>535.663207050935</v>
      </c>
      <c r="O46" s="13" t="n">
        <f aca="false">$F$25-O28-O29-O30-O31</f>
        <v>530.860984118063</v>
      </c>
      <c r="P46" s="13" t="n">
        <f aca="false">$F$25-P28-P29-P30-P31</f>
        <v>524.243472112975</v>
      </c>
      <c r="Q46" s="13" t="n">
        <f aca="false">$F$25-Q28-Q29-Q30-Q31</f>
        <v>515.610741667603</v>
      </c>
      <c r="R46" s="13" t="n">
        <f aca="false">$F$25-R28-R29-R30-R31</f>
        <v>504.653048461479</v>
      </c>
      <c r="S46" s="13" t="n">
        <f aca="false">$F$25-S28-S29-S30-S31</f>
        <v>491.37817377399</v>
      </c>
      <c r="T46" s="13" t="n">
        <f aca="false">$F$25-T28-T29-T30-T31</f>
        <v>475.743825980341</v>
      </c>
      <c r="U46" s="13" t="n">
        <f aca="false">$F$25-U28-U29-U30-U31</f>
        <v>457.901452641731</v>
      </c>
      <c r="V46" s="13" t="n">
        <f aca="false">$F$25-V28-V29-V30-V31</f>
        <v>437.942045609262</v>
      </c>
      <c r="W46" s="13" t="n">
        <f aca="false">$F$25-W28-W29-W30-W31</f>
        <v>416.121347318484</v>
      </c>
      <c r="X46" s="13" t="n">
        <f aca="false">$F$25-X28-X29-X30-X31</f>
        <v>392.752774180579</v>
      </c>
      <c r="Y46" s="13" t="n">
        <f aca="false">$F$25-Y28-Y29-Y30-Y31</f>
        <v>368.102855116717</v>
      </c>
      <c r="Z46" s="13" t="n">
        <f aca="false">$F$25-Z28-Z29-Z30-Z31</f>
        <v>342.599726840658</v>
      </c>
      <c r="AA46" s="13" t="n">
        <f aca="false">$F$25-AA28-AA29-AA30-AA31</f>
        <v>316.562156468355</v>
      </c>
      <c r="AB46" s="13" t="n">
        <f aca="false">$F$25-AB28-AB29-AB30-AB31</f>
        <v>289.552836286752</v>
      </c>
      <c r="AC46" s="13" t="n">
        <f aca="false">$F$25-AC28-AC29-AC30-AC31</f>
        <v>263.789290324058</v>
      </c>
      <c r="AD46" s="13" t="n">
        <f aca="false">$F$25-AD28-AD29-AD30-AD31</f>
        <v>238.638114466819</v>
      </c>
      <c r="AE46" s="13" t="n">
        <f aca="false">$F$25-AE28-AE29-AE30-AE31</f>
        <v>214.595261875181</v>
      </c>
      <c r="AF46" s="13" t="n">
        <f aca="false">$F$25-AF28-AF29-AF30-AF31</f>
        <v>191.910711110475</v>
      </c>
      <c r="AG46" s="13" t="n">
        <f aca="false">$F$25-AG28-AG29-AG30-AG31</f>
        <v>170.972118248936</v>
      </c>
      <c r="AH46" s="13" t="n">
        <f aca="false">$F$25-AH28-AH29-AH30-AH31</f>
        <v>151.923646267935</v>
      </c>
      <c r="AI46" s="13" t="n">
        <f aca="false">$F$25-AI28-AI29-AI30-AI31</f>
        <v>134.993403631311</v>
      </c>
      <c r="AJ46" s="13" t="n">
        <f aca="false">$F$25-AJ28-AJ29-AJ30-AJ31</f>
        <v>120.338239131401</v>
      </c>
      <c r="AK46" s="13" t="n">
        <f aca="false">$F$25-AK28-AK29-AK30-AK31</f>
        <v>107.87899398432</v>
      </c>
      <c r="AL46" s="13" t="n">
        <f aca="false">$F$25-AL28-AL29-AL30-AL31</f>
        <v>97.655377582669</v>
      </c>
      <c r="AM46" s="13" t="n">
        <f aca="false">$F$25-AM28-AM29-AM30-AM31</f>
        <v>89.4019101338508</v>
      </c>
      <c r="AN46" s="13" t="n">
        <f aca="false">$F$25-AN28-AN29-AN30-AN31</f>
        <v>82.9130549449934</v>
      </c>
      <c r="AO46" s="13" t="n">
        <f aca="false">$F$25-AO28-AO29-AO30-AO31</f>
        <v>78.0025949466812</v>
      </c>
      <c r="AP46" s="13" t="n">
        <f aca="false">$F$25-AP28-AP29-AP30-AP31</f>
        <v>73.9039313257129</v>
      </c>
      <c r="AQ46" s="13" t="n">
        <f aca="false">$F$25-AQ28-AQ29-AQ30-AQ31</f>
        <v>33.7247351582606</v>
      </c>
      <c r="AR46" s="13" t="n">
        <f aca="false">$F$25-AR28-AR29-AR30-AR31</f>
        <v>2.75565214654034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711</v>
      </c>
      <c r="E47" s="0" t="s">
        <v>149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1.85072252458686</v>
      </c>
      <c r="L47" s="13" t="n">
        <f aca="false">MIN($F$26*L45/(1-Inputs!$F$94/100*Inputs!$F$75*$F$26),L46)</f>
        <v>2.35912847164796</v>
      </c>
      <c r="M47" s="13" t="n">
        <f aca="false">MIN($F$26*M45/(1-Inputs!$F$94/100*Inputs!$F$75*$F$26),M46)</f>
        <v>3.3350490004792</v>
      </c>
      <c r="N47" s="13" t="n">
        <f aca="false">MIN($F$26*N45/(1-Inputs!$F$94/100*Inputs!$F$75*$F$26),N46)</f>
        <v>4.80222293287169</v>
      </c>
      <c r="O47" s="13" t="n">
        <f aca="false">MIN($F$26*O45/(1-Inputs!$F$94/100*Inputs!$F$75*$F$26),O46)</f>
        <v>6.61751200508777</v>
      </c>
      <c r="P47" s="13" t="n">
        <f aca="false">MIN($F$26*P45/(1-Inputs!$F$94/100*Inputs!$F$75*$F$26),P46)</f>
        <v>8.63273044537214</v>
      </c>
      <c r="Q47" s="13" t="n">
        <f aca="false">MIN($F$26*Q45/(1-Inputs!$F$94/100*Inputs!$F$75*$F$26),Q46)</f>
        <v>10.9576932061239</v>
      </c>
      <c r="R47" s="13" t="n">
        <f aca="false">MIN($F$26*R45/(1-Inputs!$F$94/100*Inputs!$F$75*$F$26),R46)</f>
        <v>13.2748746874893</v>
      </c>
      <c r="S47" s="13" t="n">
        <f aca="false">MIN($F$26*S45/(1-Inputs!$F$94/100*Inputs!$F$75*$F$26),S46)</f>
        <v>15.6343477936492</v>
      </c>
      <c r="T47" s="13" t="n">
        <f aca="false">MIN($F$26*T45/(1-Inputs!$F$94/100*Inputs!$F$75*$F$26),T46)</f>
        <v>17.84237333861</v>
      </c>
      <c r="U47" s="13" t="n">
        <f aca="false">MIN($F$26*U45/(1-Inputs!$F$94/100*Inputs!$F$75*$F$26),U46)</f>
        <v>19.9594070324688</v>
      </c>
      <c r="V47" s="13" t="n">
        <f aca="false">MIN($F$26*V45/(1-Inputs!$F$94/100*Inputs!$F$75*$F$26),V46)</f>
        <v>21.820698290778</v>
      </c>
      <c r="W47" s="13" t="n">
        <f aca="false">MIN($F$26*W45/(1-Inputs!$F$94/100*Inputs!$F$75*$F$26),W46)</f>
        <v>23.368573137905</v>
      </c>
      <c r="X47" s="13" t="n">
        <f aca="false">MIN($F$26*X45/(1-Inputs!$F$94/100*Inputs!$F$75*$F$26),X46)</f>
        <v>24.6499190638619</v>
      </c>
      <c r="Y47" s="13" t="n">
        <f aca="false">MIN($F$26*Y45/(1-Inputs!$F$94/100*Inputs!$F$75*$F$26),Y46)</f>
        <v>25.5031282760592</v>
      </c>
      <c r="Z47" s="13" t="n">
        <f aca="false">MIN($F$26*Z45/(1-Inputs!$F$94/100*Inputs!$F$75*$F$26),Z46)</f>
        <v>26.0375703723027</v>
      </c>
      <c r="AA47" s="13" t="n">
        <f aca="false">MIN($F$26*AA45/(1-Inputs!$F$94/100*Inputs!$F$75*$F$26),AA46)</f>
        <v>27.0093201816033</v>
      </c>
      <c r="AB47" s="13" t="n">
        <f aca="false">MIN($F$26*AB45/(1-Inputs!$F$94/100*Inputs!$F$75*$F$26),AB46)</f>
        <v>25.7635459626942</v>
      </c>
      <c r="AC47" s="13" t="n">
        <f aca="false">MIN($F$26*AC45/(1-Inputs!$F$94/100*Inputs!$F$75*$F$26),AC46)</f>
        <v>25.1511758572385</v>
      </c>
      <c r="AD47" s="13" t="n">
        <f aca="false">MIN($F$26*AD45/(1-Inputs!$F$94/100*Inputs!$F$75*$F$26),AD46)</f>
        <v>24.0428525916383</v>
      </c>
      <c r="AE47" s="13" t="n">
        <f aca="false">MIN($F$26*AE45/(1-Inputs!$F$94/100*Inputs!$F$75*$F$26),AE46)</f>
        <v>22.684550764706</v>
      </c>
      <c r="AF47" s="13" t="n">
        <f aca="false">MIN($F$26*AF45/(1-Inputs!$F$94/100*Inputs!$F$75*$F$26),AF46)</f>
        <v>20.938592861539</v>
      </c>
      <c r="AG47" s="13" t="n">
        <f aca="false">MIN($F$26*AG45/(1-Inputs!$F$94/100*Inputs!$F$75*$F$26),AG46)</f>
        <v>19.0484719810011</v>
      </c>
      <c r="AH47" s="13" t="n">
        <f aca="false">MIN($F$26*AH45/(1-Inputs!$F$94/100*Inputs!$F$75*$F$26),AH46)</f>
        <v>16.9302426366239</v>
      </c>
      <c r="AI47" s="13" t="n">
        <f aca="false">MIN($F$26*AI45/(1-Inputs!$F$94/100*Inputs!$F$75*$F$26),AI46)</f>
        <v>14.6551644999094</v>
      </c>
      <c r="AJ47" s="13" t="n">
        <f aca="false">MIN($F$26*AJ45/(1-Inputs!$F$94/100*Inputs!$F$75*$F$26),AJ46)</f>
        <v>12.4592451470814</v>
      </c>
      <c r="AK47" s="13" t="n">
        <f aca="false">MIN($F$26*AK45/(1-Inputs!$F$94/100*Inputs!$F$75*$F$26),AK46)</f>
        <v>10.2236164016511</v>
      </c>
      <c r="AL47" s="13" t="n">
        <f aca="false">MIN($F$26*AL45/(1-Inputs!$F$94/100*Inputs!$F$75*$F$26),AL46)</f>
        <v>8.25346744881826</v>
      </c>
      <c r="AM47" s="13" t="n">
        <f aca="false">MIN($F$26*AM45/(1-Inputs!$F$94/100*Inputs!$F$75*$F$26),AM46)</f>
        <v>6.48885518885751</v>
      </c>
      <c r="AN47" s="13" t="n">
        <f aca="false">MIN($F$26*AN45/(1-Inputs!$F$94/100*Inputs!$F$75*$F$26),AN46)</f>
        <v>4.91045999831217</v>
      </c>
      <c r="AO47" s="13" t="n">
        <f aca="false">MIN($F$26*AO45/(1-Inputs!$F$94/100*Inputs!$F$75*$F$26),AO46)</f>
        <v>4.09866362096826</v>
      </c>
      <c r="AP47" s="13" t="n">
        <f aca="false">MIN($F$26*AP45/(1-Inputs!$F$94/100*Inputs!$F$75*$F$26),AP46)</f>
        <v>40.1791961674523</v>
      </c>
      <c r="AQ47" s="13" t="n">
        <f aca="false">MIN($F$26*AQ45/(1-Inputs!$F$94/100*Inputs!$F$75*$F$26),AQ46)</f>
        <v>30.9690830117203</v>
      </c>
      <c r="AR47" s="13" t="n">
        <f aca="false">MIN($F$26*AR45/(1-Inputs!$F$94/100*Inputs!$F$75*$F$26),AR46)</f>
        <v>2.75565214654034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712</v>
      </c>
      <c r="E48" s="0" t="s">
        <v>149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0.0602410181753024</v>
      </c>
      <c r="L48" s="13" t="n">
        <f aca="false">Inputs!$F$94/100*Inputs!$F$75*L47</f>
        <v>0.0767896317521412</v>
      </c>
      <c r="M48" s="13" t="n">
        <f aca="false">Inputs!$F$94/100*Inputs!$F$75*M47</f>
        <v>0.108555844965598</v>
      </c>
      <c r="N48" s="13" t="n">
        <f aca="false">Inputs!$F$94/100*Inputs!$F$75*N47</f>
        <v>0.156312356464973</v>
      </c>
      <c r="O48" s="13" t="n">
        <f aca="false">Inputs!$F$94/100*Inputs!$F$75*O47</f>
        <v>0.215400015765607</v>
      </c>
      <c r="P48" s="13" t="n">
        <f aca="false">Inputs!$F$94/100*Inputs!$F$75*P47</f>
        <v>0.280995375996863</v>
      </c>
      <c r="Q48" s="13" t="n">
        <f aca="false">Inputs!$F$94/100*Inputs!$F$75*Q47</f>
        <v>0.356672913859333</v>
      </c>
      <c r="R48" s="13" t="n">
        <f aca="false">Inputs!$F$94/100*Inputs!$F$75*R47</f>
        <v>0.432097171077777</v>
      </c>
      <c r="S48" s="13" t="n">
        <f aca="false">Inputs!$F$94/100*Inputs!$F$75*S47</f>
        <v>0.508898020683282</v>
      </c>
      <c r="T48" s="13" t="n">
        <f aca="false">Inputs!$F$94/100*Inputs!$F$75*T47</f>
        <v>0.580769252171754</v>
      </c>
      <c r="U48" s="13" t="n">
        <f aca="false">Inputs!$F$94/100*Inputs!$F$75*U47</f>
        <v>0.649678698906859</v>
      </c>
      <c r="V48" s="13" t="n">
        <f aca="false">Inputs!$F$94/100*Inputs!$F$75*V47</f>
        <v>0.710263729364825</v>
      </c>
      <c r="W48" s="13" t="n">
        <f aca="false">Inputs!$F$94/100*Inputs!$F$75*W47</f>
        <v>0.760647055638807</v>
      </c>
      <c r="X48" s="13" t="n">
        <f aca="false">Inputs!$F$94/100*Inputs!$F$75*X47</f>
        <v>0.802354865528705</v>
      </c>
      <c r="Y48" s="13" t="n">
        <f aca="false">Inputs!$F$94/100*Inputs!$F$75*Y47</f>
        <v>0.830126825385727</v>
      </c>
      <c r="Z48" s="13" t="n">
        <f aca="false">Inputs!$F$94/100*Inputs!$F$75*Z47</f>
        <v>0.847522915618453</v>
      </c>
      <c r="AA48" s="13" t="n">
        <f aca="false">Inputs!$F$94/100*Inputs!$F$75*AA47</f>
        <v>0.879153371911187</v>
      </c>
      <c r="AB48" s="13" t="n">
        <f aca="false">Inputs!$F$94/100*Inputs!$F$75*AB47</f>
        <v>0.838603421085696</v>
      </c>
      <c r="AC48" s="13" t="n">
        <f aca="false">Inputs!$F$94/100*Inputs!$F$75*AC47</f>
        <v>0.818670774153112</v>
      </c>
      <c r="AD48" s="13" t="n">
        <f aca="false">Inputs!$F$94/100*Inputs!$F$75*AD47</f>
        <v>0.782594851857827</v>
      </c>
      <c r="AE48" s="13" t="n">
        <f aca="false">Inputs!$F$94/100*Inputs!$F$75*AE47</f>
        <v>0.73838212739118</v>
      </c>
      <c r="AF48" s="13" t="n">
        <f aca="false">Inputs!$F$94/100*Inputs!$F$75*AF47</f>
        <v>0.681551197643096</v>
      </c>
      <c r="AG48" s="13" t="n">
        <f aca="false">Inputs!$F$94/100*Inputs!$F$75*AG47</f>
        <v>0.620027762981586</v>
      </c>
      <c r="AH48" s="13" t="n">
        <f aca="false">Inputs!$F$94/100*Inputs!$F$75*AH47</f>
        <v>0.551079397822106</v>
      </c>
      <c r="AI48" s="13" t="n">
        <f aca="false">Inputs!$F$94/100*Inputs!$F$75*AI47</f>
        <v>0.477025604472051</v>
      </c>
      <c r="AJ48" s="13" t="n">
        <f aca="false">Inputs!$F$94/100*Inputs!$F$75*AJ47</f>
        <v>0.405548429537498</v>
      </c>
      <c r="AK48" s="13" t="n">
        <f aca="false">Inputs!$F$94/100*Inputs!$F$75*AK47</f>
        <v>0.332778713873743</v>
      </c>
      <c r="AL48" s="13" t="n">
        <f aca="false">Inputs!$F$94/100*Inputs!$F$75*AL47</f>
        <v>0.268650365459034</v>
      </c>
      <c r="AM48" s="13" t="n">
        <f aca="false">Inputs!$F$94/100*Inputs!$F$75*AM47</f>
        <v>0.211212236397312</v>
      </c>
      <c r="AN48" s="13" t="n">
        <f aca="false">Inputs!$F$94/100*Inputs!$F$75*AN47</f>
        <v>0.159835472945061</v>
      </c>
      <c r="AO48" s="13" t="n">
        <f aca="false">Inputs!$F$94/100*Inputs!$F$75*AO47</f>
        <v>0.133411500862517</v>
      </c>
      <c r="AP48" s="13" t="n">
        <f aca="false">Inputs!$F$94/100*Inputs!$F$75*AP47</f>
        <v>1.30783283525057</v>
      </c>
      <c r="AQ48" s="13" t="n">
        <f aca="false">Inputs!$F$94/100*Inputs!$F$75*AQ47</f>
        <v>1.0080436520315</v>
      </c>
      <c r="AR48" s="13" t="n">
        <f aca="false">Inputs!$F$94/100*Inputs!$F$75*AR47</f>
        <v>0.0896964773698881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713</v>
      </c>
      <c r="E49" s="0" t="s">
        <v>149</v>
      </c>
      <c r="G49" s="13" t="n">
        <f aca="false">SUM(J49:BJ49)</f>
        <v>855.089743126849</v>
      </c>
      <c r="J49" s="13" t="n">
        <f aca="false">J45+J48</f>
        <v>121.592233969238</v>
      </c>
      <c r="K49" s="13" t="n">
        <f aca="false">K45+K48</f>
        <v>2.49904289776594</v>
      </c>
      <c r="L49" s="13" t="n">
        <f aca="false">L45+L48</f>
        <v>3.18554681950787</v>
      </c>
      <c r="M49" s="13" t="n">
        <f aca="false">M45+M48</f>
        <v>4.50333878127379</v>
      </c>
      <c r="N49" s="13" t="n">
        <f aca="false">N45+N48</f>
        <v>6.484473471549</v>
      </c>
      <c r="O49" s="13" t="n">
        <f aca="false">O45+O48</f>
        <v>8.93567034360652</v>
      </c>
      <c r="P49" s="13" t="n">
        <f aca="false">P45+P48</f>
        <v>11.6568331671712</v>
      </c>
      <c r="Q49" s="13" t="n">
        <f aca="false">Q45+Q48</f>
        <v>14.7962458006907</v>
      </c>
      <c r="R49" s="13" t="n">
        <f aca="false">R45+R48</f>
        <v>17.9251513210542</v>
      </c>
      <c r="S49" s="13" t="n">
        <f aca="false">S45+S48</f>
        <v>21.1111635028289</v>
      </c>
      <c r="T49" s="13" t="n">
        <f aca="false">T45+T48</f>
        <v>24.0926750384124</v>
      </c>
      <c r="U49" s="13" t="n">
        <f aca="false">U45+U48</f>
        <v>26.9513196740528</v>
      </c>
      <c r="V49" s="13" t="n">
        <f aca="false">V45+V48</f>
        <v>29.4646336030492</v>
      </c>
      <c r="W49" s="13" t="n">
        <f aca="false">W45+W48</f>
        <v>31.5547392736476</v>
      </c>
      <c r="X49" s="13" t="n">
        <f aca="false">X45+X48</f>
        <v>33.2849491745396</v>
      </c>
      <c r="Y49" s="13" t="n">
        <f aca="false">Y45+Y48</f>
        <v>34.4370432317112</v>
      </c>
      <c r="Z49" s="13" t="n">
        <f aca="false">Z45+Z48</f>
        <v>35.1587039383493</v>
      </c>
      <c r="AA49" s="13" t="n">
        <f aca="false">AA45+AA48</f>
        <v>36.4708641498754</v>
      </c>
      <c r="AB49" s="13" t="n">
        <f aca="false">AB45+AB48</f>
        <v>34.7886869608991</v>
      </c>
      <c r="AC49" s="13" t="n">
        <f aca="false">AC45+AC48</f>
        <v>33.9617995466526</v>
      </c>
      <c r="AD49" s="13" t="n">
        <f aca="false">AD45+AD48</f>
        <v>32.4652232914168</v>
      </c>
      <c r="AE49" s="13" t="n">
        <f aca="false">AE45+AE48</f>
        <v>30.6310993271151</v>
      </c>
      <c r="AF49" s="13" t="n">
        <f aca="false">AF45+AF48</f>
        <v>28.2735207923849</v>
      </c>
      <c r="AG49" s="13" t="n">
        <f aca="false">AG45+AG48</f>
        <v>25.7212780333133</v>
      </c>
      <c r="AH49" s="13" t="n">
        <f aca="false">AH45+AH48</f>
        <v>22.8610189028491</v>
      </c>
      <c r="AI49" s="13" t="n">
        <f aca="false">AI45+AI48</f>
        <v>19.7889658079704</v>
      </c>
      <c r="AJ49" s="13" t="n">
        <f aca="false">AJ45+AJ48</f>
        <v>16.8238013439043</v>
      </c>
      <c r="AK49" s="13" t="n">
        <f aca="false">AK45+AK48</f>
        <v>13.8050170236799</v>
      </c>
      <c r="AL49" s="13" t="n">
        <f aca="false">AL45+AL48</f>
        <v>11.1447118278932</v>
      </c>
      <c r="AM49" s="13" t="n">
        <f aca="false">AM45+AM48</f>
        <v>8.76194419148052</v>
      </c>
      <c r="AN49" s="13" t="n">
        <f aca="false">AN45+AN48</f>
        <v>6.63062669877275</v>
      </c>
      <c r="AO49" s="13" t="n">
        <f aca="false">AO45+AO48</f>
        <v>5.53445266712731</v>
      </c>
      <c r="AP49" s="13" t="n">
        <f aca="false">AP45+AP48</f>
        <v>54.25423502782</v>
      </c>
      <c r="AQ49" s="13" t="n">
        <f aca="false">AQ45+AQ48</f>
        <v>41.8177581580144</v>
      </c>
      <c r="AR49" s="13" t="n">
        <f aca="false">AR45+AR48</f>
        <v>3.72097536723144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714</v>
      </c>
      <c r="E50" s="0" t="s">
        <v>149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2.49904289776594</v>
      </c>
      <c r="L50" s="13" t="n">
        <f aca="false">L47/$F$26</f>
        <v>3.18554681950787</v>
      </c>
      <c r="M50" s="13" t="n">
        <f aca="false">M47/$F$26</f>
        <v>4.50333878127379</v>
      </c>
      <c r="N50" s="13" t="n">
        <f aca="false">N47/$F$26</f>
        <v>6.484473471549</v>
      </c>
      <c r="O50" s="13" t="n">
        <f aca="false">O47/$F$26</f>
        <v>8.93567034360652</v>
      </c>
      <c r="P50" s="13" t="n">
        <f aca="false">P47/$F$26</f>
        <v>11.6568331671712</v>
      </c>
      <c r="Q50" s="13" t="n">
        <f aca="false">Q47/$F$26</f>
        <v>14.7962458006907</v>
      </c>
      <c r="R50" s="13" t="n">
        <f aca="false">R47/$F$26</f>
        <v>17.9251513210542</v>
      </c>
      <c r="S50" s="13" t="n">
        <f aca="false">S47/$F$26</f>
        <v>21.1111635028289</v>
      </c>
      <c r="T50" s="13" t="n">
        <f aca="false">T47/$F$26</f>
        <v>24.0926750384124</v>
      </c>
      <c r="U50" s="13" t="n">
        <f aca="false">U47/$F$26</f>
        <v>26.9513196740528</v>
      </c>
      <c r="V50" s="13" t="n">
        <f aca="false">V47/$F$26</f>
        <v>29.4646336030492</v>
      </c>
      <c r="W50" s="13" t="n">
        <f aca="false">W47/$F$26</f>
        <v>31.5547392736476</v>
      </c>
      <c r="X50" s="13" t="n">
        <f aca="false">X47/$F$26</f>
        <v>33.2849491745396</v>
      </c>
      <c r="Y50" s="13" t="n">
        <f aca="false">Y47/$F$26</f>
        <v>34.4370432317112</v>
      </c>
      <c r="Z50" s="13" t="n">
        <f aca="false">Z47/$F$26</f>
        <v>35.1587039383493</v>
      </c>
      <c r="AA50" s="13" t="n">
        <f aca="false">AA47/$F$26</f>
        <v>36.4708641498754</v>
      </c>
      <c r="AB50" s="13" t="n">
        <f aca="false">AB47/$F$26</f>
        <v>34.7886869608991</v>
      </c>
      <c r="AC50" s="13" t="n">
        <f aca="false">AC47/$F$26</f>
        <v>33.9617995466526</v>
      </c>
      <c r="AD50" s="13" t="n">
        <f aca="false">AD47/$F$26</f>
        <v>32.4652232914168</v>
      </c>
      <c r="AE50" s="13" t="n">
        <f aca="false">AE47/$F$26</f>
        <v>30.6310993271151</v>
      </c>
      <c r="AF50" s="13" t="n">
        <f aca="false">AF47/$F$26</f>
        <v>28.2735207923849</v>
      </c>
      <c r="AG50" s="13" t="n">
        <f aca="false">AG47/$F$26</f>
        <v>25.7212780333133</v>
      </c>
      <c r="AH50" s="13" t="n">
        <f aca="false">AH47/$F$26</f>
        <v>22.8610189028491</v>
      </c>
      <c r="AI50" s="13" t="n">
        <f aca="false">AI47/$F$26</f>
        <v>19.7889658079704</v>
      </c>
      <c r="AJ50" s="13" t="n">
        <f aca="false">AJ47/$F$26</f>
        <v>16.8238013439043</v>
      </c>
      <c r="AK50" s="13" t="n">
        <f aca="false">AK47/$F$26</f>
        <v>13.8050170236799</v>
      </c>
      <c r="AL50" s="13" t="n">
        <f aca="false">AL47/$F$26</f>
        <v>11.1447118278932</v>
      </c>
      <c r="AM50" s="13" t="n">
        <f aca="false">AM47/$F$26</f>
        <v>8.76194419148052</v>
      </c>
      <c r="AN50" s="13" t="n">
        <f aca="false">AN47/$F$26</f>
        <v>6.63062669877275</v>
      </c>
      <c r="AO50" s="13" t="n">
        <f aca="false">AO47/$F$26</f>
        <v>5.53445266712731</v>
      </c>
      <c r="AP50" s="13" t="n">
        <f aca="false">AP47/$F$26</f>
        <v>54.25423502782</v>
      </c>
      <c r="AQ50" s="13" t="n">
        <f aca="false">AQ47/$F$26</f>
        <v>41.8177581580144</v>
      </c>
      <c r="AR50" s="13" t="n">
        <f aca="false">AR47/$F$26</f>
        <v>3.72097536720821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715</v>
      </c>
      <c r="E51" s="0" t="s">
        <v>149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2.32298624780469E-011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716</v>
      </c>
      <c r="E52" s="0" t="s">
        <v>149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717</v>
      </c>
      <c r="E53" s="0" t="s">
        <v>149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718</v>
      </c>
      <c r="E54" s="0" t="s">
        <v>149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719</v>
      </c>
      <c r="E55" s="0" t="s">
        <v>149</v>
      </c>
      <c r="G55" s="13" t="n">
        <f aca="false">SUM(J55:BJ55)</f>
        <v>1.74223968585352E-011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1.74223968585352E-011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720</v>
      </c>
      <c r="E56" s="0" t="s">
        <v>149</v>
      </c>
      <c r="G56" s="13" t="n">
        <f aca="false">SUM(J56:BJ56)</f>
        <v>5.80746561951173E-012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5.80746561951173E-012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721</v>
      </c>
      <c r="E57" s="0" t="s">
        <v>149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0.555216757376059</v>
      </c>
      <c r="L57" s="13" t="n">
        <f aca="false">Inputs!$F$75*L47</f>
        <v>0.707738541494389</v>
      </c>
      <c r="M57" s="13" t="n">
        <f aca="false">Inputs!$F$75*M47</f>
        <v>1.00051470014376</v>
      </c>
      <c r="N57" s="13" t="n">
        <f aca="false">Inputs!$F$75*N47</f>
        <v>1.44066687986151</v>
      </c>
      <c r="O57" s="13" t="n">
        <f aca="false">Inputs!$F$75*O47</f>
        <v>1.98525360152633</v>
      </c>
      <c r="P57" s="13" t="n">
        <f aca="false">Inputs!$F$75*P47</f>
        <v>2.58981913361164</v>
      </c>
      <c r="Q57" s="13" t="n">
        <f aca="false">Inputs!$F$75*Q47</f>
        <v>3.28730796183717</v>
      </c>
      <c r="R57" s="13" t="n">
        <f aca="false">Inputs!$F$75*R47</f>
        <v>3.98246240624679</v>
      </c>
      <c r="S57" s="13" t="n">
        <f aca="false">Inputs!$F$75*S47</f>
        <v>4.69030433809476</v>
      </c>
      <c r="T57" s="13" t="n">
        <f aca="false">Inputs!$F$75*T47</f>
        <v>5.35271200158299</v>
      </c>
      <c r="U57" s="13" t="n">
        <f aca="false">Inputs!$F$75*U47</f>
        <v>5.98782210974063</v>
      </c>
      <c r="V57" s="13" t="n">
        <f aca="false">Inputs!$F$75*V47</f>
        <v>6.54620948723341</v>
      </c>
      <c r="W57" s="13" t="n">
        <f aca="false">Inputs!$F$75*W47</f>
        <v>7.0105719413715</v>
      </c>
      <c r="X57" s="13" t="n">
        <f aca="false">Inputs!$F$75*X47</f>
        <v>7.39497571915857</v>
      </c>
      <c r="Y57" s="13" t="n">
        <f aca="false">Inputs!$F$75*Y47</f>
        <v>7.65093848281776</v>
      </c>
      <c r="Z57" s="13" t="n">
        <f aca="false">Inputs!$F$75*Z47</f>
        <v>7.81127111169081</v>
      </c>
      <c r="AA57" s="13" t="n">
        <f aca="false">Inputs!$F$75*AA47</f>
        <v>8.10279605448099</v>
      </c>
      <c r="AB57" s="13" t="n">
        <f aca="false">Inputs!$F$75*AB47</f>
        <v>7.72906378880826</v>
      </c>
      <c r="AC57" s="13" t="n">
        <f aca="false">Inputs!$F$75*AC47</f>
        <v>7.54535275717154</v>
      </c>
      <c r="AD57" s="13" t="n">
        <f aca="false">Inputs!$F$75*AD47</f>
        <v>7.21285577749149</v>
      </c>
      <c r="AE57" s="13" t="n">
        <f aca="false">Inputs!$F$75*AE47</f>
        <v>6.8053652294118</v>
      </c>
      <c r="AF57" s="13" t="n">
        <f aca="false">Inputs!$F$75*AF47</f>
        <v>6.28157785846171</v>
      </c>
      <c r="AG57" s="13" t="n">
        <f aca="false">Inputs!$F$75*AG47</f>
        <v>5.71454159430033</v>
      </c>
      <c r="AH57" s="13" t="n">
        <f aca="false">Inputs!$F$75*AH47</f>
        <v>5.07907279098716</v>
      </c>
      <c r="AI57" s="13" t="n">
        <f aca="false">Inputs!$F$75*AI47</f>
        <v>4.39654934997282</v>
      </c>
      <c r="AJ57" s="13" t="n">
        <f aca="false">Inputs!$F$75*AJ47</f>
        <v>3.73777354412441</v>
      </c>
      <c r="AK57" s="13" t="n">
        <f aca="false">Inputs!$F$75*AK47</f>
        <v>3.06708492049533</v>
      </c>
      <c r="AL57" s="13" t="n">
        <f aca="false">Inputs!$F$75*AL47</f>
        <v>2.47604023464548</v>
      </c>
      <c r="AM57" s="13" t="n">
        <f aca="false">Inputs!$F$75*AM47</f>
        <v>1.94665655665725</v>
      </c>
      <c r="AN57" s="13" t="n">
        <f aca="false">Inputs!$F$75*AN47</f>
        <v>1.47313799949365</v>
      </c>
      <c r="AO57" s="13" t="n">
        <f aca="false">Inputs!$F$75*AO47</f>
        <v>1.22959908629048</v>
      </c>
      <c r="AP57" s="13" t="n">
        <f aca="false">Inputs!$F$75*AP47</f>
        <v>12.0537588502357</v>
      </c>
      <c r="AQ57" s="13" t="n">
        <f aca="false">Inputs!$F$75*AQ47</f>
        <v>9.29072490351609</v>
      </c>
      <c r="AR57" s="13" t="n">
        <f aca="false">Inputs!$F$75*AR47</f>
        <v>0.826695643962103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722</v>
      </c>
      <c r="E58" s="0" t="s">
        <v>149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0.40715895540911</v>
      </c>
      <c r="L58" s="13" t="n">
        <f aca="false">Inputs!$F$76*L47</f>
        <v>0.519008263762552</v>
      </c>
      <c r="M58" s="13" t="n">
        <f aca="false">Inputs!$F$76*M47</f>
        <v>0.733710780105425</v>
      </c>
      <c r="N58" s="13" t="n">
        <f aca="false">Inputs!$F$76*N47</f>
        <v>1.05648904523177</v>
      </c>
      <c r="O58" s="13" t="n">
        <f aca="false">Inputs!$F$76*O47</f>
        <v>1.45585264111931</v>
      </c>
      <c r="P58" s="13" t="n">
        <f aca="false">Inputs!$F$76*P47</f>
        <v>1.89920069798187</v>
      </c>
      <c r="Q58" s="13" t="n">
        <f aca="false">Inputs!$F$76*Q47</f>
        <v>2.41069250534726</v>
      </c>
      <c r="R58" s="13" t="n">
        <f aca="false">Inputs!$F$76*R47</f>
        <v>2.92047243124765</v>
      </c>
      <c r="S58" s="13" t="n">
        <f aca="false">Inputs!$F$76*S47</f>
        <v>3.43955651460283</v>
      </c>
      <c r="T58" s="13" t="n">
        <f aca="false">Inputs!$F$76*T47</f>
        <v>3.92532213449419</v>
      </c>
      <c r="U58" s="13" t="n">
        <f aca="false">Inputs!$F$76*U47</f>
        <v>4.39106954714313</v>
      </c>
      <c r="V58" s="13" t="n">
        <f aca="false">Inputs!$F$76*V47</f>
        <v>4.80055362397117</v>
      </c>
      <c r="W58" s="13" t="n">
        <f aca="false">Inputs!$F$76*W47</f>
        <v>5.1410860903391</v>
      </c>
      <c r="X58" s="13" t="n">
        <f aca="false">Inputs!$F$76*X47</f>
        <v>5.42298219404962</v>
      </c>
      <c r="Y58" s="13" t="n">
        <f aca="false">Inputs!$F$76*Y47</f>
        <v>5.61068822073302</v>
      </c>
      <c r="Z58" s="13" t="n">
        <f aca="false">Inputs!$F$76*Z47</f>
        <v>5.72826548190659</v>
      </c>
      <c r="AA58" s="13" t="n">
        <f aca="false">Inputs!$F$76*AA47</f>
        <v>5.94205043995272</v>
      </c>
      <c r="AB58" s="13" t="n">
        <f aca="false">Inputs!$F$76*AB47</f>
        <v>5.66798011179272</v>
      </c>
      <c r="AC58" s="13" t="n">
        <f aca="false">Inputs!$F$76*AC47</f>
        <v>5.53325868859246</v>
      </c>
      <c r="AD58" s="13" t="n">
        <f aca="false">Inputs!$F$76*AD47</f>
        <v>5.28942757016043</v>
      </c>
      <c r="AE58" s="13" t="n">
        <f aca="false">Inputs!$F$76*AE47</f>
        <v>4.99060116823532</v>
      </c>
      <c r="AF58" s="13" t="n">
        <f aca="false">Inputs!$F$76*AF47</f>
        <v>4.60649042953859</v>
      </c>
      <c r="AG58" s="13" t="n">
        <f aca="false">Inputs!$F$76*AG47</f>
        <v>4.19066383582024</v>
      </c>
      <c r="AH58" s="13" t="n">
        <f aca="false">Inputs!$F$76*AH47</f>
        <v>3.72465338005725</v>
      </c>
      <c r="AI58" s="13" t="n">
        <f aca="false">Inputs!$F$76*AI47</f>
        <v>3.22413618998007</v>
      </c>
      <c r="AJ58" s="13" t="n">
        <f aca="false">Inputs!$F$76*AJ47</f>
        <v>2.7410339323579</v>
      </c>
      <c r="AK58" s="13" t="n">
        <f aca="false">Inputs!$F$76*AK47</f>
        <v>2.24919560836324</v>
      </c>
      <c r="AL58" s="13" t="n">
        <f aca="false">Inputs!$F$76*AL47</f>
        <v>1.81576283874002</v>
      </c>
      <c r="AM58" s="13" t="n">
        <f aca="false">Inputs!$F$76*AM47</f>
        <v>1.42754814154865</v>
      </c>
      <c r="AN58" s="13" t="n">
        <f aca="false">Inputs!$F$76*AN47</f>
        <v>1.08030119962868</v>
      </c>
      <c r="AO58" s="13" t="n">
        <f aca="false">Inputs!$F$76*AO47</f>
        <v>0.901705996613016</v>
      </c>
      <c r="AP58" s="13" t="n">
        <f aca="false">Inputs!$F$76*AP47</f>
        <v>8.8394231568395</v>
      </c>
      <c r="AQ58" s="13" t="n">
        <f aca="false">Inputs!$F$76*AQ47</f>
        <v>6.81319826257846</v>
      </c>
      <c r="AR58" s="13" t="n">
        <f aca="false">Inputs!$F$76*AR47</f>
        <v>0.606243472238875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723</v>
      </c>
      <c r="E59" s="0" t="s">
        <v>149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0.185072252458686</v>
      </c>
      <c r="L59" s="13" t="n">
        <f aca="false">Inputs!$F$77*L47</f>
        <v>0.235912847164796</v>
      </c>
      <c r="M59" s="13" t="n">
        <f aca="false">Inputs!$F$77*M47</f>
        <v>0.33350490004792</v>
      </c>
      <c r="N59" s="13" t="n">
        <f aca="false">Inputs!$F$77*N47</f>
        <v>0.480222293287169</v>
      </c>
      <c r="O59" s="13" t="n">
        <f aca="false">Inputs!$F$77*O47</f>
        <v>0.661751200508777</v>
      </c>
      <c r="P59" s="13" t="n">
        <f aca="false">Inputs!$F$77*P47</f>
        <v>0.863273044537214</v>
      </c>
      <c r="Q59" s="13" t="n">
        <f aca="false">Inputs!$F$77*Q47</f>
        <v>1.09576932061239</v>
      </c>
      <c r="R59" s="13" t="n">
        <f aca="false">Inputs!$F$77*R47</f>
        <v>1.32748746874893</v>
      </c>
      <c r="S59" s="13" t="n">
        <f aca="false">Inputs!$F$77*S47</f>
        <v>1.56343477936492</v>
      </c>
      <c r="T59" s="13" t="n">
        <f aca="false">Inputs!$F$77*T47</f>
        <v>1.784237333861</v>
      </c>
      <c r="U59" s="13" t="n">
        <f aca="false">Inputs!$F$77*U47</f>
        <v>1.99594070324688</v>
      </c>
      <c r="V59" s="13" t="n">
        <f aca="false">Inputs!$F$77*V47</f>
        <v>2.1820698290778</v>
      </c>
      <c r="W59" s="13" t="n">
        <f aca="false">Inputs!$F$77*W47</f>
        <v>2.3368573137905</v>
      </c>
      <c r="X59" s="13" t="n">
        <f aca="false">Inputs!$F$77*X47</f>
        <v>2.46499190638619</v>
      </c>
      <c r="Y59" s="13" t="n">
        <f aca="false">Inputs!$F$77*Y47</f>
        <v>2.55031282760592</v>
      </c>
      <c r="Z59" s="13" t="n">
        <f aca="false">Inputs!$F$77*Z47</f>
        <v>2.60375703723027</v>
      </c>
      <c r="AA59" s="13" t="n">
        <f aca="false">Inputs!$F$77*AA47</f>
        <v>2.70093201816033</v>
      </c>
      <c r="AB59" s="13" t="n">
        <f aca="false">Inputs!$F$77*AB47</f>
        <v>2.57635459626942</v>
      </c>
      <c r="AC59" s="13" t="n">
        <f aca="false">Inputs!$F$77*AC47</f>
        <v>2.51511758572385</v>
      </c>
      <c r="AD59" s="13" t="n">
        <f aca="false">Inputs!$F$77*AD47</f>
        <v>2.40428525916383</v>
      </c>
      <c r="AE59" s="13" t="n">
        <f aca="false">Inputs!$F$77*AE47</f>
        <v>2.2684550764706</v>
      </c>
      <c r="AF59" s="13" t="n">
        <f aca="false">Inputs!$F$77*AF47</f>
        <v>2.0938592861539</v>
      </c>
      <c r="AG59" s="13" t="n">
        <f aca="false">Inputs!$F$77*AG47</f>
        <v>1.90484719810011</v>
      </c>
      <c r="AH59" s="13" t="n">
        <f aca="false">Inputs!$F$77*AH47</f>
        <v>1.69302426366239</v>
      </c>
      <c r="AI59" s="13" t="n">
        <f aca="false">Inputs!$F$77*AI47</f>
        <v>1.46551644999094</v>
      </c>
      <c r="AJ59" s="13" t="n">
        <f aca="false">Inputs!$F$77*AJ47</f>
        <v>1.24592451470814</v>
      </c>
      <c r="AK59" s="13" t="n">
        <f aca="false">Inputs!$F$77*AK47</f>
        <v>1.02236164016511</v>
      </c>
      <c r="AL59" s="13" t="n">
        <f aca="false">Inputs!$F$77*AL47</f>
        <v>0.825346744881826</v>
      </c>
      <c r="AM59" s="13" t="n">
        <f aca="false">Inputs!$F$77*AM47</f>
        <v>0.648885518885751</v>
      </c>
      <c r="AN59" s="13" t="n">
        <f aca="false">Inputs!$F$77*AN47</f>
        <v>0.491045999831217</v>
      </c>
      <c r="AO59" s="13" t="n">
        <f aca="false">Inputs!$F$77*AO47</f>
        <v>0.409866362096826</v>
      </c>
      <c r="AP59" s="13" t="n">
        <f aca="false">Inputs!$F$77*AP47</f>
        <v>4.01791961674523</v>
      </c>
      <c r="AQ59" s="13" t="n">
        <f aca="false">Inputs!$F$77*AQ47</f>
        <v>3.09690830117203</v>
      </c>
      <c r="AR59" s="13" t="n">
        <f aca="false">Inputs!$F$77*AR47</f>
        <v>0.275565214654034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724</v>
      </c>
      <c r="E60" s="0" t="s">
        <v>149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0.703274559343008</v>
      </c>
      <c r="L60" s="13" t="n">
        <f aca="false">Inputs!$F$78*L47</f>
        <v>0.896468819226226</v>
      </c>
      <c r="M60" s="13" t="n">
        <f aca="false">Inputs!$F$78*M47</f>
        <v>1.2673186201821</v>
      </c>
      <c r="N60" s="13" t="n">
        <f aca="false">Inputs!$F$78*N47</f>
        <v>1.82484471449124</v>
      </c>
      <c r="O60" s="13" t="n">
        <f aca="false">Inputs!$F$78*O47</f>
        <v>2.51465456193335</v>
      </c>
      <c r="P60" s="13" t="n">
        <f aca="false">Inputs!$F$78*P47</f>
        <v>3.28043756924141</v>
      </c>
      <c r="Q60" s="13" t="n">
        <f aca="false">Inputs!$F$78*Q47</f>
        <v>4.16392341832708</v>
      </c>
      <c r="R60" s="13" t="n">
        <f aca="false">Inputs!$F$78*R47</f>
        <v>5.04445238124594</v>
      </c>
      <c r="S60" s="13" t="n">
        <f aca="false">Inputs!$F$78*S47</f>
        <v>5.9410521615867</v>
      </c>
      <c r="T60" s="13" t="n">
        <f aca="false">Inputs!$F$78*T47</f>
        <v>6.78010186867178</v>
      </c>
      <c r="U60" s="13" t="n">
        <f aca="false">Inputs!$F$78*U47</f>
        <v>7.58457467233813</v>
      </c>
      <c r="V60" s="13" t="n">
        <f aca="false">Inputs!$F$78*V47</f>
        <v>8.29186535049565</v>
      </c>
      <c r="W60" s="13" t="n">
        <f aca="false">Inputs!$F$78*W47</f>
        <v>8.8800577924039</v>
      </c>
      <c r="X60" s="13" t="n">
        <f aca="false">Inputs!$F$78*X47</f>
        <v>9.36696924426753</v>
      </c>
      <c r="Y60" s="13" t="n">
        <f aca="false">Inputs!$F$78*Y47</f>
        <v>9.69118874490249</v>
      </c>
      <c r="Z60" s="13" t="n">
        <f aca="false">Inputs!$F$78*Z47</f>
        <v>9.89427674147503</v>
      </c>
      <c r="AA60" s="13" t="n">
        <f aca="false">Inputs!$F$78*AA47</f>
        <v>10.2635416690092</v>
      </c>
      <c r="AB60" s="13" t="n">
        <f aca="false">Inputs!$F$78*AB47</f>
        <v>9.7901474658238</v>
      </c>
      <c r="AC60" s="13" t="n">
        <f aca="false">Inputs!$F$78*AC47</f>
        <v>9.55744682575062</v>
      </c>
      <c r="AD60" s="13" t="n">
        <f aca="false">Inputs!$F$78*AD47</f>
        <v>9.13628398482256</v>
      </c>
      <c r="AE60" s="13" t="n">
        <f aca="false">Inputs!$F$78*AE47</f>
        <v>8.62012929058828</v>
      </c>
      <c r="AF60" s="13" t="n">
        <f aca="false">Inputs!$F$78*AF47</f>
        <v>7.95666528738484</v>
      </c>
      <c r="AG60" s="13" t="n">
        <f aca="false">Inputs!$F$78*AG47</f>
        <v>7.23841935278042</v>
      </c>
      <c r="AH60" s="13" t="n">
        <f aca="false">Inputs!$F$78*AH47</f>
        <v>6.43349220191706</v>
      </c>
      <c r="AI60" s="13" t="n">
        <f aca="false">Inputs!$F$78*AI47</f>
        <v>5.56896250996557</v>
      </c>
      <c r="AJ60" s="13" t="n">
        <f aca="false">Inputs!$F$78*AJ47</f>
        <v>4.73451315589091</v>
      </c>
      <c r="AK60" s="13" t="n">
        <f aca="false">Inputs!$F$78*AK47</f>
        <v>3.88497423262741</v>
      </c>
      <c r="AL60" s="13" t="n">
        <f aca="false">Inputs!$F$78*AL47</f>
        <v>3.13631763055094</v>
      </c>
      <c r="AM60" s="13" t="n">
        <f aca="false">Inputs!$F$78*AM47</f>
        <v>2.46576497176585</v>
      </c>
      <c r="AN60" s="13" t="n">
        <f aca="false">Inputs!$F$78*AN47</f>
        <v>1.86597479935862</v>
      </c>
      <c r="AO60" s="13" t="n">
        <f aca="false">Inputs!$F$78*AO47</f>
        <v>1.55749217596794</v>
      </c>
      <c r="AP60" s="13" t="n">
        <f aca="false">Inputs!$F$78*AP47</f>
        <v>15.2680945436319</v>
      </c>
      <c r="AQ60" s="13" t="n">
        <f aca="false">Inputs!$F$78*AQ47</f>
        <v>11.7682515444537</v>
      </c>
      <c r="AR60" s="13" t="n">
        <f aca="false">Inputs!$F$78*AR47</f>
        <v>1.04714781568533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725</v>
      </c>
      <c r="E61" s="0" t="s">
        <v>149</v>
      </c>
      <c r="J61" s="13" t="n">
        <f aca="false">J28+J57</f>
        <v>27.0143605485376</v>
      </c>
      <c r="K61" s="13" t="n">
        <f aca="false">K28+K57</f>
        <v>27.5695773059137</v>
      </c>
      <c r="L61" s="13" t="n">
        <f aca="false">L28+L57</f>
        <v>28.2773158474081</v>
      </c>
      <c r="M61" s="13" t="n">
        <f aca="false">M28+M57</f>
        <v>29.2778305475518</v>
      </c>
      <c r="N61" s="13" t="n">
        <f aca="false">N28+N57</f>
        <v>30.7184974274133</v>
      </c>
      <c r="O61" s="13" t="n">
        <f aca="false">O28+O57</f>
        <v>32.7037510289397</v>
      </c>
      <c r="P61" s="13" t="n">
        <f aca="false">P28+P57</f>
        <v>35.2935701625513</v>
      </c>
      <c r="Q61" s="13" t="n">
        <f aca="false">Q28+Q57</f>
        <v>38.5808781243885</v>
      </c>
      <c r="R61" s="13" t="n">
        <f aca="false">R28+R57</f>
        <v>42.5633405306353</v>
      </c>
      <c r="S61" s="13" t="n">
        <f aca="false">S28+S57</f>
        <v>47.25364486873</v>
      </c>
      <c r="T61" s="13" t="n">
        <f aca="false">T28+T57</f>
        <v>52.606356870313</v>
      </c>
      <c r="U61" s="13" t="n">
        <f aca="false">U28+U57</f>
        <v>58.5941789800537</v>
      </c>
      <c r="V61" s="13" t="n">
        <f aca="false">V28+V57</f>
        <v>65.1403884672871</v>
      </c>
      <c r="W61" s="13" t="n">
        <f aca="false">W28+W57</f>
        <v>72.1509604086586</v>
      </c>
      <c r="X61" s="13" t="n">
        <f aca="false">X28+X57</f>
        <v>79.5459361278171</v>
      </c>
      <c r="Y61" s="13" t="n">
        <f aca="false">Y28+Y57</f>
        <v>87.1968746106349</v>
      </c>
      <c r="Z61" s="13" t="n">
        <f aca="false">Z28+Z57</f>
        <v>95.0081457223257</v>
      </c>
      <c r="AA61" s="13" t="n">
        <f aca="false">AA28+AA57</f>
        <v>103.110941776807</v>
      </c>
      <c r="AB61" s="13" t="n">
        <f aca="false">AB28+AB57</f>
        <v>110.840005565615</v>
      </c>
      <c r="AC61" s="13" t="n">
        <f aca="false">AC28+AC57</f>
        <v>118.385358322786</v>
      </c>
      <c r="AD61" s="13" t="n">
        <f aca="false">AD28+AD57</f>
        <v>125.598214100278</v>
      </c>
      <c r="AE61" s="13" t="n">
        <f aca="false">AE28+AE57</f>
        <v>132.40357932969</v>
      </c>
      <c r="AF61" s="13" t="n">
        <f aca="false">AF28+AF57</f>
        <v>138.685157188152</v>
      </c>
      <c r="AG61" s="13" t="n">
        <f aca="false">AG28+AG57</f>
        <v>144.399698782452</v>
      </c>
      <c r="AH61" s="13" t="n">
        <f aca="false">AH28+AH57</f>
        <v>149.478771573439</v>
      </c>
      <c r="AI61" s="13" t="n">
        <f aca="false">AI28+AI57</f>
        <v>153.875320923412</v>
      </c>
      <c r="AJ61" s="13" t="n">
        <f aca="false">AJ28+AJ57</f>
        <v>157.613094467536</v>
      </c>
      <c r="AK61" s="13" t="n">
        <f aca="false">AK28+AK57</f>
        <v>160.680179388032</v>
      </c>
      <c r="AL61" s="13" t="n">
        <f aca="false">AL28+AL57</f>
        <v>163.156219622677</v>
      </c>
      <c r="AM61" s="13" t="n">
        <f aca="false">AM28+AM57</f>
        <v>165.102876179334</v>
      </c>
      <c r="AN61" s="13" t="n">
        <f aca="false">AN28+AN57</f>
        <v>166.576014178828</v>
      </c>
      <c r="AO61" s="13" t="n">
        <f aca="false">AO28+AO57</f>
        <v>167.805613265118</v>
      </c>
      <c r="AP61" s="13" t="n">
        <f aca="false">AP28+AP57</f>
        <v>179.859372115354</v>
      </c>
      <c r="AQ61" s="13" t="n">
        <f aca="false">AQ28+AQ57</f>
        <v>189.15009701887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726</v>
      </c>
      <c r="E62" s="0" t="s">
        <v>149</v>
      </c>
      <c r="J62" s="13" t="n">
        <f aca="false">J29+J58</f>
        <v>19.8105310689276</v>
      </c>
      <c r="K62" s="13" t="n">
        <f aca="false">K29+K58</f>
        <v>20.2176900243367</v>
      </c>
      <c r="L62" s="13" t="n">
        <f aca="false">L29+L58</f>
        <v>20.7366982880993</v>
      </c>
      <c r="M62" s="13" t="n">
        <f aca="false">M29+M58</f>
        <v>21.4704090682047</v>
      </c>
      <c r="N62" s="13" t="n">
        <f aca="false">N29+N58</f>
        <v>22.5268981134365</v>
      </c>
      <c r="O62" s="13" t="n">
        <f aca="false">O29+O58</f>
        <v>23.9827507545558</v>
      </c>
      <c r="P62" s="13" t="n">
        <f aca="false">P29+P58</f>
        <v>25.8819514525376</v>
      </c>
      <c r="Q62" s="13" t="n">
        <f aca="false">Q29+Q58</f>
        <v>28.2926439578849</v>
      </c>
      <c r="R62" s="13" t="n">
        <f aca="false">R29+R58</f>
        <v>31.2131163891325</v>
      </c>
      <c r="S62" s="13" t="n">
        <f aca="false">S29+S58</f>
        <v>34.6526729037354</v>
      </c>
      <c r="T62" s="13" t="n">
        <f aca="false">T29+T58</f>
        <v>38.5779950382296</v>
      </c>
      <c r="U62" s="13" t="n">
        <f aca="false">U29+U58</f>
        <v>42.9690645853727</v>
      </c>
      <c r="V62" s="13" t="n">
        <f aca="false">V29+V58</f>
        <v>47.7696182093439</v>
      </c>
      <c r="W62" s="13" t="n">
        <f aca="false">W29+W58</f>
        <v>52.910704299683</v>
      </c>
      <c r="X62" s="13" t="n">
        <f aca="false">X29+X58</f>
        <v>58.3336864937326</v>
      </c>
      <c r="Y62" s="13" t="n">
        <f aca="false">Y29+Y58</f>
        <v>63.9443747144656</v>
      </c>
      <c r="Z62" s="13" t="n">
        <f aca="false">Z29+Z58</f>
        <v>69.6726401963722</v>
      </c>
      <c r="AA62" s="13" t="n">
        <f aca="false">AA29+AA58</f>
        <v>75.6146906363249</v>
      </c>
      <c r="AB62" s="13" t="n">
        <f aca="false">AB29+AB58</f>
        <v>81.2826707481177</v>
      </c>
      <c r="AC62" s="13" t="n">
        <f aca="false">AC29+AC58</f>
        <v>86.8159294367101</v>
      </c>
      <c r="AD62" s="13" t="n">
        <f aca="false">AD29+AD58</f>
        <v>92.1053570068706</v>
      </c>
      <c r="AE62" s="13" t="n">
        <f aca="false">AE29+AE58</f>
        <v>97.0959581751059</v>
      </c>
      <c r="AF62" s="13" t="n">
        <f aca="false">AF29+AF58</f>
        <v>101.702448604644</v>
      </c>
      <c r="AG62" s="13" t="n">
        <f aca="false">AG29+AG58</f>
        <v>105.893112440465</v>
      </c>
      <c r="AH62" s="13" t="n">
        <f aca="false">AH29+AH58</f>
        <v>109.617765820522</v>
      </c>
      <c r="AI62" s="13" t="n">
        <f aca="false">AI29+AI58</f>
        <v>112.841902010502</v>
      </c>
      <c r="AJ62" s="13" t="n">
        <f aca="false">AJ29+AJ58</f>
        <v>115.58293594286</v>
      </c>
      <c r="AK62" s="13" t="n">
        <f aca="false">AK29+AK58</f>
        <v>117.832131551223</v>
      </c>
      <c r="AL62" s="13" t="n">
        <f aca="false">AL29+AL58</f>
        <v>119.647894389963</v>
      </c>
      <c r="AM62" s="13" t="n">
        <f aca="false">AM29+AM58</f>
        <v>121.075442531512</v>
      </c>
      <c r="AN62" s="13" t="n">
        <f aca="false">AN29+AN58</f>
        <v>122.155743731141</v>
      </c>
      <c r="AO62" s="13" t="n">
        <f aca="false">AO29+AO58</f>
        <v>123.057449727754</v>
      </c>
      <c r="AP62" s="13" t="n">
        <f aca="false">AP29+AP58</f>
        <v>131.896872884593</v>
      </c>
      <c r="AQ62" s="13" t="n">
        <f aca="false">AQ29+AQ58</f>
        <v>138.710071147171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727</v>
      </c>
      <c r="E63" s="0" t="s">
        <v>149</v>
      </c>
      <c r="J63" s="13" t="n">
        <f aca="false">J30+J59</f>
        <v>9.00478684951255</v>
      </c>
      <c r="K63" s="13" t="n">
        <f aca="false">K30+K59</f>
        <v>9.18985910197123</v>
      </c>
      <c r="L63" s="13" t="n">
        <f aca="false">L30+L59</f>
        <v>9.42577194913603</v>
      </c>
      <c r="M63" s="13" t="n">
        <f aca="false">M30+M59</f>
        <v>9.75927684918395</v>
      </c>
      <c r="N63" s="13" t="n">
        <f aca="false">N30+N59</f>
        <v>10.2394991424711</v>
      </c>
      <c r="O63" s="13" t="n">
        <f aca="false">O30+O59</f>
        <v>10.9012503429799</v>
      </c>
      <c r="P63" s="13" t="n">
        <f aca="false">P30+P59</f>
        <v>11.7645233875171</v>
      </c>
      <c r="Q63" s="13" t="n">
        <f aca="false">Q30+Q59</f>
        <v>12.8602927081295</v>
      </c>
      <c r="R63" s="13" t="n">
        <f aca="false">R30+R59</f>
        <v>14.1877801768784</v>
      </c>
      <c r="S63" s="13" t="n">
        <f aca="false">S30+S59</f>
        <v>15.7512149562433</v>
      </c>
      <c r="T63" s="13" t="n">
        <f aca="false">T30+T59</f>
        <v>17.5354522901043</v>
      </c>
      <c r="U63" s="13" t="n">
        <f aca="false">U30+U59</f>
        <v>19.5313929933512</v>
      </c>
      <c r="V63" s="13" t="n">
        <f aca="false">V30+V59</f>
        <v>21.713462822429</v>
      </c>
      <c r="W63" s="13" t="n">
        <f aca="false">W30+W59</f>
        <v>24.0503201362195</v>
      </c>
      <c r="X63" s="13" t="n">
        <f aca="false">X30+X59</f>
        <v>26.5153120426057</v>
      </c>
      <c r="Y63" s="13" t="n">
        <f aca="false">Y30+Y59</f>
        <v>29.0656248702116</v>
      </c>
      <c r="Z63" s="13" t="n">
        <f aca="false">Z30+Z59</f>
        <v>31.6693819074419</v>
      </c>
      <c r="AA63" s="13" t="n">
        <f aca="false">AA30+AA59</f>
        <v>34.3703139256022</v>
      </c>
      <c r="AB63" s="13" t="n">
        <f aca="false">AB30+AB59</f>
        <v>36.9466685218717</v>
      </c>
      <c r="AC63" s="13" t="n">
        <f aca="false">AC30+AC59</f>
        <v>39.4617861075955</v>
      </c>
      <c r="AD63" s="13" t="n">
        <f aca="false">AD30+AD59</f>
        <v>41.8660713667593</v>
      </c>
      <c r="AE63" s="13" t="n">
        <f aca="false">AE30+AE59</f>
        <v>44.1345264432299</v>
      </c>
      <c r="AF63" s="13" t="n">
        <f aca="false">AF30+AF59</f>
        <v>46.2283857293838</v>
      </c>
      <c r="AG63" s="13" t="n">
        <f aca="false">AG30+AG59</f>
        <v>48.1332329274839</v>
      </c>
      <c r="AH63" s="13" t="n">
        <f aca="false">AH30+AH59</f>
        <v>49.8262571911463</v>
      </c>
      <c r="AI63" s="13" t="n">
        <f aca="false">AI30+AI59</f>
        <v>51.2917736411373</v>
      </c>
      <c r="AJ63" s="13" t="n">
        <f aca="false">AJ30+AJ59</f>
        <v>52.5376981558454</v>
      </c>
      <c r="AK63" s="13" t="n">
        <f aca="false">AK30+AK59</f>
        <v>53.5600597960105</v>
      </c>
      <c r="AL63" s="13" t="n">
        <f aca="false">AL30+AL59</f>
        <v>54.3854065408923</v>
      </c>
      <c r="AM63" s="13" t="n">
        <f aca="false">AM30+AM59</f>
        <v>55.0342920597781</v>
      </c>
      <c r="AN63" s="13" t="n">
        <f aca="false">AN30+AN59</f>
        <v>55.5253380596093</v>
      </c>
      <c r="AO63" s="13" t="n">
        <f aca="false">AO30+AO59</f>
        <v>55.9352044217061</v>
      </c>
      <c r="AP63" s="13" t="n">
        <f aca="false">AP30+AP59</f>
        <v>59.9531240384514</v>
      </c>
      <c r="AQ63" s="13" t="n">
        <f aca="false">AQ30+AQ59</f>
        <v>63.0500323396234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728</v>
      </c>
      <c r="E64" s="0" t="s">
        <v>149</v>
      </c>
      <c r="J64" s="13" t="n">
        <f aca="false">J31+J60</f>
        <v>34.2181900281477</v>
      </c>
      <c r="K64" s="13" t="n">
        <f aca="false">K31+K60</f>
        <v>34.9214645874907</v>
      </c>
      <c r="L64" s="13" t="n">
        <f aca="false">L31+L60</f>
        <v>35.8179334067169</v>
      </c>
      <c r="M64" s="13" t="n">
        <f aca="false">M31+M60</f>
        <v>37.085252026899</v>
      </c>
      <c r="N64" s="13" t="n">
        <f aca="false">N31+N60</f>
        <v>38.9100967413902</v>
      </c>
      <c r="O64" s="13" t="n">
        <f aca="false">O31+O60</f>
        <v>41.4247513033236</v>
      </c>
      <c r="P64" s="13" t="n">
        <f aca="false">P31+P60</f>
        <v>44.705188872565</v>
      </c>
      <c r="Q64" s="13" t="n">
        <f aca="false">Q31+Q60</f>
        <v>48.8691122908921</v>
      </c>
      <c r="R64" s="13" t="n">
        <f aca="false">R31+R60</f>
        <v>53.913564672138</v>
      </c>
      <c r="S64" s="13" t="n">
        <f aca="false">S31+S60</f>
        <v>59.8546168337247</v>
      </c>
      <c r="T64" s="13" t="n">
        <f aca="false">T31+T60</f>
        <v>66.6347187023965</v>
      </c>
      <c r="U64" s="13" t="n">
        <f aca="false">U31+U60</f>
        <v>74.2192933747346</v>
      </c>
      <c r="V64" s="13" t="n">
        <f aca="false">V31+V60</f>
        <v>82.5111587252303</v>
      </c>
      <c r="W64" s="13" t="n">
        <f aca="false">W31+W60</f>
        <v>91.3912165176342</v>
      </c>
      <c r="X64" s="13" t="n">
        <f aca="false">X31+X60</f>
        <v>100.758185761902</v>
      </c>
      <c r="Y64" s="13" t="n">
        <f aca="false">Y31+Y60</f>
        <v>110.449374506804</v>
      </c>
      <c r="Z64" s="13" t="n">
        <f aca="false">Z31+Z60</f>
        <v>120.343651248279</v>
      </c>
      <c r="AA64" s="13" t="n">
        <f aca="false">AA31+AA60</f>
        <v>130.607192917288</v>
      </c>
      <c r="AB64" s="13" t="n">
        <f aca="false">AB31+AB60</f>
        <v>140.397340383112</v>
      </c>
      <c r="AC64" s="13" t="n">
        <f aca="false">AC31+AC60</f>
        <v>149.954787208863</v>
      </c>
      <c r="AD64" s="13" t="n">
        <f aca="false">AD31+AD60</f>
        <v>159.091071193685</v>
      </c>
      <c r="AE64" s="13" t="n">
        <f aca="false">AE31+AE60</f>
        <v>167.711200484274</v>
      </c>
      <c r="AF64" s="13" t="n">
        <f aca="false">AF31+AF60</f>
        <v>175.667865771659</v>
      </c>
      <c r="AG64" s="13" t="n">
        <f aca="false">AG31+AG60</f>
        <v>182.906285124439</v>
      </c>
      <c r="AH64" s="13" t="n">
        <f aca="false">AH31+AH60</f>
        <v>189.339777326356</v>
      </c>
      <c r="AI64" s="13" t="n">
        <f aca="false">AI31+AI60</f>
        <v>194.908739836322</v>
      </c>
      <c r="AJ64" s="13" t="n">
        <f aca="false">AJ31+AJ60</f>
        <v>199.643252992213</v>
      </c>
      <c r="AK64" s="13" t="n">
        <f aca="false">AK31+AK60</f>
        <v>203.52822722484</v>
      </c>
      <c r="AL64" s="13" t="n">
        <f aca="false">AL31+AL60</f>
        <v>206.664544855391</v>
      </c>
      <c r="AM64" s="13" t="n">
        <f aca="false">AM31+AM60</f>
        <v>209.130309827157</v>
      </c>
      <c r="AN64" s="13" t="n">
        <f aca="false">AN31+AN60</f>
        <v>210.996284626515</v>
      </c>
      <c r="AO64" s="13" t="n">
        <f aca="false">AO31+AO60</f>
        <v>212.553776802483</v>
      </c>
      <c r="AP64" s="13" t="n">
        <f aca="false">AP31+AP60</f>
        <v>227.821871346115</v>
      </c>
      <c r="AQ64" s="13" t="n">
        <f aca="false">AQ31+AQ60</f>
        <v>239.590122890569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729</v>
      </c>
      <c r="E65" s="0" t="s">
        <v>149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1.74223968585352E-011</v>
      </c>
      <c r="AS65" s="13" t="n">
        <f aca="false">AS32+AS55</f>
        <v>1.74223968585352E-011</v>
      </c>
      <c r="AT65" s="13" t="n">
        <f aca="false">AT32+AT55</f>
        <v>1.74223968585352E-011</v>
      </c>
      <c r="AU65" s="13" t="n">
        <f aca="false">AU32+AU55</f>
        <v>1.74223968585352E-011</v>
      </c>
      <c r="AV65" s="13" t="n">
        <f aca="false">AV32+AV55</f>
        <v>1.74223968585352E-011</v>
      </c>
      <c r="AW65" s="13" t="n">
        <f aca="false">AW32+AW55</f>
        <v>1.74223968585352E-011</v>
      </c>
      <c r="AX65" s="13" t="n">
        <f aca="false">AX32+AX55</f>
        <v>1.74223968585352E-011</v>
      </c>
      <c r="AY65" s="13" t="n">
        <f aca="false">AY32+AY55</f>
        <v>1.74223968585352E-011</v>
      </c>
      <c r="AZ65" s="13" t="n">
        <f aca="false">AZ32+AZ55</f>
        <v>1.74223968585352E-011</v>
      </c>
      <c r="BA65" s="13" t="n">
        <f aca="false">BA32+BA55</f>
        <v>1.74223968585352E-011</v>
      </c>
      <c r="BB65" s="13" t="n">
        <f aca="false">BB32+BB55</f>
        <v>1.74223968585352E-011</v>
      </c>
      <c r="BC65" s="13" t="n">
        <f aca="false">BC32+BC55</f>
        <v>1.74223968585352E-011</v>
      </c>
      <c r="BD65" s="13" t="n">
        <f aca="false">BD32+BD55</f>
        <v>1.74223968585352E-011</v>
      </c>
      <c r="BE65" s="13" t="n">
        <f aca="false">BE32+BE55</f>
        <v>1.74223968585352E-011</v>
      </c>
      <c r="BF65" s="13" t="n">
        <f aca="false">BF32+BF55</f>
        <v>1.74223968585352E-011</v>
      </c>
      <c r="BG65" s="13" t="n">
        <f aca="false">BG32+BG55</f>
        <v>1.74223968585352E-011</v>
      </c>
      <c r="BH65" s="13" t="n">
        <f aca="false">BH32+BH55</f>
        <v>1.74223968585352E-011</v>
      </c>
      <c r="BI65" s="13" t="n">
        <f aca="false">BI32+BI55</f>
        <v>1.74223968585352E-011</v>
      </c>
      <c r="BJ65" s="13" t="n">
        <f aca="false">BJ32+BJ55</f>
        <v>1.74223968585352E-011</v>
      </c>
    </row>
    <row r="66" customFormat="false" ht="15" hidden="false" customHeight="false" outlineLevel="0" collapsed="false">
      <c r="B66" s="2" t="s">
        <v>730</v>
      </c>
    </row>
    <row r="67" customFormat="false" ht="15" hidden="false" customHeight="false" outlineLevel="0" collapsed="false">
      <c r="D67" s="0" t="s">
        <v>731</v>
      </c>
      <c r="E67" s="0" t="s">
        <v>149</v>
      </c>
      <c r="G67" s="13" t="n">
        <f aca="false">SUM(J67:BJ67)</f>
        <v>221.833767584057</v>
      </c>
      <c r="J67" s="13" t="n">
        <f aca="false">J50-J47+J56</f>
        <v>31.5443654741124</v>
      </c>
      <c r="K67" s="13" t="n">
        <f aca="false">K50-K47+K56</f>
        <v>0.648320373179076</v>
      </c>
      <c r="L67" s="13" t="n">
        <f aca="false">L50-L47+L56</f>
        <v>0.826418347859906</v>
      </c>
      <c r="M67" s="13" t="n">
        <f aca="false">M50-M47+M56</f>
        <v>1.16828978079458</v>
      </c>
      <c r="N67" s="13" t="n">
        <f aca="false">N50-N47+N56</f>
        <v>1.68225053867731</v>
      </c>
      <c r="O67" s="13" t="n">
        <f aca="false">O50-O47+O56</f>
        <v>2.31815833851875</v>
      </c>
      <c r="P67" s="13" t="n">
        <f aca="false">P50-P47+P56</f>
        <v>3.0241027217991</v>
      </c>
      <c r="Q67" s="13" t="n">
        <f aca="false">Q50-Q47+Q56</f>
        <v>3.83855259456677</v>
      </c>
      <c r="R67" s="13" t="n">
        <f aca="false">R50-R47+R56</f>
        <v>4.6502766335649</v>
      </c>
      <c r="S67" s="13" t="n">
        <f aca="false">S50-S47+S56</f>
        <v>5.47681570917974</v>
      </c>
      <c r="T67" s="13" t="n">
        <f aca="false">T50-T47+T56</f>
        <v>6.25030169980247</v>
      </c>
      <c r="U67" s="13" t="n">
        <f aca="false">U50-U47+U56</f>
        <v>6.99191264158404</v>
      </c>
      <c r="V67" s="13" t="n">
        <f aca="false">V50-V47+V56</f>
        <v>7.6439353122712</v>
      </c>
      <c r="W67" s="13" t="n">
        <f aca="false">W50-W47+W56</f>
        <v>8.18616613574263</v>
      </c>
      <c r="X67" s="13" t="n">
        <f aca="false">X50-X47+X56</f>
        <v>8.63503011067768</v>
      </c>
      <c r="Y67" s="13" t="n">
        <f aca="false">Y50-Y47+Y56</f>
        <v>8.93391495565196</v>
      </c>
      <c r="Z67" s="13" t="n">
        <f aca="false">Z50-Z47+Z56</f>
        <v>9.1211335660466</v>
      </c>
      <c r="AA67" s="13" t="n">
        <f aca="false">AA50-AA47+AA56</f>
        <v>9.46154396827212</v>
      </c>
      <c r="AB67" s="13" t="n">
        <f aca="false">AB50-AB47+AB56</f>
        <v>9.0251409982049</v>
      </c>
      <c r="AC67" s="13" t="n">
        <f aca="false">AC50-AC47+AC56</f>
        <v>8.81062368941417</v>
      </c>
      <c r="AD67" s="13" t="n">
        <f aca="false">AD50-AD47+AD56</f>
        <v>8.42237069977848</v>
      </c>
      <c r="AE67" s="13" t="n">
        <f aca="false">AE50-AE47+AE56</f>
        <v>7.9465485624091</v>
      </c>
      <c r="AF67" s="13" t="n">
        <f aca="false">AF50-AF47+AF56</f>
        <v>7.33492793084585</v>
      </c>
      <c r="AG67" s="13" t="n">
        <f aca="false">AG50-AG47+AG56</f>
        <v>6.67280605231224</v>
      </c>
      <c r="AH67" s="13" t="n">
        <f aca="false">AH50-AH47+AH56</f>
        <v>5.93077626622527</v>
      </c>
      <c r="AI67" s="13" t="n">
        <f aca="false">AI50-AI47+AI56</f>
        <v>5.13380130806101</v>
      </c>
      <c r="AJ67" s="13" t="n">
        <f aca="false">AJ50-AJ47+AJ56</f>
        <v>4.36455619682293</v>
      </c>
      <c r="AK67" s="13" t="n">
        <f aca="false">AK50-AK47+AK56</f>
        <v>3.58140062202883</v>
      </c>
      <c r="AL67" s="13" t="n">
        <f aca="false">AL50-AL47+AL56</f>
        <v>2.89124437907497</v>
      </c>
      <c r="AM67" s="13" t="n">
        <f aca="false">AM50-AM47+AM56</f>
        <v>2.27308900262301</v>
      </c>
      <c r="AN67" s="13" t="n">
        <f aca="false">AN50-AN47+AN56</f>
        <v>1.72016670046058</v>
      </c>
      <c r="AO67" s="13" t="n">
        <f aca="false">AO50-AO47+AO56</f>
        <v>1.43578904615905</v>
      </c>
      <c r="AP67" s="13" t="n">
        <f aca="false">AP50-AP47+AP56</f>
        <v>14.0750388603677</v>
      </c>
      <c r="AQ67" s="13" t="n">
        <f aca="false">AQ50-AQ47+AQ56</f>
        <v>10.8486751462942</v>
      </c>
      <c r="AR67" s="13" t="n">
        <f aca="false">AR50-AR47+AR56</f>
        <v>0.965323220673674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732</v>
      </c>
      <c r="E68" s="0" t="s">
        <v>149</v>
      </c>
      <c r="G68" s="13" t="n">
        <f aca="false">SUM(J68:BJ68)</f>
        <v>207.633767584057</v>
      </c>
      <c r="J68" s="13" t="n">
        <f aca="false">J67-IF(Construction!J8=1,Inputs!$F$68,0)</f>
        <v>17.3443654741124</v>
      </c>
      <c r="K68" s="13" t="n">
        <f aca="false">K67-IF(Construction!K8=1,Inputs!$F$68,0)</f>
        <v>0.648320373179076</v>
      </c>
      <c r="L68" s="13" t="n">
        <f aca="false">L67-IF(Construction!L8=1,Inputs!$F$68,0)</f>
        <v>0.826418347859906</v>
      </c>
      <c r="M68" s="13" t="n">
        <f aca="false">M67-IF(Construction!M8=1,Inputs!$F$68,0)</f>
        <v>1.16828978079458</v>
      </c>
      <c r="N68" s="13" t="n">
        <f aca="false">N67-IF(Construction!N8=1,Inputs!$F$68,0)</f>
        <v>1.68225053867731</v>
      </c>
      <c r="O68" s="13" t="n">
        <f aca="false">O67-IF(Construction!O8=1,Inputs!$F$68,0)</f>
        <v>2.31815833851875</v>
      </c>
      <c r="P68" s="13" t="n">
        <f aca="false">P67-IF(Construction!P8=1,Inputs!$F$68,0)</f>
        <v>3.0241027217991</v>
      </c>
      <c r="Q68" s="13" t="n">
        <f aca="false">Q67-IF(Construction!Q8=1,Inputs!$F$68,0)</f>
        <v>3.83855259456677</v>
      </c>
      <c r="R68" s="13" t="n">
        <f aca="false">R67-IF(Construction!R8=1,Inputs!$F$68,0)</f>
        <v>4.6502766335649</v>
      </c>
      <c r="S68" s="13" t="n">
        <f aca="false">S67-IF(Construction!S8=1,Inputs!$F$68,0)</f>
        <v>5.47681570917974</v>
      </c>
      <c r="T68" s="13" t="n">
        <f aca="false">T67-IF(Construction!T8=1,Inputs!$F$68,0)</f>
        <v>6.25030169980247</v>
      </c>
      <c r="U68" s="13" t="n">
        <f aca="false">U67-IF(Construction!U8=1,Inputs!$F$68,0)</f>
        <v>6.99191264158404</v>
      </c>
      <c r="V68" s="13" t="n">
        <f aca="false">V67-IF(Construction!V8=1,Inputs!$F$68,0)</f>
        <v>7.6439353122712</v>
      </c>
      <c r="W68" s="13" t="n">
        <f aca="false">W67-IF(Construction!W8=1,Inputs!$F$68,0)</f>
        <v>8.18616613574263</v>
      </c>
      <c r="X68" s="13" t="n">
        <f aca="false">X67-IF(Construction!X8=1,Inputs!$F$68,0)</f>
        <v>8.63503011067768</v>
      </c>
      <c r="Y68" s="13" t="n">
        <f aca="false">Y67-IF(Construction!Y8=1,Inputs!$F$68,0)</f>
        <v>8.93391495565196</v>
      </c>
      <c r="Z68" s="13" t="n">
        <f aca="false">Z67-IF(Construction!Z8=1,Inputs!$F$68,0)</f>
        <v>9.1211335660466</v>
      </c>
      <c r="AA68" s="13" t="n">
        <f aca="false">AA67-IF(Construction!AA8=1,Inputs!$F$68,0)</f>
        <v>9.46154396827212</v>
      </c>
      <c r="AB68" s="13" t="n">
        <f aca="false">AB67-IF(Construction!AB8=1,Inputs!$F$68,0)</f>
        <v>9.0251409982049</v>
      </c>
      <c r="AC68" s="13" t="n">
        <f aca="false">AC67-IF(Construction!AC8=1,Inputs!$F$68,0)</f>
        <v>8.81062368941417</v>
      </c>
      <c r="AD68" s="13" t="n">
        <f aca="false">AD67-IF(Construction!AD8=1,Inputs!$F$68,0)</f>
        <v>8.42237069977848</v>
      </c>
      <c r="AE68" s="13" t="n">
        <f aca="false">AE67-IF(Construction!AE8=1,Inputs!$F$68,0)</f>
        <v>7.9465485624091</v>
      </c>
      <c r="AF68" s="13" t="n">
        <f aca="false">AF67-IF(Construction!AF8=1,Inputs!$F$68,0)</f>
        <v>7.33492793084585</v>
      </c>
      <c r="AG68" s="13" t="n">
        <f aca="false">AG67-IF(Construction!AG8=1,Inputs!$F$68,0)</f>
        <v>6.67280605231224</v>
      </c>
      <c r="AH68" s="13" t="n">
        <f aca="false">AH67-IF(Construction!AH8=1,Inputs!$F$68,0)</f>
        <v>5.93077626622527</v>
      </c>
      <c r="AI68" s="13" t="n">
        <f aca="false">AI67-IF(Construction!AI8=1,Inputs!$F$68,0)</f>
        <v>5.13380130806101</v>
      </c>
      <c r="AJ68" s="13" t="n">
        <f aca="false">AJ67-IF(Construction!AJ8=1,Inputs!$F$68,0)</f>
        <v>4.36455619682293</v>
      </c>
      <c r="AK68" s="13" t="n">
        <f aca="false">AK67-IF(Construction!AK8=1,Inputs!$F$68,0)</f>
        <v>3.58140062202883</v>
      </c>
      <c r="AL68" s="13" t="n">
        <f aca="false">AL67-IF(Construction!AL8=1,Inputs!$F$68,0)</f>
        <v>2.89124437907497</v>
      </c>
      <c r="AM68" s="13" t="n">
        <f aca="false">AM67-IF(Construction!AM8=1,Inputs!$F$68,0)</f>
        <v>2.27308900262301</v>
      </c>
      <c r="AN68" s="13" t="n">
        <f aca="false">AN67-IF(Construction!AN8=1,Inputs!$F$68,0)</f>
        <v>1.72016670046058</v>
      </c>
      <c r="AO68" s="13" t="n">
        <f aca="false">AO67-IF(Construction!AO8=1,Inputs!$F$68,0)</f>
        <v>1.43578904615905</v>
      </c>
      <c r="AP68" s="13" t="n">
        <f aca="false">AP67-IF(Construction!AP8=1,Inputs!$F$68,0)</f>
        <v>14.0750388603677</v>
      </c>
      <c r="AQ68" s="13" t="n">
        <f aca="false">AQ67-IF(Construction!AQ8=1,Inputs!$F$68,0)</f>
        <v>10.8486751462942</v>
      </c>
      <c r="AR68" s="13" t="n">
        <f aca="false">AR67-IF(Construction!AR8=1,Inputs!$F$68,0)</f>
        <v>0.965323220673674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733</v>
      </c>
      <c r="E69" s="0" t="s">
        <v>149</v>
      </c>
      <c r="G69" s="13" t="n">
        <f aca="false">SUM(J69:BJ69)</f>
        <v>44.3667535168114</v>
      </c>
      <c r="J69" s="13" t="n">
        <f aca="false">(1-Inputs!$F$53)*J67</f>
        <v>6.30887309482249</v>
      </c>
      <c r="K69" s="13" t="n">
        <f aca="false">(1-Inputs!$F$53)*K67</f>
        <v>0.129664074635815</v>
      </c>
      <c r="L69" s="13" t="n">
        <f aca="false">(1-Inputs!$F$53)*L67</f>
        <v>0.165283669571981</v>
      </c>
      <c r="M69" s="13" t="n">
        <f aca="false">(1-Inputs!$F$53)*M67</f>
        <v>0.233657956158916</v>
      </c>
      <c r="N69" s="13" t="n">
        <f aca="false">(1-Inputs!$F$53)*N67</f>
        <v>0.336450107735463</v>
      </c>
      <c r="O69" s="13" t="n">
        <f aca="false">(1-Inputs!$F$53)*O67</f>
        <v>0.463631667703751</v>
      </c>
      <c r="P69" s="13" t="n">
        <f aca="false">(1-Inputs!$F$53)*P67</f>
        <v>0.60482054435982</v>
      </c>
      <c r="Q69" s="13" t="n">
        <f aca="false">(1-Inputs!$F$53)*Q67</f>
        <v>0.767710518913354</v>
      </c>
      <c r="R69" s="13" t="n">
        <f aca="false">(1-Inputs!$F$53)*R67</f>
        <v>0.93005532671298</v>
      </c>
      <c r="S69" s="13" t="n">
        <f aca="false">(1-Inputs!$F$53)*S67</f>
        <v>1.09536314183595</v>
      </c>
      <c r="T69" s="13" t="n">
        <f aca="false">(1-Inputs!$F$53)*T67</f>
        <v>1.25006033996049</v>
      </c>
      <c r="U69" s="13" t="n">
        <f aca="false">(1-Inputs!$F$53)*U67</f>
        <v>1.39838252831681</v>
      </c>
      <c r="V69" s="13" t="n">
        <f aca="false">(1-Inputs!$F$53)*V67</f>
        <v>1.52878706245424</v>
      </c>
      <c r="W69" s="13" t="n">
        <f aca="false">(1-Inputs!$F$53)*W67</f>
        <v>1.63723322714853</v>
      </c>
      <c r="X69" s="13" t="n">
        <f aca="false">(1-Inputs!$F$53)*X67</f>
        <v>1.72700602213553</v>
      </c>
      <c r="Y69" s="13" t="n">
        <f aca="false">(1-Inputs!$F$53)*Y67</f>
        <v>1.78678299113039</v>
      </c>
      <c r="Z69" s="13" t="n">
        <f aca="false">(1-Inputs!$F$53)*Z67</f>
        <v>1.82422671320932</v>
      </c>
      <c r="AA69" s="13" t="n">
        <f aca="false">(1-Inputs!$F$53)*AA67</f>
        <v>1.89230879365442</v>
      </c>
      <c r="AB69" s="13" t="n">
        <f aca="false">(1-Inputs!$F$53)*AB67</f>
        <v>1.80502819964098</v>
      </c>
      <c r="AC69" s="13" t="n">
        <f aca="false">(1-Inputs!$F$53)*AC67</f>
        <v>1.76212473788283</v>
      </c>
      <c r="AD69" s="13" t="n">
        <f aca="false">(1-Inputs!$F$53)*AD67</f>
        <v>1.6844741399557</v>
      </c>
      <c r="AE69" s="13" t="n">
        <f aca="false">(1-Inputs!$F$53)*AE67</f>
        <v>1.58930971248182</v>
      </c>
      <c r="AF69" s="13" t="n">
        <f aca="false">(1-Inputs!$F$53)*AF67</f>
        <v>1.46698558616917</v>
      </c>
      <c r="AG69" s="13" t="n">
        <f aca="false">(1-Inputs!$F$53)*AG67</f>
        <v>1.33456121046245</v>
      </c>
      <c r="AH69" s="13" t="n">
        <f aca="false">(1-Inputs!$F$53)*AH67</f>
        <v>1.18615525324505</v>
      </c>
      <c r="AI69" s="13" t="n">
        <f aca="false">(1-Inputs!$F$53)*AI67</f>
        <v>1.0267602616122</v>
      </c>
      <c r="AJ69" s="13" t="n">
        <f aca="false">(1-Inputs!$F$53)*AJ67</f>
        <v>0.872911239364585</v>
      </c>
      <c r="AK69" s="13" t="n">
        <f aca="false">(1-Inputs!$F$53)*AK67</f>
        <v>0.716280124405765</v>
      </c>
      <c r="AL69" s="13" t="n">
        <f aca="false">(1-Inputs!$F$53)*AL67</f>
        <v>0.578248875814994</v>
      </c>
      <c r="AM69" s="13" t="n">
        <f aca="false">(1-Inputs!$F$53)*AM67</f>
        <v>0.454617800524601</v>
      </c>
      <c r="AN69" s="13" t="n">
        <f aca="false">(1-Inputs!$F$53)*AN67</f>
        <v>0.344033340092117</v>
      </c>
      <c r="AO69" s="13" t="n">
        <f aca="false">(1-Inputs!$F$53)*AO67</f>
        <v>0.28715780923181</v>
      </c>
      <c r="AP69" s="13" t="n">
        <f aca="false">(1-Inputs!$F$53)*AP67</f>
        <v>2.81500777207354</v>
      </c>
      <c r="AQ69" s="13" t="n">
        <f aca="false">(1-Inputs!$F$53)*AQ67</f>
        <v>2.16973502925883</v>
      </c>
      <c r="AR69" s="13" t="n">
        <f aca="false">(1-Inputs!$F$53)*AR67</f>
        <v>0.193064644134735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734</v>
      </c>
      <c r="E70" s="0" t="s">
        <v>149</v>
      </c>
      <c r="G70" s="13" t="n">
        <f aca="false">SUM(J70:BJ70)</f>
        <v>177.467014067246</v>
      </c>
      <c r="J70" s="13" t="n">
        <f aca="false">Inputs!$F$53*J67</f>
        <v>25.23549237929</v>
      </c>
      <c r="K70" s="13" t="n">
        <f aca="false">Inputs!$F$53*K67</f>
        <v>0.518656298543261</v>
      </c>
      <c r="L70" s="13" t="n">
        <f aca="false">Inputs!$F$53*L67</f>
        <v>0.661134678287925</v>
      </c>
      <c r="M70" s="13" t="n">
        <f aca="false">Inputs!$F$53*M67</f>
        <v>0.934631824635666</v>
      </c>
      <c r="N70" s="13" t="n">
        <f aca="false">Inputs!$F$53*N67</f>
        <v>1.34580043094185</v>
      </c>
      <c r="O70" s="13" t="n">
        <f aca="false">Inputs!$F$53*O67</f>
        <v>1.854526670815</v>
      </c>
      <c r="P70" s="13" t="n">
        <f aca="false">Inputs!$F$53*P67</f>
        <v>2.41928217743928</v>
      </c>
      <c r="Q70" s="13" t="n">
        <f aca="false">Inputs!$F$53*Q67</f>
        <v>3.07084207565342</v>
      </c>
      <c r="R70" s="13" t="n">
        <f aca="false">Inputs!$F$53*R67</f>
        <v>3.72022130685192</v>
      </c>
      <c r="S70" s="13" t="n">
        <f aca="false">Inputs!$F$53*S67</f>
        <v>4.38145256734379</v>
      </c>
      <c r="T70" s="13" t="n">
        <f aca="false">Inputs!$F$53*T67</f>
        <v>5.00024135984198</v>
      </c>
      <c r="U70" s="13" t="n">
        <f aca="false">Inputs!$F$53*U67</f>
        <v>5.59353011326724</v>
      </c>
      <c r="V70" s="13" t="n">
        <f aca="false">Inputs!$F$53*V67</f>
        <v>6.11514824981696</v>
      </c>
      <c r="W70" s="13" t="n">
        <f aca="false">Inputs!$F$53*W67</f>
        <v>6.54893290859411</v>
      </c>
      <c r="X70" s="13" t="n">
        <f aca="false">Inputs!$F$53*X67</f>
        <v>6.90802408854214</v>
      </c>
      <c r="Y70" s="13" t="n">
        <f aca="false">Inputs!$F$53*Y67</f>
        <v>7.14713196452157</v>
      </c>
      <c r="Z70" s="13" t="n">
        <f aca="false">Inputs!$F$53*Z67</f>
        <v>7.29690685283728</v>
      </c>
      <c r="AA70" s="13" t="n">
        <f aca="false">Inputs!$F$53*AA67</f>
        <v>7.5692351746177</v>
      </c>
      <c r="AB70" s="13" t="n">
        <f aca="false">Inputs!$F$53*AB67</f>
        <v>7.22011279856392</v>
      </c>
      <c r="AC70" s="13" t="n">
        <f aca="false">Inputs!$F$53*AC67</f>
        <v>7.04849895153134</v>
      </c>
      <c r="AD70" s="13" t="n">
        <f aca="false">Inputs!$F$53*AD67</f>
        <v>6.73789655982279</v>
      </c>
      <c r="AE70" s="13" t="n">
        <f aca="false">Inputs!$F$53*AE67</f>
        <v>6.35723884992728</v>
      </c>
      <c r="AF70" s="13" t="n">
        <f aca="false">Inputs!$F$53*AF67</f>
        <v>5.86794234467668</v>
      </c>
      <c r="AG70" s="13" t="n">
        <f aca="false">Inputs!$F$53*AG67</f>
        <v>5.33824484184979</v>
      </c>
      <c r="AH70" s="13" t="n">
        <f aca="false">Inputs!$F$53*AH67</f>
        <v>4.74462101298021</v>
      </c>
      <c r="AI70" s="13" t="n">
        <f aca="false">Inputs!$F$53*AI67</f>
        <v>4.10704104644881</v>
      </c>
      <c r="AJ70" s="13" t="n">
        <f aca="false">Inputs!$F$53*AJ67</f>
        <v>3.49164495745834</v>
      </c>
      <c r="AK70" s="13" t="n">
        <f aca="false">Inputs!$F$53*AK67</f>
        <v>2.86512049762306</v>
      </c>
      <c r="AL70" s="13" t="n">
        <f aca="false">Inputs!$F$53*AL67</f>
        <v>2.31299550325998</v>
      </c>
      <c r="AM70" s="13" t="n">
        <f aca="false">Inputs!$F$53*AM67</f>
        <v>1.8184712020984</v>
      </c>
      <c r="AN70" s="13" t="n">
        <f aca="false">Inputs!$F$53*AN67</f>
        <v>1.37613336036847</v>
      </c>
      <c r="AO70" s="13" t="n">
        <f aca="false">Inputs!$F$53*AO67</f>
        <v>1.14863123692724</v>
      </c>
      <c r="AP70" s="13" t="n">
        <f aca="false">Inputs!$F$53*AP67</f>
        <v>11.2600310882942</v>
      </c>
      <c r="AQ70" s="13" t="n">
        <f aca="false">Inputs!$F$53*AQ67</f>
        <v>8.67894011703532</v>
      </c>
      <c r="AR70" s="13" t="n">
        <f aca="false">Inputs!$F$53*AR67</f>
        <v>0.772258576538939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735</v>
      </c>
      <c r="E71" s="0" t="s">
        <v>149</v>
      </c>
      <c r="G71" s="13" t="n">
        <f aca="false">SUM(J71:BJ71)</f>
        <v>24.1927046575272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0.209387022435221</v>
      </c>
      <c r="M71" s="13" t="n">
        <f aca="false">IF(Construction!M8&lt;=Time!$F$11,L72*Inputs!$F$104/100*Construction!M11/Inputs!$F$248,0)</f>
        <v>0.209429826595189</v>
      </c>
      <c r="N71" s="13" t="n">
        <f aca="false">IF(Construction!N8&lt;=Time!$F$11,M72*Inputs!$F$104/100*Construction!N11/Inputs!$F$248,0)</f>
        <v>0.225641674411946</v>
      </c>
      <c r="O71" s="13" t="n">
        <f aca="false">IF(Construction!O8&lt;=Time!$F$11,N72*Inputs!$F$104/100*Construction!O11/Inputs!$F$248,0)</f>
        <v>0.238320844275691</v>
      </c>
      <c r="P71" s="13" t="n">
        <f aca="false">IF(Construction!P8&lt;=Time!$F$11,O72*Inputs!$F$104/100*Construction!P11/Inputs!$F$248,0)</f>
        <v>0.230509521395664</v>
      </c>
      <c r="Q71" s="13" t="n">
        <f aca="false">IF(Construction!Q8&lt;=Time!$F$11,P72*Inputs!$F$104/100*Construction!Q11/Inputs!$F$248,0)</f>
        <v>0.27658679628942</v>
      </c>
      <c r="R71" s="13" t="n">
        <f aca="false">IF(Construction!R8&lt;=Time!$F$11,Q72*Inputs!$F$104/100*Construction!R11/Inputs!$F$248,0)</f>
        <v>0.293802099885576</v>
      </c>
      <c r="S71" s="13" t="n">
        <f aca="false">IF(Construction!S8&lt;=Time!$F$11,R72*Inputs!$F$104/100*Construction!S11/Inputs!$F$248,0)</f>
        <v>0.335982623579046</v>
      </c>
      <c r="T71" s="13" t="n">
        <f aca="false">IF(Construction!T8&lt;=Time!$F$11,S72*Inputs!$F$104/100*Construction!T11/Inputs!$F$248,0)</f>
        <v>0.361979242360458</v>
      </c>
      <c r="U71" s="13" t="n">
        <f aca="false">IF(Construction!U8&lt;=Time!$F$11,T72*Inputs!$F$104/100*Construction!U11/Inputs!$F$248,0)</f>
        <v>0.417310257307139</v>
      </c>
      <c r="V71" s="13" t="n">
        <f aca="false">IF(Construction!V8&lt;=Time!$F$11,U72*Inputs!$F$104/100*Construction!V11/Inputs!$F$248,0)</f>
        <v>0.465808681666979</v>
      </c>
      <c r="W71" s="13" t="n">
        <f aca="false">IF(Construction!W8&lt;=Time!$F$11,V72*Inputs!$F$104/100*Construction!W11/Inputs!$F$248,0)</f>
        <v>0.502168149284138</v>
      </c>
      <c r="X71" s="13" t="n">
        <f aca="false">IF(Construction!X8&lt;=Time!$F$11,W72*Inputs!$F$104/100*Construction!X11/Inputs!$F$248,0)</f>
        <v>0.575798848183887</v>
      </c>
      <c r="Y71" s="13" t="n">
        <f aca="false">IF(Construction!Y8&lt;=Time!$F$11,X72*Inputs!$F$104/100*Construction!Y11/Inputs!$F$248,0)</f>
        <v>0.615660021570774</v>
      </c>
      <c r="Z71" s="13" t="n">
        <f aca="false">IF(Construction!Z8&lt;=Time!$F$11,Y72*Inputs!$F$104/100*Construction!Z11/Inputs!$F$248,0)</f>
        <v>0.698816056259778</v>
      </c>
      <c r="AA71" s="13" t="n">
        <f aca="false">IF(Construction!AA8&lt;=Time!$F$11,Z72*Inputs!$F$104/100*Construction!AA11/Inputs!$F$248,0)</f>
        <v>0.763329491786602</v>
      </c>
      <c r="AB71" s="13" t="n">
        <f aca="false">IF(Construction!AB8&lt;=Time!$F$11,AA72*Inputs!$F$104/100*Construction!AB11/Inputs!$F$248,0)</f>
        <v>0.776976169323503</v>
      </c>
      <c r="AC71" s="13" t="n">
        <f aca="false">IF(Construction!AC8&lt;=Time!$F$11,AB72*Inputs!$F$104/100*Construction!AC11/Inputs!$F$248,0)</f>
        <v>0.895085190287942</v>
      </c>
      <c r="AD71" s="13" t="n">
        <f aca="false">IF(Construction!AD8&lt;=Time!$F$11,AC72*Inputs!$F$104/100*Construction!AD11/Inputs!$F$248,0)</f>
        <v>0.928236720511065</v>
      </c>
      <c r="AE71" s="13" t="n">
        <f aca="false">IF(Construction!AE8&lt;=Time!$F$11,AD72*Inputs!$F$104/100*Construction!AE11/Inputs!$F$248,0)</f>
        <v>1.02103208839271</v>
      </c>
      <c r="AF71" s="13" t="n">
        <f aca="false">IF(Construction!AF8&lt;=Time!$F$11,AE72*Inputs!$F$104/100*Construction!AF11/Inputs!$F$248,0)</f>
        <v>1.04570672605398</v>
      </c>
      <c r="AG71" s="13" t="n">
        <f aca="false">IF(Construction!AG8&lt;=Time!$F$11,AF72*Inputs!$F$104/100*Construction!AG11/Inputs!$F$248,0)</f>
        <v>1.13634634709587</v>
      </c>
      <c r="AH71" s="13" t="n">
        <f aca="false">IF(Construction!AH8&lt;=Time!$F$11,AG72*Inputs!$F$104/100*Construction!AH11/Inputs!$F$248,0)</f>
        <v>1.18858654175737</v>
      </c>
      <c r="AI71" s="13" t="n">
        <f aca="false">IF(Construction!AI8&lt;=Time!$F$11,AH72*Inputs!$F$104/100*Construction!AI11/Inputs!$F$248,0)</f>
        <v>1.1965728254268</v>
      </c>
      <c r="AJ71" s="13" t="n">
        <f aca="false">IF(Construction!AJ8&lt;=Time!$F$11,AI72*Inputs!$F$104/100*Construction!AJ11/Inputs!$F$248,0)</f>
        <v>1.27925075847347</v>
      </c>
      <c r="AK71" s="13" t="n">
        <f aca="false">IF(Construction!AK8&lt;=Time!$F$11,AJ72*Inputs!$F$104/100*Construction!AK11/Inputs!$F$248,0)</f>
        <v>1.27523680440009</v>
      </c>
      <c r="AL71" s="13" t="n">
        <f aca="false">IF(Construction!AL8&lt;=Time!$F$11,AK72*Inputs!$F$104/100*Construction!AL11/Inputs!$F$248,0)</f>
        <v>1.35115114241285</v>
      </c>
      <c r="AM71" s="13" t="n">
        <f aca="false">IF(Construction!AM8&lt;=Time!$F$11,AL72*Inputs!$F$104/100*Construction!AM11/Inputs!$F$248,0)</f>
        <v>1.38071528452657</v>
      </c>
      <c r="AN71" s="13" t="n">
        <f aca="false">IF(Construction!AN8&lt;=Time!$F$11,AM72*Inputs!$F$104/100*Construction!AN11/Inputs!$F$248,0)</f>
        <v>1.27041229567377</v>
      </c>
      <c r="AO71" s="13" t="n">
        <f aca="false">IF(Construction!AO8&lt;=Time!$F$11,AN72*Inputs!$F$104/100*Construction!AO11/Inputs!$F$248,0)</f>
        <v>1.42788153428042</v>
      </c>
      <c r="AP71" s="13" t="n">
        <f aca="false">IF(Construction!AP8&lt;=Time!$F$11,AO72*Inputs!$F$104/100*Construction!AP11/Inputs!$F$248,0)</f>
        <v>1.40193881605893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736</v>
      </c>
      <c r="E72" s="0" t="s">
        <v>149</v>
      </c>
      <c r="J72" s="13" t="n">
        <f aca="false">I72+J71+J70</f>
        <v>25.23549237929</v>
      </c>
      <c r="K72" s="13" t="n">
        <f aca="false">J72+K71+K70</f>
        <v>25.9511929333975</v>
      </c>
      <c r="L72" s="13" t="n">
        <f aca="false">K72+L71+L70</f>
        <v>26.8217146341207</v>
      </c>
      <c r="M72" s="13" t="n">
        <f aca="false">L72+M71+M70</f>
        <v>27.9657762853515</v>
      </c>
      <c r="N72" s="13" t="n">
        <f aca="false">M72+N71+N70</f>
        <v>29.5372183907053</v>
      </c>
      <c r="O72" s="13" t="n">
        <f aca="false">N72+O71+O70</f>
        <v>31.630065905796</v>
      </c>
      <c r="P72" s="13" t="n">
        <f aca="false">O72+P71+P70</f>
        <v>34.279857604631</v>
      </c>
      <c r="Q72" s="13" t="n">
        <f aca="false">P72+Q71+Q70</f>
        <v>37.6272864765738</v>
      </c>
      <c r="R72" s="13" t="n">
        <f aca="false">Q72+R71+R70</f>
        <v>41.6413098833113</v>
      </c>
      <c r="S72" s="13" t="n">
        <f aca="false">R72+S71+S70</f>
        <v>46.3587450742341</v>
      </c>
      <c r="T72" s="13" t="n">
        <f aca="false">S72+T71+T70</f>
        <v>51.7209656764366</v>
      </c>
      <c r="U72" s="13" t="n">
        <f aca="false">T72+U71+U70</f>
        <v>57.7318060470109</v>
      </c>
      <c r="V72" s="13" t="n">
        <f aca="false">U72+V71+V70</f>
        <v>64.3127629784949</v>
      </c>
      <c r="W72" s="13" t="n">
        <f aca="false">V72+W71+W70</f>
        <v>71.3638640363731</v>
      </c>
      <c r="X72" s="13" t="n">
        <f aca="false">W72+X71+X70</f>
        <v>78.8476869730991</v>
      </c>
      <c r="Y72" s="13" t="n">
        <f aca="false">X72+Y71+Y70</f>
        <v>86.6104789591915</v>
      </c>
      <c r="Z72" s="13" t="n">
        <f aca="false">Y72+Z71+Z70</f>
        <v>94.6062018682885</v>
      </c>
      <c r="AA72" s="13" t="n">
        <f aca="false">Z72+AA71+AA70</f>
        <v>102.938766534693</v>
      </c>
      <c r="AB72" s="13" t="n">
        <f aca="false">AA72+AB71+AB70</f>
        <v>110.93585550258</v>
      </c>
      <c r="AC72" s="13" t="n">
        <f aca="false">AB72+AC71+AC70</f>
        <v>118.8794396444</v>
      </c>
      <c r="AD72" s="13" t="n">
        <f aca="false">AC72+AD71+AD70</f>
        <v>126.545572924733</v>
      </c>
      <c r="AE72" s="13" t="n">
        <f aca="false">AD72+AE71+AE70</f>
        <v>133.923843863053</v>
      </c>
      <c r="AF72" s="13" t="n">
        <f aca="false">AE72+AF71+AF70</f>
        <v>140.837492933784</v>
      </c>
      <c r="AG72" s="13" t="n">
        <f aca="false">AF72+AG71+AG70</f>
        <v>147.31208412273</v>
      </c>
      <c r="AH72" s="13" t="n">
        <f aca="false">AG72+AH71+AH70</f>
        <v>153.245291677467</v>
      </c>
      <c r="AI72" s="13" t="n">
        <f aca="false">AH72+AI71+AI70</f>
        <v>158.548905549343</v>
      </c>
      <c r="AJ72" s="13" t="n">
        <f aca="false">AI72+AJ71+AJ70</f>
        <v>163.319801265275</v>
      </c>
      <c r="AK72" s="13" t="n">
        <f aca="false">AJ72+AK71+AK70</f>
        <v>167.460158567298</v>
      </c>
      <c r="AL72" s="13" t="n">
        <f aca="false">AK72+AL71+AL70</f>
        <v>171.124305212971</v>
      </c>
      <c r="AM72" s="13" t="n">
        <f aca="false">AL72+AM71+AM70</f>
        <v>174.323491699596</v>
      </c>
      <c r="AN72" s="13" t="n">
        <f aca="false">AM72+AN71+AN70</f>
        <v>176.970037355638</v>
      </c>
      <c r="AO72" s="13" t="n">
        <f aca="false">AN72+AO71+AO70</f>
        <v>179.546550126846</v>
      </c>
      <c r="AP72" s="13" t="n">
        <f aca="false">AO72+AP71+AP70</f>
        <v>192.208520031199</v>
      </c>
      <c r="AQ72" s="13" t="n">
        <f aca="false">AP72+AQ71+AQ70</f>
        <v>200.887460148234</v>
      </c>
      <c r="AR72" s="13" t="n">
        <f aca="false">AQ72+AR71+AR70</f>
        <v>201.659718724773</v>
      </c>
      <c r="AS72" s="13" t="n">
        <f aca="false">AR72+AS71+AS70</f>
        <v>201.659718724773</v>
      </c>
      <c r="AT72" s="13" t="n">
        <f aca="false">AS72+AT71+AT70</f>
        <v>201.659718724773</v>
      </c>
      <c r="AU72" s="13" t="n">
        <f aca="false">AT72+AU71+AU70</f>
        <v>201.659718724773</v>
      </c>
      <c r="AV72" s="13" t="n">
        <f aca="false">AU72+AV71+AV70</f>
        <v>201.659718724773</v>
      </c>
      <c r="AW72" s="13" t="n">
        <f aca="false">AV72+AW71+AW70</f>
        <v>201.659718724773</v>
      </c>
      <c r="AX72" s="13" t="n">
        <f aca="false">AW72+AX71+AX70</f>
        <v>201.659718724773</v>
      </c>
      <c r="AY72" s="13" t="n">
        <f aca="false">AX72+AY71+AY70</f>
        <v>201.659718724773</v>
      </c>
      <c r="AZ72" s="13" t="n">
        <f aca="false">AY72+AZ71+AZ70</f>
        <v>201.659718724773</v>
      </c>
      <c r="BA72" s="13" t="n">
        <f aca="false">AZ72+BA71+BA70</f>
        <v>201.659718724773</v>
      </c>
      <c r="BB72" s="13" t="n">
        <f aca="false">BA72+BB71+BB70</f>
        <v>201.659718724773</v>
      </c>
      <c r="BC72" s="13" t="n">
        <f aca="false">BB72+BC71+BC70</f>
        <v>201.659718724773</v>
      </c>
      <c r="BD72" s="13" t="n">
        <f aca="false">BC72+BD71+BD70</f>
        <v>201.659718724773</v>
      </c>
      <c r="BE72" s="13" t="n">
        <f aca="false">BD72+BE71+BE70</f>
        <v>201.659718724773</v>
      </c>
      <c r="BF72" s="13" t="n">
        <f aca="false">BE72+BF71+BF70</f>
        <v>201.659718724773</v>
      </c>
      <c r="BG72" s="13" t="n">
        <f aca="false">BF72+BG71+BG70</f>
        <v>201.659718724773</v>
      </c>
      <c r="BH72" s="13" t="n">
        <f aca="false">BG72+BH71+BH70</f>
        <v>201.659718724773</v>
      </c>
      <c r="BI72" s="13" t="n">
        <f aca="false">BH72+BI71+BI70</f>
        <v>201.659718724773</v>
      </c>
      <c r="BJ72" s="13" t="n">
        <f aca="false">BI72+BJ71+BJ70</f>
        <v>201.659718724773</v>
      </c>
    </row>
    <row r="73" customFormat="false" ht="15" hidden="false" customHeight="false" outlineLevel="0" collapsed="false">
      <c r="D73" s="0" t="s">
        <v>737</v>
      </c>
      <c r="E73" s="0" t="s">
        <v>149</v>
      </c>
      <c r="G73" s="13" t="n">
        <f aca="false">SUM(J73:BJ73)</f>
        <v>633.255975542792</v>
      </c>
      <c r="J73" s="13" t="n">
        <f aca="false">J47+J55</f>
        <v>90.0478684951254</v>
      </c>
      <c r="K73" s="13" t="n">
        <f aca="false">K47+K55</f>
        <v>1.85072252458686</v>
      </c>
      <c r="L73" s="13" t="n">
        <f aca="false">L47+L55</f>
        <v>2.35912847164796</v>
      </c>
      <c r="M73" s="13" t="n">
        <f aca="false">M47+M55</f>
        <v>3.3350490004792</v>
      </c>
      <c r="N73" s="13" t="n">
        <f aca="false">N47+N55</f>
        <v>4.80222293287169</v>
      </c>
      <c r="O73" s="13" t="n">
        <f aca="false">O47+O55</f>
        <v>6.61751200508777</v>
      </c>
      <c r="P73" s="13" t="n">
        <f aca="false">P47+P55</f>
        <v>8.63273044537214</v>
      </c>
      <c r="Q73" s="13" t="n">
        <f aca="false">Q47+Q55</f>
        <v>10.9576932061239</v>
      </c>
      <c r="R73" s="13" t="n">
        <f aca="false">R47+R55</f>
        <v>13.2748746874893</v>
      </c>
      <c r="S73" s="13" t="n">
        <f aca="false">S47+S55</f>
        <v>15.6343477936492</v>
      </c>
      <c r="T73" s="13" t="n">
        <f aca="false">T47+T55</f>
        <v>17.84237333861</v>
      </c>
      <c r="U73" s="13" t="n">
        <f aca="false">U47+U55</f>
        <v>19.9594070324688</v>
      </c>
      <c r="V73" s="13" t="n">
        <f aca="false">V47+V55</f>
        <v>21.820698290778</v>
      </c>
      <c r="W73" s="13" t="n">
        <f aca="false">W47+W55</f>
        <v>23.368573137905</v>
      </c>
      <c r="X73" s="13" t="n">
        <f aca="false">X47+X55</f>
        <v>24.6499190638619</v>
      </c>
      <c r="Y73" s="13" t="n">
        <f aca="false">Y47+Y55</f>
        <v>25.5031282760592</v>
      </c>
      <c r="Z73" s="13" t="n">
        <f aca="false">Z47+Z55</f>
        <v>26.0375703723027</v>
      </c>
      <c r="AA73" s="13" t="n">
        <f aca="false">AA47+AA55</f>
        <v>27.0093201816033</v>
      </c>
      <c r="AB73" s="13" t="n">
        <f aca="false">AB47+AB55</f>
        <v>25.7635459626942</v>
      </c>
      <c r="AC73" s="13" t="n">
        <f aca="false">AC47+AC55</f>
        <v>25.1511758572385</v>
      </c>
      <c r="AD73" s="13" t="n">
        <f aca="false">AD47+AD55</f>
        <v>24.0428525916383</v>
      </c>
      <c r="AE73" s="13" t="n">
        <f aca="false">AE47+AE55</f>
        <v>22.684550764706</v>
      </c>
      <c r="AF73" s="13" t="n">
        <f aca="false">AF47+AF55</f>
        <v>20.938592861539</v>
      </c>
      <c r="AG73" s="13" t="n">
        <f aca="false">AG47+AG55</f>
        <v>19.0484719810011</v>
      </c>
      <c r="AH73" s="13" t="n">
        <f aca="false">AH47+AH55</f>
        <v>16.9302426366239</v>
      </c>
      <c r="AI73" s="13" t="n">
        <f aca="false">AI47+AI55</f>
        <v>14.6551644999094</v>
      </c>
      <c r="AJ73" s="13" t="n">
        <f aca="false">AJ47+AJ55</f>
        <v>12.4592451470814</v>
      </c>
      <c r="AK73" s="13" t="n">
        <f aca="false">AK47+AK55</f>
        <v>10.2236164016511</v>
      </c>
      <c r="AL73" s="13" t="n">
        <f aca="false">AL47+AL55</f>
        <v>8.25346744881826</v>
      </c>
      <c r="AM73" s="13" t="n">
        <f aca="false">AM47+AM55</f>
        <v>6.48885518885751</v>
      </c>
      <c r="AN73" s="13" t="n">
        <f aca="false">AN47+AN55</f>
        <v>4.91045999831217</v>
      </c>
      <c r="AO73" s="13" t="n">
        <f aca="false">AO47+AO55</f>
        <v>4.09866362096826</v>
      </c>
      <c r="AP73" s="13" t="n">
        <f aca="false">AP47+AP55</f>
        <v>40.1791961674523</v>
      </c>
      <c r="AQ73" s="13" t="n">
        <f aca="false">AQ47+AQ55</f>
        <v>30.9690830117203</v>
      </c>
      <c r="AR73" s="13" t="n">
        <f aca="false">AR47+AR55</f>
        <v>2.75565214655776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738</v>
      </c>
      <c r="E74" s="0" t="s">
        <v>149</v>
      </c>
      <c r="G74" s="13" t="n">
        <f aca="false">SUM(J74:BJ74)</f>
        <v>106.853847689753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1.07821351867503</v>
      </c>
      <c r="L74" s="13" t="n">
        <f aca="false">L33+L34+L35+L36+L37+L38+L39+L40+L41+L42+L43+L48+Construction!L14*Construction!L38</f>
        <v>1.13087234950787</v>
      </c>
      <c r="M74" s="13" t="n">
        <f aca="false">M33+M34+M35+M36+M37+M38+M39+M40+M41+M42+M43+M48+Construction!M14*Construction!M38</f>
        <v>1.14634454400106</v>
      </c>
      <c r="N74" s="13" t="n">
        <f aca="false">N33+N34+N35+N36+N37+N38+N39+N40+N41+N42+N43+N48+Construction!N14*Construction!N38</f>
        <v>1.23831167063991</v>
      </c>
      <c r="O74" s="13" t="n">
        <f aca="false">O33+O34+O35+O36+O37+O38+O39+O40+O41+O42+O43+O48+Construction!O14*Construction!O38</f>
        <v>1.32727610633379</v>
      </c>
      <c r="P74" s="13" t="n">
        <f aca="false">P33+P34+P35+P36+P37+P38+P39+P40+P41+P42+P43+P48+Construction!P14*Construction!P38</f>
        <v>1.33867386808033</v>
      </c>
      <c r="Q74" s="13" t="n">
        <f aca="false">Q33+Q34+Q35+Q36+Q37+Q38+Q39+Q40+Q41+Q42+Q43+Q48+Construction!Q14*Construction!Q38</f>
        <v>1.54693944705431</v>
      </c>
      <c r="R74" s="13" t="n">
        <f aca="false">R33+R34+R35+R36+R37+R38+R39+R40+R41+R42+R43+R48+Construction!R14*Construction!R38</f>
        <v>1.64761139650876</v>
      </c>
      <c r="S74" s="13" t="n">
        <f aca="false">S33+S34+S35+S36+S37+S38+S39+S40+S41+S42+S43+S48+Construction!S14*Construction!S38</f>
        <v>1.82455995646531</v>
      </c>
      <c r="T74" s="13" t="n">
        <f aca="false">T33+T34+T35+T36+T37+T38+T39+T40+T41+T42+T43+T48+Construction!T14*Construction!T38</f>
        <v>1.92439527386696</v>
      </c>
      <c r="U74" s="13" t="n">
        <f aca="false">U33+U34+U35+U36+U37+U38+U39+U40+U41+U42+U43+U48+Construction!U14*Construction!U38</f>
        <v>2.125219225871</v>
      </c>
      <c r="V74" s="13" t="n">
        <f aca="false">V33+V34+V35+V36+V37+V38+V39+V40+V41+V42+V43+V48+Construction!V14*Construction!V38</f>
        <v>2.28990519850377</v>
      </c>
      <c r="W74" s="13" t="n">
        <f aca="false">W33+W34+W35+W36+W37+W38+W39+W40+W41+W42+W43+W48+Construction!W14*Construction!W38</f>
        <v>2.41354512364762</v>
      </c>
      <c r="X74" s="13" t="n">
        <f aca="false">X33+X34+X35+X36+X37+X38+X39+X40+X41+X42+X43+X48+Construction!X14*Construction!X38</f>
        <v>2.6163429518123</v>
      </c>
      <c r="Y74" s="13" t="n">
        <f aca="false">Y33+Y34+Y35+Y36+Y37+Y38+Y39+Y40+Y41+Y42+Y43+Y48+Construction!Y14*Construction!Y38</f>
        <v>2.72583913262024</v>
      </c>
      <c r="Z74" s="13" t="n">
        <f aca="false">Z33+Z34+Z35+Z36+Z37+Z38+Z39+Z40+Z41+Z42+Z43+Z48+Construction!Z14*Construction!Z38</f>
        <v>2.91878027562201</v>
      </c>
      <c r="AA74" s="13" t="n">
        <f aca="false">AA33+AA34+AA35+AA36+AA37+AA38+AA39+AA40+AA41+AA42+AA43+AA48+Construction!AA14*Construction!AA38</f>
        <v>3.08794048714812</v>
      </c>
      <c r="AB74" s="13" t="n">
        <f aca="false">AB33+AB34+AB35+AB36+AB37+AB38+AB39+AB40+AB41+AB42+AB43+AB48+Construction!AB14*Construction!AB38</f>
        <v>3.07748286180818</v>
      </c>
      <c r="AC74" s="13" t="n">
        <f aca="false">AC33+AC34+AC35+AC36+AC37+AC38+AC39+AC40+AC41+AC42+AC43+AC48+Construction!AC14*Construction!AC38</f>
        <v>3.29319332392536</v>
      </c>
      <c r="AD74" s="13" t="n">
        <f aca="false">AD33+AD34+AD35+AD36+AD37+AD38+AD39+AD40+AD41+AD42+AD43+AD48+Construction!AD14*Construction!AD38</f>
        <v>3.32402914141679</v>
      </c>
      <c r="AE74" s="13" t="n">
        <f aca="false">AE33+AE34+AE35+AE36+AE37+AE38+AE39+AE40+AE41+AE42+AE43+AE48+Construction!AE14*Construction!AE38</f>
        <v>3.45637092256963</v>
      </c>
      <c r="AF74" s="13" t="n">
        <f aca="false">AF33+AF34+AF35+AF36+AF37+AF38+AF39+AF40+AF41+AF42+AF43+AF48+Construction!AF14*Construction!AF38</f>
        <v>3.44742034420307</v>
      </c>
      <c r="AG74" s="13" t="n">
        <f aca="false">AG33+AG34+AG35+AG36+AG37+AG38+AG39+AG40+AG41+AG42+AG43+AG48+Construction!AG14*Construction!AG38</f>
        <v>3.55299826876788</v>
      </c>
      <c r="AH74" s="13" t="n">
        <f aca="false">AH33+AH34+AH35+AH36+AH37+AH38+AH39+AH40+AH41+AH42+AH43+AH48+Construction!AH14*Construction!AH38</f>
        <v>3.57441535648548</v>
      </c>
      <c r="AI74" s="13" t="n">
        <f aca="false">AI33+AI34+AI35+AI36+AI37+AI38+AI39+AI40+AI41+AI42+AI43+AI48+Construction!AI14*Construction!AI38</f>
        <v>3.51142588342495</v>
      </c>
      <c r="AJ74" s="13" t="n">
        <f aca="false">AJ33+AJ34+AJ35+AJ36+AJ37+AJ38+AJ39+AJ40+AJ41+AJ42+AJ43+AJ48+Construction!AJ14*Construction!AJ38</f>
        <v>3.57449499026792</v>
      </c>
      <c r="AK74" s="13" t="n">
        <f aca="false">AK33+AK34+AK35+AK36+AK37+AK38+AK39+AK40+AK41+AK42+AK43+AK48+Construction!AK14*Construction!AK38</f>
        <v>3.48685772458901</v>
      </c>
      <c r="AL74" s="13" t="n">
        <f aca="false">AL33+AL34+AL35+AL36+AL37+AL38+AL39+AL40+AL41+AL42+AL43+AL48+Construction!AL14*Construction!AL38</f>
        <v>3.5363175906205</v>
      </c>
      <c r="AM74" s="13" t="n">
        <f aca="false">AM33+AM34+AM35+AM36+AM37+AM38+AM39+AM40+AM41+AM42+AM43+AM48+Construction!AM14*Construction!AM38</f>
        <v>3.51578239057142</v>
      </c>
      <c r="AN74" s="13" t="n">
        <f aca="false">AN33+AN34+AN35+AN36+AN37+AN38+AN39+AN40+AN41+AN42+AN43+AN48+Construction!AN14*Construction!AN38</f>
        <v>3.27363246150002</v>
      </c>
      <c r="AO74" s="13" t="n">
        <f aca="false">AO33+AO34+AO35+AO36+AO37+AO38+AO39+AO40+AO41+AO42+AO43+AO48+Construction!AO14*Construction!AO38</f>
        <v>3.47977819712731</v>
      </c>
      <c r="AP74" s="13" t="n">
        <f aca="false">AP33+AP34+AP35+AP36+AP37+AP38+AP39+AP40+AP41+AP42+AP43+AP48+Construction!AP14*Construction!AP38</f>
        <v>4.59540564872908</v>
      </c>
      <c r="AQ74" s="13" t="n">
        <f aca="false">AQ33+AQ34+AQ35+AQ36+AQ37+AQ38+AQ39+AQ40+AQ41+AQ42+AQ43+AQ48+Construction!AQ14*Construction!AQ38</f>
        <v>4.57186272091907</v>
      </c>
      <c r="AR74" s="13" t="n">
        <f aca="false">AR33+AR34+AR35+AR36+AR37+AR38+AR39+AR40+AR41+AR42+AR43+AR48+Construction!AR14*Construction!AR38</f>
        <v>3.72097536723144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739</v>
      </c>
      <c r="E75" s="0" t="s">
        <v>149</v>
      </c>
      <c r="F75" s="17" t="n">
        <f aca="false">SUM(Funding!$J$49:$BJ$49)</f>
        <v>855.089743126849</v>
      </c>
    </row>
    <row r="76" customFormat="false" ht="15" hidden="false" customHeight="false" outlineLevel="0" collapsed="false">
      <c r="D76" s="0" t="s">
        <v>740</v>
      </c>
      <c r="E76" s="0" t="s">
        <v>149</v>
      </c>
      <c r="F76" s="17" t="n">
        <f aca="false">SUM(Funding!$J$49:$BJ$49)-SUM(Funding!$J$44:$BJ$44)-SUM(Construction!$J$28:$BJ$28)+SUM(Funding!$J$71:$BJ$71)-SUM(Funding!$J$52:$BJ$52)-Inputs!$F$48*Inputs!$F$267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742</v>
      </c>
    </row>
    <row r="8" customFormat="false" ht="15" hidden="false" customHeight="false" outlineLevel="0" collapsed="false">
      <c r="D8" s="0" t="s">
        <v>743</v>
      </c>
      <c r="E8" s="0" t="s">
        <v>103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744</v>
      </c>
      <c r="E9" s="0" t="s">
        <v>103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745</v>
      </c>
      <c r="E10" s="0" t="s">
        <v>99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746</v>
      </c>
      <c r="E11" s="0" t="s">
        <v>99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747</v>
      </c>
      <c r="E12" s="0" t="s">
        <v>99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748</v>
      </c>
      <c r="E13" s="0" t="s">
        <v>99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749</v>
      </c>
      <c r="E14" s="0" t="s">
        <v>99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750</v>
      </c>
      <c r="E15" s="0" t="s">
        <v>99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751</v>
      </c>
    </row>
    <row r="17" customFormat="false" ht="15" hidden="false" customHeight="false" outlineLevel="0" collapsed="false">
      <c r="D17" s="0" t="s">
        <v>752</v>
      </c>
      <c r="E17" s="0" t="s">
        <v>109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753</v>
      </c>
      <c r="E18" s="0" t="s">
        <v>109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754</v>
      </c>
      <c r="E19" s="0" t="s">
        <v>109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755</v>
      </c>
    </row>
    <row r="21" customFormat="false" ht="15" hidden="false" customHeight="false" outlineLevel="0" collapsed="false">
      <c r="D21" s="0" t="s">
        <v>756</v>
      </c>
      <c r="E21" s="0" t="s">
        <v>149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757</v>
      </c>
      <c r="E22" s="0" t="s">
        <v>149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758</v>
      </c>
      <c r="E23" s="0" t="s">
        <v>149</v>
      </c>
      <c r="G23" s="13" t="n">
        <f aca="false">SUM(J23:BN23)</f>
        <v>65.6316640678679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4.15581659705509</v>
      </c>
      <c r="R23" s="13" t="n">
        <f aca="false">R21*R10</f>
        <v>4.11428544045523</v>
      </c>
      <c r="S23" s="13" t="n">
        <f aca="false">S21*S10</f>
        <v>3.94206164984607</v>
      </c>
      <c r="T23" s="13" t="n">
        <f aca="false">T21*T10</f>
        <v>3.88786748901843</v>
      </c>
      <c r="U23" s="13" t="n">
        <f aca="false">U21*U10</f>
        <v>3.72193645090613</v>
      </c>
      <c r="V23" s="13" t="n">
        <f aca="false">V21*V10</f>
        <v>3.63381876677502</v>
      </c>
      <c r="W23" s="13" t="n">
        <f aca="false">W21*W10</f>
        <v>3.4393659561936</v>
      </c>
      <c r="X23" s="13" t="n">
        <f aca="false">X21*X10</f>
        <v>3.35472361411709</v>
      </c>
      <c r="Y23" s="13" t="n">
        <f aca="false">Y21*Y10</f>
        <v>3.16455584337133</v>
      </c>
      <c r="Z23" s="13" t="n">
        <f aca="false">Z21*Z10</f>
        <v>3.07922567381402</v>
      </c>
      <c r="AA23" s="13" t="n">
        <f aca="false">AA21*AA10</f>
        <v>2.88787103619671</v>
      </c>
      <c r="AB23" s="13" t="n">
        <f aca="false">AB21*AB10</f>
        <v>2.78805955054938</v>
      </c>
      <c r="AC23" s="13" t="n">
        <f aca="false">AC21*AC10</f>
        <v>2.60470452081842</v>
      </c>
      <c r="AD23" s="13" t="n">
        <f aca="false">AD21*AD10</f>
        <v>2.47346971520851</v>
      </c>
      <c r="AE23" s="13" t="n">
        <f aca="false">AE21*AE10</f>
        <v>2.26143418420033</v>
      </c>
      <c r="AF23" s="13" t="n">
        <f aca="false">AF21*AF10</f>
        <v>2.11686093175143</v>
      </c>
      <c r="AG23" s="13" t="n">
        <f aca="false">AG21*AG10</f>
        <v>1.89697690330274</v>
      </c>
      <c r="AH23" s="13" t="n">
        <f aca="false">AH21*AH10</f>
        <v>1.73645914544685</v>
      </c>
      <c r="AI23" s="13" t="n">
        <f aca="false">AI21*AI10</f>
        <v>1.50983818342794</v>
      </c>
      <c r="AJ23" s="13" t="n">
        <f aca="false">AJ21*AJ10</f>
        <v>1.3273477384981</v>
      </c>
      <c r="AK23" s="13" t="n">
        <f aca="false">AK21*AK10</f>
        <v>1.0977507977188</v>
      </c>
      <c r="AL23" s="13" t="n">
        <f aca="false">AL21*AL10</f>
        <v>0.885239065967466</v>
      </c>
      <c r="AM23" s="13" t="n">
        <f aca="false">AM21*AM10</f>
        <v>0.636562801865728</v>
      </c>
      <c r="AN23" s="13" t="n">
        <f aca="false">AN21*AN10</f>
        <v>0.404038636508883</v>
      </c>
      <c r="AO23" s="13" t="n">
        <f aca="false">AO21*AO10</f>
        <v>0.200186693359395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759</v>
      </c>
      <c r="E24" s="0" t="s">
        <v>149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760</v>
      </c>
      <c r="E25" s="0" t="s">
        <v>149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761</v>
      </c>
      <c r="E26" s="0" t="s">
        <v>149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762</v>
      </c>
      <c r="E27" s="0" t="s">
        <v>149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763</v>
      </c>
      <c r="E28" s="0" t="s">
        <v>149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764</v>
      </c>
      <c r="E29" s="0" t="s">
        <v>149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765</v>
      </c>
      <c r="E30" s="0" t="s">
        <v>149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766</v>
      </c>
      <c r="E31" s="0" t="s">
        <v>149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767</v>
      </c>
      <c r="E32" s="0" t="s">
        <v>149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768</v>
      </c>
      <c r="E33" s="0" t="s">
        <v>149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769</v>
      </c>
    </row>
    <row r="35" customFormat="false" ht="15" hidden="false" customHeight="false" outlineLevel="0" collapsed="false">
      <c r="D35" s="0" t="s">
        <v>756</v>
      </c>
      <c r="E35" s="0" t="s">
        <v>149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98.8371240500561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757</v>
      </c>
      <c r="E36" s="0" t="s">
        <v>149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758</v>
      </c>
      <c r="E37" s="0" t="s">
        <v>149</v>
      </c>
      <c r="G37" s="13" t="n">
        <f aca="false">SUM(J37:BN37)</f>
        <v>72.9126941093121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4.61923052551595</v>
      </c>
      <c r="R37" s="13" t="n">
        <f aca="false">R35*R11</f>
        <v>4.57306824143873</v>
      </c>
      <c r="S37" s="13" t="n">
        <f aca="false">S35*S11</f>
        <v>4.37830471385589</v>
      </c>
      <c r="T37" s="13" t="n">
        <f aca="false">T35*T11</f>
        <v>4.31811322754963</v>
      </c>
      <c r="U37" s="13" t="n">
        <f aca="false">U35*U11</f>
        <v>4.13381964950006</v>
      </c>
      <c r="V37" s="13" t="n">
        <f aca="false">V35*V11</f>
        <v>4.03595053783349</v>
      </c>
      <c r="W37" s="13" t="n">
        <f aca="false">W35*W11</f>
        <v>3.81997886290436</v>
      </c>
      <c r="X37" s="13" t="n">
        <f aca="false">X35*X11</f>
        <v>3.72596968744668</v>
      </c>
      <c r="Y37" s="13" t="n">
        <f aca="false">Y35*Y11</f>
        <v>3.51475725064673</v>
      </c>
      <c r="Z37" s="13" t="n">
        <f aca="false">Z35*Z11</f>
        <v>3.41998413018538</v>
      </c>
      <c r="AA37" s="13" t="n">
        <f aca="false">AA35*AA11</f>
        <v>3.20745348345367</v>
      </c>
      <c r="AB37" s="13" t="n">
        <f aca="false">AB35*AB11</f>
        <v>3.09659649111726</v>
      </c>
      <c r="AC37" s="13" t="n">
        <f aca="false">AC35*AC11</f>
        <v>2.8929507183497</v>
      </c>
      <c r="AD37" s="13" t="n">
        <f aca="false">AD35*AD11</f>
        <v>2.74719298570586</v>
      </c>
      <c r="AE37" s="13" t="n">
        <f aca="false">AE35*AE11</f>
        <v>2.511692821736</v>
      </c>
      <c r="AF37" s="13" t="n">
        <f aca="false">AF35*AF11</f>
        <v>2.35112056058955</v>
      </c>
      <c r="AG37" s="13" t="n">
        <f aca="false">AG35*AG11</f>
        <v>2.10690335553997</v>
      </c>
      <c r="AH37" s="13" t="n">
        <f aca="false">AH35*AH11</f>
        <v>1.92862211128153</v>
      </c>
      <c r="AI37" s="13" t="n">
        <f aca="false">AI35*AI11</f>
        <v>1.67692243877522</v>
      </c>
      <c r="AJ37" s="13" t="n">
        <f aca="false">AJ35*AJ11</f>
        <v>1.47423692894785</v>
      </c>
      <c r="AK37" s="13" t="n">
        <f aca="false">AK35*AK11</f>
        <v>1.21923194490856</v>
      </c>
      <c r="AL37" s="13" t="n">
        <f aca="false">AL35*AL11</f>
        <v>0.983202882067072</v>
      </c>
      <c r="AM37" s="13" t="n">
        <f aca="false">AM35*AM11</f>
        <v>0.707007186501726</v>
      </c>
      <c r="AN37" s="13" t="n">
        <f aca="false">AN35*AN11</f>
        <v>0.448751040429777</v>
      </c>
      <c r="AO37" s="13" t="n">
        <f aca="false">AO35*AO11</f>
        <v>0.2223400902979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759</v>
      </c>
      <c r="E38" s="0" t="s">
        <v>149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4.41177179778416</v>
      </c>
      <c r="W38" s="13" t="n">
        <f aca="false">Time!W35*(W35-W36)*W19</f>
        <v>4.54663695400217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6.04863333960495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6.66083822341003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7.80223002718172</v>
      </c>
      <c r="AN38" s="13" t="n">
        <f aca="false">Time!AN35*(AN35-AN36)*AN19</f>
        <v>6.43674714978342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760</v>
      </c>
      <c r="E39" s="0" t="s">
        <v>149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761</v>
      </c>
      <c r="E40" s="0" t="s">
        <v>149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762</v>
      </c>
      <c r="E41" s="0" t="s">
        <v>149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4.41177179778416</v>
      </c>
      <c r="W41" s="13" t="n">
        <f aca="false">W38-W39+W40</f>
        <v>4.54663695400217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6.04863333960495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6.66083822341003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7.80223002718172</v>
      </c>
      <c r="AN41" s="13" t="n">
        <f aca="false">AN38-AN39+AN40</f>
        <v>6.43674714978342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763</v>
      </c>
      <c r="E42" s="0" t="s">
        <v>149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764</v>
      </c>
      <c r="E43" s="0" t="s">
        <v>149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765</v>
      </c>
      <c r="E44" s="0" t="s">
        <v>149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766</v>
      </c>
      <c r="E45" s="0" t="s">
        <v>149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98.8371240500561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767</v>
      </c>
      <c r="E46" s="0" t="s">
        <v>149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768</v>
      </c>
      <c r="E47" s="0" t="s">
        <v>149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98.8371240500561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770</v>
      </c>
    </row>
    <row r="49" customFormat="false" ht="15" hidden="false" customHeight="false" outlineLevel="0" collapsed="false">
      <c r="D49" s="0" t="s">
        <v>756</v>
      </c>
      <c r="E49" s="0" t="s">
        <v>149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48.9454860536489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757</v>
      </c>
      <c r="E50" s="0" t="s">
        <v>149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758</v>
      </c>
      <c r="E51" s="0" t="s">
        <v>149</v>
      </c>
      <c r="G51" s="13" t="n">
        <f aca="false">SUM(J51:BN51)</f>
        <v>31.9176866936493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2.02200045193039</v>
      </c>
      <c r="R51" s="13" t="n">
        <f aca="false">R49*R12</f>
        <v>2.00179358874167</v>
      </c>
      <c r="S51" s="13" t="n">
        <f aca="false">S49*S12</f>
        <v>1.91664742408623</v>
      </c>
      <c r="T51" s="13" t="n">
        <f aca="false">T49*T12</f>
        <v>1.89029798869502</v>
      </c>
      <c r="U51" s="13" t="n">
        <f aca="false">U49*U12</f>
        <v>1.80962160029142</v>
      </c>
      <c r="V51" s="13" t="n">
        <f aca="false">V49*V12</f>
        <v>1.76677840114639</v>
      </c>
      <c r="W51" s="13" t="n">
        <f aca="false">W49*W12</f>
        <v>1.67223460360792</v>
      </c>
      <c r="X51" s="13" t="n">
        <f aca="false">X49*X12</f>
        <v>1.63108113080115</v>
      </c>
      <c r="Y51" s="13" t="n">
        <f aca="false">Y49*Y12</f>
        <v>1.53862073816414</v>
      </c>
      <c r="Z51" s="13" t="n">
        <f aca="false">Z49*Z12</f>
        <v>1.49713284066125</v>
      </c>
      <c r="AA51" s="13" t="n">
        <f aca="false">AA49*AA12</f>
        <v>1.40409538821794</v>
      </c>
      <c r="AB51" s="13" t="n">
        <f aca="false">AB49*AB12</f>
        <v>1.35556661219851</v>
      </c>
      <c r="AC51" s="13" t="n">
        <f aca="false">AC49*AC12</f>
        <v>1.26641860370888</v>
      </c>
      <c r="AD51" s="13" t="n">
        <f aca="false">AD49*AD12</f>
        <v>1.20261167361368</v>
      </c>
      <c r="AE51" s="13" t="n">
        <f aca="false">AE49*AE12</f>
        <v>1.09951908135616</v>
      </c>
      <c r="AF51" s="13" t="n">
        <f aca="false">AF49*AF12</f>
        <v>1.02922694071733</v>
      </c>
      <c r="AG51" s="13" t="n">
        <f aca="false">AG49*AG12</f>
        <v>0.922318375058454</v>
      </c>
      <c r="AH51" s="13" t="n">
        <f aca="false">AH49*AH12</f>
        <v>0.84427394692867</v>
      </c>
      <c r="AI51" s="13" t="n">
        <f aca="false">AI49*AI12</f>
        <v>0.734089855029841</v>
      </c>
      <c r="AJ51" s="13" t="n">
        <f aca="false">AJ49*AJ12</f>
        <v>0.645362211409963</v>
      </c>
      <c r="AK51" s="13" t="n">
        <f aca="false">AK49*AK12</f>
        <v>0.533731185766337</v>
      </c>
      <c r="AL51" s="13" t="n">
        <f aca="false">AL49*AL12</f>
        <v>0.430407062647865</v>
      </c>
      <c r="AM51" s="13" t="n">
        <f aca="false">AM49*AM12</f>
        <v>0.309499587484306</v>
      </c>
      <c r="AN51" s="13" t="n">
        <f aca="false">AN49*AN12</f>
        <v>0.196445332590449</v>
      </c>
      <c r="AO51" s="13" t="n">
        <f aca="false">AO49*AO12</f>
        <v>0.0973316361449111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759</v>
      </c>
      <c r="E52" s="0" t="s">
        <v>149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760</v>
      </c>
      <c r="E53" s="0" t="s">
        <v>149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761</v>
      </c>
      <c r="E54" s="0" t="s">
        <v>149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762</v>
      </c>
      <c r="E55" s="0" t="s">
        <v>149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763</v>
      </c>
      <c r="E56" s="0" t="s">
        <v>149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771</v>
      </c>
      <c r="E57" s="0" t="s">
        <v>149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765</v>
      </c>
      <c r="E58" s="0" t="s">
        <v>149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766</v>
      </c>
      <c r="E59" s="0" t="s">
        <v>149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48.9454860536489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767</v>
      </c>
      <c r="E60" s="0" t="s">
        <v>149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768</v>
      </c>
      <c r="E61" s="0" t="s">
        <v>149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48.9454860536489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772</v>
      </c>
    </row>
    <row r="63" customFormat="false" ht="15" hidden="false" customHeight="false" outlineLevel="0" collapsed="false">
      <c r="D63" s="0" t="s">
        <v>756</v>
      </c>
      <c r="E63" s="0" t="s">
        <v>149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234.751179081972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148.39054435779</v>
      </c>
      <c r="AC63" s="13" t="n">
        <f aca="false">Time!AC35*AB75</f>
        <v>132.960991127469</v>
      </c>
      <c r="AD63" s="13" t="n">
        <f aca="false">Time!AD35*AC75</f>
        <v>118.022715447615</v>
      </c>
      <c r="AE63" s="13" t="n">
        <f aca="false">Time!AE35*AD75</f>
        <v>101.484994235373</v>
      </c>
      <c r="AF63" s="13" t="n">
        <f aca="false">Time!AF35*AE75</f>
        <v>84.6257915777245</v>
      </c>
      <c r="AG63" s="13" t="n">
        <f aca="false">Time!AG35*AF75</f>
        <v>67.3729998026212</v>
      </c>
      <c r="AH63" s="13" t="n">
        <f aca="false">Time!AH35*AG75</f>
        <v>50.5107671807915</v>
      </c>
      <c r="AI63" s="13" t="n">
        <f aca="false">Time!AI35*AH75</f>
        <v>33.1079543430769</v>
      </c>
      <c r="AJ63" s="13" t="n">
        <f aca="false">Time!AJ35*AI75</f>
        <v>16.2141400954266</v>
      </c>
      <c r="AK63" s="13" t="n">
        <f aca="false">Time!AK35*AJ75</f>
        <v>0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757</v>
      </c>
      <c r="E64" s="0" t="s">
        <v>149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758</v>
      </c>
      <c r="E65" s="0" t="s">
        <v>149</v>
      </c>
      <c r="G65" s="13" t="n">
        <f aca="false">SUM(J65:BN65)</f>
        <v>134.065750441141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9.45532827820258</v>
      </c>
      <c r="R65" s="13" t="n">
        <f aca="false">R63*R13</f>
        <v>9.36083644723405</v>
      </c>
      <c r="S65" s="13" t="n">
        <f aca="false">S63*S13</f>
        <v>8.96133925140251</v>
      </c>
      <c r="T65" s="13" t="n">
        <f aca="false">T63*T13</f>
        <v>8.83814172083103</v>
      </c>
      <c r="U65" s="13" t="n">
        <f aca="false">U63*U13</f>
        <v>8.46093698459363</v>
      </c>
      <c r="V65" s="13" t="n">
        <f aca="false">V63*V13</f>
        <v>8.2606223949987</v>
      </c>
      <c r="W65" s="13" t="n">
        <f aca="false">W63*W13</f>
        <v>7.81858019505573</v>
      </c>
      <c r="X65" s="13" t="n">
        <f aca="false">X63*X13</f>
        <v>7.62616596875603</v>
      </c>
      <c r="Y65" s="13" t="n">
        <f aca="false">Y63*Y13</f>
        <v>7.69205486959494</v>
      </c>
      <c r="Z65" s="13" t="n">
        <f aca="false">Z63*Z13</f>
        <v>7.48464366285592</v>
      </c>
      <c r="AA65" s="13" t="n">
        <f aca="false">AA63*AA13</f>
        <v>7.01951982085231</v>
      </c>
      <c r="AB65" s="13" t="n">
        <f aca="false">AB63*AB13</f>
        <v>6.50573458177017</v>
      </c>
      <c r="AC65" s="13" t="n">
        <f aca="false">AC63*AC13</f>
        <v>5.7659108325228</v>
      </c>
      <c r="AD65" s="13" t="n">
        <f aca="false">AD63*AD13</f>
        <v>5.1743489765132</v>
      </c>
      <c r="AE65" s="13" t="n">
        <f aca="false">AE63*AE13</f>
        <v>4.37675963410407</v>
      </c>
      <c r="AF65" s="13" t="n">
        <f aca="false">AF63*AF13</f>
        <v>3.71016186482488</v>
      </c>
      <c r="AG65" s="13" t="n">
        <f aca="false">AG63*AG13</f>
        <v>3.09379310389925</v>
      </c>
      <c r="AH65" s="13" t="n">
        <f aca="false">AH63*AH13</f>
        <v>2.35791744276554</v>
      </c>
      <c r="AI65" s="13" t="n">
        <f aca="false">AI63*AI13</f>
        <v>1.5203295256394</v>
      </c>
      <c r="AJ65" s="13" t="n">
        <f aca="false">AJ63*AJ13</f>
        <v>0.756900080602802</v>
      </c>
      <c r="AK65" s="13" t="n">
        <f aca="false">AK63*AK13</f>
        <v>0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759</v>
      </c>
      <c r="E66" s="0" t="s">
        <v>149</v>
      </c>
      <c r="G66" s="13" t="n">
        <f aca="false">SUM(J66:BN66)</f>
        <v>145.971447500119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5.8860916242827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7.9553488901545</v>
      </c>
      <c r="AA66" s="13" t="n">
        <f aca="false">Time!AA35*(AA63-AA64)*AA19</f>
        <v>8.18750591588019</v>
      </c>
      <c r="AB66" s="13" t="n">
        <f aca="false">Time!AB35*(AB63-AB64)*AB19</f>
        <v>8.23538770190185</v>
      </c>
      <c r="AC66" s="13" t="n">
        <f aca="false">Time!AC35*(AC63-AC64)*AC19</f>
        <v>8.07148670897597</v>
      </c>
      <c r="AD66" s="13" t="n">
        <f aca="false">Time!AD35*(AD63-AD64)*AD19</f>
        <v>8.32888396005186</v>
      </c>
      <c r="AE66" s="13" t="n">
        <f aca="false">Time!AE35*(AE63-AE64)*AE19</f>
        <v>8.03679039491796</v>
      </c>
      <c r="AF66" s="13" t="n">
        <f aca="false">Time!AF35*(AF63-AF64)*AF19</f>
        <v>7.53336646549194</v>
      </c>
      <c r="AG66" s="13" t="n">
        <f aca="false">Time!AG35*(AG63-AG64)*AG19</f>
        <v>6.70646860564711</v>
      </c>
      <c r="AH66" s="13" t="n">
        <f aca="false">Time!AH35*(AH63-AH64)*AH19</f>
        <v>5.86409973708577</v>
      </c>
      <c r="AI66" s="13" t="n">
        <f aca="false">Time!AI35*(AI63-AI64)*AI19</f>
        <v>4.47623625180347</v>
      </c>
      <c r="AJ66" s="13" t="n">
        <f aca="false">Time!AJ35*(AJ63-AJ64)*AJ19</f>
        <v>2.65727097568729</v>
      </c>
      <c r="AK66" s="13" t="n">
        <f aca="false">Time!AK35*(AK63-AK64)*AK19</f>
        <v>0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760</v>
      </c>
      <c r="E67" s="0" t="s">
        <v>149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761</v>
      </c>
      <c r="E68" s="0" t="s">
        <v>149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762</v>
      </c>
      <c r="E69" s="0" t="s">
        <v>149</v>
      </c>
      <c r="G69" s="13" t="n">
        <f aca="false">SUM(J69:BN69)</f>
        <v>145.971447500119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5.8860916242827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7.9553488901545</v>
      </c>
      <c r="AA69" s="13" t="n">
        <f aca="false">AA66-AA67+AA68</f>
        <v>8.18750591588019</v>
      </c>
      <c r="AB69" s="13" t="n">
        <f aca="false">AB66-AB67+AB68</f>
        <v>8.23538770190185</v>
      </c>
      <c r="AC69" s="13" t="n">
        <f aca="false">AC66-AC67+AC68</f>
        <v>8.07148670897597</v>
      </c>
      <c r="AD69" s="13" t="n">
        <f aca="false">AD66-AD67+AD68</f>
        <v>8.32888396005186</v>
      </c>
      <c r="AE69" s="13" t="n">
        <f aca="false">AE66-AE67+AE68</f>
        <v>8.03679039491796</v>
      </c>
      <c r="AF69" s="13" t="n">
        <f aca="false">AF66-AF67+AF68</f>
        <v>7.53336646549194</v>
      </c>
      <c r="AG69" s="13" t="n">
        <f aca="false">AG66-AG67+AG68</f>
        <v>6.70646860564711</v>
      </c>
      <c r="AH69" s="13" t="n">
        <f aca="false">AH66-AH67+AH68</f>
        <v>5.86409973708577</v>
      </c>
      <c r="AI69" s="13" t="n">
        <f aca="false">AI66-AI67+AI68</f>
        <v>4.47623625180347</v>
      </c>
      <c r="AJ69" s="13" t="n">
        <f aca="false">AJ66-AJ67+AJ68</f>
        <v>2.65727097568729</v>
      </c>
      <c r="AK69" s="13" t="n">
        <f aca="false">AK66-AK67+AK68</f>
        <v>0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763</v>
      </c>
      <c r="E70" s="0" t="s">
        <v>149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771</v>
      </c>
      <c r="E71" s="0" t="s">
        <v>149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765</v>
      </c>
      <c r="E72" s="0" t="s">
        <v>149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766</v>
      </c>
      <c r="E73" s="0" t="s">
        <v>149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234.751179081972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140.155156655888</v>
      </c>
      <c r="AC73" s="13" t="n">
        <f aca="false">AC63-AC69-AC70-AC71</f>
        <v>124.889504418493</v>
      </c>
      <c r="AD73" s="13" t="n">
        <f aca="false">AD63-AD69-AD70-AD71</f>
        <v>109.693831487563</v>
      </c>
      <c r="AE73" s="13" t="n">
        <f aca="false">AE63-AE69-AE70-AE71</f>
        <v>93.4482038404553</v>
      </c>
      <c r="AF73" s="13" t="n">
        <f aca="false">AF63-AF69-AF70-AF71</f>
        <v>77.0924251122326</v>
      </c>
      <c r="AG73" s="13" t="n">
        <f aca="false">AG63-AG69-AG70-AG71</f>
        <v>60.666531196974</v>
      </c>
      <c r="AH73" s="13" t="n">
        <f aca="false">AH63-AH69-AH70-AH71</f>
        <v>44.6466674437057</v>
      </c>
      <c r="AI73" s="13" t="n">
        <f aca="false">AI63-AI69-AI70-AI71</f>
        <v>28.6317180912734</v>
      </c>
      <c r="AJ73" s="13" t="n">
        <f aca="false">AJ63-AJ69-AJ70-AJ71</f>
        <v>13.5568691197393</v>
      </c>
      <c r="AK73" s="13" t="n">
        <f aca="false">AK63-AK69-AK70-AK71</f>
        <v>0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767</v>
      </c>
      <c r="E74" s="0" t="s">
        <v>149</v>
      </c>
      <c r="G74" s="13" t="n">
        <f aca="false">SUM(J74:BN74)</f>
        <v>94.6658232061352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6.18526964990857</v>
      </c>
      <c r="AB74" s="13" t="n">
        <f aca="false">Waterfall!AB28*AB73/(AB31+AB45+AB59+AB73+AB87+Inputs!$F$253)+Waterfall!AB29</f>
        <v>7.19416552841933</v>
      </c>
      <c r="AC74" s="13" t="n">
        <f aca="false">Waterfall!AC28*AC73/(AC31+AC45+AC59+AC73+AC87+Inputs!$F$253)+Waterfall!AC29</f>
        <v>6.86678897087803</v>
      </c>
      <c r="AD74" s="13" t="n">
        <f aca="false">Waterfall!AD28*AD73/(AD31+AD45+AD59+AD73+AD87+Inputs!$F$253)+Waterfall!AD29</f>
        <v>8.2088372521896</v>
      </c>
      <c r="AE74" s="13" t="n">
        <f aca="false">Waterfall!AE28*AE73/(AE31+AE45+AE59+AE73+AE87+Inputs!$F$253)+Waterfall!AE29</f>
        <v>8.82241226273076</v>
      </c>
      <c r="AF74" s="13" t="n">
        <f aca="false">Waterfall!AF28*AF73/(AF31+AF45+AF59+AF73+AF87+Inputs!$F$253)+Waterfall!AF29</f>
        <v>9.71942530961141</v>
      </c>
      <c r="AG74" s="13" t="n">
        <f aca="false">Waterfall!AG28*AG73/(AG31+AG45+AG59+AG73+AG87+Inputs!$F$253)+Waterfall!AG29</f>
        <v>10.1557640161825</v>
      </c>
      <c r="AH74" s="13" t="n">
        <f aca="false">Waterfall!AH28*AH73/(AH31+AH45+AH59+AH73+AH87+Inputs!$F$253)+Waterfall!AH29</f>
        <v>11.5387131006289</v>
      </c>
      <c r="AI74" s="13" t="n">
        <f aca="false">Waterfall!AI28*AI73/(AI31+AI45+AI59+AI73+AI87+Inputs!$F$253)+Waterfall!AI29</f>
        <v>12.4175779958468</v>
      </c>
      <c r="AJ74" s="13" t="n">
        <f aca="false">Waterfall!AJ28*AJ73/(AJ31+AJ45+AJ59+AJ73+AJ87+Inputs!$F$253)+Waterfall!AJ29</f>
        <v>13.5568691197393</v>
      </c>
      <c r="AK74" s="13" t="n">
        <f aca="false">Waterfall!AK28*AK73/(AK31+AK45+AK59+AK73+AK87+Inputs!$F$253)+Waterfall!AK29</f>
        <v>0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768</v>
      </c>
      <c r="E75" s="0" t="s">
        <v>149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234.751179081972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148.39054435779</v>
      </c>
      <c r="AB75" s="13" t="n">
        <f aca="false">IF(Time!AB34=1,INDEX(Funding!$J$64:$BJ$64,1,Time!$F$14),Time!AB35*(AB73-AB74))</f>
        <v>132.960991127469</v>
      </c>
      <c r="AC75" s="13" t="n">
        <f aca="false">IF(Time!AC34=1,INDEX(Funding!$J$64:$BJ$64,1,Time!$F$14),Time!AC35*(AC73-AC74))</f>
        <v>118.022715447615</v>
      </c>
      <c r="AD75" s="13" t="n">
        <f aca="false">IF(Time!AD34=1,INDEX(Funding!$J$64:$BJ$64,1,Time!$F$14),Time!AD35*(AD73-AD74))</f>
        <v>101.484994235373</v>
      </c>
      <c r="AE75" s="13" t="n">
        <f aca="false">IF(Time!AE34=1,INDEX(Funding!$J$64:$BJ$64,1,Time!$F$14),Time!AE35*(AE73-AE74))</f>
        <v>84.6257915777245</v>
      </c>
      <c r="AF75" s="13" t="n">
        <f aca="false">IF(Time!AF34=1,INDEX(Funding!$J$64:$BJ$64,1,Time!$F$14),Time!AF35*(AF73-AF74))</f>
        <v>67.3729998026212</v>
      </c>
      <c r="AG75" s="13" t="n">
        <f aca="false">IF(Time!AG34=1,INDEX(Funding!$J$64:$BJ$64,1,Time!$F$14),Time!AG35*(AG73-AG74))</f>
        <v>50.5107671807915</v>
      </c>
      <c r="AH75" s="13" t="n">
        <f aca="false">IF(Time!AH34=1,INDEX(Funding!$J$64:$BJ$64,1,Time!$F$14),Time!AH35*(AH73-AH74))</f>
        <v>33.1079543430769</v>
      </c>
      <c r="AI75" s="13" t="n">
        <f aca="false">IF(Time!AI34=1,INDEX(Funding!$J$64:$BJ$64,1,Time!$F$14),Time!AI35*(AI73-AI74))</f>
        <v>16.2141400954266</v>
      </c>
      <c r="AJ75" s="13" t="n">
        <f aca="false">IF(Time!AJ34=1,INDEX(Funding!$J$64:$BJ$64,1,Time!$F$14),Time!AJ35*(AJ73-AJ74))</f>
        <v>0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194</v>
      </c>
    </row>
    <row r="77" customFormat="false" ht="15" hidden="false" customHeight="false" outlineLevel="0" collapsed="false">
      <c r="D77" s="0" t="s">
        <v>756</v>
      </c>
      <c r="E77" s="0" t="s">
        <v>149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1.74223968585352E-011</v>
      </c>
      <c r="Q77" s="13" t="n">
        <f aca="false">Time!Q35*P89</f>
        <v>1.69962375029085E-011</v>
      </c>
      <c r="R77" s="13" t="n">
        <f aca="false">Time!R35*Q89</f>
        <v>1.6552042346061E-011</v>
      </c>
      <c r="S77" s="13" t="n">
        <f aca="false">Time!S35*R89</f>
        <v>1.60859667081431E-011</v>
      </c>
      <c r="T77" s="13" t="n">
        <f aca="false">Time!T35*S89</f>
        <v>1.56061565751802E-011</v>
      </c>
      <c r="U77" s="13" t="n">
        <f aca="false">Time!U35*T89</f>
        <v>1.51042753480405E-011</v>
      </c>
      <c r="V77" s="13" t="n">
        <f aca="false">Time!V35*U89</f>
        <v>1.45863882450471E-011</v>
      </c>
      <c r="W77" s="13" t="n">
        <f aca="false">Time!W35*V89</f>
        <v>1.40346679435141E-011</v>
      </c>
      <c r="X77" s="13" t="n">
        <f aca="false">Time!X35*W89</f>
        <v>1.3466081890971E-011</v>
      </c>
      <c r="Y77" s="13" t="n">
        <f aca="false">Time!Y35*X89</f>
        <v>1.29132784984524E-011</v>
      </c>
      <c r="Z77" s="13" t="n">
        <f aca="false">Time!Z35*Y89</f>
        <v>1.23602149845876E-011</v>
      </c>
      <c r="AA77" s="13" t="n">
        <f aca="false">Time!AA35*Z89</f>
        <v>1.17842391804006E-011</v>
      </c>
      <c r="AB77" s="13" t="n">
        <f aca="false">Time!AB35*AA89</f>
        <v>1.11914549582001E-011</v>
      </c>
      <c r="AC77" s="13" t="n">
        <f aca="false">Time!AC35*AB89</f>
        <v>1.0570350891711E-011</v>
      </c>
      <c r="AD77" s="13" t="n">
        <f aca="false">Time!AD35*AC89</f>
        <v>9.9286706063267E-012</v>
      </c>
      <c r="AE77" s="13" t="n">
        <f aca="false">Time!AE35*AD89</f>
        <v>9.22800256082339E-012</v>
      </c>
      <c r="AF77" s="13" t="n">
        <f aca="false">Time!AF35*AE89</f>
        <v>8.49721942481516E-012</v>
      </c>
      <c r="AG77" s="13" t="n">
        <f aca="false">Time!AG35*AF89</f>
        <v>7.74079911049483E-012</v>
      </c>
      <c r="AH77" s="13" t="n">
        <f aca="false">Time!AH35*AG89</f>
        <v>6.9702615603005E-012</v>
      </c>
      <c r="AI77" s="13" t="n">
        <f aca="false">Time!AI35*AH89</f>
        <v>6.16104183815933E-012</v>
      </c>
      <c r="AJ77" s="13" t="n">
        <f aca="false">Time!AJ35*AI89</f>
        <v>5.32806138460819E-012</v>
      </c>
      <c r="AK77" s="13" t="n">
        <f aca="false">Time!AK35*AJ89</f>
        <v>4.45486658114198E-012</v>
      </c>
      <c r="AL77" s="13" t="n">
        <f aca="false">Time!AL35*AK89</f>
        <v>3.55340800811153E-012</v>
      </c>
      <c r="AM77" s="13" t="n">
        <f aca="false">Time!AM35*AL89</f>
        <v>2.59755654477251E-012</v>
      </c>
      <c r="AN77" s="13" t="n">
        <f aca="false">Time!AN35*AM89</f>
        <v>1.62183774050692E-012</v>
      </c>
      <c r="AO77" s="13" t="n">
        <f aca="false">Time!AO35*AN89</f>
        <v>8.16881310041973E-013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757</v>
      </c>
      <c r="E78" s="0" t="s">
        <v>149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758</v>
      </c>
      <c r="E79" s="0" t="s">
        <v>149</v>
      </c>
      <c r="G79" s="13" t="n">
        <f aca="false">SUM(J79:BN79)</f>
        <v>1.0768444729834E-011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6.90654784622306E-013</v>
      </c>
      <c r="Q79" s="13" t="n">
        <f aca="false">Q77*Q14</f>
        <v>6.64598839154006E-013</v>
      </c>
      <c r="R79" s="13" t="n">
        <f aca="false">R77*R14</f>
        <v>6.57957170105244E-013</v>
      </c>
      <c r="S79" s="13" t="n">
        <f aca="false">S77*S14</f>
        <v>6.29867474412953E-013</v>
      </c>
      <c r="T79" s="13" t="n">
        <f aca="false">T77*T14</f>
        <v>6.21208264527241E-013</v>
      </c>
      <c r="U79" s="13" t="n">
        <f aca="false">U77*U14</f>
        <v>5.9469559851995E-013</v>
      </c>
      <c r="V79" s="13" t="n">
        <f aca="false">V77*V14</f>
        <v>5.80616046223515E-013</v>
      </c>
      <c r="W79" s="13" t="n">
        <f aca="false">W77*W14</f>
        <v>5.49546136218885E-013</v>
      </c>
      <c r="X79" s="13" t="n">
        <f aca="false">X77*X14</f>
        <v>5.36021878364063E-013</v>
      </c>
      <c r="Y79" s="13" t="n">
        <f aca="false">Y77*Y14</f>
        <v>5.27278335535825E-013</v>
      </c>
      <c r="Z79" s="13" t="n">
        <f aca="false">Z77*Z14</f>
        <v>5.13060621580985E-013</v>
      </c>
      <c r="AA79" s="13" t="n">
        <f aca="false">AA77*AA14</f>
        <v>4.8117710938724E-013</v>
      </c>
      <c r="AB79" s="13" t="n">
        <f aca="false">AB77*AB14</f>
        <v>4.6454651835826E-013</v>
      </c>
      <c r="AC79" s="13" t="n">
        <f aca="false">AC77*AC14</f>
        <v>4.33995900933962E-013</v>
      </c>
      <c r="AD79" s="13" t="n">
        <f aca="false">AD77*AD14</f>
        <v>4.12129555926556E-013</v>
      </c>
      <c r="AE79" s="13" t="n">
        <f aca="false">AE77*AE14</f>
        <v>3.76800193008649E-013</v>
      </c>
      <c r="AF79" s="13" t="n">
        <f aca="false">AF77*AF14</f>
        <v>3.52711395816483E-013</v>
      </c>
      <c r="AG79" s="13" t="n">
        <f aca="false">AG77*AG14</f>
        <v>3.29047322070231E-013</v>
      </c>
      <c r="AH79" s="13" t="n">
        <f aca="false">AH77*AH14</f>
        <v>3.01204105700416E-013</v>
      </c>
      <c r="AI79" s="13" t="n">
        <f aca="false">AI77*AI14</f>
        <v>2.61894707390151E-013</v>
      </c>
      <c r="AJ79" s="13" t="n">
        <f aca="false">AJ77*AJ14</f>
        <v>2.30240135263826E-013</v>
      </c>
      <c r="AK79" s="13" t="n">
        <f aca="false">AK77*AK14</f>
        <v>1.9041452727281E-013</v>
      </c>
      <c r="AL79" s="13" t="n">
        <f aca="false">AL77*AL14</f>
        <v>1.53552499000596E-013</v>
      </c>
      <c r="AM79" s="13" t="n">
        <f aca="false">AM77*AM14</f>
        <v>1.1041741463418E-013</v>
      </c>
      <c r="AN79" s="13" t="n">
        <f aca="false">AN77*AN14</f>
        <v>7.00840538040743E-014</v>
      </c>
      <c r="AO79" s="13" t="n">
        <f aca="false">AO77*AO14</f>
        <v>3.47241420015809E-014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759</v>
      </c>
      <c r="E80" s="0" t="s">
        <v>149</v>
      </c>
      <c r="G80" s="13" t="n">
        <f aca="false">SUM(J80:BN80)</f>
        <v>1.74223968585352E-011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4.26159355626734E-013</v>
      </c>
      <c r="Q80" s="13" t="n">
        <f aca="false">Time!Q35*(Q77-Q78)*Q19</f>
        <v>4.44195156847443E-013</v>
      </c>
      <c r="R80" s="13" t="n">
        <f aca="false">Time!R35*(R77-R78)*R19</f>
        <v>4.66075637917937E-013</v>
      </c>
      <c r="S80" s="13" t="n">
        <f aca="false">Time!S35*(S77-S78)*S19</f>
        <v>4.79810132962856E-013</v>
      </c>
      <c r="T80" s="13" t="n">
        <f aca="false">Time!T35*(T77-T78)*T19</f>
        <v>5.01881227139704E-013</v>
      </c>
      <c r="U80" s="13" t="n">
        <f aca="false">Time!U35*(U77-U78)*U19</f>
        <v>5.17887102993425E-013</v>
      </c>
      <c r="V80" s="13" t="n">
        <f aca="false">Time!V35*(V77-V78)*V19</f>
        <v>5.5172030153301E-013</v>
      </c>
      <c r="W80" s="13" t="n">
        <f aca="false">Time!W35*(W77-W78)*W19</f>
        <v>5.68586052543131E-013</v>
      </c>
      <c r="X80" s="13" t="n">
        <f aca="false">Time!X35*(X77-X78)*X19</f>
        <v>5.52803392518604E-013</v>
      </c>
      <c r="Y80" s="13" t="n">
        <f aca="false">Time!Y35*(Y77-Y78)*Y19</f>
        <v>5.53063513864796E-013</v>
      </c>
      <c r="Z80" s="13" t="n">
        <f aca="false">Time!Z35*(Z77-Z78)*Z19</f>
        <v>5.75975804186915E-013</v>
      </c>
      <c r="AA80" s="13" t="n">
        <f aca="false">Time!AA35*(AA77-AA78)*AA19</f>
        <v>5.92784222200547E-013</v>
      </c>
      <c r="AB80" s="13" t="n">
        <f aca="false">Time!AB35*(AB77-AB78)*AB19</f>
        <v>6.21104066489067E-013</v>
      </c>
      <c r="AC80" s="13" t="n">
        <f aca="false">Time!AC35*(AC77-AC78)*AC19</f>
        <v>6.41680285384333E-013</v>
      </c>
      <c r="AD80" s="13" t="n">
        <f aca="false">Time!AD35*(AD77-AD78)*AD19</f>
        <v>7.00668045503304E-013</v>
      </c>
      <c r="AE80" s="13" t="n">
        <f aca="false">Time!AE35*(AE77-AE78)*AE19</f>
        <v>7.30783136008236E-013</v>
      </c>
      <c r="AF80" s="13" t="n">
        <f aca="false">Time!AF35*(AF77-AF78)*AF19</f>
        <v>7.56420314320331E-013</v>
      </c>
      <c r="AG80" s="13" t="n">
        <f aca="false">Time!AG35*(AG77-AG78)*AG19</f>
        <v>7.70537550194328E-013</v>
      </c>
      <c r="AH80" s="13" t="n">
        <f aca="false">Time!AH35*(AH77-AH78)*AH19</f>
        <v>8.09219722141165E-013</v>
      </c>
      <c r="AI80" s="13" t="n">
        <f aca="false">Time!AI35*(AI77-AI78)*AI19</f>
        <v>8.32980453551142E-013</v>
      </c>
      <c r="AJ80" s="13" t="n">
        <f aca="false">Time!AJ35*(AJ77-AJ78)*AJ19</f>
        <v>8.73194803466208E-013</v>
      </c>
      <c r="AK80" s="13" t="n">
        <f aca="false">Time!AK35*(AK77-AK78)*AK19</f>
        <v>9.01458573030451E-013</v>
      </c>
      <c r="AL80" s="13" t="n">
        <f aca="false">Time!AL35*(AL77-AL78)*AL19</f>
        <v>9.55851463339023E-013</v>
      </c>
      <c r="AM80" s="13" t="n">
        <f aca="false">Time!AM35*(AM77-AM78)*AM19</f>
        <v>9.7571880426559E-013</v>
      </c>
      <c r="AN80" s="13" t="n">
        <f aca="false">Time!AN35*(AN77-AN78)*AN19</f>
        <v>8.04956430464946E-013</v>
      </c>
      <c r="AO80" s="13" t="n">
        <f aca="false">Time!AO35*(AO77-AO78)*AO19</f>
        <v>8.16881310041973E-013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760</v>
      </c>
      <c r="E81" s="0" t="s">
        <v>149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761</v>
      </c>
      <c r="E82" s="0" t="s">
        <v>149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762</v>
      </c>
      <c r="E83" s="0" t="s">
        <v>149</v>
      </c>
      <c r="G83" s="13" t="n">
        <f aca="false">SUM(J83:BN83)</f>
        <v>1.74223968585352E-011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4.26159355626734E-013</v>
      </c>
      <c r="Q83" s="13" t="n">
        <f aca="false">Q80-Q81+Q82</f>
        <v>4.44195156847443E-013</v>
      </c>
      <c r="R83" s="13" t="n">
        <f aca="false">R80-R81+R82</f>
        <v>4.66075637917937E-013</v>
      </c>
      <c r="S83" s="13" t="n">
        <f aca="false">S80-S81+S82</f>
        <v>4.79810132962856E-013</v>
      </c>
      <c r="T83" s="13" t="n">
        <f aca="false">T80-T81+T82</f>
        <v>5.01881227139704E-013</v>
      </c>
      <c r="U83" s="13" t="n">
        <f aca="false">U80-U81+U82</f>
        <v>5.17887102993425E-013</v>
      </c>
      <c r="V83" s="13" t="n">
        <f aca="false">V80-V81+V82</f>
        <v>5.5172030153301E-013</v>
      </c>
      <c r="W83" s="13" t="n">
        <f aca="false">W80-W81+W82</f>
        <v>5.68586052543131E-013</v>
      </c>
      <c r="X83" s="13" t="n">
        <f aca="false">X80-X81+X82</f>
        <v>5.52803392518604E-013</v>
      </c>
      <c r="Y83" s="13" t="n">
        <f aca="false">Y80-Y81+Y82</f>
        <v>5.53063513864796E-013</v>
      </c>
      <c r="Z83" s="13" t="n">
        <f aca="false">Z80-Z81+Z82</f>
        <v>5.75975804186915E-013</v>
      </c>
      <c r="AA83" s="13" t="n">
        <f aca="false">AA80-AA81+AA82</f>
        <v>5.92784222200547E-013</v>
      </c>
      <c r="AB83" s="13" t="n">
        <f aca="false">AB80-AB81+AB82</f>
        <v>6.21104066489067E-013</v>
      </c>
      <c r="AC83" s="13" t="n">
        <f aca="false">AC80-AC81+AC82</f>
        <v>6.41680285384333E-013</v>
      </c>
      <c r="AD83" s="13" t="n">
        <f aca="false">AD80-AD81+AD82</f>
        <v>7.00668045503304E-013</v>
      </c>
      <c r="AE83" s="13" t="n">
        <f aca="false">AE80-AE81+AE82</f>
        <v>7.30783136008236E-013</v>
      </c>
      <c r="AF83" s="13" t="n">
        <f aca="false">AF80-AF81+AF82</f>
        <v>7.56420314320331E-013</v>
      </c>
      <c r="AG83" s="13" t="n">
        <f aca="false">AG80-AG81+AG82</f>
        <v>7.70537550194328E-013</v>
      </c>
      <c r="AH83" s="13" t="n">
        <f aca="false">AH80-AH81+AH82</f>
        <v>8.09219722141165E-013</v>
      </c>
      <c r="AI83" s="13" t="n">
        <f aca="false">AI80-AI81+AI82</f>
        <v>8.32980453551142E-013</v>
      </c>
      <c r="AJ83" s="13" t="n">
        <f aca="false">AJ80-AJ81+AJ82</f>
        <v>8.73194803466208E-013</v>
      </c>
      <c r="AK83" s="13" t="n">
        <f aca="false">AK80-AK81+AK82</f>
        <v>9.01458573030451E-013</v>
      </c>
      <c r="AL83" s="13" t="n">
        <f aca="false">AL80-AL81+AL82</f>
        <v>9.55851463339023E-013</v>
      </c>
      <c r="AM83" s="13" t="n">
        <f aca="false">AM80-AM81+AM82</f>
        <v>9.7571880426559E-013</v>
      </c>
      <c r="AN83" s="13" t="n">
        <f aca="false">AN80-AN81+AN82</f>
        <v>8.04956430464946E-013</v>
      </c>
      <c r="AO83" s="13" t="n">
        <f aca="false">AO80-AO81+AO82</f>
        <v>8.16881310041973E-013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763</v>
      </c>
      <c r="E84" s="0" t="s">
        <v>149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771</v>
      </c>
      <c r="E85" s="0" t="s">
        <v>149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765</v>
      </c>
      <c r="E86" s="0" t="s">
        <v>149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766</v>
      </c>
      <c r="E87" s="0" t="s">
        <v>149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1.69962375029085E-011</v>
      </c>
      <c r="Q87" s="13" t="n">
        <f aca="false">Q77-Q83-Q84-Q85</f>
        <v>1.6552042346061E-011</v>
      </c>
      <c r="R87" s="13" t="n">
        <f aca="false">R77-R83-R84-R85</f>
        <v>1.60859667081431E-011</v>
      </c>
      <c r="S87" s="13" t="n">
        <f aca="false">S77-S83-S84-S85</f>
        <v>1.56061565751802E-011</v>
      </c>
      <c r="T87" s="13" t="n">
        <f aca="false">T77-T83-T84-T85</f>
        <v>1.51042753480405E-011</v>
      </c>
      <c r="U87" s="13" t="n">
        <f aca="false">U77-U83-U84-U85</f>
        <v>1.45863882450471E-011</v>
      </c>
      <c r="V87" s="13" t="n">
        <f aca="false">V77-V83-V84-V85</f>
        <v>1.40346679435141E-011</v>
      </c>
      <c r="W87" s="13" t="n">
        <f aca="false">W77-W83-W84-W85</f>
        <v>1.3466081890971E-011</v>
      </c>
      <c r="X87" s="13" t="n">
        <f aca="false">X77-X83-X84-X85</f>
        <v>1.29132784984524E-011</v>
      </c>
      <c r="Y87" s="13" t="n">
        <f aca="false">Y77-Y83-Y84-Y85</f>
        <v>1.23602149845876E-011</v>
      </c>
      <c r="Z87" s="13" t="n">
        <f aca="false">Z77-Z83-Z84-Z85</f>
        <v>1.17842391804006E-011</v>
      </c>
      <c r="AA87" s="13" t="n">
        <f aca="false">AA77-AA83-AA84-AA85</f>
        <v>1.11914549582001E-011</v>
      </c>
      <c r="AB87" s="13" t="n">
        <f aca="false">AB77-AB83-AB84-AB85</f>
        <v>1.0570350891711E-011</v>
      </c>
      <c r="AC87" s="13" t="n">
        <f aca="false">AC77-AC83-AC84-AC85</f>
        <v>9.9286706063267E-012</v>
      </c>
      <c r="AD87" s="13" t="n">
        <f aca="false">AD77-AD83-AD84-AD85</f>
        <v>9.22800256082339E-012</v>
      </c>
      <c r="AE87" s="13" t="n">
        <f aca="false">AE77-AE83-AE84-AE85</f>
        <v>8.49721942481516E-012</v>
      </c>
      <c r="AF87" s="13" t="n">
        <f aca="false">AF77-AF83-AF84-AF85</f>
        <v>7.74079911049483E-012</v>
      </c>
      <c r="AG87" s="13" t="n">
        <f aca="false">AG77-AG83-AG84-AG85</f>
        <v>6.9702615603005E-012</v>
      </c>
      <c r="AH87" s="13" t="n">
        <f aca="false">AH77-AH83-AH84-AH85</f>
        <v>6.16104183815933E-012</v>
      </c>
      <c r="AI87" s="13" t="n">
        <f aca="false">AI77-AI83-AI84-AI85</f>
        <v>5.32806138460819E-012</v>
      </c>
      <c r="AJ87" s="13" t="n">
        <f aca="false">AJ77-AJ83-AJ84-AJ85</f>
        <v>4.45486658114198E-012</v>
      </c>
      <c r="AK87" s="13" t="n">
        <f aca="false">AK77-AK83-AK84-AK85</f>
        <v>3.55340800811153E-012</v>
      </c>
      <c r="AL87" s="13" t="n">
        <f aca="false">AL77-AL83-AL84-AL85</f>
        <v>2.59755654477251E-012</v>
      </c>
      <c r="AM87" s="13" t="n">
        <f aca="false">AM77-AM83-AM84-AM85</f>
        <v>1.62183774050692E-012</v>
      </c>
      <c r="AN87" s="13" t="n">
        <f aca="false">AN77-AN83-AN84-AN85</f>
        <v>8.16881310041973E-013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767</v>
      </c>
      <c r="E88" s="0" t="s">
        <v>149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768</v>
      </c>
      <c r="E89" s="0" t="s">
        <v>149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1.74223968585352E-011</v>
      </c>
      <c r="P89" s="13" t="n">
        <f aca="false">IF(Time!P34=1,INDEX(Funding!$J$65:$BJ$65,1,Time!$F$14),Time!P35*(P87-P88))</f>
        <v>1.69962375029085E-011</v>
      </c>
      <c r="Q89" s="13" t="n">
        <f aca="false">IF(Time!Q34=1,INDEX(Funding!$J$65:$BJ$65,1,Time!$F$14),Time!Q35*(Q87-Q88))</f>
        <v>1.6552042346061E-011</v>
      </c>
      <c r="R89" s="13" t="n">
        <f aca="false">IF(Time!R34=1,INDEX(Funding!$J$65:$BJ$65,1,Time!$F$14),Time!R35*(R87-R88))</f>
        <v>1.60859667081431E-011</v>
      </c>
      <c r="S89" s="13" t="n">
        <f aca="false">IF(Time!S34=1,INDEX(Funding!$J$65:$BJ$65,1,Time!$F$14),Time!S35*(S87-S88))</f>
        <v>1.56061565751802E-011</v>
      </c>
      <c r="T89" s="13" t="n">
        <f aca="false">IF(Time!T34=1,INDEX(Funding!$J$65:$BJ$65,1,Time!$F$14),Time!T35*(T87-T88))</f>
        <v>1.51042753480405E-011</v>
      </c>
      <c r="U89" s="13" t="n">
        <f aca="false">IF(Time!U34=1,INDEX(Funding!$J$65:$BJ$65,1,Time!$F$14),Time!U35*(U87-U88))</f>
        <v>1.45863882450471E-011</v>
      </c>
      <c r="V89" s="13" t="n">
        <f aca="false">IF(Time!V34=1,INDEX(Funding!$J$65:$BJ$65,1,Time!$F$14),Time!V35*(V87-V88))</f>
        <v>1.40346679435141E-011</v>
      </c>
      <c r="W89" s="13" t="n">
        <f aca="false">IF(Time!W34=1,INDEX(Funding!$J$65:$BJ$65,1,Time!$F$14),Time!W35*(W87-W88))</f>
        <v>1.3466081890971E-011</v>
      </c>
      <c r="X89" s="13" t="n">
        <f aca="false">IF(Time!X34=1,INDEX(Funding!$J$65:$BJ$65,1,Time!$F$14),Time!X35*(X87-X88))</f>
        <v>1.29132784984524E-011</v>
      </c>
      <c r="Y89" s="13" t="n">
        <f aca="false">IF(Time!Y34=1,INDEX(Funding!$J$65:$BJ$65,1,Time!$F$14),Time!Y35*(Y87-Y88))</f>
        <v>1.23602149845876E-011</v>
      </c>
      <c r="Z89" s="13" t="n">
        <f aca="false">IF(Time!Z34=1,INDEX(Funding!$J$65:$BJ$65,1,Time!$F$14),Time!Z35*(Z87-Z88))</f>
        <v>1.17842391804006E-011</v>
      </c>
      <c r="AA89" s="13" t="n">
        <f aca="false">IF(Time!AA34=1,INDEX(Funding!$J$65:$BJ$65,1,Time!$F$14),Time!AA35*(AA87-AA88))</f>
        <v>1.11914549582001E-011</v>
      </c>
      <c r="AB89" s="13" t="n">
        <f aca="false">IF(Time!AB34=1,INDEX(Funding!$J$65:$BJ$65,1,Time!$F$14),Time!AB35*(AB87-AB88))</f>
        <v>1.0570350891711E-011</v>
      </c>
      <c r="AC89" s="13" t="n">
        <f aca="false">IF(Time!AC34=1,INDEX(Funding!$J$65:$BJ$65,1,Time!$F$14),Time!AC35*(AC87-AC88))</f>
        <v>9.9286706063267E-012</v>
      </c>
      <c r="AD89" s="13" t="n">
        <f aca="false">IF(Time!AD34=1,INDEX(Funding!$J$65:$BJ$65,1,Time!$F$14),Time!AD35*(AD87-AD88))</f>
        <v>9.22800256082339E-012</v>
      </c>
      <c r="AE89" s="13" t="n">
        <f aca="false">IF(Time!AE34=1,INDEX(Funding!$J$65:$BJ$65,1,Time!$F$14),Time!AE35*(AE87-AE88))</f>
        <v>8.49721942481516E-012</v>
      </c>
      <c r="AF89" s="13" t="n">
        <f aca="false">IF(Time!AF34=1,INDEX(Funding!$J$65:$BJ$65,1,Time!$F$14),Time!AF35*(AF87-AF88))</f>
        <v>7.74079911049483E-012</v>
      </c>
      <c r="AG89" s="13" t="n">
        <f aca="false">IF(Time!AG34=1,INDEX(Funding!$J$65:$BJ$65,1,Time!$F$14),Time!AG35*(AG87-AG88))</f>
        <v>6.9702615603005E-012</v>
      </c>
      <c r="AH89" s="13" t="n">
        <f aca="false">IF(Time!AH34=1,INDEX(Funding!$J$65:$BJ$65,1,Time!$F$14),Time!AH35*(AH87-AH88))</f>
        <v>6.16104183815933E-012</v>
      </c>
      <c r="AI89" s="13" t="n">
        <f aca="false">IF(Time!AI34=1,INDEX(Funding!$J$65:$BJ$65,1,Time!$F$14),Time!AI35*(AI87-AI88))</f>
        <v>5.32806138460819E-012</v>
      </c>
      <c r="AJ89" s="13" t="n">
        <f aca="false">IF(Time!AJ34=1,INDEX(Funding!$J$65:$BJ$65,1,Time!$F$14),Time!AJ35*(AJ87-AJ88))</f>
        <v>4.45486658114198E-012</v>
      </c>
      <c r="AK89" s="13" t="n">
        <f aca="false">IF(Time!AK34=1,INDEX(Funding!$J$65:$BJ$65,1,Time!$F$14),Time!AK35*(AK87-AK88))</f>
        <v>3.55340800811153E-012</v>
      </c>
      <c r="AL89" s="13" t="n">
        <f aca="false">IF(Time!AL34=1,INDEX(Funding!$J$65:$BJ$65,1,Time!$F$14),Time!AL35*(AL87-AL88))</f>
        <v>2.59755654477251E-012</v>
      </c>
      <c r="AM89" s="13" t="n">
        <f aca="false">IF(Time!AM34=1,INDEX(Funding!$J$65:$BJ$65,1,Time!$F$14),Time!AM35*(AM87-AM88))</f>
        <v>1.62183774050692E-012</v>
      </c>
      <c r="AN89" s="13" t="n">
        <f aca="false">IF(Time!AN34=1,INDEX(Funding!$J$65:$BJ$65,1,Time!$F$14),Time!AN35*(AN87-AN88))</f>
        <v>8.16881310041973E-013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773</v>
      </c>
    </row>
    <row r="91" customFormat="false" ht="15" hidden="false" customHeight="false" outlineLevel="0" collapsed="false">
      <c r="D91" s="0" t="s">
        <v>756</v>
      </c>
      <c r="E91" s="0" t="s">
        <v>149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758</v>
      </c>
      <c r="E92" s="0" t="s">
        <v>149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762</v>
      </c>
      <c r="E93" s="0" t="s">
        <v>149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774</v>
      </c>
      <c r="E94" s="0" t="s">
        <v>149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775</v>
      </c>
      <c r="E95" s="0" t="s">
        <v>149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776</v>
      </c>
    </row>
    <row r="97" customFormat="false" ht="15" hidden="false" customHeight="false" outlineLevel="0" collapsed="false">
      <c r="D97" s="0" t="s">
        <v>777</v>
      </c>
      <c r="E97" s="0" t="s">
        <v>99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778</v>
      </c>
      <c r="E98" s="0" t="s">
        <v>149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779</v>
      </c>
      <c r="E99" s="0" t="s">
        <v>149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780</v>
      </c>
      <c r="E100" s="0" t="s">
        <v>149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781</v>
      </c>
      <c r="E101" s="0" t="s">
        <v>149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782</v>
      </c>
      <c r="E102" s="0" t="s">
        <v>149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783</v>
      </c>
      <c r="E103" s="0" t="s">
        <v>149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784</v>
      </c>
      <c r="E104" s="0" t="s">
        <v>149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785</v>
      </c>
    </row>
    <row r="106" customFormat="false" ht="15" hidden="false" customHeight="false" outlineLevel="0" collapsed="false">
      <c r="D106" s="0" t="s">
        <v>786</v>
      </c>
      <c r="E106" s="0" t="s">
        <v>109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787</v>
      </c>
      <c r="E107" s="0" t="s">
        <v>149</v>
      </c>
      <c r="G107" s="13" t="n">
        <f aca="false">SUM(J107:BN107)</f>
        <v>-8.33420360298509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788</v>
      </c>
      <c r="E108" s="0" t="s">
        <v>149</v>
      </c>
      <c r="G108" s="13" t="n">
        <f aca="false">SUM(J108:BN108)</f>
        <v>16.5552978954991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0.994908618605088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0.915414039310799</v>
      </c>
      <c r="Z108" s="13" t="n">
        <f aca="false">(Inputs!$F$95/100*Inputs!$F$96/100)*Z63*Time!Z25/Inputs!$F$248</f>
        <v>0.890730501065407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0.774232747054726</v>
      </c>
      <c r="AC108" s="13" t="n">
        <f aca="false">(Inputs!$F$95/100*Inputs!$F$96/100)*AC63*Time!AC25/Inputs!$F$248</f>
        <v>0.686187997224145</v>
      </c>
      <c r="AD108" s="13" t="n">
        <f aca="false">(Inputs!$F$95/100*Inputs!$F$96/100)*AD63*Time!AD25/Inputs!$F$248</f>
        <v>0.615787559721746</v>
      </c>
      <c r="AE108" s="13" t="n">
        <f aca="false">(Inputs!$F$95/100*Inputs!$F$96/100)*AE63*Time!AE25/Inputs!$F$248</f>
        <v>0.520868257399552</v>
      </c>
      <c r="AF108" s="13" t="n">
        <f aca="false">(Inputs!$F$95/100*Inputs!$F$96/100)*AF63*Time!AF25/Inputs!$F$248</f>
        <v>0.441537965700325</v>
      </c>
      <c r="AG108" s="13" t="n">
        <f aca="false">(Inputs!$F$95/100*Inputs!$F$96/100)*AG63*Time!AG25/Inputs!$F$248</f>
        <v>0.345789614192439</v>
      </c>
      <c r="AH108" s="13" t="n">
        <f aca="false">(Inputs!$F$95/100*Inputs!$F$96/100)*AH63*Time!AH25/Inputs!$F$248</f>
        <v>0.263541657586574</v>
      </c>
      <c r="AI108" s="13" t="n">
        <f aca="false">(Inputs!$F$95/100*Inputs!$F$96/100)*AI63*Time!AI25/Inputs!$F$248</f>
        <v>0.169925441831789</v>
      </c>
      <c r="AJ108" s="13" t="n">
        <f aca="false">(Inputs!$F$95/100*Inputs!$F$96/100)*AJ63*Time!AJ25/Inputs!$F$248</f>
        <v>0.0845978312266586</v>
      </c>
      <c r="AK108" s="13" t="n">
        <f aca="false">(Inputs!$F$95/100*Inputs!$F$96/100)*AK63*Time!AK25/Inputs!$F$248</f>
        <v>0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789</v>
      </c>
      <c r="E109" s="0" t="s">
        <v>149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385</v>
      </c>
      <c r="E110" s="0" t="s">
        <v>149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790</v>
      </c>
      <c r="E111" s="0" t="s">
        <v>149</v>
      </c>
      <c r="G111" s="13" t="n">
        <f aca="false">SUM(J111:BN111)</f>
        <v>304.527795311981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21.0368041610017</v>
      </c>
      <c r="Q111" s="13" t="n">
        <f aca="false">Q23+Q37+Q51+Q65+Q79+Q92</f>
        <v>20.2523758527047</v>
      </c>
      <c r="R111" s="13" t="n">
        <f aca="false">R23+R37+R51+R65+R79+R92</f>
        <v>20.0499837178703</v>
      </c>
      <c r="S111" s="13" t="n">
        <f aca="false">S23+S37+S51+S65+S79+S92</f>
        <v>19.1983530391913</v>
      </c>
      <c r="T111" s="13" t="n">
        <f aca="false">T23+T37+T51+T65+T79+T92</f>
        <v>18.9344204260947</v>
      </c>
      <c r="U111" s="13" t="n">
        <f aca="false">U23+U37+U51+U65+U79+U92</f>
        <v>18.1263146852918</v>
      </c>
      <c r="V111" s="13" t="n">
        <f aca="false">V23+V37+V51+V65+V79+V92</f>
        <v>17.6971701007542</v>
      </c>
      <c r="W111" s="13" t="n">
        <f aca="false">W23+W37+W51+W65+W79+W92</f>
        <v>16.7501596177622</v>
      </c>
      <c r="X111" s="13" t="n">
        <f aca="false">X23+X37+X51+X65+X79+X92</f>
        <v>16.3379404011215</v>
      </c>
      <c r="Y111" s="13" t="n">
        <f aca="false">Y23+Y37+Y51+Y65+Y79+Y92</f>
        <v>15.9099887017777</v>
      </c>
      <c r="Z111" s="13" t="n">
        <f aca="false">Z23+Z37+Z51+Z65+Z79+Z92</f>
        <v>15.4809863075171</v>
      </c>
      <c r="AA111" s="13" t="n">
        <f aca="false">AA23+AA37+AA51+AA65+AA79+AA92</f>
        <v>14.5189397287211</v>
      </c>
      <c r="AB111" s="13" t="n">
        <f aca="false">AB23+AB37+AB51+AB65+AB79+AB92</f>
        <v>13.7459572356358</v>
      </c>
      <c r="AC111" s="13" t="n">
        <f aca="false">AC23+AC37+AC51+AC65+AC79+AC92</f>
        <v>12.5299846754002</v>
      </c>
      <c r="AD111" s="13" t="n">
        <f aca="false">AD23+AD37+AD51+AD65+AD79+AD92</f>
        <v>11.5976233510417</v>
      </c>
      <c r="AE111" s="13" t="n">
        <f aca="false">AE23+AE37+AE51+AE65+AE79+AE92</f>
        <v>10.2494057213969</v>
      </c>
      <c r="AF111" s="13" t="n">
        <f aca="false">AF23+AF37+AF51+AF65+AF79+AF92</f>
        <v>9.20737029788354</v>
      </c>
      <c r="AG111" s="13" t="n">
        <f aca="false">AG23+AG37+AG51+AG65+AG79+AG92</f>
        <v>8.01999173780075</v>
      </c>
      <c r="AH111" s="13" t="n">
        <f aca="false">AH23+AH37+AH51+AH65+AH79+AH92</f>
        <v>6.8672726464229</v>
      </c>
      <c r="AI111" s="13" t="n">
        <f aca="false">AI23+AI37+AI51+AI65+AI79+AI92</f>
        <v>5.44118000287267</v>
      </c>
      <c r="AJ111" s="13" t="n">
        <f aca="false">AJ23+AJ37+AJ51+AJ65+AJ79+AJ92</f>
        <v>4.20384695945895</v>
      </c>
      <c r="AK111" s="13" t="n">
        <f aca="false">AK23+AK37+AK51+AK65+AK79+AK92</f>
        <v>2.85071392839389</v>
      </c>
      <c r="AL111" s="13" t="n">
        <f aca="false">AL23+AL37+AL51+AL65+AL79+AL92</f>
        <v>2.29884901068256</v>
      </c>
      <c r="AM111" s="13" t="n">
        <f aca="false">AM23+AM37+AM51+AM65+AM79+AM92</f>
        <v>1.65306957585187</v>
      </c>
      <c r="AN111" s="13" t="n">
        <f aca="false">AN23+AN37+AN51+AN65+AN79+AN92</f>
        <v>1.04923500952918</v>
      </c>
      <c r="AO111" s="13" t="n">
        <f aca="false">AO23+AO37+AO51+AO65+AO79+AO92</f>
        <v>0.519858419802241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791</v>
      </c>
      <c r="E112" s="0" t="s">
        <v>149</v>
      </c>
      <c r="G112" s="13" t="n">
        <f aca="false">SUM(J112:BN112)</f>
        <v>312.748889604495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21.7561806363521</v>
      </c>
      <c r="Q112" s="13" t="n">
        <f aca="false">Q111+Q107+Q108+Q109</f>
        <v>21.0117501255587</v>
      </c>
      <c r="R112" s="13" t="n">
        <f aca="false">R111+R107+R108+R109</f>
        <v>20.6842237422474</v>
      </c>
      <c r="S112" s="13" t="n">
        <f aca="false">S111+S107+S108+S109</f>
        <v>19.8935402102571</v>
      </c>
      <c r="T112" s="13" t="n">
        <f aca="false">T111+T107+T108+T109</f>
        <v>19.5092222239857</v>
      </c>
      <c r="U112" s="13" t="n">
        <f aca="false">U111+U107+U108+U109</f>
        <v>18.7469278452348</v>
      </c>
      <c r="V112" s="13" t="n">
        <f aca="false">V111+V107+V108+V109</f>
        <v>18.2344120634116</v>
      </c>
      <c r="W112" s="13" t="n">
        <f aca="false">W111+W107+W108+W109</f>
        <v>17.3566958167685</v>
      </c>
      <c r="X112" s="13" t="n">
        <f aca="false">X111+X107+X108+X109</f>
        <v>16.8339195388541</v>
      </c>
      <c r="Y112" s="13" t="n">
        <f aca="false">Y111+Y107+Y108+Y109</f>
        <v>16.4680618167729</v>
      </c>
      <c r="Z112" s="13" t="n">
        <f aca="false">Z111+Z107+Z108+Z109</f>
        <v>15.9362344502122</v>
      </c>
      <c r="AA112" s="13" t="n">
        <f aca="false">AA111+AA107+AA108+AA109</f>
        <v>15.0282191551691</v>
      </c>
      <c r="AB112" s="13" t="n">
        <f aca="false">AB111+AB107+AB108+AB109</f>
        <v>14.125886064444</v>
      </c>
      <c r="AC112" s="13" t="n">
        <f aca="false">AC111+AC107+AC108+AC109</f>
        <v>12.8970280129363</v>
      </c>
      <c r="AD112" s="13" t="n">
        <f aca="false">AD111+AD107+AD108+AD109</f>
        <v>11.8635981529339</v>
      </c>
      <c r="AE112" s="13" t="n">
        <f aca="false">AE111+AE107+AE108+AE109</f>
        <v>10.514913346323</v>
      </c>
      <c r="AF112" s="13" t="n">
        <f aca="false">AF111+AF107+AF108+AF109</f>
        <v>9.34952923503765</v>
      </c>
      <c r="AG112" s="13" t="n">
        <f aca="false">AG111+AG107+AG108+AG109</f>
        <v>8.15157515258252</v>
      </c>
      <c r="AH112" s="13" t="n">
        <f aca="false">AH111+AH107+AH108+AH109</f>
        <v>6.88523395233094</v>
      </c>
      <c r="AI112" s="13" t="n">
        <f aca="false">AI111+AI107+AI108+AI109</f>
        <v>5.44061486127451</v>
      </c>
      <c r="AJ112" s="13" t="n">
        <f aca="false">AJ111+AJ107+AJ108+AJ109</f>
        <v>4.10072340070946</v>
      </c>
      <c r="AK112" s="13" t="n">
        <f aca="false">AK111+AK107+AK108+AK109</f>
        <v>2.71621064713489</v>
      </c>
      <c r="AL112" s="13" t="n">
        <f aca="false">AL111+AL107+AL108+AL109</f>
        <v>2.17365325142159</v>
      </c>
      <c r="AM112" s="13" t="n">
        <f aca="false">AM111+AM107+AM108+AM109</f>
        <v>1.58118904940136</v>
      </c>
      <c r="AN112" s="13" t="n">
        <f aca="false">AN111+AN107+AN108+AN109</f>
        <v>0.992093469110137</v>
      </c>
      <c r="AO112" s="13" t="n">
        <f aca="false">AO111+AO107+AO108+AO109</f>
        <v>0.497253384030616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792</v>
      </c>
      <c r="E113" s="0" t="s">
        <v>149</v>
      </c>
      <c r="G113" s="13" t="n">
        <f aca="false">SUM(J113:BN113)</f>
        <v>538.590152336656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15.4897148007444</v>
      </c>
      <c r="Q113" s="13" t="n">
        <f aca="false">Q27+Q41+Q55+Q69+Q83+Q93</f>
        <v>16.145266329587</v>
      </c>
      <c r="R113" s="13" t="n">
        <f aca="false">R27+R41+R55+R69+R83+R93</f>
        <v>16.9405613454306</v>
      </c>
      <c r="S113" s="13" t="n">
        <f aca="false">S27+S41+S55+S69+S83+S93</f>
        <v>17.4397722822998</v>
      </c>
      <c r="T113" s="13" t="n">
        <f aca="false">T27+T41+T55+T69+T83+T93</f>
        <v>18.241995557762</v>
      </c>
      <c r="U113" s="13" t="n">
        <f aca="false">U27+U41+U55+U69+U83+U93</f>
        <v>18.8237649096179</v>
      </c>
      <c r="V113" s="13" t="n">
        <f aca="false">V27+V41+V55+V69+V83+V93</f>
        <v>20.0535081717467</v>
      </c>
      <c r="W113" s="13" t="n">
        <f aca="false">W27+W41+W55+W69+W83+W93</f>
        <v>20.6665316091013</v>
      </c>
      <c r="X113" s="13" t="n">
        <f aca="false">X27+X41+X55+X69+X83+X93</f>
        <v>20.0928755357353</v>
      </c>
      <c r="Y113" s="13" t="n">
        <f aca="false">Y27+Y41+Y55+Y69+Y83+Y93</f>
        <v>20.1023302277722</v>
      </c>
      <c r="Z113" s="13" t="n">
        <f aca="false">Z27+Z41+Z55+Z69+Z83+Z93</f>
        <v>20.9351286583019</v>
      </c>
      <c r="AA113" s="13" t="n">
        <f aca="false">AA27+AA41+AA55+AA69+AA83+AA93</f>
        <v>21.5460681996853</v>
      </c>
      <c r="AB113" s="13" t="n">
        <f aca="false">AB27+AB41+AB55+AB69+AB83+AB93</f>
        <v>22.2321457905674</v>
      </c>
      <c r="AC113" s="13" t="n">
        <f aca="false">AC27+AC41+AC55+AC69+AC83+AC93</f>
        <v>22.5319357856662</v>
      </c>
      <c r="AD113" s="13" t="n">
        <f aca="false">AD27+AD41+AD55+AD69+AD83+AD93</f>
        <v>24.1186391113981</v>
      </c>
      <c r="AE113" s="13" t="n">
        <f aca="false">AE27+AE41+AE55+AE69+AE83+AE93</f>
        <v>24.5051977389612</v>
      </c>
      <c r="AF113" s="13" t="n">
        <f aca="false">AF27+AF41+AF55+AF69+AF83+AF93</f>
        <v>24.5795149680157</v>
      </c>
      <c r="AG113" s="13" t="n">
        <f aca="false">AG27+AG41+AG55+AG69+AG83+AG93</f>
        <v>24.0707530632709</v>
      </c>
      <c r="AH113" s="13" t="n">
        <f aca="false">AH27+AH41+AH55+AH69+AH83+AH93</f>
        <v>24.1000980222241</v>
      </c>
      <c r="AI113" s="13" t="n">
        <f aca="false">AI27+AI41+AI55+AI69+AI83+AI93</f>
        <v>23.2476894268689</v>
      </c>
      <c r="AJ113" s="13" t="n">
        <f aca="false">AJ27+AJ41+AJ55+AJ69+AJ83+AJ93</f>
        <v>22.3349660477602</v>
      </c>
      <c r="AK113" s="13" t="n">
        <f aca="false">AK27+AK41+AK55+AK69+AK83+AK93</f>
        <v>20.3146272169561</v>
      </c>
      <c r="AL113" s="13" t="n">
        <f aca="false">AL27+AL41+AL55+AL69+AL83+AL93</f>
        <v>21.5403865839748</v>
      </c>
      <c r="AM113" s="13" t="n">
        <f aca="false">AM27+AM41+AM55+AM69+AM83+AM93</f>
        <v>21.9881028038767</v>
      </c>
      <c r="AN113" s="13" t="n">
        <f aca="false">AN27+AN41+AN55+AN69+AN83+AN93</f>
        <v>18.1399237857541</v>
      </c>
      <c r="AO113" s="13" t="n">
        <f aca="false">AO27+AO41+AO55+AO69+AO83+AO93</f>
        <v>18.4086543635775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793</v>
      </c>
      <c r="E114" s="0" t="s">
        <v>149</v>
      </c>
      <c r="G114" s="13" t="n">
        <f aca="false">SUM(J114:BN114)</f>
        <v>851.339041941152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37.2458954370965</v>
      </c>
      <c r="Q114" s="13" t="n">
        <f aca="false">Q112+Q113</f>
        <v>37.1570164551458</v>
      </c>
      <c r="R114" s="13" t="n">
        <f aca="false">R112+R113</f>
        <v>37.624785087678</v>
      </c>
      <c r="S114" s="13" t="n">
        <f aca="false">S112+S113</f>
        <v>37.333312492557</v>
      </c>
      <c r="T114" s="13" t="n">
        <f aca="false">T112+T113</f>
        <v>37.7512177817478</v>
      </c>
      <c r="U114" s="13" t="n">
        <f aca="false">U112+U113</f>
        <v>37.5706927548527</v>
      </c>
      <c r="V114" s="13" t="n">
        <f aca="false">V112+V113</f>
        <v>38.2879202351583</v>
      </c>
      <c r="W114" s="13" t="n">
        <f aca="false">W112+W113</f>
        <v>38.0232274258698</v>
      </c>
      <c r="X114" s="13" t="n">
        <f aca="false">X112+X113</f>
        <v>36.9267950745894</v>
      </c>
      <c r="Y114" s="13" t="n">
        <f aca="false">Y112+Y113</f>
        <v>36.5703920445452</v>
      </c>
      <c r="Z114" s="13" t="n">
        <f aca="false">Z112+Z113</f>
        <v>36.8713631085141</v>
      </c>
      <c r="AA114" s="13" t="n">
        <f aca="false">AA112+AA113</f>
        <v>36.5742873548545</v>
      </c>
      <c r="AB114" s="13" t="n">
        <f aca="false">AB112+AB113</f>
        <v>36.3580318550115</v>
      </c>
      <c r="AC114" s="13" t="n">
        <f aca="false">AC112+AC113</f>
        <v>35.4289637986026</v>
      </c>
      <c r="AD114" s="13" t="n">
        <f aca="false">AD112+AD113</f>
        <v>35.982237264332</v>
      </c>
      <c r="AE114" s="13" t="n">
        <f aca="false">AE112+AE113</f>
        <v>35.0201110852842</v>
      </c>
      <c r="AF114" s="13" t="n">
        <f aca="false">AF112+AF113</f>
        <v>33.9290442030534</v>
      </c>
      <c r="AG114" s="13" t="n">
        <f aca="false">AG112+AG113</f>
        <v>32.2223282158534</v>
      </c>
      <c r="AH114" s="13" t="n">
        <f aca="false">AH112+AH113</f>
        <v>30.985331974555</v>
      </c>
      <c r="AI114" s="13" t="n">
        <f aca="false">AI112+AI113</f>
        <v>28.6883042881434</v>
      </c>
      <c r="AJ114" s="13" t="n">
        <f aca="false">AJ112+AJ113</f>
        <v>26.4356894484697</v>
      </c>
      <c r="AK114" s="13" t="n">
        <f aca="false">AK112+AK113</f>
        <v>23.030837864091</v>
      </c>
      <c r="AL114" s="13" t="n">
        <f aca="false">AL112+AL113</f>
        <v>23.7140398353964</v>
      </c>
      <c r="AM114" s="13" t="n">
        <f aca="false">AM112+AM113</f>
        <v>23.5692918532781</v>
      </c>
      <c r="AN114" s="13" t="n">
        <f aca="false">AN112+AN113</f>
        <v>19.1320172548642</v>
      </c>
      <c r="AO114" s="13" t="n">
        <f aca="false">AO112+AO113</f>
        <v>18.9059077476081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794</v>
      </c>
      <c r="E115" s="0" t="s">
        <v>149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633.255975542792</v>
      </c>
      <c r="Q115" s="13" t="n">
        <f aca="false">Q21+Q35+Q49+Q63+Q77+Q91</f>
        <v>617.766260742047</v>
      </c>
      <c r="R115" s="13" t="n">
        <f aca="false">R21+R35+R49+R63+R77+R91</f>
        <v>601.62099441246</v>
      </c>
      <c r="S115" s="13" t="n">
        <f aca="false">S21+S35+S49+S63+S77+S91</f>
        <v>584.68043306703</v>
      </c>
      <c r="T115" s="13" t="n">
        <f aca="false">T21+T35+T49+T63+T77+T91</f>
        <v>567.24066078473</v>
      </c>
      <c r="U115" s="13" t="n">
        <f aca="false">U21+U35+U49+U63+U77+U91</f>
        <v>548.998665226968</v>
      </c>
      <c r="V115" s="13" t="n">
        <f aca="false">V21+V35+V49+V63+V77+V91</f>
        <v>530.17490031735</v>
      </c>
      <c r="W115" s="13" t="n">
        <f aca="false">W21+W35+W49+W63+W77+W91</f>
        <v>510.121392145603</v>
      </c>
      <c r="X115" s="13" t="n">
        <f aca="false">X21+X35+X49+X63+X77+X91</f>
        <v>489.454860536502</v>
      </c>
      <c r="Y115" s="13" t="n">
        <f aca="false">Y21+Y35+Y49+Y63+Y77+Y91</f>
        <v>469.361985000767</v>
      </c>
      <c r="Z115" s="13" t="n">
        <f aca="false">Z21+Z35+Z49+Z63+Z77+Z91</f>
        <v>449.259654772994</v>
      </c>
      <c r="AA115" s="13" t="n">
        <f aca="false">AA21+AA35+AA49+AA63+AA77+AA91</f>
        <v>428.324526114692</v>
      </c>
      <c r="AB115" s="13" t="n">
        <f aca="false">AB21+AB35+AB49+AB63+AB77+AB91</f>
        <v>400.593188265099</v>
      </c>
      <c r="AC115" s="13" t="n">
        <f aca="false">AC21+AC35+AC49+AC63+AC77+AC91</f>
        <v>371.166876946112</v>
      </c>
      <c r="AD115" s="13" t="n">
        <f aca="false">AD21+AD35+AD49+AD63+AD77+AD91</f>
        <v>341.768152189568</v>
      </c>
      <c r="AE115" s="13" t="n">
        <f aca="false">AE21+AE35+AE49+AE63+AE77+AE91</f>
        <v>309.44067582598</v>
      </c>
      <c r="AF115" s="13" t="n">
        <f aca="false">AF21+AF35+AF49+AF63+AF77+AF91</f>
        <v>276.113065824288</v>
      </c>
      <c r="AG115" s="13" t="n">
        <f aca="false">AG21+AG35+AG49+AG63+AG77+AG91</f>
        <v>241.814125546661</v>
      </c>
      <c r="AH115" s="13" t="n">
        <f aca="false">AH21+AH35+AH49+AH63+AH77+AH91</f>
        <v>207.587608467207</v>
      </c>
      <c r="AI115" s="13" t="n">
        <f aca="false">AI21+AI35+AI49+AI63+AI77+AI91</f>
        <v>171.948797344354</v>
      </c>
      <c r="AJ115" s="13" t="n">
        <f aca="false">AJ21+AJ35+AJ49+AJ63+AJ77+AJ91</f>
        <v>136.283529921639</v>
      </c>
      <c r="AK115" s="13" t="n">
        <f aca="false">AK21+AK35+AK49+AK63+AK77+AK91</f>
        <v>100.391694754139</v>
      </c>
      <c r="AL115" s="13" t="n">
        <f aca="false">AL21+AL35+AL49+AL63+AL77+AL91</f>
        <v>80.0770675371831</v>
      </c>
      <c r="AM115" s="13" t="n">
        <f aca="false">AM21+AM35+AM49+AM63+AM77+AM91</f>
        <v>58.5366809532083</v>
      </c>
      <c r="AN115" s="13" t="n">
        <f aca="false">AN21+AN35+AN49+AN63+AN77+AN91</f>
        <v>36.5485781493316</v>
      </c>
      <c r="AO115" s="13" t="n">
        <f aca="false">AO21+AO35+AO49+AO63+AO77+AO91</f>
        <v>18.4086543635775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795</v>
      </c>
      <c r="E116" s="0" t="s">
        <v>149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633.255975542792</v>
      </c>
      <c r="P116" s="13" t="n">
        <f aca="false">P33+P47+P61+P75+P89+P95</f>
        <v>617.766260742047</v>
      </c>
      <c r="Q116" s="13" t="n">
        <f aca="false">Q33+Q47+Q61+Q75+Q89+Q95</f>
        <v>601.62099441246</v>
      </c>
      <c r="R116" s="13" t="n">
        <f aca="false">R33+R47+R61+R75+R89+R95</f>
        <v>584.68043306703</v>
      </c>
      <c r="S116" s="13" t="n">
        <f aca="false">S33+S47+S61+S75+S89+S95</f>
        <v>567.24066078473</v>
      </c>
      <c r="T116" s="13" t="n">
        <f aca="false">T33+T47+T61+T75+T89+T95</f>
        <v>548.998665226968</v>
      </c>
      <c r="U116" s="13" t="n">
        <f aca="false">U33+U47+U61+U75+U89+U95</f>
        <v>530.17490031735</v>
      </c>
      <c r="V116" s="13" t="n">
        <f aca="false">V33+V47+V61+V75+V89+V95</f>
        <v>510.121392145603</v>
      </c>
      <c r="W116" s="13" t="n">
        <f aca="false">W33+W47+W61+W75+W89+W95</f>
        <v>489.454860536502</v>
      </c>
      <c r="X116" s="13" t="n">
        <f aca="false">X33+X47+X61+X75+X89+X95</f>
        <v>469.361985000767</v>
      </c>
      <c r="Y116" s="13" t="n">
        <f aca="false">Y33+Y47+Y61+Y75+Y89+Y95</f>
        <v>449.259654772994</v>
      </c>
      <c r="Z116" s="13" t="n">
        <f aca="false">Z33+Z47+Z61+Z75+Z89+Z95</f>
        <v>428.324526114692</v>
      </c>
      <c r="AA116" s="13" t="n">
        <f aca="false">AA33+AA47+AA61+AA75+AA89+AA95</f>
        <v>400.593188265099</v>
      </c>
      <c r="AB116" s="13" t="n">
        <f aca="false">AB33+AB47+AB61+AB75+AB89+AB95</f>
        <v>371.166876946112</v>
      </c>
      <c r="AC116" s="13" t="n">
        <f aca="false">AC33+AC47+AC61+AC75+AC89+AC95</f>
        <v>341.768152189568</v>
      </c>
      <c r="AD116" s="13" t="n">
        <f aca="false">AD33+AD47+AD61+AD75+AD89+AD95</f>
        <v>309.44067582598</v>
      </c>
      <c r="AE116" s="13" t="n">
        <f aca="false">AE33+AE47+AE61+AE75+AE89+AE95</f>
        <v>276.113065824288</v>
      </c>
      <c r="AF116" s="13" t="n">
        <f aca="false">AF33+AF47+AF61+AF75+AF89+AF95</f>
        <v>241.814125546661</v>
      </c>
      <c r="AG116" s="13" t="n">
        <f aca="false">AG33+AG47+AG61+AG75+AG89+AG95</f>
        <v>207.587608467207</v>
      </c>
      <c r="AH116" s="13" t="n">
        <f aca="false">AH33+AH47+AH61+AH75+AH89+AH95</f>
        <v>171.948797344354</v>
      </c>
      <c r="AI116" s="13" t="n">
        <f aca="false">AI33+AI47+AI61+AI75+AI89+AI95</f>
        <v>136.283529921639</v>
      </c>
      <c r="AJ116" s="13" t="n">
        <f aca="false">AJ33+AJ47+AJ61+AJ75+AJ89+AJ95</f>
        <v>100.391694754139</v>
      </c>
      <c r="AK116" s="13" t="n">
        <f aca="false">AK33+AK47+AK61+AK75+AK89+AK95</f>
        <v>80.0770675371831</v>
      </c>
      <c r="AL116" s="13" t="n">
        <f aca="false">AL33+AL47+AL61+AL75+AL89+AL95</f>
        <v>58.5366809532083</v>
      </c>
      <c r="AM116" s="13" t="n">
        <f aca="false">AM33+AM47+AM61+AM75+AM89+AM95</f>
        <v>36.5485781493316</v>
      </c>
      <c r="AN116" s="13" t="n">
        <f aca="false">AN33+AN47+AN61+AN75+AN89+AN95</f>
        <v>18.4086543635775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796</v>
      </c>
    </row>
    <row r="118" customFormat="false" ht="15" hidden="false" customHeight="false" outlineLevel="0" collapsed="false">
      <c r="D118" s="0" t="s">
        <v>797</v>
      </c>
      <c r="E118" s="0" t="s">
        <v>149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234.751179081972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140.155156655888</v>
      </c>
      <c r="AC118" s="13" t="n">
        <f aca="false">IF(Time!AC34=1,AC75,AC73)</f>
        <v>124.889504418493</v>
      </c>
      <c r="AD118" s="13" t="n">
        <f aca="false">IF(Time!AD34=1,AD75,AD73)</f>
        <v>109.693831487563</v>
      </c>
      <c r="AE118" s="13" t="n">
        <f aca="false">IF(Time!AE34=1,AE75,AE73)</f>
        <v>93.4482038404553</v>
      </c>
      <c r="AF118" s="13" t="n">
        <f aca="false">IF(Time!AF34=1,AF75,AF73)</f>
        <v>77.0924251122326</v>
      </c>
      <c r="AG118" s="13" t="n">
        <f aca="false">IF(Time!AG34=1,AG75,AG73)</f>
        <v>60.666531196974</v>
      </c>
      <c r="AH118" s="13" t="n">
        <f aca="false">IF(Time!AH34=1,AH75,AH73)</f>
        <v>44.6466674437057</v>
      </c>
      <c r="AI118" s="13" t="n">
        <f aca="false">IF(Time!AI34=1,AI75,AI73)</f>
        <v>28.6317180912734</v>
      </c>
      <c r="AJ118" s="13" t="n">
        <f aca="false">IF(Time!AJ34=1,AJ75,AJ73)</f>
        <v>13.5568691197393</v>
      </c>
      <c r="AK118" s="13" t="n">
        <f aca="false">IF(Time!AK34=1,AK75,AK73)</f>
        <v>0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798</v>
      </c>
      <c r="E119" s="0" t="s">
        <v>149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8.99939649593107</v>
      </c>
      <c r="Q119" s="13" t="n">
        <f aca="false">IF(AND(Time!Q20&gt;=Time!$F$12,Time!R20&gt;0),(IF(Time!Q34=1,Q33,Q31)-Q30)*R19+IF(Time!R46&gt;0,Time!R45*Q30/Time!R46,0)+IF(Time!Q34=1,Q33,Q31)*R10,0)</f>
        <v>9.19645384408426</v>
      </c>
      <c r="R119" s="13" t="n">
        <f aca="false">IF(AND(Time!R20&gt;=Time!$F$12,Time!S20&gt;0),(IF(Time!R34=1,R33,R31)-R30)*S19+IF(Time!S46&gt;0,Time!S45*R30/Time!S46,0)+IF(Time!R34=1,R33,R31)*S10,0)</f>
        <v>9.17399333453588</v>
      </c>
      <c r="S119" s="13" t="n">
        <f aca="false">IF(AND(Time!S20&gt;=Time!$F$12,Time!T20&gt;0),(IF(Time!S34=1,S33,S31)-S30)*T19+IF(Time!T46&gt;0,Time!T45*S30/Time!T46,0)+IF(Time!S34=1,S33,S31)*T10,0)</f>
        <v>9.3604661563469</v>
      </c>
      <c r="T119" s="13" t="n">
        <f aca="false">IF(AND(Time!T20&gt;=Time!$F$12,Time!U20&gt;0),(IF(Time!T34=1,T33,T31)-T30)*U19+IF(Time!U46&gt;0,Time!U45*T30/Time!U46,0)+IF(Time!T34=1,T33,T31)*U10,0)</f>
        <v>9.36906592379133</v>
      </c>
      <c r="U119" s="13" t="n">
        <f aca="false">IF(AND(Time!U20&gt;=Time!$F$12,Time!V20&gt;0),(IF(Time!U34=1,U33,U31)-U30)*V19+IF(Time!V46&gt;0,Time!V45*U30/Time!V46,0)+IF(Time!U34=1,U33,U31)*V10,0)</f>
        <v>9.64987121829886</v>
      </c>
      <c r="V119" s="13" t="n">
        <f aca="false">IF(AND(Time!V20&gt;=Time!$F$12,Time!W20&gt;0),(IF(Time!V34=1,V33,V31)-V30)*W19+IF(Time!W46&gt;0,Time!W45*V30/Time!W46,0)+IF(Time!V34=1,V33,V31)*W10,0)</f>
        <v>9.63932543892382</v>
      </c>
      <c r="W119" s="13" t="n">
        <f aca="false">IF(AND(Time!W20&gt;=Time!$F$12,Time!X20&gt;0),(IF(Time!W34=1,W33,W31)-W30)*X19+IF(Time!X46&gt;0,Time!X45*W30/Time!X46,0)+IF(Time!W34=1,W33,W31)*X10,0)</f>
        <v>9.38258627483752</v>
      </c>
      <c r="X119" s="13" t="n">
        <f aca="false">IF(AND(Time!X20&gt;=Time!$F$12,Time!Y20&gt;0),(IF(Time!X34=1,X33,X31)-X30)*Y19+IF(Time!Y46&gt;0,Time!Y45*X30/Time!Y46,0)+IF(Time!X34=1,X33,X31)*Y10,0)</f>
        <v>9.19525491170283</v>
      </c>
      <c r="Y119" s="13" t="n">
        <f aca="false">IF(AND(Time!Y20&gt;=Time!$F$12,Time!Z20&gt;0),(IF(Time!Y34=1,Y33,Y31)-Y30)*Z19+IF(Time!Z46&gt;0,Time!Z45*Y30/Time!Z46,0)+IF(Time!Y34=1,Y33,Y31)*Z10,0)</f>
        <v>9.35976427130441</v>
      </c>
      <c r="Z119" s="13" t="n">
        <f aca="false">IF(AND(Time!Z20&gt;=Time!$F$12,Time!AA20&gt;0),(IF(Time!Z34=1,Z33,Z31)-Z30)*AA19+IF(Time!AA46&gt;0,Time!AA45*Z30/Time!AA46,0)+IF(Time!Z34=1,Z33,Z31)*AA10,0)</f>
        <v>9.35169149610212</v>
      </c>
      <c r="AA119" s="13" t="n">
        <f aca="false">IF(AND(Time!AA20&gt;=Time!$F$12,Time!AB20&gt;0),(IF(Time!AA34=1,AA33,AA31)-AA30)*AB19+IF(Time!AB46&gt;0,Time!AB45*AA30/Time!AB46,0)+IF(Time!AA34=1,AA33,AA31)*AB10,0)</f>
        <v>9.56068443216145</v>
      </c>
      <c r="AB119" s="13" t="n">
        <f aca="false">IF(AND(Time!AB20&gt;=Time!$F$12,Time!AC20&gt;0),(IF(Time!AB34=1,AB33,AB31)-AB30)*AC19+IF(Time!AC46&gt;0,Time!AC45*AB30/Time!AC46,0)+IF(Time!AB34=1,AB33,AB31)*AC10,0)</f>
        <v>9.6016960095392</v>
      </c>
      <c r="AC119" s="13" t="n">
        <f aca="false">IF(AND(Time!AC20&gt;=Time!$F$12,Time!AD20&gt;0),(IF(Time!AC34=1,AC33,AC31)-AC30)*AD19+IF(Time!AD46&gt;0,Time!AD45*AC30/Time!AD46,0)+IF(Time!AC34=1,AC33,AC31)*AD10,0)</f>
        <v>10.1136738206983</v>
      </c>
      <c r="AD119" s="13" t="n">
        <f aca="false">IF(AND(Time!AD20&gt;=Time!$F$12,Time!AE20&gt;0),(IF(Time!AD34=1,AD33,AD31)-AD30)*AE19+IF(Time!AE46&gt;0,Time!AE45*AD30/Time!AE46,0)+IF(Time!AD34=1,AD33,AD31)*AE10,0)</f>
        <v>10.2300183829306</v>
      </c>
      <c r="AE119" s="13" t="n">
        <f aca="false">IF(AND(Time!AE20&gt;=Time!$F$12,Time!AF20&gt;0),(IF(Time!AE34=1,AE33,AE31)-AE30)*AF19+IF(Time!AF46&gt;0,Time!AF45*AE30/Time!AF46,0)+IF(Time!AE34=1,AE33,AE31)*AF10,0)</f>
        <v>10.36499730394</v>
      </c>
      <c r="AF119" s="13" t="n">
        <f aca="false">IF(AND(Time!AF20&gt;=Time!$F$12,Time!AG20&gt;0),(IF(Time!AF34=1,AF33,AF31)-AF30)*AG19+IF(Time!AG46&gt;0,Time!AG45*AF30/Time!AG46,0)+IF(Time!AF34=1,AF33,AF31)*AG10,0)</f>
        <v>10.299050027959</v>
      </c>
      <c r="AG119" s="13" t="n">
        <f aca="false">IF(AND(Time!AG20&gt;=Time!$F$12,Time!AH20&gt;0),(IF(Time!AG34=1,AG33,AG31)-AG30)*AH19+IF(Time!AH46&gt;0,Time!AH45*AG30/Time!AH46,0)+IF(Time!AG34=1,AG33,AG31)*AH10,0)</f>
        <v>10.5603292834166</v>
      </c>
      <c r="AH119" s="13" t="n">
        <f aca="false">IF(AND(Time!AH20&gt;=Time!$F$12,Time!AI20&gt;0),(IF(Time!AH34=1,AH33,AH31)-AH30)*AI19+IF(Time!AI46&gt;0,Time!AI45*AH30/Time!AI46,0)+IF(Time!AH34=1,AH33,AH31)*AI10,0)</f>
        <v>10.5927993971689</v>
      </c>
      <c r="AI119" s="13" t="n">
        <f aca="false">IF(AND(Time!AI20&gt;=Time!$F$12,Time!AJ20&gt;0),(IF(Time!AI34=1,AI33,AI31)-AI30)*AJ19+IF(Time!AJ46&gt;0,Time!AJ45*AI30/Time!AJ46,0)+IF(Time!AI34=1,AI33,AI31)*AJ10,0)</f>
        <v>10.8488130959523</v>
      </c>
      <c r="AJ119" s="13" t="n">
        <f aca="false">IF(AND(Time!AJ20&gt;=Time!$F$12,Time!AK20&gt;0),(IF(Time!AJ34=1,AJ33,AJ31)-AJ30)*AK19+IF(Time!AK46&gt;0,Time!AK45*AJ30/Time!AK46,0)+IF(Time!AJ34=1,AJ33,AJ31)*AK10,0)</f>
        <v>10.9274091285036</v>
      </c>
      <c r="AK119" s="13" t="n">
        <f aca="false">IF(AND(Time!AK20&gt;=Time!$F$12,Time!AL20&gt;0),(IF(Time!AK34=1,AK33,AK31)-AK30)*AL19+IF(Time!AL46&gt;0,Time!AL45*AK30/Time!AL46,0)+IF(Time!AK34=1,AK33,AK31)*AL10,0)</f>
        <v>11.3080067678903</v>
      </c>
      <c r="AL119" s="13" t="n">
        <f aca="false">IF(AND(Time!AL20&gt;=Time!$F$12,Time!AM20&gt;0),(IF(Time!AL34=1,AL33,AL31)-AL30)*AM19+IF(Time!AM46&gt;0,Time!AM45*AL30/Time!AM46,0)+IF(Time!AL34=1,AL33,AL31)*AM10,0)</f>
        <v>11.2759673843862</v>
      </c>
      <c r="AM119" s="13" t="n">
        <f aca="false">IF(AND(Time!AM20&gt;=Time!$F$12,Time!AN20&gt;0),(IF(Time!AM34=1,AM33,AM31)-AM30)*AN19+IF(Time!AN46&gt;0,Time!AN45*AM30/Time!AN46,0)+IF(Time!AM34=1,AM33,AM31)*AN10,0)</f>
        <v>9.18142111348627</v>
      </c>
      <c r="AN119" s="13" t="n">
        <f aca="false">IF(AND(Time!AN20&gt;=Time!$F$12,Time!AO20&gt;0),(IF(Time!AN34=1,AN33,AN31)-AN30)*AO19+IF(Time!AO46&gt;0,Time!AO45*AN30/Time!AO46,0)+IF(Time!AN34=1,AN33,AN31)*AO10,0)</f>
        <v>9.10760009509006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799</v>
      </c>
      <c r="E120" s="0" t="s">
        <v>149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8.17118911802499</v>
      </c>
      <c r="Q120" s="13" t="n">
        <f aca="false">IF(AND(Time!Q20&gt;=Time!$F$12,Time!R20&gt;0),(IF(Time!Q34=1,Q47,Q45)-Q44)*R19+IF(Time!R46&gt;0,Time!R45*Q44/Time!R46,0)+IF(Time!Q34=1,Q47,Q45)*R11,0)</f>
        <v>8.29999173743335</v>
      </c>
      <c r="R120" s="13" t="n">
        <f aca="false">IF(AND(Time!R20&gt;=Time!$F$12,Time!S20&gt;0),(IF(Time!R34=1,R47,R45)-R44)*S19+IF(Time!S46&gt;0,Time!S45*R44/Time!S46,0)+IF(Time!R34=1,R47,R45)*S11,0)</f>
        <v>8.21505461596175</v>
      </c>
      <c r="S120" s="13" t="n">
        <f aca="false">IF(AND(Time!S20&gt;=Time!$F$12,Time!T20&gt;0),(IF(Time!S34=1,S47,S45)-S44)*T19+IF(Time!T46&gt;0,Time!T45*S44/Time!T46,0)+IF(Time!S34=1,S47,S45)*T11,0)</f>
        <v>8.33135225025717</v>
      </c>
      <c r="T120" s="13" t="n">
        <f aca="false">IF(AND(Time!T20&gt;=Time!$F$12,Time!U20&gt;0),(IF(Time!T34=1,T47,T45)-T44)*U19+IF(Time!U46&gt;0,Time!U45*T44/Time!U46,0)+IF(Time!T34=1,T47,T45)*U11,0)</f>
        <v>8.27504792961588</v>
      </c>
      <c r="U120" s="13" t="n">
        <f aca="false">IF(AND(Time!U20&gt;=Time!$F$12,Time!V20&gt;0),(IF(Time!U34=1,U47,U45)-U44)*V19+IF(Time!V46&gt;0,Time!V45*U44/Time!V46,0)+IF(Time!U34=1,U47,U45)*V11,0)</f>
        <v>8.44772233561765</v>
      </c>
      <c r="V120" s="13" t="n">
        <f aca="false">IF(AND(Time!V20&gt;=Time!$F$12,Time!W20&gt;0),(IF(Time!V34=1,V47,V45)-V44)*W19+IF(Time!W46&gt;0,Time!W45*V44/Time!W46,0)+IF(Time!V34=1,V47,V45)*W11,0)</f>
        <v>8.36661581690652</v>
      </c>
      <c r="W120" s="13" t="n">
        <f aca="false">IF(AND(Time!W20&gt;=Time!$F$12,Time!X20&gt;0),(IF(Time!W34=1,W47,W45)-W44)*X19+IF(Time!X46&gt;0,Time!X45*W44/Time!X46,0)+IF(Time!W34=1,W47,W45)*X11,0)</f>
        <v>8.14640230530833</v>
      </c>
      <c r="X120" s="13" t="n">
        <f aca="false">IF(AND(Time!X20&gt;=Time!$F$12,Time!Y20&gt;0),(IF(Time!X34=1,X47,X45)-X44)*Y19+IF(Time!Y46&gt;0,Time!Y45*X44/Time!Y46,0)+IF(Time!X34=1,X47,X45)*Y11,0)</f>
        <v>7.93726990075649</v>
      </c>
      <c r="Y120" s="13" t="n">
        <f aca="false">IF(AND(Time!Y20&gt;=Time!$F$12,Time!Z20&gt;0),(IF(Time!Y34=1,Y47,Y45)-Y44)*Z19+IF(Time!Z46&gt;0,Time!Z45*Y44/Time!Z46,0)+IF(Time!Y34=1,Y47,Y45)*Z11,0)</f>
        <v>8.02571243501167</v>
      </c>
      <c r="Z120" s="13" t="n">
        <f aca="false">IF(AND(Time!Z20&gt;=Time!$F$12,Time!AA20&gt;0),(IF(Time!Z34=1,Z47,Z45)-Z44)*AA19+IF(Time!AA46&gt;0,Time!AA45*Z44/Time!AA46,0)+IF(Time!Z34=1,Z47,Z45)*AA11,0)</f>
        <v>7.94758848738431</v>
      </c>
      <c r="AA120" s="13" t="n">
        <f aca="false">IF(AND(Time!AA20&gt;=Time!$F$12,Time!AB20&gt;0),(IF(Time!AA34=1,AA47,AA45)-AA44)*AB19+IF(Time!AB46&gt;0,Time!AB45*AA44/Time!AB46,0)+IF(Time!AA34=1,AA47,AA45)*AB11,0)</f>
        <v>8.06318807096612</v>
      </c>
      <c r="AB120" s="13" t="n">
        <f aca="false">IF(AND(Time!AB20&gt;=Time!$F$12,Time!AC20&gt;0),(IF(Time!AB34=1,AB47,AB45)-AB44)*AC19+IF(Time!AC46&gt;0,Time!AC45*AB44/Time!AC46,0)+IF(Time!AB34=1,AB47,AB45)*AC11,0)</f>
        <v>8.02407781007828</v>
      </c>
      <c r="AC120" s="13" t="n">
        <f aca="false">IF(AND(Time!AC20&gt;=Time!$F$12,Time!AD20&gt;0),(IF(Time!AC34=1,AC47,AC45)-AC44)*AD19+IF(Time!AD46&gt;0,Time!AD45*AC44/Time!AD46,0)+IF(Time!AC34=1,AC47,AC45)*AD11,0)</f>
        <v>8.35000932973171</v>
      </c>
      <c r="AD120" s="13" t="n">
        <f aca="false">IF(AND(Time!AD20&gt;=Time!$F$12,Time!AE20&gt;0),(IF(Time!AD34=1,AD47,AD45)-AD44)*AE19+IF(Time!AE46&gt;0,Time!AE45*AD44/Time!AE46,0)+IF(Time!AD34=1,AD47,AD45)*AE11,0)</f>
        <v>8.35532123413818</v>
      </c>
      <c r="AE120" s="13" t="n">
        <f aca="false">IF(AND(Time!AE20&gt;=Time!$F$12,Time!AF20&gt;0),(IF(Time!AE34=1,AE47,AE45)-AE44)*AF19+IF(Time!AF46&gt;0,Time!AF45*AE44/Time!AF46,0)+IF(Time!AE34=1,AE47,AE45)*AF11,0)</f>
        <v>8.39975390019449</v>
      </c>
      <c r="AF120" s="13" t="n">
        <f aca="false">IF(AND(Time!AF20&gt;=Time!$F$12,Time!AG20&gt;0),(IF(Time!AF34=1,AF47,AF45)-AF44)*AG19+IF(Time!AG46&gt;0,Time!AG45*AF44/Time!AG46,0)+IF(Time!AF34=1,AF47,AF45)*AG11,0)</f>
        <v>8.26842364695457</v>
      </c>
      <c r="AG120" s="13" t="n">
        <f aca="false">IF(AND(Time!AG20&gt;=Time!$F$12,Time!AH20&gt;0),(IF(Time!AG34=1,AG47,AG45)-AG44)*AH19+IF(Time!AH46&gt;0,Time!AH45*AG44/Time!AH46,0)+IF(Time!AG34=1,AG47,AG45)*AH11,0)</f>
        <v>8.39946021245935</v>
      </c>
      <c r="AH120" s="13" t="n">
        <f aca="false">IF(AND(Time!AH20&gt;=Time!$F$12,Time!AI20&gt;0),(IF(Time!AH34=1,AH47,AH45)-AH44)*AI19+IF(Time!AI46&gt;0,Time!AI45*AH44/Time!AI46,0)+IF(Time!AH34=1,AH47,AH45)*AI11,0)</f>
        <v>8.33776066218525</v>
      </c>
      <c r="AI120" s="13" t="n">
        <f aca="false">IF(AND(Time!AI20&gt;=Time!$F$12,Time!AJ20&gt;0),(IF(Time!AI34=1,AI47,AI45)-AI44)*AJ19+IF(Time!AJ46&gt;0,Time!AJ45*AI44/Time!AJ46,0)+IF(Time!AI34=1,AI47,AI45)*AJ11,0)</f>
        <v>8.45664485774763</v>
      </c>
      <c r="AJ120" s="13" t="n">
        <f aca="false">IF(AND(Time!AJ20&gt;=Time!$F$12,Time!AK20&gt;0),(IF(Time!AJ34=1,AJ47,AJ45)-AJ44)*AK19+IF(Time!AK46&gt;0,Time!AK45*AJ44/Time!AK46,0)+IF(Time!AJ34=1,AJ47,AJ45)*AK11,0)</f>
        <v>8.42764805415072</v>
      </c>
      <c r="AK120" s="13" t="n">
        <f aca="false">IF(AND(Time!AK20&gt;=Time!$F$12,Time!AL20&gt;0),(IF(Time!AK34=1,AK47,AK45)-AK44)*AL19+IF(Time!AL46&gt;0,Time!AL45*AK44/Time!AL46,0)+IF(Time!AK34=1,AK47,AK45)*AL11,0)</f>
        <v>8.62656586347714</v>
      </c>
      <c r="AL120" s="13" t="n">
        <f aca="false">IF(AND(Time!AL20&gt;=Time!$F$12,Time!AM20&gt;0),(IF(Time!AL34=1,AL47,AL45)-AL44)*AM19+IF(Time!AM46&gt;0,Time!AM45*AL44/Time!AM46,0)+IF(Time!AL34=1,AL47,AL45)*AM11,0)</f>
        <v>8.50923721368344</v>
      </c>
      <c r="AM120" s="13" t="n">
        <f aca="false">IF(AND(Time!AM20&gt;=Time!$F$12,Time!AN20&gt;0),(IF(Time!AM34=1,AM47,AM45)-AM44)*AN19+IF(Time!AN46&gt;0,Time!AN45*AM44/Time!AN46,0)+IF(Time!AM34=1,AM47,AM45)*AN11,0)</f>
        <v>6.88549819021319</v>
      </c>
      <c r="AN120" s="13" t="n">
        <f aca="false">IF(AND(Time!AN20&gt;=Time!$F$12,Time!AO20&gt;0),(IF(Time!AN34=1,AN47,AN45)-AN44)*AO19+IF(Time!AO46&gt;0,Time!AO45*AN44/Time!AO46,0)+IF(Time!AN34=1,AN47,AN45)*AO11,0)</f>
        <v>6.75444325156706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800</v>
      </c>
      <c r="E121" s="0" t="s">
        <v>149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3.63652708488905</v>
      </c>
      <c r="Q121" s="13" t="n">
        <f aca="false">IF(AND(Time!Q20&gt;=Time!$F$12,Time!R20&gt;0),(IF(Time!Q34=1,Q61,Q59)-Q58)*R19+IF(Time!R46&gt;0,Time!R45*Q58/Time!R46,0)+IF(Time!Q34=1,Q61,Q59)*R12,0)</f>
        <v>3.69584972328468</v>
      </c>
      <c r="R121" s="13" t="n">
        <f aca="false">IF(AND(Time!R20&gt;=Time!$F$12,Time!S20&gt;0),(IF(Time!R34=1,R61,R59)-R58)*S19+IF(Time!S46&gt;0,Time!S45*R58/Time!S46,0)+IF(Time!R34=1,R61,R59)*S12,0)</f>
        <v>3.66062465231617</v>
      </c>
      <c r="S121" s="13" t="n">
        <f aca="false">IF(AND(Time!S20&gt;=Time!$F$12,Time!T20&gt;0),(IF(Time!S34=1,S61,S59)-S58)*T19+IF(Time!T46&gt;0,Time!T45*S58/Time!T46,0)+IF(Time!S34=1,S61,S59)*T12,0)</f>
        <v>3.71449754447117</v>
      </c>
      <c r="T121" s="13" t="n">
        <f aca="false">IF(AND(Time!T20&gt;=Time!$F$12,Time!U20&gt;0),(IF(Time!T34=1,T61,T59)-T58)*U19+IF(Time!U46&gt;0,Time!U45*T58/Time!U46,0)+IF(Time!T34=1,T61,T59)*U12,0)</f>
        <v>3.69199809125316</v>
      </c>
      <c r="U121" s="13" t="n">
        <f aca="false">IF(AND(Time!U20&gt;=Time!$F$12,Time!V20&gt;0),(IF(Time!U34=1,U61,U59)-U58)*V19+IF(Time!V46&gt;0,Time!V45*U58/Time!V46,0)+IF(Time!U34=1,U61,U59)*V12,0)</f>
        <v>3.77212921832101</v>
      </c>
      <c r="V121" s="13" t="n">
        <f aca="false">IF(AND(Time!V20&gt;=Time!$F$12,Time!W20&gt;0),(IF(Time!V34=1,V61,V59)-V58)*W19+IF(Time!W46&gt;0,Time!W45*V58/Time!W46,0)+IF(Time!V34=1,V61,V59)*W12,0)</f>
        <v>3.738887764518</v>
      </c>
      <c r="W121" s="13" t="n">
        <f aca="false">IF(AND(Time!W20&gt;=Time!$F$12,Time!X20&gt;0),(IF(Time!W34=1,W61,W59)-W58)*X19+IF(Time!X46&gt;0,Time!X45*W58/Time!X46,0)+IF(Time!W34=1,W61,W59)*X12,0)</f>
        <v>3.64036868437463</v>
      </c>
      <c r="X121" s="13" t="n">
        <f aca="false">IF(AND(Time!X20&gt;=Time!$F$12,Time!Y20&gt;0),(IF(Time!X34=1,X61,X59)-X58)*Y19+IF(Time!Y46&gt;0,Time!Y45*X58/Time!Y46,0)+IF(Time!X34=1,X61,X59)*Y12,0)</f>
        <v>3.5488537609413</v>
      </c>
      <c r="Y121" s="13" t="n">
        <f aca="false">IF(AND(Time!Y20&gt;=Time!$F$12,Time!Z20&gt;0),(IF(Time!Y34=1,Y61,Y59)-Y58)*Z19+IF(Time!Z46&gt;0,Time!Z45*Y58/Time!Z46,0)+IF(Time!Y34=1,Y61,Y59)*Z12,0)</f>
        <v>3.59064570649138</v>
      </c>
      <c r="Z121" s="13" t="n">
        <f aca="false">IF(AND(Time!Z20&gt;=Time!$F$12,Time!AA20&gt;0),(IF(Time!Z34=1,Z61,Z59)-Z58)*AA19+IF(Time!AA46&gt;0,Time!AA45*Z58/Time!AA46,0)+IF(Time!Z34=1,Z61,Z59)*AA12,0)</f>
        <v>3.55870220818641</v>
      </c>
      <c r="AA121" s="13" t="n">
        <f aca="false">IF(AND(Time!AA20&gt;=Time!$F$12,Time!AB20&gt;0),(IF(Time!AA34=1,AA61,AA59)-AA58)*AB19+IF(Time!AB46&gt;0,Time!AB45*AA58/Time!AB46,0)+IF(Time!AA34=1,AA61,AA59)*AB12,0)</f>
        <v>3.61310823940253</v>
      </c>
      <c r="AB121" s="13" t="n">
        <f aca="false">IF(AND(Time!AB20&gt;=Time!$F$12,Time!AC20&gt;0),(IF(Time!AB34=1,AB61,AB59)-AB58)*AC19+IF(Time!AC46&gt;0,Time!AC45*AB58/Time!AC46,0)+IF(Time!AB34=1,AB61,AB59)*AC12,0)</f>
        <v>3.59874909994914</v>
      </c>
      <c r="AC121" s="13" t="n">
        <f aca="false">IF(AND(Time!AC20&gt;=Time!$F$12,Time!AD20&gt;0),(IF(Time!AC34=1,AC61,AC59)-AC58)*AD19+IF(Time!AD46&gt;0,Time!AD45*AC58/Time!AD46,0)+IF(Time!AC34=1,AC61,AC59)*AD12,0)</f>
        <v>3.74934637544361</v>
      </c>
      <c r="AD121" s="13" t="n">
        <f aca="false">IF(AND(Time!AD20&gt;=Time!$F$12,Time!AE20&gt;0),(IF(Time!AD34=1,AD61,AD59)-AD58)*AE19+IF(Time!AE46&gt;0,Time!AE45*AD58/Time!AE46,0)+IF(Time!AD34=1,AD61,AD59)*AE12,0)</f>
        <v>3.75571381426625</v>
      </c>
      <c r="AE121" s="13" t="n">
        <f aca="false">IF(AND(Time!AE20&gt;=Time!$F$12,Time!AF20&gt;0),(IF(Time!AE34=1,AE61,AE59)-AE58)*AF19+IF(Time!AF46&gt;0,Time!AF45*AE58/Time!AF46,0)+IF(Time!AE34=1,AE61,AE59)*AF12,0)</f>
        <v>3.77860573144685</v>
      </c>
      <c r="AF121" s="13" t="n">
        <f aca="false">IF(AND(Time!AF20&gt;=Time!$F$12,Time!AG20&gt;0),(IF(Time!AF34=1,AF61,AF59)-AF58)*AG19+IF(Time!AG46&gt;0,Time!AG45*AF58/Time!AG46,0)+IF(Time!AF34=1,AF61,AF59)*AG12,0)</f>
        <v>3.72300941661055</v>
      </c>
      <c r="AG121" s="13" t="n">
        <f aca="false">IF(AND(Time!AG20&gt;=Time!$F$12,Time!AH20&gt;0),(IF(Time!AG34=1,AG61,AG59)-AG58)*AH19+IF(Time!AH46&gt;0,Time!AH45*AG58/Time!AH46,0)+IF(Time!AG34=1,AG61,AG59)*AH12,0)</f>
        <v>3.78556399291859</v>
      </c>
      <c r="AH121" s="13" t="n">
        <f aca="false">IF(AND(Time!AH20&gt;=Time!$F$12,Time!AI20&gt;0),(IF(Time!AH34=1,AH61,AH59)-AH58)*AI19+IF(Time!AI46&gt;0,Time!AI45*AH58/Time!AI46,0)+IF(Time!AH34=1,AH61,AH59)*AI12,0)</f>
        <v>3.76174359294349</v>
      </c>
      <c r="AI121" s="13" t="n">
        <f aca="false">IF(AND(Time!AI20&gt;=Time!$F$12,Time!AJ20&gt;0),(IF(Time!AI34=1,AI61,AI59)-AI58)*AJ19+IF(Time!AJ46&gt;0,Time!AJ45*AI58/Time!AJ46,0)+IF(Time!AI34=1,AI61,AI59)*AJ12,0)</f>
        <v>3.81918399722804</v>
      </c>
      <c r="AJ121" s="13" t="n">
        <f aca="false">IF(AND(Time!AJ20&gt;=Time!$F$12,Time!AK20&gt;0),(IF(Time!AJ34=1,AJ61,AJ59)-AJ58)*AK19+IF(Time!AK46&gt;0,Time!AK45*AJ58/Time!AK46,0)+IF(Time!AJ34=1,AJ61,AJ59)*AK12,0)</f>
        <v>3.81028396269459</v>
      </c>
      <c r="AK121" s="13" t="n">
        <f aca="false">IF(AND(Time!AK20&gt;=Time!$F$12,Time!AL20&gt;0),(IF(Time!AK34=1,AK61,AK59)-AK58)*AL19+IF(Time!AL46&gt;0,Time!AL45*AK58/Time!AL46,0)+IF(Time!AK34=1,AK61,AK59)*AL12,0)</f>
        <v>3.90466296328881</v>
      </c>
      <c r="AL121" s="13" t="n">
        <f aca="false">IF(AND(Time!AL20&gt;=Time!$F$12,Time!AM20&gt;0),(IF(Time!AL34=1,AL61,AL59)-AL58)*AM19+IF(Time!AM46&gt;0,Time!AM45*AL58/Time!AM46,0)+IF(Time!AL34=1,AL61,AL59)*AM12,0)</f>
        <v>3.85596778165781</v>
      </c>
      <c r="AM121" s="13" t="n">
        <f aca="false">IF(AND(Time!AM20&gt;=Time!$F$12,Time!AN20&gt;0),(IF(Time!AM34=1,AM61,AM59)-AM58)*AN19+IF(Time!AN46&gt;0,Time!AN45*AM58/Time!AN46,0)+IF(Time!AM34=1,AM61,AM59)*AN12,0)</f>
        <v>3.12223949158291</v>
      </c>
      <c r="AN121" s="13" t="n">
        <f aca="false">IF(AND(Time!AN20&gt;=Time!$F$12,Time!AO20&gt;0),(IF(Time!AN34=1,AN61,AN59)-AN58)*AO19+IF(Time!AO46&gt;0,Time!AO45*AN58/Time!AO46,0)+IF(Time!AN34=1,AN61,AN59)*AO12,0)</f>
        <v>3.0664694367218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801</v>
      </c>
      <c r="E122" s="0" t="s">
        <v>149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15.5905294834455</v>
      </c>
      <c r="Q122" s="13" t="n">
        <f aca="false">IF(AND(Time!Q20&gt;=Time!$F$12,Time!R20&gt;0),(IF(Time!Q34=1,Q75,Q73)-Q72)*R19+IF(Time!R46&gt;0,Time!R45*Q72/Time!R46,0)+IF(Time!Q34=1,Q75,Q73)*R13,0)</f>
        <v>15.7982497584975</v>
      </c>
      <c r="R122" s="13" t="n">
        <f aca="false">IF(AND(Time!R20&gt;=Time!$F$12,Time!S20&gt;0),(IF(Time!R34=1,R75,R73)-R72)*S19+IF(Time!S46&gt;0,Time!S45*R72/Time!S46,0)+IF(Time!R34=1,R75,R73)*S13,0)</f>
        <v>15.5884527186763</v>
      </c>
      <c r="S122" s="13" t="n">
        <f aca="false">IF(AND(Time!S20&gt;=Time!$F$12,Time!T20&gt;0),(IF(Time!S34=1,S75,S73)-S72)*T19+IF(Time!T46&gt;0,Time!T45*S72/Time!T46,0)+IF(Time!S34=1,S75,S73)*T13,0)</f>
        <v>15.7701000327804</v>
      </c>
      <c r="T122" s="13" t="n">
        <f aca="false">IF(AND(Time!T20&gt;=Time!$F$12,Time!U20&gt;0),(IF(Time!T34=1,T75,T73)-T72)*U19+IF(Time!U46&gt;0,Time!U45*T72/Time!U46,0)+IF(Time!T34=1,T75,T73)*U13,0)</f>
        <v>15.6139676502482</v>
      </c>
      <c r="U122" s="13" t="n">
        <f aca="false">IF(AND(Time!U20&gt;=Time!$F$12,Time!V20&gt;0),(IF(Time!U34=1,U75,U73)-U72)*V19+IF(Time!V46&gt;0,Time!V45*U72/Time!V46,0)+IF(Time!U34=1,U75,U73)*V13,0)</f>
        <v>15.8809555002622</v>
      </c>
      <c r="V122" s="13" t="n">
        <f aca="false">IF(AND(Time!V20&gt;=Time!$F$12,Time!W20&gt;0),(IF(Time!V34=1,V75,V73)-V72)*W19+IF(Time!W46&gt;0,Time!W45*V72/Time!W46,0)+IF(Time!V34=1,V75,V73)*W13,0)</f>
        <v>15.671862206514</v>
      </c>
      <c r="W122" s="13" t="n">
        <f aca="false">IF(AND(Time!W20&gt;=Time!$F$12,Time!X20&gt;0),(IF(Time!W34=1,W75,W73)-W72)*X19+IF(Time!X46&gt;0,Time!X45*W72/Time!X46,0)+IF(Time!W34=1,W75,W73)*X13,0)</f>
        <v>15.2614586723352</v>
      </c>
      <c r="X122" s="13" t="n">
        <f aca="false">IF(AND(Time!X20&gt;=Time!$F$12,Time!Y20&gt;0),(IF(Time!X34=1,X75,X73)-X72)*Y19+IF(Time!Y46&gt;0,Time!Y45*X72/Time!Y46,0)+IF(Time!X34=1,X75,X73)*Y13,0)</f>
        <v>15.3309403561482</v>
      </c>
      <c r="Y122" s="13" t="n">
        <f aca="false">IF(AND(Time!Y20&gt;=Time!$F$12,Time!Z20&gt;0),(IF(Time!Y34=1,Y75,Y73)-Y72)*Z19+IF(Time!Z46&gt;0,Time!Z45*Y72/Time!Z46,0)+IF(Time!Y34=1,Y75,Y73)*Z13,0)</f>
        <v>15.4399925530104</v>
      </c>
      <c r="Z122" s="13" t="n">
        <f aca="false">IF(AND(Time!Z20&gt;=Time!$F$12,Time!AA20&gt;0),(IF(Time!Z34=1,Z75,Z73)-Z72)*AA19+IF(Time!AA46&gt;0,Time!AA45*Z72/Time!AA46,0)+IF(Time!Z34=1,Z75,Z73)*AA13,0)</f>
        <v>15.2070257367325</v>
      </c>
      <c r="AA122" s="13" t="n">
        <f aca="false">IF(AND(Time!AA20&gt;=Time!$F$12,Time!AB20&gt;0),(IF(Time!AA34=1,AA75,AA73)-AA72)*AB19+IF(Time!AB46&gt;0,Time!AB45*AA72/Time!AB46,0)+IF(Time!AA34=1,AA75,AA73)*AB13,0)</f>
        <v>15.355567204414</v>
      </c>
      <c r="AB122" s="13" t="n">
        <f aca="false">IF(AND(Time!AB20&gt;=Time!$F$12,Time!AC20&gt;0),(IF(Time!AB34=1,AB75,AB73)-AB72)*AC19+IF(Time!AC46&gt;0,Time!AC45*AB72/Time!AC46,0)+IF(Time!AB34=1,AB75,AB73)*AC13,0)</f>
        <v>14.5861023123638</v>
      </c>
      <c r="AC122" s="13" t="n">
        <f aca="false">IF(AND(Time!AC20&gt;=Time!$F$12,Time!AD20&gt;0),(IF(Time!AC34=1,AC75,AC73)-AC72)*AD19+IF(Time!AD46&gt;0,Time!AD45*AC72/Time!AD46,0)+IF(Time!AC34=1,AC75,AC73)*AD13,0)</f>
        <v>14.2888770445517</v>
      </c>
      <c r="AD122" s="13" t="n">
        <f aca="false">IF(AND(Time!AD20&gt;=Time!$F$12,Time!AE20&gt;0),(IF(Time!AD34=1,AD75,AD73)-AD72)*AE19+IF(Time!AE46&gt;0,Time!AE45*AD72/Time!AE46,0)+IF(Time!AD34=1,AD75,AD73)*AE13,0)</f>
        <v>13.4176473606316</v>
      </c>
      <c r="AE122" s="13" t="n">
        <f aca="false">IF(AND(Time!AE20&gt;=Time!$F$12,Time!AF20&gt;0),(IF(Time!AE34=1,AE75,AE73)-AE72)*AF19+IF(Time!AF46&gt;0,Time!AF45*AE72/Time!AF46,0)+IF(Time!AE34=1,AE75,AE73)*AF13,0)</f>
        <v>12.4156892090324</v>
      </c>
      <c r="AF122" s="13" t="n">
        <f aca="false">IF(AND(Time!AF20&gt;=Time!$F$12,Time!AG20&gt;0),(IF(Time!AF34=1,AF75,AF73)-AF72)*AG19+IF(Time!AG46&gt;0,Time!AG45*AF72/Time!AG46,0)+IF(Time!AF34=1,AF75,AF73)*AG13,0)</f>
        <v>11.2140760265522</v>
      </c>
      <c r="AG122" s="13" t="n">
        <f aca="false">IF(AND(Time!AG20&gt;=Time!$F$12,Time!AH20&gt;0),(IF(Time!AG34=1,AG75,AG73)-AG72)*AH19+IF(Time!AH46&gt;0,Time!AH45*AG72/Time!AH46,0)+IF(Time!AG34=1,AG75,AG73)*AH13,0)</f>
        <v>9.87514721283411</v>
      </c>
      <c r="AH122" s="13" t="n">
        <f aca="false">IF(AND(Time!AH20&gt;=Time!$F$12,Time!AI20&gt;0),(IF(Time!AH34=1,AH75,AH73)-AH72)*AI19+IF(Time!AI46&gt;0,Time!AI45*AH72/Time!AI46,0)+IF(Time!AH34=1,AH75,AH73)*AI13,0)</f>
        <v>8.08647599593486</v>
      </c>
      <c r="AI122" s="13" t="n">
        <f aca="false">IF(AND(Time!AI20&gt;=Time!$F$12,Time!AJ20&gt;0),(IF(Time!AI34=1,AI75,AI73)-AI72)*AJ19+IF(Time!AJ46&gt;0,Time!AJ45*AI72/Time!AJ46,0)+IF(Time!AI34=1,AI75,AI73)*AJ13,0)</f>
        <v>6.02890949651137</v>
      </c>
      <c r="AJ122" s="13" t="n">
        <f aca="false">IF(AND(Time!AJ20&gt;=Time!$F$12,Time!AK20&gt;0),(IF(Time!AJ34=1,AJ75,AJ73)-AJ72)*AK19+IF(Time!AK46&gt;0,Time!AK45*AJ72/Time!AK46,0)+IF(Time!AJ34=1,AJ75,AJ73)*AK13,0)</f>
        <v>3.36925801071168</v>
      </c>
      <c r="AK122" s="13" t="n">
        <f aca="false">IF(AND(Time!AK20&gt;=Time!$F$12,Time!AL20&gt;0),(IF(Time!AK34=1,AK75,AK73)-AK72)*AL19+IF(Time!AL46&gt;0,Time!AL45*AK72/Time!AL46,0)+IF(Time!AK34=1,AK75,AK73)*AL13,0)</f>
        <v>0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802</v>
      </c>
      <c r="E123" s="0" t="s">
        <v>149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1.11681414024904E-012</v>
      </c>
      <c r="P123" s="13" t="n">
        <f aca="false">IF(AND(Time!P20&gt;=Time!$F$12,Time!Q20&gt;0),(IF(Time!P34=1,P89,P87)-P86)*Q19+IF(Time!Q46&gt;0,Time!Q45*P86/Time!Q46,0)+IF(Time!P34=1,P89,P87)*Q14,0)</f>
        <v>1.10879399600145E-012</v>
      </c>
      <c r="Q123" s="13" t="n">
        <f aca="false">IF(AND(Time!Q20&gt;=Time!$F$12,Time!R20&gt;0),(IF(Time!Q34=1,Q89,Q87)-Q86)*R19+IF(Time!R46&gt;0,Time!R45*Q86/Time!R46,0)+IF(Time!Q34=1,Q89,Q87)*R14,0)</f>
        <v>1.12403280802318E-012</v>
      </c>
      <c r="R123" s="13" t="n">
        <f aca="false">IF(AND(Time!R20&gt;=Time!$F$12,Time!S20&gt;0),(IF(Time!R34=1,R89,R87)-R86)*S19+IF(Time!S46&gt;0,Time!S45*R86/Time!S46,0)+IF(Time!R34=1,R89,R87)*S14,0)</f>
        <v>1.10967760737581E-012</v>
      </c>
      <c r="S123" s="13" t="n">
        <f aca="false">IF(AND(Time!S20&gt;=Time!$F$12,Time!T20&gt;0),(IF(Time!S34=1,S89,S87)-S86)*T19+IF(Time!T46&gt;0,Time!T45*S86/Time!T46,0)+IF(Time!S34=1,S89,S87)*T14,0)</f>
        <v>1.12308949166694E-012</v>
      </c>
      <c r="T123" s="13" t="n">
        <f aca="false">IF(AND(Time!T20&gt;=Time!$F$12,Time!U20&gt;0),(IF(Time!T34=1,T89,T87)-T86)*U19+IF(Time!U46&gt;0,Time!U45*T86/Time!U46,0)+IF(Time!T34=1,T89,T87)*U14,0)</f>
        <v>1.11258270151338E-012</v>
      </c>
      <c r="U123" s="13" t="n">
        <f aca="false">IF(AND(Time!U20&gt;=Time!$F$12,Time!V20&gt;0),(IF(Time!U34=1,U89,U87)-U86)*V19+IF(Time!V46&gt;0,Time!V45*U86/Time!V46,0)+IF(Time!U34=1,U89,U87)*V14,0)</f>
        <v>1.13233634775653E-012</v>
      </c>
      <c r="V123" s="13" t="n">
        <f aca="false">IF(AND(Time!V20&gt;=Time!$F$12,Time!W20&gt;0),(IF(Time!V34=1,V89,V87)-V86)*W19+IF(Time!W46&gt;0,Time!W45*V86/Time!W46,0)+IF(Time!V34=1,V89,V87)*W14,0)</f>
        <v>1.11813218876202E-012</v>
      </c>
      <c r="W123" s="13" t="n">
        <f aca="false">IF(AND(Time!W20&gt;=Time!$F$12,Time!X20&gt;0),(IF(Time!W34=1,W89,W87)-W86)*X19+IF(Time!X46&gt;0,Time!X45*W86/Time!X46,0)+IF(Time!W34=1,W89,W87)*X14,0)</f>
        <v>1.08882527088267E-012</v>
      </c>
      <c r="X123" s="13" t="n">
        <f aca="false">IF(AND(Time!X20&gt;=Time!$F$12,Time!Y20&gt;0),(IF(Time!X34=1,X89,X87)-X86)*Y19+IF(Time!Y46&gt;0,Time!Y45*X86/Time!Y46,0)+IF(Time!X34=1,X89,X87)*Y14,0)</f>
        <v>1.08034184940062E-012</v>
      </c>
      <c r="Y123" s="13" t="n">
        <f aca="false">IF(AND(Time!Y20&gt;=Time!$F$12,Time!Z20&gt;0),(IF(Time!Y34=1,Y89,Y87)-Y86)*Z19+IF(Time!Z46&gt;0,Time!Z45*Y86/Time!Z46,0)+IF(Time!Y34=1,Y89,Y87)*Z14,0)</f>
        <v>1.0890364257679E-012</v>
      </c>
      <c r="Z123" s="13" t="n">
        <f aca="false">IF(AND(Time!Z20&gt;=Time!$F$12,Time!AA20&gt;0),(IF(Time!Z34=1,Z89,Z87)-Z86)*AA19+IF(Time!AA46&gt;0,Time!AA45*Z86/Time!AA46,0)+IF(Time!Z34=1,Z89,Z87)*AA14,0)</f>
        <v>1.07396133158779E-012</v>
      </c>
      <c r="AA123" s="13" t="n">
        <f aca="false">IF(AND(Time!AA20&gt;=Time!$F$12,Time!AB20&gt;0),(IF(Time!AA34=1,AA89,AA87)-AA86)*AB19+IF(Time!AB46&gt;0,Time!AB45*AA86/Time!AB46,0)+IF(Time!AA34=1,AA89,AA87)*AB14,0)</f>
        <v>1.08565058484733E-012</v>
      </c>
      <c r="AB123" s="13" t="n">
        <f aca="false">IF(AND(Time!AB20&gt;=Time!$F$12,Time!AC20&gt;0),(IF(Time!AB34=1,AB89,AB87)-AB86)*AC19+IF(Time!AC46&gt;0,Time!AC45*AB86/Time!AC46,0)+IF(Time!AB34=1,AB89,AB87)*AC14,0)</f>
        <v>1.07567618631829E-012</v>
      </c>
      <c r="AC123" s="13" t="n">
        <f aca="false">IF(AND(Time!AC20&gt;=Time!$F$12,Time!AD20&gt;0),(IF(Time!AC34=1,AC89,AC87)-AC86)*AD19+IF(Time!AD46&gt;0,Time!AD45*AC86/Time!AD46,0)+IF(Time!AC34=1,AC89,AC87)*AD14,0)</f>
        <v>1.11279760142986E-012</v>
      </c>
      <c r="AD123" s="13" t="n">
        <f aca="false">IF(AND(Time!AD20&gt;=Time!$F$12,Time!AE20&gt;0),(IF(Time!AD34=1,AD89,AD87)-AD86)*AE19+IF(Time!AE46&gt;0,Time!AE45*AD86/Time!AE46,0)+IF(Time!AD34=1,AD89,AD87)*AE14,0)</f>
        <v>1.10758332901689E-012</v>
      </c>
      <c r="AE123" s="13" t="n">
        <f aca="false">IF(AND(Time!AE20&gt;=Time!$F$12,Time!AF20&gt;0),(IF(Time!AE34=1,AE89,AE87)-AE86)*AF19+IF(Time!AF46&gt;0,Time!AF45*AE86/Time!AF46,0)+IF(Time!AE34=1,AE89,AE87)*AF14,0)</f>
        <v>1.10913171013681E-012</v>
      </c>
      <c r="AF123" s="13" t="n">
        <f aca="false">IF(AND(Time!AF20&gt;=Time!$F$12,Time!AG20&gt;0),(IF(Time!AF34=1,AF89,AF87)-AF86)*AG19+IF(Time!AG46&gt;0,Time!AG45*AF86/Time!AG46,0)+IF(Time!AF34=1,AF89,AF87)*AG14,0)</f>
        <v>1.09958487226456E-012</v>
      </c>
      <c r="AG123" s="13" t="n">
        <f aca="false">IF(AND(Time!AG20&gt;=Time!$F$12,Time!AH20&gt;0),(IF(Time!AG34=1,AG89,AG87)-AG86)*AH19+IF(Time!AH46&gt;0,Time!AH45*AG86/Time!AH46,0)+IF(Time!AG34=1,AG89,AG87)*AH14,0)</f>
        <v>1.11042382784158E-012</v>
      </c>
      <c r="AH123" s="13" t="n">
        <f aca="false">IF(AND(Time!AH20&gt;=Time!$F$12,Time!AI20&gt;0),(IF(Time!AH34=1,AH89,AH87)-AH86)*AI19+IF(Time!AI46&gt;0,Time!AI45*AH86/Time!AI46,0)+IF(Time!AH34=1,AH89,AH87)*AI14,0)</f>
        <v>1.09487516094129E-012</v>
      </c>
      <c r="AI123" s="13" t="n">
        <f aca="false">IF(AND(Time!AI20&gt;=Time!$F$12,Time!AJ20&gt;0),(IF(Time!AI34=1,AI89,AI87)-AI86)*AJ19+IF(Time!AJ46&gt;0,Time!AJ45*AI86/Time!AJ46,0)+IF(Time!AI34=1,AI89,AI87)*AJ14,0)</f>
        <v>1.10343493873003E-012</v>
      </c>
      <c r="AJ123" s="13" t="n">
        <f aca="false">IF(AND(Time!AJ20&gt;=Time!$F$12,Time!AK20&gt;0),(IF(Time!AJ34=1,AJ89,AJ87)-AJ86)*AK19+IF(Time!AK46&gt;0,Time!AK45*AJ86/Time!AK46,0)+IF(Time!AJ34=1,AJ89,AJ87)*AK14,0)</f>
        <v>1.09187310030326E-012</v>
      </c>
      <c r="AK123" s="13" t="n">
        <f aca="false">IF(AND(Time!AK20&gt;=Time!$F$12,Time!AL20&gt;0),(IF(Time!AK34=1,AK89,AK87)-AK86)*AL19+IF(Time!AL46&gt;0,Time!AL45*AK86/Time!AL46,0)+IF(Time!AK34=1,AK89,AK87)*AL14,0)</f>
        <v>1.10940396233962E-012</v>
      </c>
      <c r="AL123" s="13" t="n">
        <f aca="false">IF(AND(Time!AL20&gt;=Time!$F$12,Time!AM20&gt;0),(IF(Time!AL34=1,AL89,AL87)-AL86)*AM19+IF(Time!AM46&gt;0,Time!AM45*AL86/Time!AM46,0)+IF(Time!AL34=1,AL89,AL87)*AM14,0)</f>
        <v>1.08613621889977E-012</v>
      </c>
      <c r="AM123" s="13" t="n">
        <f aca="false">IF(AND(Time!AM20&gt;=Time!$F$12,Time!AN20&gt;0),(IF(Time!AM34=1,AM89,AM87)-AM86)*AN19+IF(Time!AN46&gt;0,Time!AN45*AM86/Time!AN46,0)+IF(Time!AM34=1,AM89,AM87)*AN14,0)</f>
        <v>8.75040484269021E-013</v>
      </c>
      <c r="AN123" s="13" t="n">
        <f aca="false">IF(AND(Time!AN20&gt;=Time!$F$12,Time!AO20&gt;0),(IF(Time!AN34=1,AN89,AN87)-AN86)*AO19+IF(Time!AO46&gt;0,Time!AO45*AN86/Time!AO46,0)+IF(Time!AN34=1,AN89,AN87)*AO14,0)</f>
        <v>8.51605452043554E-013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803</v>
      </c>
      <c r="E124" s="0" t="s">
        <v>149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804</v>
      </c>
      <c r="E125" s="0" t="s">
        <v>149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37.2458954370965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37.1570164551458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37.624785087678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37.333312492557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37.7512177817478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37.5706927548527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38.2879202351583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38.0232274258698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36.9267950745894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36.5703920445452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36.8713631085141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36.5742873548545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37.0047486319762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36.2147963766071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36.8037090789382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36.0663399929661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35.1472363198872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33.6860271504038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32.6914500540924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30.837436556463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29.1152170271438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26.4700604620926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23.7140398353964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23.5692918532781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19.1320172548642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18.9059077476081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805</v>
      </c>
    </row>
    <row r="127" customFormat="false" ht="15" hidden="false" customHeight="false" outlineLevel="0" collapsed="false">
      <c r="D127" s="0" t="s">
        <v>806</v>
      </c>
      <c r="E127" s="0" t="s">
        <v>99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0.0340124598263424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0.0343808210390786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0.034024638221434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0.0343932012860226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0.0341474925762968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0.0343932012860226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0.034024638221434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0.0343932012860226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0.0350860579745204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0.0354722136317016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0.0350860579745204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0.0354722136317016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0.0352147765269141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0.0354722136317016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0.0350860579745204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0.0354722136317016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0.0361474777276068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0.0365512259773806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0.0361474777276068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0.0365512259773806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0.0362820604775314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0.0365512259773806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0.0361474777276068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0.0365512259773806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0.0361474777276068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807</v>
      </c>
      <c r="E128" s="0" t="s">
        <v>149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852.38878419514</v>
      </c>
      <c r="Q128" s="13" t="n">
        <f aca="false">IF(Time!Q53=1,(Waterfall!Q7+R128)/(1+Q127),0)</f>
        <v>831.391546028404</v>
      </c>
      <c r="R128" s="13" t="n">
        <f aca="false">IF(Time!R53=1,(Waterfall!R7+S128)/(1+R127),0)</f>
        <v>854.822274793632</v>
      </c>
      <c r="S128" s="13" t="n">
        <f aca="false">IF(Time!S53=1,(Waterfall!S7+T128)/(1+S127),0)</f>
        <v>832.841497511533</v>
      </c>
      <c r="T128" s="13" t="n">
        <f aca="false">IF(Time!T53=1,(Waterfall!T7+U128)/(1+T127),0)</f>
        <v>766.04043592624</v>
      </c>
      <c r="U128" s="13" t="n">
        <f aca="false">IF(Time!U53=1,(Waterfall!U7+V128)/(1+U127),0)</f>
        <v>741.422874822303</v>
      </c>
      <c r="V128" s="13" t="n">
        <f aca="false">IF(Time!V53=1,(Waterfall!V7+W128)/(1+V127),0)</f>
        <v>716.020171713311</v>
      </c>
      <c r="W128" s="13" t="n">
        <f aca="false">IF(Time!W53=1,(Waterfall!W7+X128)/(1+W127),0)</f>
        <v>688.957705282117</v>
      </c>
      <c r="X128" s="13" t="n">
        <f aca="false">IF(Time!X53=1,(Waterfall!X7+Y128)/(1+X127),0)</f>
        <v>661.067884926023</v>
      </c>
      <c r="Y128" s="13" t="n">
        <f aca="false">IF(Time!Y53=1,(Waterfall!Y7+Z128)/(1+Y127),0)</f>
        <v>633.952952401327</v>
      </c>
      <c r="Z128" s="13" t="n">
        <f aca="false">IF(Time!Z53=1,(Waterfall!Z7+AA128)/(1+Z127),0)</f>
        <v>606.82583317926</v>
      </c>
      <c r="AA128" s="13" t="n">
        <f aca="false">IF(Time!AA53=1,(Waterfall!AA7+AB128)/(1+AA127),0)</f>
        <v>578.574948570876</v>
      </c>
      <c r="AB128" s="13" t="n">
        <f aca="false">IF(Time!AB53=1,(Waterfall!AB7+AC128)/(1+AB127),0)</f>
        <v>549.499574827246</v>
      </c>
      <c r="AC128" s="13" t="n">
        <f aca="false">IF(Time!AC53=1,(Waterfall!AC7+AD128)/(1+AC127),0)</f>
        <v>519.035130479566</v>
      </c>
      <c r="AD128" s="13" t="n">
        <f aca="false">IF(Time!AD53=1,(Waterfall!AD7+AE128)/(1+AD127),0)</f>
        <v>487.561382166332</v>
      </c>
      <c r="AE128" s="13" t="n">
        <f aca="false">IF(Time!AE53=1,(Waterfall!AE7+AF128)/(1+AE127),0)</f>
        <v>453.193720990365</v>
      </c>
      <c r="AF128" s="13" t="n">
        <f aca="false">IF(Time!AF53=1,(Waterfall!AF7+AG128)/(1+AF127),0)</f>
        <v>417.348670221054</v>
      </c>
      <c r="AG128" s="13" t="n">
        <f aca="false">IF(Time!AG53=1,(Waterfall!AG7+AH128)/(1+AG127),0)</f>
        <v>380.246265757249</v>
      </c>
      <c r="AH128" s="13" t="n">
        <f aca="false">IF(Time!AH53=1,(Waterfall!AH7+AI128)/(1+AH127),0)</f>
        <v>342.451930027808</v>
      </c>
      <c r="AI128" s="13" t="n">
        <f aca="false">IF(Time!AI53=1,(Waterfall!AI7+AJ128)/(1+AI127),0)</f>
        <v>302.760223230461</v>
      </c>
      <c r="AJ128" s="13" t="n">
        <f aca="false">IF(Time!AJ53=1,(Waterfall!AJ7+AK128)/(1+AJ127),0)</f>
        <v>261.903000905972</v>
      </c>
      <c r="AK128" s="13" t="n">
        <f aca="false">IF(Time!AK53=1,(Waterfall!AK7+AL128)/(1+AK127),0)</f>
        <v>219.073278387601</v>
      </c>
      <c r="AL128" s="13" t="n">
        <f aca="false">IF(Time!AL53=1,(Waterfall!AL7+AM128)/(1+AL127),0)</f>
        <v>174.857175382296</v>
      </c>
      <c r="AM128" s="13" t="n">
        <f aca="false">IF(Time!AM53=1,(Waterfall!AM7+AN128)/(1+AM127),0)</f>
        <v>127.972843502042</v>
      </c>
      <c r="AN128" s="13" t="n">
        <f aca="false">IF(Time!AN53=1,(Waterfall!AN7+AO128)/(1+AN127),0)</f>
        <v>79.6990339846609</v>
      </c>
      <c r="AO128" s="13" t="n">
        <f aca="false">IF(Time!AO53=1,(Waterfall!AO7+AP128)/(1+AO127),0)</f>
        <v>40.1436555895021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808</v>
      </c>
      <c r="E129" s="0" t="s">
        <v>202</v>
      </c>
      <c r="F129" s="11" t="n">
        <f aca="false">INDEX($J$128:$BN$128,1,Time!$F$13)/Funding!$F$25</f>
        <v>1.34604143840024</v>
      </c>
    </row>
    <row r="130" customFormat="false" ht="15" hidden="false" customHeight="false" outlineLevel="0" collapsed="false">
      <c r="D130" s="0" t="s">
        <v>809</v>
      </c>
      <c r="E130" s="0" t="s">
        <v>149</v>
      </c>
      <c r="F130" s="17" t="n">
        <f aca="false">INDEX($J$128:$BN$128,1,Time!$F$13)/Inputs!$F$106</f>
        <v>631.399099403807</v>
      </c>
    </row>
    <row r="131" customFormat="false" ht="15" hidden="false" customHeight="false" outlineLevel="0" collapsed="false">
      <c r="D131" s="0" t="s">
        <v>810</v>
      </c>
      <c r="E131" s="0" t="s">
        <v>149</v>
      </c>
      <c r="F131" s="17" t="n">
        <f aca="false">Inputs!$F$105*Funding!$F$24</f>
        <v>642.908338550588</v>
      </c>
    </row>
    <row r="132" customFormat="false" ht="15" hidden="false" customHeight="false" outlineLevel="0" collapsed="false">
      <c r="D132" s="0" t="s">
        <v>811</v>
      </c>
      <c r="E132" s="0" t="s">
        <v>149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37.3554315715166</v>
      </c>
      <c r="Q132" s="13" t="n">
        <f aca="false">IF(Time!Q53=1,(Waterfall!Q7)/$F$129,0)</f>
        <v>3.60088676005774</v>
      </c>
      <c r="R132" s="13" t="n">
        <f aca="false">IF(Time!R53=1,(Waterfall!R7)/$F$129,0)</f>
        <v>38.1639580078974</v>
      </c>
      <c r="S132" s="13" t="n">
        <f aca="false">IF(Time!S53=1,(Waterfall!S7)/$F$129,0)</f>
        <v>70.6799876436138</v>
      </c>
      <c r="T132" s="13" t="n">
        <f aca="false">IF(Time!T53=1,(Waterfall!T7)/$F$129,0)</f>
        <v>37.8622400143571</v>
      </c>
      <c r="U132" s="13" t="n">
        <f aca="false">IF(Time!U53=1,(Waterfall!U7)/$F$129,0)</f>
        <v>37.6811840823892</v>
      </c>
      <c r="V132" s="13" t="n">
        <f aca="false">IF(Time!V53=1,(Waterfall!V7)/$F$129,0)</f>
        <v>38.4005208511367</v>
      </c>
      <c r="W132" s="13" t="n">
        <f aca="false">IF(Time!W53=1,(Waterfall!W7)/$F$129,0)</f>
        <v>38.1350496082755</v>
      </c>
      <c r="X132" s="13" t="n">
        <f aca="false">IF(Time!X53=1,(Waterfall!X7)/$F$129,0)</f>
        <v>37.0353927691338</v>
      </c>
      <c r="Y132" s="13" t="n">
        <f aca="false">IF(Time!Y53=1,(Waterfall!Y7)/$F$129,0)</f>
        <v>36.6779415957762</v>
      </c>
      <c r="Z132" s="13" t="n">
        <f aca="false">IF(Time!Z53=1,(Waterfall!Z7)/$F$129,0)</f>
        <v>36.9797977834266</v>
      </c>
      <c r="AA132" s="13" t="n">
        <f aca="false">IF(Time!AA53=1,(Waterfall!AA7)/$F$129,0)</f>
        <v>36.6818483615747</v>
      </c>
      <c r="AB132" s="13" t="n">
        <f aca="false">IF(Time!AB53=1,(Waterfall!AB7)/$F$129,0)</f>
        <v>37.1135755789614</v>
      </c>
      <c r="AC132" s="13" t="n">
        <f aca="false">IF(Time!AC53=1,(Waterfall!AC7)/$F$129,0)</f>
        <v>36.9613096769288</v>
      </c>
      <c r="AD132" s="13" t="n">
        <f aca="false">IF(Time!AD53=1,(Waterfall!AD7)/$F$129,0)</f>
        <v>38.3810937827738</v>
      </c>
      <c r="AE132" s="13" t="n">
        <f aca="false">IF(Time!AE53=1,(Waterfall!AE7)/$F$129,0)</f>
        <v>38.4429709676446</v>
      </c>
      <c r="AF132" s="13" t="n">
        <f aca="false">IF(Time!AF53=1,(Waterfall!AF7)/$F$129,0)</f>
        <v>38.5624722775873</v>
      </c>
      <c r="AG132" s="13" t="n">
        <f aca="false">IF(Time!AG53=1,(Waterfall!AG7)/$F$129,0)</f>
        <v>38.2895189416763</v>
      </c>
      <c r="AH132" s="13" t="n">
        <f aca="false">IF(Time!AH53=1,(Waterfall!AH7)/$F$129,0)</f>
        <v>38.786877720669</v>
      </c>
      <c r="AI132" s="13" t="n">
        <f aca="false">IF(Time!AI53=1,(Waterfall!AI7)/$F$129,0)</f>
        <v>38.4841352373843</v>
      </c>
      <c r="AJ132" s="13" t="n">
        <f aca="false">IF(Time!AJ53=1,(Waterfall!AJ7)/$F$129,0)</f>
        <v>38.9308952857491</v>
      </c>
      <c r="AK132" s="13" t="n">
        <f aca="false">IF(Time!AK53=1,(Waterfall!AK7)/$F$129,0)</f>
        <v>38.7540319730222</v>
      </c>
      <c r="AL132" s="13" t="n">
        <f aca="false">IF(Time!AL53=1,(Waterfall!AL7)/$F$129,0)</f>
        <v>39.5794471786372</v>
      </c>
      <c r="AM132" s="13" t="n">
        <f aca="false">IF(Time!AM53=1,(Waterfall!AM7)/$F$129,0)</f>
        <v>39.3002054160238</v>
      </c>
      <c r="AN132" s="13" t="n">
        <f aca="false">IF(Time!AN53=1,(Waterfall!AN7)/$F$129,0)</f>
        <v>31.5506451621464</v>
      </c>
      <c r="AO132" s="13" t="n">
        <f aca="false">IF(Time!AO53=1,(Waterfall!AO7)/$F$129,0)</f>
        <v>30.9015356431103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812</v>
      </c>
      <c r="E133" s="0" t="s">
        <v>149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617.656724607609</v>
      </c>
      <c r="R133" s="13" t="n">
        <f aca="false">IF(Time!R53=1,IF(Time!R20=Time!$F$13,Funding!$F$25,Q133-Q134),0)</f>
        <v>635.063862379738</v>
      </c>
      <c r="S133" s="13" t="n">
        <f aca="false">IF(Time!S53=1,IF(Time!S20=Time!$F$13,Funding!$F$25,R133-R134),0)</f>
        <v>618.733921372704</v>
      </c>
      <c r="T133" s="13" t="n">
        <f aca="false">IF(Time!T53=1,IF(Time!T20=Time!$F$13,Funding!$F$25,S133-S134),0)</f>
        <v>569.106131559126</v>
      </c>
      <c r="U133" s="13" t="n">
        <f aca="false">IF(Time!U53=1,IF(Time!U20=Time!$F$13,Funding!$F$25,T133-T134),0)</f>
        <v>550.817273280592</v>
      </c>
      <c r="V133" s="13" t="n">
        <f aca="false">IF(Time!V53=1,IF(Time!V20=Time!$F$13,Funding!$F$25,U133-U134),0)</f>
        <v>531.945117948447</v>
      </c>
      <c r="W133" s="13" t="n">
        <f aca="false">IF(Time!W53=1,IF(Time!W20=Time!$F$13,Funding!$F$25,V133-V134),0)</f>
        <v>511.839892612029</v>
      </c>
      <c r="X133" s="13" t="n">
        <f aca="false">IF(Time!X53=1,IF(Time!X20=Time!$F$13,Funding!$F$25,W133-W134),0)</f>
        <v>491.120010177175</v>
      </c>
      <c r="Y133" s="13" t="n">
        <f aca="false">IF(Time!Y53=1,IF(Time!Y20=Time!$F$13,Funding!$F$25,X133-X134),0)</f>
        <v>470.975806773658</v>
      </c>
      <c r="Z133" s="13" t="n">
        <f aca="false">IF(Time!Z53=1,IF(Time!Z20=Time!$F$13,Funding!$F$25,Y133-Y134),0)</f>
        <v>450.822549638939</v>
      </c>
      <c r="AA133" s="13" t="n">
        <f aca="false">IF(Time!AA53=1,IF(Time!AA20=Time!$F$13,Funding!$F$25,Z133-Z134),0)</f>
        <v>429.834425646294</v>
      </c>
      <c r="AB133" s="13" t="n">
        <f aca="false">IF(Time!AB53=1,IF(Time!AB20=Time!$F$13,Funding!$F$25,AA133-AA134),0)</f>
        <v>408.233772862389</v>
      </c>
      <c r="AC133" s="13" t="n">
        <f aca="false">IF(Time!AC53=1,IF(Time!AC20=Time!$F$13,Funding!$F$25,AB133-AB134),0)</f>
        <v>385.601152886078</v>
      </c>
      <c r="AD133" s="13" t="n">
        <f aca="false">IF(Time!AD53=1,IF(Time!AD20=Time!$F$13,Funding!$F$25,AC133-AC134),0)</f>
        <v>362.218701636553</v>
      </c>
      <c r="AE133" s="13" t="n">
        <f aca="false">IF(Time!AE53=1,IF(Time!AE20=Time!$F$13,Funding!$F$25,AD133-AD134),0)</f>
        <v>336.686307019629</v>
      </c>
      <c r="AF133" s="13" t="n">
        <f aca="false">IF(Time!AF53=1,IF(Time!AF20=Time!$F$13,Funding!$F$25,AE133-AE134),0)</f>
        <v>310.056331339302</v>
      </c>
      <c r="AG133" s="13" t="n">
        <f aca="false">IF(Time!AG53=1,IF(Time!AG20=Time!$F$13,Funding!$F$25,AF133-AF134),0)</f>
        <v>282.492243484844</v>
      </c>
      <c r="AH133" s="13" t="n">
        <f aca="false">IF(Time!AH53=1,IF(Time!AH20=Time!$F$13,Funding!$F$25,AG133-AG134),0)</f>
        <v>254.414106622758</v>
      </c>
      <c r="AI133" s="13" t="n">
        <f aca="false">IF(Time!AI53=1,IF(Time!AI20=Time!$F$13,Funding!$F$25,AH133-AH134),0)</f>
        <v>224.926376405091</v>
      </c>
      <c r="AJ133" s="13" t="n">
        <f aca="false">IF(Time!AJ53=1,IF(Time!AJ20=Time!$F$13,Funding!$F$25,AI133-AI134),0)</f>
        <v>194.572762349161</v>
      </c>
      <c r="AK133" s="13" t="n">
        <f aca="false">IF(Time!AK53=1,IF(Time!AK20=Time!$F$13,Funding!$F$25,AJ133-AJ134),0)</f>
        <v>162.753740069079</v>
      </c>
      <c r="AL133" s="13" t="n">
        <f aca="false">IF(Time!AL53=1,IF(Time!AL20=Time!$F$13,Funding!$F$25,AK133-AK134),0)</f>
        <v>129.904749136187</v>
      </c>
      <c r="AM133" s="13" t="n">
        <f aca="false">IF(Time!AM53=1,IF(Time!AM20=Time!$F$13,Funding!$F$25,AL133-AL134),0)</f>
        <v>95.073479798762</v>
      </c>
      <c r="AN133" s="13" t="n">
        <f aca="false">IF(Time!AN53=1,IF(Time!AN20=Time!$F$13,Funding!$F$25,AM133-AM134),0)</f>
        <v>59.20994087625</v>
      </c>
      <c r="AO133" s="13" t="n">
        <f aca="false">IF(Time!AO53=1,IF(Time!AO20=Time!$F$13,Funding!$F$25,AN133-AN134),0)</f>
        <v>29.8234916431787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813</v>
      </c>
      <c r="E134" s="0" t="s">
        <v>149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15.5992509351652</v>
      </c>
      <c r="Q134" s="13" t="n">
        <f aca="false">Q132-Q133*Q127</f>
        <v>-17.4071377721288</v>
      </c>
      <c r="R134" s="13" t="n">
        <f aca="false">R132-R133*R127</f>
        <v>16.3299410070335</v>
      </c>
      <c r="S134" s="13" t="n">
        <f aca="false">S132-S133*S127</f>
        <v>49.6277898135783</v>
      </c>
      <c r="T134" s="13" t="n">
        <f aca="false">T132-T133*T127</f>
        <v>18.2888582785344</v>
      </c>
      <c r="U134" s="13" t="n">
        <f aca="false">U132-U133*U127</f>
        <v>18.8721553321441</v>
      </c>
      <c r="V134" s="13" t="n">
        <f aca="false">V132-V133*V127</f>
        <v>20.1052253364188</v>
      </c>
      <c r="W134" s="13" t="n">
        <f aca="false">W132-W133*W127</f>
        <v>20.7198824348536</v>
      </c>
      <c r="X134" s="13" t="n">
        <f aca="false">X132-X133*X127</f>
        <v>20.1442034035167</v>
      </c>
      <c r="Y134" s="13" t="n">
        <f aca="false">Y132-Y133*Y127</f>
        <v>20.1532571347191</v>
      </c>
      <c r="Z134" s="13" t="n">
        <f aca="false">Z132-Z133*Z127</f>
        <v>20.9881239926457</v>
      </c>
      <c r="AA134" s="13" t="n">
        <f aca="false">AA132-AA133*AA127</f>
        <v>21.6006527839042</v>
      </c>
      <c r="AB134" s="13" t="n">
        <f aca="false">AB132-AB133*AB127</f>
        <v>22.6326199763112</v>
      </c>
      <c r="AC134" s="13" t="n">
        <f aca="false">AC132-AC133*AC127</f>
        <v>23.3824512495251</v>
      </c>
      <c r="AD134" s="13" t="n">
        <f aca="false">AD132-AD133*AD127</f>
        <v>25.5323946169244</v>
      </c>
      <c r="AE134" s="13" t="n">
        <f aca="false">AE132-AE133*AE127</f>
        <v>26.6299756803267</v>
      </c>
      <c r="AF134" s="13" t="n">
        <f aca="false">AF132-AF133*AF127</f>
        <v>27.5640878544579</v>
      </c>
      <c r="AG134" s="13" t="n">
        <f aca="false">AG132-AG133*AG127</f>
        <v>28.0781368620862</v>
      </c>
      <c r="AH134" s="13" t="n">
        <f aca="false">AH132-AH133*AH127</f>
        <v>29.4877302176672</v>
      </c>
      <c r="AI134" s="13" t="n">
        <f aca="false">AI132-AI133*AI127</f>
        <v>30.35361405593</v>
      </c>
      <c r="AJ134" s="13" t="n">
        <f aca="false">AJ132-AJ133*AJ127</f>
        <v>31.8190222800818</v>
      </c>
      <c r="AK134" s="13" t="n">
        <f aca="false">AK132-AK133*AK127</f>
        <v>32.8489909328915</v>
      </c>
      <c r="AL134" s="13" t="n">
        <f aca="false">AL132-AL133*AL127</f>
        <v>34.8312693374255</v>
      </c>
      <c r="AM134" s="13" t="n">
        <f aca="false">AM132-AM133*AM127</f>
        <v>35.863538922512</v>
      </c>
      <c r="AN134" s="13" t="n">
        <f aca="false">AN132-AN133*AN127</f>
        <v>29.3864492330713</v>
      </c>
      <c r="AO134" s="13" t="n">
        <f aca="false">AO132-AO133*AO127</f>
        <v>29.8234916431791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814</v>
      </c>
      <c r="E135" s="0" t="s">
        <v>149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816</v>
      </c>
      <c r="E7" s="0" t="s">
        <v>149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817</v>
      </c>
      <c r="E8" s="0" t="s">
        <v>149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818</v>
      </c>
      <c r="E9" s="0" t="s">
        <v>149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37.2458954370965</v>
      </c>
      <c r="Q9" s="13" t="n">
        <f aca="false">IF(Time!Q34=1,SUM(Funding!$J$44:$BJ$44),P13)</f>
        <v>37.1570164551458</v>
      </c>
      <c r="R9" s="13" t="n">
        <f aca="false">IF(Time!R34=1,SUM(Funding!$J$44:$BJ$44),Q13)</f>
        <v>4.84694279402449</v>
      </c>
      <c r="S9" s="13" t="n">
        <f aca="false">IF(Time!S34=1,SUM(Funding!$J$44:$BJ$44),R13)</f>
        <v>18.5924266383429</v>
      </c>
      <c r="T9" s="13" t="n">
        <f aca="false">IF(Time!T34=1,SUM(Funding!$J$44:$BJ$44),S13)</f>
        <v>37.7512177817478</v>
      </c>
      <c r="U9" s="13" t="n">
        <f aca="false">IF(Time!U34=1,SUM(Funding!$J$44:$BJ$44),T13)</f>
        <v>37.5706927548527</v>
      </c>
      <c r="V9" s="13" t="n">
        <f aca="false">IF(Time!V34=1,SUM(Funding!$J$44:$BJ$44),U13)</f>
        <v>38.2879202351583</v>
      </c>
      <c r="W9" s="13" t="n">
        <f aca="false">IF(Time!W34=1,SUM(Funding!$J$44:$BJ$44),V13)</f>
        <v>38.0232274258698</v>
      </c>
      <c r="X9" s="13" t="n">
        <f aca="false">IF(Time!X34=1,SUM(Funding!$J$44:$BJ$44),W13)</f>
        <v>36.9267950745894</v>
      </c>
      <c r="Y9" s="13" t="n">
        <f aca="false">IF(Time!Y34=1,SUM(Funding!$J$44:$BJ$44),X13)</f>
        <v>36.5703920445452</v>
      </c>
      <c r="Z9" s="13" t="n">
        <f aca="false">IF(Time!Z34=1,SUM(Funding!$J$44:$BJ$44),Y13)</f>
        <v>36.8713631085141</v>
      </c>
      <c r="AA9" s="13" t="n">
        <f aca="false">IF(Time!AA34=1,SUM(Funding!$J$44:$BJ$44),Z13)</f>
        <v>36.5742873548545</v>
      </c>
      <c r="AB9" s="13" t="n">
        <f aca="false">IF(Time!AB34=1,SUM(Funding!$J$44:$BJ$44),AA13)</f>
        <v>37.0047486319762</v>
      </c>
      <c r="AC9" s="13" t="n">
        <f aca="false">IF(Time!AC34=1,SUM(Funding!$J$44:$BJ$44),AB13)</f>
        <v>36.2147963766071</v>
      </c>
      <c r="AD9" s="13" t="n">
        <f aca="false">IF(Time!AD34=1,SUM(Funding!$J$44:$BJ$44),AC13)</f>
        <v>36.8037090789382</v>
      </c>
      <c r="AE9" s="13" t="n">
        <f aca="false">IF(Time!AE34=1,SUM(Funding!$J$44:$BJ$44),AD13)</f>
        <v>36.0663399929661</v>
      </c>
      <c r="AF9" s="13" t="n">
        <f aca="false">IF(Time!AF34=1,SUM(Funding!$J$44:$BJ$44),AE13)</f>
        <v>35.1472363198872</v>
      </c>
      <c r="AG9" s="13" t="n">
        <f aca="false">IF(Time!AG34=1,SUM(Funding!$J$44:$BJ$44),AF13)</f>
        <v>33.6860271504038</v>
      </c>
      <c r="AH9" s="13" t="n">
        <f aca="false">IF(Time!AH34=1,SUM(Funding!$J$44:$BJ$44),AG13)</f>
        <v>32.6914500540924</v>
      </c>
      <c r="AI9" s="13" t="n">
        <f aca="false">IF(Time!AI34=1,SUM(Funding!$J$44:$BJ$44),AH13)</f>
        <v>30.837436556463</v>
      </c>
      <c r="AJ9" s="13" t="n">
        <f aca="false">IF(Time!AJ34=1,SUM(Funding!$J$44:$BJ$44),AI13)</f>
        <v>29.1152170271438</v>
      </c>
      <c r="AK9" s="13" t="n">
        <f aca="false">IF(Time!AK34=1,SUM(Funding!$J$44:$BJ$44),AJ13)</f>
        <v>26.4700604620926</v>
      </c>
      <c r="AL9" s="13" t="n">
        <f aca="false">IF(Time!AL34=1,SUM(Funding!$J$44:$BJ$44),AK13)</f>
        <v>23.7140398353964</v>
      </c>
      <c r="AM9" s="13" t="n">
        <f aca="false">IF(Time!AM34=1,SUM(Funding!$J$44:$BJ$44),AL13)</f>
        <v>23.5692918532781</v>
      </c>
      <c r="AN9" s="13" t="n">
        <f aca="false">IF(Time!AN34=1,SUM(Funding!$J$44:$BJ$44),AM13)</f>
        <v>19.1320172548642</v>
      </c>
      <c r="AO9" s="13" t="n">
        <f aca="false">IF(Time!AO34=1,SUM(Funding!$J$44:$BJ$44),AN13)</f>
        <v>18.9059077476081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819</v>
      </c>
      <c r="E10" s="0" t="s">
        <v>149</v>
      </c>
      <c r="G10" s="13" t="n">
        <f aca="false">SUM(J10:BN10)</f>
        <v>32.3100736611213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32.3100736611213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820</v>
      </c>
      <c r="E11" s="0" t="s">
        <v>149</v>
      </c>
      <c r="G11" s="13" t="n">
        <f aca="false">SUM(J11:BN11)</f>
        <v>34.9418475114519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1.11555209514336E-012</v>
      </c>
      <c r="P11" s="13" t="n">
        <f aca="false">MIN(Waterfall!P13,MAX(0,Debt!P125-(P9-P10)))</f>
        <v>0</v>
      </c>
      <c r="Q11" s="13" t="n">
        <f aca="false">MIN(Waterfall!Q13,MAX(0,Debt!Q125-(Q9-Q10)))</f>
        <v>0</v>
      </c>
      <c r="R11" s="13" t="n">
        <f aca="false">MIN(Waterfall!R13,MAX(0,Debt!R125-(R9-R10)))</f>
        <v>13.7454838443184</v>
      </c>
      <c r="S11" s="13" t="n">
        <f aca="false">MIN(Waterfall!S13,MAX(0,Debt!S125-(S9-S10)))</f>
        <v>19.1587911434049</v>
      </c>
      <c r="T11" s="13" t="n">
        <f aca="false">MIN(Waterfall!T13,MAX(0,Debt!T125-(T9-T10)))</f>
        <v>0</v>
      </c>
      <c r="U11" s="13" t="n">
        <f aca="false">MIN(Waterfall!U13,MAX(0,Debt!U125-(U9-U10)))</f>
        <v>0.717227480305631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0.300971063968952</v>
      </c>
      <c r="Z11" s="13" t="n">
        <f aca="false">MIN(Waterfall!Z13,MAX(0,Debt!Z125-(Z9-Z10)))</f>
        <v>0</v>
      </c>
      <c r="AA11" s="13" t="n">
        <f aca="false">MIN(Waterfall!AA13,MAX(0,Debt!AA125-(AA9-AA10)))</f>
        <v>0.430461277121729</v>
      </c>
      <c r="AB11" s="13" t="n">
        <f aca="false">MIN(Waterfall!AB13,MAX(0,Debt!AB125-(AB9-AB10)))</f>
        <v>0</v>
      </c>
      <c r="AC11" s="13" t="n">
        <f aca="false">MIN(Waterfall!AC13,MAX(0,Debt!AC125-(AC9-AC10)))</f>
        <v>0.58891270233115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821</v>
      </c>
      <c r="E12" s="0" t="s">
        <v>149</v>
      </c>
      <c r="G12" s="13" t="n">
        <f aca="false">SUM(J12:BN12)</f>
        <v>39.877669287426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0.088878981950721</v>
      </c>
      <c r="Q12" s="13" t="n">
        <f aca="false">MAX(0,Q9-Q10-Debt!Q125)</f>
        <v>0</v>
      </c>
      <c r="R12" s="13" t="n">
        <f aca="false">MAX(0,R9-R10-Debt!R125)</f>
        <v>0</v>
      </c>
      <c r="S12" s="13" t="n">
        <f aca="false">MAX(0,S9-S10-Debt!S125)</f>
        <v>0</v>
      </c>
      <c r="T12" s="13" t="n">
        <f aca="false">MAX(0,T9-T10-Debt!T125)</f>
        <v>0.180525026895069</v>
      </c>
      <c r="U12" s="13" t="n">
        <f aca="false">MAX(0,U9-U10-Debt!U125)</f>
        <v>0</v>
      </c>
      <c r="V12" s="13" t="n">
        <f aca="false">MAX(0,V9-V10-Debt!V125)</f>
        <v>0.264692809288562</v>
      </c>
      <c r="W12" s="13" t="n">
        <f aca="false">MAX(0,W9-W10-Debt!W125)</f>
        <v>1.0964323512804</v>
      </c>
      <c r="X12" s="13" t="n">
        <f aca="false">MAX(0,X9-X10-Debt!X125)</f>
        <v>0.356403030044227</v>
      </c>
      <c r="Y12" s="13" t="n">
        <f aca="false">MAX(0,Y9-Y10-Debt!Y125)</f>
        <v>0</v>
      </c>
      <c r="Z12" s="13" t="n">
        <f aca="false">MAX(0,Z9-Z10-Debt!Z125)</f>
        <v>0.297075753659662</v>
      </c>
      <c r="AA12" s="13" t="n">
        <f aca="false">MAX(0,AA9-AA10-Debt!AA125)</f>
        <v>0</v>
      </c>
      <c r="AB12" s="13" t="n">
        <f aca="false">MAX(0,AB9-AB10-Debt!AB125)</f>
        <v>0.78995225536913</v>
      </c>
      <c r="AC12" s="13" t="n">
        <f aca="false">MAX(0,AC9-AC10-Debt!AC125)</f>
        <v>0</v>
      </c>
      <c r="AD12" s="13" t="n">
        <f aca="false">MAX(0,AD9-AD10-Debt!AD125)</f>
        <v>0.737369085972055</v>
      </c>
      <c r="AE12" s="13" t="n">
        <f aca="false">MAX(0,AE9-AE10-Debt!AE125)</f>
        <v>0.919103673078979</v>
      </c>
      <c r="AF12" s="13" t="n">
        <f aca="false">MAX(0,AF9-AF10-Debt!AF125)</f>
        <v>1.46120916948336</v>
      </c>
      <c r="AG12" s="13" t="n">
        <f aca="false">MAX(0,AG9-AG10-Debt!AG125)</f>
        <v>0.994577096311424</v>
      </c>
      <c r="AH12" s="13" t="n">
        <f aca="false">MAX(0,AH9-AH10-Debt!AH125)</f>
        <v>1.85401349762939</v>
      </c>
      <c r="AI12" s="13" t="n">
        <f aca="false">MAX(0,AI9-AI10-Debt!AI125)</f>
        <v>1.72221952931915</v>
      </c>
      <c r="AJ12" s="13" t="n">
        <f aca="false">MAX(0,AJ9-AJ10-Debt!AJ125)</f>
        <v>2.64515656505121</v>
      </c>
      <c r="AK12" s="13" t="n">
        <f aca="false">MAX(0,AK9-AK10-Debt!AK125)</f>
        <v>2.75602062669626</v>
      </c>
      <c r="AL12" s="13" t="n">
        <f aca="false">MAX(0,AL9-AL10-Debt!AL125)</f>
        <v>0.144747982118304</v>
      </c>
      <c r="AM12" s="13" t="n">
        <f aca="false">MAX(0,AM9-AM10-Debt!AM125)</f>
        <v>4.43727459841388</v>
      </c>
      <c r="AN12" s="13" t="n">
        <f aca="false">MAX(0,AN9-AN10-Debt!AN125)</f>
        <v>0.226109507256052</v>
      </c>
      <c r="AO12" s="13" t="n">
        <f aca="false">MAX(0,AO9-AO10-Debt!AO125)</f>
        <v>18.9059077476081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822</v>
      </c>
      <c r="E13" s="0" t="s">
        <v>149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37.2458954370965</v>
      </c>
      <c r="P13" s="13" t="n">
        <f aca="false">(1-Time!P37)*(P9-P10+P11-P12)</f>
        <v>37.1570164551458</v>
      </c>
      <c r="Q13" s="13" t="n">
        <f aca="false">(1-Time!Q37)*(Q9-Q10+Q11-Q12)</f>
        <v>4.84694279402449</v>
      </c>
      <c r="R13" s="13" t="n">
        <f aca="false">(1-Time!R37)*(R9-R10+R11-R12)</f>
        <v>18.5924266383429</v>
      </c>
      <c r="S13" s="13" t="n">
        <f aca="false">(1-Time!S37)*(S9-S10+S11-S12)</f>
        <v>37.7512177817478</v>
      </c>
      <c r="T13" s="13" t="n">
        <f aca="false">(1-Time!T37)*(T9-T10+T11-T12)</f>
        <v>37.5706927548527</v>
      </c>
      <c r="U13" s="13" t="n">
        <f aca="false">(1-Time!U37)*(U9-U10+U11-U12)</f>
        <v>38.2879202351583</v>
      </c>
      <c r="V13" s="13" t="n">
        <f aca="false">(1-Time!V37)*(V9-V10+V11-V12)</f>
        <v>38.0232274258698</v>
      </c>
      <c r="W13" s="13" t="n">
        <f aca="false">(1-Time!W37)*(W9-W10+W11-W12)</f>
        <v>36.9267950745894</v>
      </c>
      <c r="X13" s="13" t="n">
        <f aca="false">(1-Time!X37)*(X9-X10+X11-X12)</f>
        <v>36.5703920445452</v>
      </c>
      <c r="Y13" s="13" t="n">
        <f aca="false">(1-Time!Y37)*(Y9-Y10+Y11-Y12)</f>
        <v>36.8713631085141</v>
      </c>
      <c r="Z13" s="13" t="n">
        <f aca="false">(1-Time!Z37)*(Z9-Z10+Z11-Z12)</f>
        <v>36.5742873548545</v>
      </c>
      <c r="AA13" s="13" t="n">
        <f aca="false">(1-Time!AA37)*(AA9-AA10+AA11-AA12)</f>
        <v>37.0047486319762</v>
      </c>
      <c r="AB13" s="13" t="n">
        <f aca="false">(1-Time!AB37)*(AB9-AB10+AB11-AB12)</f>
        <v>36.2147963766071</v>
      </c>
      <c r="AC13" s="13" t="n">
        <f aca="false">(1-Time!AC37)*(AC9-AC10+AC11-AC12)</f>
        <v>36.8037090789382</v>
      </c>
      <c r="AD13" s="13" t="n">
        <f aca="false">(1-Time!AD37)*(AD9-AD10+AD11-AD12)</f>
        <v>36.0663399929661</v>
      </c>
      <c r="AE13" s="13" t="n">
        <f aca="false">(1-Time!AE37)*(AE9-AE10+AE11-AE12)</f>
        <v>35.1472363198872</v>
      </c>
      <c r="AF13" s="13" t="n">
        <f aca="false">(1-Time!AF37)*(AF9-AF10+AF11-AF12)</f>
        <v>33.6860271504038</v>
      </c>
      <c r="AG13" s="13" t="n">
        <f aca="false">(1-Time!AG37)*(AG9-AG10+AG11-AG12)</f>
        <v>32.6914500540924</v>
      </c>
      <c r="AH13" s="13" t="n">
        <f aca="false">(1-Time!AH37)*(AH9-AH10+AH11-AH12)</f>
        <v>30.837436556463</v>
      </c>
      <c r="AI13" s="13" t="n">
        <f aca="false">(1-Time!AI37)*(AI9-AI10+AI11-AI12)</f>
        <v>29.1152170271438</v>
      </c>
      <c r="AJ13" s="13" t="n">
        <f aca="false">(1-Time!AJ37)*(AJ9-AJ10+AJ11-AJ12)</f>
        <v>26.4700604620926</v>
      </c>
      <c r="AK13" s="13" t="n">
        <f aca="false">(1-Time!AK37)*(AK9-AK10+AK11-AK12)</f>
        <v>23.7140398353964</v>
      </c>
      <c r="AL13" s="13" t="n">
        <f aca="false">(1-Time!AL37)*(AL9-AL10+AL11-AL12)</f>
        <v>23.5692918532781</v>
      </c>
      <c r="AM13" s="13" t="n">
        <f aca="false">(1-Time!AM37)*(AM9-AM10+AM11-AM12)</f>
        <v>19.1320172548642</v>
      </c>
      <c r="AN13" s="13" t="n">
        <f aca="false">(1-Time!AN37)*(AN9-AN10+AN11-AN12)</f>
        <v>18.9059077476081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823</v>
      </c>
      <c r="E14" s="0" t="s">
        <v>149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824</v>
      </c>
      <c r="E15" s="0" t="s">
        <v>149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825</v>
      </c>
      <c r="E16" s="0" t="s">
        <v>149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826</v>
      </c>
      <c r="E17" s="0" t="s">
        <v>149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828</v>
      </c>
      <c r="E7" s="0" t="s">
        <v>149</v>
      </c>
      <c r="G7" s="13" t="n">
        <f aca="false">SUM(J7:BN7)</f>
        <v>2306.08527421856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1.87224719782305</v>
      </c>
      <c r="P7" s="13" t="n">
        <f aca="false">Operations!P84-Tax!P27-Operations!P96-Reserves!P7+Operations!P79+Operations!P97</f>
        <v>50.2819588445858</v>
      </c>
      <c r="Q7" s="13" t="n">
        <f aca="false">Operations!Q84-Tax!Q27-Operations!Q96-Reserves!Q7+Operations!Q79+Operations!Q97</f>
        <v>4.84694279402448</v>
      </c>
      <c r="R7" s="13" t="n">
        <f aca="false">Operations!R84-Tax!R27-Operations!R96-Reserves!R7+Operations!R79+Operations!R97</f>
        <v>51.3702689319963</v>
      </c>
      <c r="S7" s="13" t="n">
        <f aca="false">Operations!S84-Tax!S27-Operations!S96-Reserves!S7+Operations!S79+Operations!S97</f>
        <v>95.1381922339208</v>
      </c>
      <c r="T7" s="13" t="n">
        <f aca="false">Operations!T84-Tax!T27-Operations!T96-Reserves!T7+Operations!T79+Operations!T97</f>
        <v>50.9641440099802</v>
      </c>
      <c r="U7" s="13" t="n">
        <f aca="false">Operations!U84-Tax!U27-Operations!U96-Reserves!U7+Operations!U79+Operations!U97</f>
        <v>50.7204352228832</v>
      </c>
      <c r="V7" s="13" t="n">
        <f aca="false">Operations!V84-Tax!V27-Operations!V96-Reserves!V7+Operations!V79+Operations!V97</f>
        <v>51.6886923217823</v>
      </c>
      <c r="W7" s="13" t="n">
        <f aca="false">Operations!W84-Tax!W27-Operations!W96-Reserves!W7+Operations!W79+Operations!W97</f>
        <v>51.3313570281874</v>
      </c>
      <c r="X7" s="13" t="n">
        <f aca="false">Operations!X84-Tax!X27-Operations!X96-Reserves!X7+Operations!X79+Operations!X97</f>
        <v>49.8511733546825</v>
      </c>
      <c r="Y7" s="13" t="n">
        <f aca="false">Operations!Y84-Tax!Y27-Operations!Y96-Reserves!Y7+Operations!Y79+Operations!Y97</f>
        <v>49.3700292631384</v>
      </c>
      <c r="Z7" s="13" t="n">
        <f aca="false">Operations!Z84-Tax!Z27-Operations!Z96-Reserves!Z7+Operations!Z79+Operations!Z97</f>
        <v>49.7763402001533</v>
      </c>
      <c r="AA7" s="13" t="n">
        <f aca="false">Operations!AA84-Tax!AA27-Operations!AA96-Reserves!AA7+Operations!AA79+Operations!AA97</f>
        <v>49.3752879317933</v>
      </c>
      <c r="AB7" s="13" t="n">
        <f aca="false">Operations!AB84-Tax!AB27-Operations!AB96-Reserves!AB7+Operations!AB79+Operations!AB97</f>
        <v>49.956410656481</v>
      </c>
      <c r="AC7" s="13" t="n">
        <f aca="false">Operations!AC84-Tax!AC27-Operations!AC96-Reserves!AC7+Operations!AC79+Operations!AC97</f>
        <v>49.7514544426898</v>
      </c>
      <c r="AD7" s="13" t="n">
        <f aca="false">Operations!AD84-Tax!AD27-Operations!AD96-Reserves!AD7+Operations!AD79+Operations!AD97</f>
        <v>51.6625426827391</v>
      </c>
      <c r="AE7" s="13" t="n">
        <f aca="false">Operations!AE84-Tax!AE27-Operations!AE96-Reserves!AE7+Operations!AE79+Operations!AE97</f>
        <v>51.7458319376668</v>
      </c>
      <c r="AF7" s="13" t="n">
        <f aca="false">Operations!AF84-Tax!AF27-Operations!AF96-Reserves!AF7+Operations!AF79+Operations!AF97</f>
        <v>51.9066856527928</v>
      </c>
      <c r="AG7" s="13" t="n">
        <f aca="false">Operations!AG84-Tax!AG27-Operations!AG96-Reserves!AG7+Operations!AG79+Operations!AG97</f>
        <v>51.539279151907</v>
      </c>
      <c r="AH7" s="13" t="n">
        <f aca="false">Operations!AH84-Tax!AH27-Operations!AH96-Reserves!AH7+Operations!AH79+Operations!AH97</f>
        <v>52.2087446781833</v>
      </c>
      <c r="AI7" s="13" t="n">
        <f aca="false">Operations!AI84-Tax!AI27-Operations!AI96-Reserves!AI7+Operations!AI79+Operations!AI97</f>
        <v>51.801240750518</v>
      </c>
      <c r="AJ7" s="13" t="n">
        <f aca="false">Operations!AJ84-Tax!AJ27-Operations!AJ96-Reserves!AJ7+Operations!AJ79+Operations!AJ97</f>
        <v>52.4025982886386</v>
      </c>
      <c r="AK7" s="13" t="n">
        <f aca="false">Operations!AK84-Tax!AK27-Operations!AK96-Reserves!AK7+Operations!AK79+Operations!AK97</f>
        <v>52.1645329407755</v>
      </c>
      <c r="AL7" s="13" t="n">
        <f aca="false">Operations!AL84-Tax!AL27-Operations!AL96-Reserves!AL7+Operations!AL79+Operations!AL97</f>
        <v>53.2755760114189</v>
      </c>
      <c r="AM7" s="13" t="n">
        <f aca="false">Operations!AM84-Tax!AM27-Operations!AM96-Reserves!AM7+Operations!AM79+Operations!AM97</f>
        <v>52.8997050276094</v>
      </c>
      <c r="AN7" s="13" t="n">
        <f aca="false">Operations!AN84-Tax!AN27-Operations!AN96-Reserves!AN7+Operations!AN79+Operations!AN97</f>
        <v>42.468475796511</v>
      </c>
      <c r="AO7" s="13" t="n">
        <f aca="false">Operations!AO84-Tax!AO27-Operations!AO96-Reserves!AO7+Operations!AO79+Operations!AO97</f>
        <v>41.5947474858284</v>
      </c>
      <c r="AP7" s="13" t="n">
        <f aca="false">Operations!AP84-Tax!AP27-Operations!AP96-Reserves!AP7+Operations!AP79+Operations!AP97</f>
        <v>41.6216377830038</v>
      </c>
      <c r="AQ7" s="13" t="n">
        <f aca="false">Operations!AQ84-Tax!AQ27-Operations!AQ96-Reserves!AQ7+Operations!AQ79+Operations!AQ97</f>
        <v>41.1745993340732</v>
      </c>
      <c r="AR7" s="13" t="n">
        <f aca="false">Operations!AR84-Tax!AR27-Operations!AR96-Reserves!AR7+Operations!AR79+Operations!AR97</f>
        <v>41.770960831035</v>
      </c>
      <c r="AS7" s="13" t="n">
        <f aca="false">Operations!AS84-Tax!AS27-Operations!AS96-Reserves!AS7+Operations!AS79+Operations!AS97</f>
        <v>41.5056129118261</v>
      </c>
      <c r="AT7" s="13" t="n">
        <f aca="false">Operations!AT84-Tax!AT27-Operations!AT96-Reserves!AT7+Operations!AT79+Operations!AT97</f>
        <v>48.238693031292</v>
      </c>
      <c r="AU7" s="13" t="n">
        <f aca="false">Operations!AU84-Tax!AU27-Operations!AU96-Reserves!AU7+Operations!AU79+Operations!AU97</f>
        <v>43.8015207396234</v>
      </c>
      <c r="AV7" s="13" t="n">
        <f aca="false">Operations!AV84-Tax!AV27-Operations!AV96-Reserves!AV7+Operations!AV79+Operations!AV97</f>
        <v>43.9250195431293</v>
      </c>
      <c r="AW7" s="13" t="n">
        <f aca="false">Operations!AW84-Tax!AW27-Operations!AW96-Reserves!AW7+Operations!AW79+Operations!AW97</f>
        <v>43.5006347551928</v>
      </c>
      <c r="AX7" s="13" t="n">
        <f aca="false">Operations!AX84-Tax!AX27-Operations!AX96-Reserves!AX7+Operations!AX79+Operations!AX97</f>
        <v>44.1754747855326</v>
      </c>
      <c r="AY7" s="13" t="n">
        <f aca="false">Operations!AY84-Tax!AY27-Operations!AY96-Reserves!AY7+Operations!AY79+Operations!AY97</f>
        <v>43.7185522989792</v>
      </c>
      <c r="AZ7" s="13" t="n">
        <f aca="false">Operations!AZ84-Tax!AZ27-Operations!AZ96-Reserves!AZ7+Operations!AZ79+Operations!AZ97</f>
        <v>44.3364424388821</v>
      </c>
      <c r="BA7" s="13" t="n">
        <f aca="false">Operations!BA84-Tax!BA27-Operations!BA96-Reserves!BA7+Operations!BA79+Operations!BA97</f>
        <v>44.0387981074297</v>
      </c>
      <c r="BB7" s="13" t="n">
        <f aca="false">Operations!BB84-Tax!BB27-Operations!BB96-Reserves!BB7+Operations!BB79+Operations!BB97</f>
        <v>46.2859599813229</v>
      </c>
      <c r="BC7" s="13" t="n">
        <f aca="false">Operations!BC84-Tax!BC27-Operations!BC96-Reserves!BC7+Operations!BC79+Operations!BC97</f>
        <v>42.8868801360933</v>
      </c>
      <c r="BD7" s="13" t="n">
        <f aca="false">Operations!BD84-Tax!BD27-Operations!BD96-Reserves!BD7+Operations!BD79+Operations!BD97</f>
        <v>36.7877288372509</v>
      </c>
      <c r="BE7" s="13" t="n">
        <f aca="false">Operations!BE84-Tax!BE27-Operations!BE96-Reserves!BE7+Operations!BE79+Operations!BE97</f>
        <v>36.3547514317289</v>
      </c>
      <c r="BF7" s="13" t="n">
        <f aca="false">Operations!BF84-Tax!BF27-Operations!BF96-Reserves!BF7+Operations!BF79+Operations!BF97</f>
        <v>37.0590535569129</v>
      </c>
      <c r="BG7" s="13" t="n">
        <f aca="false">Operations!BG84-Tax!BG27-Operations!BG96-Reserves!BG7+Operations!BG79+Operations!BG97</f>
        <v>36.5914221765451</v>
      </c>
      <c r="BH7" s="13" t="n">
        <f aca="false">Operations!BH84-Tax!BH27-Operations!BH96-Reserves!BH7+Operations!BH79+Operations!BH97</f>
        <v>37.2325862972185</v>
      </c>
      <c r="BI7" s="13" t="n">
        <f aca="false">Operations!BI84-Tax!BI27-Operations!BI96-Reserves!BI7+Operations!BI79+Operations!BI97</f>
        <v>36.9714857368546</v>
      </c>
      <c r="BJ7" s="13" t="n">
        <f aca="false">Operations!BJ84-Tax!BJ27-Operations!BJ96-Reserves!BJ7+Operations!BJ79+Operations!BJ97</f>
        <v>44.9952970300032</v>
      </c>
      <c r="BK7" s="13" t="n">
        <f aca="false">Operations!BK84-Tax!BK27-Operations!BK96-Reserves!BK7+Operations!BK79+Operations!BK97</f>
        <v>39.7456545221627</v>
      </c>
      <c r="BL7" s="13" t="n">
        <f aca="false">Operations!BL84-Tax!BL27-Operations!BL96-Reserves!BL7+Operations!BL79+Operations!BL97</f>
        <v>40.4938056453036</v>
      </c>
      <c r="BM7" s="13" t="n">
        <f aca="false">Operations!BM84-Tax!BM27-Operations!BM96-Reserves!BM7+Operations!BM79+Operations!BM97</f>
        <v>36.9078074684487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829</v>
      </c>
      <c r="E8" s="0" t="s">
        <v>149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1.87224719782193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830</v>
      </c>
      <c r="E9" s="0" t="s">
        <v>149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1.87224719782305</v>
      </c>
      <c r="P9" s="13" t="n">
        <f aca="false">P7+P8</f>
        <v>52.1542060424078</v>
      </c>
      <c r="Q9" s="13" t="n">
        <f aca="false">Q7+Q8</f>
        <v>4.84694279402448</v>
      </c>
      <c r="R9" s="13" t="n">
        <f aca="false">R7+R8</f>
        <v>51.3702689319963</v>
      </c>
      <c r="S9" s="13" t="n">
        <f aca="false">S7+S8</f>
        <v>95.1381922339208</v>
      </c>
      <c r="T9" s="13" t="n">
        <f aca="false">T7+T8</f>
        <v>50.9641440099802</v>
      </c>
      <c r="U9" s="13" t="n">
        <f aca="false">U7+U8</f>
        <v>50.7204352228832</v>
      </c>
      <c r="V9" s="13" t="n">
        <f aca="false">V7+V8</f>
        <v>51.6886923217823</v>
      </c>
      <c r="W9" s="13" t="n">
        <f aca="false">W7+W8</f>
        <v>51.3313570281874</v>
      </c>
      <c r="X9" s="13" t="n">
        <f aca="false">X7+X8</f>
        <v>49.8511733546825</v>
      </c>
      <c r="Y9" s="13" t="n">
        <f aca="false">Y7+Y8</f>
        <v>49.3700292631384</v>
      </c>
      <c r="Z9" s="13" t="n">
        <f aca="false">Z7+Z8</f>
        <v>49.7763402001533</v>
      </c>
      <c r="AA9" s="13" t="n">
        <f aca="false">AA7+AA8</f>
        <v>49.3752879317933</v>
      </c>
      <c r="AB9" s="13" t="n">
        <f aca="false">AB7+AB8</f>
        <v>49.956410656481</v>
      </c>
      <c r="AC9" s="13" t="n">
        <f aca="false">AC7+AC8</f>
        <v>49.7514544426898</v>
      </c>
      <c r="AD9" s="13" t="n">
        <f aca="false">AD7+AD8</f>
        <v>51.6625426827391</v>
      </c>
      <c r="AE9" s="13" t="n">
        <f aca="false">AE7+AE8</f>
        <v>51.7458319376668</v>
      </c>
      <c r="AF9" s="13" t="n">
        <f aca="false">AF7+AF8</f>
        <v>51.9066856527928</v>
      </c>
      <c r="AG9" s="13" t="n">
        <f aca="false">AG7+AG8</f>
        <v>51.539279151907</v>
      </c>
      <c r="AH9" s="13" t="n">
        <f aca="false">AH7+AH8</f>
        <v>52.2087446781833</v>
      </c>
      <c r="AI9" s="13" t="n">
        <f aca="false">AI7+AI8</f>
        <v>51.801240750518</v>
      </c>
      <c r="AJ9" s="13" t="n">
        <f aca="false">AJ7+AJ8</f>
        <v>52.4025982886386</v>
      </c>
      <c r="AK9" s="13" t="n">
        <f aca="false">AK7+AK8</f>
        <v>52.1645329407755</v>
      </c>
      <c r="AL9" s="13" t="n">
        <f aca="false">AL7+AL8</f>
        <v>53.2755760114189</v>
      </c>
      <c r="AM9" s="13" t="n">
        <f aca="false">AM7+AM8</f>
        <v>52.8997050276094</v>
      </c>
      <c r="AN9" s="13" t="n">
        <f aca="false">AN7+AN8</f>
        <v>42.468475796511</v>
      </c>
      <c r="AO9" s="13" t="n">
        <f aca="false">AO7+AO8</f>
        <v>41.5947474858284</v>
      </c>
      <c r="AP9" s="13" t="n">
        <f aca="false">AP7+AP8</f>
        <v>41.6216377830038</v>
      </c>
      <c r="AQ9" s="13" t="n">
        <f aca="false">AQ7+AQ8</f>
        <v>41.1745993340732</v>
      </c>
      <c r="AR9" s="13" t="n">
        <f aca="false">AR7+AR8</f>
        <v>41.770960831035</v>
      </c>
      <c r="AS9" s="13" t="n">
        <f aca="false">AS7+AS8</f>
        <v>41.5056129118261</v>
      </c>
      <c r="AT9" s="13" t="n">
        <f aca="false">AT7+AT8</f>
        <v>48.238693031292</v>
      </c>
      <c r="AU9" s="13" t="n">
        <f aca="false">AU7+AU8</f>
        <v>43.8015207396234</v>
      </c>
      <c r="AV9" s="13" t="n">
        <f aca="false">AV7+AV8</f>
        <v>43.9250195431293</v>
      </c>
      <c r="AW9" s="13" t="n">
        <f aca="false">AW7+AW8</f>
        <v>43.5006347551928</v>
      </c>
      <c r="AX9" s="13" t="n">
        <f aca="false">AX7+AX8</f>
        <v>44.1754747855326</v>
      </c>
      <c r="AY9" s="13" t="n">
        <f aca="false">AY7+AY8</f>
        <v>43.7185522989792</v>
      </c>
      <c r="AZ9" s="13" t="n">
        <f aca="false">AZ7+AZ8</f>
        <v>44.3364424388821</v>
      </c>
      <c r="BA9" s="13" t="n">
        <f aca="false">BA7+BA8</f>
        <v>44.0387981074297</v>
      </c>
      <c r="BB9" s="13" t="n">
        <f aca="false">BB7+BB8</f>
        <v>46.2859599813229</v>
      </c>
      <c r="BC9" s="13" t="n">
        <f aca="false">BC7+BC8</f>
        <v>42.8868801360933</v>
      </c>
      <c r="BD9" s="13" t="n">
        <f aca="false">BD7+BD8</f>
        <v>36.7877288372509</v>
      </c>
      <c r="BE9" s="13" t="n">
        <f aca="false">BE7+BE8</f>
        <v>36.3547514317289</v>
      </c>
      <c r="BF9" s="13" t="n">
        <f aca="false">BF7+BF8</f>
        <v>37.0590535569129</v>
      </c>
      <c r="BG9" s="13" t="n">
        <f aca="false">BG7+BG8</f>
        <v>36.5914221765451</v>
      </c>
      <c r="BH9" s="13" t="n">
        <f aca="false">BH7+BH8</f>
        <v>37.2325862972185</v>
      </c>
      <c r="BI9" s="13" t="n">
        <f aca="false">BI7+BI8</f>
        <v>36.9714857368546</v>
      </c>
      <c r="BJ9" s="13" t="n">
        <f aca="false">BJ7+BJ8</f>
        <v>44.9952970300032</v>
      </c>
      <c r="BK9" s="13" t="n">
        <f aca="false">BK7+BK8</f>
        <v>39.7456545221627</v>
      </c>
      <c r="BL9" s="13" t="n">
        <f aca="false">BL7+BL8</f>
        <v>40.4938056453036</v>
      </c>
      <c r="BM9" s="13" t="n">
        <f aca="false">BM7+BM8</f>
        <v>36.9078074684487</v>
      </c>
      <c r="BN9" s="13" t="n">
        <f aca="false">BN7+BN8</f>
        <v>0</v>
      </c>
    </row>
    <row r="10" customFormat="false" ht="15" hidden="false" customHeight="false" outlineLevel="0" collapsed="false">
      <c r="D10" s="0" t="s">
        <v>831</v>
      </c>
      <c r="E10" s="0" t="s">
        <v>149</v>
      </c>
      <c r="G10" s="13" t="n">
        <f aca="false">SUM(J10:BN10)</f>
        <v>851.339041941152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37.2458954370965</v>
      </c>
      <c r="Q10" s="13" t="n">
        <f aca="false">Debt!Q114+Debt!Q110</f>
        <v>37.1570164551458</v>
      </c>
      <c r="R10" s="13" t="n">
        <f aca="false">Debt!R114+Debt!R110</f>
        <v>37.624785087678</v>
      </c>
      <c r="S10" s="13" t="n">
        <f aca="false">Debt!S114+Debt!S110</f>
        <v>37.333312492557</v>
      </c>
      <c r="T10" s="13" t="n">
        <f aca="false">Debt!T114+Debt!T110</f>
        <v>37.7512177817478</v>
      </c>
      <c r="U10" s="13" t="n">
        <f aca="false">Debt!U114+Debt!U110</f>
        <v>37.5706927548527</v>
      </c>
      <c r="V10" s="13" t="n">
        <f aca="false">Debt!V114+Debt!V110</f>
        <v>38.2879202351583</v>
      </c>
      <c r="W10" s="13" t="n">
        <f aca="false">Debt!W114+Debt!W110</f>
        <v>38.0232274258698</v>
      </c>
      <c r="X10" s="13" t="n">
        <f aca="false">Debt!X114+Debt!X110</f>
        <v>36.9267950745894</v>
      </c>
      <c r="Y10" s="13" t="n">
        <f aca="false">Debt!Y114+Debt!Y110</f>
        <v>36.5703920445452</v>
      </c>
      <c r="Z10" s="13" t="n">
        <f aca="false">Debt!Z114+Debt!Z110</f>
        <v>36.8713631085141</v>
      </c>
      <c r="AA10" s="13" t="n">
        <f aca="false">Debt!AA114+Debt!AA110</f>
        <v>36.5742873548545</v>
      </c>
      <c r="AB10" s="13" t="n">
        <f aca="false">Debt!AB114+Debt!AB110</f>
        <v>36.3580318550115</v>
      </c>
      <c r="AC10" s="13" t="n">
        <f aca="false">Debt!AC114+Debt!AC110</f>
        <v>35.4289637986026</v>
      </c>
      <c r="AD10" s="13" t="n">
        <f aca="false">Debt!AD114+Debt!AD110</f>
        <v>35.982237264332</v>
      </c>
      <c r="AE10" s="13" t="n">
        <f aca="false">Debt!AE114+Debt!AE110</f>
        <v>35.0201110852842</v>
      </c>
      <c r="AF10" s="13" t="n">
        <f aca="false">Debt!AF114+Debt!AF110</f>
        <v>33.9290442030534</v>
      </c>
      <c r="AG10" s="13" t="n">
        <f aca="false">Debt!AG114+Debt!AG110</f>
        <v>32.2223282158534</v>
      </c>
      <c r="AH10" s="13" t="n">
        <f aca="false">Debt!AH114+Debt!AH110</f>
        <v>30.985331974555</v>
      </c>
      <c r="AI10" s="13" t="n">
        <f aca="false">Debt!AI114+Debt!AI110</f>
        <v>28.6883042881434</v>
      </c>
      <c r="AJ10" s="13" t="n">
        <f aca="false">Debt!AJ114+Debt!AJ110</f>
        <v>26.4356894484697</v>
      </c>
      <c r="AK10" s="13" t="n">
        <f aca="false">Debt!AK114+Debt!AK110</f>
        <v>23.030837864091</v>
      </c>
      <c r="AL10" s="13" t="n">
        <f aca="false">Debt!AL114+Debt!AL110</f>
        <v>23.7140398353964</v>
      </c>
      <c r="AM10" s="13" t="n">
        <f aca="false">Debt!AM114+Debt!AM110</f>
        <v>23.5692918532781</v>
      </c>
      <c r="AN10" s="13" t="n">
        <f aca="false">Debt!AN114+Debt!AN110</f>
        <v>19.1320172548642</v>
      </c>
      <c r="AO10" s="13" t="n">
        <f aca="false">Debt!AO114+Debt!AO110</f>
        <v>18.9059077476081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832</v>
      </c>
      <c r="E11" s="0" t="s">
        <v>149</v>
      </c>
      <c r="G11" s="13" t="n">
        <f aca="false">SUM(J11:BN11)</f>
        <v>32.3100736611213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32.3100736611213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833</v>
      </c>
      <c r="E12" s="0" t="s">
        <v>149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834</v>
      </c>
      <c r="E13" s="0" t="s">
        <v>149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1.87224719782305</v>
      </c>
      <c r="P13" s="13" t="n">
        <f aca="false">MAX(0,P9-P10)</f>
        <v>14.9083106053113</v>
      </c>
      <c r="Q13" s="13" t="n">
        <f aca="false">MAX(0,Q9-Q10)</f>
        <v>0</v>
      </c>
      <c r="R13" s="13" t="n">
        <f aca="false">MAX(0,R9-R10)</f>
        <v>13.7454838443184</v>
      </c>
      <c r="S13" s="13" t="n">
        <f aca="false">MAX(0,S9-S10)</f>
        <v>57.8048797413638</v>
      </c>
      <c r="T13" s="13" t="n">
        <f aca="false">MAX(0,T9-T10)</f>
        <v>13.2129262282324</v>
      </c>
      <c r="U13" s="13" t="n">
        <f aca="false">MAX(0,U9-U10)</f>
        <v>13.1497424680305</v>
      </c>
      <c r="V13" s="13" t="n">
        <f aca="false">MAX(0,V9-V10)</f>
        <v>13.400772086624</v>
      </c>
      <c r="W13" s="13" t="n">
        <f aca="false">MAX(0,W9-W10)</f>
        <v>13.3081296023177</v>
      </c>
      <c r="X13" s="13" t="n">
        <f aca="false">MAX(0,X9-X10)</f>
        <v>12.9243782800931</v>
      </c>
      <c r="Y13" s="13" t="n">
        <f aca="false">MAX(0,Y9-Y10)</f>
        <v>12.7996372185932</v>
      </c>
      <c r="Z13" s="13" t="n">
        <f aca="false">MAX(0,Z9-Z10)</f>
        <v>12.9049770916392</v>
      </c>
      <c r="AA13" s="13" t="n">
        <f aca="false">MAX(0,AA9-AA10)</f>
        <v>12.8010005769389</v>
      </c>
      <c r="AB13" s="13" t="n">
        <f aca="false">MAX(0,AB9-AB10)</f>
        <v>13.5983788014695</v>
      </c>
      <c r="AC13" s="13" t="n">
        <f aca="false">MAX(0,AC9-AC10)</f>
        <v>14.3224906440872</v>
      </c>
      <c r="AD13" s="13" t="n">
        <f aca="false">MAX(0,AD9-AD10)</f>
        <v>15.6803054184071</v>
      </c>
      <c r="AE13" s="13" t="n">
        <f aca="false">MAX(0,AE9-AE10)</f>
        <v>16.7257208523825</v>
      </c>
      <c r="AF13" s="13" t="n">
        <f aca="false">MAX(0,AF9-AF10)</f>
        <v>17.9776414497395</v>
      </c>
      <c r="AG13" s="13" t="n">
        <f aca="false">MAX(0,AG9-AG10)</f>
        <v>19.3169509360536</v>
      </c>
      <c r="AH13" s="13" t="n">
        <f aca="false">MAX(0,AH9-AH10)</f>
        <v>21.2234127036283</v>
      </c>
      <c r="AI13" s="13" t="n">
        <f aca="false">MAX(0,AI9-AI10)</f>
        <v>23.1129364623745</v>
      </c>
      <c r="AJ13" s="13" t="n">
        <f aca="false">MAX(0,AJ9-AJ10)</f>
        <v>25.9669088401689</v>
      </c>
      <c r="AK13" s="13" t="n">
        <f aca="false">MAX(0,AK9-AK10)</f>
        <v>29.1336950766846</v>
      </c>
      <c r="AL13" s="13" t="n">
        <f aca="false">MAX(0,AL9-AL10)</f>
        <v>29.5615361760225</v>
      </c>
      <c r="AM13" s="13" t="n">
        <f aca="false">MAX(0,AM9-AM10)</f>
        <v>29.3304131743313</v>
      </c>
      <c r="AN13" s="13" t="n">
        <f aca="false">MAX(0,AN9-AN10)</f>
        <v>23.3364585416468</v>
      </c>
      <c r="AO13" s="13" t="n">
        <f aca="false">MAX(0,AO9-AO10)</f>
        <v>22.6888397382202</v>
      </c>
      <c r="AP13" s="13" t="n">
        <f aca="false">MAX(0,AP9-AP10)</f>
        <v>41.6216377830038</v>
      </c>
      <c r="AQ13" s="13" t="n">
        <f aca="false">MAX(0,AQ9-AQ10)</f>
        <v>41.1745993340732</v>
      </c>
      <c r="AR13" s="13" t="n">
        <f aca="false">MAX(0,AR9-AR10)</f>
        <v>41.770960831035</v>
      </c>
      <c r="AS13" s="13" t="n">
        <f aca="false">MAX(0,AS9-AS10)</f>
        <v>41.5056129118261</v>
      </c>
      <c r="AT13" s="13" t="n">
        <f aca="false">MAX(0,AT9-AT10)</f>
        <v>48.238693031292</v>
      </c>
      <c r="AU13" s="13" t="n">
        <f aca="false">MAX(0,AU9-AU10)</f>
        <v>43.8015207396234</v>
      </c>
      <c r="AV13" s="13" t="n">
        <f aca="false">MAX(0,AV9-AV10)</f>
        <v>43.9250195431293</v>
      </c>
      <c r="AW13" s="13" t="n">
        <f aca="false">MAX(0,AW9-AW10)</f>
        <v>43.5006347551928</v>
      </c>
      <c r="AX13" s="13" t="n">
        <f aca="false">MAX(0,AX9-AX10)</f>
        <v>44.1754747855326</v>
      </c>
      <c r="AY13" s="13" t="n">
        <f aca="false">MAX(0,AY9-AY10)</f>
        <v>43.7185522989792</v>
      </c>
      <c r="AZ13" s="13" t="n">
        <f aca="false">MAX(0,AZ9-AZ10)</f>
        <v>44.3364424388821</v>
      </c>
      <c r="BA13" s="13" t="n">
        <f aca="false">MAX(0,BA9-BA10)</f>
        <v>44.0387981074297</v>
      </c>
      <c r="BB13" s="13" t="n">
        <f aca="false">MAX(0,BB9-BB10)</f>
        <v>46.2859599813229</v>
      </c>
      <c r="BC13" s="13" t="n">
        <f aca="false">MAX(0,BC9-BC10)</f>
        <v>42.8868801360933</v>
      </c>
      <c r="BD13" s="13" t="n">
        <f aca="false">MAX(0,BD9-BD10)</f>
        <v>36.7877288372509</v>
      </c>
      <c r="BE13" s="13" t="n">
        <f aca="false">MAX(0,BE9-BE10)</f>
        <v>36.3547514317289</v>
      </c>
      <c r="BF13" s="13" t="n">
        <f aca="false">MAX(0,BF9-BF10)</f>
        <v>37.0590535569129</v>
      </c>
      <c r="BG13" s="13" t="n">
        <f aca="false">MAX(0,BG9-BG10)</f>
        <v>36.5914221765451</v>
      </c>
      <c r="BH13" s="13" t="n">
        <f aca="false">MAX(0,BH9-BH10)</f>
        <v>37.2325862972185</v>
      </c>
      <c r="BI13" s="13" t="n">
        <f aca="false">MAX(0,BI9-BI10)</f>
        <v>36.9714857368546</v>
      </c>
      <c r="BJ13" s="13" t="n">
        <f aca="false">MAX(0,BJ9-BJ10)</f>
        <v>44.9952970300032</v>
      </c>
      <c r="BK13" s="13" t="n">
        <f aca="false">MAX(0,BK9-BK10)</f>
        <v>39.7456545221627</v>
      </c>
      <c r="BL13" s="13" t="n">
        <f aca="false">MAX(0,BL9-BL10)</f>
        <v>40.4938056453036</v>
      </c>
      <c r="BM13" s="13" t="n">
        <f aca="false">MAX(0,BM9-BM10)</f>
        <v>36.9078074684487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835</v>
      </c>
      <c r="E14" s="0" t="s">
        <v>149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1.87224719782193</v>
      </c>
      <c r="P14" s="13" t="n">
        <f aca="false">P13-Reserves!P11+Reserves!P12</f>
        <v>14.997189587262</v>
      </c>
      <c r="Q14" s="13" t="n">
        <f aca="false">Q13-Reserves!Q11+Reserves!Q12</f>
        <v>0</v>
      </c>
      <c r="R14" s="13" t="n">
        <f aca="false">R13-Reserves!R11+Reserves!R12</f>
        <v>0</v>
      </c>
      <c r="S14" s="13" t="n">
        <f aca="false">S13-Reserves!S11+Reserves!S12</f>
        <v>38.6460885979589</v>
      </c>
      <c r="T14" s="13" t="n">
        <f aca="false">T13-Reserves!T11+Reserves!T12</f>
        <v>13.3934512551275</v>
      </c>
      <c r="U14" s="13" t="n">
        <f aca="false">U13-Reserves!U11+Reserves!U12</f>
        <v>12.4325149877249</v>
      </c>
      <c r="V14" s="13" t="n">
        <f aca="false">V13-Reserves!V11+Reserves!V12</f>
        <v>13.6654648959126</v>
      </c>
      <c r="W14" s="13" t="n">
        <f aca="false">W13-Reserves!W11+Reserves!W12</f>
        <v>14.404561953598</v>
      </c>
      <c r="X14" s="13" t="n">
        <f aca="false">X13-Reserves!X11+Reserves!X12</f>
        <v>13.2807813101373</v>
      </c>
      <c r="Y14" s="13" t="n">
        <f aca="false">Y13-Reserves!Y11+Reserves!Y12</f>
        <v>12.4986661546243</v>
      </c>
      <c r="Z14" s="13" t="n">
        <f aca="false">Z13-Reserves!Z11+Reserves!Z12</f>
        <v>13.2020528452989</v>
      </c>
      <c r="AA14" s="13" t="n">
        <f aca="false">AA13-Reserves!AA11+Reserves!AA12</f>
        <v>12.3705392998171</v>
      </c>
      <c r="AB14" s="13" t="n">
        <f aca="false">AB13-Reserves!AB11+Reserves!AB12</f>
        <v>14.3883310568387</v>
      </c>
      <c r="AC14" s="13" t="n">
        <f aca="false">AC13-Reserves!AC11+Reserves!AC12</f>
        <v>13.7335779417561</v>
      </c>
      <c r="AD14" s="13" t="n">
        <f aca="false">AD13-Reserves!AD11+Reserves!AD12</f>
        <v>16.4176745043792</v>
      </c>
      <c r="AE14" s="13" t="n">
        <f aca="false">AE13-Reserves!AE11+Reserves!AE12</f>
        <v>17.6448245254615</v>
      </c>
      <c r="AF14" s="13" t="n">
        <f aca="false">AF13-Reserves!AF11+Reserves!AF12</f>
        <v>19.4388506192228</v>
      </c>
      <c r="AG14" s="13" t="n">
        <f aca="false">AG13-Reserves!AG11+Reserves!AG12</f>
        <v>20.3115280323651</v>
      </c>
      <c r="AH14" s="13" t="n">
        <f aca="false">AH13-Reserves!AH11+Reserves!AH12</f>
        <v>23.0774262012577</v>
      </c>
      <c r="AI14" s="13" t="n">
        <f aca="false">AI13-Reserves!AI11+Reserves!AI12</f>
        <v>24.8351559916937</v>
      </c>
      <c r="AJ14" s="13" t="n">
        <f aca="false">AJ13-Reserves!AJ11+Reserves!AJ12</f>
        <v>28.6120654052201</v>
      </c>
      <c r="AK14" s="13" t="n">
        <f aca="false">AK13-Reserves!AK11+Reserves!AK12</f>
        <v>31.8897157033808</v>
      </c>
      <c r="AL14" s="13" t="n">
        <f aca="false">AL13-Reserves!AL11+Reserves!AL12</f>
        <v>29.7062841581408</v>
      </c>
      <c r="AM14" s="13" t="n">
        <f aca="false">AM13-Reserves!AM11+Reserves!AM12</f>
        <v>33.7676877727452</v>
      </c>
      <c r="AN14" s="13" t="n">
        <f aca="false">AN13-Reserves!AN11+Reserves!AN12</f>
        <v>23.5625680489029</v>
      </c>
      <c r="AO14" s="13" t="n">
        <f aca="false">AO13-Reserves!AO11+Reserves!AO12</f>
        <v>41.5947474858284</v>
      </c>
      <c r="AP14" s="13" t="n">
        <f aca="false">AP13-Reserves!AP11+Reserves!AP12</f>
        <v>41.6216377830038</v>
      </c>
      <c r="AQ14" s="13" t="n">
        <f aca="false">AQ13-Reserves!AQ11+Reserves!AQ12</f>
        <v>41.1745993340732</v>
      </c>
      <c r="AR14" s="13" t="n">
        <f aca="false">AR13-Reserves!AR11+Reserves!AR12</f>
        <v>41.770960831035</v>
      </c>
      <c r="AS14" s="13" t="n">
        <f aca="false">AS13-Reserves!AS11+Reserves!AS12</f>
        <v>41.5056129118261</v>
      </c>
      <c r="AT14" s="13" t="n">
        <f aca="false">AT13-Reserves!AT11+Reserves!AT12</f>
        <v>48.238693031292</v>
      </c>
      <c r="AU14" s="13" t="n">
        <f aca="false">AU13-Reserves!AU11+Reserves!AU12</f>
        <v>43.8015207396234</v>
      </c>
      <c r="AV14" s="13" t="n">
        <f aca="false">AV13-Reserves!AV11+Reserves!AV12</f>
        <v>43.9250195431293</v>
      </c>
      <c r="AW14" s="13" t="n">
        <f aca="false">AW13-Reserves!AW11+Reserves!AW12</f>
        <v>43.5006347551928</v>
      </c>
      <c r="AX14" s="13" t="n">
        <f aca="false">AX13-Reserves!AX11+Reserves!AX12</f>
        <v>44.1754747855326</v>
      </c>
      <c r="AY14" s="13" t="n">
        <f aca="false">AY13-Reserves!AY11+Reserves!AY12</f>
        <v>43.7185522989792</v>
      </c>
      <c r="AZ14" s="13" t="n">
        <f aca="false">AZ13-Reserves!AZ11+Reserves!AZ12</f>
        <v>44.3364424388821</v>
      </c>
      <c r="BA14" s="13" t="n">
        <f aca="false">BA13-Reserves!BA11+Reserves!BA12</f>
        <v>44.0387981074297</v>
      </c>
      <c r="BB14" s="13" t="n">
        <f aca="false">BB13-Reserves!BB11+Reserves!BB12</f>
        <v>46.2859599813229</v>
      </c>
      <c r="BC14" s="13" t="n">
        <f aca="false">BC13-Reserves!BC11+Reserves!BC12</f>
        <v>42.8868801360933</v>
      </c>
      <c r="BD14" s="13" t="n">
        <f aca="false">BD13-Reserves!BD11+Reserves!BD12</f>
        <v>36.7877288372509</v>
      </c>
      <c r="BE14" s="13" t="n">
        <f aca="false">BE13-Reserves!BE11+Reserves!BE12</f>
        <v>36.3547514317289</v>
      </c>
      <c r="BF14" s="13" t="n">
        <f aca="false">BF13-Reserves!BF11+Reserves!BF12</f>
        <v>37.0590535569129</v>
      </c>
      <c r="BG14" s="13" t="n">
        <f aca="false">BG13-Reserves!BG11+Reserves!BG12</f>
        <v>36.5914221765451</v>
      </c>
      <c r="BH14" s="13" t="n">
        <f aca="false">BH13-Reserves!BH11+Reserves!BH12</f>
        <v>37.2325862972185</v>
      </c>
      <c r="BI14" s="13" t="n">
        <f aca="false">BI13-Reserves!BI11+Reserves!BI12</f>
        <v>36.9714857368546</v>
      </c>
      <c r="BJ14" s="13" t="n">
        <f aca="false">BJ13-Reserves!BJ11+Reserves!BJ12</f>
        <v>44.9952970300032</v>
      </c>
      <c r="BK14" s="13" t="n">
        <f aca="false">BK13-Reserves!BK11+Reserves!BK12</f>
        <v>39.7456545221627</v>
      </c>
      <c r="BL14" s="13" t="n">
        <f aca="false">BL13-Reserves!BL11+Reserves!BL12</f>
        <v>40.4938056453036</v>
      </c>
      <c r="BM14" s="13" t="n">
        <f aca="false">BM13-Reserves!BM11+Reserves!BM12</f>
        <v>36.9078074684487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836</v>
      </c>
      <c r="E15" s="0" t="s">
        <v>149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1.87224719782193</v>
      </c>
      <c r="P15" s="13" t="n">
        <f aca="false">P14-Reserves!P14+Reserves!P15</f>
        <v>14.997189587262</v>
      </c>
      <c r="Q15" s="13" t="n">
        <f aca="false">Q14-Reserves!Q14+Reserves!Q15</f>
        <v>0</v>
      </c>
      <c r="R15" s="13" t="n">
        <f aca="false">R14-Reserves!R14+Reserves!R15</f>
        <v>0</v>
      </c>
      <c r="S15" s="13" t="n">
        <f aca="false">S14-Reserves!S14+Reserves!S15</f>
        <v>38.6460885979589</v>
      </c>
      <c r="T15" s="13" t="n">
        <f aca="false">T14-Reserves!T14+Reserves!T15</f>
        <v>13.3934512551275</v>
      </c>
      <c r="U15" s="13" t="n">
        <f aca="false">U14-Reserves!U14+Reserves!U15</f>
        <v>12.4325149877249</v>
      </c>
      <c r="V15" s="13" t="n">
        <f aca="false">V14-Reserves!V14+Reserves!V15</f>
        <v>13.6654648959126</v>
      </c>
      <c r="W15" s="13" t="n">
        <f aca="false">W14-Reserves!W14+Reserves!W15</f>
        <v>14.404561953598</v>
      </c>
      <c r="X15" s="13" t="n">
        <f aca="false">X14-Reserves!X14+Reserves!X15</f>
        <v>13.2807813101373</v>
      </c>
      <c r="Y15" s="13" t="n">
        <f aca="false">Y14-Reserves!Y14+Reserves!Y15</f>
        <v>12.4986661546243</v>
      </c>
      <c r="Z15" s="13" t="n">
        <f aca="false">Z14-Reserves!Z14+Reserves!Z15</f>
        <v>13.2020528452989</v>
      </c>
      <c r="AA15" s="13" t="n">
        <f aca="false">AA14-Reserves!AA14+Reserves!AA15</f>
        <v>12.3705392998171</v>
      </c>
      <c r="AB15" s="13" t="n">
        <f aca="false">AB14-Reserves!AB14+Reserves!AB15</f>
        <v>14.3883310568387</v>
      </c>
      <c r="AC15" s="13" t="n">
        <f aca="false">AC14-Reserves!AC14+Reserves!AC15</f>
        <v>13.7335779417561</v>
      </c>
      <c r="AD15" s="13" t="n">
        <f aca="false">AD14-Reserves!AD14+Reserves!AD15</f>
        <v>16.4176745043792</v>
      </c>
      <c r="AE15" s="13" t="n">
        <f aca="false">AE14-Reserves!AE14+Reserves!AE15</f>
        <v>17.6448245254615</v>
      </c>
      <c r="AF15" s="13" t="n">
        <f aca="false">AF14-Reserves!AF14+Reserves!AF15</f>
        <v>19.4388506192228</v>
      </c>
      <c r="AG15" s="13" t="n">
        <f aca="false">AG14-Reserves!AG14+Reserves!AG15</f>
        <v>20.3115280323651</v>
      </c>
      <c r="AH15" s="13" t="n">
        <f aca="false">AH14-Reserves!AH14+Reserves!AH15</f>
        <v>23.0774262012577</v>
      </c>
      <c r="AI15" s="13" t="n">
        <f aca="false">AI14-Reserves!AI14+Reserves!AI15</f>
        <v>24.8351559916937</v>
      </c>
      <c r="AJ15" s="13" t="n">
        <f aca="false">AJ14-Reserves!AJ14+Reserves!AJ15</f>
        <v>28.6120654052201</v>
      </c>
      <c r="AK15" s="13" t="n">
        <f aca="false">AK14-Reserves!AK14+Reserves!AK15</f>
        <v>31.8897157033808</v>
      </c>
      <c r="AL15" s="13" t="n">
        <f aca="false">AL14-Reserves!AL14+Reserves!AL15</f>
        <v>29.7062841581408</v>
      </c>
      <c r="AM15" s="13" t="n">
        <f aca="false">AM14-Reserves!AM14+Reserves!AM15</f>
        <v>33.7676877727452</v>
      </c>
      <c r="AN15" s="13" t="n">
        <f aca="false">AN14-Reserves!AN14+Reserves!AN15</f>
        <v>23.5625680489029</v>
      </c>
      <c r="AO15" s="13" t="n">
        <f aca="false">AO14-Reserves!AO14+Reserves!AO15</f>
        <v>41.5947474858284</v>
      </c>
      <c r="AP15" s="13" t="n">
        <f aca="false">AP14-Reserves!AP14+Reserves!AP15</f>
        <v>41.6216377830038</v>
      </c>
      <c r="AQ15" s="13" t="n">
        <f aca="false">AQ14-Reserves!AQ14+Reserves!AQ15</f>
        <v>41.1745993340732</v>
      </c>
      <c r="AR15" s="13" t="n">
        <f aca="false">AR14-Reserves!AR14+Reserves!AR15</f>
        <v>41.770960831035</v>
      </c>
      <c r="AS15" s="13" t="n">
        <f aca="false">AS14-Reserves!AS14+Reserves!AS15</f>
        <v>41.5056129118261</v>
      </c>
      <c r="AT15" s="13" t="n">
        <f aca="false">AT14-Reserves!AT14+Reserves!AT15</f>
        <v>48.238693031292</v>
      </c>
      <c r="AU15" s="13" t="n">
        <f aca="false">AU14-Reserves!AU14+Reserves!AU15</f>
        <v>43.8015207396234</v>
      </c>
      <c r="AV15" s="13" t="n">
        <f aca="false">AV14-Reserves!AV14+Reserves!AV15</f>
        <v>43.9250195431293</v>
      </c>
      <c r="AW15" s="13" t="n">
        <f aca="false">AW14-Reserves!AW14+Reserves!AW15</f>
        <v>43.5006347551928</v>
      </c>
      <c r="AX15" s="13" t="n">
        <f aca="false">AX14-Reserves!AX14+Reserves!AX15</f>
        <v>44.1754747855326</v>
      </c>
      <c r="AY15" s="13" t="n">
        <f aca="false">AY14-Reserves!AY14+Reserves!AY15</f>
        <v>43.7185522989792</v>
      </c>
      <c r="AZ15" s="13" t="n">
        <f aca="false">AZ14-Reserves!AZ14+Reserves!AZ15</f>
        <v>44.3364424388821</v>
      </c>
      <c r="BA15" s="13" t="n">
        <f aca="false">BA14-Reserves!BA14+Reserves!BA15</f>
        <v>43.543829720821</v>
      </c>
      <c r="BB15" s="13" t="n">
        <f aca="false">BB14-Reserves!BB14+Reserves!BB15</f>
        <v>44.7848097266784</v>
      </c>
      <c r="BC15" s="13" t="n">
        <f aca="false">BC14-Reserves!BC14+Reserves!BC15</f>
        <v>41.3693070627511</v>
      </c>
      <c r="BD15" s="13" t="n">
        <f aca="false">BD14-Reserves!BD14+Reserves!BD15</f>
        <v>35.2535532770043</v>
      </c>
      <c r="BE15" s="13" t="n">
        <f aca="false">BE14-Reserves!BE14+Reserves!BE15</f>
        <v>34.8037917507731</v>
      </c>
      <c r="BF15" s="13" t="n">
        <f aca="false">BF14-Reserves!BF14+Reserves!BF15</f>
        <v>35.4911261343409</v>
      </c>
      <c r="BG15" s="13" t="n">
        <f aca="false">BG14-Reserves!BG14+Reserves!BG15</f>
        <v>35.0063413826083</v>
      </c>
      <c r="BH15" s="13" t="n">
        <f aca="false">BH14-Reserves!BH14+Reserves!BH15</f>
        <v>35.6301644713499</v>
      </c>
      <c r="BI15" s="13" t="n">
        <f aca="false">BI14-Reserves!BI14+Reserves!BI15</f>
        <v>35.3515331654512</v>
      </c>
      <c r="BJ15" s="13" t="n">
        <f aca="false">BJ14-Reserves!BJ14+Reserves!BJ15</f>
        <v>43.3576219239654</v>
      </c>
      <c r="BK15" s="13" t="n">
        <f aca="false">BK14-Reserves!BK14+Reserves!BK15</f>
        <v>38.0900629941884</v>
      </c>
      <c r="BL15" s="13" t="n">
        <f aca="false">BL14-Reserves!BL14+Reserves!BL15</f>
        <v>38.8201016869331</v>
      </c>
      <c r="BM15" s="13" t="n">
        <f aca="false">BM14-Reserves!BM14+Reserves!BM15</f>
        <v>54.8489876304097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837</v>
      </c>
    </row>
    <row r="17" customFormat="false" ht="15" hidden="false" customHeight="false" outlineLevel="0" collapsed="false">
      <c r="D17" s="0" t="s">
        <v>838</v>
      </c>
      <c r="E17" s="0" t="s">
        <v>202</v>
      </c>
      <c r="J17" s="6" t="n">
        <f aca="false">IF(Debt!J114&gt;Inputs!$F$253,J7/Debt!J114,0)</f>
        <v>0</v>
      </c>
      <c r="K17" s="6" t="n">
        <f aca="false">IF(Debt!K114&gt;Inputs!$F$253,K7/Debt!K114,0)</f>
        <v>0</v>
      </c>
      <c r="L17" s="6" t="n">
        <f aca="false">IF(Debt!L114&gt;Inputs!$F$253,L7/Debt!L114,0)</f>
        <v>0</v>
      </c>
      <c r="M17" s="6" t="n">
        <f aca="false">IF(Debt!M114&gt;Inputs!$F$253,M7/Debt!M114,0)</f>
        <v>0</v>
      </c>
      <c r="N17" s="6" t="n">
        <f aca="false">IF(Debt!N114&gt;Inputs!$F$253,N7/Debt!N114,0)</f>
        <v>0</v>
      </c>
      <c r="O17" s="6" t="n">
        <f aca="false">IF(Debt!O114&gt;Inputs!$F$253,O7/Debt!O114,0)</f>
        <v>0</v>
      </c>
      <c r="P17" s="6" t="n">
        <f aca="false">IF(Debt!P114&gt;Inputs!$F$253,P7/Debt!P114,0)</f>
        <v>1.35000000012097</v>
      </c>
      <c r="Q17" s="6" t="n">
        <f aca="false">IF(Debt!Q114&gt;Inputs!$F$253,Q7/Debt!Q114,0)</f>
        <v>0.13044488649608</v>
      </c>
      <c r="R17" s="6" t="n">
        <f aca="false">IF(Debt!R114&gt;Inputs!$F$253,R7/Debt!R114,0)</f>
        <v>1.36533056101947</v>
      </c>
      <c r="S17" s="6" t="n">
        <f aca="false">IF(Debt!S114&gt;Inputs!$F$253,S7/Debt!S114,0)</f>
        <v>2.54834585741322</v>
      </c>
      <c r="T17" s="6" t="n">
        <f aca="false">IF(Debt!T114&gt;Inputs!$F$253,T7/Debt!T114,0)</f>
        <v>1.3500000001224</v>
      </c>
      <c r="U17" s="6" t="n">
        <f aca="false">IF(Debt!U114&gt;Inputs!$F$253,U7/Debt!U114,0)</f>
        <v>1.350000000102</v>
      </c>
      <c r="V17" s="6" t="n">
        <f aca="false">IF(Debt!V114&gt;Inputs!$F$253,V7/Debt!V114,0)</f>
        <v>1.35000000011279</v>
      </c>
      <c r="W17" s="6" t="n">
        <f aca="false">IF(Debt!W114&gt;Inputs!$F$253,W7/Debt!W114,0)</f>
        <v>1.35000000008582</v>
      </c>
      <c r="X17" s="6" t="n">
        <f aca="false">IF(Debt!X114&gt;Inputs!$F$253,X7/Debt!X114,0)</f>
        <v>1.35000000010797</v>
      </c>
      <c r="Y17" s="6" t="n">
        <f aca="false">IF(Debt!Y114&gt;Inputs!$F$253,Y7/Debt!Y114,0)</f>
        <v>1.3500000000821</v>
      </c>
      <c r="Z17" s="6" t="n">
        <f aca="false">IF(Debt!Z114&gt;Inputs!$F$253,Z7/Debt!Z114,0)</f>
        <v>1.35000000009924</v>
      </c>
      <c r="AA17" s="6" t="n">
        <f aca="false">IF(Debt!AA114&gt;Inputs!$F$253,AA7/Debt!AA114,0)</f>
        <v>1.35000000007491</v>
      </c>
      <c r="AB17" s="6" t="n">
        <f aca="false">IF(Debt!AB114&gt;Inputs!$F$253,AB7/Debt!AB114,0)</f>
        <v>1.3740130614247</v>
      </c>
      <c r="AC17" s="6" t="n">
        <f aca="false">IF(Debt!AC114&gt;Inputs!$F$253,AC7/Debt!AC114,0)</f>
        <v>1.40425937166845</v>
      </c>
      <c r="AD17" s="6" t="n">
        <f aca="false">IF(Debt!AD114&gt;Inputs!$F$253,AD7/Debt!AD114,0)</f>
        <v>1.4357790568501</v>
      </c>
      <c r="AE17" s="6" t="n">
        <f aca="false">IF(Debt!AE114&gt;Inputs!$F$253,AE7/Debt!AE114,0)</f>
        <v>1.47760330661575</v>
      </c>
      <c r="AF17" s="6" t="n">
        <f aca="false">IF(Debt!AF114&gt;Inputs!$F$253,AF7/Debt!AF114,0)</f>
        <v>1.52985994365623</v>
      </c>
      <c r="AG17" s="6" t="n">
        <f aca="false">IF(Debt!AG114&gt;Inputs!$F$253,AG7/Debt!AG114,0)</f>
        <v>1.59948960877848</v>
      </c>
      <c r="AH17" s="6" t="n">
        <f aca="false">IF(Debt!AH114&gt;Inputs!$F$253,AH7/Debt!AH114,0)</f>
        <v>1.6849503087802</v>
      </c>
      <c r="AI17" s="6" t="n">
        <f aca="false">IF(Debt!AI114&gt;Inputs!$F$253,AI7/Debt!AI114,0)</f>
        <v>1.8056571148378</v>
      </c>
      <c r="AJ17" s="6" t="n">
        <f aca="false">IF(Debt!AJ114&gt;Inputs!$F$253,AJ7/Debt!AJ114,0)</f>
        <v>1.98226713136366</v>
      </c>
      <c r="AK17" s="6" t="n">
        <f aca="false">IF(Debt!AK114&gt;Inputs!$F$253,AK7/Debt!AK114,0)</f>
        <v>2.26498633044128</v>
      </c>
      <c r="AL17" s="6" t="n">
        <f aca="false">IF(Debt!AL114&gt;Inputs!$F$253,AL7/Debt!AL114,0)</f>
        <v>2.24658372766575</v>
      </c>
      <c r="AM17" s="6" t="n">
        <f aca="false">IF(Debt!AM114&gt;Inputs!$F$253,AM7/Debt!AM114,0)</f>
        <v>2.2444333651141</v>
      </c>
      <c r="AN17" s="6" t="n">
        <f aca="false">IF(Debt!AN114&gt;Inputs!$F$253,AN7/Debt!AN114,0)</f>
        <v>2.21975943418688</v>
      </c>
      <c r="AO17" s="6" t="n">
        <f aca="false">IF(Debt!AO114&gt;Inputs!$F$253,AO7/Debt!AO114,0)</f>
        <v>2.20009258698994</v>
      </c>
      <c r="AP17" s="6" t="n">
        <f aca="false">IF(Debt!AP114&gt;Inputs!$F$253,AP7/Debt!AP114,0)</f>
        <v>0</v>
      </c>
      <c r="AQ17" s="6" t="n">
        <f aca="false">IF(Debt!AQ114&gt;Inputs!$F$253,AQ7/Debt!AQ114,0)</f>
        <v>0</v>
      </c>
      <c r="AR17" s="6" t="n">
        <f aca="false">IF(Debt!AR114&gt;Inputs!$F$253,AR7/Debt!AR114,0)</f>
        <v>0</v>
      </c>
      <c r="AS17" s="6" t="n">
        <f aca="false">IF(Debt!AS114&gt;Inputs!$F$253,AS7/Debt!AS114,0)</f>
        <v>0</v>
      </c>
      <c r="AT17" s="6" t="n">
        <f aca="false">IF(Debt!AT114&gt;Inputs!$F$253,AT7/Debt!AT114,0)</f>
        <v>0</v>
      </c>
      <c r="AU17" s="6" t="n">
        <f aca="false">IF(Debt!AU114&gt;Inputs!$F$253,AU7/Debt!AU114,0)</f>
        <v>0</v>
      </c>
      <c r="AV17" s="6" t="n">
        <f aca="false">IF(Debt!AV114&gt;Inputs!$F$253,AV7/Debt!AV114,0)</f>
        <v>0</v>
      </c>
      <c r="AW17" s="6" t="n">
        <f aca="false">IF(Debt!AW114&gt;Inputs!$F$253,AW7/Debt!AW114,0)</f>
        <v>0</v>
      </c>
      <c r="AX17" s="6" t="n">
        <f aca="false">IF(Debt!AX114&gt;Inputs!$F$253,AX7/Debt!AX114,0)</f>
        <v>0</v>
      </c>
      <c r="AY17" s="6" t="n">
        <f aca="false">IF(Debt!AY114&gt;Inputs!$F$253,AY7/Debt!AY114,0)</f>
        <v>0</v>
      </c>
      <c r="AZ17" s="6" t="n">
        <f aca="false">IF(Debt!AZ114&gt;Inputs!$F$253,AZ7/Debt!AZ114,0)</f>
        <v>0</v>
      </c>
      <c r="BA17" s="6" t="n">
        <f aca="false">IF(Debt!BA114&gt;Inputs!$F$253,BA7/Debt!BA114,0)</f>
        <v>0</v>
      </c>
      <c r="BB17" s="6" t="n">
        <f aca="false">IF(Debt!BB114&gt;Inputs!$F$253,BB7/Debt!BB114,0)</f>
        <v>0</v>
      </c>
      <c r="BC17" s="6" t="n">
        <f aca="false">IF(Debt!BC114&gt;Inputs!$F$253,BC7/Debt!BC114,0)</f>
        <v>0</v>
      </c>
      <c r="BD17" s="6" t="n">
        <f aca="false">IF(Debt!BD114&gt;Inputs!$F$253,BD7/Debt!BD114,0)</f>
        <v>0</v>
      </c>
      <c r="BE17" s="6" t="n">
        <f aca="false">IF(Debt!BE114&gt;Inputs!$F$253,BE7/Debt!BE114,0)</f>
        <v>0</v>
      </c>
      <c r="BF17" s="6" t="n">
        <f aca="false">IF(Debt!BF114&gt;Inputs!$F$253,BF7/Debt!BF114,0)</f>
        <v>0</v>
      </c>
      <c r="BG17" s="6" t="n">
        <f aca="false">IF(Debt!BG114&gt;Inputs!$F$253,BG7/Debt!BG114,0)</f>
        <v>0</v>
      </c>
      <c r="BH17" s="6" t="n">
        <f aca="false">IF(Debt!BH114&gt;Inputs!$F$253,BH7/Debt!BH114,0)</f>
        <v>0</v>
      </c>
      <c r="BI17" s="6" t="n">
        <f aca="false">IF(Debt!BI114&gt;Inputs!$F$253,BI7/Debt!BI114,0)</f>
        <v>0</v>
      </c>
      <c r="BJ17" s="6" t="n">
        <f aca="false">IF(Debt!BJ114&gt;Inputs!$F$253,BJ7/Debt!BJ114,0)</f>
        <v>0</v>
      </c>
      <c r="BK17" s="6" t="n">
        <f aca="false">IF(Debt!BK114&gt;Inputs!$F$253,BK7/Debt!BK114,0)</f>
        <v>0</v>
      </c>
      <c r="BL17" s="6" t="n">
        <f aca="false">IF(Debt!BL114&gt;Inputs!$F$253,BL7/Debt!BL114,0)</f>
        <v>0</v>
      </c>
      <c r="BM17" s="6" t="n">
        <f aca="false">IF(Debt!BM114&gt;Inputs!$F$253,BM7/Debt!BM114,0)</f>
        <v>0</v>
      </c>
      <c r="BN17" s="6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839</v>
      </c>
      <c r="E18" s="0" t="s">
        <v>202</v>
      </c>
      <c r="J18" s="6" t="n">
        <f aca="false">IF(Debt!J114&gt;Inputs!$F$253,IF(Debt!I114&gt;Inputs!$F$253,(J7+I7)/(Debt!J114+Debt!I114),J17),0)</f>
        <v>0</v>
      </c>
      <c r="K18" s="6" t="n">
        <f aca="false">IF(Debt!K114&gt;Inputs!$F$253,IF(Debt!J114&gt;Inputs!$F$253,(K7+J7)/(Debt!K114+Debt!J114),K17),0)</f>
        <v>0</v>
      </c>
      <c r="L18" s="6" t="n">
        <f aca="false">IF(Debt!L114&gt;Inputs!$F$253,IF(Debt!K114&gt;Inputs!$F$253,(L7+K7)/(Debt!L114+Debt!K114),L17),0)</f>
        <v>0</v>
      </c>
      <c r="M18" s="6" t="n">
        <f aca="false">IF(Debt!M114&gt;Inputs!$F$253,IF(Debt!L114&gt;Inputs!$F$253,(M7+L7)/(Debt!M114+Debt!L114),M17),0)</f>
        <v>0</v>
      </c>
      <c r="N18" s="6" t="n">
        <f aca="false">IF(Debt!N114&gt;Inputs!$F$253,IF(Debt!M114&gt;Inputs!$F$253,(N7+M7)/(Debt!N114+Debt!M114),N17),0)</f>
        <v>0</v>
      </c>
      <c r="O18" s="6" t="n">
        <f aca="false">IF(Debt!O114&gt;Inputs!$F$253,IF(Debt!N114&gt;Inputs!$F$253,(O7+N7)/(Debt!O114+Debt!N114),O17),0)</f>
        <v>0</v>
      </c>
      <c r="P18" s="6" t="n">
        <f aca="false">IF(Debt!P114&gt;Inputs!$F$253,IF(Debt!O114&gt;Inputs!$F$253,(P7+O7)/(Debt!P114+Debt!O114),P17),0)</f>
        <v>1.35000000012097</v>
      </c>
      <c r="Q18" s="6" t="n">
        <f aca="false">IF(Debt!Q114&gt;Inputs!$F$253,IF(Debt!P114&gt;Inputs!$F$253,(Q7+P7)/(Debt!Q114+Debt!P114),Q17),0)</f>
        <v>0.74095086114981</v>
      </c>
      <c r="R18" s="6" t="n">
        <f aca="false">IF(Debt!R114&gt;Inputs!$F$253,IF(Debt!Q114&gt;Inputs!$F$253,(R7+Q7)/(Debt!R114+Debt!Q114),R17),0)</f>
        <v>0.751749898587668</v>
      </c>
      <c r="S18" s="6" t="n">
        <f aca="false">IF(Debt!S114&gt;Inputs!$F$253,IF(Debt!R114&gt;Inputs!$F$253,(S7+R7)/(Debt!S114+Debt!R114),S17),0)</f>
        <v>1.9545381472508</v>
      </c>
      <c r="T18" s="6" t="n">
        <f aca="false">IF(Debt!T114&gt;Inputs!$F$253,IF(Debt!S114&gt;Inputs!$F$253,(T7+S7)/(Debt!T114+Debt!S114),T17),0)</f>
        <v>1.94583805359304</v>
      </c>
      <c r="U18" s="6" t="n">
        <f aca="false">IF(Debt!U114&gt;Inputs!$F$253,IF(Debt!T114&gt;Inputs!$F$253,(U7+T7)/(Debt!U114+Debt!T114),U17),0)</f>
        <v>1.35000000011222</v>
      </c>
      <c r="V18" s="6" t="n">
        <f aca="false">IF(Debt!V114&gt;Inputs!$F$253,IF(Debt!U114&gt;Inputs!$F$253,(V7+U7)/(Debt!V114+Debt!U114),V17),0)</f>
        <v>1.35000000010744</v>
      </c>
      <c r="W18" s="6" t="n">
        <f aca="false">IF(Debt!W114&gt;Inputs!$F$253,IF(Debt!V114&gt;Inputs!$F$253,(W7+V7)/(Debt!W114+Debt!V114),W17),0)</f>
        <v>1.35000000009935</v>
      </c>
      <c r="X18" s="6" t="n">
        <f aca="false">IF(Debt!X114&gt;Inputs!$F$253,IF(Debt!W114&gt;Inputs!$F$253,(X7+W7)/(Debt!X114+Debt!W114),X17),0)</f>
        <v>1.35000000009673</v>
      </c>
      <c r="Y18" s="6" t="n">
        <f aca="false">IF(Debt!Y114&gt;Inputs!$F$253,IF(Debt!X114&gt;Inputs!$F$253,(Y7+X7)/(Debt!Y114+Debt!X114),Y17),0)</f>
        <v>1.3500000000951</v>
      </c>
      <c r="Z18" s="6" t="n">
        <f aca="false">IF(Debt!Z114&gt;Inputs!$F$253,IF(Debt!Y114&gt;Inputs!$F$253,(Z7+Y7)/(Debt!Z114+Debt!Y114),Z17),0)</f>
        <v>1.35000000009071</v>
      </c>
      <c r="AA18" s="6" t="n">
        <f aca="false">IF(Debt!AA114&gt;Inputs!$F$253,IF(Debt!Z114&gt;Inputs!$F$253,(AA7+Z7)/(Debt!AA114+Debt!Z114),AA17),0)</f>
        <v>1.35000000008713</v>
      </c>
      <c r="AB18" s="6" t="n">
        <f aca="false">IF(Debt!AB114&gt;Inputs!$F$253,IF(Debt!AA114&gt;Inputs!$F$253,(AB7+AA7)/(Debt!AB114+Debt!AA114),AB17),0)</f>
        <v>1.36197092954693</v>
      </c>
      <c r="AC18" s="6" t="n">
        <f aca="false">IF(Debt!AC114&gt;Inputs!$F$253,IF(Debt!AB114&gt;Inputs!$F$253,(AC7+AB7)/(Debt!AC114+Debt!AB114),AC17),0)</f>
        <v>1.38894049251316</v>
      </c>
      <c r="AD18" s="6" t="n">
        <f aca="false">IF(Debt!AD114&gt;Inputs!$F$253,IF(Debt!AC114&gt;Inputs!$F$253,(AD7+AC7)/(Debt!AD114+Debt!AC114),AD17),0)</f>
        <v>1.42014131699106</v>
      </c>
      <c r="AE18" s="6" t="n">
        <f aca="false">IF(Debt!AE114&gt;Inputs!$F$253,IF(Debt!AD114&gt;Inputs!$F$253,(AE7+AD7)/(Debt!AE114+Debt!AD114),AE17),0)</f>
        <v>1.45640780937585</v>
      </c>
      <c r="AF18" s="6" t="n">
        <f aca="false">IF(Debt!AF114&gt;Inputs!$F$253,IF(Debt!AE114&gt;Inputs!$F$253,(AF7+AE7)/(Debt!AF114+Debt!AE114),AF17),0)</f>
        <v>1.50331816476934</v>
      </c>
      <c r="AG18" s="6" t="n">
        <f aca="false">IF(Debt!AG114&gt;Inputs!$F$253,IF(Debt!AF114&gt;Inputs!$F$253,(AG7+AF7)/(Debt!AG114+Debt!AF114),AG17),0)</f>
        <v>1.56377654796976</v>
      </c>
      <c r="AH18" s="6" t="n">
        <f aca="false">IF(Debt!AH114&gt;Inputs!$F$253,IF(Debt!AG114&gt;Inputs!$F$253,(AH7+AG7)/(Debt!AH114+Debt!AG114),AH17),0)</f>
        <v>1.64138371073312</v>
      </c>
      <c r="AI18" s="6" t="n">
        <f aca="false">IF(Debt!AI114&gt;Inputs!$F$253,IF(Debt!AH114&gt;Inputs!$F$253,(AI7+AH7)/(Debt!AI114+Debt!AH114),AI17),0)</f>
        <v>1.74298051774192</v>
      </c>
      <c r="AJ18" s="6" t="n">
        <f aca="false">IF(Debt!AJ114&gt;Inputs!$F$253,IF(Debt!AI114&gt;Inputs!$F$253,(AJ7+AI7)/(Debt!AJ114+Debt!AI114),AJ17),0)</f>
        <v>1.8903535824536</v>
      </c>
      <c r="AK18" s="6" t="n">
        <f aca="false">IF(Debt!AK114&gt;Inputs!$F$253,IF(Debt!AJ114&gt;Inputs!$F$253,(AK7+AJ7)/(Debt!AK114+Debt!AJ114),AK17),0)</f>
        <v>2.11389674817262</v>
      </c>
      <c r="AL18" s="6" t="n">
        <f aca="false">IF(Debt!AL114&gt;Inputs!$F$253,IF(Debt!AK114&gt;Inputs!$F$253,(AL7+AK7)/(Debt!AL114+Debt!AK114),AL17),0)</f>
        <v>2.25565054699781</v>
      </c>
      <c r="AM18" s="6" t="n">
        <f aca="false">IF(Debt!AM114&gt;Inputs!$F$253,IF(Debt!AL114&gt;Inputs!$F$253,(AM7+AL7)/(Debt!AM114+Debt!AL114),AM17),0)</f>
        <v>2.24551183783143</v>
      </c>
      <c r="AN18" s="6" t="n">
        <f aca="false">IF(Debt!AN114&gt;Inputs!$F$253,IF(Debt!AM114&gt;Inputs!$F$253,(AN7+AM7)/(Debt!AN114+Debt!AM114),AN17),0)</f>
        <v>2.23337838618947</v>
      </c>
      <c r="AO18" s="6" t="n">
        <f aca="false">IF(Debt!AO114&gt;Inputs!$F$253,IF(Debt!AN114&gt;Inputs!$F$253,(AO7+AN7)/(Debt!AO114+Debt!AN114),AO17),0)</f>
        <v>2.20998446358143</v>
      </c>
      <c r="AP18" s="6" t="n">
        <f aca="false">IF(Debt!AP114&gt;Inputs!$F$253,IF(Debt!AO114&gt;Inputs!$F$253,(AP7+AO7)/(Debt!AP114+Debt!AO114),AP17),0)</f>
        <v>0</v>
      </c>
      <c r="AQ18" s="6" t="n">
        <f aca="false">IF(Debt!AQ114&gt;Inputs!$F$253,IF(Debt!AP114&gt;Inputs!$F$253,(AQ7+AP7)/(Debt!AQ114+Debt!AP114),AQ17),0)</f>
        <v>0</v>
      </c>
      <c r="AR18" s="6" t="n">
        <f aca="false">IF(Debt!AR114&gt;Inputs!$F$253,IF(Debt!AQ114&gt;Inputs!$F$253,(AR7+AQ7)/(Debt!AR114+Debt!AQ114),AR17),0)</f>
        <v>0</v>
      </c>
      <c r="AS18" s="6" t="n">
        <f aca="false">IF(Debt!AS114&gt;Inputs!$F$253,IF(Debt!AR114&gt;Inputs!$F$253,(AS7+AR7)/(Debt!AS114+Debt!AR114),AS17),0)</f>
        <v>0</v>
      </c>
      <c r="AT18" s="6" t="n">
        <f aca="false">IF(Debt!AT114&gt;Inputs!$F$253,IF(Debt!AS114&gt;Inputs!$F$253,(AT7+AS7)/(Debt!AT114+Debt!AS114),AT17),0)</f>
        <v>0</v>
      </c>
      <c r="AU18" s="6" t="n">
        <f aca="false">IF(Debt!AU114&gt;Inputs!$F$253,IF(Debt!AT114&gt;Inputs!$F$253,(AU7+AT7)/(Debt!AU114+Debt!AT114),AU17),0)</f>
        <v>0</v>
      </c>
      <c r="AV18" s="6" t="n">
        <f aca="false">IF(Debt!AV114&gt;Inputs!$F$253,IF(Debt!AU114&gt;Inputs!$F$253,(AV7+AU7)/(Debt!AV114+Debt!AU114),AV17),0)</f>
        <v>0</v>
      </c>
      <c r="AW18" s="6" t="n">
        <f aca="false">IF(Debt!AW114&gt;Inputs!$F$253,IF(Debt!AV114&gt;Inputs!$F$253,(AW7+AV7)/(Debt!AW114+Debt!AV114),AW17),0)</f>
        <v>0</v>
      </c>
      <c r="AX18" s="6" t="n">
        <f aca="false">IF(Debt!AX114&gt;Inputs!$F$253,IF(Debt!AW114&gt;Inputs!$F$253,(AX7+AW7)/(Debt!AX114+Debt!AW114),AX17),0)</f>
        <v>0</v>
      </c>
      <c r="AY18" s="6" t="n">
        <f aca="false">IF(Debt!AY114&gt;Inputs!$F$253,IF(Debt!AX114&gt;Inputs!$F$253,(AY7+AX7)/(Debt!AY114+Debt!AX114),AY17),0)</f>
        <v>0</v>
      </c>
      <c r="AZ18" s="6" t="n">
        <f aca="false">IF(Debt!AZ114&gt;Inputs!$F$253,IF(Debt!AY114&gt;Inputs!$F$253,(AZ7+AY7)/(Debt!AZ114+Debt!AY114),AZ17),0)</f>
        <v>0</v>
      </c>
      <c r="BA18" s="6" t="n">
        <f aca="false">IF(Debt!BA114&gt;Inputs!$F$253,IF(Debt!AZ114&gt;Inputs!$F$253,(BA7+AZ7)/(Debt!BA114+Debt!AZ114),BA17),0)</f>
        <v>0</v>
      </c>
      <c r="BB18" s="6" t="n">
        <f aca="false">IF(Debt!BB114&gt;Inputs!$F$253,IF(Debt!BA114&gt;Inputs!$F$253,(BB7+BA7)/(Debt!BB114+Debt!BA114),BB17),0)</f>
        <v>0</v>
      </c>
      <c r="BC18" s="6" t="n">
        <f aca="false">IF(Debt!BC114&gt;Inputs!$F$253,IF(Debt!BB114&gt;Inputs!$F$253,(BC7+BB7)/(Debt!BC114+Debt!BB114),BC17),0)</f>
        <v>0</v>
      </c>
      <c r="BD18" s="6" t="n">
        <f aca="false">IF(Debt!BD114&gt;Inputs!$F$253,IF(Debt!BC114&gt;Inputs!$F$253,(BD7+BC7)/(Debt!BD114+Debt!BC114),BD17),0)</f>
        <v>0</v>
      </c>
      <c r="BE18" s="6" t="n">
        <f aca="false">IF(Debt!BE114&gt;Inputs!$F$253,IF(Debt!BD114&gt;Inputs!$F$253,(BE7+BD7)/(Debt!BE114+Debt!BD114),BE17),0)</f>
        <v>0</v>
      </c>
      <c r="BF18" s="6" t="n">
        <f aca="false">IF(Debt!BF114&gt;Inputs!$F$253,IF(Debt!BE114&gt;Inputs!$F$253,(BF7+BE7)/(Debt!BF114+Debt!BE114),BF17),0)</f>
        <v>0</v>
      </c>
      <c r="BG18" s="6" t="n">
        <f aca="false">IF(Debt!BG114&gt;Inputs!$F$253,IF(Debt!BF114&gt;Inputs!$F$253,(BG7+BF7)/(Debt!BG114+Debt!BF114),BG17),0)</f>
        <v>0</v>
      </c>
      <c r="BH18" s="6" t="n">
        <f aca="false">IF(Debt!BH114&gt;Inputs!$F$253,IF(Debt!BG114&gt;Inputs!$F$253,(BH7+BG7)/(Debt!BH114+Debt!BG114),BH17),0)</f>
        <v>0</v>
      </c>
      <c r="BI18" s="6" t="n">
        <f aca="false">IF(Debt!BI114&gt;Inputs!$F$253,IF(Debt!BH114&gt;Inputs!$F$253,(BI7+BH7)/(Debt!BI114+Debt!BH114),BI17),0)</f>
        <v>0</v>
      </c>
      <c r="BJ18" s="6" t="n">
        <f aca="false">IF(Debt!BJ114&gt;Inputs!$F$253,IF(Debt!BI114&gt;Inputs!$F$253,(BJ7+BI7)/(Debt!BJ114+Debt!BI114),BJ17),0)</f>
        <v>0</v>
      </c>
      <c r="BK18" s="6" t="n">
        <f aca="false">IF(Debt!BK114&gt;Inputs!$F$253,IF(Debt!BJ114&gt;Inputs!$F$253,(BK7+BJ7)/(Debt!BK114+Debt!BJ114),BK17),0)</f>
        <v>0</v>
      </c>
      <c r="BL18" s="6" t="n">
        <f aca="false">IF(Debt!BL114&gt;Inputs!$F$253,IF(Debt!BK114&gt;Inputs!$F$253,(BL7+BK7)/(Debt!BL114+Debt!BK114),BL17),0)</f>
        <v>0</v>
      </c>
      <c r="BM18" s="6" t="n">
        <f aca="false">IF(Debt!BM114&gt;Inputs!$F$253,IF(Debt!BL114&gt;Inputs!$F$253,(BM7+BL7)/(Debt!BM114+Debt!BL114),BM17),0)</f>
        <v>0</v>
      </c>
      <c r="BN18" s="6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840</v>
      </c>
      <c r="E19" s="0" t="s">
        <v>113</v>
      </c>
      <c r="J19" s="10" t="n">
        <f aca="false">IF(SUM(Debt!J$113:J$113)&gt;Inputs!$F$253,1,0)</f>
        <v>0</v>
      </c>
      <c r="K19" s="10" t="n">
        <f aca="false">IF(SUM(Debt!$J$113:K$113)&gt;Inputs!$F$253,1,0)</f>
        <v>0</v>
      </c>
      <c r="L19" s="10" t="n">
        <f aca="false">IF(SUM(Debt!$J$113:L$113)&gt;Inputs!$F$253,1,0)</f>
        <v>0</v>
      </c>
      <c r="M19" s="10" t="n">
        <f aca="false">IF(SUM(Debt!$J$113:M$113)&gt;Inputs!$F$253,1,0)</f>
        <v>0</v>
      </c>
      <c r="N19" s="10" t="n">
        <f aca="false">IF(SUM(Debt!$J$113:N$113)&gt;Inputs!$F$253,1,0)</f>
        <v>0</v>
      </c>
      <c r="O19" s="10" t="n">
        <f aca="false">IF(SUM(Debt!$J$113:O$113)&gt;Inputs!$F$253,1,0)</f>
        <v>0</v>
      </c>
      <c r="P19" s="10" t="n">
        <f aca="false">IF(SUM(Debt!$J$113:P$113)&gt;Inputs!$F$253,1,0)</f>
        <v>1</v>
      </c>
      <c r="Q19" s="10" t="n">
        <f aca="false">IF(SUM(Debt!$J$113:Q$113)&gt;Inputs!$F$253,1,0)</f>
        <v>1</v>
      </c>
      <c r="R19" s="10" t="n">
        <f aca="false">IF(SUM(Debt!$J$113:R$113)&gt;Inputs!$F$253,1,0)</f>
        <v>1</v>
      </c>
      <c r="S19" s="10" t="n">
        <f aca="false">IF(SUM(Debt!$J$113:S$113)&gt;Inputs!$F$253,1,0)</f>
        <v>1</v>
      </c>
      <c r="T19" s="10" t="n">
        <f aca="false">IF(SUM(Debt!$J$113:T$113)&gt;Inputs!$F$253,1,0)</f>
        <v>1</v>
      </c>
      <c r="U19" s="10" t="n">
        <f aca="false">IF(SUM(Debt!$J$113:U$113)&gt;Inputs!$F$253,1,0)</f>
        <v>1</v>
      </c>
      <c r="V19" s="10" t="n">
        <f aca="false">IF(SUM(Debt!$J$113:V$113)&gt;Inputs!$F$253,1,0)</f>
        <v>1</v>
      </c>
      <c r="W19" s="10" t="n">
        <f aca="false">IF(SUM(Debt!$J$113:W$113)&gt;Inputs!$F$253,1,0)</f>
        <v>1</v>
      </c>
      <c r="X19" s="10" t="n">
        <f aca="false">IF(SUM(Debt!$J$113:X$113)&gt;Inputs!$F$253,1,0)</f>
        <v>1</v>
      </c>
      <c r="Y19" s="10" t="n">
        <f aca="false">IF(SUM(Debt!$J$113:Y$113)&gt;Inputs!$F$253,1,0)</f>
        <v>1</v>
      </c>
      <c r="Z19" s="10" t="n">
        <f aca="false">IF(SUM(Debt!$J$113:Z$113)&gt;Inputs!$F$253,1,0)</f>
        <v>1</v>
      </c>
      <c r="AA19" s="10" t="n">
        <f aca="false">IF(SUM(Debt!$J$113:AA$113)&gt;Inputs!$F$253,1,0)</f>
        <v>1</v>
      </c>
      <c r="AB19" s="10" t="n">
        <f aca="false">IF(SUM(Debt!$J$113:AB$113)&gt;Inputs!$F$253,1,0)</f>
        <v>1</v>
      </c>
      <c r="AC19" s="10" t="n">
        <f aca="false">IF(SUM(Debt!$J$113:AC$113)&gt;Inputs!$F$253,1,0)</f>
        <v>1</v>
      </c>
      <c r="AD19" s="10" t="n">
        <f aca="false">IF(SUM(Debt!$J$113:AD$113)&gt;Inputs!$F$253,1,0)</f>
        <v>1</v>
      </c>
      <c r="AE19" s="10" t="n">
        <f aca="false">IF(SUM(Debt!$J$113:AE$113)&gt;Inputs!$F$253,1,0)</f>
        <v>1</v>
      </c>
      <c r="AF19" s="10" t="n">
        <f aca="false">IF(SUM(Debt!$J$113:AF$113)&gt;Inputs!$F$253,1,0)</f>
        <v>1</v>
      </c>
      <c r="AG19" s="10" t="n">
        <f aca="false">IF(SUM(Debt!$J$113:AG$113)&gt;Inputs!$F$253,1,0)</f>
        <v>1</v>
      </c>
      <c r="AH19" s="10" t="n">
        <f aca="false">IF(SUM(Debt!$J$113:AH$113)&gt;Inputs!$F$253,1,0)</f>
        <v>1</v>
      </c>
      <c r="AI19" s="10" t="n">
        <f aca="false">IF(SUM(Debt!$J$113:AI$113)&gt;Inputs!$F$253,1,0)</f>
        <v>1</v>
      </c>
      <c r="AJ19" s="10" t="n">
        <f aca="false">IF(SUM(Debt!$J$113:AJ$113)&gt;Inputs!$F$253,1,0)</f>
        <v>1</v>
      </c>
      <c r="AK19" s="10" t="n">
        <f aca="false">IF(SUM(Debt!$J$113:AK$113)&gt;Inputs!$F$253,1,0)</f>
        <v>1</v>
      </c>
      <c r="AL19" s="10" t="n">
        <f aca="false">IF(SUM(Debt!$J$113:AL$113)&gt;Inputs!$F$253,1,0)</f>
        <v>1</v>
      </c>
      <c r="AM19" s="10" t="n">
        <f aca="false">IF(SUM(Debt!$J$113:AM$113)&gt;Inputs!$F$253,1,0)</f>
        <v>1</v>
      </c>
      <c r="AN19" s="10" t="n">
        <f aca="false">IF(SUM(Debt!$J$113:AN$113)&gt;Inputs!$F$253,1,0)</f>
        <v>1</v>
      </c>
      <c r="AO19" s="10" t="n">
        <f aca="false">IF(SUM(Debt!$J$113:AO$113)&gt;Inputs!$F$253,1,0)</f>
        <v>1</v>
      </c>
      <c r="AP19" s="10" t="n">
        <f aca="false">IF(SUM(Debt!$J$113:AP$113)&gt;Inputs!$F$253,1,0)</f>
        <v>1</v>
      </c>
      <c r="AQ19" s="10" t="n">
        <f aca="false">IF(SUM(Debt!$J$113:AQ$113)&gt;Inputs!$F$253,1,0)</f>
        <v>1</v>
      </c>
      <c r="AR19" s="10" t="n">
        <f aca="false">IF(SUM(Debt!$J$113:AR$113)&gt;Inputs!$F$253,1,0)</f>
        <v>1</v>
      </c>
      <c r="AS19" s="10" t="n">
        <f aca="false">IF(SUM(Debt!$J$113:AS$113)&gt;Inputs!$F$253,1,0)</f>
        <v>1</v>
      </c>
      <c r="AT19" s="10" t="n">
        <f aca="false">IF(SUM(Debt!$J$113:AT$113)&gt;Inputs!$F$253,1,0)</f>
        <v>1</v>
      </c>
      <c r="AU19" s="10" t="n">
        <f aca="false">IF(SUM(Debt!$J$113:AU$113)&gt;Inputs!$F$253,1,0)</f>
        <v>1</v>
      </c>
      <c r="AV19" s="10" t="n">
        <f aca="false">IF(SUM(Debt!$J$113:AV$113)&gt;Inputs!$F$253,1,0)</f>
        <v>1</v>
      </c>
      <c r="AW19" s="10" t="n">
        <f aca="false">IF(SUM(Debt!$J$113:AW$113)&gt;Inputs!$F$253,1,0)</f>
        <v>1</v>
      </c>
      <c r="AX19" s="10" t="n">
        <f aca="false">IF(SUM(Debt!$J$113:AX$113)&gt;Inputs!$F$253,1,0)</f>
        <v>1</v>
      </c>
      <c r="AY19" s="10" t="n">
        <f aca="false">IF(SUM(Debt!$J$113:AY$113)&gt;Inputs!$F$253,1,0)</f>
        <v>1</v>
      </c>
      <c r="AZ19" s="10" t="n">
        <f aca="false">IF(SUM(Debt!$J$113:AZ$113)&gt;Inputs!$F$253,1,0)</f>
        <v>1</v>
      </c>
      <c r="BA19" s="10" t="n">
        <f aca="false">IF(SUM(Debt!$J$113:BA$113)&gt;Inputs!$F$253,1,0)</f>
        <v>1</v>
      </c>
      <c r="BB19" s="10" t="n">
        <f aca="false">IF(SUM(Debt!$J$113:BB$113)&gt;Inputs!$F$253,1,0)</f>
        <v>1</v>
      </c>
      <c r="BC19" s="10" t="n">
        <f aca="false">IF(SUM(Debt!$J$113:BC$113)&gt;Inputs!$F$253,1,0)</f>
        <v>1</v>
      </c>
      <c r="BD19" s="10" t="n">
        <f aca="false">IF(SUM(Debt!$J$113:BD$113)&gt;Inputs!$F$253,1,0)</f>
        <v>1</v>
      </c>
      <c r="BE19" s="10" t="n">
        <f aca="false">IF(SUM(Debt!$J$113:BE$113)&gt;Inputs!$F$253,1,0)</f>
        <v>1</v>
      </c>
      <c r="BF19" s="10" t="n">
        <f aca="false">IF(SUM(Debt!$J$113:BF$113)&gt;Inputs!$F$253,1,0)</f>
        <v>1</v>
      </c>
      <c r="BG19" s="10" t="n">
        <f aca="false">IF(SUM(Debt!$J$113:BG$113)&gt;Inputs!$F$253,1,0)</f>
        <v>1</v>
      </c>
      <c r="BH19" s="10" t="n">
        <f aca="false">IF(SUM(Debt!$J$113:BH$113)&gt;Inputs!$F$253,1,0)</f>
        <v>1</v>
      </c>
      <c r="BI19" s="10" t="n">
        <f aca="false">IF(SUM(Debt!$J$113:BI$113)&gt;Inputs!$F$253,1,0)</f>
        <v>1</v>
      </c>
      <c r="BJ19" s="10" t="n">
        <f aca="false">IF(SUM(Debt!$J$113:BJ$113)&gt;Inputs!$F$253,1,0)</f>
        <v>1</v>
      </c>
      <c r="BK19" s="10" t="n">
        <f aca="false">IF(SUM(Debt!$J$113:BK$113)&gt;Inputs!$F$253,1,0)</f>
        <v>1</v>
      </c>
      <c r="BL19" s="10" t="n">
        <f aca="false">IF(SUM(Debt!$J$113:BL$113)&gt;Inputs!$F$253,1,0)</f>
        <v>1</v>
      </c>
      <c r="BM19" s="10" t="n">
        <f aca="false">IF(SUM(Debt!$J$113:BM$113)&gt;Inputs!$F$253,1,0)</f>
        <v>1</v>
      </c>
      <c r="BN19" s="10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841</v>
      </c>
      <c r="E20" s="0" t="s">
        <v>113</v>
      </c>
      <c r="J20" s="10" t="n">
        <f aca="false">IF(AND(Debt!J114&gt;Inputs!$F$253,J18&lt;Inputs!$F$109),1,0)</f>
        <v>0</v>
      </c>
      <c r="K20" s="10" t="n">
        <f aca="false">IF(AND(Debt!K114&gt;Inputs!$F$253,K18&lt;Inputs!$F$109),1,0)</f>
        <v>0</v>
      </c>
      <c r="L20" s="10" t="n">
        <f aca="false">IF(AND(Debt!L114&gt;Inputs!$F$253,L18&lt;Inputs!$F$109),1,0)</f>
        <v>0</v>
      </c>
      <c r="M20" s="10" t="n">
        <f aca="false">IF(AND(Debt!M114&gt;Inputs!$F$253,M18&lt;Inputs!$F$109),1,0)</f>
        <v>0</v>
      </c>
      <c r="N20" s="10" t="n">
        <f aca="false">IF(AND(Debt!N114&gt;Inputs!$F$253,N18&lt;Inputs!$F$109),1,0)</f>
        <v>0</v>
      </c>
      <c r="O20" s="10" t="n">
        <f aca="false">IF(AND(Debt!O114&gt;Inputs!$F$253,O18&lt;Inputs!$F$109),1,0)</f>
        <v>0</v>
      </c>
      <c r="P20" s="10" t="n">
        <f aca="false">IF(AND(Debt!P114&gt;Inputs!$F$253,P18&lt;Inputs!$F$109),1,0)</f>
        <v>0</v>
      </c>
      <c r="Q20" s="10" t="n">
        <f aca="false">IF(AND(Debt!Q114&gt;Inputs!$F$253,Q18&lt;Inputs!$F$109),1,0)</f>
        <v>1</v>
      </c>
      <c r="R20" s="10" t="n">
        <f aca="false">IF(AND(Debt!R114&gt;Inputs!$F$253,R18&lt;Inputs!$F$109),1,0)</f>
        <v>1</v>
      </c>
      <c r="S20" s="10" t="n">
        <f aca="false">IF(AND(Debt!S114&gt;Inputs!$F$253,S18&lt;Inputs!$F$109),1,0)</f>
        <v>0</v>
      </c>
      <c r="T20" s="10" t="n">
        <f aca="false">IF(AND(Debt!T114&gt;Inputs!$F$253,T18&lt;Inputs!$F$109),1,0)</f>
        <v>0</v>
      </c>
      <c r="U20" s="10" t="n">
        <f aca="false">IF(AND(Debt!U114&gt;Inputs!$F$253,U18&lt;Inputs!$F$109),1,0)</f>
        <v>0</v>
      </c>
      <c r="V20" s="10" t="n">
        <f aca="false">IF(AND(Debt!V114&gt;Inputs!$F$253,V18&lt;Inputs!$F$109),1,0)</f>
        <v>0</v>
      </c>
      <c r="W20" s="10" t="n">
        <f aca="false">IF(AND(Debt!W114&gt;Inputs!$F$253,W18&lt;Inputs!$F$109),1,0)</f>
        <v>0</v>
      </c>
      <c r="X20" s="10" t="n">
        <f aca="false">IF(AND(Debt!X114&gt;Inputs!$F$253,X18&lt;Inputs!$F$109),1,0)</f>
        <v>0</v>
      </c>
      <c r="Y20" s="10" t="n">
        <f aca="false">IF(AND(Debt!Y114&gt;Inputs!$F$253,Y18&lt;Inputs!$F$109),1,0)</f>
        <v>0</v>
      </c>
      <c r="Z20" s="10" t="n">
        <f aca="false">IF(AND(Debt!Z114&gt;Inputs!$F$253,Z18&lt;Inputs!$F$109),1,0)</f>
        <v>0</v>
      </c>
      <c r="AA20" s="10" t="n">
        <f aca="false">IF(AND(Debt!AA114&gt;Inputs!$F$253,AA18&lt;Inputs!$F$109),1,0)</f>
        <v>0</v>
      </c>
      <c r="AB20" s="10" t="n">
        <f aca="false">IF(AND(Debt!AB114&gt;Inputs!$F$253,AB18&lt;Inputs!$F$109),1,0)</f>
        <v>0</v>
      </c>
      <c r="AC20" s="10" t="n">
        <f aca="false">IF(AND(Debt!AC114&gt;Inputs!$F$253,AC18&lt;Inputs!$F$109),1,0)</f>
        <v>0</v>
      </c>
      <c r="AD20" s="10" t="n">
        <f aca="false">IF(AND(Debt!AD114&gt;Inputs!$F$253,AD18&lt;Inputs!$F$109),1,0)</f>
        <v>0</v>
      </c>
      <c r="AE20" s="10" t="n">
        <f aca="false">IF(AND(Debt!AE114&gt;Inputs!$F$253,AE18&lt;Inputs!$F$109),1,0)</f>
        <v>0</v>
      </c>
      <c r="AF20" s="10" t="n">
        <f aca="false">IF(AND(Debt!AF114&gt;Inputs!$F$253,AF18&lt;Inputs!$F$109),1,0)</f>
        <v>0</v>
      </c>
      <c r="AG20" s="10" t="n">
        <f aca="false">IF(AND(Debt!AG114&gt;Inputs!$F$253,AG18&lt;Inputs!$F$109),1,0)</f>
        <v>0</v>
      </c>
      <c r="AH20" s="10" t="n">
        <f aca="false">IF(AND(Debt!AH114&gt;Inputs!$F$253,AH18&lt;Inputs!$F$109),1,0)</f>
        <v>0</v>
      </c>
      <c r="AI20" s="10" t="n">
        <f aca="false">IF(AND(Debt!AI114&gt;Inputs!$F$253,AI18&lt;Inputs!$F$109),1,0)</f>
        <v>0</v>
      </c>
      <c r="AJ20" s="10" t="n">
        <f aca="false">IF(AND(Debt!AJ114&gt;Inputs!$F$253,AJ18&lt;Inputs!$F$109),1,0)</f>
        <v>0</v>
      </c>
      <c r="AK20" s="10" t="n">
        <f aca="false">IF(AND(Debt!AK114&gt;Inputs!$F$253,AK18&lt;Inputs!$F$109),1,0)</f>
        <v>0</v>
      </c>
      <c r="AL20" s="10" t="n">
        <f aca="false">IF(AND(Debt!AL114&gt;Inputs!$F$253,AL18&lt;Inputs!$F$109),1,0)</f>
        <v>0</v>
      </c>
      <c r="AM20" s="10" t="n">
        <f aca="false">IF(AND(Debt!AM114&gt;Inputs!$F$253,AM18&lt;Inputs!$F$109),1,0)</f>
        <v>0</v>
      </c>
      <c r="AN20" s="10" t="n">
        <f aca="false">IF(AND(Debt!AN114&gt;Inputs!$F$253,AN18&lt;Inputs!$F$109),1,0)</f>
        <v>0</v>
      </c>
      <c r="AO20" s="10" t="n">
        <f aca="false">IF(AND(Debt!AO114&gt;Inputs!$F$253,AO18&lt;Inputs!$F$109),1,0)</f>
        <v>0</v>
      </c>
      <c r="AP20" s="10" t="n">
        <f aca="false">IF(AND(Debt!AP114&gt;Inputs!$F$253,AP18&lt;Inputs!$F$109),1,0)</f>
        <v>0</v>
      </c>
      <c r="AQ20" s="10" t="n">
        <f aca="false">IF(AND(Debt!AQ114&gt;Inputs!$F$253,AQ18&lt;Inputs!$F$109),1,0)</f>
        <v>0</v>
      </c>
      <c r="AR20" s="10" t="n">
        <f aca="false">IF(AND(Debt!AR114&gt;Inputs!$F$253,AR18&lt;Inputs!$F$109),1,0)</f>
        <v>0</v>
      </c>
      <c r="AS20" s="10" t="n">
        <f aca="false">IF(AND(Debt!AS114&gt;Inputs!$F$253,AS18&lt;Inputs!$F$109),1,0)</f>
        <v>0</v>
      </c>
      <c r="AT20" s="10" t="n">
        <f aca="false">IF(AND(Debt!AT114&gt;Inputs!$F$253,AT18&lt;Inputs!$F$109),1,0)</f>
        <v>0</v>
      </c>
      <c r="AU20" s="10" t="n">
        <f aca="false">IF(AND(Debt!AU114&gt;Inputs!$F$253,AU18&lt;Inputs!$F$109),1,0)</f>
        <v>0</v>
      </c>
      <c r="AV20" s="10" t="n">
        <f aca="false">IF(AND(Debt!AV114&gt;Inputs!$F$253,AV18&lt;Inputs!$F$109),1,0)</f>
        <v>0</v>
      </c>
      <c r="AW20" s="10" t="n">
        <f aca="false">IF(AND(Debt!AW114&gt;Inputs!$F$253,AW18&lt;Inputs!$F$109),1,0)</f>
        <v>0</v>
      </c>
      <c r="AX20" s="10" t="n">
        <f aca="false">IF(AND(Debt!AX114&gt;Inputs!$F$253,AX18&lt;Inputs!$F$109),1,0)</f>
        <v>0</v>
      </c>
      <c r="AY20" s="10" t="n">
        <f aca="false">IF(AND(Debt!AY114&gt;Inputs!$F$253,AY18&lt;Inputs!$F$109),1,0)</f>
        <v>0</v>
      </c>
      <c r="AZ20" s="10" t="n">
        <f aca="false">IF(AND(Debt!AZ114&gt;Inputs!$F$253,AZ18&lt;Inputs!$F$109),1,0)</f>
        <v>0</v>
      </c>
      <c r="BA20" s="10" t="n">
        <f aca="false">IF(AND(Debt!BA114&gt;Inputs!$F$253,BA18&lt;Inputs!$F$109),1,0)</f>
        <v>0</v>
      </c>
      <c r="BB20" s="10" t="n">
        <f aca="false">IF(AND(Debt!BB114&gt;Inputs!$F$253,BB18&lt;Inputs!$F$109),1,0)</f>
        <v>0</v>
      </c>
      <c r="BC20" s="10" t="n">
        <f aca="false">IF(AND(Debt!BC114&gt;Inputs!$F$253,BC18&lt;Inputs!$F$109),1,0)</f>
        <v>0</v>
      </c>
      <c r="BD20" s="10" t="n">
        <f aca="false">IF(AND(Debt!BD114&gt;Inputs!$F$253,BD18&lt;Inputs!$F$109),1,0)</f>
        <v>0</v>
      </c>
      <c r="BE20" s="10" t="n">
        <f aca="false">IF(AND(Debt!BE114&gt;Inputs!$F$253,BE18&lt;Inputs!$F$109),1,0)</f>
        <v>0</v>
      </c>
      <c r="BF20" s="10" t="n">
        <f aca="false">IF(AND(Debt!BF114&gt;Inputs!$F$253,BF18&lt;Inputs!$F$109),1,0)</f>
        <v>0</v>
      </c>
      <c r="BG20" s="10" t="n">
        <f aca="false">IF(AND(Debt!BG114&gt;Inputs!$F$253,BG18&lt;Inputs!$F$109),1,0)</f>
        <v>0</v>
      </c>
      <c r="BH20" s="10" t="n">
        <f aca="false">IF(AND(Debt!BH114&gt;Inputs!$F$253,BH18&lt;Inputs!$F$109),1,0)</f>
        <v>0</v>
      </c>
      <c r="BI20" s="10" t="n">
        <f aca="false">IF(AND(Debt!BI114&gt;Inputs!$F$253,BI18&lt;Inputs!$F$109),1,0)</f>
        <v>0</v>
      </c>
      <c r="BJ20" s="10" t="n">
        <f aca="false">IF(AND(Debt!BJ114&gt;Inputs!$F$253,BJ18&lt;Inputs!$F$109),1,0)</f>
        <v>0</v>
      </c>
      <c r="BK20" s="10" t="n">
        <f aca="false">IF(AND(Debt!BK114&gt;Inputs!$F$253,BK18&lt;Inputs!$F$109),1,0)</f>
        <v>0</v>
      </c>
      <c r="BL20" s="10" t="n">
        <f aca="false">IF(AND(Debt!BL114&gt;Inputs!$F$253,BL18&lt;Inputs!$F$109),1,0)</f>
        <v>0</v>
      </c>
      <c r="BM20" s="10" t="n">
        <f aca="false">IF(AND(Debt!BM114&gt;Inputs!$F$253,BM18&lt;Inputs!$F$109),1,0)</f>
        <v>0</v>
      </c>
      <c r="BN20" s="10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842</v>
      </c>
      <c r="E21" s="0" t="s">
        <v>113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843</v>
      </c>
      <c r="E22" s="0" t="s">
        <v>113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844</v>
      </c>
      <c r="E23" s="0" t="s">
        <v>113</v>
      </c>
      <c r="J23" s="10" t="n">
        <f aca="false">MAX(I23,IF(AND(J22=1,Time!J51=1,J18&gt;=Inputs!$F$110,Time!I51=1,I18&gt;=Inputs!$F$110,Reserves!J13&gt;=Debt!J125-Inputs!$F$254),1,0))</f>
        <v>0</v>
      </c>
      <c r="K23" s="10" t="n">
        <f aca="false">MAX(J23,IF(AND(K22=1,Time!K51=1,K18&gt;=Inputs!$F$110,Time!J51=1,J18&gt;=Inputs!$F$110,Reserves!K13&gt;=Debt!K125-Inputs!$F$254),1,0))</f>
        <v>0</v>
      </c>
      <c r="L23" s="10" t="n">
        <f aca="false">MAX(K23,IF(AND(L22=1,Time!L51=1,L18&gt;=Inputs!$F$110,Time!K51=1,K18&gt;=Inputs!$F$110,Reserves!L13&gt;=Debt!L125-Inputs!$F$254),1,0))</f>
        <v>0</v>
      </c>
      <c r="M23" s="10" t="n">
        <f aca="false">MAX(L23,IF(AND(M22=1,Time!M51=1,M18&gt;=Inputs!$F$110,Time!L51=1,L18&gt;=Inputs!$F$110,Reserves!M13&gt;=Debt!M125-Inputs!$F$254),1,0))</f>
        <v>0</v>
      </c>
      <c r="N23" s="10" t="n">
        <f aca="false">MAX(M23,IF(AND(N22=1,Time!N51=1,N18&gt;=Inputs!$F$110,Time!M51=1,M18&gt;=Inputs!$F$110,Reserves!N13&gt;=Debt!N125-Inputs!$F$254),1,0))</f>
        <v>0</v>
      </c>
      <c r="O23" s="10" t="n">
        <f aca="false">MAX(N23,IF(AND(O22=1,Time!O51=1,O18&gt;=Inputs!$F$110,Time!N51=1,N18&gt;=Inputs!$F$110,Reserves!O13&gt;=Debt!O125-Inputs!$F$254),1,0))</f>
        <v>0</v>
      </c>
      <c r="P23" s="10" t="n">
        <f aca="false">MAX(O23,IF(AND(P22=1,Time!P51=1,P18&gt;=Inputs!$F$110,Time!O51=1,O18&gt;=Inputs!$F$110,Reserves!P13&gt;=Debt!P125-Inputs!$F$254),1,0))</f>
        <v>0</v>
      </c>
      <c r="Q23" s="10" t="n">
        <f aca="false">MAX(P23,IF(AND(Q22=1,Time!Q51=1,Q18&gt;=Inputs!$F$110,Time!P51=1,P18&gt;=Inputs!$F$110,Reserves!Q13&gt;=Debt!Q125-Inputs!$F$254),1,0))</f>
        <v>0</v>
      </c>
      <c r="R23" s="10" t="n">
        <f aca="false">MAX(Q23,IF(AND(R22=1,Time!R51=1,R18&gt;=Inputs!$F$110,Time!Q51=1,Q18&gt;=Inputs!$F$110,Reserves!R13&gt;=Debt!R125-Inputs!$F$254),1,0))</f>
        <v>0</v>
      </c>
      <c r="S23" s="10" t="n">
        <f aca="false">MAX(R23,IF(AND(S22=1,Time!S51=1,S18&gt;=Inputs!$F$110,Time!R51=1,R18&gt;=Inputs!$F$110,Reserves!S13&gt;=Debt!S125-Inputs!$F$254),1,0))</f>
        <v>0</v>
      </c>
      <c r="T23" s="10" t="n">
        <f aca="false">MAX(S23,IF(AND(T22=1,Time!T51=1,T18&gt;=Inputs!$F$110,Time!S51=1,S18&gt;=Inputs!$F$110,Reserves!T13&gt;=Debt!T125-Inputs!$F$254),1,0))</f>
        <v>0</v>
      </c>
      <c r="U23" s="10" t="n">
        <f aca="false">MAX(T23,IF(AND(U22=1,Time!U51=1,U18&gt;=Inputs!$F$110,Time!T51=1,T18&gt;=Inputs!$F$110,Reserves!U13&gt;=Debt!U125-Inputs!$F$254),1,0))</f>
        <v>0</v>
      </c>
      <c r="V23" s="10" t="n">
        <f aca="false">MAX(U23,IF(AND(V22=1,Time!V51=1,V18&gt;=Inputs!$F$110,Time!U51=1,U18&gt;=Inputs!$F$110,Reserves!V13&gt;=Debt!V125-Inputs!$F$254),1,0))</f>
        <v>0</v>
      </c>
      <c r="W23" s="10" t="n">
        <f aca="false">MAX(V23,IF(AND(W22=1,Time!W51=1,W18&gt;=Inputs!$F$110,Time!V51=1,V18&gt;=Inputs!$F$110,Reserves!W13&gt;=Debt!W125-Inputs!$F$254),1,0))</f>
        <v>0</v>
      </c>
      <c r="X23" s="10" t="n">
        <f aca="false">MAX(W23,IF(AND(X22=1,Time!X51=1,X18&gt;=Inputs!$F$110,Time!W51=1,W18&gt;=Inputs!$F$110,Reserves!X13&gt;=Debt!X125-Inputs!$F$254),1,0))</f>
        <v>0</v>
      </c>
      <c r="Y23" s="10" t="n">
        <f aca="false">MAX(X23,IF(AND(Y22=1,Time!Y51=1,Y18&gt;=Inputs!$F$110,Time!X51=1,X18&gt;=Inputs!$F$110,Reserves!Y13&gt;=Debt!Y125-Inputs!$F$254),1,0))</f>
        <v>0</v>
      </c>
      <c r="Z23" s="10" t="n">
        <f aca="false">MAX(Y23,IF(AND(Z22=1,Time!Z51=1,Z18&gt;=Inputs!$F$110,Time!Y51=1,Y18&gt;=Inputs!$F$110,Reserves!Z13&gt;=Debt!Z125-Inputs!$F$254),1,0))</f>
        <v>0</v>
      </c>
      <c r="AA23" s="10" t="n">
        <f aca="false">MAX(Z23,IF(AND(AA22=1,Time!AA51=1,AA18&gt;=Inputs!$F$110,Time!Z51=1,Z18&gt;=Inputs!$F$110,Reserves!AA13&gt;=Debt!AA125-Inputs!$F$254),1,0))</f>
        <v>0</v>
      </c>
      <c r="AB23" s="10" t="n">
        <f aca="false">MAX(AA23,IF(AND(AB22=1,Time!AB51=1,AB18&gt;=Inputs!$F$110,Time!AA51=1,AA18&gt;=Inputs!$F$110,Reserves!AB13&gt;=Debt!AB125-Inputs!$F$254),1,0))</f>
        <v>0</v>
      </c>
      <c r="AC23" s="10" t="n">
        <f aca="false">MAX(AB23,IF(AND(AC22=1,Time!AC51=1,AC18&gt;=Inputs!$F$110,Time!AB51=1,AB18&gt;=Inputs!$F$110,Reserves!AC13&gt;=Debt!AC125-Inputs!$F$254),1,0))</f>
        <v>0</v>
      </c>
      <c r="AD23" s="10" t="n">
        <f aca="false">MAX(AC23,IF(AND(AD22=1,Time!AD51=1,AD18&gt;=Inputs!$F$110,Time!AC51=1,AC18&gt;=Inputs!$F$110,Reserves!AD13&gt;=Debt!AD125-Inputs!$F$254),1,0))</f>
        <v>0</v>
      </c>
      <c r="AE23" s="10" t="n">
        <f aca="false">MAX(AD23,IF(AND(AE22=1,Time!AE51=1,AE18&gt;=Inputs!$F$110,Time!AD51=1,AD18&gt;=Inputs!$F$110,Reserves!AE13&gt;=Debt!AE125-Inputs!$F$254),1,0))</f>
        <v>0</v>
      </c>
      <c r="AF23" s="10" t="n">
        <f aca="false">MAX(AE23,IF(AND(AF22=1,Time!AF51=1,AF18&gt;=Inputs!$F$110,Time!AE51=1,AE18&gt;=Inputs!$F$110,Reserves!AF13&gt;=Debt!AF125-Inputs!$F$254),1,0))</f>
        <v>0</v>
      </c>
      <c r="AG23" s="10" t="n">
        <f aca="false">MAX(AF23,IF(AND(AG22=1,Time!AG51=1,AG18&gt;=Inputs!$F$110,Time!AF51=1,AF18&gt;=Inputs!$F$110,Reserves!AG13&gt;=Debt!AG125-Inputs!$F$254),1,0))</f>
        <v>0</v>
      </c>
      <c r="AH23" s="10" t="n">
        <f aca="false">MAX(AG23,IF(AND(AH22=1,Time!AH51=1,AH18&gt;=Inputs!$F$110,Time!AG51=1,AG18&gt;=Inputs!$F$110,Reserves!AH13&gt;=Debt!AH125-Inputs!$F$254),1,0))</f>
        <v>0</v>
      </c>
      <c r="AI23" s="10" t="n">
        <f aca="false">MAX(AH23,IF(AND(AI22=1,Time!AI51=1,AI18&gt;=Inputs!$F$110,Time!AH51=1,AH18&gt;=Inputs!$F$110,Reserves!AI13&gt;=Debt!AI125-Inputs!$F$254),1,0))</f>
        <v>0</v>
      </c>
      <c r="AJ23" s="10" t="n">
        <f aca="false">MAX(AI23,IF(AND(AJ22=1,Time!AJ51=1,AJ18&gt;=Inputs!$F$110,Time!AI51=1,AI18&gt;=Inputs!$F$110,Reserves!AJ13&gt;=Debt!AJ125-Inputs!$F$254),1,0))</f>
        <v>0</v>
      </c>
      <c r="AK23" s="10" t="n">
        <f aca="false">MAX(AJ23,IF(AND(AK22=1,Time!AK51=1,AK18&gt;=Inputs!$F$110,Time!AJ51=1,AJ18&gt;=Inputs!$F$110,Reserves!AK13&gt;=Debt!AK125-Inputs!$F$254),1,0))</f>
        <v>0</v>
      </c>
      <c r="AL23" s="10" t="n">
        <f aca="false">MAX(AK23,IF(AND(AL22=1,Time!AL51=1,AL18&gt;=Inputs!$F$110,Time!AK51=1,AK18&gt;=Inputs!$F$110,Reserves!AL13&gt;=Debt!AL125-Inputs!$F$254),1,0))</f>
        <v>0</v>
      </c>
      <c r="AM23" s="10" t="n">
        <f aca="false">MAX(AL23,IF(AND(AM22=1,Time!AM51=1,AM18&gt;=Inputs!$F$110,Time!AL51=1,AL18&gt;=Inputs!$F$110,Reserves!AM13&gt;=Debt!AM125-Inputs!$F$254),1,0))</f>
        <v>0</v>
      </c>
      <c r="AN23" s="10" t="n">
        <f aca="false">MAX(AM23,IF(AND(AN22=1,Time!AN51=1,AN18&gt;=Inputs!$F$110,Time!AM51=1,AM18&gt;=Inputs!$F$110,Reserves!AN13&gt;=Debt!AN125-Inputs!$F$254),1,0))</f>
        <v>0</v>
      </c>
      <c r="AO23" s="10" t="n">
        <f aca="false">MAX(AN23,IF(AND(AO22=1,Time!AO51=1,AO18&gt;=Inputs!$F$110,Time!AN51=1,AN18&gt;=Inputs!$F$110,Reserves!AO13&gt;=Debt!AO125-Inputs!$F$254),1,0))</f>
        <v>0</v>
      </c>
      <c r="AP23" s="10" t="n">
        <f aca="false">MAX(AO23,IF(AND(AP22=1,Time!AP51=1,AP18&gt;=Inputs!$F$110,Time!AO51=1,AO18&gt;=Inputs!$F$110,Reserves!AP13&gt;=Debt!AP125-Inputs!$F$254),1,0))</f>
        <v>0</v>
      </c>
      <c r="AQ23" s="10" t="n">
        <f aca="false">MAX(AP23,IF(AND(AQ22=1,Time!AQ51=1,AQ18&gt;=Inputs!$F$110,Time!AP51=1,AP18&gt;=Inputs!$F$110,Reserves!AQ13&gt;=Debt!AQ125-Inputs!$F$254),1,0))</f>
        <v>0</v>
      </c>
      <c r="AR23" s="10" t="n">
        <f aca="false">MAX(AQ23,IF(AND(AR22=1,Time!AR51=1,AR18&gt;=Inputs!$F$110,Time!AQ51=1,AQ18&gt;=Inputs!$F$110,Reserves!AR13&gt;=Debt!AR125-Inputs!$F$254),1,0))</f>
        <v>0</v>
      </c>
      <c r="AS23" s="10" t="n">
        <f aca="false">MAX(AR23,IF(AND(AS22=1,Time!AS51=1,AS18&gt;=Inputs!$F$110,Time!AR51=1,AR18&gt;=Inputs!$F$110,Reserves!AS13&gt;=Debt!AS125-Inputs!$F$254),1,0))</f>
        <v>0</v>
      </c>
      <c r="AT23" s="10" t="n">
        <f aca="false">MAX(AS23,IF(AND(AT22=1,Time!AT51=1,AT18&gt;=Inputs!$F$110,Time!AS51=1,AS18&gt;=Inputs!$F$110,Reserves!AT13&gt;=Debt!AT125-Inputs!$F$254),1,0))</f>
        <v>0</v>
      </c>
      <c r="AU23" s="10" t="n">
        <f aca="false">MAX(AT23,IF(AND(AU22=1,Time!AU51=1,AU18&gt;=Inputs!$F$110,Time!AT51=1,AT18&gt;=Inputs!$F$110,Reserves!AU13&gt;=Debt!AU125-Inputs!$F$254),1,0))</f>
        <v>0</v>
      </c>
      <c r="AV23" s="10" t="n">
        <f aca="false">MAX(AU23,IF(AND(AV22=1,Time!AV51=1,AV18&gt;=Inputs!$F$110,Time!AU51=1,AU18&gt;=Inputs!$F$110,Reserves!AV13&gt;=Debt!AV125-Inputs!$F$254),1,0))</f>
        <v>0</v>
      </c>
      <c r="AW23" s="10" t="n">
        <f aca="false">MAX(AV23,IF(AND(AW22=1,Time!AW51=1,AW18&gt;=Inputs!$F$110,Time!AV51=1,AV18&gt;=Inputs!$F$110,Reserves!AW13&gt;=Debt!AW125-Inputs!$F$254),1,0))</f>
        <v>0</v>
      </c>
      <c r="AX23" s="10" t="n">
        <f aca="false">MAX(AW23,IF(AND(AX22=1,Time!AX51=1,AX18&gt;=Inputs!$F$110,Time!AW51=1,AW18&gt;=Inputs!$F$110,Reserves!AX13&gt;=Debt!AX125-Inputs!$F$254),1,0))</f>
        <v>0</v>
      </c>
      <c r="AY23" s="10" t="n">
        <f aca="false">MAX(AX23,IF(AND(AY22=1,Time!AY51=1,AY18&gt;=Inputs!$F$110,Time!AX51=1,AX18&gt;=Inputs!$F$110,Reserves!AY13&gt;=Debt!AY125-Inputs!$F$254),1,0))</f>
        <v>0</v>
      </c>
      <c r="AZ23" s="10" t="n">
        <f aca="false">MAX(AY23,IF(AND(AZ22=1,Time!AZ51=1,AZ18&gt;=Inputs!$F$110,Time!AY51=1,AY18&gt;=Inputs!$F$110,Reserves!AZ13&gt;=Debt!AZ125-Inputs!$F$254),1,0))</f>
        <v>0</v>
      </c>
      <c r="BA23" s="10" t="n">
        <f aca="false">MAX(AZ23,IF(AND(BA22=1,Time!BA51=1,BA18&gt;=Inputs!$F$110,Time!AZ51=1,AZ18&gt;=Inputs!$F$110,Reserves!BA13&gt;=Debt!BA125-Inputs!$F$254),1,0))</f>
        <v>0</v>
      </c>
      <c r="BB23" s="10" t="n">
        <f aca="false">MAX(BA23,IF(AND(BB22=1,Time!BB51=1,BB18&gt;=Inputs!$F$110,Time!BA51=1,BA18&gt;=Inputs!$F$110,Reserves!BB13&gt;=Debt!BB125-Inputs!$F$254),1,0))</f>
        <v>0</v>
      </c>
      <c r="BC23" s="10" t="n">
        <f aca="false">MAX(BB23,IF(AND(BC22=1,Time!BC51=1,BC18&gt;=Inputs!$F$110,Time!BB51=1,BB18&gt;=Inputs!$F$110,Reserves!BC13&gt;=Debt!BC125-Inputs!$F$254),1,0))</f>
        <v>0</v>
      </c>
      <c r="BD23" s="10" t="n">
        <f aca="false">MAX(BC23,IF(AND(BD22=1,Time!BD51=1,BD18&gt;=Inputs!$F$110,Time!BC51=1,BC18&gt;=Inputs!$F$110,Reserves!BD13&gt;=Debt!BD125-Inputs!$F$254),1,0))</f>
        <v>0</v>
      </c>
      <c r="BE23" s="10" t="n">
        <f aca="false">MAX(BD23,IF(AND(BE22=1,Time!BE51=1,BE18&gt;=Inputs!$F$110,Time!BD51=1,BD18&gt;=Inputs!$F$110,Reserves!BE13&gt;=Debt!BE125-Inputs!$F$254),1,0))</f>
        <v>0</v>
      </c>
      <c r="BF23" s="10" t="n">
        <f aca="false">MAX(BE23,IF(AND(BF22=1,Time!BF51=1,BF18&gt;=Inputs!$F$110,Time!BE51=1,BE18&gt;=Inputs!$F$110,Reserves!BF13&gt;=Debt!BF125-Inputs!$F$254),1,0))</f>
        <v>0</v>
      </c>
      <c r="BG23" s="10" t="n">
        <f aca="false">MAX(BF23,IF(AND(BG22=1,Time!BG51=1,BG18&gt;=Inputs!$F$110,Time!BF51=1,BF18&gt;=Inputs!$F$110,Reserves!BG13&gt;=Debt!BG125-Inputs!$F$254),1,0))</f>
        <v>0</v>
      </c>
      <c r="BH23" s="10" t="n">
        <f aca="false">MAX(BG23,IF(AND(BH22=1,Time!BH51=1,BH18&gt;=Inputs!$F$110,Time!BG51=1,BG18&gt;=Inputs!$F$110,Reserves!BH13&gt;=Debt!BH125-Inputs!$F$254),1,0))</f>
        <v>0</v>
      </c>
      <c r="BI23" s="10" t="n">
        <f aca="false">MAX(BH23,IF(AND(BI22=1,Time!BI51=1,BI18&gt;=Inputs!$F$110,Time!BH51=1,BH18&gt;=Inputs!$F$110,Reserves!BI13&gt;=Debt!BI125-Inputs!$F$254),1,0))</f>
        <v>0</v>
      </c>
      <c r="BJ23" s="10" t="n">
        <f aca="false">MAX(BI23,IF(AND(BJ22=1,Time!BJ51=1,BJ18&gt;=Inputs!$F$110,Time!BI51=1,BI18&gt;=Inputs!$F$110,Reserves!BJ13&gt;=Debt!BJ125-Inputs!$F$254),1,0))</f>
        <v>0</v>
      </c>
      <c r="BK23" s="10" t="n">
        <f aca="false">MAX(BJ23,IF(AND(BK22=1,Time!BK51=1,BK18&gt;=Inputs!$F$110,Time!BJ51=1,BJ18&gt;=Inputs!$F$110,Reserves!BK13&gt;=Debt!BK125-Inputs!$F$254),1,0))</f>
        <v>0</v>
      </c>
      <c r="BL23" s="10" t="n">
        <f aca="false">MAX(BK23,IF(AND(BL22=1,Time!BL51=1,BL18&gt;=Inputs!$F$110,Time!BK51=1,BK18&gt;=Inputs!$F$110,Reserves!BL13&gt;=Debt!BL125-Inputs!$F$254),1,0))</f>
        <v>0</v>
      </c>
      <c r="BM23" s="10" t="n">
        <f aca="false">MAX(BL23,IF(AND(BM22=1,Time!BM51=1,BM18&gt;=Inputs!$F$110,Time!BL51=1,BL18&gt;=Inputs!$F$110,Reserves!BM13&gt;=Debt!BM125-Inputs!$F$254),1,0))</f>
        <v>0</v>
      </c>
      <c r="BN23" s="10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845</v>
      </c>
      <c r="E24" s="0" t="s">
        <v>113</v>
      </c>
      <c r="J24" s="10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10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10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10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10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10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10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10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0</v>
      </c>
      <c r="R24" s="10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0</v>
      </c>
      <c r="S24" s="10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10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10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10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10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10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10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10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10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10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10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10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10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10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10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10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10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10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10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10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10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10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10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10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10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10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10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10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10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10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10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10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10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10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10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10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10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10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10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10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10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10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10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10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10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10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10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10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846</v>
      </c>
      <c r="E25" s="0" t="s">
        <v>113</v>
      </c>
      <c r="J25" s="10" t="n">
        <f aca="false">IF(AND(J24=0,J19=1,Debt!J114&gt;Inputs!$F$253),1,0)</f>
        <v>0</v>
      </c>
      <c r="K25" s="10" t="n">
        <f aca="false">IF(AND(K24=0,K19=1,Debt!K114&gt;Inputs!$F$253),1,0)</f>
        <v>0</v>
      </c>
      <c r="L25" s="10" t="n">
        <f aca="false">IF(AND(L24=0,L19=1,Debt!L114&gt;Inputs!$F$253),1,0)</f>
        <v>0</v>
      </c>
      <c r="M25" s="10" t="n">
        <f aca="false">IF(AND(M24=0,M19=1,Debt!M114&gt;Inputs!$F$253),1,0)</f>
        <v>0</v>
      </c>
      <c r="N25" s="10" t="n">
        <f aca="false">IF(AND(N24=0,N19=1,Debt!N114&gt;Inputs!$F$253),1,0)</f>
        <v>0</v>
      </c>
      <c r="O25" s="10" t="n">
        <f aca="false">IF(AND(O24=0,O19=1,Debt!O114&gt;Inputs!$F$253),1,0)</f>
        <v>0</v>
      </c>
      <c r="P25" s="10" t="n">
        <f aca="false">IF(AND(P24=0,P19=1,Debt!P114&gt;Inputs!$F$253),1,0)</f>
        <v>0</v>
      </c>
      <c r="Q25" s="10" t="n">
        <f aca="false">IF(AND(Q24=0,Q19=1,Debt!Q114&gt;Inputs!$F$253),1,0)</f>
        <v>1</v>
      </c>
      <c r="R25" s="10" t="n">
        <f aca="false">IF(AND(R24=0,R19=1,Debt!R114&gt;Inputs!$F$253),1,0)</f>
        <v>1</v>
      </c>
      <c r="S25" s="10" t="n">
        <f aca="false">IF(AND(S24=0,S19=1,Debt!S114&gt;Inputs!$F$253),1,0)</f>
        <v>0</v>
      </c>
      <c r="T25" s="10" t="n">
        <f aca="false">IF(AND(T24=0,T19=1,Debt!T114&gt;Inputs!$F$253),1,0)</f>
        <v>0</v>
      </c>
      <c r="U25" s="10" t="n">
        <f aca="false">IF(AND(U24=0,U19=1,Debt!U114&gt;Inputs!$F$253),1,0)</f>
        <v>0</v>
      </c>
      <c r="V25" s="10" t="n">
        <f aca="false">IF(AND(V24=0,V19=1,Debt!V114&gt;Inputs!$F$253),1,0)</f>
        <v>0</v>
      </c>
      <c r="W25" s="10" t="n">
        <f aca="false">IF(AND(W24=0,W19=1,Debt!W114&gt;Inputs!$F$253),1,0)</f>
        <v>0</v>
      </c>
      <c r="X25" s="10" t="n">
        <f aca="false">IF(AND(X24=0,X19=1,Debt!X114&gt;Inputs!$F$253),1,0)</f>
        <v>0</v>
      </c>
      <c r="Y25" s="10" t="n">
        <f aca="false">IF(AND(Y24=0,Y19=1,Debt!Y114&gt;Inputs!$F$253),1,0)</f>
        <v>0</v>
      </c>
      <c r="Z25" s="10" t="n">
        <f aca="false">IF(AND(Z24=0,Z19=1,Debt!Z114&gt;Inputs!$F$253),1,0)</f>
        <v>0</v>
      </c>
      <c r="AA25" s="10" t="n">
        <f aca="false">IF(AND(AA24=0,AA19=1,Debt!AA114&gt;Inputs!$F$253),1,0)</f>
        <v>0</v>
      </c>
      <c r="AB25" s="10" t="n">
        <f aca="false">IF(AND(AB24=0,AB19=1,Debt!AB114&gt;Inputs!$F$253),1,0)</f>
        <v>0</v>
      </c>
      <c r="AC25" s="10" t="n">
        <f aca="false">IF(AND(AC24=0,AC19=1,Debt!AC114&gt;Inputs!$F$253),1,0)</f>
        <v>0</v>
      </c>
      <c r="AD25" s="10" t="n">
        <f aca="false">IF(AND(AD24=0,AD19=1,Debt!AD114&gt;Inputs!$F$253),1,0)</f>
        <v>0</v>
      </c>
      <c r="AE25" s="10" t="n">
        <f aca="false">IF(AND(AE24=0,AE19=1,Debt!AE114&gt;Inputs!$F$253),1,0)</f>
        <v>0</v>
      </c>
      <c r="AF25" s="10" t="n">
        <f aca="false">IF(AND(AF24=0,AF19=1,Debt!AF114&gt;Inputs!$F$253),1,0)</f>
        <v>0</v>
      </c>
      <c r="AG25" s="10" t="n">
        <f aca="false">IF(AND(AG24=0,AG19=1,Debt!AG114&gt;Inputs!$F$253),1,0)</f>
        <v>0</v>
      </c>
      <c r="AH25" s="10" t="n">
        <f aca="false">IF(AND(AH24=0,AH19=1,Debt!AH114&gt;Inputs!$F$253),1,0)</f>
        <v>0</v>
      </c>
      <c r="AI25" s="10" t="n">
        <f aca="false">IF(AND(AI24=0,AI19=1,Debt!AI114&gt;Inputs!$F$253),1,0)</f>
        <v>0</v>
      </c>
      <c r="AJ25" s="10" t="n">
        <f aca="false">IF(AND(AJ24=0,AJ19=1,Debt!AJ114&gt;Inputs!$F$253),1,0)</f>
        <v>0</v>
      </c>
      <c r="AK25" s="10" t="n">
        <f aca="false">IF(AND(AK24=0,AK19=1,Debt!AK114&gt;Inputs!$F$253),1,0)</f>
        <v>0</v>
      </c>
      <c r="AL25" s="10" t="n">
        <f aca="false">IF(AND(AL24=0,AL19=1,Debt!AL114&gt;Inputs!$F$253),1,0)</f>
        <v>0</v>
      </c>
      <c r="AM25" s="10" t="n">
        <f aca="false">IF(AND(AM24=0,AM19=1,Debt!AM114&gt;Inputs!$F$253),1,0)</f>
        <v>0</v>
      </c>
      <c r="AN25" s="10" t="n">
        <f aca="false">IF(AND(AN24=0,AN19=1,Debt!AN114&gt;Inputs!$F$253),1,0)</f>
        <v>0</v>
      </c>
      <c r="AO25" s="10" t="n">
        <f aca="false">IF(AND(AO24=0,AO19=1,Debt!AO114&gt;Inputs!$F$253),1,0)</f>
        <v>0</v>
      </c>
      <c r="AP25" s="10" t="n">
        <f aca="false">IF(AND(AP24=0,AP19=1,Debt!AP114&gt;Inputs!$F$253),1,0)</f>
        <v>0</v>
      </c>
      <c r="AQ25" s="10" t="n">
        <f aca="false">IF(AND(AQ24=0,AQ19=1,Debt!AQ114&gt;Inputs!$F$253),1,0)</f>
        <v>0</v>
      </c>
      <c r="AR25" s="10" t="n">
        <f aca="false">IF(AND(AR24=0,AR19=1,Debt!AR114&gt;Inputs!$F$253),1,0)</f>
        <v>0</v>
      </c>
      <c r="AS25" s="10" t="n">
        <f aca="false">IF(AND(AS24=0,AS19=1,Debt!AS114&gt;Inputs!$F$253),1,0)</f>
        <v>0</v>
      </c>
      <c r="AT25" s="10" t="n">
        <f aca="false">IF(AND(AT24=0,AT19=1,Debt!AT114&gt;Inputs!$F$253),1,0)</f>
        <v>0</v>
      </c>
      <c r="AU25" s="10" t="n">
        <f aca="false">IF(AND(AU24=0,AU19=1,Debt!AU114&gt;Inputs!$F$253),1,0)</f>
        <v>0</v>
      </c>
      <c r="AV25" s="10" t="n">
        <f aca="false">IF(AND(AV24=0,AV19=1,Debt!AV114&gt;Inputs!$F$253),1,0)</f>
        <v>0</v>
      </c>
      <c r="AW25" s="10" t="n">
        <f aca="false">IF(AND(AW24=0,AW19=1,Debt!AW114&gt;Inputs!$F$253),1,0)</f>
        <v>0</v>
      </c>
      <c r="AX25" s="10" t="n">
        <f aca="false">IF(AND(AX24=0,AX19=1,Debt!AX114&gt;Inputs!$F$253),1,0)</f>
        <v>0</v>
      </c>
      <c r="AY25" s="10" t="n">
        <f aca="false">IF(AND(AY24=0,AY19=1,Debt!AY114&gt;Inputs!$F$253),1,0)</f>
        <v>0</v>
      </c>
      <c r="AZ25" s="10" t="n">
        <f aca="false">IF(AND(AZ24=0,AZ19=1,Debt!AZ114&gt;Inputs!$F$253),1,0)</f>
        <v>0</v>
      </c>
      <c r="BA25" s="10" t="n">
        <f aca="false">IF(AND(BA24=0,BA19=1,Debt!BA114&gt;Inputs!$F$253),1,0)</f>
        <v>0</v>
      </c>
      <c r="BB25" s="10" t="n">
        <f aca="false">IF(AND(BB24=0,BB19=1,Debt!BB114&gt;Inputs!$F$253),1,0)</f>
        <v>0</v>
      </c>
      <c r="BC25" s="10" t="n">
        <f aca="false">IF(AND(BC24=0,BC19=1,Debt!BC114&gt;Inputs!$F$253),1,0)</f>
        <v>0</v>
      </c>
      <c r="BD25" s="10" t="n">
        <f aca="false">IF(AND(BD24=0,BD19=1,Debt!BD114&gt;Inputs!$F$253),1,0)</f>
        <v>0</v>
      </c>
      <c r="BE25" s="10" t="n">
        <f aca="false">IF(AND(BE24=0,BE19=1,Debt!BE114&gt;Inputs!$F$253),1,0)</f>
        <v>0</v>
      </c>
      <c r="BF25" s="10" t="n">
        <f aca="false">IF(AND(BF24=0,BF19=1,Debt!BF114&gt;Inputs!$F$253),1,0)</f>
        <v>0</v>
      </c>
      <c r="BG25" s="10" t="n">
        <f aca="false">IF(AND(BG24=0,BG19=1,Debt!BG114&gt;Inputs!$F$253),1,0)</f>
        <v>0</v>
      </c>
      <c r="BH25" s="10" t="n">
        <f aca="false">IF(AND(BH24=0,BH19=1,Debt!BH114&gt;Inputs!$F$253),1,0)</f>
        <v>0</v>
      </c>
      <c r="BI25" s="10" t="n">
        <f aca="false">IF(AND(BI24=0,BI19=1,Debt!BI114&gt;Inputs!$F$253),1,0)</f>
        <v>0</v>
      </c>
      <c r="BJ25" s="10" t="n">
        <f aca="false">IF(AND(BJ24=0,BJ19=1,Debt!BJ114&gt;Inputs!$F$253),1,0)</f>
        <v>0</v>
      </c>
      <c r="BK25" s="10" t="n">
        <f aca="false">IF(AND(BK24=0,BK19=1,Debt!BK114&gt;Inputs!$F$253),1,0)</f>
        <v>0</v>
      </c>
      <c r="BL25" s="10" t="n">
        <f aca="false">IF(AND(BL24=0,BL19=1,Debt!BL114&gt;Inputs!$F$253),1,0)</f>
        <v>0</v>
      </c>
      <c r="BM25" s="10" t="n">
        <f aca="false">IF(AND(BM24=0,BM19=1,Debt!BM114&gt;Inputs!$F$253),1,0)</f>
        <v>0</v>
      </c>
      <c r="BN25" s="10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847</v>
      </c>
      <c r="E26" s="0" t="s">
        <v>367</v>
      </c>
      <c r="J26" s="10" t="n">
        <f aca="false">IF(J25=1,I26+1,0)</f>
        <v>0</v>
      </c>
      <c r="K26" s="10" t="n">
        <f aca="false">IF(K25=1,J26+1,0)</f>
        <v>0</v>
      </c>
      <c r="L26" s="10" t="n">
        <f aca="false">IF(L25=1,K26+1,0)</f>
        <v>0</v>
      </c>
      <c r="M26" s="10" t="n">
        <f aca="false">IF(M25=1,L26+1,0)</f>
        <v>0</v>
      </c>
      <c r="N26" s="10" t="n">
        <f aca="false">IF(N25=1,M26+1,0)</f>
        <v>0</v>
      </c>
      <c r="O26" s="10" t="n">
        <f aca="false">IF(O25=1,N26+1,0)</f>
        <v>0</v>
      </c>
      <c r="P26" s="10" t="n">
        <f aca="false">IF(P25=1,O26+1,0)</f>
        <v>0</v>
      </c>
      <c r="Q26" s="10" t="n">
        <f aca="false">IF(Q25=1,P26+1,0)</f>
        <v>1</v>
      </c>
      <c r="R26" s="10" t="n">
        <f aca="false">IF(R25=1,Q26+1,0)</f>
        <v>2</v>
      </c>
      <c r="S26" s="10" t="n">
        <f aca="false">IF(S25=1,R26+1,0)</f>
        <v>0</v>
      </c>
      <c r="T26" s="10" t="n">
        <f aca="false">IF(T25=1,S26+1,0)</f>
        <v>0</v>
      </c>
      <c r="U26" s="10" t="n">
        <f aca="false">IF(U25=1,T26+1,0)</f>
        <v>0</v>
      </c>
      <c r="V26" s="10" t="n">
        <f aca="false">IF(V25=1,U26+1,0)</f>
        <v>0</v>
      </c>
      <c r="W26" s="10" t="n">
        <f aca="false">IF(W25=1,V26+1,0)</f>
        <v>0</v>
      </c>
      <c r="X26" s="10" t="n">
        <f aca="false">IF(X25=1,W26+1,0)</f>
        <v>0</v>
      </c>
      <c r="Y26" s="10" t="n">
        <f aca="false">IF(Y25=1,X26+1,0)</f>
        <v>0</v>
      </c>
      <c r="Z26" s="10" t="n">
        <f aca="false">IF(Z25=1,Y26+1,0)</f>
        <v>0</v>
      </c>
      <c r="AA26" s="10" t="n">
        <f aca="false">IF(AA25=1,Z26+1,0)</f>
        <v>0</v>
      </c>
      <c r="AB26" s="10" t="n">
        <f aca="false">IF(AB25=1,AA26+1,0)</f>
        <v>0</v>
      </c>
      <c r="AC26" s="10" t="n">
        <f aca="false">IF(AC25=1,AB26+1,0)</f>
        <v>0</v>
      </c>
      <c r="AD26" s="10" t="n">
        <f aca="false">IF(AD25=1,AC26+1,0)</f>
        <v>0</v>
      </c>
      <c r="AE26" s="10" t="n">
        <f aca="false">IF(AE25=1,AD26+1,0)</f>
        <v>0</v>
      </c>
      <c r="AF26" s="10" t="n">
        <f aca="false">IF(AF25=1,AE26+1,0)</f>
        <v>0</v>
      </c>
      <c r="AG26" s="10" t="n">
        <f aca="false">IF(AG25=1,AF26+1,0)</f>
        <v>0</v>
      </c>
      <c r="AH26" s="10" t="n">
        <f aca="false">IF(AH25=1,AG26+1,0)</f>
        <v>0</v>
      </c>
      <c r="AI26" s="10" t="n">
        <f aca="false">IF(AI25=1,AH26+1,0)</f>
        <v>0</v>
      </c>
      <c r="AJ26" s="10" t="n">
        <f aca="false">IF(AJ25=1,AI26+1,0)</f>
        <v>0</v>
      </c>
      <c r="AK26" s="10" t="n">
        <f aca="false">IF(AK25=1,AJ26+1,0)</f>
        <v>0</v>
      </c>
      <c r="AL26" s="10" t="n">
        <f aca="false">IF(AL25=1,AK26+1,0)</f>
        <v>0</v>
      </c>
      <c r="AM26" s="10" t="n">
        <f aca="false">IF(AM25=1,AL26+1,0)</f>
        <v>0</v>
      </c>
      <c r="AN26" s="10" t="n">
        <f aca="false">IF(AN25=1,AM26+1,0)</f>
        <v>0</v>
      </c>
      <c r="AO26" s="10" t="n">
        <f aca="false">IF(AO25=1,AN26+1,0)</f>
        <v>0</v>
      </c>
      <c r="AP26" s="10" t="n">
        <f aca="false">IF(AP25=1,AO26+1,0)</f>
        <v>0</v>
      </c>
      <c r="AQ26" s="10" t="n">
        <f aca="false">IF(AQ25=1,AP26+1,0)</f>
        <v>0</v>
      </c>
      <c r="AR26" s="10" t="n">
        <f aca="false">IF(AR25=1,AQ26+1,0)</f>
        <v>0</v>
      </c>
      <c r="AS26" s="10" t="n">
        <f aca="false">IF(AS25=1,AR26+1,0)</f>
        <v>0</v>
      </c>
      <c r="AT26" s="10" t="n">
        <f aca="false">IF(AT25=1,AS26+1,0)</f>
        <v>0</v>
      </c>
      <c r="AU26" s="10" t="n">
        <f aca="false">IF(AU25=1,AT26+1,0)</f>
        <v>0</v>
      </c>
      <c r="AV26" s="10" t="n">
        <f aca="false">IF(AV25=1,AU26+1,0)</f>
        <v>0</v>
      </c>
      <c r="AW26" s="10" t="n">
        <f aca="false">IF(AW25=1,AV26+1,0)</f>
        <v>0</v>
      </c>
      <c r="AX26" s="10" t="n">
        <f aca="false">IF(AX25=1,AW26+1,0)</f>
        <v>0</v>
      </c>
      <c r="AY26" s="10" t="n">
        <f aca="false">IF(AY25=1,AX26+1,0)</f>
        <v>0</v>
      </c>
      <c r="AZ26" s="10" t="n">
        <f aca="false">IF(AZ25=1,AY26+1,0)</f>
        <v>0</v>
      </c>
      <c r="BA26" s="10" t="n">
        <f aca="false">IF(BA25=1,AZ26+1,0)</f>
        <v>0</v>
      </c>
      <c r="BB26" s="10" t="n">
        <f aca="false">IF(BB25=1,BA26+1,0)</f>
        <v>0</v>
      </c>
      <c r="BC26" s="10" t="n">
        <f aca="false">IF(BC25=1,BB26+1,0)</f>
        <v>0</v>
      </c>
      <c r="BD26" s="10" t="n">
        <f aca="false">IF(BD25=1,BC26+1,0)</f>
        <v>0</v>
      </c>
      <c r="BE26" s="10" t="n">
        <f aca="false">IF(BE25=1,BD26+1,0)</f>
        <v>0</v>
      </c>
      <c r="BF26" s="10" t="n">
        <f aca="false">IF(BF25=1,BE26+1,0)</f>
        <v>0</v>
      </c>
      <c r="BG26" s="10" t="n">
        <f aca="false">IF(BG25=1,BF26+1,0)</f>
        <v>0</v>
      </c>
      <c r="BH26" s="10" t="n">
        <f aca="false">IF(BH25=1,BG26+1,0)</f>
        <v>0</v>
      </c>
      <c r="BI26" s="10" t="n">
        <f aca="false">IF(BI25=1,BH26+1,0)</f>
        <v>0</v>
      </c>
      <c r="BJ26" s="10" t="n">
        <f aca="false">IF(BJ25=1,BI26+1,0)</f>
        <v>0</v>
      </c>
      <c r="BK26" s="10" t="n">
        <f aca="false">IF(BK25=1,BJ26+1,0)</f>
        <v>0</v>
      </c>
      <c r="BL26" s="10" t="n">
        <f aca="false">IF(BL25=1,BK26+1,0)</f>
        <v>0</v>
      </c>
      <c r="BM26" s="10" t="n">
        <f aca="false">IF(BM25=1,BL26+1,0)</f>
        <v>0</v>
      </c>
      <c r="BN26" s="10" t="n">
        <f aca="false">IF(BN25=1,BM26+1,0)</f>
        <v>0</v>
      </c>
    </row>
    <row r="27" customFormat="false" ht="15" hidden="false" customHeight="false" outlineLevel="0" collapsed="false">
      <c r="B27" s="2" t="s">
        <v>848</v>
      </c>
    </row>
    <row r="28" customFormat="false" ht="15" hidden="false" customHeight="false" outlineLevel="0" collapsed="false">
      <c r="D28" s="0" t="s">
        <v>849</v>
      </c>
      <c r="E28" s="0" t="s">
        <v>149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850</v>
      </c>
      <c r="E29" s="0" t="s">
        <v>149</v>
      </c>
      <c r="G29" s="13" t="n">
        <f aca="false">SUM(J29:BN29)</f>
        <v>94.6658232061352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6.18526964990857</v>
      </c>
      <c r="AB29" s="13" t="n">
        <f aca="false">IF(AND(AB24=1,Time!AB52=1,Inputs!$F$52=1),MIN(Inputs!$F$111*AB15,Debt!AB73),0)</f>
        <v>7.19416552841933</v>
      </c>
      <c r="AC29" s="13" t="n">
        <f aca="false">IF(AND(AC24=1,Time!AC52=1,Inputs!$F$52=1),MIN(Inputs!$F$111*AC15,Debt!AC73),0)</f>
        <v>6.86678897087803</v>
      </c>
      <c r="AD29" s="13" t="n">
        <f aca="false">IF(AND(AD24=1,Time!AD52=1,Inputs!$F$52=1),MIN(Inputs!$F$111*AD15,Debt!AD73),0)</f>
        <v>8.2088372521896</v>
      </c>
      <c r="AE29" s="13" t="n">
        <f aca="false">IF(AND(AE24=1,Time!AE52=1,Inputs!$F$52=1),MIN(Inputs!$F$111*AE15,Debt!AE73),0)</f>
        <v>8.82241226273076</v>
      </c>
      <c r="AF29" s="13" t="n">
        <f aca="false">IF(AND(AF24=1,Time!AF52=1,Inputs!$F$52=1),MIN(Inputs!$F$111*AF15,Debt!AF73),0)</f>
        <v>9.71942530961141</v>
      </c>
      <c r="AG29" s="13" t="n">
        <f aca="false">IF(AND(AG24=1,Time!AG52=1,Inputs!$F$52=1),MIN(Inputs!$F$111*AG15,Debt!AG73),0)</f>
        <v>10.1557640161825</v>
      </c>
      <c r="AH29" s="13" t="n">
        <f aca="false">IF(AND(AH24=1,Time!AH52=1,Inputs!$F$52=1),MIN(Inputs!$F$111*AH15,Debt!AH73),0)</f>
        <v>11.5387131006289</v>
      </c>
      <c r="AI29" s="13" t="n">
        <f aca="false">IF(AND(AI24=1,Time!AI52=1,Inputs!$F$52=1),MIN(Inputs!$F$111*AI15,Debt!AI73),0)</f>
        <v>12.4175779958468</v>
      </c>
      <c r="AJ29" s="13" t="n">
        <f aca="false">IF(AND(AJ24=1,Time!AJ52=1,Inputs!$F$52=1),MIN(Inputs!$F$111*AJ15,Debt!AJ73),0)</f>
        <v>13.5568691197393</v>
      </c>
      <c r="AK29" s="13" t="n">
        <f aca="false">IF(AND(AK24=1,Time!AK52=1,Inputs!$F$52=1),MIN(Inputs!$F$111*AK15,Debt!AK73),0)</f>
        <v>0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851</v>
      </c>
      <c r="E30" s="0" t="s">
        <v>149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1.87224719782193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852</v>
      </c>
      <c r="E31" s="0" t="s">
        <v>149</v>
      </c>
      <c r="G31" s="13" t="n">
        <f aca="false">SUM(J31:BN31)</f>
        <v>1397.32630450836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14.997189587262</v>
      </c>
      <c r="Q31" s="13" t="n">
        <f aca="false">IF(Q24=1,Q15-Q29,0)</f>
        <v>0</v>
      </c>
      <c r="R31" s="13" t="n">
        <f aca="false">IF(R24=1,R15-R29,0)</f>
        <v>0</v>
      </c>
      <c r="S31" s="13" t="n">
        <f aca="false">IF(S24=1,S15-S29,0)</f>
        <v>38.6460885979589</v>
      </c>
      <c r="T31" s="13" t="n">
        <f aca="false">IF(T24=1,T15-T29,0)</f>
        <v>13.3934512551275</v>
      </c>
      <c r="U31" s="13" t="n">
        <f aca="false">IF(U24=1,U15-U29,0)</f>
        <v>12.4325149877249</v>
      </c>
      <c r="V31" s="13" t="n">
        <f aca="false">IF(V24=1,V15-V29,0)</f>
        <v>13.6654648959126</v>
      </c>
      <c r="W31" s="13" t="n">
        <f aca="false">IF(W24=1,W15-W29,0)</f>
        <v>14.404561953598</v>
      </c>
      <c r="X31" s="13" t="n">
        <f aca="false">IF(X24=1,X15-X29,0)</f>
        <v>13.2807813101373</v>
      </c>
      <c r="Y31" s="13" t="n">
        <f aca="false">IF(Y24=1,Y15-Y29,0)</f>
        <v>12.4986661546243</v>
      </c>
      <c r="Z31" s="13" t="n">
        <f aca="false">IF(Z24=1,Z15-Z29,0)</f>
        <v>13.2020528452989</v>
      </c>
      <c r="AA31" s="13" t="n">
        <f aca="false">IF(AA24=1,AA15-AA29,0)</f>
        <v>6.18526964990857</v>
      </c>
      <c r="AB31" s="13" t="n">
        <f aca="false">IF(AB24=1,AB15-AB29,0)</f>
        <v>7.19416552841933</v>
      </c>
      <c r="AC31" s="13" t="n">
        <f aca="false">IF(AC24=1,AC15-AC29,0)</f>
        <v>6.86678897087803</v>
      </c>
      <c r="AD31" s="13" t="n">
        <f aca="false">IF(AD24=1,AD15-AD29,0)</f>
        <v>8.2088372521896</v>
      </c>
      <c r="AE31" s="13" t="n">
        <f aca="false">IF(AE24=1,AE15-AE29,0)</f>
        <v>8.82241226273076</v>
      </c>
      <c r="AF31" s="13" t="n">
        <f aca="false">IF(AF24=1,AF15-AF29,0)</f>
        <v>9.71942530961141</v>
      </c>
      <c r="AG31" s="13" t="n">
        <f aca="false">IF(AG24=1,AG15-AG29,0)</f>
        <v>10.1557640161825</v>
      </c>
      <c r="AH31" s="13" t="n">
        <f aca="false">IF(AH24=1,AH15-AH29,0)</f>
        <v>11.5387131006289</v>
      </c>
      <c r="AI31" s="13" t="n">
        <f aca="false">IF(AI24=1,AI15-AI29,0)</f>
        <v>12.4175779958468</v>
      </c>
      <c r="AJ31" s="13" t="n">
        <f aca="false">IF(AJ24=1,AJ15-AJ29,0)</f>
        <v>15.0551962854809</v>
      </c>
      <c r="AK31" s="13" t="n">
        <f aca="false">IF(AK24=1,AK15-AK29,0)</f>
        <v>31.8897157033808</v>
      </c>
      <c r="AL31" s="13" t="n">
        <f aca="false">IF(AL24=1,AL15-AL29,0)</f>
        <v>29.7062841581408</v>
      </c>
      <c r="AM31" s="13" t="n">
        <f aca="false">IF(AM24=1,AM15-AM29,0)</f>
        <v>33.7676877727452</v>
      </c>
      <c r="AN31" s="13" t="n">
        <f aca="false">IF(AN24=1,AN15-AN29,0)</f>
        <v>23.5625680489029</v>
      </c>
      <c r="AO31" s="13" t="n">
        <f aca="false">IF(AO24=1,AO15-AO29,0)</f>
        <v>41.5947474858284</v>
      </c>
      <c r="AP31" s="13" t="n">
        <f aca="false">IF(AP24=1,AP15-AP29,0)</f>
        <v>41.6216377830038</v>
      </c>
      <c r="AQ31" s="13" t="n">
        <f aca="false">IF(AQ24=1,AQ15-AQ29,0)</f>
        <v>41.1745993340732</v>
      </c>
      <c r="AR31" s="13" t="n">
        <f aca="false">IF(AR24=1,AR15-AR29,0)</f>
        <v>41.770960831035</v>
      </c>
      <c r="AS31" s="13" t="n">
        <f aca="false">IF(AS24=1,AS15-AS29,0)</f>
        <v>41.5056129118261</v>
      </c>
      <c r="AT31" s="13" t="n">
        <f aca="false">IF(AT24=1,AT15-AT29,0)</f>
        <v>48.238693031292</v>
      </c>
      <c r="AU31" s="13" t="n">
        <f aca="false">IF(AU24=1,AU15-AU29,0)</f>
        <v>43.8015207396234</v>
      </c>
      <c r="AV31" s="13" t="n">
        <f aca="false">IF(AV24=1,AV15-AV29,0)</f>
        <v>43.9250195431293</v>
      </c>
      <c r="AW31" s="13" t="n">
        <f aca="false">IF(AW24=1,AW15-AW29,0)</f>
        <v>43.5006347551928</v>
      </c>
      <c r="AX31" s="13" t="n">
        <f aca="false">IF(AX24=1,AX15-AX29,0)</f>
        <v>44.1754747855326</v>
      </c>
      <c r="AY31" s="13" t="n">
        <f aca="false">IF(AY24=1,AY15-AY29,0)</f>
        <v>43.7185522989792</v>
      </c>
      <c r="AZ31" s="13" t="n">
        <f aca="false">IF(AZ24=1,AZ15-AZ29,0)</f>
        <v>44.3364424388821</v>
      </c>
      <c r="BA31" s="13" t="n">
        <f aca="false">IF(BA24=1,BA15-BA29,0)</f>
        <v>43.543829720821</v>
      </c>
      <c r="BB31" s="13" t="n">
        <f aca="false">IF(BB24=1,BB15-BB29,0)</f>
        <v>44.7848097266784</v>
      </c>
      <c r="BC31" s="13" t="n">
        <f aca="false">IF(BC24=1,BC15-BC29,0)</f>
        <v>41.3693070627511</v>
      </c>
      <c r="BD31" s="13" t="n">
        <f aca="false">IF(BD24=1,BD15-BD29,0)</f>
        <v>35.2535532770043</v>
      </c>
      <c r="BE31" s="13" t="n">
        <f aca="false">IF(BE24=1,BE15-BE29,0)</f>
        <v>34.8037917507731</v>
      </c>
      <c r="BF31" s="13" t="n">
        <f aca="false">IF(BF24=1,BF15-BF29,0)</f>
        <v>35.4911261343409</v>
      </c>
      <c r="BG31" s="13" t="n">
        <f aca="false">IF(BG24=1,BG15-BG29,0)</f>
        <v>35.0063413826083</v>
      </c>
      <c r="BH31" s="13" t="n">
        <f aca="false">IF(BH24=1,BH15-BH29,0)</f>
        <v>35.6301644713499</v>
      </c>
      <c r="BI31" s="13" t="n">
        <f aca="false">IF(BI24=1,BI15-BI29,0)</f>
        <v>35.3515331654512</v>
      </c>
      <c r="BJ31" s="13" t="n">
        <f aca="false">IF(BJ24=1,BJ15-BJ29,0)</f>
        <v>43.3576219239654</v>
      </c>
      <c r="BK31" s="13" t="n">
        <f aca="false">IF(BK24=1,BK15-BK29,0)</f>
        <v>38.0900629941884</v>
      </c>
      <c r="BL31" s="13" t="n">
        <f aca="false">IF(BL24=1,BL15-BL29,0)</f>
        <v>38.8201016869331</v>
      </c>
      <c r="BM31" s="13" t="n">
        <f aca="false">IF(BM24=1,BM15-BM29,0)</f>
        <v>54.8489876304097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853</v>
      </c>
      <c r="E32" s="0" t="s">
        <v>149</v>
      </c>
      <c r="F32" s="17" t="n">
        <f aca="false">SUM(Funding!$J$69:$BJ$69)</f>
        <v>44.3667535168114</v>
      </c>
    </row>
    <row r="33" customFormat="false" ht="15" hidden="false" customHeight="false" outlineLevel="0" collapsed="false">
      <c r="D33" s="0" t="s">
        <v>854</v>
      </c>
      <c r="E33" s="0" t="s">
        <v>149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201.659718724773</v>
      </c>
      <c r="P33" s="13" t="n">
        <f aca="false">IF(Time!P20&lt;Time!$F$12,0,IF(Time!P34=1,INDEX(Funding!$J$72:$BJ$72,1,Time!$F$14),O36))</f>
        <v>204.861412067266</v>
      </c>
      <c r="Q33" s="13" t="n">
        <f aca="false">IF(Time!Q20&lt;Time!$F$12,0,IF(Time!Q34=1,INDEX(Funding!$J$72:$BJ$72,1,Time!$F$14),P36))</f>
        <v>199.675119693527</v>
      </c>
      <c r="R33" s="13" t="n">
        <f aca="false">IF(Time!R20&lt;Time!$F$12,0,IF(Time!R34=1,INDEX(Funding!$J$72:$BJ$72,1,Time!$F$14),Q36))</f>
        <v>209.081732524021</v>
      </c>
      <c r="S33" s="13" t="n">
        <f aca="false">IF(Time!S20&lt;Time!$F$12,0,IF(Time!S34=1,INDEX(Funding!$J$72:$BJ$72,1,Time!$F$14),R36))</f>
        <v>219.094742618596</v>
      </c>
      <c r="T33" s="13" t="n">
        <f aca="false">IF(Time!T20&lt;Time!$F$12,0,IF(Time!T34=1,INDEX(Funding!$J$72:$BJ$72,1,Time!$F$14),S36))</f>
        <v>190.770117306463</v>
      </c>
      <c r="U33" s="13" t="n">
        <f aca="false">IF(Time!U20&lt;Time!$F$12,0,IF(Time!U34=1,INDEX(Funding!$J$72:$BJ$72,1,Time!$F$14),T36))</f>
        <v>186.512725367821</v>
      </c>
      <c r="V33" s="13" t="n">
        <f aca="false">IF(Time!V20&lt;Time!$F$12,0,IF(Time!V34=1,INDEX(Funding!$J$72:$BJ$72,1,Time!$F$14),U36))</f>
        <v>182.915292631081</v>
      </c>
      <c r="W33" s="13" t="n">
        <f aca="false">IF(Time!W20&lt;Time!$F$12,0,IF(Time!W34=1,INDEX(Funding!$J$72:$BJ$72,1,Time!$F$14),V36))</f>
        <v>178.009716269939</v>
      </c>
      <c r="X33" s="13" t="n">
        <f aca="false">IF(Time!X20&lt;Time!$F$12,0,IF(Time!X34=1,INDEX(Funding!$J$72:$BJ$72,1,Time!$F$14),W36))</f>
        <v>171.99111889514</v>
      </c>
      <c r="Y33" s="13" t="n">
        <f aca="false">IF(Time!Y20&lt;Time!$F$12,0,IF(Time!Y34=1,INDEX(Funding!$J$72:$BJ$72,1,Time!$F$14),X36))</f>
        <v>166.947062950173</v>
      </c>
      <c r="Z33" s="13" t="n">
        <f aca="false">IF(Time!Z20&lt;Time!$F$12,0,IF(Time!Z34=1,INDEX(Funding!$J$72:$BJ$72,1,Time!$F$14),Y36))</f>
        <v>162.313204322749</v>
      </c>
      <c r="AA33" s="13" t="n">
        <f aca="false">IF(Time!AA20&lt;Time!$F$12,0,IF(Time!AA34=1,INDEX(Funding!$J$72:$BJ$72,1,Time!$F$14),Z36))</f>
        <v>156.884397536523</v>
      </c>
      <c r="AB33" s="13" t="n">
        <f aca="false">IF(Time!AB20&lt;Time!$F$12,0,IF(Time!AB34=1,INDEX(Funding!$J$72:$BJ$72,1,Time!$F$14),AA36))</f>
        <v>158.08988738152</v>
      </c>
      <c r="AC33" s="13" t="n">
        <f aca="false">IF(Time!AC20&lt;Time!$F$12,0,IF(Time!AC34=1,INDEX(Funding!$J$72:$BJ$72,1,Time!$F$14),AB36))</f>
        <v>158.466711528249</v>
      </c>
      <c r="AD33" s="13" t="n">
        <f aca="false">IF(Time!AD20&lt;Time!$F$12,0,IF(Time!AD34=1,INDEX(Funding!$J$72:$BJ$72,1,Time!$F$14),AC36))</f>
        <v>159.106468974695</v>
      </c>
      <c r="AE33" s="13" t="n">
        <f aca="false">IF(Time!AE20&lt;Time!$F$12,0,IF(Time!AE34=1,INDEX(Funding!$J$72:$BJ$72,1,Time!$F$14),AD36))</f>
        <v>158.517305907924</v>
      </c>
      <c r="AF33" s="13" t="n">
        <f aca="false">IF(Time!AF20&lt;Time!$F$12,0,IF(Time!AF34=1,INDEX(Funding!$J$72:$BJ$72,1,Time!$F$14),AE36))</f>
        <v>157.162578782417</v>
      </c>
      <c r="AG33" s="13" t="n">
        <f aca="false">IF(Time!AG20&lt;Time!$F$12,0,IF(Time!AG34=1,INDEX(Funding!$J$72:$BJ$72,1,Time!$F$14),AF36))</f>
        <v>154.969733958057</v>
      </c>
      <c r="AH33" s="13" t="n">
        <f aca="false">IF(Time!AH20&lt;Time!$F$12,0,IF(Time!AH34=1,INDEX(Funding!$J$72:$BJ$72,1,Time!$F$14),AG36))</f>
        <v>152.114530422446</v>
      </c>
      <c r="AI33" s="13" t="n">
        <f aca="false">IF(Time!AI20&lt;Time!$F$12,0,IF(Time!AI34=1,INDEX(Funding!$J$72:$BJ$72,1,Time!$F$14),AH36))</f>
        <v>147.860644696569</v>
      </c>
      <c r="AJ33" s="13" t="n">
        <f aca="false">IF(Time!AJ20&lt;Time!$F$12,0,IF(Time!AJ34=1,INDEX(Funding!$J$72:$BJ$72,1,Time!$F$14),AI36))</f>
        <v>142.408720907729</v>
      </c>
      <c r="AK33" s="13" t="n">
        <f aca="false">IF(Time!AK20&lt;Time!$F$12,0,IF(Time!AK34=1,INDEX(Funding!$J$72:$BJ$72,1,Time!$F$14),AJ36))</f>
        <v>134.173536790652</v>
      </c>
      <c r="AL33" s="13" t="n">
        <f aca="false">IF(Time!AL20&lt;Time!$F$12,0,IF(Time!AL34=1,INDEX(Funding!$J$72:$BJ$72,1,Time!$F$14),AK36))</f>
        <v>108.639603145107</v>
      </c>
      <c r="AM33" s="13" t="n">
        <f aca="false">IF(Time!AM20&lt;Time!$F$12,0,IF(Time!AM34=1,INDEX(Funding!$J$72:$BJ$72,1,Time!$F$14),AL36))</f>
        <v>84.136114227998</v>
      </c>
      <c r="AN33" s="13" t="n">
        <f aca="false">IF(Time!AN20&lt;Time!$F$12,0,IF(Time!AN34=1,INDEX(Funding!$J$72:$BJ$72,1,Time!$F$14),AM36))</f>
        <v>54.3320442200485</v>
      </c>
      <c r="AO33" s="13" t="n">
        <f aca="false">IF(Time!AO20&lt;Time!$F$12,0,IF(Time!AO34=1,INDEX(Funding!$J$72:$BJ$72,1,Time!$F$14),AN36))</f>
        <v>33.3714600970811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855</v>
      </c>
      <c r="E34" s="0" t="s">
        <v>149</v>
      </c>
      <c r="G34" s="13" t="n">
        <f aca="false">SUM(J34:BN34)</f>
        <v>170.05164708014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9.81089721352277</v>
      </c>
      <c r="Q34" s="13" t="n">
        <f aca="false">Q24*MIN(Q31,Tax!Q13)</f>
        <v>0</v>
      </c>
      <c r="R34" s="13" t="n">
        <f aca="false">R24*MIN(R31,Tax!R13)</f>
        <v>0</v>
      </c>
      <c r="S34" s="13" t="n">
        <f aca="false">S24*MIN(S31,Tax!S13)</f>
        <v>10.3214632858267</v>
      </c>
      <c r="T34" s="13" t="n">
        <f aca="false">T24*MIN(T31,Tax!T13)</f>
        <v>9.13605931648488</v>
      </c>
      <c r="U34" s="13" t="n">
        <f aca="false">U24*MIN(U31,Tax!U13)</f>
        <v>8.83508225098527</v>
      </c>
      <c r="V34" s="13" t="n">
        <f aca="false">V24*MIN(V31,Tax!V13)</f>
        <v>8.75988853477069</v>
      </c>
      <c r="W34" s="13" t="n">
        <f aca="false">W24*MIN(W31,Tax!W13)</f>
        <v>8.38596457879893</v>
      </c>
      <c r="X34" s="13" t="n">
        <f aca="false">X24*MIN(X31,Tax!X13)</f>
        <v>8.23672536517001</v>
      </c>
      <c r="Y34" s="13" t="n">
        <f aca="false">Y24*MIN(Y31,Tax!Y13)</f>
        <v>7.86480752720062</v>
      </c>
      <c r="Z34" s="13" t="n">
        <f aca="false">Z24*MIN(Z31,Tax!Z13)</f>
        <v>7.77324605907304</v>
      </c>
      <c r="AA34" s="13" t="n">
        <f aca="false">AA24*MIN(AA31,Tax!AA13)</f>
        <v>6.18526964990857</v>
      </c>
      <c r="AB34" s="13" t="n">
        <f aca="false">AB24*MIN(AB31,Tax!AB13)</f>
        <v>7.19416552841933</v>
      </c>
      <c r="AC34" s="13" t="n">
        <f aca="false">AC24*MIN(AC31,Tax!AC13)</f>
        <v>6.86678897087803</v>
      </c>
      <c r="AD34" s="13" t="n">
        <f aca="false">AD24*MIN(AD31,Tax!AD13)</f>
        <v>7.61967418541829</v>
      </c>
      <c r="AE34" s="13" t="n">
        <f aca="false">AE24*MIN(AE31,Tax!AE13)</f>
        <v>7.46768513722398</v>
      </c>
      <c r="AF34" s="13" t="n">
        <f aca="false">AF24*MIN(AF31,Tax!AF13)</f>
        <v>7.52658048525111</v>
      </c>
      <c r="AG34" s="13" t="n">
        <f aca="false">AG24*MIN(AG31,Tax!AG13)</f>
        <v>7.30056048057203</v>
      </c>
      <c r="AH34" s="13" t="n">
        <f aca="false">AH24*MIN(AH31,Tax!AH13)</f>
        <v>7.28482737475168</v>
      </c>
      <c r="AI34" s="13" t="n">
        <f aca="false">AI24*MIN(AI31,Tax!AI13)</f>
        <v>6.96565420700688</v>
      </c>
      <c r="AJ34" s="13" t="n">
        <f aca="false">AJ24*MIN(AJ31,Tax!AJ13)</f>
        <v>6.82001216840304</v>
      </c>
      <c r="AK34" s="13" t="n">
        <f aca="false">AK24*MIN(AK31,Tax!AK13)</f>
        <v>6.35578205783662</v>
      </c>
      <c r="AL34" s="13" t="n">
        <f aca="false">AL24*MIN(AL31,Tax!AL13)</f>
        <v>5.20279524103144</v>
      </c>
      <c r="AM34" s="13" t="n">
        <f aca="false">AM24*MIN(AM31,Tax!AM13)</f>
        <v>3.96361776479568</v>
      </c>
      <c r="AN34" s="13" t="n">
        <f aca="false">AN24*MIN(AN31,Tax!AN13)</f>
        <v>2.60198392593547</v>
      </c>
      <c r="AO34" s="13" t="n">
        <f aca="false">AO24*MIN(AO31,Tax!AO13)</f>
        <v>1.57211577087482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856</v>
      </c>
      <c r="E35" s="0" t="s">
        <v>149</v>
      </c>
      <c r="G35" s="13" t="n">
        <f aca="false">SUM(J35:BN35)</f>
        <v>226.503106430507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5.18629237373923</v>
      </c>
      <c r="Q35" s="13" t="n">
        <f aca="false">Q24*MIN(Q31-Q34,Q33+Tax!Q13-Q34)</f>
        <v>0</v>
      </c>
      <c r="R35" s="13" t="n">
        <f aca="false">R24*MIN(R31-R34,R33+Tax!R13-R34)</f>
        <v>0</v>
      </c>
      <c r="S35" s="13" t="n">
        <f aca="false">S24*MIN(S31-S34,S33+Tax!S13-S34)</f>
        <v>28.3246253121322</v>
      </c>
      <c r="T35" s="13" t="n">
        <f aca="false">T24*MIN(T31-T34,T33+Tax!T13-T34)</f>
        <v>4.25739193864257</v>
      </c>
      <c r="U35" s="13" t="n">
        <f aca="false">U24*MIN(U31-U34,U33+Tax!U13-U34)</f>
        <v>3.59743273673959</v>
      </c>
      <c r="V35" s="13" t="n">
        <f aca="false">V24*MIN(V31-V34,V33+Tax!V13-V34)</f>
        <v>4.90557636114186</v>
      </c>
      <c r="W35" s="13" t="n">
        <f aca="false">W24*MIN(W31-W34,W33+Tax!W13-W34)</f>
        <v>6.01859737479912</v>
      </c>
      <c r="X35" s="13" t="n">
        <f aca="false">X24*MIN(X31-X34,X33+Tax!X13-X34)</f>
        <v>5.04405594496733</v>
      </c>
      <c r="Y35" s="13" t="n">
        <f aca="false">Y24*MIN(Y31-Y34,Y33+Tax!Y13-Y34)</f>
        <v>4.63385862742368</v>
      </c>
      <c r="Z35" s="13" t="n">
        <f aca="false">Z24*MIN(Z31-Z34,Z33+Tax!Z13-Z34)</f>
        <v>5.42880678622584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0.589163066771312</v>
      </c>
      <c r="AE35" s="13" t="n">
        <f aca="false">AE24*MIN(AE31-AE34,AE33+Tax!AE13-AE34)</f>
        <v>1.35472712550678</v>
      </c>
      <c r="AF35" s="13" t="n">
        <f aca="false">AF24*MIN(AF31-AF34,AF33+Tax!AF13-AF34)</f>
        <v>2.1928448243603</v>
      </c>
      <c r="AG35" s="13" t="n">
        <f aca="false">AG24*MIN(AG31-AG34,AG33+Tax!AG13-AG34)</f>
        <v>2.85520353561051</v>
      </c>
      <c r="AH35" s="13" t="n">
        <f aca="false">AH24*MIN(AH31-AH34,AH33+Tax!AH13-AH34)</f>
        <v>4.25388572587717</v>
      </c>
      <c r="AI35" s="13" t="n">
        <f aca="false">AI24*MIN(AI31-AI34,AI33+Tax!AI13-AI34)</f>
        <v>5.45192378883997</v>
      </c>
      <c r="AJ35" s="13" t="n">
        <f aca="false">AJ24*MIN(AJ31-AJ34,AJ33+Tax!AJ13-AJ34)</f>
        <v>8.23518411707781</v>
      </c>
      <c r="AK35" s="13" t="n">
        <f aca="false">AK24*MIN(AK31-AK34,AK33+Tax!AK13-AK34)</f>
        <v>25.5339336455442</v>
      </c>
      <c r="AL35" s="13" t="n">
        <f aca="false">AL24*MIN(AL31-AL34,AL33+Tax!AL13-AL34)</f>
        <v>24.5034889171094</v>
      </c>
      <c r="AM35" s="13" t="n">
        <f aca="false">AM24*MIN(AM31-AM34,AM33+Tax!AM13-AM34)</f>
        <v>29.8040700079495</v>
      </c>
      <c r="AN35" s="13" t="n">
        <f aca="false">AN24*MIN(AN31-AN34,AN33+Tax!AN13-AN34)</f>
        <v>20.9605841229674</v>
      </c>
      <c r="AO35" s="13" t="n">
        <f aca="false">AO24*MIN(AO31-AO34,AO33+Tax!AO13-AO34)</f>
        <v>33.3714600970811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857</v>
      </c>
      <c r="E36" s="0" t="s">
        <v>149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204.861412067266</v>
      </c>
      <c r="P36" s="13" t="n">
        <f aca="false">P33+Tax!P13-P34-P35</f>
        <v>199.675119693527</v>
      </c>
      <c r="Q36" s="13" t="n">
        <f aca="false">Q33+Tax!Q13-Q34-Q35</f>
        <v>209.081732524021</v>
      </c>
      <c r="R36" s="13" t="n">
        <f aca="false">R33+Tax!R13-R34-R35</f>
        <v>219.094742618596</v>
      </c>
      <c r="S36" s="13" t="n">
        <f aca="false">S33+Tax!S13-S34-S35</f>
        <v>190.770117306463</v>
      </c>
      <c r="T36" s="13" t="n">
        <f aca="false">T33+Tax!T13-T34-T35</f>
        <v>186.512725367821</v>
      </c>
      <c r="U36" s="13" t="n">
        <f aca="false">U33+Tax!U13-U34-U35</f>
        <v>182.915292631081</v>
      </c>
      <c r="V36" s="13" t="n">
        <f aca="false">V33+Tax!V13-V34-V35</f>
        <v>178.009716269939</v>
      </c>
      <c r="W36" s="13" t="n">
        <f aca="false">W33+Tax!W13-W34-W35</f>
        <v>171.99111889514</v>
      </c>
      <c r="X36" s="13" t="n">
        <f aca="false">X33+Tax!X13-X34-X35</f>
        <v>166.947062950173</v>
      </c>
      <c r="Y36" s="13" t="n">
        <f aca="false">Y33+Tax!Y13-Y34-Y35</f>
        <v>162.313204322749</v>
      </c>
      <c r="Z36" s="13" t="n">
        <f aca="false">Z33+Tax!Z13-Z34-Z35</f>
        <v>156.884397536523</v>
      </c>
      <c r="AA36" s="13" t="n">
        <f aca="false">AA33+Tax!AA13-AA34-AA35</f>
        <v>158.08988738152</v>
      </c>
      <c r="AB36" s="13" t="n">
        <f aca="false">AB33+Tax!AB13-AB34-AB35</f>
        <v>158.466711528249</v>
      </c>
      <c r="AC36" s="13" t="n">
        <f aca="false">AC33+Tax!AC13-AC34-AC35</f>
        <v>159.106468974695</v>
      </c>
      <c r="AD36" s="13" t="n">
        <f aca="false">AD33+Tax!AD13-AD34-AD35</f>
        <v>158.517305907924</v>
      </c>
      <c r="AE36" s="13" t="n">
        <f aca="false">AE33+Tax!AE13-AE34-AE35</f>
        <v>157.162578782417</v>
      </c>
      <c r="AF36" s="13" t="n">
        <f aca="false">AF33+Tax!AF13-AF34-AF35</f>
        <v>154.969733958057</v>
      </c>
      <c r="AG36" s="13" t="n">
        <f aca="false">AG33+Tax!AG13-AG34-AG35</f>
        <v>152.114530422446</v>
      </c>
      <c r="AH36" s="13" t="n">
        <f aca="false">AH33+Tax!AH13-AH34-AH35</f>
        <v>147.860644696569</v>
      </c>
      <c r="AI36" s="13" t="n">
        <f aca="false">AI33+Tax!AI13-AI34-AI35</f>
        <v>142.408720907729</v>
      </c>
      <c r="AJ36" s="13" t="n">
        <f aca="false">AJ33+Tax!AJ13-AJ34-AJ35</f>
        <v>134.173536790652</v>
      </c>
      <c r="AK36" s="13" t="n">
        <f aca="false">AK33+Tax!AK13-AK34-AK35</f>
        <v>108.639603145107</v>
      </c>
      <c r="AL36" s="13" t="n">
        <f aca="false">AL33+Tax!AL13-AL34-AL35</f>
        <v>84.136114227998</v>
      </c>
      <c r="AM36" s="13" t="n">
        <f aca="false">AM33+Tax!AM13-AM34-AM35</f>
        <v>54.3320442200485</v>
      </c>
      <c r="AN36" s="13" t="n">
        <f aca="false">AN33+Tax!AN13-AN34-AN35</f>
        <v>33.3714600970811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858</v>
      </c>
      <c r="E37" s="0" t="s">
        <v>149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9.77868877042472</v>
      </c>
      <c r="P37" s="13" t="n">
        <f aca="false">MAX(0,O43+Financials!P14)</f>
        <v>17.1606352308563</v>
      </c>
      <c r="Q37" s="13" t="n">
        <f aca="false">MAX(0,P43+Financials!Q14)</f>
        <v>25.898034096354</v>
      </c>
      <c r="R37" s="13" t="n">
        <f aca="false">MAX(0,Q43+Financials!R14)</f>
        <v>34.5036165461804</v>
      </c>
      <c r="S37" s="13" t="n">
        <f aca="false">MAX(0,R43+Financials!S14)</f>
        <v>43.6855217955968</v>
      </c>
      <c r="T37" s="13" t="n">
        <f aca="false">MAX(0,S43+Financials!T14)</f>
        <v>54.5144883290233</v>
      </c>
      <c r="U37" s="13" t="n">
        <f aca="false">MAX(0,T43+Financials!U14)</f>
        <v>66.571341570056</v>
      </c>
      <c r="V37" s="13" t="n">
        <f aca="false">MAX(0,U43+Financials!V14)</f>
        <v>76.9383946509939</v>
      </c>
      <c r="W37" s="13" t="n">
        <f aca="false">MAX(0,V43+Financials!W14)</f>
        <v>91.1135697229048</v>
      </c>
      <c r="X37" s="13" t="n">
        <f aca="false">MAX(0,W43+Financials!X14)</f>
        <v>105.960972524016</v>
      </c>
      <c r="Y37" s="13" t="n">
        <f aca="false">MAX(0,X43+Financials!Y14)</f>
        <v>118.815756613655</v>
      </c>
      <c r="Z37" s="13" t="n">
        <f aca="false">MAX(0,Y43+Financials!Z14)</f>
        <v>126.486466975933</v>
      </c>
      <c r="AA37" s="13" t="n">
        <f aca="false">MAX(0,Z43+Financials!AA14)</f>
        <v>135.129254976858</v>
      </c>
      <c r="AB37" s="13" t="n">
        <f aca="false">MAX(0,AA43+Financials!AB14)</f>
        <v>144.334000240633</v>
      </c>
      <c r="AC37" s="13" t="n">
        <f aca="false">MAX(0,AB43+Financials!AC14)</f>
        <v>154.593717038009</v>
      </c>
      <c r="AD37" s="13" t="n">
        <f aca="false">MAX(0,AC43+Financials!AD14)</f>
        <v>156.770508776305</v>
      </c>
      <c r="AE37" s="13" t="n">
        <f aca="false">MAX(0,AD43+Financials!AE14)</f>
        <v>168.961408879664</v>
      </c>
      <c r="AF37" s="13" t="n">
        <f aca="false">MAX(0,AE43+Financials!AF14)</f>
        <v>181.870138832892</v>
      </c>
      <c r="AG37" s="13" t="n">
        <f aca="false">MAX(0,AF43+Financials!AG14)</f>
        <v>195.872842435195</v>
      </c>
      <c r="AH37" s="13" t="n">
        <f aca="false">MAX(0,AG43+Financials!AH14)</f>
        <v>210.88408528311</v>
      </c>
      <c r="AI37" s="13" t="n">
        <f aca="false">MAX(0,AH43+Financials!AI14)</f>
        <v>227.203518099845</v>
      </c>
      <c r="AJ37" s="13" t="n">
        <f aca="false">MAX(0,AI43+Financials!AJ14)</f>
        <v>244.623758019781</v>
      </c>
      <c r="AK37" s="13" t="n">
        <f aca="false">MAX(0,AJ43+Financials!AK14)</f>
        <v>263.473379514544</v>
      </c>
      <c r="AL37" s="13" t="n">
        <f aca="false">MAX(0,AK43+Financials!AL14)</f>
        <v>281.615092678594</v>
      </c>
      <c r="AM37" s="13" t="n">
        <f aca="false">MAX(0,AL43+Financials!AM14)</f>
        <v>303.270772774533</v>
      </c>
      <c r="AN37" s="13" t="n">
        <f aca="false">MAX(0,AM43+Financials!AN14)</f>
        <v>326.556834970095</v>
      </c>
      <c r="AO37" s="13" t="n">
        <f aca="false">MAX(0,AN43+Financials!AO14)</f>
        <v>351.016987575933</v>
      </c>
      <c r="AP37" s="13" t="n">
        <f aca="false">MAX(0,AO43+Financials!AP14)</f>
        <v>370.397677257344</v>
      </c>
      <c r="AQ37" s="13" t="n">
        <f aca="false">MAX(0,AP43+Financials!AQ14)</f>
        <v>354.88868911725</v>
      </c>
      <c r="AR37" s="13" t="n">
        <f aca="false">MAX(0,AQ43+Financials!AR14)</f>
        <v>339.894761747764</v>
      </c>
      <c r="AS37" s="13" t="n">
        <f aca="false">MAX(0,AR43+Financials!AS14)</f>
        <v>324.484224382595</v>
      </c>
      <c r="AT37" s="13" t="n">
        <f aca="false">MAX(0,AS43+Financials!AT14)</f>
        <v>299.030516795484</v>
      </c>
      <c r="AU37" s="13" t="n">
        <f aca="false">MAX(0,AT43+Financials!AU14)</f>
        <v>277.437040675538</v>
      </c>
      <c r="AV37" s="13" t="n">
        <f aca="false">MAX(0,AU43+Financials!AV14)</f>
        <v>260.210286223885</v>
      </c>
      <c r="AW37" s="13" t="n">
        <f aca="false">MAX(0,AV43+Financials!AW14)</f>
        <v>242.975486452026</v>
      </c>
      <c r="AX37" s="13" t="n">
        <f aca="false">MAX(0,AW43+Financials!AX14)</f>
        <v>226.299791155509</v>
      </c>
      <c r="AY37" s="13" t="n">
        <f aca="false">MAX(0,AX43+Financials!AY14)</f>
        <v>209.035744150875</v>
      </c>
      <c r="AZ37" s="13" t="n">
        <f aca="false">MAX(0,AY43+Financials!AZ14)</f>
        <v>192.302020638541</v>
      </c>
      <c r="BA37" s="13" t="n">
        <f aca="false">MAX(0,AZ43+Financials!BA14)</f>
        <v>175.112273770263</v>
      </c>
      <c r="BB37" s="13" t="n">
        <f aca="false">MAX(0,BA43+Financials!BB14)</f>
        <v>156.464807981548</v>
      </c>
      <c r="BC37" s="13" t="n">
        <f aca="false">MAX(0,BB43+Financials!BC14)</f>
        <v>139.101129253149</v>
      </c>
      <c r="BD37" s="13" t="n">
        <f aca="false">MAX(0,BC43+Financials!BD14)</f>
        <v>125.143337246242</v>
      </c>
      <c r="BE37" s="13" t="n">
        <f aca="false">MAX(0,BD43+Financials!BE14)</f>
        <v>117.426129993039</v>
      </c>
      <c r="BF37" s="13" t="n">
        <f aca="false">MAX(0,BE43+Financials!BF14)</f>
        <v>110.306045846098</v>
      </c>
      <c r="BG37" s="13" t="n">
        <f aca="false">MAX(0,BF43+Financials!BG14)</f>
        <v>102.591222815673</v>
      </c>
      <c r="BH37" s="13" t="n">
        <f aca="false">MAX(0,BG43+Financials!BH14)</f>
        <v>95.4403893731833</v>
      </c>
      <c r="BI37" s="13" t="n">
        <f aca="false">MAX(0,BH43+Financials!BI14)</f>
        <v>87.8803499967852</v>
      </c>
      <c r="BJ37" s="13" t="n">
        <f aca="false">MAX(0,BI43+Financials!BJ14)</f>
        <v>68.4145510985352</v>
      </c>
      <c r="BK37" s="13" t="n">
        <f aca="false">MAX(0,BJ43+Financials!BK14)</f>
        <v>53.4662792626311</v>
      </c>
      <c r="BL37" s="13" t="n">
        <f aca="false">MAX(0,BK43+Financials!BL14)</f>
        <v>43.6937349468497</v>
      </c>
      <c r="BM37" s="13" t="n">
        <f aca="false">MAX(0,BL43+Financials!BM14)</f>
        <v>10.482234113598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859</v>
      </c>
      <c r="E38" s="0" t="s">
        <v>149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6.6511716178725</v>
      </c>
      <c r="AP38" s="13" t="n">
        <f aca="false">AP24*MIN(AP31-AP34-AP35,AP37)</f>
        <v>41.6216377830038</v>
      </c>
      <c r="AQ38" s="13" t="n">
        <f aca="false">AQ24*MIN(AQ31-AQ34-AQ35,AQ37)</f>
        <v>41.1745993340732</v>
      </c>
      <c r="AR38" s="13" t="n">
        <f aca="false">AR24*MIN(AR31-AR34-AR35,AR37)</f>
        <v>41.770960831035</v>
      </c>
      <c r="AS38" s="13" t="n">
        <f aca="false">AS24*MIN(AS31-AS34-AS35,AS37)</f>
        <v>41.5056129118261</v>
      </c>
      <c r="AT38" s="13" t="n">
        <f aca="false">AT24*MIN(AT31-AT34-AT35,AT37)</f>
        <v>48.238693031292</v>
      </c>
      <c r="AU38" s="13" t="n">
        <f aca="false">AU24*MIN(AU31-AU34-AU35,AU37)</f>
        <v>43.8015207396234</v>
      </c>
      <c r="AV38" s="13" t="n">
        <f aca="false">AV24*MIN(AV31-AV34-AV35,AV37)</f>
        <v>43.9250195431293</v>
      </c>
      <c r="AW38" s="13" t="n">
        <f aca="false">AW24*MIN(AW31-AW34-AW35,AW37)</f>
        <v>43.5006347551928</v>
      </c>
      <c r="AX38" s="13" t="n">
        <f aca="false">AX24*MIN(AX31-AX34-AX35,AX37)</f>
        <v>44.1754747855326</v>
      </c>
      <c r="AY38" s="13" t="n">
        <f aca="false">AY24*MIN(AY31-AY34-AY35,AY37)</f>
        <v>43.7185522989792</v>
      </c>
      <c r="AZ38" s="13" t="n">
        <f aca="false">AZ24*MIN(AZ31-AZ34-AZ35,AZ37)</f>
        <v>44.3364424388821</v>
      </c>
      <c r="BA38" s="13" t="n">
        <f aca="false">BA24*MIN(BA31-BA34-BA35,BA37)</f>
        <v>43.543829720821</v>
      </c>
      <c r="BB38" s="13" t="n">
        <f aca="false">BB24*MIN(BB31-BB34-BB35,BB37)</f>
        <v>44.7848097266784</v>
      </c>
      <c r="BC38" s="13" t="n">
        <f aca="false">BC24*MIN(BC31-BC34-BC35,BC37)</f>
        <v>41.3693070627511</v>
      </c>
      <c r="BD38" s="13" t="n">
        <f aca="false">BD24*MIN(BD31-BD34-BD35,BD37)</f>
        <v>35.2535532770043</v>
      </c>
      <c r="BE38" s="13" t="n">
        <f aca="false">BE24*MIN(BE31-BE34-BE35,BE37)</f>
        <v>34.8037917507731</v>
      </c>
      <c r="BF38" s="13" t="n">
        <f aca="false">BF24*MIN(BF31-BF34-BF35,BF37)</f>
        <v>35.4911261343409</v>
      </c>
      <c r="BG38" s="13" t="n">
        <f aca="false">BG24*MIN(BG31-BG34-BG35,BG37)</f>
        <v>35.0063413826083</v>
      </c>
      <c r="BH38" s="13" t="n">
        <f aca="false">BH24*MIN(BH31-BH34-BH35,BH37)</f>
        <v>35.6301644713499</v>
      </c>
      <c r="BI38" s="13" t="n">
        <f aca="false">BI24*MIN(BI31-BI34-BI35,BI37)</f>
        <v>35.3515331654512</v>
      </c>
      <c r="BJ38" s="13" t="n">
        <f aca="false">BJ24*MIN(BJ31-BJ34-BJ35,BJ37)</f>
        <v>43.3576219239654</v>
      </c>
      <c r="BK38" s="13" t="n">
        <f aca="false">BK24*MIN(BK31-BK34-BK35,BK37)</f>
        <v>38.0900629941884</v>
      </c>
      <c r="BL38" s="13" t="n">
        <f aca="false">BL24*MIN(BL31-BL34-BL35,BL37)</f>
        <v>38.8201016869331</v>
      </c>
      <c r="BM38" s="13" t="n">
        <f aca="false">BM24*MIN(BM31-BM34-BM35,BM37)</f>
        <v>10.482234113598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860</v>
      </c>
      <c r="E39" s="0" t="s">
        <v>149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44.3667535168117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861</v>
      </c>
      <c r="E40" s="0" t="s">
        <v>149</v>
      </c>
      <c r="G40" s="13" t="n">
        <f aca="false">SUM(J40:BN40)</f>
        <v>44.3667535168117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44.3667535168117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862</v>
      </c>
      <c r="E41" s="0" t="s">
        <v>149</v>
      </c>
      <c r="G41" s="13" t="n">
        <f aca="false">SUM(J41:BN41)</f>
        <v>1000.77155099772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6.6511716178725</v>
      </c>
      <c r="AP41" s="13" t="n">
        <f aca="false">AP38+AP40</f>
        <v>41.6216377830038</v>
      </c>
      <c r="AQ41" s="13" t="n">
        <f aca="false">AQ38+AQ40</f>
        <v>41.1745993340732</v>
      </c>
      <c r="AR41" s="13" t="n">
        <f aca="false">AR38+AR40</f>
        <v>41.770960831035</v>
      </c>
      <c r="AS41" s="13" t="n">
        <f aca="false">AS38+AS40</f>
        <v>41.5056129118261</v>
      </c>
      <c r="AT41" s="13" t="n">
        <f aca="false">AT38+AT40</f>
        <v>48.238693031292</v>
      </c>
      <c r="AU41" s="13" t="n">
        <f aca="false">AU38+AU40</f>
        <v>43.8015207396234</v>
      </c>
      <c r="AV41" s="13" t="n">
        <f aca="false">AV38+AV40</f>
        <v>43.9250195431293</v>
      </c>
      <c r="AW41" s="13" t="n">
        <f aca="false">AW38+AW40</f>
        <v>43.5006347551928</v>
      </c>
      <c r="AX41" s="13" t="n">
        <f aca="false">AX38+AX40</f>
        <v>44.1754747855326</v>
      </c>
      <c r="AY41" s="13" t="n">
        <f aca="false">AY38+AY40</f>
        <v>43.7185522989792</v>
      </c>
      <c r="AZ41" s="13" t="n">
        <f aca="false">AZ38+AZ40</f>
        <v>44.3364424388821</v>
      </c>
      <c r="BA41" s="13" t="n">
        <f aca="false">BA38+BA40</f>
        <v>43.543829720821</v>
      </c>
      <c r="BB41" s="13" t="n">
        <f aca="false">BB38+BB40</f>
        <v>44.7848097266784</v>
      </c>
      <c r="BC41" s="13" t="n">
        <f aca="false">BC38+BC40</f>
        <v>41.3693070627511</v>
      </c>
      <c r="BD41" s="13" t="n">
        <f aca="false">BD38+BD40</f>
        <v>35.2535532770043</v>
      </c>
      <c r="BE41" s="13" t="n">
        <f aca="false">BE38+BE40</f>
        <v>34.8037917507731</v>
      </c>
      <c r="BF41" s="13" t="n">
        <f aca="false">BF38+BF40</f>
        <v>35.4911261343409</v>
      </c>
      <c r="BG41" s="13" t="n">
        <f aca="false">BG38+BG40</f>
        <v>35.0063413826083</v>
      </c>
      <c r="BH41" s="13" t="n">
        <f aca="false">BH38+BH40</f>
        <v>35.6301644713499</v>
      </c>
      <c r="BI41" s="13" t="n">
        <f aca="false">BI38+BI40</f>
        <v>35.3515331654512</v>
      </c>
      <c r="BJ41" s="13" t="n">
        <f aca="false">BJ38+BJ40</f>
        <v>43.3576219239654</v>
      </c>
      <c r="BK41" s="13" t="n">
        <f aca="false">BK38+BK40</f>
        <v>38.0900629941884</v>
      </c>
      <c r="BL41" s="13" t="n">
        <f aca="false">BL38+BL40</f>
        <v>38.8201016869331</v>
      </c>
      <c r="BM41" s="13" t="n">
        <f aca="false">BM38+BM40</f>
        <v>54.8489876304097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863</v>
      </c>
      <c r="E42" s="0" t="s">
        <v>149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864</v>
      </c>
      <c r="E43" s="0" t="s">
        <v>149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9.77868877042472</v>
      </c>
      <c r="P43" s="13" t="n">
        <f aca="false">IF(Time!P20&lt;Time!$F$12,0,O43+Financials!P14-P41)</f>
        <v>17.1606352308563</v>
      </c>
      <c r="Q43" s="13" t="n">
        <f aca="false">IF(Time!Q20&lt;Time!$F$12,0,P43+Financials!Q14-Q41)</f>
        <v>25.898034096354</v>
      </c>
      <c r="R43" s="13" t="n">
        <f aca="false">IF(Time!R20&lt;Time!$F$12,0,Q43+Financials!R14-R41)</f>
        <v>34.5036165461804</v>
      </c>
      <c r="S43" s="13" t="n">
        <f aca="false">IF(Time!S20&lt;Time!$F$12,0,R43+Financials!S14-S41)</f>
        <v>43.6855217955968</v>
      </c>
      <c r="T43" s="13" t="n">
        <f aca="false">IF(Time!T20&lt;Time!$F$12,0,S43+Financials!T14-T41)</f>
        <v>54.5144883290233</v>
      </c>
      <c r="U43" s="13" t="n">
        <f aca="false">IF(Time!U20&lt;Time!$F$12,0,T43+Financials!U14-U41)</f>
        <v>66.571341570056</v>
      </c>
      <c r="V43" s="13" t="n">
        <f aca="false">IF(Time!V20&lt;Time!$F$12,0,U43+Financials!V14-V41)</f>
        <v>76.9383946509939</v>
      </c>
      <c r="W43" s="13" t="n">
        <f aca="false">IF(Time!W20&lt;Time!$F$12,0,V43+Financials!W14-W41)</f>
        <v>91.1135697229048</v>
      </c>
      <c r="X43" s="13" t="n">
        <f aca="false">IF(Time!X20&lt;Time!$F$12,0,W43+Financials!X14-X41)</f>
        <v>105.960972524016</v>
      </c>
      <c r="Y43" s="13" t="n">
        <f aca="false">IF(Time!Y20&lt;Time!$F$12,0,X43+Financials!Y14-Y41)</f>
        <v>118.815756613655</v>
      </c>
      <c r="Z43" s="13" t="n">
        <f aca="false">IF(Time!Z20&lt;Time!$F$12,0,Y43+Financials!Z14-Z41)</f>
        <v>126.486466975933</v>
      </c>
      <c r="AA43" s="13" t="n">
        <f aca="false">IF(Time!AA20&lt;Time!$F$12,0,Z43+Financials!AA14-AA41)</f>
        <v>135.129254976858</v>
      </c>
      <c r="AB43" s="13" t="n">
        <f aca="false">IF(Time!AB20&lt;Time!$F$12,0,AA43+Financials!AB14-AB41)</f>
        <v>144.334000240633</v>
      </c>
      <c r="AC43" s="13" t="n">
        <f aca="false">IF(Time!AC20&lt;Time!$F$12,0,AB43+Financials!AC14-AC41)</f>
        <v>154.593717038009</v>
      </c>
      <c r="AD43" s="13" t="n">
        <f aca="false">IF(Time!AD20&lt;Time!$F$12,0,AC43+Financials!AD14-AD41)</f>
        <v>156.770508776305</v>
      </c>
      <c r="AE43" s="13" t="n">
        <f aca="false">IF(Time!AE20&lt;Time!$F$12,0,AD43+Financials!AE14-AE41)</f>
        <v>168.961408879664</v>
      </c>
      <c r="AF43" s="13" t="n">
        <f aca="false">IF(Time!AF20&lt;Time!$F$12,0,AE43+Financials!AF14-AF41)</f>
        <v>181.870138832892</v>
      </c>
      <c r="AG43" s="13" t="n">
        <f aca="false">IF(Time!AG20&lt;Time!$F$12,0,AF43+Financials!AG14-AG41)</f>
        <v>195.872842435195</v>
      </c>
      <c r="AH43" s="13" t="n">
        <f aca="false">IF(Time!AH20&lt;Time!$F$12,0,AG43+Financials!AH14-AH41)</f>
        <v>210.88408528311</v>
      </c>
      <c r="AI43" s="13" t="n">
        <f aca="false">IF(Time!AI20&lt;Time!$F$12,0,AH43+Financials!AI14-AI41)</f>
        <v>227.203518099845</v>
      </c>
      <c r="AJ43" s="13" t="n">
        <f aca="false">IF(Time!AJ20&lt;Time!$F$12,0,AI43+Financials!AJ14-AJ41)</f>
        <v>244.623758019781</v>
      </c>
      <c r="AK43" s="13" t="n">
        <f aca="false">IF(Time!AK20&lt;Time!$F$12,0,AJ43+Financials!AK14-AK41)</f>
        <v>263.473379514544</v>
      </c>
      <c r="AL43" s="13" t="n">
        <f aca="false">IF(Time!AL20&lt;Time!$F$12,0,AK43+Financials!AL14-AL41)</f>
        <v>281.615092678594</v>
      </c>
      <c r="AM43" s="13" t="n">
        <f aca="false">IF(Time!AM20&lt;Time!$F$12,0,AL43+Financials!AM14-AM41)</f>
        <v>303.270772774533</v>
      </c>
      <c r="AN43" s="13" t="n">
        <f aca="false">IF(Time!AN20&lt;Time!$F$12,0,AM43+Financials!AN14-AN41)</f>
        <v>326.556834970095</v>
      </c>
      <c r="AO43" s="13" t="n">
        <f aca="false">IF(Time!AO20&lt;Time!$F$12,0,AN43+Financials!AO14-AO41)</f>
        <v>344.36581595806</v>
      </c>
      <c r="AP43" s="13" t="n">
        <f aca="false">IF(Time!AP20&lt;Time!$F$12,0,AO43+Financials!AP14-AP41)</f>
        <v>328.77603947434</v>
      </c>
      <c r="AQ43" s="13" t="n">
        <f aca="false">IF(Time!AQ20&lt;Time!$F$12,0,AP43+Financials!AQ14-AQ41)</f>
        <v>313.714089783177</v>
      </c>
      <c r="AR43" s="13" t="n">
        <f aca="false">IF(Time!AR20&lt;Time!$F$12,0,AQ43+Financials!AR14-AR41)</f>
        <v>298.123800916729</v>
      </c>
      <c r="AS43" s="13" t="n">
        <f aca="false">IF(Time!AS20&lt;Time!$F$12,0,AR43+Financials!AS14-AS41)</f>
        <v>282.978611470768</v>
      </c>
      <c r="AT43" s="13" t="n">
        <f aca="false">IF(Time!AT20&lt;Time!$F$12,0,AS43+Financials!AT14-AT41)</f>
        <v>250.791823764192</v>
      </c>
      <c r="AU43" s="13" t="n">
        <f aca="false">IF(Time!AU20&lt;Time!$F$12,0,AT43+Financials!AU14-AU41)</f>
        <v>233.635519935914</v>
      </c>
      <c r="AV43" s="13" t="n">
        <f aca="false">IF(Time!AV20&lt;Time!$F$12,0,AU43+Financials!AV14-AV41)</f>
        <v>216.285266680756</v>
      </c>
      <c r="AW43" s="13" t="n">
        <f aca="false">IF(Time!AW20&lt;Time!$F$12,0,AV43+Financials!AW14-AW41)</f>
        <v>199.474851696834</v>
      </c>
      <c r="AX43" s="13" t="n">
        <f aca="false">IF(Time!AX20&lt;Time!$F$12,0,AW43+Financials!AX14-AX41)</f>
        <v>182.124316369977</v>
      </c>
      <c r="AY43" s="13" t="n">
        <f aca="false">IF(Time!AY20&lt;Time!$F$12,0,AX43+Financials!AY14-AY41)</f>
        <v>165.317191851896</v>
      </c>
      <c r="AZ43" s="13" t="n">
        <f aca="false">IF(Time!AZ20&lt;Time!$F$12,0,AY43+Financials!AZ14-AZ41)</f>
        <v>147.965578199659</v>
      </c>
      <c r="BA43" s="13" t="n">
        <f aca="false">IF(Time!BA20&lt;Time!$F$12,0,AZ43+Financials!BA14-BA41)</f>
        <v>131.568444049442</v>
      </c>
      <c r="BB43" s="13" t="n">
        <f aca="false">IF(Time!BB20&lt;Time!$F$12,0,BA43+Financials!BB14-BB41)</f>
        <v>111.67999825487</v>
      </c>
      <c r="BC43" s="13" t="n">
        <f aca="false">IF(Time!BC20&lt;Time!$F$12,0,BB43+Financials!BC14-BC41)</f>
        <v>97.7318221903981</v>
      </c>
      <c r="BD43" s="13" t="n">
        <f aca="false">IF(Time!BD20&lt;Time!$F$12,0,BC43+Financials!BD14-BD41)</f>
        <v>89.8897839692381</v>
      </c>
      <c r="BE43" s="13" t="n">
        <f aca="false">IF(Time!BE20&lt;Time!$F$12,0,BD43+Financials!BE14-BE41)</f>
        <v>82.6223382422655</v>
      </c>
      <c r="BF43" s="13" t="n">
        <f aca="false">IF(Time!BF20&lt;Time!$F$12,0,BE43+Financials!BF14-BF41)</f>
        <v>74.8149197117575</v>
      </c>
      <c r="BG43" s="13" t="n">
        <f aca="false">IF(Time!BG20&lt;Time!$F$12,0,BF43+Financials!BG14-BG41)</f>
        <v>67.5848814330646</v>
      </c>
      <c r="BH43" s="13" t="n">
        <f aca="false">IF(Time!BH20&lt;Time!$F$12,0,BG43+Financials!BH14-BH41)</f>
        <v>59.8102249018334</v>
      </c>
      <c r="BI43" s="13" t="n">
        <f aca="false">IF(Time!BI20&lt;Time!$F$12,0,BH43+Financials!BI14-BI41)</f>
        <v>52.528816831334</v>
      </c>
      <c r="BJ43" s="13" t="n">
        <f aca="false">IF(Time!BJ20&lt;Time!$F$12,0,BI43+Financials!BJ14-BJ41)</f>
        <v>25.0569291745697</v>
      </c>
      <c r="BK43" s="13" t="n">
        <f aca="false">IF(Time!BK20&lt;Time!$F$12,0,BJ43+Financials!BK14-BK41)</f>
        <v>15.3762162684427</v>
      </c>
      <c r="BL43" s="13" t="n">
        <f aca="false">IF(Time!BL20&lt;Time!$F$12,0,BK43+Financials!BL14-BL41)</f>
        <v>4.87363325991659</v>
      </c>
      <c r="BM43" s="13" t="n">
        <f aca="false">IF(Time!BM20&lt;Time!$F$12,0,BL43+Financials!BM14-BM41)</f>
        <v>-44.3667535168117</v>
      </c>
      <c r="BN43" s="13" t="n">
        <f aca="false">IF(Time!BN20&lt;Time!$F$12,0,BM43+Financials!BN14-BN41)</f>
        <v>-44.3667535168117</v>
      </c>
    </row>
    <row r="44" customFormat="false" ht="15" hidden="false" customHeight="false" outlineLevel="0" collapsed="false">
      <c r="D44" s="0" t="s">
        <v>865</v>
      </c>
      <c r="E44" s="0" t="s">
        <v>149</v>
      </c>
      <c r="G44" s="13" t="n">
        <f aca="false">SUM(J44:BN44)</f>
        <v>1397.32630450836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14.997189587262</v>
      </c>
      <c r="Q44" s="13" t="n">
        <f aca="false">Q34+Q35+Q41</f>
        <v>0</v>
      </c>
      <c r="R44" s="13" t="n">
        <f aca="false">R34+R35+R41</f>
        <v>0</v>
      </c>
      <c r="S44" s="13" t="n">
        <f aca="false">S34+S35+S41</f>
        <v>38.6460885979589</v>
      </c>
      <c r="T44" s="13" t="n">
        <f aca="false">T34+T35+T41</f>
        <v>13.3934512551275</v>
      </c>
      <c r="U44" s="13" t="n">
        <f aca="false">U34+U35+U41</f>
        <v>12.4325149877249</v>
      </c>
      <c r="V44" s="13" t="n">
        <f aca="false">V34+V35+V41</f>
        <v>13.6654648959126</v>
      </c>
      <c r="W44" s="13" t="n">
        <f aca="false">W34+W35+W41</f>
        <v>14.404561953598</v>
      </c>
      <c r="X44" s="13" t="n">
        <f aca="false">X34+X35+X41</f>
        <v>13.2807813101373</v>
      </c>
      <c r="Y44" s="13" t="n">
        <f aca="false">Y34+Y35+Y41</f>
        <v>12.4986661546243</v>
      </c>
      <c r="Z44" s="13" t="n">
        <f aca="false">Z34+Z35+Z41</f>
        <v>13.2020528452989</v>
      </c>
      <c r="AA44" s="13" t="n">
        <f aca="false">AA34+AA35+AA41</f>
        <v>6.18526964990857</v>
      </c>
      <c r="AB44" s="13" t="n">
        <f aca="false">AB34+AB35+AB41</f>
        <v>7.19416552841933</v>
      </c>
      <c r="AC44" s="13" t="n">
        <f aca="false">AC34+AC35+AC41</f>
        <v>6.86678897087803</v>
      </c>
      <c r="AD44" s="13" t="n">
        <f aca="false">AD34+AD35+AD41</f>
        <v>8.2088372521896</v>
      </c>
      <c r="AE44" s="13" t="n">
        <f aca="false">AE34+AE35+AE41</f>
        <v>8.82241226273076</v>
      </c>
      <c r="AF44" s="13" t="n">
        <f aca="false">AF34+AF35+AF41</f>
        <v>9.71942530961141</v>
      </c>
      <c r="AG44" s="13" t="n">
        <f aca="false">AG34+AG35+AG41</f>
        <v>10.1557640161825</v>
      </c>
      <c r="AH44" s="13" t="n">
        <f aca="false">AH34+AH35+AH41</f>
        <v>11.5387131006289</v>
      </c>
      <c r="AI44" s="13" t="n">
        <f aca="false">AI34+AI35+AI41</f>
        <v>12.4175779958468</v>
      </c>
      <c r="AJ44" s="13" t="n">
        <f aca="false">AJ34+AJ35+AJ41</f>
        <v>15.0551962854809</v>
      </c>
      <c r="AK44" s="13" t="n">
        <f aca="false">AK34+AK35+AK41</f>
        <v>31.8897157033809</v>
      </c>
      <c r="AL44" s="13" t="n">
        <f aca="false">AL34+AL35+AL41</f>
        <v>29.7062841581408</v>
      </c>
      <c r="AM44" s="13" t="n">
        <f aca="false">AM34+AM35+AM41</f>
        <v>33.7676877727452</v>
      </c>
      <c r="AN44" s="13" t="n">
        <f aca="false">AN34+AN35+AN41</f>
        <v>23.5625680489029</v>
      </c>
      <c r="AO44" s="13" t="n">
        <f aca="false">AO34+AO35+AO41</f>
        <v>41.5947474858284</v>
      </c>
      <c r="AP44" s="13" t="n">
        <f aca="false">AP34+AP35+AP41</f>
        <v>41.6216377830038</v>
      </c>
      <c r="AQ44" s="13" t="n">
        <f aca="false">AQ34+AQ35+AQ41</f>
        <v>41.1745993340732</v>
      </c>
      <c r="AR44" s="13" t="n">
        <f aca="false">AR34+AR35+AR41</f>
        <v>41.770960831035</v>
      </c>
      <c r="AS44" s="13" t="n">
        <f aca="false">AS34+AS35+AS41</f>
        <v>41.5056129118261</v>
      </c>
      <c r="AT44" s="13" t="n">
        <f aca="false">AT34+AT35+AT41</f>
        <v>48.238693031292</v>
      </c>
      <c r="AU44" s="13" t="n">
        <f aca="false">AU34+AU35+AU41</f>
        <v>43.8015207396234</v>
      </c>
      <c r="AV44" s="13" t="n">
        <f aca="false">AV34+AV35+AV41</f>
        <v>43.9250195431293</v>
      </c>
      <c r="AW44" s="13" t="n">
        <f aca="false">AW34+AW35+AW41</f>
        <v>43.5006347551928</v>
      </c>
      <c r="AX44" s="13" t="n">
        <f aca="false">AX34+AX35+AX41</f>
        <v>44.1754747855326</v>
      </c>
      <c r="AY44" s="13" t="n">
        <f aca="false">AY34+AY35+AY41</f>
        <v>43.7185522989792</v>
      </c>
      <c r="AZ44" s="13" t="n">
        <f aca="false">AZ34+AZ35+AZ41</f>
        <v>44.3364424388821</v>
      </c>
      <c r="BA44" s="13" t="n">
        <f aca="false">BA34+BA35+BA41</f>
        <v>43.543829720821</v>
      </c>
      <c r="BB44" s="13" t="n">
        <f aca="false">BB34+BB35+BB41</f>
        <v>44.7848097266784</v>
      </c>
      <c r="BC44" s="13" t="n">
        <f aca="false">BC34+BC35+BC41</f>
        <v>41.3693070627511</v>
      </c>
      <c r="BD44" s="13" t="n">
        <f aca="false">BD34+BD35+BD41</f>
        <v>35.2535532770043</v>
      </c>
      <c r="BE44" s="13" t="n">
        <f aca="false">BE34+BE35+BE41</f>
        <v>34.8037917507731</v>
      </c>
      <c r="BF44" s="13" t="n">
        <f aca="false">BF34+BF35+BF41</f>
        <v>35.4911261343409</v>
      </c>
      <c r="BG44" s="13" t="n">
        <f aca="false">BG34+BG35+BG41</f>
        <v>35.0063413826083</v>
      </c>
      <c r="BH44" s="13" t="n">
        <f aca="false">BH34+BH35+BH41</f>
        <v>35.6301644713499</v>
      </c>
      <c r="BI44" s="13" t="n">
        <f aca="false">BI34+BI35+BI41</f>
        <v>35.3515331654512</v>
      </c>
      <c r="BJ44" s="13" t="n">
        <f aca="false">BJ34+BJ35+BJ41</f>
        <v>43.3576219239654</v>
      </c>
      <c r="BK44" s="13" t="n">
        <f aca="false">BK34+BK35+BK41</f>
        <v>38.0900629941884</v>
      </c>
      <c r="BL44" s="13" t="n">
        <f aca="false">BL34+BL35+BL41</f>
        <v>38.8201016869331</v>
      </c>
      <c r="BM44" s="13" t="n">
        <f aca="false">BM34+BM35+BM41</f>
        <v>54.8489876304097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866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867</v>
      </c>
    </row>
    <row r="8" customFormat="false" ht="15" hidden="false" customHeight="false" outlineLevel="0" collapsed="false">
      <c r="D8" s="0" t="s">
        <v>868</v>
      </c>
      <c r="E8" s="0" t="s">
        <v>149</v>
      </c>
      <c r="G8" s="13" t="n">
        <f aca="false">SUM(J8:BN8)</f>
        <v>836.686552347281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5.57791034898187</v>
      </c>
      <c r="P8" s="13" t="n">
        <f aca="false">Funding!$F$76/Time!$F$9*Time!P30</f>
        <v>16.7337310469456</v>
      </c>
      <c r="Q8" s="13" t="n">
        <f aca="false">Funding!$F$76/Time!$F$9*Time!Q30</f>
        <v>16.7337310469456</v>
      </c>
      <c r="R8" s="13" t="n">
        <f aca="false">Funding!$F$76/Time!$F$9*Time!R30</f>
        <v>16.7337310469456</v>
      </c>
      <c r="S8" s="13" t="n">
        <f aca="false">Funding!$F$76/Time!$F$9*Time!S30</f>
        <v>16.7337310469456</v>
      </c>
      <c r="T8" s="13" t="n">
        <f aca="false">Funding!$F$76/Time!$F$9*Time!T30</f>
        <v>16.7337310469456</v>
      </c>
      <c r="U8" s="13" t="n">
        <f aca="false">Funding!$F$76/Time!$F$9*Time!U30</f>
        <v>16.7337310469456</v>
      </c>
      <c r="V8" s="13" t="n">
        <f aca="false">Funding!$F$76/Time!$F$9*Time!V30</f>
        <v>16.7337310469456</v>
      </c>
      <c r="W8" s="13" t="n">
        <f aca="false">Funding!$F$76/Time!$F$9*Time!W30</f>
        <v>16.7337310469456</v>
      </c>
      <c r="X8" s="13" t="n">
        <f aca="false">Funding!$F$76/Time!$F$9*Time!X30</f>
        <v>16.7337310469456</v>
      </c>
      <c r="Y8" s="13" t="n">
        <f aca="false">Funding!$F$76/Time!$F$9*Time!Y30</f>
        <v>16.7337310469456</v>
      </c>
      <c r="Z8" s="13" t="n">
        <f aca="false">Funding!$F$76/Time!$F$9*Time!Z30</f>
        <v>16.7337310469456</v>
      </c>
      <c r="AA8" s="13" t="n">
        <f aca="false">Funding!$F$76/Time!$F$9*Time!AA30</f>
        <v>16.7337310469456</v>
      </c>
      <c r="AB8" s="13" t="n">
        <f aca="false">Funding!$F$76/Time!$F$9*Time!AB30</f>
        <v>16.7337310469456</v>
      </c>
      <c r="AC8" s="13" t="n">
        <f aca="false">Funding!$F$76/Time!$F$9*Time!AC30</f>
        <v>16.7337310469456</v>
      </c>
      <c r="AD8" s="13" t="n">
        <f aca="false">Funding!$F$76/Time!$F$9*Time!AD30</f>
        <v>16.7337310469456</v>
      </c>
      <c r="AE8" s="13" t="n">
        <f aca="false">Funding!$F$76/Time!$F$9*Time!AE30</f>
        <v>16.7337310469456</v>
      </c>
      <c r="AF8" s="13" t="n">
        <f aca="false">Funding!$F$76/Time!$F$9*Time!AF30</f>
        <v>16.7337310469456</v>
      </c>
      <c r="AG8" s="13" t="n">
        <f aca="false">Funding!$F$76/Time!$F$9*Time!AG30</f>
        <v>16.7337310469456</v>
      </c>
      <c r="AH8" s="13" t="n">
        <f aca="false">Funding!$F$76/Time!$F$9*Time!AH30</f>
        <v>16.7337310469456</v>
      </c>
      <c r="AI8" s="13" t="n">
        <f aca="false">Funding!$F$76/Time!$F$9*Time!AI30</f>
        <v>16.7337310469456</v>
      </c>
      <c r="AJ8" s="13" t="n">
        <f aca="false">Funding!$F$76/Time!$F$9*Time!AJ30</f>
        <v>16.7337310469456</v>
      </c>
      <c r="AK8" s="13" t="n">
        <f aca="false">Funding!$F$76/Time!$F$9*Time!AK30</f>
        <v>16.7337310469456</v>
      </c>
      <c r="AL8" s="13" t="n">
        <f aca="false">Funding!$F$76/Time!$F$9*Time!AL30</f>
        <v>16.7337310469456</v>
      </c>
      <c r="AM8" s="13" t="n">
        <f aca="false">Funding!$F$76/Time!$F$9*Time!AM30</f>
        <v>16.7337310469456</v>
      </c>
      <c r="AN8" s="13" t="n">
        <f aca="false">Funding!$F$76/Time!$F$9*Time!AN30</f>
        <v>16.7337310469456</v>
      </c>
      <c r="AO8" s="13" t="n">
        <f aca="false">Funding!$F$76/Time!$F$9*Time!AO30</f>
        <v>16.7337310469456</v>
      </c>
      <c r="AP8" s="13" t="n">
        <f aca="false">Funding!$F$76/Time!$F$9*Time!AP30</f>
        <v>16.7337310469456</v>
      </c>
      <c r="AQ8" s="13" t="n">
        <f aca="false">Funding!$F$76/Time!$F$9*Time!AQ30</f>
        <v>16.7337310469456</v>
      </c>
      <c r="AR8" s="13" t="n">
        <f aca="false">Funding!$F$76/Time!$F$9*Time!AR30</f>
        <v>16.7337310469456</v>
      </c>
      <c r="AS8" s="13" t="n">
        <f aca="false">Funding!$F$76/Time!$F$9*Time!AS30</f>
        <v>16.7337310469456</v>
      </c>
      <c r="AT8" s="13" t="n">
        <f aca="false">Funding!$F$76/Time!$F$9*Time!AT30</f>
        <v>16.7337310469456</v>
      </c>
      <c r="AU8" s="13" t="n">
        <f aca="false">Funding!$F$76/Time!$F$9*Time!AU30</f>
        <v>16.7337310469456</v>
      </c>
      <c r="AV8" s="13" t="n">
        <f aca="false">Funding!$F$76/Time!$F$9*Time!AV30</f>
        <v>16.7337310469456</v>
      </c>
      <c r="AW8" s="13" t="n">
        <f aca="false">Funding!$F$76/Time!$F$9*Time!AW30</f>
        <v>16.7337310469456</v>
      </c>
      <c r="AX8" s="13" t="n">
        <f aca="false">Funding!$F$76/Time!$F$9*Time!AX30</f>
        <v>16.7337310469456</v>
      </c>
      <c r="AY8" s="13" t="n">
        <f aca="false">Funding!$F$76/Time!$F$9*Time!AY30</f>
        <v>16.7337310469456</v>
      </c>
      <c r="AZ8" s="13" t="n">
        <f aca="false">Funding!$F$76/Time!$F$9*Time!AZ30</f>
        <v>16.7337310469456</v>
      </c>
      <c r="BA8" s="13" t="n">
        <f aca="false">Funding!$F$76/Time!$F$9*Time!BA30</f>
        <v>16.7337310469456</v>
      </c>
      <c r="BB8" s="13" t="n">
        <f aca="false">Funding!$F$76/Time!$F$9*Time!BB30</f>
        <v>16.7337310469456</v>
      </c>
      <c r="BC8" s="13" t="n">
        <f aca="false">Funding!$F$76/Time!$F$9*Time!BC30</f>
        <v>16.7337310469456</v>
      </c>
      <c r="BD8" s="13" t="n">
        <f aca="false">Funding!$F$76/Time!$F$9*Time!BD30</f>
        <v>16.7337310469456</v>
      </c>
      <c r="BE8" s="13" t="n">
        <f aca="false">Funding!$F$76/Time!$F$9*Time!BE30</f>
        <v>16.7337310469456</v>
      </c>
      <c r="BF8" s="13" t="n">
        <f aca="false">Funding!$F$76/Time!$F$9*Time!BF30</f>
        <v>16.7337310469456</v>
      </c>
      <c r="BG8" s="13" t="n">
        <f aca="false">Funding!$F$76/Time!$F$9*Time!BG30</f>
        <v>16.7337310469456</v>
      </c>
      <c r="BH8" s="13" t="n">
        <f aca="false">Funding!$F$76/Time!$F$9*Time!BH30</f>
        <v>16.7337310469456</v>
      </c>
      <c r="BI8" s="13" t="n">
        <f aca="false">Funding!$F$76/Time!$F$9*Time!BI30</f>
        <v>16.7337310469456</v>
      </c>
      <c r="BJ8" s="13" t="n">
        <f aca="false">Funding!$F$76/Time!$F$9*Time!BJ30</f>
        <v>16.7337310469456</v>
      </c>
      <c r="BK8" s="13" t="n">
        <f aca="false">Funding!$F$76/Time!$F$9*Time!BK30</f>
        <v>16.7337310469456</v>
      </c>
      <c r="BL8" s="13" t="n">
        <f aca="false">Funding!$F$76/Time!$F$9*Time!BL30</f>
        <v>16.7337310469456</v>
      </c>
      <c r="BM8" s="13" t="n">
        <f aca="false">Funding!$F$76/Time!$F$9*Time!BM30</f>
        <v>11.1558206979637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869</v>
      </c>
      <c r="E9" s="0" t="s">
        <v>149</v>
      </c>
      <c r="G9" s="13" t="n">
        <f aca="false">SUM(J9:BN9)</f>
        <v>507.643924390369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3.20169334249331</v>
      </c>
      <c r="P9" s="13" t="n">
        <f aca="false">Debt!P112+Debt!P110+Debt!P104-Debt!P103+Tax!P13</f>
        <v>31.5670778498749</v>
      </c>
      <c r="Q9" s="13" t="n">
        <f aca="false">Debt!Q112+Debt!Q110+Debt!Q104-Debt!Q103+Tax!Q13</f>
        <v>30.4183629560524</v>
      </c>
      <c r="R9" s="13" t="n">
        <f aca="false">Debt!R112+Debt!R110+Debt!R104-Debt!R103+Tax!R13</f>
        <v>30.6972338368224</v>
      </c>
      <c r="S9" s="13" t="n">
        <f aca="false">Debt!S112+Debt!S110+Debt!S104-Debt!S103+Tax!S13</f>
        <v>30.2150034960838</v>
      </c>
      <c r="T9" s="13" t="n">
        <f aca="false">Debt!T112+Debt!T110+Debt!T104-Debt!T103+Tax!T13</f>
        <v>28.6452815404706</v>
      </c>
      <c r="U9" s="13" t="n">
        <f aca="false">Debt!U112+Debt!U110+Debt!U104-Debt!U103+Tax!U13</f>
        <v>27.5820100962201</v>
      </c>
      <c r="V9" s="13" t="n">
        <f aca="false">Debt!V112+Debt!V110+Debt!V104-Debt!V103+Tax!V13</f>
        <v>26.9943005981823</v>
      </c>
      <c r="W9" s="13" t="n">
        <f aca="false">Debt!W112+Debt!W110+Debt!W104-Debt!W103+Tax!W13</f>
        <v>25.7426603955674</v>
      </c>
      <c r="X9" s="13" t="n">
        <f aca="false">Debt!X112+Debt!X110+Debt!X104-Debt!X103+Tax!X13</f>
        <v>25.0706449040241</v>
      </c>
      <c r="Y9" s="13" t="n">
        <f aca="false">Debt!Y112+Debt!Y110+Debt!Y104-Debt!Y103+Tax!Y13</f>
        <v>24.3328693439736</v>
      </c>
      <c r="Z9" s="13" t="n">
        <f aca="false">Debt!Z112+Debt!Z110+Debt!Z104-Debt!Z103+Tax!Z13</f>
        <v>23.7094805092853</v>
      </c>
      <c r="AA9" s="13" t="n">
        <f aca="false">Debt!AA112+Debt!AA110+Debt!AA104-Debt!AA103+Tax!AA13</f>
        <v>22.4189786500747</v>
      </c>
      <c r="AB9" s="13" t="n">
        <f aca="false">Debt!AB112+Debt!AB110+Debt!AB104-Debt!AB103+Tax!AB13</f>
        <v>21.6968757395919</v>
      </c>
      <c r="AC9" s="13" t="n">
        <f aca="false">Debt!AC112+Debt!AC110+Debt!AC104-Debt!AC103+Tax!AC13</f>
        <v>20.4035744302608</v>
      </c>
      <c r="AD9" s="13" t="n">
        <f aca="false">Debt!AD112+Debt!AD110+Debt!AD104-Debt!AD103+Tax!AD13</f>
        <v>19.4832723383522</v>
      </c>
      <c r="AE9" s="13" t="n">
        <f aca="false">Debt!AE112+Debt!AE110+Debt!AE104-Debt!AE103+Tax!AE13</f>
        <v>17.982598483547</v>
      </c>
      <c r="AF9" s="13" t="n">
        <f aca="false">Debt!AF112+Debt!AF110+Debt!AF104-Debt!AF103+Tax!AF13</f>
        <v>16.8761097202888</v>
      </c>
      <c r="AG9" s="13" t="n">
        <f aca="false">Debt!AG112+Debt!AG110+Debt!AG104-Debt!AG103+Tax!AG13</f>
        <v>15.4521356331545</v>
      </c>
      <c r="AH9" s="13" t="n">
        <f aca="false">Debt!AH112+Debt!AH110+Debt!AH104-Debt!AH103+Tax!AH13</f>
        <v>14.1700613270826</v>
      </c>
      <c r="AI9" s="13" t="n">
        <f aca="false">Debt!AI112+Debt!AI110+Debt!AI104-Debt!AI103+Tax!AI13</f>
        <v>12.4062690682814</v>
      </c>
      <c r="AJ9" s="13" t="n">
        <f aca="false">Debt!AJ112+Debt!AJ110+Debt!AJ104-Debt!AJ103+Tax!AJ13</f>
        <v>10.9207355691125</v>
      </c>
      <c r="AK9" s="13" t="n">
        <f aca="false">Debt!AK112+Debt!AK110+Debt!AK104-Debt!AK103+Tax!AK13</f>
        <v>9.07199270497151</v>
      </c>
      <c r="AL9" s="13" t="n">
        <f aca="false">Debt!AL112+Debt!AL110+Debt!AL104-Debt!AL103+Tax!AL13</f>
        <v>7.37644849245303</v>
      </c>
      <c r="AM9" s="13" t="n">
        <f aca="false">Debt!AM112+Debt!AM110+Debt!AM104-Debt!AM103+Tax!AM13</f>
        <v>5.54480681419704</v>
      </c>
      <c r="AN9" s="13" t="n">
        <f aca="false">Debt!AN112+Debt!AN110+Debt!AN104-Debt!AN103+Tax!AN13</f>
        <v>3.59407739504561</v>
      </c>
      <c r="AO9" s="13" t="n">
        <f aca="false">Debt!AO112+Debt!AO110+Debt!AO104-Debt!AO103+Tax!AO13</f>
        <v>2.06936915490543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870</v>
      </c>
      <c r="E10" s="0" t="s">
        <v>149</v>
      </c>
      <c r="J10" s="13" t="n">
        <f aca="false">Funding!$F$76-SUM(Tax!J$10:J$10)</f>
        <v>836.686552347281</v>
      </c>
      <c r="K10" s="13" t="n">
        <f aca="false">Funding!$F$76-SUM(Tax!$J$10:K$10)</f>
        <v>836.686552347281</v>
      </c>
      <c r="L10" s="13" t="n">
        <f aca="false">Funding!$F$76-SUM(Tax!$J$10:L$10)</f>
        <v>836.686552347281</v>
      </c>
      <c r="M10" s="13" t="n">
        <f aca="false">Funding!$F$76-SUM(Tax!$J$10:M$10)</f>
        <v>836.686552347281</v>
      </c>
      <c r="N10" s="13" t="n">
        <f aca="false">Funding!$F$76-SUM(Tax!$J$10:N$10)</f>
        <v>836.686552347281</v>
      </c>
      <c r="O10" s="13" t="n">
        <f aca="false">Funding!$F$76-SUM(Tax!$J$10:O$10)</f>
        <v>829.156373376155</v>
      </c>
      <c r="P10" s="13" t="n">
        <f aca="false">Funding!$F$76-SUM(Tax!$J$10:P$10)</f>
        <v>806.565836462779</v>
      </c>
      <c r="Q10" s="13" t="n">
        <f aca="false">Funding!$F$76-SUM(Tax!$J$10:Q$10)</f>
        <v>783.975299549402</v>
      </c>
      <c r="R10" s="13" t="n">
        <f aca="false">Funding!$F$76-SUM(Tax!$J$10:R$10)</f>
        <v>761.384762636025</v>
      </c>
      <c r="S10" s="13" t="n">
        <f aca="false">Funding!$F$76-SUM(Tax!$J$10:S$10)</f>
        <v>738.794225722649</v>
      </c>
      <c r="T10" s="13" t="n">
        <f aca="false">Funding!$F$76-SUM(Tax!$J$10:T$10)</f>
        <v>716.203688809272</v>
      </c>
      <c r="U10" s="13" t="n">
        <f aca="false">Funding!$F$76-SUM(Tax!$J$10:U$10)</f>
        <v>693.613151895896</v>
      </c>
      <c r="V10" s="13" t="n">
        <f aca="false">Funding!$F$76-SUM(Tax!$J$10:V$10)</f>
        <v>671.022614982519</v>
      </c>
      <c r="W10" s="13" t="n">
        <f aca="false">Funding!$F$76-SUM(Tax!$J$10:W$10)</f>
        <v>648.432078069142</v>
      </c>
      <c r="X10" s="13" t="n">
        <f aca="false">Funding!$F$76-SUM(Tax!$J$10:X$10)</f>
        <v>625.841541155766</v>
      </c>
      <c r="Y10" s="13" t="n">
        <f aca="false">Funding!$F$76-SUM(Tax!$J$10:Y$10)</f>
        <v>604.087690794737</v>
      </c>
      <c r="Z10" s="13" t="n">
        <f aca="false">Funding!$F$76-SUM(Tax!$J$10:Z$10)</f>
        <v>584.007213538402</v>
      </c>
      <c r="AA10" s="13" t="n">
        <f aca="false">Funding!$F$76-SUM(Tax!$J$10:AA$10)</f>
        <v>563.926736282067</v>
      </c>
      <c r="AB10" s="13" t="n">
        <f aca="false">Funding!$F$76-SUM(Tax!$J$10:AB$10)</f>
        <v>543.846259025732</v>
      </c>
      <c r="AC10" s="13" t="n">
        <f aca="false">Funding!$F$76-SUM(Tax!$J$10:AC$10)</f>
        <v>523.765781769398</v>
      </c>
      <c r="AD10" s="13" t="n">
        <f aca="false">Funding!$F$76-SUM(Tax!$J$10:AD$10)</f>
        <v>503.685304513063</v>
      </c>
      <c r="AE10" s="13" t="n">
        <f aca="false">Funding!$F$76-SUM(Tax!$J$10:AE$10)</f>
        <v>483.604827256728</v>
      </c>
      <c r="AF10" s="13" t="n">
        <f aca="false">Funding!$F$76-SUM(Tax!$J$10:AF$10)</f>
        <v>463.524350000393</v>
      </c>
      <c r="AG10" s="13" t="n">
        <f aca="false">Funding!$F$76-SUM(Tax!$J$10:AG$10)</f>
        <v>443.443872744059</v>
      </c>
      <c r="AH10" s="13" t="n">
        <f aca="false">Funding!$F$76-SUM(Tax!$J$10:AH$10)</f>
        <v>423.363395487724</v>
      </c>
      <c r="AI10" s="13" t="n">
        <f aca="false">Funding!$F$76-SUM(Tax!$J$10:AI$10)</f>
        <v>403.282918231389</v>
      </c>
      <c r="AJ10" s="13" t="n">
        <f aca="false">Funding!$F$76-SUM(Tax!$J$10:AJ$10)</f>
        <v>383.202440975054</v>
      </c>
      <c r="AK10" s="13" t="n">
        <f aca="false">Funding!$F$76-SUM(Tax!$J$10:AK$10)</f>
        <v>363.12196371872</v>
      </c>
      <c r="AL10" s="13" t="n">
        <f aca="false">Funding!$F$76-SUM(Tax!$J$10:AL$10)</f>
        <v>343.041486462385</v>
      </c>
      <c r="AM10" s="13" t="n">
        <f aca="false">Funding!$F$76-SUM(Tax!$J$10:AM$10)</f>
        <v>322.96100920605</v>
      </c>
      <c r="AN10" s="13" t="n">
        <f aca="false">Funding!$F$76-SUM(Tax!$J$10:AN$10)</f>
        <v>302.880531949716</v>
      </c>
      <c r="AO10" s="13" t="n">
        <f aca="false">Funding!$F$76-SUM(Tax!$J$10:AO$10)</f>
        <v>282.800054693381</v>
      </c>
      <c r="AP10" s="13" t="n">
        <f aca="false">Funding!$F$76-SUM(Tax!$J$10:AP$10)</f>
        <v>262.719577437046</v>
      </c>
      <c r="AQ10" s="13" t="n">
        <f aca="false">Funding!$F$76-SUM(Tax!$J$10:AQ$10)</f>
        <v>242.639100180711</v>
      </c>
      <c r="AR10" s="13" t="n">
        <f aca="false">Funding!$F$76-SUM(Tax!$J$10:AR$10)</f>
        <v>222.558622924377</v>
      </c>
      <c r="AS10" s="13" t="n">
        <f aca="false">Funding!$F$76-SUM(Tax!$J$10:AS$10)</f>
        <v>202.478145668042</v>
      </c>
      <c r="AT10" s="13" t="n">
        <f aca="false">Funding!$F$76-SUM(Tax!$J$10:AT$10)</f>
        <v>182.397668411707</v>
      </c>
      <c r="AU10" s="13" t="n">
        <f aca="false">Funding!$F$76-SUM(Tax!$J$10:AU$10)</f>
        <v>162.317191155372</v>
      </c>
      <c r="AV10" s="13" t="n">
        <f aca="false">Funding!$F$76-SUM(Tax!$J$10:AV$10)</f>
        <v>142.236713899038</v>
      </c>
      <c r="AW10" s="13" t="n">
        <f aca="false">Funding!$F$76-SUM(Tax!$J$10:AW$10)</f>
        <v>122.156236642703</v>
      </c>
      <c r="AX10" s="13" t="n">
        <f aca="false">Funding!$F$76-SUM(Tax!$J$10:AX$10)</f>
        <v>102.075759386368</v>
      </c>
      <c r="AY10" s="13" t="n">
        <f aca="false">Funding!$F$76-SUM(Tax!$J$10:AY$10)</f>
        <v>81.9952821300335</v>
      </c>
      <c r="AZ10" s="13" t="n">
        <f aca="false">Funding!$F$76-SUM(Tax!$J$10:AZ$10)</f>
        <v>61.9148048736987</v>
      </c>
      <c r="BA10" s="13" t="n">
        <f aca="false">Funding!$F$76-SUM(Tax!$J$10:BA$10)</f>
        <v>41.834327617364</v>
      </c>
      <c r="BB10" s="13" t="n">
        <f aca="false">Funding!$F$76-SUM(Tax!$J$10:BB$10)</f>
        <v>21.7538503610292</v>
      </c>
      <c r="BC10" s="13" t="n">
        <f aca="false">Funding!$F$76-SUM(Tax!$J$10:BC$10)</f>
        <v>8.08797000602363</v>
      </c>
      <c r="BD10" s="13" t="n">
        <f aca="false">Funding!$F$76-SUM(Tax!$J$10:BD$10)</f>
        <v>7.25128345367637</v>
      </c>
      <c r="BE10" s="13" t="n">
        <f aca="false">Funding!$F$76-SUM(Tax!$J$10:BE$10)</f>
        <v>6.41459690132911</v>
      </c>
      <c r="BF10" s="13" t="n">
        <f aca="false">Funding!$F$76-SUM(Tax!$J$10:BF$10)</f>
        <v>5.57791034898173</v>
      </c>
      <c r="BG10" s="13" t="n">
        <f aca="false">Funding!$F$76-SUM(Tax!$J$10:BG$10)</f>
        <v>4.74122379663447</v>
      </c>
      <c r="BH10" s="13" t="n">
        <f aca="false">Funding!$F$76-SUM(Tax!$J$10:BH$10)</f>
        <v>3.90453724428721</v>
      </c>
      <c r="BI10" s="13" t="n">
        <f aca="false">Funding!$F$76-SUM(Tax!$J$10:BI$10)</f>
        <v>3.06785069193995</v>
      </c>
      <c r="BJ10" s="13" t="n">
        <f aca="false">Funding!$F$76-SUM(Tax!$J$10:BJ$10)</f>
        <v>2.23116413959269</v>
      </c>
      <c r="BK10" s="13" t="n">
        <f aca="false">Funding!$F$76-SUM(Tax!$J$10:BK$10)</f>
        <v>1.39447758724543</v>
      </c>
      <c r="BL10" s="13" t="n">
        <f aca="false">Funding!$F$76-SUM(Tax!$J$10:BL$10)</f>
        <v>0.55779103489806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871</v>
      </c>
      <c r="E11" s="0" t="s">
        <v>149</v>
      </c>
      <c r="J11" s="13" t="n">
        <f aca="false">Funding!$F$76-SUM(J$8:J$8)</f>
        <v>836.686552347281</v>
      </c>
      <c r="K11" s="13" t="n">
        <f aca="false">Funding!$F$76-SUM($J$8:K$8)</f>
        <v>836.686552347281</v>
      </c>
      <c r="L11" s="13" t="n">
        <f aca="false">Funding!$F$76-SUM($J$8:L$8)</f>
        <v>836.686552347281</v>
      </c>
      <c r="M11" s="13" t="n">
        <f aca="false">Funding!$F$76-SUM($J$8:M$8)</f>
        <v>836.686552347281</v>
      </c>
      <c r="N11" s="13" t="n">
        <f aca="false">Funding!$F$76-SUM($J$8:N$8)</f>
        <v>836.686552347281</v>
      </c>
      <c r="O11" s="13" t="n">
        <f aca="false">Funding!$F$76-SUM($J$8:O$8)</f>
        <v>831.108641998299</v>
      </c>
      <c r="P11" s="13" t="n">
        <f aca="false">Funding!$F$76-SUM($J$8:P$8)</f>
        <v>814.374910951353</v>
      </c>
      <c r="Q11" s="13" t="n">
        <f aca="false">Funding!$F$76-SUM($J$8:Q$8)</f>
        <v>797.641179904408</v>
      </c>
      <c r="R11" s="13" t="n">
        <f aca="false">Funding!$F$76-SUM($J$8:R$8)</f>
        <v>780.907448857462</v>
      </c>
      <c r="S11" s="13" t="n">
        <f aca="false">Funding!$F$76-SUM($J$8:S$8)</f>
        <v>764.173717810516</v>
      </c>
      <c r="T11" s="13" t="n">
        <f aca="false">Funding!$F$76-SUM($J$8:T$8)</f>
        <v>747.439986763571</v>
      </c>
      <c r="U11" s="13" t="n">
        <f aca="false">Funding!$F$76-SUM($J$8:U$8)</f>
        <v>730.706255716625</v>
      </c>
      <c r="V11" s="13" t="n">
        <f aca="false">Funding!$F$76-SUM($J$8:V$8)</f>
        <v>713.97252466968</v>
      </c>
      <c r="W11" s="13" t="n">
        <f aca="false">Funding!$F$76-SUM($J$8:W$8)</f>
        <v>697.238793622734</v>
      </c>
      <c r="X11" s="13" t="n">
        <f aca="false">Funding!$F$76-SUM($J$8:X$8)</f>
        <v>680.505062575788</v>
      </c>
      <c r="Y11" s="13" t="n">
        <f aca="false">Funding!$F$76-SUM($J$8:Y$8)</f>
        <v>663.771331528843</v>
      </c>
      <c r="Z11" s="13" t="n">
        <f aca="false">Funding!$F$76-SUM($J$8:Z$8)</f>
        <v>647.037600481897</v>
      </c>
      <c r="AA11" s="13" t="n">
        <f aca="false">Funding!$F$76-SUM($J$8:AA$8)</f>
        <v>630.303869434951</v>
      </c>
      <c r="AB11" s="13" t="n">
        <f aca="false">Funding!$F$76-SUM($J$8:AB$8)</f>
        <v>613.570138388006</v>
      </c>
      <c r="AC11" s="13" t="n">
        <f aca="false">Funding!$F$76-SUM($J$8:AC$8)</f>
        <v>596.83640734106</v>
      </c>
      <c r="AD11" s="13" t="n">
        <f aca="false">Funding!$F$76-SUM($J$8:AD$8)</f>
        <v>580.102676294115</v>
      </c>
      <c r="AE11" s="13" t="n">
        <f aca="false">Funding!$F$76-SUM($J$8:AE$8)</f>
        <v>563.368945247169</v>
      </c>
      <c r="AF11" s="13" t="n">
        <f aca="false">Funding!$F$76-SUM($J$8:AF$8)</f>
        <v>546.635214200223</v>
      </c>
      <c r="AG11" s="13" t="n">
        <f aca="false">Funding!$F$76-SUM($J$8:AG$8)</f>
        <v>529.901483153278</v>
      </c>
      <c r="AH11" s="13" t="n">
        <f aca="false">Funding!$F$76-SUM($J$8:AH$8)</f>
        <v>513.167752106332</v>
      </c>
      <c r="AI11" s="13" t="n">
        <f aca="false">Funding!$F$76-SUM($J$8:AI$8)</f>
        <v>496.434021059387</v>
      </c>
      <c r="AJ11" s="13" t="n">
        <f aca="false">Funding!$F$76-SUM($J$8:AJ$8)</f>
        <v>479.700290012441</v>
      </c>
      <c r="AK11" s="13" t="n">
        <f aca="false">Funding!$F$76-SUM($J$8:AK$8)</f>
        <v>462.966558965495</v>
      </c>
      <c r="AL11" s="13" t="n">
        <f aca="false">Funding!$F$76-SUM($J$8:AL$8)</f>
        <v>446.23282791855</v>
      </c>
      <c r="AM11" s="13" t="n">
        <f aca="false">Funding!$F$76-SUM($J$8:AM$8)</f>
        <v>429.499096871604</v>
      </c>
      <c r="AN11" s="13" t="n">
        <f aca="false">Funding!$F$76-SUM($J$8:AN$8)</f>
        <v>412.765365824659</v>
      </c>
      <c r="AO11" s="13" t="n">
        <f aca="false">Funding!$F$76-SUM($J$8:AO$8)</f>
        <v>396.031634777713</v>
      </c>
      <c r="AP11" s="13" t="n">
        <f aca="false">Funding!$F$76-SUM($J$8:AP$8)</f>
        <v>379.297903730767</v>
      </c>
      <c r="AQ11" s="13" t="n">
        <f aca="false">Funding!$F$76-SUM($J$8:AQ$8)</f>
        <v>362.564172683822</v>
      </c>
      <c r="AR11" s="13" t="n">
        <f aca="false">Funding!$F$76-SUM($J$8:AR$8)</f>
        <v>345.830441636876</v>
      </c>
      <c r="AS11" s="13" t="n">
        <f aca="false">Funding!$F$76-SUM($J$8:AS$8)</f>
        <v>329.09671058993</v>
      </c>
      <c r="AT11" s="13" t="n">
        <f aca="false">Funding!$F$76-SUM($J$8:AT$8)</f>
        <v>312.362979542985</v>
      </c>
      <c r="AU11" s="13" t="n">
        <f aca="false">Funding!$F$76-SUM($J$8:AU$8)</f>
        <v>295.629248496039</v>
      </c>
      <c r="AV11" s="13" t="n">
        <f aca="false">Funding!$F$76-SUM($J$8:AV$8)</f>
        <v>278.895517449094</v>
      </c>
      <c r="AW11" s="13" t="n">
        <f aca="false">Funding!$F$76-SUM($J$8:AW$8)</f>
        <v>262.161786402148</v>
      </c>
      <c r="AX11" s="13" t="n">
        <f aca="false">Funding!$F$76-SUM($J$8:AX$8)</f>
        <v>245.428055355202</v>
      </c>
      <c r="AY11" s="13" t="n">
        <f aca="false">Funding!$F$76-SUM($J$8:AY$8)</f>
        <v>228.694324308257</v>
      </c>
      <c r="AZ11" s="13" t="n">
        <f aca="false">Funding!$F$76-SUM($J$8:AZ$8)</f>
        <v>211.960593261311</v>
      </c>
      <c r="BA11" s="13" t="n">
        <f aca="false">Funding!$F$76-SUM($J$8:BA$8)</f>
        <v>195.226862214365</v>
      </c>
      <c r="BB11" s="13" t="n">
        <f aca="false">Funding!$F$76-SUM($J$8:BB$8)</f>
        <v>178.49313116742</v>
      </c>
      <c r="BC11" s="13" t="n">
        <f aca="false">Funding!$F$76-SUM($J$8:BC$8)</f>
        <v>161.759400120474</v>
      </c>
      <c r="BD11" s="13" t="n">
        <f aca="false">Funding!$F$76-SUM($J$8:BD$8)</f>
        <v>145.025669073529</v>
      </c>
      <c r="BE11" s="13" t="n">
        <f aca="false">Funding!$F$76-SUM($J$8:BE$8)</f>
        <v>128.291938026583</v>
      </c>
      <c r="BF11" s="13" t="n">
        <f aca="false">Funding!$F$76-SUM($J$8:BF$8)</f>
        <v>111.558206979637</v>
      </c>
      <c r="BG11" s="13" t="n">
        <f aca="false">Funding!$F$76-SUM($J$8:BG$8)</f>
        <v>94.8244759326917</v>
      </c>
      <c r="BH11" s="13" t="n">
        <f aca="false">Funding!$F$76-SUM($J$8:BH$8)</f>
        <v>78.0907448857462</v>
      </c>
      <c r="BI11" s="13" t="n">
        <f aca="false">Funding!$F$76-SUM($J$8:BI$8)</f>
        <v>61.3570138388005</v>
      </c>
      <c r="BJ11" s="13" t="n">
        <f aca="false">Funding!$F$76-SUM($J$8:BJ$8)</f>
        <v>44.6232827918549</v>
      </c>
      <c r="BK11" s="13" t="n">
        <f aca="false">Funding!$F$76-SUM($J$8:BK$8)</f>
        <v>27.8895517449092</v>
      </c>
      <c r="BL11" s="13" t="n">
        <f aca="false">Funding!$F$76-SUM($J$8:BL$8)</f>
        <v>11.1558206979637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872</v>
      </c>
      <c r="E12" s="0" t="s">
        <v>149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-1.67337310469454</v>
      </c>
      <c r="P12" s="13" t="n">
        <f aca="false">IF(Time!P20&gt;=Time!$F$12,Inputs!$F$184/100*(P11-P10-Tax!P21),0)</f>
        <v>-6.69349241877824</v>
      </c>
      <c r="Q12" s="13" t="n">
        <f aca="false">IF(Time!Q20&gt;=Time!$F$12,Inputs!$F$184/100*(Q11-Q10-Tax!Q21),0)</f>
        <v>-11.7136117328619</v>
      </c>
      <c r="R12" s="13" t="n">
        <f aca="false">IF(Time!R20&gt;=Time!$F$12,Inputs!$F$184/100*(R11-R10-Tax!R21),0)</f>
        <v>-16.7337310469456</v>
      </c>
      <c r="S12" s="13" t="n">
        <f aca="false">IF(Time!S20&gt;=Time!$F$12,Inputs!$F$184/100*(S11-S10-Tax!S21),0)</f>
        <v>-21.7538503610293</v>
      </c>
      <c r="T12" s="13" t="n">
        <f aca="false">IF(Time!T20&gt;=Time!$F$12,Inputs!$F$184/100*(T11-T10-Tax!T21),0)</f>
        <v>-26.773969675113</v>
      </c>
      <c r="U12" s="13" t="n">
        <f aca="false">IF(Time!U20&gt;=Time!$F$12,Inputs!$F$184/100*(U11-U10-Tax!U21),0)</f>
        <v>-31.7940889891967</v>
      </c>
      <c r="V12" s="13" t="n">
        <f aca="false">IF(Time!V20&gt;=Time!$F$12,Inputs!$F$184/100*(V11-V10-Tax!V21),0)</f>
        <v>-36.8142083032803</v>
      </c>
      <c r="W12" s="13" t="n">
        <f aca="false">IF(Time!W20&gt;=Time!$F$12,Inputs!$F$184/100*(W11-W10-Tax!W21),0)</f>
        <v>-41.834327617364</v>
      </c>
      <c r="X12" s="13" t="n">
        <f aca="false">IF(Time!X20&gt;=Time!$F$12,Inputs!$F$184/100*(X11-X10-Tax!X21),0)</f>
        <v>-46.8544469314477</v>
      </c>
      <c r="Y12" s="13" t="n">
        <f aca="false">IF(Time!Y20&gt;=Time!$F$12,Inputs!$F$184/100*(Y11-Y10-Tax!Y21),0)</f>
        <v>-49.1316282834846</v>
      </c>
      <c r="Z12" s="13" t="n">
        <f aca="false">IF(Time!Z20&gt;=Time!$F$12,Inputs!$F$184/100*(Z11-Z10-Tax!Z21),0)</f>
        <v>-45.6918274705053</v>
      </c>
      <c r="AA12" s="13" t="n">
        <f aca="false">IF(Time!AA20&gt;=Time!$F$12,Inputs!$F$184/100*(AA11-AA10-Tax!AA21),0)</f>
        <v>-41.8346612298495</v>
      </c>
      <c r="AB12" s="13" t="n">
        <f aca="false">IF(Time!AB20&gt;=Time!$F$12,Inputs!$F$184/100*(AB11-AB10-Tax!AB21),0)</f>
        <v>-37.7358276804466</v>
      </c>
      <c r="AC12" s="13" t="n">
        <f aca="false">IF(Time!AC20&gt;=Time!$F$12,Inputs!$F$184/100*(AC11-AC10-Tax!AC21),0)</f>
        <v>-33.1844821670797</v>
      </c>
      <c r="AD12" s="13" t="n">
        <f aca="false">IF(Time!AD20&gt;=Time!$F$12,Inputs!$F$184/100*(AD11-AD10-Tax!AD21),0)</f>
        <v>-32.0991790549776</v>
      </c>
      <c r="AE12" s="13" t="n">
        <f aca="false">IF(Time!AE20&gt;=Time!$F$12,Inputs!$F$184/100*(AE11-AE10-Tax!AE21),0)</f>
        <v>-26.7190736084744</v>
      </c>
      <c r="AF12" s="13" t="n">
        <f aca="false">IF(Time!AF20&gt;=Time!$F$12,Inputs!$F$184/100*(AF11-AF10-Tax!AF21),0)</f>
        <v>-21.029894491882</v>
      </c>
      <c r="AG12" s="13" t="n">
        <f aca="false">IF(Time!AG20&gt;=Time!$F$12,Inputs!$F$184/100*(AG11-AG10-Tax!AG21),0)</f>
        <v>-14.8711810330599</v>
      </c>
      <c r="AH12" s="13" t="n">
        <f aca="false">IF(Time!AH20&gt;=Time!$F$12,Inputs!$F$184/100*(AH11-AH10-Tax!AH21),0)</f>
        <v>-8.27960391962627</v>
      </c>
      <c r="AI12" s="13" t="n">
        <f aca="false">IF(Time!AI20&gt;=Time!$F$12,Inputs!$F$184/100*(AI11-AI10-Tax!AI21),0)</f>
        <v>-1.12654573077378</v>
      </c>
      <c r="AJ12" s="13" t="n">
        <f aca="false">IF(Time!AJ20&gt;=Time!$F$12,Inputs!$F$184/100*(AJ11-AJ10-Tax!AJ21),0)</f>
        <v>6.49918866839315</v>
      </c>
      <c r="AK12" s="13" t="n">
        <f aca="false">IF(Time!AK20&gt;=Time!$F$12,Inputs!$F$184/100*(AK11-AK10-Tax!AK21),0)</f>
        <v>14.7380685690191</v>
      </c>
      <c r="AL12" s="13" t="n">
        <f aca="false">IF(Time!AL20&gt;=Time!$F$12,Inputs!$F$184/100*(AL11-AL10-Tax!AL21),0)</f>
        <v>22.6738840545863</v>
      </c>
      <c r="AM12" s="13" t="n">
        <f aca="false">IF(Time!AM20&gt;=Time!$F$12,Inputs!$F$184/100*(AM11-AM10-Tax!AM21),0)</f>
        <v>31.9614262996661</v>
      </c>
      <c r="AN12" s="13" t="n">
        <f aca="false">IF(Time!AN20&gt;=Time!$F$12,Inputs!$F$184/100*(AN11-AN10-Tax!AN21),0)</f>
        <v>32.9654501624829</v>
      </c>
      <c r="AO12" s="13" t="n">
        <f aca="false">IF(Time!AO20&gt;=Time!$F$12,Inputs!$F$184/100*(AO11-AO10-Tax!AO21),0)</f>
        <v>33.9694740252996</v>
      </c>
      <c r="AP12" s="13" t="n">
        <f aca="false">IF(Time!AP20&gt;=Time!$F$12,Inputs!$F$184/100*(AP11-AP10-Tax!AP21),0)</f>
        <v>34.9734978881163</v>
      </c>
      <c r="AQ12" s="13" t="n">
        <f aca="false">IF(Time!AQ20&gt;=Time!$F$12,Inputs!$F$184/100*(AQ11-AQ10-Tax!AQ21),0)</f>
        <v>35.9775217509331</v>
      </c>
      <c r="AR12" s="13" t="n">
        <f aca="false">IF(Time!AR20&gt;=Time!$F$12,Inputs!$F$184/100*(AR11-AR10-Tax!AR21),0)</f>
        <v>36.9815456137498</v>
      </c>
      <c r="AS12" s="13" t="n">
        <f aca="false">IF(Time!AS20&gt;=Time!$F$12,Inputs!$F$184/100*(AS11-AS10-Tax!AS21),0)</f>
        <v>37.9855694765666</v>
      </c>
      <c r="AT12" s="13" t="n">
        <f aca="false">IF(Time!AT20&gt;=Time!$F$12,Inputs!$F$184/100*(AT11-AT10-Tax!AT21),0)</f>
        <v>38.9895933393833</v>
      </c>
      <c r="AU12" s="13" t="n">
        <f aca="false">IF(Time!AU20&gt;=Time!$F$12,Inputs!$F$184/100*(AU11-AU10-Tax!AU21),0)</f>
        <v>39.9936172022</v>
      </c>
      <c r="AV12" s="13" t="n">
        <f aca="false">IF(Time!AV20&gt;=Time!$F$12,Inputs!$F$184/100*(AV11-AV10-Tax!AV21),0)</f>
        <v>40.9976410650168</v>
      </c>
      <c r="AW12" s="13" t="n">
        <f aca="false">IF(Time!AW20&gt;=Time!$F$12,Inputs!$F$184/100*(AW11-AW10-Tax!AW21),0)</f>
        <v>42.0016649278335</v>
      </c>
      <c r="AX12" s="13" t="n">
        <f aca="false">IF(Time!AX20&gt;=Time!$F$12,Inputs!$F$184/100*(AX11-AX10-Tax!AX21),0)</f>
        <v>43.0056887906502</v>
      </c>
      <c r="AY12" s="13" t="n">
        <f aca="false">IF(Time!AY20&gt;=Time!$F$12,Inputs!$F$184/100*(AY11-AY10-Tax!AY21),0)</f>
        <v>44.009712653467</v>
      </c>
      <c r="AZ12" s="13" t="n">
        <f aca="false">IF(Time!AZ20&gt;=Time!$F$12,Inputs!$F$184/100*(AZ11-AZ10-Tax!AZ21),0)</f>
        <v>45.0137365162837</v>
      </c>
      <c r="BA12" s="13" t="n">
        <f aca="false">IF(Time!BA20&gt;=Time!$F$12,Inputs!$F$184/100*(BA11-BA10-Tax!BA21),0)</f>
        <v>46.0177603791004</v>
      </c>
      <c r="BB12" s="13" t="n">
        <f aca="false">IF(Time!BB20&gt;=Time!$F$12,Inputs!$F$184/100*(BB11-BB10-Tax!BB21),0)</f>
        <v>47.0217842419172</v>
      </c>
      <c r="BC12" s="13" t="n">
        <f aca="false">IF(Time!BC20&gt;=Time!$F$12,Inputs!$F$184/100*(BC11-BC10-Tax!BC21),0)</f>
        <v>46.1014290343352</v>
      </c>
      <c r="BD12" s="13" t="n">
        <f aca="false">IF(Time!BD20&gt;=Time!$F$12,Inputs!$F$184/100*(BD11-BD10-Tax!BD21),0)</f>
        <v>41.3323156859557</v>
      </c>
      <c r="BE12" s="13" t="n">
        <f aca="false">IF(Time!BE20&gt;=Time!$F$12,Inputs!$F$184/100*(BE11-BE10-Tax!BE21),0)</f>
        <v>36.5632023375762</v>
      </c>
      <c r="BF12" s="13" t="n">
        <f aca="false">IF(Time!BF20&gt;=Time!$F$12,Inputs!$F$184/100*(BF11-BF10-Tax!BF21),0)</f>
        <v>31.7940889891967</v>
      </c>
      <c r="BG12" s="13" t="n">
        <f aca="false">IF(Time!BG20&gt;=Time!$F$12,Inputs!$F$184/100*(BG11-BG10-Tax!BG21),0)</f>
        <v>27.0249756408172</v>
      </c>
      <c r="BH12" s="13" t="n">
        <f aca="false">IF(Time!BH20&gt;=Time!$F$12,Inputs!$F$184/100*(BH11-BH10-Tax!BH21),0)</f>
        <v>22.2558622924377</v>
      </c>
      <c r="BI12" s="13" t="n">
        <f aca="false">IF(Time!BI20&gt;=Time!$F$12,Inputs!$F$184/100*(BI11-BI10-Tax!BI21),0)</f>
        <v>17.4867489440582</v>
      </c>
      <c r="BJ12" s="13" t="n">
        <f aca="false">IF(Time!BJ20&gt;=Time!$F$12,Inputs!$F$184/100*(BJ11-BJ10-Tax!BJ21),0)</f>
        <v>12.7176355956787</v>
      </c>
      <c r="BK12" s="13" t="n">
        <f aca="false">IF(Time!BK20&gt;=Time!$F$12,Inputs!$F$184/100*(BK11-BK10-Tax!BK21),0)</f>
        <v>7.94852224729914</v>
      </c>
      <c r="BL12" s="13" t="n">
        <f aca="false">IF(Time!BL20&gt;=Time!$F$12,Inputs!$F$184/100*(BL11-BL10-Tax!BL21),0)</f>
        <v>3.17940889891969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873</v>
      </c>
      <c r="E13" s="0" t="s">
        <v>149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-1.67337310469454</v>
      </c>
      <c r="P13" s="13" t="n">
        <f aca="false">P12-O12</f>
        <v>-5.0201193140837</v>
      </c>
      <c r="Q13" s="13" t="n">
        <f aca="false">Q12-P12</f>
        <v>-5.02011931408369</v>
      </c>
      <c r="R13" s="13" t="n">
        <f aca="false">R12-Q12</f>
        <v>-5.02011931408366</v>
      </c>
      <c r="S13" s="13" t="n">
        <f aca="false">S12-R12</f>
        <v>-5.0201193140837</v>
      </c>
      <c r="T13" s="13" t="n">
        <f aca="false">T12-S12</f>
        <v>-5.02011931408369</v>
      </c>
      <c r="U13" s="13" t="n">
        <f aca="false">U12-T12</f>
        <v>-5.02011931408369</v>
      </c>
      <c r="V13" s="13" t="n">
        <f aca="false">V12-U12</f>
        <v>-5.02011931408366</v>
      </c>
      <c r="W13" s="13" t="n">
        <f aca="false">W12-V12</f>
        <v>-5.02011931408369</v>
      </c>
      <c r="X13" s="13" t="n">
        <f aca="false">X12-W12</f>
        <v>-5.02011931408367</v>
      </c>
      <c r="Y13" s="13" t="n">
        <f aca="false">Y12-X12</f>
        <v>-2.27718135203686</v>
      </c>
      <c r="Z13" s="13" t="n">
        <f aca="false">Z12-Y12</f>
        <v>3.43980081297923</v>
      </c>
      <c r="AA13" s="13" t="n">
        <f aca="false">AA12-Z12</f>
        <v>3.85716624065586</v>
      </c>
      <c r="AB13" s="13" t="n">
        <f aca="false">AB12-AA12</f>
        <v>4.09883354940289</v>
      </c>
      <c r="AC13" s="13" t="n">
        <f aca="false">AC12-AB12</f>
        <v>4.55134551336688</v>
      </c>
      <c r="AD13" s="13" t="n">
        <f aca="false">AD12-AC12</f>
        <v>1.08530311210211</v>
      </c>
      <c r="AE13" s="13" t="n">
        <f aca="false">AE12-AD12</f>
        <v>5.38010544650314</v>
      </c>
      <c r="AF13" s="13" t="n">
        <f aca="false">AF12-AE12</f>
        <v>5.68917911659242</v>
      </c>
      <c r="AG13" s="13" t="n">
        <f aca="false">AG12-AF12</f>
        <v>6.15871345882209</v>
      </c>
      <c r="AH13" s="13" t="n">
        <f aca="false">AH12-AG12</f>
        <v>6.59157711343367</v>
      </c>
      <c r="AI13" s="13" t="n">
        <f aca="false">AI12-AH12</f>
        <v>7.15305818885249</v>
      </c>
      <c r="AJ13" s="13" t="n">
        <f aca="false">AJ12-AI12</f>
        <v>7.62573439916693</v>
      </c>
      <c r="AK13" s="13" t="n">
        <f aca="false">AK12-AJ12</f>
        <v>8.23887990062598</v>
      </c>
      <c r="AL13" s="13" t="n">
        <f aca="false">AL12-AK12</f>
        <v>7.93581548556722</v>
      </c>
      <c r="AM13" s="13" t="n">
        <f aca="false">AM12-AL12</f>
        <v>9.28754224507978</v>
      </c>
      <c r="AN13" s="13" t="n">
        <f aca="false">AN12-AM12</f>
        <v>1.00402386281677</v>
      </c>
      <c r="AO13" s="13" t="n">
        <f aca="false">AO12-AN12</f>
        <v>1.00402386281671</v>
      </c>
      <c r="AP13" s="13" t="n">
        <f aca="false">AP12-AO12</f>
        <v>1.00402386281673</v>
      </c>
      <c r="AQ13" s="13" t="n">
        <f aca="false">AQ12-AP12</f>
        <v>1.00402386281674</v>
      </c>
      <c r="AR13" s="13" t="n">
        <f aca="false">AR12-AQ12</f>
        <v>1.00402386281673</v>
      </c>
      <c r="AS13" s="13" t="n">
        <f aca="false">AS12-AR12</f>
        <v>1.00402386281676</v>
      </c>
      <c r="AT13" s="13" t="n">
        <f aca="false">AT12-AS12</f>
        <v>1.00402386281669</v>
      </c>
      <c r="AU13" s="13" t="n">
        <f aca="false">AU12-AT12</f>
        <v>1.00402386281675</v>
      </c>
      <c r="AV13" s="13" t="n">
        <f aca="false">AV12-AU12</f>
        <v>1.00402386281674</v>
      </c>
      <c r="AW13" s="13" t="n">
        <f aca="false">AW12-AV12</f>
        <v>1.00402386281674</v>
      </c>
      <c r="AX13" s="13" t="n">
        <f aca="false">AX12-AW12</f>
        <v>1.00402386281671</v>
      </c>
      <c r="AY13" s="13" t="n">
        <f aca="false">AY12-AX12</f>
        <v>1.00402386281675</v>
      </c>
      <c r="AZ13" s="13" t="n">
        <f aca="false">AZ12-AY12</f>
        <v>1.00402386281674</v>
      </c>
      <c r="BA13" s="13" t="n">
        <f aca="false">BA12-AZ12</f>
        <v>1.00402386281671</v>
      </c>
      <c r="BB13" s="13" t="n">
        <f aca="false">BB12-BA12</f>
        <v>1.00402386281678</v>
      </c>
      <c r="BC13" s="13" t="n">
        <f aca="false">BC12-BB12</f>
        <v>-0.92035520758202</v>
      </c>
      <c r="BD13" s="13" t="n">
        <f aca="false">BD12-BC12</f>
        <v>-4.76911334837951</v>
      </c>
      <c r="BE13" s="13" t="n">
        <f aca="false">BE12-BD12</f>
        <v>-4.76911334837948</v>
      </c>
      <c r="BF13" s="13" t="n">
        <f aca="false">BF12-BE12</f>
        <v>-4.76911334837948</v>
      </c>
      <c r="BG13" s="13" t="n">
        <f aca="false">BG12-BF12</f>
        <v>-4.76911334837952</v>
      </c>
      <c r="BH13" s="13" t="n">
        <f aca="false">BH12-BG12</f>
        <v>-4.76911334837948</v>
      </c>
      <c r="BI13" s="13" t="n">
        <f aca="false">BI12-BH12</f>
        <v>-4.76911334837952</v>
      </c>
      <c r="BJ13" s="13" t="n">
        <f aca="false">BJ12-BI12</f>
        <v>-4.76911334837952</v>
      </c>
      <c r="BK13" s="13" t="n">
        <f aca="false">BK12-BJ12</f>
        <v>-4.76911334837952</v>
      </c>
      <c r="BL13" s="13" t="n">
        <f aca="false">BL12-BK12</f>
        <v>-4.76911334837945</v>
      </c>
      <c r="BM13" s="13" t="n">
        <f aca="false">BM12-BL12</f>
        <v>-3.17940889891969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874</v>
      </c>
      <c r="E14" s="0" t="s">
        <v>149</v>
      </c>
      <c r="G14" s="13" t="n">
        <f aca="false">SUM(J14:BN14)</f>
        <v>956.404797480905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9.77868877042472</v>
      </c>
      <c r="P14" s="13" t="n">
        <f aca="false">Operations!P84-P8-P9-Tax!P27-P13</f>
        <v>7.38194646043162</v>
      </c>
      <c r="Q14" s="13" t="n">
        <f aca="false">Operations!Q84-Q8-Q9-Tax!Q27-Q13</f>
        <v>8.73739886549769</v>
      </c>
      <c r="R14" s="13" t="n">
        <f aca="false">Operations!R84-R8-R9-Tax!R27-R13</f>
        <v>8.60558244982638</v>
      </c>
      <c r="S14" s="13" t="n">
        <f aca="false">Operations!S84-S8-S9-Tax!S27-S13</f>
        <v>9.18190524941638</v>
      </c>
      <c r="T14" s="13" t="n">
        <f aca="false">Operations!T84-T8-T9-Tax!T27-T13</f>
        <v>10.8289665334265</v>
      </c>
      <c r="U14" s="13" t="n">
        <f aca="false">Operations!U84-U8-U9-Tax!U27-U13</f>
        <v>12.0568532410327</v>
      </c>
      <c r="V14" s="13" t="n">
        <f aca="false">Operations!V84-V8-V9-Tax!V27-V13</f>
        <v>10.3670530809379</v>
      </c>
      <c r="W14" s="13" t="n">
        <f aca="false">Operations!W84-W8-W9-Tax!W27-W13</f>
        <v>14.175175071911</v>
      </c>
      <c r="X14" s="13" t="n">
        <f aca="false">Operations!X84-X8-X9-Tax!X27-X13</f>
        <v>14.8474028011113</v>
      </c>
      <c r="Y14" s="13" t="n">
        <f aca="false">Operations!Y84-Y8-Y9-Tax!Y27-Y13</f>
        <v>12.8547840896391</v>
      </c>
      <c r="Z14" s="13" t="n">
        <f aca="false">Operations!Z84-Z8-Z9-Tax!Z27-Z13</f>
        <v>7.67071036227797</v>
      </c>
      <c r="AA14" s="13" t="n">
        <f aca="false">Operations!AA84-AA8-AA9-Tax!AA27-AA13</f>
        <v>8.64278800092447</v>
      </c>
      <c r="AB14" s="13" t="n">
        <f aca="false">Operations!AB84-AB8-AB9-Tax!AB27-AB13</f>
        <v>9.20474526377522</v>
      </c>
      <c r="AC14" s="13" t="n">
        <f aca="false">Operations!AC84-AC8-AC9-Tax!AC27-AC13</f>
        <v>10.2597167973762</v>
      </c>
      <c r="AD14" s="13" t="n">
        <f aca="false">Operations!AD84-AD8-AD9-Tax!AD27-AD13</f>
        <v>2.17679173829629</v>
      </c>
      <c r="AE14" s="13" t="n">
        <f aca="false">Operations!AE84-AE8-AE9-Tax!AE27-AE13</f>
        <v>12.190900103359</v>
      </c>
      <c r="AF14" s="13" t="n">
        <f aca="false">Operations!AF84-AF8-AF9-Tax!AF27-AF13</f>
        <v>12.9087299532272</v>
      </c>
      <c r="AG14" s="13" t="n">
        <f aca="false">Operations!AG84-AG8-AG9-Tax!AG27-AG13</f>
        <v>14.0027036023035</v>
      </c>
      <c r="AH14" s="13" t="n">
        <f aca="false">Operations!AH84-AH8-AH9-Tax!AH27-AH13</f>
        <v>15.0112428479149</v>
      </c>
      <c r="AI14" s="13" t="n">
        <f aca="false">Operations!AI84-AI8-AI9-Tax!AI27-AI13</f>
        <v>16.3194328167351</v>
      </c>
      <c r="AJ14" s="13" t="n">
        <f aca="false">Operations!AJ84-AJ8-AJ9-Tax!AJ27-AJ13</f>
        <v>17.4202399199357</v>
      </c>
      <c r="AK14" s="13" t="n">
        <f aca="false">Operations!AK84-AK8-AK9-Tax!AK27-AK13</f>
        <v>18.8496214947635</v>
      </c>
      <c r="AL14" s="13" t="n">
        <f aca="false">Operations!AL84-AL8-AL9-Tax!AL27-AL13</f>
        <v>18.1417131640501</v>
      </c>
      <c r="AM14" s="13" t="n">
        <f aca="false">Operations!AM84-AM8-AM9-Tax!AM27-AM13</f>
        <v>21.6556800959391</v>
      </c>
      <c r="AN14" s="13" t="n">
        <f aca="false">Operations!AN84-AN8-AN9-Tax!AN27-AN13</f>
        <v>23.286062195562</v>
      </c>
      <c r="AO14" s="13" t="n">
        <f aca="false">Operations!AO84-AO8-AO9-Tax!AO27-AO13</f>
        <v>24.4601526058372</v>
      </c>
      <c r="AP14" s="13" t="n">
        <f aca="false">Operations!AP84-AP8-AP9-Tax!AP27-AP13</f>
        <v>26.0318612992837</v>
      </c>
      <c r="AQ14" s="13" t="n">
        <f aca="false">Operations!AQ84-AQ8-AQ9-Tax!AQ27-AQ13</f>
        <v>26.1126496429099</v>
      </c>
      <c r="AR14" s="13" t="n">
        <f aca="false">Operations!AR84-AR8-AR9-Tax!AR27-AR13</f>
        <v>26.1806719645871</v>
      </c>
      <c r="AS14" s="13" t="n">
        <f aca="false">Operations!AS84-AS8-AS9-Tax!AS27-AS13</f>
        <v>26.3604234658657</v>
      </c>
      <c r="AT14" s="13" t="n">
        <f aca="false">Operations!AT84-AT8-AT9-Tax!AT27-AT13</f>
        <v>16.0519053247154</v>
      </c>
      <c r="AU14" s="13" t="n">
        <f aca="false">Operations!AU84-AU8-AU9-Tax!AU27-AU13</f>
        <v>26.6452169113457</v>
      </c>
      <c r="AV14" s="13" t="n">
        <f aca="false">Operations!AV84-AV8-AV9-Tax!AV27-AV13</f>
        <v>26.5747662879706</v>
      </c>
      <c r="AW14" s="13" t="n">
        <f aca="false">Operations!AW84-AW8-AW9-Tax!AW27-AW13</f>
        <v>26.6902197712709</v>
      </c>
      <c r="AX14" s="13" t="n">
        <f aca="false">Operations!AX84-AX8-AX9-Tax!AX27-AX13</f>
        <v>26.8249394586759</v>
      </c>
      <c r="AY14" s="13" t="n">
        <f aca="false">Operations!AY84-AY8-AY9-Tax!AY27-AY13</f>
        <v>26.9114277808981</v>
      </c>
      <c r="AZ14" s="13" t="n">
        <f aca="false">Operations!AZ84-AZ8-AZ9-Tax!AZ27-AZ13</f>
        <v>26.9848287866456</v>
      </c>
      <c r="BA14" s="13" t="n">
        <f aca="false">Operations!BA84-BA8-BA9-Tax!BA27-BA13</f>
        <v>27.1466955706037</v>
      </c>
      <c r="BB14" s="13" t="n">
        <f aca="false">Operations!BB84-BB8-BB9-Tax!BB27-BB13</f>
        <v>24.896363932106</v>
      </c>
      <c r="BC14" s="13" t="n">
        <f aca="false">Operations!BC84-BC8-BC9-Tax!BC27-BC13</f>
        <v>27.4211309982796</v>
      </c>
      <c r="BD14" s="13" t="n">
        <f aca="false">Operations!BD84-BD8-BD9-Tax!BD27-BD13</f>
        <v>27.4115150558443</v>
      </c>
      <c r="BE14" s="13" t="n">
        <f aca="false">Operations!BE84-BE8-BE9-Tax!BE27-BE13</f>
        <v>27.5363460238005</v>
      </c>
      <c r="BF14" s="13" t="n">
        <f aca="false">Operations!BF84-BF8-BF9-Tax!BF27-BF13</f>
        <v>27.6837076038329</v>
      </c>
      <c r="BG14" s="13" t="n">
        <f aca="false">Operations!BG84-BG8-BG9-Tax!BG27-BG13</f>
        <v>27.7763031039155</v>
      </c>
      <c r="BH14" s="13" t="n">
        <f aca="false">Operations!BH84-BH8-BH9-Tax!BH27-BH13</f>
        <v>27.8555079401187</v>
      </c>
      <c r="BI14" s="13" t="n">
        <f aca="false">Operations!BI84-BI8-BI9-Tax!BI27-BI13</f>
        <v>28.0701250949518</v>
      </c>
      <c r="BJ14" s="13" t="n">
        <f aca="false">Operations!BJ84-BJ8-BJ9-Tax!BJ27-BJ13</f>
        <v>15.8857342672012</v>
      </c>
      <c r="BK14" s="13" t="n">
        <f aca="false">Operations!BK84-BK8-BK9-Tax!BK27-BK13</f>
        <v>28.4093500880614</v>
      </c>
      <c r="BL14" s="13" t="n">
        <f aca="false">Operations!BL84-BL8-BL9-Tax!BL27-BL13</f>
        <v>28.3175186784069</v>
      </c>
      <c r="BM14" s="13" t="n">
        <f aca="false">Operations!BM84-BM8-BM9-Tax!BM27-BM13</f>
        <v>5.60860085368141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875</v>
      </c>
    </row>
    <row r="16" customFormat="false" ht="15" hidden="false" customHeight="false" outlineLevel="0" collapsed="false">
      <c r="D16" s="0" t="s">
        <v>876</v>
      </c>
      <c r="E16" s="0" t="s">
        <v>149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139.106138718341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239.361059019891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433.488009929513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635.509570384213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753.08150774339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831.108641998299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814.374910951353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797.641179904408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780.907448857462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764.173717810516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747.439986763571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730.706255716625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713.97252466968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697.238793622734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680.505062575788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663.771331528843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647.037600481897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630.303869434951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613.570138388006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596.83640734106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580.102676294115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563.368945247169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546.635214200223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529.901483153278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513.167752106332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496.434021059387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479.700290012441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462.966558965495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446.23282791855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429.499096871604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412.765365824659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396.031634777713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379.297903730767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362.564172683822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345.830441636876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329.09671058993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312.362979542985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295.629248496039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278.895517449094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262.161786402148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245.428055355202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228.694324308257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211.960593261311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195.226862214365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178.49313116742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161.759400120474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145.025669073529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128.291938026583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111.558206979637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94.8244759326917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78.0907448857462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61.3570138388005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44.6232827918549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27.8895517449092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11.1558206979637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877</v>
      </c>
      <c r="E17" s="0" t="s">
        <v>149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39.1181426349184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37.5732847576006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5.67947939893421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19.8412315457074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39.4162909915672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39.652034267127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40.7855300498875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38.0232274258698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36.9267950745894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38.5431345881786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40.816848195781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42.4925149857548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44.89571880651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46.0785090947744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48.640164340739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36.0663399929661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35.1472363198872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34.1814551053197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33.6823059639242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32.3237204212107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31.0969288468075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28.9472002366722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26.6866075648919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23.5692918532781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19.1320172548642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21.2537968330951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878</v>
      </c>
      <c r="E18" s="0" t="s">
        <v>149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39.1077129450201</v>
      </c>
      <c r="P18" s="13" t="n">
        <f aca="false">Operations!P88+Operations!P89</f>
        <v>38.9791719758974</v>
      </c>
      <c r="Q18" s="13" t="n">
        <f aca="false">Operations!Q88+Operations!Q89</f>
        <v>85.3271012634607</v>
      </c>
      <c r="R18" s="13" t="n">
        <f aca="false">Operations!R88+Operations!R89</f>
        <v>84.073099718016</v>
      </c>
      <c r="S18" s="13" t="n">
        <f aca="false">Operations!S88+Operations!S89</f>
        <v>40.521706896867</v>
      </c>
      <c r="T18" s="13" t="n">
        <f aca="false">Operations!T88+Operations!T89</f>
        <v>40.1198396201344</v>
      </c>
      <c r="U18" s="13" t="n">
        <f aca="false">Operations!U88+Operations!U89</f>
        <v>40.7898991160633</v>
      </c>
      <c r="V18" s="13" t="n">
        <f aca="false">Operations!V88+Operations!V89</f>
        <v>39.9341822773552</v>
      </c>
      <c r="W18" s="13" t="n">
        <f aca="false">Operations!W88+Operations!W89</f>
        <v>41.3333166310765</v>
      </c>
      <c r="X18" s="13" t="n">
        <f aca="false">Operations!X88+Operations!X89</f>
        <v>41.3054133893148</v>
      </c>
      <c r="Y18" s="13" t="n">
        <f aca="false">Operations!Y88+Operations!Y89</f>
        <v>42.4083302853802</v>
      </c>
      <c r="Z18" s="13" t="n">
        <f aca="false">Operations!Z88+Operations!Z89</f>
        <v>41.6897358651796</v>
      </c>
      <c r="AA18" s="13" t="n">
        <f aca="false">Operations!AA88+Operations!AA89</f>
        <v>42.9589072846173</v>
      </c>
      <c r="AB18" s="13" t="n">
        <f aca="false">Operations!AB88+Operations!AB89</f>
        <v>42.5376635915379</v>
      </c>
      <c r="AC18" s="13" t="n">
        <f aca="false">Operations!AC88+Operations!AC89</f>
        <v>43.0859747166726</v>
      </c>
      <c r="AD18" s="13" t="n">
        <f aca="false">Operations!AD88+Operations!AD89</f>
        <v>41.6167054672967</v>
      </c>
      <c r="AE18" s="13" t="n">
        <f aca="false">Operations!AE88+Operations!AE89</f>
        <v>43.4936968755139</v>
      </c>
      <c r="AF18" s="13" t="n">
        <f aca="false">Operations!AF88+Operations!AF89</f>
        <v>43.8184303297045</v>
      </c>
      <c r="AG18" s="13" t="n">
        <f aca="false">Operations!AG88+Operations!AG89</f>
        <v>44.9970045987169</v>
      </c>
      <c r="AH18" s="13" t="n">
        <f aca="false">Operations!AH88+Operations!AH89</f>
        <v>44.2336846943227</v>
      </c>
      <c r="AI18" s="13" t="n">
        <f aca="false">Operations!AI88+Operations!AI89</f>
        <v>45.5918208874678</v>
      </c>
      <c r="AJ18" s="13" t="n">
        <f aca="false">Operations!AJ88+Operations!AJ89</f>
        <v>45.149626250459</v>
      </c>
      <c r="AK18" s="13" t="n">
        <f aca="false">Operations!AK88+Operations!AK89</f>
        <v>45.9135764668008</v>
      </c>
      <c r="AL18" s="13" t="n">
        <f aca="false">Operations!AL88+Operations!AL89</f>
        <v>44.9334921408051</v>
      </c>
      <c r="AM18" s="13" t="n">
        <f aca="false">Operations!AM88+Operations!AM89</f>
        <v>46.5392952944488</v>
      </c>
      <c r="AN18" s="13" t="n">
        <f aca="false">Operations!AN88+Operations!AN89</f>
        <v>46.5332394011983</v>
      </c>
      <c r="AO18" s="13" t="n">
        <f aca="false">Operations!AO88+Operations!AO89</f>
        <v>47.7935649078857</v>
      </c>
      <c r="AP18" s="13" t="n">
        <f aca="false">Operations!AP88+Operations!AP89</f>
        <v>46.9819309154102</v>
      </c>
      <c r="AQ18" s="13" t="n">
        <f aca="false">Operations!AQ88+Operations!AQ89</f>
        <v>48.436183684556</v>
      </c>
      <c r="AR18" s="13" t="n">
        <f aca="false">Operations!AR88+Operations!AR89</f>
        <v>47.9713361993852</v>
      </c>
      <c r="AS18" s="13" t="n">
        <f aca="false">Operations!AS88+Operations!AS89</f>
        <v>48.5933597760093</v>
      </c>
      <c r="AT18" s="13" t="n">
        <f aca="false">Operations!AT88+Operations!AT89</f>
        <v>46.919639546778</v>
      </c>
      <c r="AU18" s="13" t="n">
        <f aca="false">Operations!AU88+Operations!AU89</f>
        <v>49.0609568997731</v>
      </c>
      <c r="AV18" s="13" t="n">
        <f aca="false">Operations!AV88+Operations!AV89</f>
        <v>49.4660645185685</v>
      </c>
      <c r="AW18" s="13" t="n">
        <f aca="false">Operations!AW88+Operations!AW89</f>
        <v>50.8147250172617</v>
      </c>
      <c r="AX18" s="13" t="n">
        <f aca="false">Operations!AX88+Operations!AX89</f>
        <v>49.9509023002326</v>
      </c>
      <c r="AY18" s="13" t="n">
        <f aca="false">Operations!AY88+Operations!AY89</f>
        <v>51.5089967649398</v>
      </c>
      <c r="AZ18" s="13" t="n">
        <f aca="false">Operations!AZ88+Operations!AZ89</f>
        <v>51.0196568956865</v>
      </c>
      <c r="BA18" s="13" t="n">
        <f aca="false">Operations!BA88+Operations!BA89</f>
        <v>51.8932401037153</v>
      </c>
      <c r="BB18" s="13" t="n">
        <f aca="false">Operations!BB88+Operations!BB89</f>
        <v>50.7682379289699</v>
      </c>
      <c r="BC18" s="13" t="n">
        <f aca="false">Operations!BC88+Operations!BC89</f>
        <v>52.6152074294667</v>
      </c>
      <c r="BD18" s="13" t="n">
        <f aca="false">Operations!BD88+Operations!BD89</f>
        <v>52.6344338644045</v>
      </c>
      <c r="BE18" s="13" t="n">
        <f aca="false">Operations!BE88+Operations!BE89</f>
        <v>54.0785422695604</v>
      </c>
      <c r="BF18" s="13" t="n">
        <f aca="false">Operations!BF88+Operations!BF89</f>
        <v>53.1583475336749</v>
      </c>
      <c r="BG18" s="13" t="n">
        <f aca="false">Operations!BG88+Operations!BG89</f>
        <v>54.8286279167531</v>
      </c>
      <c r="BH18" s="13" t="n">
        <f aca="false">Operations!BH88+Operations!BH89</f>
        <v>54.3128074194288</v>
      </c>
      <c r="BI18" s="13" t="n">
        <f aca="false">Operations!BI88+Operations!BI89</f>
        <v>55.0209797406327</v>
      </c>
      <c r="BJ18" s="13" t="n">
        <f aca="false">Operations!BJ88+Operations!BJ89</f>
        <v>53.108670689654</v>
      </c>
      <c r="BK18" s="13" t="n">
        <f aca="false">Operations!BK88+Operations!BK89</f>
        <v>55.5587366627012</v>
      </c>
      <c r="BL18" s="13" t="n">
        <f aca="false">Operations!BL88+Operations!BL89</f>
        <v>56.0572846169271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879</v>
      </c>
      <c r="E19" s="0" t="s">
        <v>149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880</v>
      </c>
      <c r="E20" s="0" t="s">
        <v>149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1.67337310469454</v>
      </c>
      <c r="P20" s="13" t="n">
        <f aca="false">MAX(0,-P12)</f>
        <v>6.69349241877824</v>
      </c>
      <c r="Q20" s="13" t="n">
        <f aca="false">MAX(0,-Q12)</f>
        <v>11.7136117328619</v>
      </c>
      <c r="R20" s="13" t="n">
        <f aca="false">MAX(0,-R12)</f>
        <v>16.7337310469456</v>
      </c>
      <c r="S20" s="13" t="n">
        <f aca="false">MAX(0,-S12)</f>
        <v>21.7538503610293</v>
      </c>
      <c r="T20" s="13" t="n">
        <f aca="false">MAX(0,-T12)</f>
        <v>26.773969675113</v>
      </c>
      <c r="U20" s="13" t="n">
        <f aca="false">MAX(0,-U12)</f>
        <v>31.7940889891967</v>
      </c>
      <c r="V20" s="13" t="n">
        <f aca="false">MAX(0,-V12)</f>
        <v>36.8142083032803</v>
      </c>
      <c r="W20" s="13" t="n">
        <f aca="false">MAX(0,-W12)</f>
        <v>41.834327617364</v>
      </c>
      <c r="X20" s="13" t="n">
        <f aca="false">MAX(0,-X12)</f>
        <v>46.8544469314477</v>
      </c>
      <c r="Y20" s="13" t="n">
        <f aca="false">MAX(0,-Y12)</f>
        <v>49.1316282834846</v>
      </c>
      <c r="Z20" s="13" t="n">
        <f aca="false">MAX(0,-Z12)</f>
        <v>45.6918274705053</v>
      </c>
      <c r="AA20" s="13" t="n">
        <f aca="false">MAX(0,-AA12)</f>
        <v>41.8346612298495</v>
      </c>
      <c r="AB20" s="13" t="n">
        <f aca="false">MAX(0,-AB12)</f>
        <v>37.7358276804466</v>
      </c>
      <c r="AC20" s="13" t="n">
        <f aca="false">MAX(0,-AC12)</f>
        <v>33.1844821670797</v>
      </c>
      <c r="AD20" s="13" t="n">
        <f aca="false">MAX(0,-AD12)</f>
        <v>32.0991790549776</v>
      </c>
      <c r="AE20" s="13" t="n">
        <f aca="false">MAX(0,-AE12)</f>
        <v>26.7190736084744</v>
      </c>
      <c r="AF20" s="13" t="n">
        <f aca="false">MAX(0,-AF12)</f>
        <v>21.029894491882</v>
      </c>
      <c r="AG20" s="13" t="n">
        <f aca="false">MAX(0,-AG12)</f>
        <v>14.8711810330599</v>
      </c>
      <c r="AH20" s="13" t="n">
        <f aca="false">MAX(0,-AH12)</f>
        <v>8.27960391962627</v>
      </c>
      <c r="AI20" s="13" t="n">
        <f aca="false">MAX(0,-AI12)</f>
        <v>1.12654573077378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881</v>
      </c>
      <c r="E21" s="0" t="s">
        <v>149</v>
      </c>
      <c r="J21" s="13" t="n">
        <f aca="false">J16+J17+J18+J19+J20</f>
        <v>139.106138718341</v>
      </c>
      <c r="K21" s="13" t="n">
        <f aca="false">K16+K17+K18+K19+K20</f>
        <v>239.361059019891</v>
      </c>
      <c r="L21" s="13" t="n">
        <f aca="false">L16+L17+L18+L19+L20</f>
        <v>433.488009929513</v>
      </c>
      <c r="M21" s="13" t="n">
        <f aca="false">M16+M17+M18+M19+M20</f>
        <v>635.509570384213</v>
      </c>
      <c r="N21" s="13" t="n">
        <f aca="false">N16+N17+N18+N19+N20</f>
        <v>753.08150774339</v>
      </c>
      <c r="O21" s="13" t="n">
        <f aca="false">O16+O17+O18+O19+O20</f>
        <v>916.357870682932</v>
      </c>
      <c r="P21" s="13" t="n">
        <f aca="false">P16+P17+P18+P19+P20</f>
        <v>902.970860103629</v>
      </c>
      <c r="Q21" s="13" t="n">
        <f aca="false">Q16+Q17+Q18+Q19+Q20</f>
        <v>905.711372299664</v>
      </c>
      <c r="R21" s="13" t="n">
        <f aca="false">R16+R17+R18+R19+R20</f>
        <v>906.905511168131</v>
      </c>
      <c r="S21" s="13" t="n">
        <f aca="false">S16+S17+S18+S19+S20</f>
        <v>871.21556605998</v>
      </c>
      <c r="T21" s="13" t="n">
        <f aca="false">T16+T17+T18+T19+T20</f>
        <v>859.335830325945</v>
      </c>
      <c r="U21" s="13" t="n">
        <f aca="false">U16+U17+U18+U19+U20</f>
        <v>849.425773871773</v>
      </c>
      <c r="V21" s="13" t="n">
        <f aca="false">V16+V17+V18+V19+V20</f>
        <v>834.094142676185</v>
      </c>
      <c r="W21" s="13" t="n">
        <f aca="false">W16+W17+W18+W19+W20</f>
        <v>822.683232945764</v>
      </c>
      <c r="X21" s="13" t="n">
        <f aca="false">X16+X17+X18+X19+X20</f>
        <v>812.55805748473</v>
      </c>
      <c r="Y21" s="13" t="n">
        <f aca="false">Y16+Y17+Y18+Y19+Y20</f>
        <v>801.478138293489</v>
      </c>
      <c r="Z21" s="13" t="n">
        <f aca="false">Z16+Z17+Z18+Z19+Z20</f>
        <v>782.261678803337</v>
      </c>
      <c r="AA21" s="13" t="n">
        <f aca="false">AA16+AA17+AA18+AA19+AA20</f>
        <v>765.343156755928</v>
      </c>
      <c r="AB21" s="13" t="n">
        <f aca="false">AB16+AB17+AB18+AB19+AB20</f>
        <v>745.272138754765</v>
      </c>
      <c r="AC21" s="13" t="n">
        <f aca="false">AC16+AC17+AC18+AC19+AC20</f>
        <v>727.097028565552</v>
      </c>
      <c r="AD21" s="13" t="n">
        <f aca="false">AD16+AD17+AD18+AD19+AD20</f>
        <v>695.234900809355</v>
      </c>
      <c r="AE21" s="13" t="n">
        <f aca="false">AE16+AE17+AE18+AE19+AE20</f>
        <v>674.078952051045</v>
      </c>
      <c r="AF21" s="13" t="n">
        <f aca="false">AF16+AF17+AF18+AF19+AF20</f>
        <v>651.01499412713</v>
      </c>
      <c r="AG21" s="13" t="n">
        <f aca="false">AG16+AG17+AG18+AG19+AG20</f>
        <v>628.801974748979</v>
      </c>
      <c r="AH21" s="13" t="n">
        <f aca="false">AH16+AH17+AH18+AH19+AH20</f>
        <v>603.354761141492</v>
      </c>
      <c r="AI21" s="13" t="n">
        <f aca="false">AI16+AI17+AI18+AI19+AI20</f>
        <v>579.599316524436</v>
      </c>
      <c r="AJ21" s="13" t="n">
        <f aca="false">AJ16+AJ17+AJ18+AJ19+AJ20</f>
        <v>559.147116499572</v>
      </c>
      <c r="AK21" s="13" t="n">
        <f aca="false">AK16+AK17+AK18+AK19+AK20</f>
        <v>540.916742997188</v>
      </c>
      <c r="AL21" s="13" t="n">
        <f aca="false">AL16+AL17+AL18+AL19+AL20</f>
        <v>520.085611912633</v>
      </c>
      <c r="AM21" s="13" t="n">
        <f aca="false">AM16+AM17+AM18+AM19+AM20</f>
        <v>500.520409420917</v>
      </c>
      <c r="AN21" s="13" t="n">
        <f aca="false">AN16+AN17+AN18+AN19+AN20</f>
        <v>485.902402058952</v>
      </c>
      <c r="AO21" s="13" t="n">
        <f aca="false">AO16+AO17+AO18+AO19+AO20</f>
        <v>453.870977856573</v>
      </c>
      <c r="AP21" s="13" t="n">
        <f aca="false">AP16+AP17+AP18+AP19+AP20</f>
        <v>438.673501902638</v>
      </c>
      <c r="AQ21" s="13" t="n">
        <f aca="false">AQ16+AQ17+AQ18+AQ19+AQ20</f>
        <v>425.741912710325</v>
      </c>
      <c r="AR21" s="13" t="n">
        <f aca="false">AR16+AR17+AR18+AR19+AR20</f>
        <v>410.891223263696</v>
      </c>
      <c r="AS21" s="13" t="n">
        <f aca="false">AS16+AS17+AS18+AS19+AS20</f>
        <v>397.127404878861</v>
      </c>
      <c r="AT21" s="13" t="n">
        <f aca="false">AT16+AT17+AT18+AT19+AT20</f>
        <v>364.632619089763</v>
      </c>
      <c r="AU21" s="13" t="n">
        <f aca="false">AU16+AU17+AU18+AU19+AU20</f>
        <v>350.040205395812</v>
      </c>
      <c r="AV21" s="13" t="n">
        <f aca="false">AV16+AV17+AV18+AV19+AV20</f>
        <v>334.301222968585</v>
      </c>
      <c r="AW21" s="13" t="n">
        <f aca="false">AW16+AW17+AW18+AW19+AW20</f>
        <v>319.505793421256</v>
      </c>
      <c r="AX21" s="13" t="n">
        <f aca="false">AX16+AX17+AX18+AX19+AX20</f>
        <v>302.497880658205</v>
      </c>
      <c r="AY21" s="13" t="n">
        <f aca="false">AY16+AY17+AY18+AY19+AY20</f>
        <v>287.91188507689</v>
      </c>
      <c r="AZ21" s="13" t="n">
        <f aca="false">AZ16+AZ17+AZ18+AZ19+AZ20</f>
        <v>271.278455161615</v>
      </c>
      <c r="BA21" s="13" t="n">
        <f aca="false">BA16+BA17+BA18+BA19+BA20</f>
        <v>256.50291671023</v>
      </c>
      <c r="BB21" s="13" t="n">
        <f aca="false">BB16+BB17+BB18+BB19+BB20</f>
        <v>236.607487737643</v>
      </c>
      <c r="BC21" s="13" t="n">
        <f aca="false">BC16+BC17+BC18+BC19+BC20</f>
        <v>223.238299264536</v>
      </c>
      <c r="BD21" s="13" t="n">
        <f aca="false">BD16+BD17+BD18+BD19+BD20</f>
        <v>210.852345573888</v>
      </c>
      <c r="BE21" s="13" t="n">
        <f aca="false">BE16+BE17+BE18+BE19+BE20</f>
        <v>199.908057974167</v>
      </c>
      <c r="BF21" s="13" t="n">
        <f aca="false">BF16+BF17+BF18+BF19+BF20</f>
        <v>186.616434975021</v>
      </c>
      <c r="BG21" s="13" t="n">
        <f aca="false">BG16+BG17+BG18+BG19+BG20</f>
        <v>175.932440466203</v>
      </c>
      <c r="BH21" s="13" t="n">
        <f aca="false">BH16+BH17+BH18+BH19+BH20</f>
        <v>163.079686108915</v>
      </c>
      <c r="BI21" s="13" t="n">
        <f aca="false">BI16+BI17+BI18+BI19+BI20</f>
        <v>151.46845531569</v>
      </c>
      <c r="BJ21" s="13" t="n">
        <f aca="false">BJ16+BJ17+BJ18+BJ19+BJ20</f>
        <v>117.693838157125</v>
      </c>
      <c r="BK21" s="13" t="n">
        <f aca="false">BK16+BK17+BK18+BK19+BK20</f>
        <v>105.065764611201</v>
      </c>
      <c r="BL21" s="13" t="n">
        <f aca="false">BL16+BL17+BL18+BL19+BL20</f>
        <v>90.5042854768518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882</v>
      </c>
      <c r="E22" s="0" t="s">
        <v>149</v>
      </c>
      <c r="J22" s="13" t="n">
        <f aca="false">IF(Time!J20&lt;Time!$F$12,SUMIFS(Funding!$J$73:$BJ$73,Construction!$J$12:$BJ$12,"&lt;="&amp;Time!J20),Debt!J116)</f>
        <v>102.394991424711</v>
      </c>
      <c r="K22" s="13" t="n">
        <f aca="false">IF(Time!K20&lt;Time!$F$12,SUMIFS(Funding!$J$73:$BJ$73,Construction!$J$12:$BJ$12,"&lt;="&amp;Time!K20),Debt!K116)</f>
        <v>175.354522901043</v>
      </c>
      <c r="L22" s="13" t="n">
        <f aca="false">IF(Time!L20&lt;Time!$F$12,SUMIFS(Funding!$J$73:$BJ$73,Construction!$J$12:$BJ$12,"&lt;="&amp;Time!L20),Debt!L116)</f>
        <v>316.693819074419</v>
      </c>
      <c r="M22" s="13" t="n">
        <f aca="false">IF(Time!M20&lt;Time!$F$12,SUMIFS(Funding!$J$73:$BJ$73,Construction!$J$12:$BJ$12,"&lt;="&amp;Time!M20),Debt!M116)</f>
        <v>462.283857293838</v>
      </c>
      <c r="N22" s="13" t="n">
        <f aca="false">IF(Time!N20&lt;Time!$F$12,SUMIFS(Funding!$J$73:$BJ$73,Construction!$J$12:$BJ$12,"&lt;="&amp;Time!N20),Debt!N116)</f>
        <v>543.854065408923</v>
      </c>
      <c r="O22" s="13" t="n">
        <f aca="false">IF(Time!O20&lt;Time!$F$12,SUMIFS(Funding!$J$73:$BJ$73,Construction!$J$12:$BJ$12,"&lt;="&amp;Time!O20),Debt!O116)</f>
        <v>633.255975542792</v>
      </c>
      <c r="P22" s="13" t="n">
        <f aca="false">IF(Time!P20&lt;Time!$F$12,SUMIFS(Funding!$J$73:$BJ$73,Construction!$J$12:$BJ$12,"&lt;="&amp;Time!P20),Debt!P116)</f>
        <v>617.766260742047</v>
      </c>
      <c r="Q22" s="13" t="n">
        <f aca="false">IF(Time!Q20&lt;Time!$F$12,SUMIFS(Funding!$J$73:$BJ$73,Construction!$J$12:$BJ$12,"&lt;="&amp;Time!Q20),Debt!Q116)</f>
        <v>601.62099441246</v>
      </c>
      <c r="R22" s="13" t="n">
        <f aca="false">IF(Time!R20&lt;Time!$F$12,SUMIFS(Funding!$J$73:$BJ$73,Construction!$J$12:$BJ$12,"&lt;="&amp;Time!R20),Debt!R116)</f>
        <v>584.68043306703</v>
      </c>
      <c r="S22" s="13" t="n">
        <f aca="false">IF(Time!S20&lt;Time!$F$12,SUMIFS(Funding!$J$73:$BJ$73,Construction!$J$12:$BJ$12,"&lt;="&amp;Time!S20),Debt!S116)</f>
        <v>567.24066078473</v>
      </c>
      <c r="T22" s="13" t="n">
        <f aca="false">IF(Time!T20&lt;Time!$F$12,SUMIFS(Funding!$J$73:$BJ$73,Construction!$J$12:$BJ$12,"&lt;="&amp;Time!T20),Debt!T116)</f>
        <v>548.998665226968</v>
      </c>
      <c r="U22" s="13" t="n">
        <f aca="false">IF(Time!U20&lt;Time!$F$12,SUMIFS(Funding!$J$73:$BJ$73,Construction!$J$12:$BJ$12,"&lt;="&amp;Time!U20),Debt!U116)</f>
        <v>530.17490031735</v>
      </c>
      <c r="V22" s="13" t="n">
        <f aca="false">IF(Time!V20&lt;Time!$F$12,SUMIFS(Funding!$J$73:$BJ$73,Construction!$J$12:$BJ$12,"&lt;="&amp;Time!V20),Debt!V116)</f>
        <v>510.121392145603</v>
      </c>
      <c r="W22" s="13" t="n">
        <f aca="false">IF(Time!W20&lt;Time!$F$12,SUMIFS(Funding!$J$73:$BJ$73,Construction!$J$12:$BJ$12,"&lt;="&amp;Time!W20),Debt!W116)</f>
        <v>489.454860536502</v>
      </c>
      <c r="X22" s="13" t="n">
        <f aca="false">IF(Time!X20&lt;Time!$F$12,SUMIFS(Funding!$J$73:$BJ$73,Construction!$J$12:$BJ$12,"&lt;="&amp;Time!X20),Debt!X116)</f>
        <v>469.361985000767</v>
      </c>
      <c r="Y22" s="13" t="n">
        <f aca="false">IF(Time!Y20&lt;Time!$F$12,SUMIFS(Funding!$J$73:$BJ$73,Construction!$J$12:$BJ$12,"&lt;="&amp;Time!Y20),Debt!Y116)</f>
        <v>449.259654772994</v>
      </c>
      <c r="Z22" s="13" t="n">
        <f aca="false">IF(Time!Z20&lt;Time!$F$12,SUMIFS(Funding!$J$73:$BJ$73,Construction!$J$12:$BJ$12,"&lt;="&amp;Time!Z20),Debt!Z116)</f>
        <v>428.324526114692</v>
      </c>
      <c r="AA22" s="13" t="n">
        <f aca="false">IF(Time!AA20&lt;Time!$F$12,SUMIFS(Funding!$J$73:$BJ$73,Construction!$J$12:$BJ$12,"&lt;="&amp;Time!AA20),Debt!AA116)</f>
        <v>400.593188265099</v>
      </c>
      <c r="AB22" s="13" t="n">
        <f aca="false">IF(Time!AB20&lt;Time!$F$12,SUMIFS(Funding!$J$73:$BJ$73,Construction!$J$12:$BJ$12,"&lt;="&amp;Time!AB20),Debt!AB116)</f>
        <v>371.166876946112</v>
      </c>
      <c r="AC22" s="13" t="n">
        <f aca="false">IF(Time!AC20&lt;Time!$F$12,SUMIFS(Funding!$J$73:$BJ$73,Construction!$J$12:$BJ$12,"&lt;="&amp;Time!AC20),Debt!AC116)</f>
        <v>341.768152189568</v>
      </c>
      <c r="AD22" s="13" t="n">
        <f aca="false">IF(Time!AD20&lt;Time!$F$12,SUMIFS(Funding!$J$73:$BJ$73,Construction!$J$12:$BJ$12,"&lt;="&amp;Time!AD20),Debt!AD116)</f>
        <v>309.44067582598</v>
      </c>
      <c r="AE22" s="13" t="n">
        <f aca="false">IF(Time!AE20&lt;Time!$F$12,SUMIFS(Funding!$J$73:$BJ$73,Construction!$J$12:$BJ$12,"&lt;="&amp;Time!AE20),Debt!AE116)</f>
        <v>276.113065824288</v>
      </c>
      <c r="AF22" s="13" t="n">
        <f aca="false">IF(Time!AF20&lt;Time!$F$12,SUMIFS(Funding!$J$73:$BJ$73,Construction!$J$12:$BJ$12,"&lt;="&amp;Time!AF20),Debt!AF116)</f>
        <v>241.814125546661</v>
      </c>
      <c r="AG22" s="13" t="n">
        <f aca="false">IF(Time!AG20&lt;Time!$F$12,SUMIFS(Funding!$J$73:$BJ$73,Construction!$J$12:$BJ$12,"&lt;="&amp;Time!AG20),Debt!AG116)</f>
        <v>207.587608467207</v>
      </c>
      <c r="AH22" s="13" t="n">
        <f aca="false">IF(Time!AH20&lt;Time!$F$12,SUMIFS(Funding!$J$73:$BJ$73,Construction!$J$12:$BJ$12,"&lt;="&amp;Time!AH20),Debt!AH116)</f>
        <v>171.948797344354</v>
      </c>
      <c r="AI22" s="13" t="n">
        <f aca="false">IF(Time!AI20&lt;Time!$F$12,SUMIFS(Funding!$J$73:$BJ$73,Construction!$J$12:$BJ$12,"&lt;="&amp;Time!AI20),Debt!AI116)</f>
        <v>136.283529921639</v>
      </c>
      <c r="AJ22" s="13" t="n">
        <f aca="false">IF(Time!AJ20&lt;Time!$F$12,SUMIFS(Funding!$J$73:$BJ$73,Construction!$J$12:$BJ$12,"&lt;="&amp;Time!AJ20),Debt!AJ116)</f>
        <v>100.391694754139</v>
      </c>
      <c r="AK22" s="13" t="n">
        <f aca="false">IF(Time!AK20&lt;Time!$F$12,SUMIFS(Funding!$J$73:$BJ$73,Construction!$J$12:$BJ$12,"&lt;="&amp;Time!AK20),Debt!AK116)</f>
        <v>80.0770675371831</v>
      </c>
      <c r="AL22" s="13" t="n">
        <f aca="false">IF(Time!AL20&lt;Time!$F$12,SUMIFS(Funding!$J$73:$BJ$73,Construction!$J$12:$BJ$12,"&lt;="&amp;Time!AL20),Debt!AL116)</f>
        <v>58.5366809532083</v>
      </c>
      <c r="AM22" s="13" t="n">
        <f aca="false">IF(Time!AM20&lt;Time!$F$12,SUMIFS(Funding!$J$73:$BJ$73,Construction!$J$12:$BJ$12,"&lt;="&amp;Time!AM20),Debt!AM116)</f>
        <v>36.5485781493316</v>
      </c>
      <c r="AN22" s="13" t="n">
        <f aca="false">IF(Time!AN20&lt;Time!$F$12,SUMIFS(Funding!$J$73:$BJ$73,Construction!$J$12:$BJ$12,"&lt;="&amp;Time!AN20),Debt!AN116)</f>
        <v>18.4086543635775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883</v>
      </c>
      <c r="E23" s="0" t="s">
        <v>149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29.5372183907053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51.7209656764366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94.6062018682886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140.837492933784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171.124305212971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204.861412067266</v>
      </c>
      <c r="P23" s="13" t="n">
        <f aca="false">IF(Time!P20&lt;Time!$F$12,SUMIFS(Funding!$J$70:$BJ$70,Construction!$J$12:$BJ$12,"&lt;="&amp;Time!P20)+SUMIFS(Funding!$J$71:$BJ$71,Construction!$J$12:$BJ$12,"&lt;="&amp;Time!P20),Waterfall!P36)</f>
        <v>199.675119693527</v>
      </c>
      <c r="Q23" s="13" t="n">
        <f aca="false">IF(Time!Q20&lt;Time!$F$12,SUMIFS(Funding!$J$70:$BJ$70,Construction!$J$12:$BJ$12,"&lt;="&amp;Time!Q20)+SUMIFS(Funding!$J$71:$BJ$71,Construction!$J$12:$BJ$12,"&lt;="&amp;Time!Q20),Waterfall!Q36)</f>
        <v>209.081732524021</v>
      </c>
      <c r="R23" s="13" t="n">
        <f aca="false">IF(Time!R20&lt;Time!$F$12,SUMIFS(Funding!$J$70:$BJ$70,Construction!$J$12:$BJ$12,"&lt;="&amp;Time!R20)+SUMIFS(Funding!$J$71:$BJ$71,Construction!$J$12:$BJ$12,"&lt;="&amp;Time!R20),Waterfall!R36)</f>
        <v>219.094742618596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190.770117306463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186.512725367821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182.915292631081</v>
      </c>
      <c r="V23" s="13" t="n">
        <f aca="false">IF(Time!V20&lt;Time!$F$12,SUMIFS(Funding!$J$70:$BJ$70,Construction!$J$12:$BJ$12,"&lt;="&amp;Time!V20)+SUMIFS(Funding!$J$71:$BJ$71,Construction!$J$12:$BJ$12,"&lt;="&amp;Time!V20),Waterfall!V36)</f>
        <v>178.009716269939</v>
      </c>
      <c r="W23" s="13" t="n">
        <f aca="false">IF(Time!W20&lt;Time!$F$12,SUMIFS(Funding!$J$70:$BJ$70,Construction!$J$12:$BJ$12,"&lt;="&amp;Time!W20)+SUMIFS(Funding!$J$71:$BJ$71,Construction!$J$12:$BJ$12,"&lt;="&amp;Time!W20),Waterfall!W36)</f>
        <v>171.99111889514</v>
      </c>
      <c r="X23" s="13" t="n">
        <f aca="false">IF(Time!X20&lt;Time!$F$12,SUMIFS(Funding!$J$70:$BJ$70,Construction!$J$12:$BJ$12,"&lt;="&amp;Time!X20)+SUMIFS(Funding!$J$71:$BJ$71,Construction!$J$12:$BJ$12,"&lt;="&amp;Time!X20),Waterfall!X36)</f>
        <v>166.947062950173</v>
      </c>
      <c r="Y23" s="13" t="n">
        <f aca="false">IF(Time!Y20&lt;Time!$F$12,SUMIFS(Funding!$J$70:$BJ$70,Construction!$J$12:$BJ$12,"&lt;="&amp;Time!Y20)+SUMIFS(Funding!$J$71:$BJ$71,Construction!$J$12:$BJ$12,"&lt;="&amp;Time!Y20),Waterfall!Y36)</f>
        <v>162.313204322749</v>
      </c>
      <c r="Z23" s="13" t="n">
        <f aca="false">IF(Time!Z20&lt;Time!$F$12,SUMIFS(Funding!$J$70:$BJ$70,Construction!$J$12:$BJ$12,"&lt;="&amp;Time!Z20)+SUMIFS(Funding!$J$71:$BJ$71,Construction!$J$12:$BJ$12,"&lt;="&amp;Time!Z20),Waterfall!Z36)</f>
        <v>156.884397536523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158.08988738152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158.466711528249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159.106468974695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158.517305907924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157.162578782417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154.969733958057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152.114530422446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147.860644696569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142.408720907729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134.173536790652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108.639603145107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84.136114227998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54.3320442200485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33.3714600970811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884</v>
      </c>
      <c r="E24" s="0" t="s">
        <v>149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24.0950407856378</v>
      </c>
      <c r="P24" s="13" t="n">
        <f aca="false">Operations!P90+Operations!P91+Operations!P92+Operations!P93+Operations!P94</f>
        <v>24.0020909203874</v>
      </c>
      <c r="Q24" s="13" t="n">
        <f aca="false">Operations!Q90+Operations!Q91+Operations!Q92+Operations!Q93+Operations!Q94</f>
        <v>24.743857750018</v>
      </c>
      <c r="R24" s="13" t="n">
        <f aca="false">Operations!R90+Operations!R91+Operations!R92+Operations!R93+Operations!R94</f>
        <v>24.2599654195137</v>
      </c>
      <c r="S24" s="13" t="n">
        <f aca="false">Operations!S90+Operations!S91+Operations!S92+Operations!S93+Operations!S94</f>
        <v>25.1525126563782</v>
      </c>
      <c r="T24" s="13" t="n">
        <f aca="false">Operations!T90+Operations!T91+Operations!T92+Operations!T93+Operations!T94</f>
        <v>24.9431978853216</v>
      </c>
      <c r="U24" s="13" t="n">
        <f aca="false">Operations!U90+Operations!U91+Operations!U92+Operations!U93+Operations!U94</f>
        <v>25.3974858364738</v>
      </c>
      <c r="V24" s="13" t="n">
        <f aca="false">Operations!V90+Operations!V91+Operations!V92+Operations!V93+Operations!V94</f>
        <v>24.6578860928367</v>
      </c>
      <c r="W24" s="13" t="n">
        <f aca="false">Operations!W90+Operations!W91+Operations!W92+Operations!W93+Operations!W94</f>
        <v>25.7569302744051</v>
      </c>
      <c r="X24" s="13" t="n">
        <f aca="false">Operations!X90+Operations!X91+Operations!X92+Operations!X93+Operations!X94</f>
        <v>25.9212834929621</v>
      </c>
      <c r="Y24" s="13" t="n">
        <f aca="false">Operations!Y90+Operations!Y91+Operations!Y92+Operations!Y93+Operations!Y94</f>
        <v>26.722769067278</v>
      </c>
      <c r="Z24" s="13" t="n">
        <f aca="false">Operations!Z90+Operations!Z91+Operations!Z92+Operations!Z93+Operations!Z94</f>
        <v>26.199534659376</v>
      </c>
      <c r="AA24" s="13" t="n">
        <f aca="false">Operations!AA90+Operations!AA91+Operations!AA92+Operations!AA93+Operations!AA94</f>
        <v>27.1640726156399</v>
      </c>
      <c r="AB24" s="13" t="n">
        <f aca="false">Operations!AB90+Operations!AB91+Operations!AB92+Operations!AB93+Operations!AB94</f>
        <v>26.9377965229593</v>
      </c>
      <c r="AC24" s="13" t="n">
        <f aca="false">Operations!AC90+Operations!AC91+Operations!AC92+Operations!AC93+Operations!AC94</f>
        <v>27.2619368464678</v>
      </c>
      <c r="AD24" s="13" t="n">
        <f aca="false">Operations!AD90+Operations!AD91+Operations!AD92+Operations!AD93+Operations!AD94</f>
        <v>26.139656782334</v>
      </c>
      <c r="AE24" s="13" t="n">
        <f aca="false">Operations!AE90+Operations!AE91+Operations!AE92+Operations!AE93+Operations!AE94</f>
        <v>27.4751450478633</v>
      </c>
      <c r="AF24" s="13" t="n">
        <f aca="false">Operations!AF90+Operations!AF91+Operations!AF92+Operations!AF93+Operations!AF94</f>
        <v>27.9942422727087</v>
      </c>
      <c r="AG24" s="13" t="n">
        <f aca="false">Operations!AG90+Operations!AG91+Operations!AG92+Operations!AG93+Operations!AG94</f>
        <v>28.8602399073182</v>
      </c>
      <c r="AH24" s="13" t="n">
        <f aca="false">Operations!AH90+Operations!AH91+Operations!AH92+Operations!AH93+Operations!AH94</f>
        <v>28.2944803006465</v>
      </c>
      <c r="AI24" s="13" t="n">
        <f aca="false">Operations!AI90+Operations!AI91+Operations!AI92+Operations!AI93+Operations!AI94</f>
        <v>29.3367940784108</v>
      </c>
      <c r="AJ24" s="13" t="n">
        <f aca="false">Operations!AJ90+Operations!AJ91+Operations!AJ92+Operations!AJ93+Operations!AJ94</f>
        <v>29.0921847497958</v>
      </c>
      <c r="AK24" s="13" t="n">
        <f aca="false">Operations!AK90+Operations!AK91+Operations!AK92+Operations!AK93+Operations!AK94</f>
        <v>29.6218707145224</v>
      </c>
      <c r="AL24" s="13" t="n">
        <f aca="false">Operations!AL90+Operations!AL91+Operations!AL92+Operations!AL93+Operations!AL94</f>
        <v>28.7570864814343</v>
      </c>
      <c r="AM24" s="13" t="n">
        <f aca="false">Operations!AM90+Operations!AM91+Operations!AM92+Operations!AM93+Operations!AM94</f>
        <v>30.0408344605258</v>
      </c>
      <c r="AN24" s="13" t="n">
        <f aca="false">Operations!AN90+Operations!AN91+Operations!AN92+Operations!AN93+Operations!AN94</f>
        <v>30.2332489489033</v>
      </c>
      <c r="AO24" s="13" t="n">
        <f aca="false">Operations!AO90+Operations!AO91+Operations!AO92+Operations!AO93+Operations!AO94</f>
        <v>31.1689343564011</v>
      </c>
      <c r="AP24" s="13" t="n">
        <f aca="false">Operations!AP90+Operations!AP91+Operations!AP92+Operations!AP93+Operations!AP94</f>
        <v>30.5572110233702</v>
      </c>
      <c r="AQ24" s="13" t="n">
        <f aca="false">Operations!AQ90+Operations!AQ91+Operations!AQ92+Operations!AQ93+Operations!AQ94</f>
        <v>31.6835476594038</v>
      </c>
      <c r="AR24" s="13" t="n">
        <f aca="false">Operations!AR90+Operations!AR91+Operations!AR92+Operations!AR93+Operations!AR94</f>
        <v>31.4191232164055</v>
      </c>
      <c r="AS24" s="13" t="n">
        <f aca="false">Operations!AS90+Operations!AS91+Operations!AS92+Operations!AS93+Operations!AS94</f>
        <v>31.7964704147147</v>
      </c>
      <c r="AT24" s="13" t="n">
        <f aca="false">Operations!AT90+Operations!AT91+Operations!AT92+Operations!AT93+Operations!AT94</f>
        <v>30.484448469376</v>
      </c>
      <c r="AU24" s="13" t="n">
        <f aca="false">Operations!AU90+Operations!AU91+Operations!AU92+Operations!AU93+Operations!AU94</f>
        <v>32.0443147408864</v>
      </c>
      <c r="AV24" s="13" t="n">
        <f aca="false">Operations!AV90+Operations!AV91+Operations!AV92+Operations!AV93+Operations!AV94</f>
        <v>32.6515617060015</v>
      </c>
      <c r="AW24" s="13" t="n">
        <f aca="false">Operations!AW90+Operations!AW91+Operations!AW92+Operations!AW93+Operations!AW94</f>
        <v>33.6625232797777</v>
      </c>
      <c r="AX24" s="13" t="n">
        <f aca="false">Operations!AX90+Operations!AX91+Operations!AX92+Operations!AX93+Operations!AX94</f>
        <v>33.0011219807664</v>
      </c>
      <c r="AY24" s="13" t="n">
        <f aca="false">Operations!AY90+Operations!AY91+Operations!AY92+Operations!AY93+Operations!AY94</f>
        <v>34.2182270547156</v>
      </c>
      <c r="AZ24" s="13" t="n">
        <f aca="false">Operations!AZ90+Operations!AZ91+Operations!AZ92+Operations!AZ93+Operations!AZ94</f>
        <v>33.9323869288598</v>
      </c>
      <c r="BA24" s="13" t="n">
        <f aca="false">Operations!BA90+Operations!BA91+Operations!BA92+Operations!BA93+Operations!BA94</f>
        <v>34.5499587648757</v>
      </c>
      <c r="BB24" s="13" t="n">
        <f aca="false">Operations!BB90+Operations!BB91+Operations!BB92+Operations!BB93+Operations!BB94</f>
        <v>33.5389517240444</v>
      </c>
      <c r="BC24" s="13" t="n">
        <f aca="false">Operations!BC90+Operations!BC91+Operations!BC92+Operations!BC93+Operations!BC94</f>
        <v>35.0382945229914</v>
      </c>
      <c r="BD24" s="13" t="n">
        <f aca="false">Operations!BD90+Operations!BD91+Operations!BD92+Operations!BD93+Operations!BD94</f>
        <v>35.2634924018826</v>
      </c>
      <c r="BE24" s="13" t="n">
        <f aca="false">Operations!BE90+Operations!BE91+Operations!BE92+Operations!BE93+Operations!BE94</f>
        <v>36.3557638775137</v>
      </c>
      <c r="BF24" s="13" t="n">
        <f aca="false">Operations!BF90+Operations!BF91+Operations!BF92+Operations!BF93+Operations!BF94</f>
        <v>35.6406727572552</v>
      </c>
      <c r="BG24" s="13" t="n">
        <f aca="false">Operations!BG90+Operations!BG91+Operations!BG92+Operations!BG93+Operations!BG94</f>
        <v>36.9558298755099</v>
      </c>
      <c r="BH24" s="13" t="n">
        <f aca="false">Operations!BH90+Operations!BH91+Operations!BH92+Operations!BH93+Operations!BH94</f>
        <v>36.6468453978323</v>
      </c>
      <c r="BI24" s="13" t="n">
        <f aca="false">Operations!BI90+Operations!BI91+Operations!BI92+Operations!BI93+Operations!BI94</f>
        <v>37.0861360234859</v>
      </c>
      <c r="BJ24" s="13" t="n">
        <f aca="false">Operations!BJ90+Operations!BJ91+Operations!BJ92+Operations!BJ93+Operations!BJ94</f>
        <v>35.5525198700651</v>
      </c>
      <c r="BK24" s="13" t="n">
        <f aca="false">Operations!BK90+Operations!BK91+Operations!BK92+Operations!BK93+Operations!BK94</f>
        <v>37.3742725786475</v>
      </c>
      <c r="BL24" s="13" t="n">
        <f aca="false">Operations!BL90+Operations!BL91+Operations!BL92+Operations!BL93+Operations!BL94</f>
        <v>38.0844898012039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885</v>
      </c>
      <c r="E25" s="0" t="s">
        <v>149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6.49918866839315</v>
      </c>
      <c r="AK25" s="13" t="n">
        <f aca="false">MAX(0,AK12)</f>
        <v>14.7380685690191</v>
      </c>
      <c r="AL25" s="13" t="n">
        <f aca="false">MAX(0,AL12)</f>
        <v>22.6738840545863</v>
      </c>
      <c r="AM25" s="13" t="n">
        <f aca="false">MAX(0,AM12)</f>
        <v>31.9614262996661</v>
      </c>
      <c r="AN25" s="13" t="n">
        <f aca="false">MAX(0,AN12)</f>
        <v>32.9654501624829</v>
      </c>
      <c r="AO25" s="13" t="n">
        <f aca="false">MAX(0,AO12)</f>
        <v>33.9694740252996</v>
      </c>
      <c r="AP25" s="13" t="n">
        <f aca="false">MAX(0,AP12)</f>
        <v>34.9734978881163</v>
      </c>
      <c r="AQ25" s="13" t="n">
        <f aca="false">MAX(0,AQ12)</f>
        <v>35.9775217509331</v>
      </c>
      <c r="AR25" s="13" t="n">
        <f aca="false">MAX(0,AR12)</f>
        <v>36.9815456137498</v>
      </c>
      <c r="AS25" s="13" t="n">
        <f aca="false">MAX(0,AS12)</f>
        <v>37.9855694765666</v>
      </c>
      <c r="AT25" s="13" t="n">
        <f aca="false">MAX(0,AT12)</f>
        <v>38.9895933393833</v>
      </c>
      <c r="AU25" s="13" t="n">
        <f aca="false">MAX(0,AU12)</f>
        <v>39.9936172022</v>
      </c>
      <c r="AV25" s="13" t="n">
        <f aca="false">MAX(0,AV12)</f>
        <v>40.9976410650168</v>
      </c>
      <c r="AW25" s="13" t="n">
        <f aca="false">MAX(0,AW12)</f>
        <v>42.0016649278335</v>
      </c>
      <c r="AX25" s="13" t="n">
        <f aca="false">MAX(0,AX12)</f>
        <v>43.0056887906502</v>
      </c>
      <c r="AY25" s="13" t="n">
        <f aca="false">MAX(0,AY12)</f>
        <v>44.009712653467</v>
      </c>
      <c r="AZ25" s="13" t="n">
        <f aca="false">MAX(0,AZ12)</f>
        <v>45.0137365162837</v>
      </c>
      <c r="BA25" s="13" t="n">
        <f aca="false">MAX(0,BA12)</f>
        <v>46.0177603791004</v>
      </c>
      <c r="BB25" s="13" t="n">
        <f aca="false">MAX(0,BB12)</f>
        <v>47.0217842419172</v>
      </c>
      <c r="BC25" s="13" t="n">
        <f aca="false">MAX(0,BC12)</f>
        <v>46.1014290343352</v>
      </c>
      <c r="BD25" s="13" t="n">
        <f aca="false">MAX(0,BD12)</f>
        <v>41.3323156859557</v>
      </c>
      <c r="BE25" s="13" t="n">
        <f aca="false">MAX(0,BE12)</f>
        <v>36.5632023375762</v>
      </c>
      <c r="BF25" s="13" t="n">
        <f aca="false">MAX(0,BF12)</f>
        <v>31.7940889891967</v>
      </c>
      <c r="BG25" s="13" t="n">
        <f aca="false">MAX(0,BG12)</f>
        <v>27.0249756408172</v>
      </c>
      <c r="BH25" s="13" t="n">
        <f aca="false">MAX(0,BH12)</f>
        <v>22.2558622924377</v>
      </c>
      <c r="BI25" s="13" t="n">
        <f aca="false">MAX(0,BI12)</f>
        <v>17.4867489440582</v>
      </c>
      <c r="BJ25" s="13" t="n">
        <f aca="false">MAX(0,BJ12)</f>
        <v>12.7176355956787</v>
      </c>
      <c r="BK25" s="13" t="n">
        <f aca="false">MAX(0,BK12)</f>
        <v>7.94852224729914</v>
      </c>
      <c r="BL25" s="13" t="n">
        <f aca="false">MAX(0,BL12)</f>
        <v>3.17940889891969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733</v>
      </c>
      <c r="E26" s="0" t="s">
        <v>149</v>
      </c>
      <c r="J26" s="13" t="n">
        <f aca="false">SUMIFS(Funding!$J$69:$BJ$69,Construction!$J$12:$BJ$12,"&lt;="&amp;Time!J20)</f>
        <v>7.17392890292466</v>
      </c>
      <c r="K26" s="13" t="n">
        <f aca="false">SUMIFS(Funding!$J$69:$BJ$69,Construction!$J$12:$BJ$12,"&lt;="&amp;Time!K20)</f>
        <v>12.285570442411</v>
      </c>
      <c r="L26" s="13" t="n">
        <f aca="false">SUMIFS(Funding!$J$69:$BJ$69,Construction!$J$12:$BJ$12,"&lt;="&amp;Time!L20)</f>
        <v>22.1879889868058</v>
      </c>
      <c r="M26" s="13" t="n">
        <f aca="false">SUMIFS(Funding!$J$69:$BJ$69,Construction!$J$12:$BJ$12,"&lt;="&amp;Time!M20)</f>
        <v>32.3882201565908</v>
      </c>
      <c r="N26" s="13" t="n">
        <f aca="false">SUMIFS(Funding!$J$69:$BJ$69,Construction!$J$12:$BJ$12,"&lt;="&amp;Time!N20)</f>
        <v>38.1031371214958</v>
      </c>
      <c r="O26" s="13" t="n">
        <f aca="false">SUMIFS(Funding!$J$69:$BJ$69,Construction!$J$12:$BJ$12,"&lt;="&amp;Time!O20)</f>
        <v>44.3667535168114</v>
      </c>
      <c r="P26" s="13" t="n">
        <f aca="false">SUMIFS(Funding!$J$69:$BJ$69,Construction!$J$12:$BJ$12,"&lt;="&amp;Time!P20)</f>
        <v>44.3667535168114</v>
      </c>
      <c r="Q26" s="13" t="n">
        <f aca="false">SUMIFS(Funding!$J$69:$BJ$69,Construction!$J$12:$BJ$12,"&lt;="&amp;Time!Q20)</f>
        <v>44.3667535168114</v>
      </c>
      <c r="R26" s="13" t="n">
        <f aca="false">SUMIFS(Funding!$J$69:$BJ$69,Construction!$J$12:$BJ$12,"&lt;="&amp;Time!R20)</f>
        <v>44.3667535168114</v>
      </c>
      <c r="S26" s="13" t="n">
        <f aca="false">SUMIFS(Funding!$J$69:$BJ$69,Construction!$J$12:$BJ$12,"&lt;="&amp;Time!S20)</f>
        <v>44.3667535168114</v>
      </c>
      <c r="T26" s="13" t="n">
        <f aca="false">SUMIFS(Funding!$J$69:$BJ$69,Construction!$J$12:$BJ$12,"&lt;="&amp;Time!T20)</f>
        <v>44.3667535168114</v>
      </c>
      <c r="U26" s="13" t="n">
        <f aca="false">SUMIFS(Funding!$J$69:$BJ$69,Construction!$J$12:$BJ$12,"&lt;="&amp;Time!U20)</f>
        <v>44.3667535168114</v>
      </c>
      <c r="V26" s="13" t="n">
        <f aca="false">SUMIFS(Funding!$J$69:$BJ$69,Construction!$J$12:$BJ$12,"&lt;="&amp;Time!V20)</f>
        <v>44.3667535168114</v>
      </c>
      <c r="W26" s="13" t="n">
        <f aca="false">SUMIFS(Funding!$J$69:$BJ$69,Construction!$J$12:$BJ$12,"&lt;="&amp;Time!W20)</f>
        <v>44.3667535168114</v>
      </c>
      <c r="X26" s="13" t="n">
        <f aca="false">SUMIFS(Funding!$J$69:$BJ$69,Construction!$J$12:$BJ$12,"&lt;="&amp;Time!X20)</f>
        <v>44.3667535168114</v>
      </c>
      <c r="Y26" s="13" t="n">
        <f aca="false">SUMIFS(Funding!$J$69:$BJ$69,Construction!$J$12:$BJ$12,"&lt;="&amp;Time!Y20)</f>
        <v>44.3667535168114</v>
      </c>
      <c r="Z26" s="13" t="n">
        <f aca="false">SUMIFS(Funding!$J$69:$BJ$69,Construction!$J$12:$BJ$12,"&lt;="&amp;Time!Z20)</f>
        <v>44.3667535168114</v>
      </c>
      <c r="AA26" s="13" t="n">
        <f aca="false">SUMIFS(Funding!$J$69:$BJ$69,Construction!$J$12:$BJ$12,"&lt;="&amp;Time!AA20)</f>
        <v>44.3667535168114</v>
      </c>
      <c r="AB26" s="13" t="n">
        <f aca="false">SUMIFS(Funding!$J$69:$BJ$69,Construction!$J$12:$BJ$12,"&lt;="&amp;Time!AB20)</f>
        <v>44.3667535168114</v>
      </c>
      <c r="AC26" s="13" t="n">
        <f aca="false">SUMIFS(Funding!$J$69:$BJ$69,Construction!$J$12:$BJ$12,"&lt;="&amp;Time!AC20)</f>
        <v>44.3667535168114</v>
      </c>
      <c r="AD26" s="13" t="n">
        <f aca="false">SUMIFS(Funding!$J$69:$BJ$69,Construction!$J$12:$BJ$12,"&lt;="&amp;Time!AD20)</f>
        <v>44.3667535168114</v>
      </c>
      <c r="AE26" s="13" t="n">
        <f aca="false">SUMIFS(Funding!$J$69:$BJ$69,Construction!$J$12:$BJ$12,"&lt;="&amp;Time!AE20)</f>
        <v>44.3667535168114</v>
      </c>
      <c r="AF26" s="13" t="n">
        <f aca="false">SUMIFS(Funding!$J$69:$BJ$69,Construction!$J$12:$BJ$12,"&lt;="&amp;Time!AF20)</f>
        <v>44.3667535168114</v>
      </c>
      <c r="AG26" s="13" t="n">
        <f aca="false">SUMIFS(Funding!$J$69:$BJ$69,Construction!$J$12:$BJ$12,"&lt;="&amp;Time!AG20)</f>
        <v>44.3667535168114</v>
      </c>
      <c r="AH26" s="13" t="n">
        <f aca="false">SUMIFS(Funding!$J$69:$BJ$69,Construction!$J$12:$BJ$12,"&lt;="&amp;Time!AH20)</f>
        <v>44.3667535168114</v>
      </c>
      <c r="AI26" s="13" t="n">
        <f aca="false">SUMIFS(Funding!$J$69:$BJ$69,Construction!$J$12:$BJ$12,"&lt;="&amp;Time!AI20)</f>
        <v>44.3667535168114</v>
      </c>
      <c r="AJ26" s="13" t="n">
        <f aca="false">SUMIFS(Funding!$J$69:$BJ$69,Construction!$J$12:$BJ$12,"&lt;="&amp;Time!AJ20)</f>
        <v>44.3667535168114</v>
      </c>
      <c r="AK26" s="13" t="n">
        <f aca="false">SUMIFS(Funding!$J$69:$BJ$69,Construction!$J$12:$BJ$12,"&lt;="&amp;Time!AK20)</f>
        <v>44.3667535168114</v>
      </c>
      <c r="AL26" s="13" t="n">
        <f aca="false">SUMIFS(Funding!$J$69:$BJ$69,Construction!$J$12:$BJ$12,"&lt;="&amp;Time!AL20)</f>
        <v>44.3667535168114</v>
      </c>
      <c r="AM26" s="13" t="n">
        <f aca="false">SUMIFS(Funding!$J$69:$BJ$69,Construction!$J$12:$BJ$12,"&lt;="&amp;Time!AM20)</f>
        <v>44.3667535168114</v>
      </c>
      <c r="AN26" s="13" t="n">
        <f aca="false">SUMIFS(Funding!$J$69:$BJ$69,Construction!$J$12:$BJ$12,"&lt;="&amp;Time!AN20)</f>
        <v>44.3667535168114</v>
      </c>
      <c r="AO26" s="13" t="n">
        <f aca="false">SUMIFS(Funding!$J$69:$BJ$69,Construction!$J$12:$BJ$12,"&lt;="&amp;Time!AO20)</f>
        <v>44.3667535168114</v>
      </c>
      <c r="AP26" s="13" t="n">
        <f aca="false">SUMIFS(Funding!$J$69:$BJ$69,Construction!$J$12:$BJ$12,"&lt;="&amp;Time!AP20)</f>
        <v>44.3667535168114</v>
      </c>
      <c r="AQ26" s="13" t="n">
        <f aca="false">SUMIFS(Funding!$J$69:$BJ$69,Construction!$J$12:$BJ$12,"&lt;="&amp;Time!AQ20)</f>
        <v>44.3667535168114</v>
      </c>
      <c r="AR26" s="13" t="n">
        <f aca="false">SUMIFS(Funding!$J$69:$BJ$69,Construction!$J$12:$BJ$12,"&lt;="&amp;Time!AR20)</f>
        <v>44.3667535168114</v>
      </c>
      <c r="AS26" s="13" t="n">
        <f aca="false">SUMIFS(Funding!$J$69:$BJ$69,Construction!$J$12:$BJ$12,"&lt;="&amp;Time!AS20)</f>
        <v>44.3667535168114</v>
      </c>
      <c r="AT26" s="13" t="n">
        <f aca="false">SUMIFS(Funding!$J$69:$BJ$69,Construction!$J$12:$BJ$12,"&lt;="&amp;Time!AT20)</f>
        <v>44.3667535168114</v>
      </c>
      <c r="AU26" s="13" t="n">
        <f aca="false">SUMIFS(Funding!$J$69:$BJ$69,Construction!$J$12:$BJ$12,"&lt;="&amp;Time!AU20)</f>
        <v>44.3667535168114</v>
      </c>
      <c r="AV26" s="13" t="n">
        <f aca="false">SUMIFS(Funding!$J$69:$BJ$69,Construction!$J$12:$BJ$12,"&lt;="&amp;Time!AV20)</f>
        <v>44.3667535168114</v>
      </c>
      <c r="AW26" s="13" t="n">
        <f aca="false">SUMIFS(Funding!$J$69:$BJ$69,Construction!$J$12:$BJ$12,"&lt;="&amp;Time!AW20)</f>
        <v>44.3667535168114</v>
      </c>
      <c r="AX26" s="13" t="n">
        <f aca="false">SUMIFS(Funding!$J$69:$BJ$69,Construction!$J$12:$BJ$12,"&lt;="&amp;Time!AX20)</f>
        <v>44.3667535168114</v>
      </c>
      <c r="AY26" s="13" t="n">
        <f aca="false">SUMIFS(Funding!$J$69:$BJ$69,Construction!$J$12:$BJ$12,"&lt;="&amp;Time!AY20)</f>
        <v>44.3667535168114</v>
      </c>
      <c r="AZ26" s="13" t="n">
        <f aca="false">SUMIFS(Funding!$J$69:$BJ$69,Construction!$J$12:$BJ$12,"&lt;="&amp;Time!AZ20)</f>
        <v>44.3667535168114</v>
      </c>
      <c r="BA26" s="13" t="n">
        <f aca="false">SUMIFS(Funding!$J$69:$BJ$69,Construction!$J$12:$BJ$12,"&lt;="&amp;Time!BA20)</f>
        <v>44.3667535168114</v>
      </c>
      <c r="BB26" s="13" t="n">
        <f aca="false">SUMIFS(Funding!$J$69:$BJ$69,Construction!$J$12:$BJ$12,"&lt;="&amp;Time!BB20)</f>
        <v>44.3667535168114</v>
      </c>
      <c r="BC26" s="13" t="n">
        <f aca="false">SUMIFS(Funding!$J$69:$BJ$69,Construction!$J$12:$BJ$12,"&lt;="&amp;Time!BC20)</f>
        <v>44.3667535168114</v>
      </c>
      <c r="BD26" s="13" t="n">
        <f aca="false">SUMIFS(Funding!$J$69:$BJ$69,Construction!$J$12:$BJ$12,"&lt;="&amp;Time!BD20)</f>
        <v>44.3667535168114</v>
      </c>
      <c r="BE26" s="13" t="n">
        <f aca="false">SUMIFS(Funding!$J$69:$BJ$69,Construction!$J$12:$BJ$12,"&lt;="&amp;Time!BE20)</f>
        <v>44.3667535168114</v>
      </c>
      <c r="BF26" s="13" t="n">
        <f aca="false">SUMIFS(Funding!$J$69:$BJ$69,Construction!$J$12:$BJ$12,"&lt;="&amp;Time!BF20)</f>
        <v>44.3667535168114</v>
      </c>
      <c r="BG26" s="13" t="n">
        <f aca="false">SUMIFS(Funding!$J$69:$BJ$69,Construction!$J$12:$BJ$12,"&lt;="&amp;Time!BG20)</f>
        <v>44.3667535168114</v>
      </c>
      <c r="BH26" s="13" t="n">
        <f aca="false">SUMIFS(Funding!$J$69:$BJ$69,Construction!$J$12:$BJ$12,"&lt;="&amp;Time!BH20)</f>
        <v>44.3667535168114</v>
      </c>
      <c r="BI26" s="13" t="n">
        <f aca="false">SUMIFS(Funding!$J$69:$BJ$69,Construction!$J$12:$BJ$12,"&lt;="&amp;Time!BI20)</f>
        <v>44.3667535168114</v>
      </c>
      <c r="BJ26" s="13" t="n">
        <f aca="false">SUMIFS(Funding!$J$69:$BJ$69,Construction!$J$12:$BJ$12,"&lt;="&amp;Time!BJ20)</f>
        <v>44.3667535168114</v>
      </c>
      <c r="BK26" s="13" t="n">
        <f aca="false">SUMIFS(Funding!$J$69:$BJ$69,Construction!$J$12:$BJ$12,"&lt;="&amp;Time!BK20)</f>
        <v>44.3667535168114</v>
      </c>
      <c r="BL26" s="13" t="n">
        <f aca="false">SUMIFS(Funding!$J$69:$BJ$69,Construction!$J$12:$BJ$12,"&lt;="&amp;Time!BL20)</f>
        <v>44.3667535168114</v>
      </c>
      <c r="BM26" s="13" t="n">
        <f aca="false">SUMIFS(Funding!$J$69:$BJ$69,Construction!$J$12:$BJ$12,"&lt;="&amp;Time!BM20)</f>
        <v>44.3667535168114</v>
      </c>
      <c r="BN26" s="13" t="n">
        <f aca="false">SUMIFS(Funding!$J$69:$BJ$69,Construction!$J$12:$BJ$12,"&lt;="&amp;Time!BN20)</f>
        <v>44.3667535168114</v>
      </c>
    </row>
    <row r="27" customFormat="false" ht="15" hidden="false" customHeight="false" outlineLevel="0" collapsed="false">
      <c r="D27" s="0" t="s">
        <v>886</v>
      </c>
      <c r="E27" s="0" t="s">
        <v>149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9.77868877042472</v>
      </c>
      <c r="P27" s="18" t="n">
        <f aca="false">Waterfall!P43</f>
        <v>17.1606352308563</v>
      </c>
      <c r="Q27" s="18" t="n">
        <f aca="false">Waterfall!Q43</f>
        <v>25.898034096354</v>
      </c>
      <c r="R27" s="18" t="n">
        <f aca="false">Waterfall!R43</f>
        <v>34.5036165461804</v>
      </c>
      <c r="S27" s="18" t="n">
        <f aca="false">Waterfall!S43</f>
        <v>43.6855217955968</v>
      </c>
      <c r="T27" s="18" t="n">
        <f aca="false">Waterfall!T43</f>
        <v>54.5144883290233</v>
      </c>
      <c r="U27" s="18" t="n">
        <f aca="false">Waterfall!U43</f>
        <v>66.571341570056</v>
      </c>
      <c r="V27" s="18" t="n">
        <f aca="false">Waterfall!V43</f>
        <v>76.9383946509939</v>
      </c>
      <c r="W27" s="18" t="n">
        <f aca="false">Waterfall!W43</f>
        <v>91.1135697229048</v>
      </c>
      <c r="X27" s="18" t="n">
        <f aca="false">Waterfall!X43</f>
        <v>105.960972524016</v>
      </c>
      <c r="Y27" s="18" t="n">
        <f aca="false">Waterfall!Y43</f>
        <v>118.815756613655</v>
      </c>
      <c r="Z27" s="18" t="n">
        <f aca="false">Waterfall!Z43</f>
        <v>126.486466975933</v>
      </c>
      <c r="AA27" s="18" t="n">
        <f aca="false">Waterfall!AA43</f>
        <v>135.129254976858</v>
      </c>
      <c r="AB27" s="18" t="n">
        <f aca="false">Waterfall!AB43</f>
        <v>144.334000240633</v>
      </c>
      <c r="AC27" s="18" t="n">
        <f aca="false">Waterfall!AC43</f>
        <v>154.593717038009</v>
      </c>
      <c r="AD27" s="18" t="n">
        <f aca="false">Waterfall!AD43</f>
        <v>156.770508776305</v>
      </c>
      <c r="AE27" s="18" t="n">
        <f aca="false">Waterfall!AE43</f>
        <v>168.961408879664</v>
      </c>
      <c r="AF27" s="18" t="n">
        <f aca="false">Waterfall!AF43</f>
        <v>181.870138832892</v>
      </c>
      <c r="AG27" s="18" t="n">
        <f aca="false">Waterfall!AG43</f>
        <v>195.872842435195</v>
      </c>
      <c r="AH27" s="18" t="n">
        <f aca="false">Waterfall!AH43</f>
        <v>210.88408528311</v>
      </c>
      <c r="AI27" s="18" t="n">
        <f aca="false">Waterfall!AI43</f>
        <v>227.203518099845</v>
      </c>
      <c r="AJ27" s="18" t="n">
        <f aca="false">Waterfall!AJ43</f>
        <v>244.623758019781</v>
      </c>
      <c r="AK27" s="18" t="n">
        <f aca="false">Waterfall!AK43</f>
        <v>263.473379514544</v>
      </c>
      <c r="AL27" s="18" t="n">
        <f aca="false">Waterfall!AL43</f>
        <v>281.615092678594</v>
      </c>
      <c r="AM27" s="18" t="n">
        <f aca="false">Waterfall!AM43</f>
        <v>303.270772774533</v>
      </c>
      <c r="AN27" s="18" t="n">
        <f aca="false">Waterfall!AN43</f>
        <v>326.556834970095</v>
      </c>
      <c r="AO27" s="18" t="n">
        <f aca="false">Waterfall!AO43</f>
        <v>344.36581595806</v>
      </c>
      <c r="AP27" s="18" t="n">
        <f aca="false">Waterfall!AP43</f>
        <v>328.77603947434</v>
      </c>
      <c r="AQ27" s="18" t="n">
        <f aca="false">Waterfall!AQ43</f>
        <v>313.714089783177</v>
      </c>
      <c r="AR27" s="18" t="n">
        <f aca="false">Waterfall!AR43</f>
        <v>298.123800916729</v>
      </c>
      <c r="AS27" s="18" t="n">
        <f aca="false">Waterfall!AS43</f>
        <v>282.978611470768</v>
      </c>
      <c r="AT27" s="18" t="n">
        <f aca="false">Waterfall!AT43</f>
        <v>250.791823764192</v>
      </c>
      <c r="AU27" s="18" t="n">
        <f aca="false">Waterfall!AU43</f>
        <v>233.635519935914</v>
      </c>
      <c r="AV27" s="18" t="n">
        <f aca="false">Waterfall!AV43</f>
        <v>216.285266680756</v>
      </c>
      <c r="AW27" s="18" t="n">
        <f aca="false">Waterfall!AW43</f>
        <v>199.474851696834</v>
      </c>
      <c r="AX27" s="18" t="n">
        <f aca="false">Waterfall!AX43</f>
        <v>182.124316369977</v>
      </c>
      <c r="AY27" s="18" t="n">
        <f aca="false">Waterfall!AY43</f>
        <v>165.317191851896</v>
      </c>
      <c r="AZ27" s="18" t="n">
        <f aca="false">Waterfall!AZ43</f>
        <v>147.965578199659</v>
      </c>
      <c r="BA27" s="18" t="n">
        <f aca="false">Waterfall!BA43</f>
        <v>131.568444049442</v>
      </c>
      <c r="BB27" s="18" t="n">
        <f aca="false">Waterfall!BB43</f>
        <v>111.67999825487</v>
      </c>
      <c r="BC27" s="18" t="n">
        <f aca="false">Waterfall!BC43</f>
        <v>97.7318221903981</v>
      </c>
      <c r="BD27" s="18" t="n">
        <f aca="false">Waterfall!BD43</f>
        <v>89.8897839692381</v>
      </c>
      <c r="BE27" s="18" t="n">
        <f aca="false">Waterfall!BE43</f>
        <v>82.6223382422655</v>
      </c>
      <c r="BF27" s="18" t="n">
        <f aca="false">Waterfall!BF43</f>
        <v>74.8149197117575</v>
      </c>
      <c r="BG27" s="18" t="n">
        <f aca="false">Waterfall!BG43</f>
        <v>67.5848814330646</v>
      </c>
      <c r="BH27" s="18" t="n">
        <f aca="false">Waterfall!BH43</f>
        <v>59.8102249018334</v>
      </c>
      <c r="BI27" s="18" t="n">
        <f aca="false">Waterfall!BI43</f>
        <v>52.528816831334</v>
      </c>
      <c r="BJ27" s="18" t="n">
        <f aca="false">Waterfall!BJ43</f>
        <v>25.0569291745697</v>
      </c>
      <c r="BK27" s="18" t="n">
        <f aca="false">Waterfall!BK43</f>
        <v>15.3762162684427</v>
      </c>
      <c r="BL27" s="18" t="n">
        <f aca="false">Waterfall!BL43</f>
        <v>4.87363325991659</v>
      </c>
      <c r="BM27" s="18" t="n">
        <f aca="false">Waterfall!BM43</f>
        <v>-44.3667535168117</v>
      </c>
      <c r="BN27" s="18" t="n">
        <f aca="false">Waterfall!BN43</f>
        <v>-44.3667535168117</v>
      </c>
    </row>
    <row r="28" customFormat="false" ht="15" hidden="false" customHeight="false" outlineLevel="0" collapsed="false">
      <c r="D28" s="0" t="s">
        <v>887</v>
      </c>
      <c r="E28" s="0" t="s">
        <v>149</v>
      </c>
      <c r="J28" s="13" t="n">
        <f aca="false">J22+J23+J24+J25+J26+J27</f>
        <v>139.106138718341</v>
      </c>
      <c r="K28" s="13" t="n">
        <f aca="false">K22+K23+K24+K25+K26+K27</f>
        <v>239.361059019891</v>
      </c>
      <c r="L28" s="13" t="n">
        <f aca="false">L22+L23+L24+L25+L26+L27</f>
        <v>433.488009929513</v>
      </c>
      <c r="M28" s="13" t="n">
        <f aca="false">M22+M23+M24+M25+M26+M27</f>
        <v>635.509570384213</v>
      </c>
      <c r="N28" s="13" t="n">
        <f aca="false">N22+N23+N24+N25+N26+N27</f>
        <v>753.08150774339</v>
      </c>
      <c r="O28" s="13" t="n">
        <f aca="false">O22+O23+O24+O25+O26+O27</f>
        <v>916.357870682932</v>
      </c>
      <c r="P28" s="13" t="n">
        <f aca="false">P22+P23+P24+P25+P26+P27</f>
        <v>902.970860103629</v>
      </c>
      <c r="Q28" s="13" t="n">
        <f aca="false">Q22+Q23+Q24+Q25+Q26+Q27</f>
        <v>905.711372299664</v>
      </c>
      <c r="R28" s="13" t="n">
        <f aca="false">R22+R23+R24+R25+R26+R27</f>
        <v>906.905511168131</v>
      </c>
      <c r="S28" s="13" t="n">
        <f aca="false">S22+S23+S24+S25+S26+S27</f>
        <v>871.21556605998</v>
      </c>
      <c r="T28" s="13" t="n">
        <f aca="false">T22+T23+T24+T25+T26+T27</f>
        <v>859.335830325945</v>
      </c>
      <c r="U28" s="13" t="n">
        <f aca="false">U22+U23+U24+U25+U26+U27</f>
        <v>849.425773871772</v>
      </c>
      <c r="V28" s="13" t="n">
        <f aca="false">V22+V23+V24+V25+V26+V27</f>
        <v>834.094142676185</v>
      </c>
      <c r="W28" s="13" t="n">
        <f aca="false">W22+W23+W24+W25+W26+W27</f>
        <v>822.683232945764</v>
      </c>
      <c r="X28" s="13" t="n">
        <f aca="false">X22+X23+X24+X25+X26+X27</f>
        <v>812.558057484729</v>
      </c>
      <c r="Y28" s="13" t="n">
        <f aca="false">Y22+Y23+Y24+Y25+Y26+Y27</f>
        <v>801.478138293488</v>
      </c>
      <c r="Z28" s="13" t="n">
        <f aca="false">Z22+Z23+Z24+Z25+Z26+Z27</f>
        <v>782.261678803337</v>
      </c>
      <c r="AA28" s="13" t="n">
        <f aca="false">AA22+AA23+AA24+AA25+AA26+AA27</f>
        <v>765.343156755928</v>
      </c>
      <c r="AB28" s="13" t="n">
        <f aca="false">AB22+AB23+AB24+AB25+AB26+AB27</f>
        <v>745.272138754765</v>
      </c>
      <c r="AC28" s="13" t="n">
        <f aca="false">AC22+AC23+AC24+AC25+AC26+AC27</f>
        <v>727.097028565551</v>
      </c>
      <c r="AD28" s="13" t="n">
        <f aca="false">AD22+AD23+AD24+AD25+AD26+AD27</f>
        <v>695.234900809355</v>
      </c>
      <c r="AE28" s="13" t="n">
        <f aca="false">AE22+AE23+AE24+AE25+AE26+AE27</f>
        <v>674.078952051044</v>
      </c>
      <c r="AF28" s="13" t="n">
        <f aca="false">AF22+AF23+AF24+AF25+AF26+AF27</f>
        <v>651.014994127129</v>
      </c>
      <c r="AG28" s="13" t="n">
        <f aca="false">AG22+AG23+AG24+AG25+AG26+AG27</f>
        <v>628.801974748979</v>
      </c>
      <c r="AH28" s="13" t="n">
        <f aca="false">AH22+AH23+AH24+AH25+AH26+AH27</f>
        <v>603.354761141492</v>
      </c>
      <c r="AI28" s="13" t="n">
        <f aca="false">AI22+AI23+AI24+AI25+AI26+AI27</f>
        <v>579.599316524435</v>
      </c>
      <c r="AJ28" s="13" t="n">
        <f aca="false">AJ22+AJ23+AJ24+AJ25+AJ26+AJ27</f>
        <v>559.147116499572</v>
      </c>
      <c r="AK28" s="13" t="n">
        <f aca="false">AK22+AK23+AK24+AK25+AK26+AK27</f>
        <v>540.916742997188</v>
      </c>
      <c r="AL28" s="13" t="n">
        <f aca="false">AL22+AL23+AL24+AL25+AL26+AL27</f>
        <v>520.085611912633</v>
      </c>
      <c r="AM28" s="13" t="n">
        <f aca="false">AM22+AM23+AM24+AM25+AM26+AM27</f>
        <v>500.520409420917</v>
      </c>
      <c r="AN28" s="13" t="n">
        <f aca="false">AN22+AN23+AN24+AN25+AN26+AN27</f>
        <v>485.902402058952</v>
      </c>
      <c r="AO28" s="13" t="n">
        <f aca="false">AO22+AO23+AO24+AO25+AO26+AO27</f>
        <v>453.870977856572</v>
      </c>
      <c r="AP28" s="13" t="n">
        <f aca="false">AP22+AP23+AP24+AP25+AP26+AP27</f>
        <v>438.673501902638</v>
      </c>
      <c r="AQ28" s="13" t="n">
        <f aca="false">AQ22+AQ23+AQ24+AQ25+AQ26+AQ27</f>
        <v>425.741912710325</v>
      </c>
      <c r="AR28" s="13" t="n">
        <f aca="false">AR22+AR23+AR24+AR25+AR26+AR27</f>
        <v>410.891223263696</v>
      </c>
      <c r="AS28" s="13" t="n">
        <f aca="false">AS22+AS23+AS24+AS25+AS26+AS27</f>
        <v>397.127404878861</v>
      </c>
      <c r="AT28" s="13" t="n">
        <f aca="false">AT22+AT23+AT24+AT25+AT26+AT27</f>
        <v>364.632619089763</v>
      </c>
      <c r="AU28" s="13" t="n">
        <f aca="false">AU22+AU23+AU24+AU25+AU26+AU27</f>
        <v>350.040205395812</v>
      </c>
      <c r="AV28" s="13" t="n">
        <f aca="false">AV22+AV23+AV24+AV25+AV26+AV27</f>
        <v>334.301222968585</v>
      </c>
      <c r="AW28" s="13" t="n">
        <f aca="false">AW22+AW23+AW24+AW25+AW26+AW27</f>
        <v>319.505793421256</v>
      </c>
      <c r="AX28" s="13" t="n">
        <f aca="false">AX22+AX23+AX24+AX25+AX26+AX27</f>
        <v>302.497880658205</v>
      </c>
      <c r="AY28" s="13" t="n">
        <f aca="false">AY22+AY23+AY24+AY25+AY26+AY27</f>
        <v>287.91188507689</v>
      </c>
      <c r="AZ28" s="13" t="n">
        <f aca="false">AZ22+AZ23+AZ24+AZ25+AZ26+AZ27</f>
        <v>271.278455161614</v>
      </c>
      <c r="BA28" s="13" t="n">
        <f aca="false">BA22+BA23+BA24+BA25+BA26+BA27</f>
        <v>256.50291671023</v>
      </c>
      <c r="BB28" s="13" t="n">
        <f aca="false">BB22+BB23+BB24+BB25+BB26+BB27</f>
        <v>236.607487737643</v>
      </c>
      <c r="BC28" s="13" t="n">
        <f aca="false">BC22+BC23+BC24+BC25+BC26+BC27</f>
        <v>223.238299264536</v>
      </c>
      <c r="BD28" s="13" t="n">
        <f aca="false">BD22+BD23+BD24+BD25+BD26+BD27</f>
        <v>210.852345573888</v>
      </c>
      <c r="BE28" s="13" t="n">
        <f aca="false">BE22+BE23+BE24+BE25+BE26+BE27</f>
        <v>199.908057974167</v>
      </c>
      <c r="BF28" s="13" t="n">
        <f aca="false">BF22+BF23+BF24+BF25+BF26+BF27</f>
        <v>186.616434975021</v>
      </c>
      <c r="BG28" s="13" t="n">
        <f aca="false">BG22+BG23+BG24+BG25+BG26+BG27</f>
        <v>175.932440466203</v>
      </c>
      <c r="BH28" s="13" t="n">
        <f aca="false">BH22+BH23+BH24+BH25+BH26+BH27</f>
        <v>163.079686108915</v>
      </c>
      <c r="BI28" s="13" t="n">
        <f aca="false">BI22+BI23+BI24+BI25+BI26+BI27</f>
        <v>151.468455315689</v>
      </c>
      <c r="BJ28" s="13" t="n">
        <f aca="false">BJ22+BJ23+BJ24+BJ25+BJ26+BJ27</f>
        <v>117.693838157125</v>
      </c>
      <c r="BK28" s="13" t="n">
        <f aca="false">BK22+BK23+BK24+BK25+BK26+BK27</f>
        <v>105.065764611201</v>
      </c>
      <c r="BL28" s="13" t="n">
        <f aca="false">BL22+BL23+BL24+BL25+BL26+BL27</f>
        <v>90.5042854768516</v>
      </c>
      <c r="BM28" s="13" t="n">
        <f aca="false">BM22+BM23+BM24+BM25+BM26+BM27</f>
        <v>-2.55795384873636E-013</v>
      </c>
      <c r="BN28" s="13" t="n">
        <f aca="false">BN22+BN23+BN24+BN25+BN26+BN27</f>
        <v>-2.55795384873636E-013</v>
      </c>
    </row>
    <row r="29" customFormat="false" ht="15" hidden="false" customHeight="false" outlineLevel="0" collapsed="false">
      <c r="D29" s="0" t="s">
        <v>888</v>
      </c>
      <c r="E29" s="0" t="s">
        <v>149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2.55795384873636E-013</v>
      </c>
      <c r="BN29" s="13" t="n">
        <f aca="false">BN21-BN28</f>
        <v>2.55795384873636E-013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889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890</v>
      </c>
      <c r="E7" s="0" t="s">
        <v>99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0.034356060545191</v>
      </c>
      <c r="Q7" s="16" t="n">
        <f aca="false">IF(Debt!Q115&gt;Inputs!$F$253,Debt!Q112/Debt!Q115,0)</f>
        <v>0.0340124598263425</v>
      </c>
      <c r="R7" s="16" t="n">
        <f aca="false">IF(Debt!R115&gt;Inputs!$F$253,Debt!R112/Debt!R115,0)</f>
        <v>0.0343808210390788</v>
      </c>
      <c r="S7" s="16" t="n">
        <f aca="false">IF(Debt!S115&gt;Inputs!$F$253,Debt!S112/Debt!S115,0)</f>
        <v>0.0340246382214341</v>
      </c>
      <c r="T7" s="16" t="n">
        <f aca="false">IF(Debt!T115&gt;Inputs!$F$253,Debt!T112/Debt!T115,0)</f>
        <v>0.0343932012860227</v>
      </c>
      <c r="U7" s="16" t="n">
        <f aca="false">IF(Debt!U115&gt;Inputs!$F$253,Debt!U112/Debt!U115,0)</f>
        <v>0.034147492576297</v>
      </c>
      <c r="V7" s="16" t="n">
        <f aca="false">IF(Debt!V115&gt;Inputs!$F$253,Debt!V112/Debt!V115,0)</f>
        <v>0.0343932012860227</v>
      </c>
      <c r="W7" s="16" t="n">
        <f aca="false">IF(Debt!W115&gt;Inputs!$F$253,Debt!W112/Debt!W115,0)</f>
        <v>0.0340246382214341</v>
      </c>
      <c r="X7" s="16" t="n">
        <f aca="false">IF(Debt!X115&gt;Inputs!$F$253,Debt!X112/Debt!X115,0)</f>
        <v>0.0343932012860227</v>
      </c>
      <c r="Y7" s="16" t="n">
        <f aca="false">IF(Debt!Y115&gt;Inputs!$F$253,Debt!Y112/Debt!Y115,0)</f>
        <v>0.0350860579745206</v>
      </c>
      <c r="Z7" s="16" t="n">
        <f aca="false">IF(Debt!Z115&gt;Inputs!$F$253,Debt!Z112/Debt!Z115,0)</f>
        <v>0.0354722136317017</v>
      </c>
      <c r="AA7" s="16" t="n">
        <f aca="false">IF(Debt!AA115&gt;Inputs!$F$253,Debt!AA112/Debt!AA115,0)</f>
        <v>0.0350860579745206</v>
      </c>
      <c r="AB7" s="16" t="n">
        <f aca="false">IF(Debt!AB115&gt;Inputs!$F$253,Debt!AB112/Debt!AB115,0)</f>
        <v>0.0352624220237515</v>
      </c>
      <c r="AC7" s="16" t="n">
        <f aca="false">IF(Debt!AC115&gt;Inputs!$F$253,Debt!AC112/Debt!AC115,0)</f>
        <v>0.0347472493209808</v>
      </c>
      <c r="AD7" s="16" t="n">
        <f aca="false">IF(Debt!AD115&gt;Inputs!$F$253,Debt!AD112/Debt!AD115,0)</f>
        <v>0.0347124156447249</v>
      </c>
      <c r="AE7" s="16" t="n">
        <f aca="false">IF(Debt!AE115&gt;Inputs!$F$253,Debt!AE112/Debt!AE115,0)</f>
        <v>0.0339803851521973</v>
      </c>
      <c r="AF7" s="16" t="n">
        <f aca="false">IF(Debt!AF115&gt;Inputs!$F$253,Debt!AF112/Debt!AF115,0)</f>
        <v>0.0338612343719637</v>
      </c>
      <c r="AG7" s="16" t="n">
        <f aca="false">IF(Debt!AG115&gt;Inputs!$F$253,Debt!AG112/Debt!AG115,0)</f>
        <v>0.0337100867625269</v>
      </c>
      <c r="AH7" s="16" t="n">
        <f aca="false">IF(Debt!AH115&gt;Inputs!$F$253,Debt!AH112/Debt!AH115,0)</f>
        <v>0.0331678465933991</v>
      </c>
      <c r="AI7" s="16" t="n">
        <f aca="false">IF(Debt!AI115&gt;Inputs!$F$253,Debt!AI112/Debt!AI115,0)</f>
        <v>0.0316409009269127</v>
      </c>
      <c r="AJ7" s="16" t="n">
        <f aca="false">IF(Debt!AJ115&gt;Inputs!$F$253,Debt!AJ112/Debt!AJ115,0)</f>
        <v>0.0300896476857279</v>
      </c>
      <c r="AK7" s="16" t="n">
        <f aca="false">IF(Debt!AK115&gt;Inputs!$F$253,Debt!AK112/Debt!AK115,0)</f>
        <v>0.0270561290332525</v>
      </c>
      <c r="AL7" s="16" t="n">
        <f aca="false">IF(Debt!AL115&gt;Inputs!$F$253,Debt!AL112/Debt!AL115,0)</f>
        <v>0.0271445161301926</v>
      </c>
      <c r="AM7" s="16" t="n">
        <f aca="false">IF(Debt!AM115&gt;Inputs!$F$253,Debt!AM112/Debt!AM115,0)</f>
        <v>0.0270119354847825</v>
      </c>
      <c r="AN7" s="16" t="n">
        <f aca="false">IF(Debt!AN115&gt;Inputs!$F$253,Debt!AN112/Debt!AN115,0)</f>
        <v>0.0271445161301926</v>
      </c>
      <c r="AO7" s="16" t="n">
        <f aca="false">IF(Debt!AO115&gt;Inputs!$F$253,Debt!AO112/Debt!AO115,0)</f>
        <v>0.0270119354847825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891</v>
      </c>
      <c r="E8" s="0" t="s">
        <v>91</v>
      </c>
      <c r="F8" s="10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892</v>
      </c>
      <c r="E9" s="0" t="s">
        <v>99</v>
      </c>
      <c r="F9" s="16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893</v>
      </c>
      <c r="E10" s="0" t="s">
        <v>99</v>
      </c>
      <c r="J10" s="16" t="n">
        <f aca="false">IF(J7&gt;0,J7,$F$9)</f>
        <v>0.0270119354847825</v>
      </c>
      <c r="K10" s="16" t="n">
        <f aca="false">IF(K7&gt;0,K7,$F$9)</f>
        <v>0.0270119354847825</v>
      </c>
      <c r="L10" s="16" t="n">
        <f aca="false">IF(L7&gt;0,L7,$F$9)</f>
        <v>0.0270119354847825</v>
      </c>
      <c r="M10" s="16" t="n">
        <f aca="false">IF(M7&gt;0,M7,$F$9)</f>
        <v>0.0270119354847825</v>
      </c>
      <c r="N10" s="16" t="n">
        <f aca="false">IF(N7&gt;0,N7,$F$9)</f>
        <v>0.0270119354847825</v>
      </c>
      <c r="O10" s="16" t="n">
        <f aca="false">IF(O7&gt;0,O7,$F$9)</f>
        <v>0.0270119354847825</v>
      </c>
      <c r="P10" s="16" t="n">
        <f aca="false">IF(P7&gt;0,P7,$F$9)</f>
        <v>0.034356060545191</v>
      </c>
      <c r="Q10" s="16" t="n">
        <f aca="false">IF(Q7&gt;0,Q7,$F$9)</f>
        <v>0.0340124598263425</v>
      </c>
      <c r="R10" s="16" t="n">
        <f aca="false">IF(R7&gt;0,R7,$F$9)</f>
        <v>0.0343808210390788</v>
      </c>
      <c r="S10" s="16" t="n">
        <f aca="false">IF(S7&gt;0,S7,$F$9)</f>
        <v>0.0340246382214341</v>
      </c>
      <c r="T10" s="16" t="n">
        <f aca="false">IF(T7&gt;0,T7,$F$9)</f>
        <v>0.0343932012860227</v>
      </c>
      <c r="U10" s="16" t="n">
        <f aca="false">IF(U7&gt;0,U7,$F$9)</f>
        <v>0.034147492576297</v>
      </c>
      <c r="V10" s="16" t="n">
        <f aca="false">IF(V7&gt;0,V7,$F$9)</f>
        <v>0.0343932012860227</v>
      </c>
      <c r="W10" s="16" t="n">
        <f aca="false">IF(W7&gt;0,W7,$F$9)</f>
        <v>0.0340246382214341</v>
      </c>
      <c r="X10" s="16" t="n">
        <f aca="false">IF(X7&gt;0,X7,$F$9)</f>
        <v>0.0343932012860227</v>
      </c>
      <c r="Y10" s="16" t="n">
        <f aca="false">IF(Y7&gt;0,Y7,$F$9)</f>
        <v>0.0350860579745206</v>
      </c>
      <c r="Z10" s="16" t="n">
        <f aca="false">IF(Z7&gt;0,Z7,$F$9)</f>
        <v>0.0354722136317017</v>
      </c>
      <c r="AA10" s="16" t="n">
        <f aca="false">IF(AA7&gt;0,AA7,$F$9)</f>
        <v>0.0350860579745206</v>
      </c>
      <c r="AB10" s="16" t="n">
        <f aca="false">IF(AB7&gt;0,AB7,$F$9)</f>
        <v>0.0352624220237515</v>
      </c>
      <c r="AC10" s="16" t="n">
        <f aca="false">IF(AC7&gt;0,AC7,$F$9)</f>
        <v>0.0347472493209808</v>
      </c>
      <c r="AD10" s="16" t="n">
        <f aca="false">IF(AD7&gt;0,AD7,$F$9)</f>
        <v>0.0347124156447249</v>
      </c>
      <c r="AE10" s="16" t="n">
        <f aca="false">IF(AE7&gt;0,AE7,$F$9)</f>
        <v>0.0339803851521973</v>
      </c>
      <c r="AF10" s="16" t="n">
        <f aca="false">IF(AF7&gt;0,AF7,$F$9)</f>
        <v>0.0338612343719637</v>
      </c>
      <c r="AG10" s="16" t="n">
        <f aca="false">IF(AG7&gt;0,AG7,$F$9)</f>
        <v>0.0337100867625269</v>
      </c>
      <c r="AH10" s="16" t="n">
        <f aca="false">IF(AH7&gt;0,AH7,$F$9)</f>
        <v>0.0331678465933991</v>
      </c>
      <c r="AI10" s="16" t="n">
        <f aca="false">IF(AI7&gt;0,AI7,$F$9)</f>
        <v>0.0316409009269127</v>
      </c>
      <c r="AJ10" s="16" t="n">
        <f aca="false">IF(AJ7&gt;0,AJ7,$F$9)</f>
        <v>0.0300896476857279</v>
      </c>
      <c r="AK10" s="16" t="n">
        <f aca="false">IF(AK7&gt;0,AK7,$F$9)</f>
        <v>0.0270561290332525</v>
      </c>
      <c r="AL10" s="16" t="n">
        <f aca="false">IF(AL7&gt;0,AL7,$F$9)</f>
        <v>0.0271445161301926</v>
      </c>
      <c r="AM10" s="16" t="n">
        <f aca="false">IF(AM7&gt;0,AM7,$F$9)</f>
        <v>0.0270119354847825</v>
      </c>
      <c r="AN10" s="16" t="n">
        <f aca="false">IF(AN7&gt;0,AN7,$F$9)</f>
        <v>0.0271445161301926</v>
      </c>
      <c r="AO10" s="16" t="n">
        <f aca="false">IF(AO7&gt;0,AO7,$F$9)</f>
        <v>0.0270119354847825</v>
      </c>
      <c r="AP10" s="16" t="n">
        <f aca="false">IF(AP7&gt;0,AP7,$F$9)</f>
        <v>0.0270119354847825</v>
      </c>
      <c r="AQ10" s="16" t="n">
        <f aca="false">IF(AQ7&gt;0,AQ7,$F$9)</f>
        <v>0.0270119354847825</v>
      </c>
      <c r="AR10" s="16" t="n">
        <f aca="false">IF(AR7&gt;0,AR7,$F$9)</f>
        <v>0.0270119354847825</v>
      </c>
      <c r="AS10" s="16" t="n">
        <f aca="false">IF(AS7&gt;0,AS7,$F$9)</f>
        <v>0.0270119354847825</v>
      </c>
      <c r="AT10" s="16" t="n">
        <f aca="false">IF(AT7&gt;0,AT7,$F$9)</f>
        <v>0.0270119354847825</v>
      </c>
      <c r="AU10" s="16" t="n">
        <f aca="false">IF(AU7&gt;0,AU7,$F$9)</f>
        <v>0.0270119354847825</v>
      </c>
      <c r="AV10" s="16" t="n">
        <f aca="false">IF(AV7&gt;0,AV7,$F$9)</f>
        <v>0.0270119354847825</v>
      </c>
      <c r="AW10" s="16" t="n">
        <f aca="false">IF(AW7&gt;0,AW7,$F$9)</f>
        <v>0.0270119354847825</v>
      </c>
      <c r="AX10" s="16" t="n">
        <f aca="false">IF(AX7&gt;0,AX7,$F$9)</f>
        <v>0.0270119354847825</v>
      </c>
      <c r="AY10" s="16" t="n">
        <f aca="false">IF(AY7&gt;0,AY7,$F$9)</f>
        <v>0.0270119354847825</v>
      </c>
      <c r="AZ10" s="16" t="n">
        <f aca="false">IF(AZ7&gt;0,AZ7,$F$9)</f>
        <v>0.0270119354847825</v>
      </c>
      <c r="BA10" s="16" t="n">
        <f aca="false">IF(BA7&gt;0,BA7,$F$9)</f>
        <v>0.0270119354847825</v>
      </c>
      <c r="BB10" s="16" t="n">
        <f aca="false">IF(BB7&gt;0,BB7,$F$9)</f>
        <v>0.0270119354847825</v>
      </c>
      <c r="BC10" s="16" t="n">
        <f aca="false">IF(BC7&gt;0,BC7,$F$9)</f>
        <v>0.0270119354847825</v>
      </c>
      <c r="BD10" s="16" t="n">
        <f aca="false">IF(BD7&gt;0,BD7,$F$9)</f>
        <v>0.0270119354847825</v>
      </c>
      <c r="BE10" s="16" t="n">
        <f aca="false">IF(BE7&gt;0,BE7,$F$9)</f>
        <v>0.0270119354847825</v>
      </c>
      <c r="BF10" s="16" t="n">
        <f aca="false">IF(BF7&gt;0,BF7,$F$9)</f>
        <v>0.0270119354847825</v>
      </c>
      <c r="BG10" s="16" t="n">
        <f aca="false">IF(BG7&gt;0,BG7,$F$9)</f>
        <v>0.0270119354847825</v>
      </c>
      <c r="BH10" s="16" t="n">
        <f aca="false">IF(BH7&gt;0,BH7,$F$9)</f>
        <v>0.0270119354847825</v>
      </c>
      <c r="BI10" s="16" t="n">
        <f aca="false">IF(BI7&gt;0,BI7,$F$9)</f>
        <v>0.0270119354847825</v>
      </c>
      <c r="BJ10" s="16" t="n">
        <f aca="false">IF(BJ7&gt;0,BJ7,$F$9)</f>
        <v>0.0270119354847825</v>
      </c>
      <c r="BK10" s="16" t="n">
        <f aca="false">IF(BK7&gt;0,BK7,$F$9)</f>
        <v>0.0270119354847825</v>
      </c>
      <c r="BL10" s="16" t="n">
        <f aca="false">IF(BL7&gt;0,BL7,$F$9)</f>
        <v>0.0270119354847825</v>
      </c>
      <c r="BM10" s="16" t="n">
        <f aca="false">IF(BM7&gt;0,BM7,$F$9)</f>
        <v>0.0270119354847825</v>
      </c>
      <c r="BN10" s="16" t="n">
        <f aca="false">IF(BN7&gt;0,BN7,$F$9)</f>
        <v>0.0270119354847825</v>
      </c>
    </row>
    <row r="11" customFormat="false" ht="15" hidden="false" customHeight="false" outlineLevel="0" collapsed="false">
      <c r="D11" s="0" t="s">
        <v>894</v>
      </c>
      <c r="E11" s="0" t="s">
        <v>149</v>
      </c>
      <c r="J11" s="13" t="n">
        <f aca="false">IF(Time!J20&lt;=$F$8,(Waterfall!J7+K11)/(1+J10),0)</f>
        <v>733.580727267095</v>
      </c>
      <c r="K11" s="13" t="n">
        <f aca="false">IF(Time!K20&lt;=$F$8,(Waterfall!K7+L11)/(1+K10),0)</f>
        <v>753.396162544914</v>
      </c>
      <c r="L11" s="13" t="n">
        <f aca="false">IF(Time!L20&lt;=$F$8,(Waterfall!L7+M11)/(1+L10),0)</f>
        <v>773.74685108206</v>
      </c>
      <c r="M11" s="13" t="n">
        <f aca="false">IF(Time!M20&lt;=$F$8,(Waterfall!M7+N11)/(1+M10),0)</f>
        <v>794.647251105042</v>
      </c>
      <c r="N11" s="13" t="n">
        <f aca="false">IF(Time!N20&lt;=$F$8,(Waterfall!N7+O11)/(1+N10),0)</f>
        <v>816.112211385051</v>
      </c>
      <c r="O11" s="13" t="n">
        <f aca="false">IF(Time!O20&lt;=$F$8,(Waterfall!O7+P11)/(1+O10),0)</f>
        <v>838.156981787327</v>
      </c>
      <c r="P11" s="13" t="n">
        <f aca="false">IF(Time!P20&lt;=$F$8,(Waterfall!P7+Q11)/(1+P10),0)</f>
        <v>858.924976907663</v>
      </c>
      <c r="Q11" s="13" t="n">
        <f aca="false">IF(Time!Q20&lt;=$F$8,(Waterfall!Q7+R11)/(1+Q10),0)</f>
        <v>838.152296573494</v>
      </c>
      <c r="R11" s="13" t="n">
        <f aca="false">IF(Time!R20&lt;=$F$8,(Waterfall!R7+S11)/(1+R10),0)</f>
        <v>861.812975095032</v>
      </c>
      <c r="S11" s="13" t="n">
        <f aca="false">IF(Time!S20&lt;=$F$8,(Waterfall!S7+T11)/(1+S10),0)</f>
        <v>840.072543828934</v>
      </c>
      <c r="T11" s="13" t="n">
        <f aca="false">IF(Time!T20&lt;=$F$8,(Waterfall!T7+U11)/(1+T10),0)</f>
        <v>773.517515978553</v>
      </c>
      <c r="U11" s="13" t="n">
        <f aca="false">IF(Time!U20&lt;=$F$8,(Waterfall!U7+V11)/(1+U10),0)</f>
        <v>749.157115593887</v>
      </c>
      <c r="V11" s="13" t="n">
        <f aca="false">IF(Time!V20&lt;=$F$8,(Waterfall!V7+W11)/(1+V10),0)</f>
        <v>724.018517414226</v>
      </c>
      <c r="W11" s="13" t="n">
        <f aca="false">IF(Time!W20&lt;=$F$8,(Waterfall!W7+X11)/(1+W10),0)</f>
        <v>697.231139696679</v>
      </c>
      <c r="X11" s="13" t="n">
        <f aca="false">IF(Time!X20&lt;=$F$8,(Waterfall!X7+Y11)/(1+X10),0)</f>
        <v>669.622819953389</v>
      </c>
      <c r="Y11" s="13" t="n">
        <f aca="false">IF(Time!Y20&lt;=$F$8,(Waterfall!Y7+Z11)/(1+Y10),0)</f>
        <v>642.802119031078</v>
      </c>
      <c r="Z11" s="13" t="n">
        <f aca="false">IF(Time!Z20&lt;=$F$8,(Waterfall!Z7+AA11)/(1+Z10),0)</f>
        <v>615.985482182408</v>
      </c>
      <c r="AA11" s="13" t="n">
        <f aca="false">IF(Time!AA20&lt;=$F$8,(Waterfall!AA7+AB11)/(1+AA10),0)</f>
        <v>588.059510600256</v>
      </c>
      <c r="AB11" s="13" t="n">
        <f aca="false">IF(Time!AB20&lt;=$F$8,(Waterfall!AB7+AC11)/(1+AB10),0)</f>
        <v>559.316912749852</v>
      </c>
      <c r="AC11" s="13" t="n">
        <f aca="false">IF(Time!AC20&lt;=$F$8,(Waterfall!AC7+AD11)/(1+AC10),0)</f>
        <v>529.083371115778</v>
      </c>
      <c r="AD11" s="13" t="n">
        <f aca="false">IF(Time!AD20&lt;=$F$8,(Waterfall!AD7+AE11)/(1+AD10),0)</f>
        <v>497.716108480833</v>
      </c>
      <c r="AE11" s="13" t="n">
        <f aca="false">IF(Time!AE20&lt;=$F$8,(Waterfall!AE7+AF11)/(1+AE10),0)</f>
        <v>463.330494228755</v>
      </c>
      <c r="AF11" s="13" t="n">
        <f aca="false">IF(Time!AF20&lt;=$F$8,(Waterfall!AF7+AG11)/(1+AF10),0)</f>
        <v>427.32881093774</v>
      </c>
      <c r="AG11" s="13" t="n">
        <f aca="false">IF(Time!AG20&lt;=$F$8,(Waterfall!AG7+AH11)/(1+AG10),0)</f>
        <v>389.892006306002</v>
      </c>
      <c r="AH11" s="13" t="n">
        <f aca="false">IF(Time!AH20&lt;=$F$8,(Waterfall!AH7+AI11)/(1+AH10),0)</f>
        <v>351.496020514686</v>
      </c>
      <c r="AI11" s="13" t="n">
        <f aca="false">IF(Time!AI20&lt;=$F$8,(Waterfall!AI7+AJ11)/(1+AI10),0)</f>
        <v>310.945641923124</v>
      </c>
      <c r="AJ11" s="13" t="n">
        <f aca="false">IF(Time!AJ20&lt;=$F$8,(Waterfall!AJ7+AK11)/(1+AJ10),0)</f>
        <v>268.983001422351</v>
      </c>
      <c r="AK11" s="13" t="n">
        <f aca="false">IF(Time!AK20&lt;=$F$8,(Waterfall!AK7+AL11)/(1+AK10),0)</f>
        <v>224.674006879961</v>
      </c>
      <c r="AL11" s="13" t="n">
        <f aca="false">IF(Time!AL20&lt;=$F$8,(Waterfall!AL7+AM11)/(1+AL10),0)</f>
        <v>178.588282859748</v>
      </c>
      <c r="AM11" s="13" t="n">
        <f aca="false">IF(Time!AM20&lt;=$F$8,(Waterfall!AM7+AN11)/(1+AM10),0)</f>
        <v>130.160399373078</v>
      </c>
      <c r="AN11" s="13" t="n">
        <f aca="false">IF(Time!AN20&lt;=$F$8,(Waterfall!AN7+AO11)/(1+AN10),0)</f>
        <v>80.7765786560082</v>
      </c>
      <c r="AO11" s="13" t="n">
        <f aca="false">IF(Time!AO20&lt;=$F$8,(Waterfall!AO7+AP11)/(1+AO10),0)</f>
        <v>40.500744001767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895</v>
      </c>
      <c r="E12" s="0" t="s">
        <v>149</v>
      </c>
      <c r="J12" s="13" t="n">
        <f aca="false">IF(Time!J20&lt;=Time!$F$15,(Waterfall!J7+K12)/(1+J10),0)</f>
        <v>1003.10448210628</v>
      </c>
      <c r="K12" s="13" t="n">
        <f aca="false">IF(Time!K20&lt;=Time!$F$15,(Waterfall!K7+L12)/(1+K10),0)</f>
        <v>1030.20027566143</v>
      </c>
      <c r="L12" s="13" t="n">
        <f aca="false">IF(Time!L20&lt;=Time!$F$15,(Waterfall!L7+M12)/(1+L10),0)</f>
        <v>1058.027979044</v>
      </c>
      <c r="M12" s="13" t="n">
        <f aca="false">IF(Time!M20&lt;=Time!$F$15,(Waterfall!M7+N12)/(1+M10),0)</f>
        <v>1086.60736255503</v>
      </c>
      <c r="N12" s="13" t="n">
        <f aca="false">IF(Time!N20&lt;=Time!$F$15,(Waterfall!N7+O12)/(1+N10),0)</f>
        <v>1115.95873052966</v>
      </c>
      <c r="O12" s="13" t="n">
        <f aca="false">IF(Time!O20&lt;=Time!$F$15,(Waterfall!O7+P12)/(1+O10),0)</f>
        <v>1146.10293576241</v>
      </c>
      <c r="P12" s="13" t="n">
        <f aca="false">IF(Time!P20&lt;=Time!$F$15,(Waterfall!P7+Q12)/(1+P10),0)</f>
        <v>1175.18914712432</v>
      </c>
      <c r="Q12" s="13" t="n">
        <f aca="false">IF(Time!Q20&lt;=Time!$F$15,(Waterfall!Q7+R12)/(1+Q10),0)</f>
        <v>1165.28205777039</v>
      </c>
      <c r="R12" s="13" t="n">
        <f aca="false">IF(Time!R20&lt;=Time!$F$15,(Waterfall!R7+S12)/(1+R10),0)</f>
        <v>1200.06922415263</v>
      </c>
      <c r="S12" s="13" t="n">
        <f aca="false">IF(Time!S20&lt;=Time!$F$15,(Waterfall!S7+T12)/(1+S10),0)</f>
        <v>1189.95832045074</v>
      </c>
      <c r="T12" s="13" t="n">
        <f aca="false">IF(Time!T20&lt;=Time!$F$15,(Waterfall!T7+U12)/(1+T10),0)</f>
        <v>1135.30802956874</v>
      </c>
      <c r="U12" s="13" t="n">
        <f aca="false">IF(Time!U20&lt;=Time!$F$15,(Waterfall!U7+V12)/(1+U10),0)</f>
        <v>1123.39076314135</v>
      </c>
      <c r="V12" s="13" t="n">
        <f aca="false">IF(Time!V20&lt;=Time!$F$15,(Waterfall!V7+W12)/(1+V10),0)</f>
        <v>1111.03130566312</v>
      </c>
      <c r="W12" s="13" t="n">
        <f aca="false">IF(Time!W20&lt;=Time!$F$15,(Waterfall!W7+X12)/(1+W10),0)</f>
        <v>1097.55453667208</v>
      </c>
      <c r="X12" s="13" t="n">
        <f aca="false">IF(Time!X20&lt;=Time!$F$15,(Waterfall!X7+Y12)/(1+X10),0)</f>
        <v>1083.56707568245</v>
      </c>
      <c r="Y12" s="13" t="n">
        <f aca="false">IF(Time!Y20&lt;=Time!$F$15,(Waterfall!Y7+Z12)/(1+Y10),0)</f>
        <v>1070.98324286862</v>
      </c>
      <c r="Z12" s="13" t="n">
        <f aca="false">IF(Time!Z20&lt;=Time!$F$15,(Waterfall!Z7+AA12)/(1+Z10),0)</f>
        <v>1059.18979375452</v>
      </c>
      <c r="AA12" s="13" t="n">
        <f aca="false">IF(Time!AA20&lt;=Time!$F$15,(Waterfall!AA7+AB12)/(1+AA10),0)</f>
        <v>1046.98526019494</v>
      </c>
      <c r="AB12" s="13" t="n">
        <f aca="false">IF(Time!AB20&lt;=Time!$F$15,(Waterfall!AB7+AC12)/(1+AB10),0)</f>
        <v>1034.34455780081</v>
      </c>
      <c r="AC12" s="13" t="n">
        <f aca="false">IF(Time!AC20&lt;=Time!$F$15,(Waterfall!AC7+AD12)/(1+AC10),0)</f>
        <v>1020.86164145948</v>
      </c>
      <c r="AD12" s="13" t="n">
        <f aca="false">IF(Time!AD20&lt;=Time!$F$15,(Waterfall!AD7+AE12)/(1+AD10),0)</f>
        <v>1006.58232099481</v>
      </c>
      <c r="AE12" s="13" t="n">
        <f aca="false">IF(Time!AE20&lt;=Time!$F$15,(Waterfall!AE7+AF12)/(1+AE10),0)</f>
        <v>989.86068221907</v>
      </c>
      <c r="AF12" s="13" t="n">
        <f aca="false">IF(Time!AF20&lt;=Time!$F$15,(Waterfall!AF7+AG12)/(1+AF10),0)</f>
        <v>971.750697510224</v>
      </c>
      <c r="AG12" s="13" t="n">
        <f aca="false">IF(Time!AG20&lt;=Time!$F$15,(Waterfall!AG7+AH12)/(1+AG10),0)</f>
        <v>952.748689976944</v>
      </c>
      <c r="AH12" s="13" t="n">
        <f aca="false">IF(Time!AH20&lt;=Time!$F$15,(Waterfall!AH7+AI12)/(1+AH10),0)</f>
        <v>933.326651827043</v>
      </c>
      <c r="AI12" s="13" t="n">
        <f aca="false">IF(Time!AI20&lt;=Time!$F$15,(Waterfall!AI7+AJ12)/(1+AI10),0)</f>
        <v>912.07434235819</v>
      </c>
      <c r="AJ12" s="13" t="n">
        <f aca="false">IF(Time!AJ20&lt;=Time!$F$15,(Waterfall!AJ7+AK12)/(1+AJ10),0)</f>
        <v>889.131955512207</v>
      </c>
      <c r="AK12" s="13" t="n">
        <f aca="false">IF(Time!AK20&lt;=Time!$F$15,(Waterfall!AK7+AL12)/(1+AK10),0)</f>
        <v>863.483024511053</v>
      </c>
      <c r="AL12" s="13" t="n">
        <f aca="false">IF(Time!AL20&lt;=Time!$F$15,(Waterfall!AL7+AM12)/(1+AL10),0)</f>
        <v>834.680999699472</v>
      </c>
      <c r="AM12" s="13" t="n">
        <f aca="false">IF(Time!AM20&lt;=Time!$F$15,(Waterfall!AM7+AN12)/(1+AM10),0)</f>
        <v>804.06243554796</v>
      </c>
      <c r="AN12" s="13" t="n">
        <f aca="false">IF(Time!AN20&lt;=Time!$F$15,(Waterfall!AN7+AO12)/(1+AN10),0)</f>
        <v>772.88201315511</v>
      </c>
      <c r="AO12" s="13" t="n">
        <f aca="false">IF(Time!AO20&lt;=Time!$F$15,(Waterfall!AO7+AP12)/(1+AO10),0)</f>
        <v>751.393045631423</v>
      </c>
      <c r="AP12" s="13" t="n">
        <f aca="false">IF(Time!AP20&lt;=Time!$F$15,(Waterfall!AP7+AQ12)/(1+AP10),0)</f>
        <v>730.094878617905</v>
      </c>
      <c r="AQ12" s="13" t="n">
        <f aca="false">IF(Time!AQ20&lt;=Time!$F$15,(Waterfall!AQ7+AR12)/(1+AQ10),0)</f>
        <v>708.194516593898</v>
      </c>
      <c r="AR12" s="13" t="n">
        <f aca="false">IF(Time!AR20&lt;=Time!$F$15,(Waterfall!AR7+AS12)/(1+AR10),0)</f>
        <v>686.149621852736</v>
      </c>
      <c r="AS12" s="13" t="n">
        <f aca="false">IF(Time!AS20&lt;=Time!$F$15,(Waterfall!AS7+AT12)/(1+AS10),0)</f>
        <v>662.912890340095</v>
      </c>
      <c r="AT12" s="13" t="n">
        <f aca="false">IF(Time!AT20&lt;=Time!$F$15,(Waterfall!AT7+AU12)/(1+AT10),0)</f>
        <v>639.313837654166</v>
      </c>
      <c r="AU12" s="13" t="n">
        <f aca="false">IF(Time!AU20&lt;=Time!$F$15,(Waterfall!AU7+AV12)/(1+AU10),0)</f>
        <v>608.344248760117</v>
      </c>
      <c r="AV12" s="13" t="n">
        <f aca="false">IF(Time!AV20&lt;=Time!$F$15,(Waterfall!AV7+AW12)/(1+AV10),0)</f>
        <v>580.97528362054</v>
      </c>
      <c r="AW12" s="13" t="n">
        <f aca="false">IF(Time!AW20&lt;=Time!$F$15,(Waterfall!AW7+AX12)/(1+AW10),0)</f>
        <v>552.743530956822</v>
      </c>
      <c r="AX12" s="13" t="n">
        <f aca="false">IF(Time!AX20&lt;=Time!$F$15,(Waterfall!AX7+AY12)/(1+AX10),0)</f>
        <v>524.173568799466</v>
      </c>
      <c r="AY12" s="13" t="n">
        <f aca="false">IF(Time!AY20&lt;=Time!$F$15,(Waterfall!AY7+AZ12)/(1+AY10),0)</f>
        <v>494.157036637173</v>
      </c>
      <c r="AZ12" s="13" t="n">
        <f aca="false">IF(Time!AZ20&lt;=Time!$F$15,(Waterfall!AZ7+BA12)/(1+AZ10),0)</f>
        <v>463.786622331188</v>
      </c>
      <c r="BA12" s="13" t="n">
        <f aca="false">IF(Time!BA20&lt;=Time!$F$15,(Waterfall!BA7+BB12)/(1+BA10),0)</f>
        <v>431.977954213421</v>
      </c>
      <c r="BB12" s="13" t="n">
        <f aca="false">IF(Time!BB20&lt;=Time!$F$15,(Waterfall!BB7+BC12)/(1+BB10),0)</f>
        <v>399.607716736053</v>
      </c>
      <c r="BC12" s="13" t="n">
        <f aca="false">IF(Time!BC20&lt;=Time!$F$15,(Waterfall!BC7+BD12)/(1+BC10),0)</f>
        <v>364.115934618425</v>
      </c>
      <c r="BD12" s="13" t="n">
        <f aca="false">IF(Time!BD20&lt;=Time!$F$15,(Waterfall!BD7+BE12)/(1+BD10),0)</f>
        <v>331.064530617226</v>
      </c>
      <c r="BE12" s="13" t="n">
        <f aca="false">IF(Time!BE20&lt;=Time!$F$15,(Waterfall!BE7+BF12)/(1+BE10),0)</f>
        <v>303.219495522308</v>
      </c>
      <c r="BF12" s="13" t="n">
        <f aca="false">IF(Time!BF20&lt;=Time!$F$15,(Waterfall!BF7+BG12)/(1+BF10),0)</f>
        <v>275.055289541356</v>
      </c>
      <c r="BG12" s="13" t="n">
        <f aca="false">IF(Time!BG20&lt;=Time!$F$15,(Waterfall!BG7+BH12)/(1+BG10),0)</f>
        <v>245.426011720282</v>
      </c>
      <c r="BH12" s="13" t="n">
        <f aca="false">IF(Time!BH20&lt;=Time!$F$15,(Waterfall!BH7+BI12)/(1+BH10),0)</f>
        <v>215.464021138613</v>
      </c>
      <c r="BI12" s="13" t="n">
        <f aca="false">IF(Time!BI20&lt;=Time!$F$15,(Waterfall!BI7+BJ12)/(1+BI10),0)</f>
        <v>184.051535079682</v>
      </c>
      <c r="BJ12" s="13" t="n">
        <f aca="false">IF(Time!BJ20&lt;=Time!$F$15,(Waterfall!BJ7+BK12)/(1+BJ10),0)</f>
        <v>152.051637534275</v>
      </c>
      <c r="BK12" s="13" t="n">
        <f aca="false">IF(Time!BK20&lt;=Time!$F$15,(Waterfall!BK7+BL12)/(1+BK10),0)</f>
        <v>111.163549527703</v>
      </c>
      <c r="BL12" s="13" t="n">
        <f aca="false">IF(Time!BL20&lt;=Time!$F$15,(Waterfall!BL7+BM12)/(1+BL10),0)</f>
        <v>74.4206376336424</v>
      </c>
      <c r="BM12" s="13" t="n">
        <f aca="false">IF(Time!BM20&lt;=Time!$F$15,(Waterfall!BM7+BN12)/(1+BM10),0)</f>
        <v>35.9370774508351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896</v>
      </c>
      <c r="E13" s="0" t="s">
        <v>202</v>
      </c>
      <c r="J13" s="6" t="n">
        <f aca="false">IF(Debt!J115&gt;Inputs!$F$253,(J11+Reserves!J9)/Debt!J115,0)</f>
        <v>0</v>
      </c>
      <c r="K13" s="6" t="n">
        <f aca="false">IF(Debt!K115&gt;Inputs!$F$253,(K11+Reserves!K9)/Debt!K115,0)</f>
        <v>0</v>
      </c>
      <c r="L13" s="6" t="n">
        <f aca="false">IF(Debt!L115&gt;Inputs!$F$253,(L11+Reserves!L9)/Debt!L115,0)</f>
        <v>0</v>
      </c>
      <c r="M13" s="6" t="n">
        <f aca="false">IF(Debt!M115&gt;Inputs!$F$253,(M11+Reserves!M9)/Debt!M115,0)</f>
        <v>0</v>
      </c>
      <c r="N13" s="6" t="n">
        <f aca="false">IF(Debt!N115&gt;Inputs!$F$253,(N11+Reserves!N9)/Debt!N115,0)</f>
        <v>0</v>
      </c>
      <c r="O13" s="6" t="n">
        <f aca="false">IF(Debt!O115&gt;Inputs!$F$253,(O11+Reserves!O9)/Debt!O115,0)</f>
        <v>0</v>
      </c>
      <c r="P13" s="6" t="n">
        <f aca="false">IF(Debt!P115&gt;Inputs!$F$253,(P11+Reserves!P9)/Debt!P115,0)</f>
        <v>1.41517949605862</v>
      </c>
      <c r="Q13" s="6" t="n">
        <f aca="false">IF(Debt!Q115&gt;Inputs!$F$253,(Q11+Reserves!Q9)/Debt!Q115,0)</f>
        <v>1.41689400773885</v>
      </c>
      <c r="R13" s="6" t="n">
        <f aca="false">IF(Debt!R115&gt;Inputs!$F$253,(R11+Reserves!R9)/Debt!R115,0)</f>
        <v>1.44054134735679</v>
      </c>
      <c r="S13" s="6" t="n">
        <f aca="false">IF(Debt!S115&gt;Inputs!$F$253,(S11+Reserves!S9)/Debt!S115,0)</f>
        <v>1.4686056209595</v>
      </c>
      <c r="T13" s="6" t="n">
        <f aca="false">IF(Debt!T115&gt;Inputs!$F$253,(T11+Reserves!T9)/Debt!T115,0)</f>
        <v>1.43020201097358</v>
      </c>
      <c r="U13" s="6" t="n">
        <f aca="false">IF(Debt!U115&gt;Inputs!$F$253,(U11+Reserves!U9)/Debt!U115,0)</f>
        <v>1.43302317141972</v>
      </c>
      <c r="V13" s="6" t="n">
        <f aca="false">IF(Debt!V115&gt;Inputs!$F$253,(V11+Reserves!V9)/Debt!V115,0)</f>
        <v>1.43783954538981</v>
      </c>
      <c r="W13" s="6" t="n">
        <f aca="false">IF(Debt!W115&gt;Inputs!$F$253,(W11+Reserves!W9)/Debt!W115,0)</f>
        <v>1.44133215827319</v>
      </c>
      <c r="X13" s="6" t="n">
        <f aca="false">IF(Debt!X115&gt;Inputs!$F$253,(X11+Reserves!X9)/Debt!X115,0)</f>
        <v>1.44354397513494</v>
      </c>
      <c r="Y13" s="6" t="n">
        <f aca="false">IF(Debt!Y115&gt;Inputs!$F$253,(Y11+Reserves!Y9)/Debt!Y115,0)</f>
        <v>1.44743829450635</v>
      </c>
      <c r="Z13" s="6" t="n">
        <f aca="false">IF(Debt!Z115&gt;Inputs!$F$253,(Z11+Reserves!Z9)/Debt!Z115,0)</f>
        <v>1.453183784377</v>
      </c>
      <c r="AA13" s="6" t="n">
        <f aca="false">IF(Debt!AA115&gt;Inputs!$F$253,(AA11+Reserves!AA9)/Debt!AA115,0)</f>
        <v>1.45831900783532</v>
      </c>
      <c r="AB13" s="6" t="n">
        <f aca="false">IF(Debt!AB115&gt;Inputs!$F$253,(AB11+Reserves!AB9)/Debt!AB115,0)</f>
        <v>1.48859660835571</v>
      </c>
      <c r="AC13" s="6" t="n">
        <f aca="false">IF(Debt!AC115&gt;Inputs!$F$253,(AC11+Reserves!AC9)/Debt!AC115,0)</f>
        <v>1.52302967372398</v>
      </c>
      <c r="AD13" s="6" t="n">
        <f aca="false">IF(Debt!AD115&gt;Inputs!$F$253,(AD11+Reserves!AD9)/Debt!AD115,0)</f>
        <v>1.56398369519021</v>
      </c>
      <c r="AE13" s="6" t="n">
        <f aca="false">IF(Debt!AE115&gt;Inputs!$F$253,(AE11+Reserves!AE9)/Debt!AE115,0)</f>
        <v>1.61386938833655</v>
      </c>
      <c r="AF13" s="6" t="n">
        <f aca="false">IF(Debt!AF115&gt;Inputs!$F$253,(AF11+Reserves!AF9)/Debt!AF115,0)</f>
        <v>1.67495169370919</v>
      </c>
      <c r="AG13" s="6" t="n">
        <f aca="false">IF(Debt!AG115&gt;Inputs!$F$253,(AG11+Reserves!AG9)/Debt!AG115,0)</f>
        <v>1.75166786679164</v>
      </c>
      <c r="AH13" s="6" t="n">
        <f aca="false">IF(Debt!AH115&gt;Inputs!$F$253,(AH11+Reserves!AH9)/Debt!AH115,0)</f>
        <v>1.85072448883416</v>
      </c>
      <c r="AI13" s="6" t="n">
        <f aca="false">IF(Debt!AI115&gt;Inputs!$F$253,(AI11+Reserves!AI9)/Debt!AI115,0)</f>
        <v>1.98770264031049</v>
      </c>
      <c r="AJ13" s="6" t="n">
        <f aca="false">IF(Debt!AJ115&gt;Inputs!$F$253,(AJ11+Reserves!AJ9)/Debt!AJ115,0)</f>
        <v>2.18733854795879</v>
      </c>
      <c r="AK13" s="6" t="n">
        <f aca="false">IF(Debt!AK115&gt;Inputs!$F$253,(AK11+Reserves!AK9)/Debt!AK115,0)</f>
        <v>2.50164187343494</v>
      </c>
      <c r="AL13" s="6" t="n">
        <f aca="false">IF(Debt!AL115&gt;Inputs!$F$253,(AL11+Reserves!AL9)/Debt!AL115,0)</f>
        <v>2.52634529356618</v>
      </c>
      <c r="AM13" s="6" t="n">
        <f aca="false">IF(Debt!AM115&gt;Inputs!$F$253,(AM11+Reserves!AM9)/Debt!AM115,0)</f>
        <v>2.62621126997688</v>
      </c>
      <c r="AN13" s="6" t="n">
        <f aca="false">IF(Debt!AN115&gt;Inputs!$F$253,(AN11+Reserves!AN9)/Debt!AN115,0)</f>
        <v>2.73358365687064</v>
      </c>
      <c r="AO13" s="6" t="n">
        <f aca="false">IF(Debt!AO115&gt;Inputs!$F$253,(AO11+Reserves!AO9)/Debt!AO115,0)</f>
        <v>3.22710452247472</v>
      </c>
      <c r="AP13" s="6" t="n">
        <f aca="false">IF(Debt!AP115&gt;Inputs!$F$253,(AP11+Reserves!AP9)/Debt!AP115,0)</f>
        <v>0</v>
      </c>
      <c r="AQ13" s="6" t="n">
        <f aca="false">IF(Debt!AQ115&gt;Inputs!$F$253,(AQ11+Reserves!AQ9)/Debt!AQ115,0)</f>
        <v>0</v>
      </c>
      <c r="AR13" s="6" t="n">
        <f aca="false">IF(Debt!AR115&gt;Inputs!$F$253,(AR11+Reserves!AR9)/Debt!AR115,0)</f>
        <v>0</v>
      </c>
      <c r="AS13" s="6" t="n">
        <f aca="false">IF(Debt!AS115&gt;Inputs!$F$253,(AS11+Reserves!AS9)/Debt!AS115,0)</f>
        <v>0</v>
      </c>
      <c r="AT13" s="6" t="n">
        <f aca="false">IF(Debt!AT115&gt;Inputs!$F$253,(AT11+Reserves!AT9)/Debt!AT115,0)</f>
        <v>0</v>
      </c>
      <c r="AU13" s="6" t="n">
        <f aca="false">IF(Debt!AU115&gt;Inputs!$F$253,(AU11+Reserves!AU9)/Debt!AU115,0)</f>
        <v>0</v>
      </c>
      <c r="AV13" s="6" t="n">
        <f aca="false">IF(Debt!AV115&gt;Inputs!$F$253,(AV11+Reserves!AV9)/Debt!AV115,0)</f>
        <v>0</v>
      </c>
      <c r="AW13" s="6" t="n">
        <f aca="false">IF(Debt!AW115&gt;Inputs!$F$253,(AW11+Reserves!AW9)/Debt!AW115,0)</f>
        <v>0</v>
      </c>
      <c r="AX13" s="6" t="n">
        <f aca="false">IF(Debt!AX115&gt;Inputs!$F$253,(AX11+Reserves!AX9)/Debt!AX115,0)</f>
        <v>0</v>
      </c>
      <c r="AY13" s="6" t="n">
        <f aca="false">IF(Debt!AY115&gt;Inputs!$F$253,(AY11+Reserves!AY9)/Debt!AY115,0)</f>
        <v>0</v>
      </c>
      <c r="AZ13" s="6" t="n">
        <f aca="false">IF(Debt!AZ115&gt;Inputs!$F$253,(AZ11+Reserves!AZ9)/Debt!AZ115,0)</f>
        <v>0</v>
      </c>
      <c r="BA13" s="6" t="n">
        <f aca="false">IF(Debt!BA115&gt;Inputs!$F$253,(BA11+Reserves!BA9)/Debt!BA115,0)</f>
        <v>0</v>
      </c>
      <c r="BB13" s="6" t="n">
        <f aca="false">IF(Debt!BB115&gt;Inputs!$F$253,(BB11+Reserves!BB9)/Debt!BB115,0)</f>
        <v>0</v>
      </c>
      <c r="BC13" s="6" t="n">
        <f aca="false">IF(Debt!BC115&gt;Inputs!$F$253,(BC11+Reserves!BC9)/Debt!BC115,0)</f>
        <v>0</v>
      </c>
      <c r="BD13" s="6" t="n">
        <f aca="false">IF(Debt!BD115&gt;Inputs!$F$253,(BD11+Reserves!BD9)/Debt!BD115,0)</f>
        <v>0</v>
      </c>
      <c r="BE13" s="6" t="n">
        <f aca="false">IF(Debt!BE115&gt;Inputs!$F$253,(BE11+Reserves!BE9)/Debt!BE115,0)</f>
        <v>0</v>
      </c>
      <c r="BF13" s="6" t="n">
        <f aca="false">IF(Debt!BF115&gt;Inputs!$F$253,(BF11+Reserves!BF9)/Debt!BF115,0)</f>
        <v>0</v>
      </c>
      <c r="BG13" s="6" t="n">
        <f aca="false">IF(Debt!BG115&gt;Inputs!$F$253,(BG11+Reserves!BG9)/Debt!BG115,0)</f>
        <v>0</v>
      </c>
      <c r="BH13" s="6" t="n">
        <f aca="false">IF(Debt!BH115&gt;Inputs!$F$253,(BH11+Reserves!BH9)/Debt!BH115,0)</f>
        <v>0</v>
      </c>
      <c r="BI13" s="6" t="n">
        <f aca="false">IF(Debt!BI115&gt;Inputs!$F$253,(BI11+Reserves!BI9)/Debt!BI115,0)</f>
        <v>0</v>
      </c>
      <c r="BJ13" s="6" t="n">
        <f aca="false">IF(Debt!BJ115&gt;Inputs!$F$253,(BJ11+Reserves!BJ9)/Debt!BJ115,0)</f>
        <v>0</v>
      </c>
      <c r="BK13" s="6" t="n">
        <f aca="false">IF(Debt!BK115&gt;Inputs!$F$253,(BK11+Reserves!BK9)/Debt!BK115,0)</f>
        <v>0</v>
      </c>
      <c r="BL13" s="6" t="n">
        <f aca="false">IF(Debt!BL115&gt;Inputs!$F$253,(BL11+Reserves!BL9)/Debt!BL115,0)</f>
        <v>0</v>
      </c>
      <c r="BM13" s="6" t="n">
        <f aca="false">IF(Debt!BM115&gt;Inputs!$F$253,(BM11+Reserves!BM9)/Debt!BM115,0)</f>
        <v>0</v>
      </c>
      <c r="BN13" s="6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897</v>
      </c>
      <c r="E14" s="0" t="s">
        <v>202</v>
      </c>
      <c r="J14" s="6" t="n">
        <f aca="false">IF(Debt!J115&gt;Inputs!$F$253,J11/Debt!J115,0)</f>
        <v>0</v>
      </c>
      <c r="K14" s="6" t="n">
        <f aca="false">IF(Debt!K115&gt;Inputs!$F$253,K11/Debt!K115,0)</f>
        <v>0</v>
      </c>
      <c r="L14" s="6" t="n">
        <f aca="false">IF(Debt!L115&gt;Inputs!$F$253,L11/Debt!L115,0)</f>
        <v>0</v>
      </c>
      <c r="M14" s="6" t="n">
        <f aca="false">IF(Debt!M115&gt;Inputs!$F$253,M11/Debt!M115,0)</f>
        <v>0</v>
      </c>
      <c r="N14" s="6" t="n">
        <f aca="false">IF(Debt!N115&gt;Inputs!$F$253,N11/Debt!N115,0)</f>
        <v>0</v>
      </c>
      <c r="O14" s="6" t="n">
        <f aca="false">IF(Debt!O115&gt;Inputs!$F$253,O11/Debt!O115,0)</f>
        <v>0</v>
      </c>
      <c r="P14" s="6" t="n">
        <f aca="false">IF(Debt!P115&gt;Inputs!$F$253,P11/Debt!P115,0)</f>
        <v>1.35636300339912</v>
      </c>
      <c r="Q14" s="6" t="n">
        <f aca="false">IF(Debt!Q115&gt;Inputs!$F$253,Q11/Debt!Q115,0)</f>
        <v>1.35674663677282</v>
      </c>
      <c r="R14" s="6" t="n">
        <f aca="false">IF(Debt!R115&gt;Inputs!$F$253,R11/Debt!R115,0)</f>
        <v>1.43248487519401</v>
      </c>
      <c r="S14" s="6" t="n">
        <f aca="false">IF(Debt!S115&gt;Inputs!$F$253,S11/Debt!S115,0)</f>
        <v>1.4368063241354</v>
      </c>
      <c r="T14" s="6" t="n">
        <f aca="false">IF(Debt!T115&gt;Inputs!$F$253,T11/Debt!T115,0)</f>
        <v>1.36364962784659</v>
      </c>
      <c r="U14" s="6" t="n">
        <f aca="false">IF(Debt!U115&gt;Inputs!$F$253,U11/Debt!U115,0)</f>
        <v>1.36458822770392</v>
      </c>
      <c r="V14" s="6" t="n">
        <f aca="false">IF(Debt!V115&gt;Inputs!$F$253,V11/Debt!V115,0)</f>
        <v>1.36562201828273</v>
      </c>
      <c r="W14" s="6" t="n">
        <f aca="false">IF(Debt!W115&gt;Inputs!$F$253,W11/Debt!W115,0)</f>
        <v>1.36679455210471</v>
      </c>
      <c r="X14" s="6" t="n">
        <f aca="false">IF(Debt!X115&gt;Inputs!$F$253,X11/Debt!X115,0)</f>
        <v>1.36809923435922</v>
      </c>
      <c r="Y14" s="6" t="n">
        <f aca="false">IF(Debt!Y115&gt;Inputs!$F$253,Y11/Debt!Y115,0)</f>
        <v>1.36952318162287</v>
      </c>
      <c r="Z14" s="6" t="n">
        <f aca="false">IF(Debt!Z115&gt;Inputs!$F$253,Z11/Debt!Z115,0)</f>
        <v>1.371112397114</v>
      </c>
      <c r="AA14" s="6" t="n">
        <f aca="false">IF(Debt!AA115&gt;Inputs!$F$253,AA11/Debt!AA115,0)</f>
        <v>1.37292981080143</v>
      </c>
      <c r="AB14" s="6" t="n">
        <f aca="false">IF(Debt!AB115&gt;Inputs!$F$253,AB11/Debt!AB115,0)</f>
        <v>1.39622172601626</v>
      </c>
      <c r="AC14" s="6" t="n">
        <f aca="false">IF(Debt!AC115&gt;Inputs!$F$253,AC11/Debt!AC115,0)</f>
        <v>1.425459554659</v>
      </c>
      <c r="AD14" s="6" t="n">
        <f aca="false">IF(Debt!AD115&gt;Inputs!$F$253,AD11/Debt!AD115,0)</f>
        <v>1.45629750839033</v>
      </c>
      <c r="AE14" s="6" t="n">
        <f aca="false">IF(Debt!AE115&gt;Inputs!$F$253,AE11/Debt!AE115,0)</f>
        <v>1.4973160622533</v>
      </c>
      <c r="AF14" s="6" t="n">
        <f aca="false">IF(Debt!AF115&gt;Inputs!$F$253,AF11/Debt!AF115,0)</f>
        <v>1.54765878123885</v>
      </c>
      <c r="AG14" s="6" t="n">
        <f aca="false">IF(Debt!AG115&gt;Inputs!$F$253,AG11/Debt!AG115,0)</f>
        <v>1.61236241027933</v>
      </c>
      <c r="AH14" s="6" t="n">
        <f aca="false">IF(Debt!AH115&gt;Inputs!$F$253,AH11/Debt!AH115,0)</f>
        <v>1.69324182262166</v>
      </c>
      <c r="AI14" s="6" t="n">
        <f aca="false">IF(Debt!AI115&gt;Inputs!$F$253,AI11/Debt!AI115,0)</f>
        <v>1.80836183053032</v>
      </c>
      <c r="AJ14" s="6" t="n">
        <f aca="false">IF(Debt!AJ115&gt;Inputs!$F$253,AJ11/Debt!AJ115,0)</f>
        <v>1.97370145590603</v>
      </c>
      <c r="AK14" s="6" t="n">
        <f aca="false">IF(Debt!AK115&gt;Inputs!$F$253,AK11/Debt!AK115,0)</f>
        <v>2.23797404187858</v>
      </c>
      <c r="AL14" s="6" t="n">
        <f aca="false">IF(Debt!AL115&gt;Inputs!$F$253,AL11/Debt!AL115,0)</f>
        <v>2.23020508058467</v>
      </c>
      <c r="AM14" s="6" t="n">
        <f aca="false">IF(Debt!AM115&gt;Inputs!$F$253,AM11/Debt!AM115,0)</f>
        <v>2.22356985831026</v>
      </c>
      <c r="AN14" s="6" t="n">
        <f aca="false">IF(Debt!AN115&gt;Inputs!$F$253,AN11/Debt!AN115,0)</f>
        <v>2.21011548865097</v>
      </c>
      <c r="AO14" s="6" t="n">
        <f aca="false">IF(Debt!AO115&gt;Inputs!$F$253,AO11/Debt!AO115,0)</f>
        <v>2.20009258698994</v>
      </c>
      <c r="AP14" s="6" t="n">
        <f aca="false">IF(Debt!AP115&gt;Inputs!$F$253,AP11/Debt!AP115,0)</f>
        <v>0</v>
      </c>
      <c r="AQ14" s="6" t="n">
        <f aca="false">IF(Debt!AQ115&gt;Inputs!$F$253,AQ11/Debt!AQ115,0)</f>
        <v>0</v>
      </c>
      <c r="AR14" s="6" t="n">
        <f aca="false">IF(Debt!AR115&gt;Inputs!$F$253,AR11/Debt!AR115,0)</f>
        <v>0</v>
      </c>
      <c r="AS14" s="6" t="n">
        <f aca="false">IF(Debt!AS115&gt;Inputs!$F$253,AS11/Debt!AS115,0)</f>
        <v>0</v>
      </c>
      <c r="AT14" s="6" t="n">
        <f aca="false">IF(Debt!AT115&gt;Inputs!$F$253,AT11/Debt!AT115,0)</f>
        <v>0</v>
      </c>
      <c r="AU14" s="6" t="n">
        <f aca="false">IF(Debt!AU115&gt;Inputs!$F$253,AU11/Debt!AU115,0)</f>
        <v>0</v>
      </c>
      <c r="AV14" s="6" t="n">
        <f aca="false">IF(Debt!AV115&gt;Inputs!$F$253,AV11/Debt!AV115,0)</f>
        <v>0</v>
      </c>
      <c r="AW14" s="6" t="n">
        <f aca="false">IF(Debt!AW115&gt;Inputs!$F$253,AW11/Debt!AW115,0)</f>
        <v>0</v>
      </c>
      <c r="AX14" s="6" t="n">
        <f aca="false">IF(Debt!AX115&gt;Inputs!$F$253,AX11/Debt!AX115,0)</f>
        <v>0</v>
      </c>
      <c r="AY14" s="6" t="n">
        <f aca="false">IF(Debt!AY115&gt;Inputs!$F$253,AY11/Debt!AY115,0)</f>
        <v>0</v>
      </c>
      <c r="AZ14" s="6" t="n">
        <f aca="false">IF(Debt!AZ115&gt;Inputs!$F$253,AZ11/Debt!AZ115,0)</f>
        <v>0</v>
      </c>
      <c r="BA14" s="6" t="n">
        <f aca="false">IF(Debt!BA115&gt;Inputs!$F$253,BA11/Debt!BA115,0)</f>
        <v>0</v>
      </c>
      <c r="BB14" s="6" t="n">
        <f aca="false">IF(Debt!BB115&gt;Inputs!$F$253,BB11/Debt!BB115,0)</f>
        <v>0</v>
      </c>
      <c r="BC14" s="6" t="n">
        <f aca="false">IF(Debt!BC115&gt;Inputs!$F$253,BC11/Debt!BC115,0)</f>
        <v>0</v>
      </c>
      <c r="BD14" s="6" t="n">
        <f aca="false">IF(Debt!BD115&gt;Inputs!$F$253,BD11/Debt!BD115,0)</f>
        <v>0</v>
      </c>
      <c r="BE14" s="6" t="n">
        <f aca="false">IF(Debt!BE115&gt;Inputs!$F$253,BE11/Debt!BE115,0)</f>
        <v>0</v>
      </c>
      <c r="BF14" s="6" t="n">
        <f aca="false">IF(Debt!BF115&gt;Inputs!$F$253,BF11/Debt!BF115,0)</f>
        <v>0</v>
      </c>
      <c r="BG14" s="6" t="n">
        <f aca="false">IF(Debt!BG115&gt;Inputs!$F$253,BG11/Debt!BG115,0)</f>
        <v>0</v>
      </c>
      <c r="BH14" s="6" t="n">
        <f aca="false">IF(Debt!BH115&gt;Inputs!$F$253,BH11/Debt!BH115,0)</f>
        <v>0</v>
      </c>
      <c r="BI14" s="6" t="n">
        <f aca="false">IF(Debt!BI115&gt;Inputs!$F$253,BI11/Debt!BI115,0)</f>
        <v>0</v>
      </c>
      <c r="BJ14" s="6" t="n">
        <f aca="false">IF(Debt!BJ115&gt;Inputs!$F$253,BJ11/Debt!BJ115,0)</f>
        <v>0</v>
      </c>
      <c r="BK14" s="6" t="n">
        <f aca="false">IF(Debt!BK115&gt;Inputs!$F$253,BK11/Debt!BK115,0)</f>
        <v>0</v>
      </c>
      <c r="BL14" s="6" t="n">
        <f aca="false">IF(Debt!BL115&gt;Inputs!$F$253,BL11/Debt!BL115,0)</f>
        <v>0</v>
      </c>
      <c r="BM14" s="6" t="n">
        <f aca="false">IF(Debt!BM115&gt;Inputs!$F$253,BM11/Debt!BM115,0)</f>
        <v>0</v>
      </c>
      <c r="BN14" s="6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898</v>
      </c>
      <c r="E15" s="0" t="s">
        <v>202</v>
      </c>
      <c r="J15" s="6" t="n">
        <f aca="false">IF(Debt!J115&gt;Inputs!$F$253,J12/Debt!J115,0)</f>
        <v>0</v>
      </c>
      <c r="K15" s="6" t="n">
        <f aca="false">IF(Debt!K115&gt;Inputs!$F$253,K12/Debt!K115,0)</f>
        <v>0</v>
      </c>
      <c r="L15" s="6" t="n">
        <f aca="false">IF(Debt!L115&gt;Inputs!$F$253,L12/Debt!L115,0)</f>
        <v>0</v>
      </c>
      <c r="M15" s="6" t="n">
        <f aca="false">IF(Debt!M115&gt;Inputs!$F$253,M12/Debt!M115,0)</f>
        <v>0</v>
      </c>
      <c r="N15" s="6" t="n">
        <f aca="false">IF(Debt!N115&gt;Inputs!$F$253,N12/Debt!N115,0)</f>
        <v>0</v>
      </c>
      <c r="O15" s="6" t="n">
        <f aca="false">IF(Debt!O115&gt;Inputs!$F$253,O12/Debt!O115,0)</f>
        <v>0</v>
      </c>
      <c r="P15" s="6" t="n">
        <f aca="false">IF(Debt!P115&gt;Inputs!$F$253,P12/Debt!P115,0)</f>
        <v>1.85578848445451</v>
      </c>
      <c r="Q15" s="6" t="n">
        <f aca="false">IF(Debt!Q115&gt;Inputs!$F$253,Q12/Debt!Q115,0)</f>
        <v>1.88628310061911</v>
      </c>
      <c r="R15" s="6" t="n">
        <f aca="false">IF(Debt!R115&gt;Inputs!$F$253,R12/Debt!R115,0)</f>
        <v>1.9947263065921</v>
      </c>
      <c r="S15" s="6" t="n">
        <f aca="false">IF(Debt!S115&gt;Inputs!$F$253,S12/Debt!S115,0)</f>
        <v>2.03522856786677</v>
      </c>
      <c r="T15" s="6" t="n">
        <f aca="false">IF(Debt!T115&gt;Inputs!$F$253,T12/Debt!T115,0)</f>
        <v>2.0014574202035</v>
      </c>
      <c r="U15" s="6" t="n">
        <f aca="false">IF(Debt!U115&gt;Inputs!$F$253,U12/Debt!U115,0)</f>
        <v>2.04625408820788</v>
      </c>
      <c r="V15" s="6" t="n">
        <f aca="false">IF(Debt!V115&gt;Inputs!$F$253,V12/Debt!V115,0)</f>
        <v>2.09559393512986</v>
      </c>
      <c r="W15" s="6" t="n">
        <f aca="false">IF(Debt!W115&gt;Inputs!$F$253,W12/Debt!W115,0)</f>
        <v>2.15155559749356</v>
      </c>
      <c r="X15" s="6" t="n">
        <f aca="false">IF(Debt!X115&gt;Inputs!$F$253,X12/Debt!X115,0)</f>
        <v>2.21382432385028</v>
      </c>
      <c r="Y15" s="6" t="n">
        <f aca="false">IF(Debt!Y115&gt;Inputs!$F$253,Y12/Debt!Y115,0)</f>
        <v>2.28178522567582</v>
      </c>
      <c r="Z15" s="6" t="n">
        <f aca="false">IF(Debt!Z115&gt;Inputs!$F$253,Z12/Debt!Z115,0)</f>
        <v>2.35763390391624</v>
      </c>
      <c r="AA15" s="6" t="n">
        <f aca="false">IF(Debt!AA115&gt;Inputs!$F$253,AA12/Debt!AA115,0)</f>
        <v>2.44437382489414</v>
      </c>
      <c r="AB15" s="6" t="n">
        <f aca="false">IF(Debt!AB115&gt;Inputs!$F$253,AB12/Debt!AB115,0)</f>
        <v>2.58203231632666</v>
      </c>
      <c r="AC15" s="6" t="n">
        <f aca="false">IF(Debt!AC115&gt;Inputs!$F$253,AC12/Debt!AC115,0)</f>
        <v>2.75041148568786</v>
      </c>
      <c r="AD15" s="6" t="n">
        <f aca="false">IF(Debt!AD115&gt;Inputs!$F$253,AD12/Debt!AD115,0)</f>
        <v>2.94521977705075</v>
      </c>
      <c r="AE15" s="6" t="n">
        <f aca="false">IF(Debt!AE115&gt;Inputs!$F$253,AE12/Debt!AE115,0)</f>
        <v>3.19887060606001</v>
      </c>
      <c r="AF15" s="6" t="n">
        <f aca="false">IF(Debt!AF115&gt;Inputs!$F$253,AF12/Debt!AF115,0)</f>
        <v>3.51939410983406</v>
      </c>
      <c r="AG15" s="6" t="n">
        <f aca="false">IF(Debt!AG115&gt;Inputs!$F$253,AG12/Debt!AG115,0)</f>
        <v>3.94000428148314</v>
      </c>
      <c r="AH15" s="6" t="n">
        <f aca="false">IF(Debt!AH115&gt;Inputs!$F$253,AH12/Debt!AH115,0)</f>
        <v>4.49606148805593</v>
      </c>
      <c r="AI15" s="6" t="n">
        <f aca="false">IF(Debt!AI115&gt;Inputs!$F$253,AI12/Debt!AI115,0)</f>
        <v>5.30433685169439</v>
      </c>
      <c r="AJ15" s="6" t="n">
        <f aca="false">IF(Debt!AJ115&gt;Inputs!$F$253,AJ12/Debt!AJ115,0)</f>
        <v>6.52413359136975</v>
      </c>
      <c r="AK15" s="6" t="n">
        <f aca="false">IF(Debt!AK115&gt;Inputs!$F$253,AK12/Debt!AK115,0)</f>
        <v>8.60114003081367</v>
      </c>
      <c r="AL15" s="6" t="n">
        <f aca="false">IF(Debt!AL115&gt;Inputs!$F$253,AL12/Debt!AL115,0)</f>
        <v>10.4234711056557</v>
      </c>
      <c r="AM15" s="6" t="n">
        <f aca="false">IF(Debt!AM115&gt;Inputs!$F$253,AM12/Debt!AM115,0)</f>
        <v>13.7360441769955</v>
      </c>
      <c r="AN15" s="6" t="n">
        <f aca="false">IF(Debt!AN115&gt;Inputs!$F$253,AN12/Debt!AN115,0)</f>
        <v>21.1467053519083</v>
      </c>
      <c r="AO15" s="6" t="n">
        <f aca="false">IF(Debt!AO115&gt;Inputs!$F$253,AO12/Debt!AO115,0)</f>
        <v>40.8173802816404</v>
      </c>
      <c r="AP15" s="6" t="n">
        <f aca="false">IF(Debt!AP115&gt;Inputs!$F$253,AP12/Debt!AP115,0)</f>
        <v>0</v>
      </c>
      <c r="AQ15" s="6" t="n">
        <f aca="false">IF(Debt!AQ115&gt;Inputs!$F$253,AQ12/Debt!AQ115,0)</f>
        <v>0</v>
      </c>
      <c r="AR15" s="6" t="n">
        <f aca="false">IF(Debt!AR115&gt;Inputs!$F$253,AR12/Debt!AR115,0)</f>
        <v>0</v>
      </c>
      <c r="AS15" s="6" t="n">
        <f aca="false">IF(Debt!AS115&gt;Inputs!$F$253,AS12/Debt!AS115,0)</f>
        <v>0</v>
      </c>
      <c r="AT15" s="6" t="n">
        <f aca="false">IF(Debt!AT115&gt;Inputs!$F$253,AT12/Debt!AT115,0)</f>
        <v>0</v>
      </c>
      <c r="AU15" s="6" t="n">
        <f aca="false">IF(Debt!AU115&gt;Inputs!$F$253,AU12/Debt!AU115,0)</f>
        <v>0</v>
      </c>
      <c r="AV15" s="6" t="n">
        <f aca="false">IF(Debt!AV115&gt;Inputs!$F$253,AV12/Debt!AV115,0)</f>
        <v>0</v>
      </c>
      <c r="AW15" s="6" t="n">
        <f aca="false">IF(Debt!AW115&gt;Inputs!$F$253,AW12/Debt!AW115,0)</f>
        <v>0</v>
      </c>
      <c r="AX15" s="6" t="n">
        <f aca="false">IF(Debt!AX115&gt;Inputs!$F$253,AX12/Debt!AX115,0)</f>
        <v>0</v>
      </c>
      <c r="AY15" s="6" t="n">
        <f aca="false">IF(Debt!AY115&gt;Inputs!$F$253,AY12/Debt!AY115,0)</f>
        <v>0</v>
      </c>
      <c r="AZ15" s="6" t="n">
        <f aca="false">IF(Debt!AZ115&gt;Inputs!$F$253,AZ12/Debt!AZ115,0)</f>
        <v>0</v>
      </c>
      <c r="BA15" s="6" t="n">
        <f aca="false">IF(Debt!BA115&gt;Inputs!$F$253,BA12/Debt!BA115,0)</f>
        <v>0</v>
      </c>
      <c r="BB15" s="6" t="n">
        <f aca="false">IF(Debt!BB115&gt;Inputs!$F$253,BB12/Debt!BB115,0)</f>
        <v>0</v>
      </c>
      <c r="BC15" s="6" t="n">
        <f aca="false">IF(Debt!BC115&gt;Inputs!$F$253,BC12/Debt!BC115,0)</f>
        <v>0</v>
      </c>
      <c r="BD15" s="6" t="n">
        <f aca="false">IF(Debt!BD115&gt;Inputs!$F$253,BD12/Debt!BD115,0)</f>
        <v>0</v>
      </c>
      <c r="BE15" s="6" t="n">
        <f aca="false">IF(Debt!BE115&gt;Inputs!$F$253,BE12/Debt!BE115,0)</f>
        <v>0</v>
      </c>
      <c r="BF15" s="6" t="n">
        <f aca="false">IF(Debt!BF115&gt;Inputs!$F$253,BF12/Debt!BF115,0)</f>
        <v>0</v>
      </c>
      <c r="BG15" s="6" t="n">
        <f aca="false">IF(Debt!BG115&gt;Inputs!$F$253,BG12/Debt!BG115,0)</f>
        <v>0</v>
      </c>
      <c r="BH15" s="6" t="n">
        <f aca="false">IF(Debt!BH115&gt;Inputs!$F$253,BH12/Debt!BH115,0)</f>
        <v>0</v>
      </c>
      <c r="BI15" s="6" t="n">
        <f aca="false">IF(Debt!BI115&gt;Inputs!$F$253,BI12/Debt!BI115,0)</f>
        <v>0</v>
      </c>
      <c r="BJ15" s="6" t="n">
        <f aca="false">IF(Debt!BJ115&gt;Inputs!$F$253,BJ12/Debt!BJ115,0)</f>
        <v>0</v>
      </c>
      <c r="BK15" s="6" t="n">
        <f aca="false">IF(Debt!BK115&gt;Inputs!$F$253,BK12/Debt!BK115,0)</f>
        <v>0</v>
      </c>
      <c r="BL15" s="6" t="n">
        <f aca="false">IF(Debt!BL115&gt;Inputs!$F$253,BL12/Debt!BL115,0)</f>
        <v>0</v>
      </c>
      <c r="BM15" s="6" t="n">
        <f aca="false">IF(Debt!BM115&gt;Inputs!$F$253,BM12/Debt!BM115,0)</f>
        <v>0</v>
      </c>
      <c r="BN15" s="6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899</v>
      </c>
      <c r="E16" s="0" t="s">
        <v>202</v>
      </c>
      <c r="F16" s="6" t="n">
        <f aca="false">_xlfn.MINIFS(Waterfall!$J$17:$BN$17,Debt!$J$114:$BN$114,"&gt;"&amp;Inputs!$F$253)</f>
        <v>0.13044488649608</v>
      </c>
    </row>
    <row r="17" customFormat="false" ht="15" hidden="false" customHeight="false" outlineLevel="0" collapsed="false">
      <c r="D17" s="0" t="s">
        <v>900</v>
      </c>
      <c r="E17" s="0" t="s">
        <v>202</v>
      </c>
      <c r="F17" s="6" t="n">
        <f aca="false">SUMIFS(Waterfall!$J$7:$BN$7,Debt!$J$114:$BN$114,"&gt;"&amp;Inputs!$F$253)/SUM(Debt!$J$114:$BN$114)</f>
        <v>1.53886123283354</v>
      </c>
    </row>
    <row r="18" customFormat="false" ht="15" hidden="false" customHeight="false" outlineLevel="0" collapsed="false">
      <c r="D18" s="0" t="s">
        <v>901</v>
      </c>
      <c r="E18" s="0" t="s">
        <v>202</v>
      </c>
      <c r="F18" s="6" t="n">
        <f aca="false">INDEX(Ratios!$J$13:$BN$13,1,Time!$F$13)</f>
        <v>1.41517949605862</v>
      </c>
    </row>
    <row r="19" customFormat="false" ht="15" hidden="false" customHeight="false" outlineLevel="0" collapsed="false">
      <c r="D19" s="0" t="s">
        <v>902</v>
      </c>
      <c r="E19" s="0" t="s">
        <v>202</v>
      </c>
      <c r="F19" s="6" t="n">
        <f aca="false">INDEX(Ratios!$J$15:$BN$15,1,Time!$F$13)</f>
        <v>1.85578848445451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904</v>
      </c>
      <c r="J5" s="3" t="s">
        <v>905</v>
      </c>
      <c r="K5" s="3" t="s">
        <v>479</v>
      </c>
      <c r="L5" s="3" t="s">
        <v>480</v>
      </c>
      <c r="M5" s="3" t="s">
        <v>481</v>
      </c>
      <c r="N5" s="3" t="s">
        <v>482</v>
      </c>
      <c r="O5" s="3" t="s">
        <v>483</v>
      </c>
      <c r="P5" s="3" t="s">
        <v>484</v>
      </c>
      <c r="Q5" s="3" t="s">
        <v>485</v>
      </c>
      <c r="R5" s="3" t="s">
        <v>486</v>
      </c>
      <c r="S5" s="3" t="s">
        <v>487</v>
      </c>
      <c r="T5" s="3" t="s">
        <v>488</v>
      </c>
      <c r="U5" s="3" t="s">
        <v>489</v>
      </c>
      <c r="V5" s="3" t="s">
        <v>490</v>
      </c>
      <c r="W5" s="3" t="s">
        <v>491</v>
      </c>
      <c r="X5" s="3" t="s">
        <v>492</v>
      </c>
      <c r="Y5" s="3" t="s">
        <v>493</v>
      </c>
      <c r="Z5" s="3" t="s">
        <v>494</v>
      </c>
      <c r="AA5" s="3" t="s">
        <v>495</v>
      </c>
      <c r="AB5" s="3" t="s">
        <v>496</v>
      </c>
      <c r="AC5" s="3" t="s">
        <v>497</v>
      </c>
      <c r="AD5" s="3" t="s">
        <v>498</v>
      </c>
      <c r="AE5" s="3" t="s">
        <v>499</v>
      </c>
      <c r="AF5" s="3" t="s">
        <v>500</v>
      </c>
      <c r="AG5" s="3" t="s">
        <v>501</v>
      </c>
      <c r="AH5" s="3" t="s">
        <v>502</v>
      </c>
      <c r="AI5" s="3" t="s">
        <v>503</v>
      </c>
      <c r="AJ5" s="3" t="s">
        <v>504</v>
      </c>
      <c r="AK5" s="3" t="s">
        <v>505</v>
      </c>
      <c r="AL5" s="3" t="s">
        <v>506</v>
      </c>
      <c r="AM5" s="3" t="s">
        <v>507</v>
      </c>
      <c r="AN5" s="3" t="s">
        <v>508</v>
      </c>
      <c r="AO5" s="3" t="s">
        <v>509</v>
      </c>
      <c r="AP5" s="3" t="s">
        <v>510</v>
      </c>
      <c r="AQ5" s="3" t="s">
        <v>511</v>
      </c>
      <c r="AR5" s="3" t="s">
        <v>512</v>
      </c>
      <c r="AS5" s="3" t="s">
        <v>513</v>
      </c>
      <c r="AT5" s="3" t="s">
        <v>514</v>
      </c>
      <c r="AU5" s="3" t="s">
        <v>515</v>
      </c>
      <c r="AV5" s="3" t="s">
        <v>516</v>
      </c>
      <c r="AW5" s="3" t="s">
        <v>517</v>
      </c>
      <c r="AX5" s="3" t="s">
        <v>518</v>
      </c>
      <c r="AY5" s="3" t="s">
        <v>519</v>
      </c>
      <c r="AZ5" s="3" t="s">
        <v>520</v>
      </c>
      <c r="BA5" s="3" t="s">
        <v>521</v>
      </c>
      <c r="BB5" s="3" t="s">
        <v>522</v>
      </c>
      <c r="BC5" s="3" t="s">
        <v>523</v>
      </c>
      <c r="BD5" s="3" t="s">
        <v>524</v>
      </c>
      <c r="BE5" s="3" t="s">
        <v>525</v>
      </c>
      <c r="BF5" s="3" t="s">
        <v>526</v>
      </c>
      <c r="BG5" s="3" t="s">
        <v>527</v>
      </c>
      <c r="BH5" s="3" t="s">
        <v>528</v>
      </c>
      <c r="BI5" s="3" t="s">
        <v>529</v>
      </c>
      <c r="BJ5" s="3" t="s">
        <v>530</v>
      </c>
      <c r="BK5" s="3" t="s">
        <v>531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906</v>
      </c>
      <c r="E7" s="0" t="s">
        <v>296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907</v>
      </c>
      <c r="E8" s="0" t="s">
        <v>149</v>
      </c>
      <c r="G8" s="13" t="n">
        <f aca="false">SUM(J8:DP8)</f>
        <v>1175.49253692431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-0.648320373179076</v>
      </c>
      <c r="M8" s="13" t="n">
        <f aca="false">-Funding!L68</f>
        <v>-0.826418347859906</v>
      </c>
      <c r="N8" s="13" t="n">
        <f aca="false">-Funding!M68</f>
        <v>-1.16828978079458</v>
      </c>
      <c r="O8" s="13" t="n">
        <f aca="false">-Funding!N68</f>
        <v>-1.68225053867731</v>
      </c>
      <c r="P8" s="13" t="n">
        <f aca="false">-Funding!O68</f>
        <v>-2.31815833851875</v>
      </c>
      <c r="Q8" s="13" t="n">
        <f aca="false">-Funding!P68</f>
        <v>-3.0241027217991</v>
      </c>
      <c r="R8" s="13" t="n">
        <f aca="false">-Funding!Q68</f>
        <v>-3.83855259456677</v>
      </c>
      <c r="S8" s="13" t="n">
        <f aca="false">-Funding!R68</f>
        <v>-4.6502766335649</v>
      </c>
      <c r="T8" s="13" t="n">
        <f aca="false">-Funding!S68</f>
        <v>-5.47681570917974</v>
      </c>
      <c r="U8" s="13" t="n">
        <f aca="false">-Funding!T68</f>
        <v>-6.25030169980247</v>
      </c>
      <c r="V8" s="13" t="n">
        <f aca="false">-Funding!U68</f>
        <v>-6.99191264158404</v>
      </c>
      <c r="W8" s="13" t="n">
        <f aca="false">-Funding!V68</f>
        <v>-7.6439353122712</v>
      </c>
      <c r="X8" s="13" t="n">
        <f aca="false">-Funding!W68</f>
        <v>-8.18616613574263</v>
      </c>
      <c r="Y8" s="13" t="n">
        <f aca="false">-Funding!X68</f>
        <v>-8.63503011067768</v>
      </c>
      <c r="Z8" s="13" t="n">
        <f aca="false">-Funding!Y68</f>
        <v>-8.93391495565196</v>
      </c>
      <c r="AA8" s="13" t="n">
        <f aca="false">-Funding!Z68</f>
        <v>-9.1211335660466</v>
      </c>
      <c r="AB8" s="13" t="n">
        <f aca="false">-Funding!AA68</f>
        <v>-9.46154396827212</v>
      </c>
      <c r="AC8" s="13" t="n">
        <f aca="false">-Funding!AB68</f>
        <v>-9.0251409982049</v>
      </c>
      <c r="AD8" s="13" t="n">
        <f aca="false">-Funding!AC68</f>
        <v>-8.81062368941417</v>
      </c>
      <c r="AE8" s="13" t="n">
        <f aca="false">-Funding!AD68</f>
        <v>-8.42237069977848</v>
      </c>
      <c r="AF8" s="13" t="n">
        <f aca="false">-Funding!AE68</f>
        <v>-7.9465485624091</v>
      </c>
      <c r="AG8" s="13" t="n">
        <f aca="false">-Funding!AF68</f>
        <v>-7.33492793084585</v>
      </c>
      <c r="AH8" s="13" t="n">
        <f aca="false">-Funding!AG68</f>
        <v>-6.67280605231224</v>
      </c>
      <c r="AI8" s="13" t="n">
        <f aca="false">-Funding!AH68</f>
        <v>-5.93077626622527</v>
      </c>
      <c r="AJ8" s="13" t="n">
        <f aca="false">-Funding!AI68</f>
        <v>-5.13380130806101</v>
      </c>
      <c r="AK8" s="13" t="n">
        <f aca="false">-Funding!AJ68</f>
        <v>-4.36455619682293</v>
      </c>
      <c r="AL8" s="13" t="n">
        <f aca="false">-Funding!AK68</f>
        <v>-3.58140062202883</v>
      </c>
      <c r="AM8" s="13" t="n">
        <f aca="false">-Funding!AL68</f>
        <v>-2.89124437907497</v>
      </c>
      <c r="AN8" s="13" t="n">
        <f aca="false">-Funding!AM68</f>
        <v>-2.27308900262301</v>
      </c>
      <c r="AO8" s="13" t="n">
        <f aca="false">-Funding!AN68</f>
        <v>-1.72016670046058</v>
      </c>
      <c r="AP8" s="13" t="n">
        <f aca="false">-Funding!AO68</f>
        <v>-1.43578904615905</v>
      </c>
      <c r="AQ8" s="13" t="n">
        <f aca="false">-Funding!AP68</f>
        <v>-14.0750388603677</v>
      </c>
      <c r="AR8" s="13" t="n">
        <f aca="false">-Funding!AQ68</f>
        <v>-10.8486751462942</v>
      </c>
      <c r="AS8" s="13" t="n">
        <f aca="false">-Funding!AR68</f>
        <v>-0.965323220673674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14.997189587262</v>
      </c>
      <c r="BS8" s="18" t="n">
        <f aca="false">Waterfall!Q44</f>
        <v>0</v>
      </c>
      <c r="BT8" s="18" t="n">
        <f aca="false">Waterfall!R44</f>
        <v>0</v>
      </c>
      <c r="BU8" s="18" t="n">
        <f aca="false">Waterfall!S44</f>
        <v>38.6460885979589</v>
      </c>
      <c r="BV8" s="18" t="n">
        <f aca="false">Waterfall!T44</f>
        <v>13.3934512551275</v>
      </c>
      <c r="BW8" s="18" t="n">
        <f aca="false">Waterfall!U44</f>
        <v>12.4325149877249</v>
      </c>
      <c r="BX8" s="18" t="n">
        <f aca="false">Waterfall!V44</f>
        <v>13.6654648959126</v>
      </c>
      <c r="BY8" s="18" t="n">
        <f aca="false">Waterfall!W44</f>
        <v>14.404561953598</v>
      </c>
      <c r="BZ8" s="18" t="n">
        <f aca="false">Waterfall!X44</f>
        <v>13.2807813101373</v>
      </c>
      <c r="CA8" s="18" t="n">
        <f aca="false">Waterfall!Y44</f>
        <v>12.4986661546243</v>
      </c>
      <c r="CB8" s="18" t="n">
        <f aca="false">Waterfall!Z44</f>
        <v>13.2020528452989</v>
      </c>
      <c r="CC8" s="18" t="n">
        <f aca="false">Waterfall!AA44</f>
        <v>6.18526964990857</v>
      </c>
      <c r="CD8" s="18" t="n">
        <f aca="false">Waterfall!AB44</f>
        <v>7.19416552841933</v>
      </c>
      <c r="CE8" s="18" t="n">
        <f aca="false">Waterfall!AC44</f>
        <v>6.86678897087803</v>
      </c>
      <c r="CF8" s="18" t="n">
        <f aca="false">Waterfall!AD44</f>
        <v>8.2088372521896</v>
      </c>
      <c r="CG8" s="18" t="n">
        <f aca="false">Waterfall!AE44</f>
        <v>8.82241226273076</v>
      </c>
      <c r="CH8" s="18" t="n">
        <f aca="false">Waterfall!AF44</f>
        <v>9.71942530961141</v>
      </c>
      <c r="CI8" s="18" t="n">
        <f aca="false">Waterfall!AG44</f>
        <v>10.1557640161825</v>
      </c>
      <c r="CJ8" s="18" t="n">
        <f aca="false">Waterfall!AH44</f>
        <v>11.5387131006289</v>
      </c>
      <c r="CK8" s="18" t="n">
        <f aca="false">Waterfall!AI44</f>
        <v>12.4175779958468</v>
      </c>
      <c r="CL8" s="18" t="n">
        <f aca="false">Waterfall!AJ44</f>
        <v>15.0551962854809</v>
      </c>
      <c r="CM8" s="18" t="n">
        <f aca="false">Waterfall!AK44</f>
        <v>31.8897157033809</v>
      </c>
      <c r="CN8" s="18" t="n">
        <f aca="false">Waterfall!AL44</f>
        <v>29.7062841581408</v>
      </c>
      <c r="CO8" s="18" t="n">
        <f aca="false">Waterfall!AM44</f>
        <v>33.7676877727452</v>
      </c>
      <c r="CP8" s="18" t="n">
        <f aca="false">Waterfall!AN44</f>
        <v>23.5625680489029</v>
      </c>
      <c r="CQ8" s="18" t="n">
        <f aca="false">Waterfall!AO44</f>
        <v>41.5947474858284</v>
      </c>
      <c r="CR8" s="18" t="n">
        <f aca="false">Waterfall!AP44</f>
        <v>41.6216377830038</v>
      </c>
      <c r="CS8" s="18" t="n">
        <f aca="false">Waterfall!AQ44</f>
        <v>41.1745993340732</v>
      </c>
      <c r="CT8" s="18" t="n">
        <f aca="false">Waterfall!AR44</f>
        <v>41.770960831035</v>
      </c>
      <c r="CU8" s="18" t="n">
        <f aca="false">Waterfall!AS44</f>
        <v>41.5056129118261</v>
      </c>
      <c r="CV8" s="18" t="n">
        <f aca="false">Waterfall!AT44</f>
        <v>48.238693031292</v>
      </c>
      <c r="CW8" s="18" t="n">
        <f aca="false">Waterfall!AU44</f>
        <v>43.8015207396234</v>
      </c>
      <c r="CX8" s="18" t="n">
        <f aca="false">Waterfall!AV44</f>
        <v>43.9250195431293</v>
      </c>
      <c r="CY8" s="18" t="n">
        <f aca="false">Waterfall!AW44</f>
        <v>43.5006347551928</v>
      </c>
      <c r="CZ8" s="18" t="n">
        <f aca="false">Waterfall!AX44</f>
        <v>44.1754747855326</v>
      </c>
      <c r="DA8" s="18" t="n">
        <f aca="false">Waterfall!AY44</f>
        <v>43.7185522989792</v>
      </c>
      <c r="DB8" s="18" t="n">
        <f aca="false">Waterfall!AZ44</f>
        <v>44.3364424388821</v>
      </c>
      <c r="DC8" s="18" t="n">
        <f aca="false">Waterfall!BA44</f>
        <v>43.543829720821</v>
      </c>
      <c r="DD8" s="18" t="n">
        <f aca="false">Waterfall!BB44</f>
        <v>44.7848097266784</v>
      </c>
      <c r="DE8" s="18" t="n">
        <f aca="false">Waterfall!BC44</f>
        <v>41.3693070627511</v>
      </c>
      <c r="DF8" s="18" t="n">
        <f aca="false">Waterfall!BD44</f>
        <v>35.2535532770043</v>
      </c>
      <c r="DG8" s="18" t="n">
        <f aca="false">Waterfall!BE44</f>
        <v>34.8037917507731</v>
      </c>
      <c r="DH8" s="18" t="n">
        <f aca="false">Waterfall!BF44</f>
        <v>35.4911261343409</v>
      </c>
      <c r="DI8" s="18" t="n">
        <f aca="false">Waterfall!BG44</f>
        <v>35.0063413826083</v>
      </c>
      <c r="DJ8" s="18" t="n">
        <f aca="false">Waterfall!BH44</f>
        <v>35.6301644713499</v>
      </c>
      <c r="DK8" s="18" t="n">
        <f aca="false">Waterfall!BI44</f>
        <v>35.3515331654512</v>
      </c>
      <c r="DL8" s="18" t="n">
        <f aca="false">Waterfall!BJ44</f>
        <v>43.3576219239654</v>
      </c>
      <c r="DM8" s="18" t="n">
        <f aca="false">Waterfall!BK44</f>
        <v>38.0900629941884</v>
      </c>
      <c r="DN8" s="18" t="n">
        <f aca="false">Waterfall!BL44</f>
        <v>38.8201016869331</v>
      </c>
      <c r="DO8" s="18" t="n">
        <f aca="false">Waterfall!BM44</f>
        <v>54.8489876304097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908</v>
      </c>
      <c r="E9" s="0" t="s">
        <v>149</v>
      </c>
      <c r="G9" s="13" t="n">
        <f aca="false">SUM(J9:DP9)</f>
        <v>1595.09527421856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1.87224719782305</v>
      </c>
      <c r="BR9" s="18" t="n">
        <f aca="false">Waterfall!P7</f>
        <v>50.2819588445858</v>
      </c>
      <c r="BS9" s="18" t="n">
        <f aca="false">Waterfall!Q7</f>
        <v>4.84694279402448</v>
      </c>
      <c r="BT9" s="18" t="n">
        <f aca="false">Waterfall!R7</f>
        <v>51.3702689319963</v>
      </c>
      <c r="BU9" s="18" t="n">
        <f aca="false">Waterfall!S7</f>
        <v>95.1381922339208</v>
      </c>
      <c r="BV9" s="18" t="n">
        <f aca="false">Waterfall!T7</f>
        <v>50.9641440099802</v>
      </c>
      <c r="BW9" s="18" t="n">
        <f aca="false">Waterfall!U7</f>
        <v>50.7204352228832</v>
      </c>
      <c r="BX9" s="18" t="n">
        <f aca="false">Waterfall!V7</f>
        <v>51.6886923217823</v>
      </c>
      <c r="BY9" s="18" t="n">
        <f aca="false">Waterfall!W7</f>
        <v>51.3313570281874</v>
      </c>
      <c r="BZ9" s="18" t="n">
        <f aca="false">Waterfall!X7</f>
        <v>49.8511733546825</v>
      </c>
      <c r="CA9" s="18" t="n">
        <f aca="false">Waterfall!Y7</f>
        <v>49.3700292631384</v>
      </c>
      <c r="CB9" s="18" t="n">
        <f aca="false">Waterfall!Z7</f>
        <v>49.7763402001533</v>
      </c>
      <c r="CC9" s="18" t="n">
        <f aca="false">Waterfall!AA7</f>
        <v>49.3752879317933</v>
      </c>
      <c r="CD9" s="18" t="n">
        <f aca="false">Waterfall!AB7</f>
        <v>49.956410656481</v>
      </c>
      <c r="CE9" s="18" t="n">
        <f aca="false">Waterfall!AC7</f>
        <v>49.7514544426898</v>
      </c>
      <c r="CF9" s="18" t="n">
        <f aca="false">Waterfall!AD7</f>
        <v>51.6625426827391</v>
      </c>
      <c r="CG9" s="18" t="n">
        <f aca="false">Waterfall!AE7</f>
        <v>51.7458319376668</v>
      </c>
      <c r="CH9" s="18" t="n">
        <f aca="false">Waterfall!AF7</f>
        <v>51.9066856527928</v>
      </c>
      <c r="CI9" s="18" t="n">
        <f aca="false">Waterfall!AG7</f>
        <v>51.539279151907</v>
      </c>
      <c r="CJ9" s="18" t="n">
        <f aca="false">Waterfall!AH7</f>
        <v>52.2087446781833</v>
      </c>
      <c r="CK9" s="18" t="n">
        <f aca="false">Waterfall!AI7</f>
        <v>51.801240750518</v>
      </c>
      <c r="CL9" s="18" t="n">
        <f aca="false">Waterfall!AJ7</f>
        <v>52.4025982886386</v>
      </c>
      <c r="CM9" s="18" t="n">
        <f aca="false">Waterfall!AK7</f>
        <v>52.1645329407755</v>
      </c>
      <c r="CN9" s="18" t="n">
        <f aca="false">Waterfall!AL7</f>
        <v>53.2755760114189</v>
      </c>
      <c r="CO9" s="18" t="n">
        <f aca="false">Waterfall!AM7</f>
        <v>52.8997050276094</v>
      </c>
      <c r="CP9" s="18" t="n">
        <f aca="false">Waterfall!AN7</f>
        <v>42.468475796511</v>
      </c>
      <c r="CQ9" s="18" t="n">
        <f aca="false">Waterfall!AO7</f>
        <v>41.5947474858284</v>
      </c>
      <c r="CR9" s="18" t="n">
        <f aca="false">Waterfall!AP7</f>
        <v>41.6216377830038</v>
      </c>
      <c r="CS9" s="18" t="n">
        <f aca="false">Waterfall!AQ7</f>
        <v>41.1745993340732</v>
      </c>
      <c r="CT9" s="18" t="n">
        <f aca="false">Waterfall!AR7</f>
        <v>41.770960831035</v>
      </c>
      <c r="CU9" s="18" t="n">
        <f aca="false">Waterfall!AS7</f>
        <v>41.5056129118261</v>
      </c>
      <c r="CV9" s="18" t="n">
        <f aca="false">Waterfall!AT7</f>
        <v>48.238693031292</v>
      </c>
      <c r="CW9" s="18" t="n">
        <f aca="false">Waterfall!AU7</f>
        <v>43.8015207396234</v>
      </c>
      <c r="CX9" s="18" t="n">
        <f aca="false">Waterfall!AV7</f>
        <v>43.9250195431293</v>
      </c>
      <c r="CY9" s="18" t="n">
        <f aca="false">Waterfall!AW7</f>
        <v>43.5006347551928</v>
      </c>
      <c r="CZ9" s="18" t="n">
        <f aca="false">Waterfall!AX7</f>
        <v>44.1754747855326</v>
      </c>
      <c r="DA9" s="18" t="n">
        <f aca="false">Waterfall!AY7</f>
        <v>43.7185522989792</v>
      </c>
      <c r="DB9" s="18" t="n">
        <f aca="false">Waterfall!AZ7</f>
        <v>44.3364424388821</v>
      </c>
      <c r="DC9" s="18" t="n">
        <f aca="false">Waterfall!BA7</f>
        <v>44.0387981074297</v>
      </c>
      <c r="DD9" s="18" t="n">
        <f aca="false">Waterfall!BB7</f>
        <v>46.2859599813229</v>
      </c>
      <c r="DE9" s="18" t="n">
        <f aca="false">Waterfall!BC7</f>
        <v>42.8868801360933</v>
      </c>
      <c r="DF9" s="18" t="n">
        <f aca="false">Waterfall!BD7</f>
        <v>36.7877288372509</v>
      </c>
      <c r="DG9" s="18" t="n">
        <f aca="false">Waterfall!BE7</f>
        <v>36.3547514317289</v>
      </c>
      <c r="DH9" s="18" t="n">
        <f aca="false">Waterfall!BF7</f>
        <v>37.0590535569129</v>
      </c>
      <c r="DI9" s="18" t="n">
        <f aca="false">Waterfall!BG7</f>
        <v>36.5914221765451</v>
      </c>
      <c r="DJ9" s="18" t="n">
        <f aca="false">Waterfall!BH7</f>
        <v>37.2325862972185</v>
      </c>
      <c r="DK9" s="18" t="n">
        <f aca="false">Waterfall!BI7</f>
        <v>36.9714857368546</v>
      </c>
      <c r="DL9" s="18" t="n">
        <f aca="false">Waterfall!BJ7</f>
        <v>44.9952970300032</v>
      </c>
      <c r="DM9" s="18" t="n">
        <f aca="false">Waterfall!BK7</f>
        <v>39.7456545221627</v>
      </c>
      <c r="DN9" s="18" t="n">
        <f aca="false">Waterfall!BL7</f>
        <v>40.4938056453036</v>
      </c>
      <c r="DO9" s="18" t="n">
        <f aca="false">Waterfall!BM7</f>
        <v>36.9078074684487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909</v>
      </c>
      <c r="E10" s="0" t="s">
        <v>149</v>
      </c>
      <c r="G10" s="13" t="n">
        <f aca="false">SUM(J10:DP10)</f>
        <v>1912.21377544491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1.87224719782305</v>
      </c>
      <c r="BR10" s="13" t="n">
        <f aca="false">Waterfall!P7+Tax!P27</f>
        <v>50.2819588445858</v>
      </c>
      <c r="BS10" s="13" t="n">
        <f aca="false">Waterfall!Q7+Tax!Q27</f>
        <v>4.84694279402448</v>
      </c>
      <c r="BT10" s="13" t="n">
        <f aca="false">Waterfall!R7+Tax!R27</f>
        <v>51.3702689319963</v>
      </c>
      <c r="BU10" s="13" t="n">
        <f aca="false">Waterfall!S7+Tax!S27</f>
        <v>95.1381922339208</v>
      </c>
      <c r="BV10" s="13" t="n">
        <f aca="false">Waterfall!T7+Tax!T27</f>
        <v>50.9641440099802</v>
      </c>
      <c r="BW10" s="13" t="n">
        <f aca="false">Waterfall!U7+Tax!U27</f>
        <v>50.7204352228832</v>
      </c>
      <c r="BX10" s="13" t="n">
        <f aca="false">Waterfall!V7+Tax!V27</f>
        <v>51.6886923217823</v>
      </c>
      <c r="BY10" s="13" t="n">
        <f aca="false">Waterfall!W7+Tax!W27</f>
        <v>51.3313570281874</v>
      </c>
      <c r="BZ10" s="13" t="n">
        <f aca="false">Waterfall!X7+Tax!X27</f>
        <v>49.8511733546825</v>
      </c>
      <c r="CA10" s="13" t="n">
        <f aca="false">Waterfall!Y7+Tax!Y27</f>
        <v>49.4880750990588</v>
      </c>
      <c r="CB10" s="13" t="n">
        <f aca="false">Waterfall!Z7+Tax!Z27</f>
        <v>50.131831734827</v>
      </c>
      <c r="CC10" s="13" t="n">
        <f aca="false">Waterfall!AA7+Tax!AA27</f>
        <v>49.7325544923993</v>
      </c>
      <c r="CD10" s="13" t="n">
        <f aca="false">Waterfall!AB7+Tax!AB27</f>
        <v>50.3156103413124</v>
      </c>
      <c r="CE10" s="13" t="n">
        <f aca="false">Waterfall!AC7+Tax!AC27</f>
        <v>50.1115438431696</v>
      </c>
      <c r="CF10" s="13" t="n">
        <f aca="false">Waterfall!AD7+Tax!AD27</f>
        <v>52.0181248726811</v>
      </c>
      <c r="CG10" s="13" t="n">
        <f aca="false">Waterfall!AE7+Tax!AE27</f>
        <v>52.1085112094818</v>
      </c>
      <c r="CH10" s="13" t="n">
        <f aca="false">Waterfall!AF7+Tax!AF27</f>
        <v>52.2727069716147</v>
      </c>
      <c r="CI10" s="13" t="n">
        <f aca="false">Waterfall!AG7+Tax!AG27</f>
        <v>51.9069069535218</v>
      </c>
      <c r="CJ10" s="13" t="n">
        <f aca="false">Waterfall!AH7+Tax!AH27</f>
        <v>52.5778484282802</v>
      </c>
      <c r="CK10" s="13" t="n">
        <f aca="false">Waterfall!AI7+Tax!AI27</f>
        <v>52.1722770411054</v>
      </c>
      <c r="CL10" s="13" t="n">
        <f aca="false">Waterfall!AJ7+Tax!AJ27</f>
        <v>52.7757386334257</v>
      </c>
      <c r="CM10" s="13" t="n">
        <f aca="false">Waterfall!AK7+Tax!AK27</f>
        <v>52.5389645474726</v>
      </c>
      <c r="CN10" s="13" t="n">
        <f aca="false">Waterfall!AL7+Tax!AL27</f>
        <v>53.6507656470258</v>
      </c>
      <c r="CO10" s="13" t="n">
        <f aca="false">Waterfall!AM7+Tax!AM27</f>
        <v>53.2772927107986</v>
      </c>
      <c r="CP10" s="13" t="n">
        <f aca="false">Waterfall!AN7+Tax!AN27</f>
        <v>51.4441928746495</v>
      </c>
      <c r="CQ10" s="13" t="n">
        <f aca="false">Waterfall!AO7+Tax!AO27</f>
        <v>51.0736461683704</v>
      </c>
      <c r="CR10" s="13" t="n">
        <f aca="false">Waterfall!AP7+Tax!AP27</f>
        <v>51.7741259055943</v>
      </c>
      <c r="CS10" s="13" t="n">
        <f aca="false">Waterfall!AQ7+Tax!AQ27</f>
        <v>51.3617110325035</v>
      </c>
      <c r="CT10" s="13" t="n">
        <f aca="false">Waterfall!AR7+Tax!AR27</f>
        <v>51.9872249530412</v>
      </c>
      <c r="CU10" s="13" t="n">
        <f aca="false">Waterfall!AS7+Tax!AS27</f>
        <v>51.7989133915233</v>
      </c>
      <c r="CV10" s="13" t="n">
        <f aca="false">Waterfall!AT7+Tax!AT27</f>
        <v>54.1140571647818</v>
      </c>
      <c r="CW10" s="13" t="n">
        <f aca="false">Waterfall!AU7+Tax!AU27</f>
        <v>54.2168755530977</v>
      </c>
      <c r="CX10" s="13" t="n">
        <f aca="false">Waterfall!AV7+Tax!AV27</f>
        <v>54.3101812323</v>
      </c>
      <c r="CY10" s="13" t="n">
        <f aca="false">Waterfall!AW7+Tax!AW27</f>
        <v>53.9352765086351</v>
      </c>
      <c r="CZ10" s="13" t="n">
        <f aca="false">Waterfall!AX7+Tax!AX27</f>
        <v>54.6678535478626</v>
      </c>
      <c r="DA10" s="13" t="n">
        <f aca="false">Waterfall!AY7+Tax!AY27</f>
        <v>54.2479974851188</v>
      </c>
      <c r="DB10" s="13" t="n">
        <f aca="false">Waterfall!AZ7+Tax!AZ27</f>
        <v>54.8973451989135</v>
      </c>
      <c r="DC10" s="13" t="n">
        <f aca="false">Waterfall!BA7+Tax!BA27</f>
        <v>54.6690723463003</v>
      </c>
      <c r="DD10" s="13" t="n">
        <f aca="false">Waterfall!BB7+Tax!BB27</f>
        <v>55.951806375123</v>
      </c>
      <c r="DE10" s="13" t="n">
        <f aca="false">Waterfall!BC7+Tax!BC27</f>
        <v>55.5591486286523</v>
      </c>
      <c r="DF10" s="13" t="n">
        <f aca="false">Waterfall!BD7+Tax!BD27</f>
        <v>53.3046343524208</v>
      </c>
      <c r="DG10" s="13" t="n">
        <f aca="false">Waterfall!BE7+Tax!BE27</f>
        <v>52.9251559331657</v>
      </c>
      <c r="DH10" s="13" t="n">
        <f aca="false">Waterfall!BF7+Tax!BF27</f>
        <v>53.6926130212208</v>
      </c>
      <c r="DI10" s="13" t="n">
        <f aca="false">Waterfall!BG7+Tax!BG27</f>
        <v>53.2646654266027</v>
      </c>
      <c r="DJ10" s="13" t="n">
        <f aca="false">Waterfall!BH7+Tax!BH27</f>
        <v>53.9397744770774</v>
      </c>
      <c r="DK10" s="13" t="n">
        <f aca="false">Waterfall!BI7+Tax!BI27</f>
        <v>53.7706526973563</v>
      </c>
      <c r="DL10" s="13" t="n">
        <f aca="false">Waterfall!BJ7+Tax!BJ27</f>
        <v>56.5725822071832</v>
      </c>
      <c r="DM10" s="13" t="n">
        <f aca="false">Waterfall!BK7+Tax!BK27</f>
        <v>56.6902036225685</v>
      </c>
      <c r="DN10" s="13" t="n">
        <f aca="false">Waterfall!BL7+Tax!BL27</f>
        <v>57.3989984272861</v>
      </c>
      <c r="DO10" s="13" t="n">
        <f aca="false">Waterfall!BM7+Tax!BM27</f>
        <v>42.4909024475175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910</v>
      </c>
      <c r="E11" s="0" t="s">
        <v>149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-32.1926858472915</v>
      </c>
      <c r="M11" s="13" t="n">
        <f aca="false">L11+M8</f>
        <v>-33.0191041951514</v>
      </c>
      <c r="N11" s="13" t="n">
        <f aca="false">M11+N8</f>
        <v>-34.187393975946</v>
      </c>
      <c r="O11" s="13" t="n">
        <f aca="false">N11+O8</f>
        <v>-35.8696445146233</v>
      </c>
      <c r="P11" s="13" t="n">
        <f aca="false">O11+P8</f>
        <v>-38.1878028531421</v>
      </c>
      <c r="Q11" s="13" t="n">
        <f aca="false">P11+Q8</f>
        <v>-41.2119055749412</v>
      </c>
      <c r="R11" s="13" t="n">
        <f aca="false">Q11+R8</f>
        <v>-45.0504581695079</v>
      </c>
      <c r="S11" s="13" t="n">
        <f aca="false">R11+S8</f>
        <v>-49.7007348030728</v>
      </c>
      <c r="T11" s="13" t="n">
        <f aca="false">S11+T8</f>
        <v>-55.1775505122526</v>
      </c>
      <c r="U11" s="13" t="n">
        <f aca="false">T11+U8</f>
        <v>-61.4278522120551</v>
      </c>
      <c r="V11" s="13" t="n">
        <f aca="false">U11+V8</f>
        <v>-68.4197648536391</v>
      </c>
      <c r="W11" s="13" t="n">
        <f aca="false">V11+W8</f>
        <v>-76.0637001659103</v>
      </c>
      <c r="X11" s="13" t="n">
        <f aca="false">W11+X8</f>
        <v>-84.2498663016529</v>
      </c>
      <c r="Y11" s="13" t="n">
        <f aca="false">X11+Y8</f>
        <v>-92.8848964123306</v>
      </c>
      <c r="Z11" s="13" t="n">
        <f aca="false">Y11+Z8</f>
        <v>-101.818811367983</v>
      </c>
      <c r="AA11" s="13" t="n">
        <f aca="false">Z11+AA8</f>
        <v>-110.939944934029</v>
      </c>
      <c r="AB11" s="13" t="n">
        <f aca="false">AA11+AB8</f>
        <v>-120.401488902301</v>
      </c>
      <c r="AC11" s="13" t="n">
        <f aca="false">AB11+AC8</f>
        <v>-129.426629900506</v>
      </c>
      <c r="AD11" s="13" t="n">
        <f aca="false">AC11+AD8</f>
        <v>-138.23725358992</v>
      </c>
      <c r="AE11" s="13" t="n">
        <f aca="false">AD11+AE8</f>
        <v>-146.659624289699</v>
      </c>
      <c r="AF11" s="13" t="n">
        <f aca="false">AE11+AF8</f>
        <v>-154.606172852108</v>
      </c>
      <c r="AG11" s="13" t="n">
        <f aca="false">AF11+AG8</f>
        <v>-161.941100782954</v>
      </c>
      <c r="AH11" s="13" t="n">
        <f aca="false">AG11+AH8</f>
        <v>-168.613906835266</v>
      </c>
      <c r="AI11" s="13" t="n">
        <f aca="false">AH11+AI8</f>
        <v>-174.544683101491</v>
      </c>
      <c r="AJ11" s="13" t="n">
        <f aca="false">AI11+AJ8</f>
        <v>-179.678484409552</v>
      </c>
      <c r="AK11" s="13" t="n">
        <f aca="false">AJ11+AK8</f>
        <v>-184.043040606375</v>
      </c>
      <c r="AL11" s="13" t="n">
        <f aca="false">AK11+AL8</f>
        <v>-187.624441228404</v>
      </c>
      <c r="AM11" s="13" t="n">
        <f aca="false">AL11+AM8</f>
        <v>-190.515685607479</v>
      </c>
      <c r="AN11" s="13" t="n">
        <f aca="false">AM11+AN8</f>
        <v>-192.788774610102</v>
      </c>
      <c r="AO11" s="13" t="n">
        <f aca="false">AN11+AO8</f>
        <v>-194.508941310563</v>
      </c>
      <c r="AP11" s="13" t="n">
        <f aca="false">AO11+AP8</f>
        <v>-195.944730356722</v>
      </c>
      <c r="AQ11" s="13" t="n">
        <f aca="false">AP11+AQ8</f>
        <v>-210.019769217089</v>
      </c>
      <c r="AR11" s="13" t="n">
        <f aca="false">AQ11+AR8</f>
        <v>-220.868444363384</v>
      </c>
      <c r="AS11" s="13" t="n">
        <f aca="false">AR11+AS8</f>
        <v>-221.833767584057</v>
      </c>
      <c r="AT11" s="13" t="n">
        <f aca="false">AS11+AT8</f>
        <v>-221.833767584057</v>
      </c>
      <c r="AU11" s="13" t="n">
        <f aca="false">AT11+AU8</f>
        <v>-221.833767584057</v>
      </c>
      <c r="AV11" s="13" t="n">
        <f aca="false">AU11+AV8</f>
        <v>-221.833767584057</v>
      </c>
      <c r="AW11" s="13" t="n">
        <f aca="false">AV11+AW8</f>
        <v>-221.833767584057</v>
      </c>
      <c r="AX11" s="13" t="n">
        <f aca="false">AW11+AX8</f>
        <v>-221.833767584057</v>
      </c>
      <c r="AY11" s="13" t="n">
        <f aca="false">AX11+AY8</f>
        <v>-221.833767584057</v>
      </c>
      <c r="AZ11" s="13" t="n">
        <f aca="false">AY11+AZ8</f>
        <v>-221.833767584057</v>
      </c>
      <c r="BA11" s="13" t="n">
        <f aca="false">AZ11+BA8</f>
        <v>-221.833767584057</v>
      </c>
      <c r="BB11" s="13" t="n">
        <f aca="false">BA11+BB8</f>
        <v>-221.833767584057</v>
      </c>
      <c r="BC11" s="13" t="n">
        <f aca="false">BB11+BC8</f>
        <v>-221.833767584057</v>
      </c>
      <c r="BD11" s="13" t="n">
        <f aca="false">BC11+BD8</f>
        <v>-221.833767584057</v>
      </c>
      <c r="BE11" s="13" t="n">
        <f aca="false">BD11+BE8</f>
        <v>-221.833767584057</v>
      </c>
      <c r="BF11" s="13" t="n">
        <f aca="false">BE11+BF8</f>
        <v>-221.833767584057</v>
      </c>
      <c r="BG11" s="13" t="n">
        <f aca="false">BF11+BG8</f>
        <v>-221.833767584057</v>
      </c>
      <c r="BH11" s="13" t="n">
        <f aca="false">BG11+BH8</f>
        <v>-221.833767584057</v>
      </c>
      <c r="BI11" s="13" t="n">
        <f aca="false">BH11+BI8</f>
        <v>-221.833767584057</v>
      </c>
      <c r="BJ11" s="13" t="n">
        <f aca="false">BI11+BJ8</f>
        <v>-221.833767584057</v>
      </c>
      <c r="BK11" s="13" t="n">
        <f aca="false">BJ11+BK8</f>
        <v>-221.833767584057</v>
      </c>
      <c r="BL11" s="13" t="n">
        <f aca="false">BK11+BL8</f>
        <v>-221.833767584057</v>
      </c>
      <c r="BM11" s="13" t="n">
        <f aca="false">BL11+BM8</f>
        <v>-221.833767584057</v>
      </c>
      <c r="BN11" s="13" t="n">
        <f aca="false">BM11+BN8</f>
        <v>-221.833767584057</v>
      </c>
      <c r="BO11" s="13" t="n">
        <f aca="false">BN11+BO8</f>
        <v>-221.833767584057</v>
      </c>
      <c r="BP11" s="13" t="n">
        <f aca="false">BO11+BP8</f>
        <v>-221.833767584057</v>
      </c>
      <c r="BQ11" s="13" t="n">
        <f aca="false">BP11+BQ8</f>
        <v>-221.833767584057</v>
      </c>
      <c r="BR11" s="13" t="n">
        <f aca="false">BQ11+BR8</f>
        <v>-206.836577996795</v>
      </c>
      <c r="BS11" s="13" t="n">
        <f aca="false">BR11+BS8</f>
        <v>-206.836577996795</v>
      </c>
      <c r="BT11" s="13" t="n">
        <f aca="false">BS11+BT8</f>
        <v>-206.836577996795</v>
      </c>
      <c r="BU11" s="13" t="n">
        <f aca="false">BT11+BU8</f>
        <v>-168.190489398836</v>
      </c>
      <c r="BV11" s="13" t="n">
        <f aca="false">BU11+BV8</f>
        <v>-154.797038143709</v>
      </c>
      <c r="BW11" s="13" t="n">
        <f aca="false">BV11+BW8</f>
        <v>-142.364523155984</v>
      </c>
      <c r="BX11" s="13" t="n">
        <f aca="false">BW11+BX8</f>
        <v>-128.699058260072</v>
      </c>
      <c r="BY11" s="13" t="n">
        <f aca="false">BX11+BY8</f>
        <v>-114.294496306473</v>
      </c>
      <c r="BZ11" s="13" t="n">
        <f aca="false">BY11+BZ8</f>
        <v>-101.013714996336</v>
      </c>
      <c r="CA11" s="13" t="n">
        <f aca="false">BZ11+CA8</f>
        <v>-88.5150488417119</v>
      </c>
      <c r="CB11" s="13" t="n">
        <f aca="false">CA11+CB8</f>
        <v>-75.312995996413</v>
      </c>
      <c r="CC11" s="13" t="n">
        <f aca="false">CB11+CC8</f>
        <v>-69.1277263465044</v>
      </c>
      <c r="CD11" s="13" t="n">
        <f aca="false">CC11+CD8</f>
        <v>-61.9335608180851</v>
      </c>
      <c r="CE11" s="13" t="n">
        <f aca="false">CD11+CE8</f>
        <v>-55.0667718472071</v>
      </c>
      <c r="CF11" s="13" t="n">
        <f aca="false">CE11+CF8</f>
        <v>-46.8579345950175</v>
      </c>
      <c r="CG11" s="13" t="n">
        <f aca="false">CF11+CG8</f>
        <v>-38.0355223322867</v>
      </c>
      <c r="CH11" s="13" t="n">
        <f aca="false">CG11+CH8</f>
        <v>-28.3160970226753</v>
      </c>
      <c r="CI11" s="13" t="n">
        <f aca="false">CH11+CI8</f>
        <v>-18.1603330064928</v>
      </c>
      <c r="CJ11" s="13" t="n">
        <f aca="false">CI11+CJ8</f>
        <v>-6.6216199058639</v>
      </c>
      <c r="CK11" s="13" t="n">
        <f aca="false">CJ11+CK8</f>
        <v>5.79595808998294</v>
      </c>
      <c r="CL11" s="13" t="n">
        <f aca="false">CK11+CL8</f>
        <v>20.8511543754638</v>
      </c>
      <c r="CM11" s="13" t="n">
        <f aca="false">CL11+CM8</f>
        <v>52.7408700788447</v>
      </c>
      <c r="CN11" s="13" t="n">
        <f aca="false">CM11+CN8</f>
        <v>82.4471542369855</v>
      </c>
      <c r="CO11" s="13" t="n">
        <f aca="false">CN11+CO8</f>
        <v>116.214842009731</v>
      </c>
      <c r="CP11" s="13" t="n">
        <f aca="false">CO11+CP8</f>
        <v>139.777410058634</v>
      </c>
      <c r="CQ11" s="13" t="n">
        <f aca="false">CP11+CQ8</f>
        <v>181.372157544462</v>
      </c>
      <c r="CR11" s="13" t="n">
        <f aca="false">CQ11+CR8</f>
        <v>222.993795327466</v>
      </c>
      <c r="CS11" s="13" t="n">
        <f aca="false">CR11+CS8</f>
        <v>264.168394661539</v>
      </c>
      <c r="CT11" s="13" t="n">
        <f aca="false">CS11+CT8</f>
        <v>305.939355492574</v>
      </c>
      <c r="CU11" s="13" t="n">
        <f aca="false">CT11+CU8</f>
        <v>347.4449684044</v>
      </c>
      <c r="CV11" s="13" t="n">
        <f aca="false">CU11+CV8</f>
        <v>395.683661435692</v>
      </c>
      <c r="CW11" s="13" t="n">
        <f aca="false">CV11+CW8</f>
        <v>439.485182175315</v>
      </c>
      <c r="CX11" s="13" t="n">
        <f aca="false">CW11+CX8</f>
        <v>483.410201718445</v>
      </c>
      <c r="CY11" s="13" t="n">
        <f aca="false">CX11+CY8</f>
        <v>526.910836473637</v>
      </c>
      <c r="CZ11" s="13" t="n">
        <f aca="false">CY11+CZ8</f>
        <v>571.08631125917</v>
      </c>
      <c r="DA11" s="13" t="n">
        <f aca="false">CZ11+DA8</f>
        <v>614.804863558149</v>
      </c>
      <c r="DB11" s="13" t="n">
        <f aca="false">DA11+DB8</f>
        <v>659.141305997031</v>
      </c>
      <c r="DC11" s="13" t="n">
        <f aca="false">DB11+DC8</f>
        <v>702.685135717852</v>
      </c>
      <c r="DD11" s="13" t="n">
        <f aca="false">DC11+DD8</f>
        <v>747.469945444531</v>
      </c>
      <c r="DE11" s="13" t="n">
        <f aca="false">DD11+DE8</f>
        <v>788.839252507282</v>
      </c>
      <c r="DF11" s="13" t="n">
        <f aca="false">DE11+DF8</f>
        <v>824.092805784286</v>
      </c>
      <c r="DG11" s="13" t="n">
        <f aca="false">DF11+DG8</f>
        <v>858.896597535059</v>
      </c>
      <c r="DH11" s="13" t="n">
        <f aca="false">DG11+DH8</f>
        <v>894.3877236694</v>
      </c>
      <c r="DI11" s="13" t="n">
        <f aca="false">DH11+DI8</f>
        <v>929.394065052008</v>
      </c>
      <c r="DJ11" s="13" t="n">
        <f aca="false">DI11+DJ8</f>
        <v>965.024229523358</v>
      </c>
      <c r="DK11" s="13" t="n">
        <f aca="false">DJ11+DK8</f>
        <v>1000.37576268881</v>
      </c>
      <c r="DL11" s="13" t="n">
        <f aca="false">DK11+DL8</f>
        <v>1043.73338461278</v>
      </c>
      <c r="DM11" s="13" t="n">
        <f aca="false">DL11+DM8</f>
        <v>1081.82344760696</v>
      </c>
      <c r="DN11" s="13" t="n">
        <f aca="false">DM11+DN8</f>
        <v>1120.6435492939</v>
      </c>
      <c r="DO11" s="13" t="n">
        <f aca="false">DN11+DO8</f>
        <v>1175.49253692431</v>
      </c>
      <c r="DP11" s="13" t="n">
        <f aca="false">DO11+DP8</f>
        <v>1175.49253692431</v>
      </c>
    </row>
    <row r="12" customFormat="false" ht="15" hidden="false" customHeight="false" outlineLevel="0" collapsed="false">
      <c r="D12" s="0" t="s">
        <v>911</v>
      </c>
      <c r="E12" s="0" t="s">
        <v>103</v>
      </c>
      <c r="F12" s="20" t="n">
        <f aca="false">XIRR(Returns!$J$8:$DP$8,Returns!$J$7:$DP$7)</f>
        <v>0.132017513723027</v>
      </c>
    </row>
    <row r="13" customFormat="false" ht="15" hidden="false" customHeight="false" outlineLevel="0" collapsed="false">
      <c r="D13" s="0" t="s">
        <v>912</v>
      </c>
      <c r="E13" s="0" t="s">
        <v>103</v>
      </c>
      <c r="F13" s="20" t="n">
        <f aca="false">XIRR(Returns!$J$9:$DP$9,Returns!$J$7:$DP$7,Inputs!$F$255)</f>
        <v>0.109064432927485</v>
      </c>
    </row>
    <row r="14" customFormat="false" ht="15" hidden="false" customHeight="false" outlineLevel="0" collapsed="false">
      <c r="D14" s="0" t="s">
        <v>913</v>
      </c>
      <c r="E14" s="0" t="s">
        <v>103</v>
      </c>
      <c r="F14" s="20" t="n">
        <f aca="false">XIRR(Returns!$J$10:$DP$10,Returns!$J$7:$DP$7,Inputs!$F$255)</f>
        <v>0.115289484555606</v>
      </c>
    </row>
    <row r="15" customFormat="false" ht="15" hidden="false" customHeight="false" outlineLevel="0" collapsed="false">
      <c r="D15" s="0" t="s">
        <v>914</v>
      </c>
      <c r="E15" s="0" t="s">
        <v>149</v>
      </c>
      <c r="F15" s="21" t="n">
        <f aca="false">XNPV(Inputs!$F$252/100,Returns!$J$8:$DP$8,Returns!$J$7:$DP$7)*(1+Inputs!$F$252/100)^((Inputs!$F$187-Inputs!$F$186)/Inputs!$F$248)</f>
        <v>-44.4643200177929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916</v>
      </c>
      <c r="E7" s="0" t="s">
        <v>917</v>
      </c>
      <c r="F7" s="6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918</v>
      </c>
      <c r="E8" s="0" t="s">
        <v>917</v>
      </c>
      <c r="F8" s="6" t="n">
        <f aca="false">IF(Inputs!$F$34=1,IF(ABS(SUM(Funding!$J$47:$BJ$47)-Funding!$F$25)&lt;=Inputs!$F$254,0,SUM(Funding!$J$47:$BJ$47)-Funding!$F$25),0)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919</v>
      </c>
      <c r="E9" s="0" t="s">
        <v>917</v>
      </c>
      <c r="F9" s="6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920</v>
      </c>
      <c r="E10" s="0" t="s">
        <v>917</v>
      </c>
      <c r="F10" s="6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921</v>
      </c>
      <c r="E11" s="0" t="s">
        <v>917</v>
      </c>
      <c r="F11" s="6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922</v>
      </c>
      <c r="E12" s="0" t="s">
        <v>917</v>
      </c>
      <c r="F12" s="6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923</v>
      </c>
      <c r="E13" s="0" t="s">
        <v>917</v>
      </c>
      <c r="F13" s="6" t="n">
        <f aca="false">IF(MAX(MAX(Debt!$J$135:$BN$135),-MIN(Debt!$J$135:$BN$135))&lt;=Inputs!$F$260,0,MAX(MAX(Debt!$J$135:$BN$135),-MIN(Debt!$J$135:$BN$135)))</f>
        <v>0</v>
      </c>
    </row>
    <row r="14" customFormat="false" ht="15" hidden="false" customHeight="false" outlineLevel="0" collapsed="false">
      <c r="D14" s="0" t="s">
        <v>924</v>
      </c>
      <c r="E14" s="0" t="s">
        <v>917</v>
      </c>
      <c r="F14" s="6" t="n">
        <f aca="false">IF(Inputs!$F$8=1,IF(Funding!$F$25&lt;=MIN(Debt!$F$130,Debt!$F$131)+Inputs!$F$254,0,1),0)</f>
        <v>0</v>
      </c>
    </row>
    <row r="15" customFormat="false" ht="15" hidden="false" customHeight="false" outlineLevel="0" collapsed="false">
      <c r="D15" s="0" t="s">
        <v>925</v>
      </c>
      <c r="E15" s="0" t="s">
        <v>917</v>
      </c>
      <c r="F15" s="6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926</v>
      </c>
      <c r="E16" s="0" t="s">
        <v>917</v>
      </c>
      <c r="F16" s="6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927</v>
      </c>
      <c r="E17" s="0" t="s">
        <v>917</v>
      </c>
      <c r="F17" s="6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928</v>
      </c>
      <c r="E18" s="0" t="s">
        <v>917</v>
      </c>
      <c r="F18" s="6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929</v>
      </c>
      <c r="E19" s="0" t="s">
        <v>917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931</v>
      </c>
      <c r="E7" s="0" t="s">
        <v>149</v>
      </c>
      <c r="F7" s="22" t="n">
        <f aca="false">Funding!$F$75</f>
        <v>855.089743126849</v>
      </c>
    </row>
    <row r="8" customFormat="false" ht="15" hidden="false" customHeight="false" outlineLevel="0" collapsed="false">
      <c r="D8" s="0" t="s">
        <v>932</v>
      </c>
      <c r="E8" s="0" t="s">
        <v>149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933</v>
      </c>
      <c r="E9" s="0" t="s">
        <v>149</v>
      </c>
      <c r="F9" s="22" t="n">
        <f aca="false">SUM(Funding!$J$67:$BJ$67)</f>
        <v>221.833767584057</v>
      </c>
    </row>
    <row r="10" customFormat="false" ht="15" hidden="false" customHeight="false" outlineLevel="0" collapsed="false">
      <c r="D10" s="0" t="s">
        <v>934</v>
      </c>
      <c r="E10" s="0" t="s">
        <v>103</v>
      </c>
      <c r="F10" s="20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935</v>
      </c>
      <c r="E11" s="0" t="s">
        <v>149</v>
      </c>
      <c r="F11" s="22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936</v>
      </c>
      <c r="E12" s="0" t="s">
        <v>149</v>
      </c>
      <c r="F12" s="22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937</v>
      </c>
      <c r="E13" s="0" t="s">
        <v>149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938</v>
      </c>
      <c r="E14" s="0" t="s">
        <v>149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939</v>
      </c>
      <c r="E15" s="0" t="s">
        <v>149</v>
      </c>
      <c r="F15" s="22" t="n">
        <f aca="false">SUM(Funding!$J$55:$BJ$55)</f>
        <v>1.74223968585352E-011</v>
      </c>
    </row>
    <row r="16" customFormat="false" ht="15" hidden="false" customHeight="false" outlineLevel="0" collapsed="false">
      <c r="D16" s="0" t="s">
        <v>940</v>
      </c>
      <c r="E16" s="0" t="s">
        <v>149</v>
      </c>
      <c r="F16" s="22" t="n">
        <f aca="false">SUM(Funding!$J$56:$BJ$56)</f>
        <v>5.80746561951173E-012</v>
      </c>
    </row>
    <row r="17" customFormat="false" ht="15" hidden="false" customHeight="false" outlineLevel="0" collapsed="false">
      <c r="D17" s="0" t="s">
        <v>899</v>
      </c>
      <c r="E17" s="0" t="s">
        <v>202</v>
      </c>
      <c r="F17" s="22" t="n">
        <f aca="false">Ratios!$F$16</f>
        <v>0.13044488649608</v>
      </c>
    </row>
    <row r="18" customFormat="false" ht="15" hidden="false" customHeight="false" outlineLevel="0" collapsed="false">
      <c r="D18" s="0" t="s">
        <v>941</v>
      </c>
      <c r="E18" s="0" t="s">
        <v>202</v>
      </c>
      <c r="F18" s="22" t="n">
        <f aca="false">Ratios!$F$17</f>
        <v>1.53886123283354</v>
      </c>
    </row>
    <row r="19" customFormat="false" ht="15" hidden="false" customHeight="false" outlineLevel="0" collapsed="false">
      <c r="D19" s="0" t="s">
        <v>942</v>
      </c>
      <c r="E19" s="0" t="s">
        <v>202</v>
      </c>
      <c r="F19" s="22" t="n">
        <f aca="false">Ratios!$F$18</f>
        <v>1.41517949605862</v>
      </c>
    </row>
    <row r="20" customFormat="false" ht="15" hidden="false" customHeight="false" outlineLevel="0" collapsed="false">
      <c r="D20" s="0" t="s">
        <v>902</v>
      </c>
      <c r="E20" s="0" t="s">
        <v>202</v>
      </c>
      <c r="F20" s="22" t="n">
        <f aca="false">Ratios!$F$19</f>
        <v>1.85578848445451</v>
      </c>
    </row>
    <row r="21" customFormat="false" ht="15" hidden="false" customHeight="false" outlineLevel="0" collapsed="false">
      <c r="D21" s="0" t="s">
        <v>943</v>
      </c>
      <c r="E21" s="0" t="s">
        <v>103</v>
      </c>
      <c r="F21" s="20" t="n">
        <f aca="false">Returns!$F$12</f>
        <v>0.132017513723027</v>
      </c>
    </row>
    <row r="22" customFormat="false" ht="15" hidden="false" customHeight="false" outlineLevel="0" collapsed="false">
      <c r="D22" s="0" t="s">
        <v>944</v>
      </c>
      <c r="E22" s="0" t="s">
        <v>103</v>
      </c>
      <c r="F22" s="20" t="n">
        <f aca="false">Returns!$F$13</f>
        <v>0.109064432927485</v>
      </c>
    </row>
    <row r="23" customFormat="false" ht="15" hidden="false" customHeight="false" outlineLevel="0" collapsed="false">
      <c r="D23" s="0" t="s">
        <v>945</v>
      </c>
      <c r="E23" s="0" t="s">
        <v>149</v>
      </c>
      <c r="F23" s="22" t="n">
        <f aca="false">Returns!$F$15</f>
        <v>-44.4643200177929</v>
      </c>
    </row>
    <row r="24" customFormat="false" ht="15" hidden="false" customHeight="false" outlineLevel="0" collapsed="false">
      <c r="D24" s="0" t="s">
        <v>946</v>
      </c>
      <c r="E24" s="0" t="s">
        <v>917</v>
      </c>
      <c r="F24" s="22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2026-10-03T21:28:06Z</dcterms:created>
  <dc:creator>openpyxl</dc:creator>
  <dc:description/>
  <dc:language>en-US</dc:language>
  <cp:lastModifiedBy/>
  <dcterms:modified xsi:type="dcterms:W3CDTF">2026-10-03T21:28:06Z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