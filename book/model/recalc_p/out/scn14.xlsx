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<sst xmlns="http://schemas.openxmlformats.org/spreadsheetml/2006/main" count="2466" uniqueCount="947">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</sst>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3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2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2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53661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7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8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57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44531</v>
      </c>
      <c r="K28" s="9" t="n">
        <f aca="false">MAX(K22,$F$8)</f>
        <v>44531</v>
      </c>
      <c r="L28" s="9" t="n">
        <f aca="false">MAX(L22,$F$8)</f>
        <v>44531</v>
      </c>
      <c r="M28" s="9" t="n">
        <f aca="false">MAX(M22,$F$8)</f>
        <v>44531</v>
      </c>
      <c r="N28" s="9" t="n">
        <f aca="false">MAX(N22,$F$8)</f>
        <v>44531</v>
      </c>
      <c r="O28" s="9" t="n">
        <f aca="false">MAX(O22,$F$8)</f>
        <v>44531</v>
      </c>
      <c r="P28" s="9" t="n">
        <f aca="false">MAX(P22,$F$8)</f>
        <v>44531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53508</v>
      </c>
      <c r="BN29" s="9" t="n">
        <f aca="false">MIN(BN23,$F$10)</f>
        <v>53661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0</v>
      </c>
      <c r="P30" s="10" t="n">
        <f aca="false">IF(P29&gt;=P28,(YEAR(P29)-YEAR(P28))*12+MONTH(P29)-MONTH(P28)+1,0)</f>
        <v>1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6</v>
      </c>
      <c r="BN30" s="10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0</v>
      </c>
      <c r="P31" s="10" t="n">
        <f aca="false">IF(P29&gt;=P28,P29-P28+1,0)</f>
        <v>31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181</v>
      </c>
      <c r="BN31" s="10" t="n">
        <f aca="false">IF(BN29&gt;=BN28,BN29-BN28+1,0)</f>
        <v>153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0</v>
      </c>
      <c r="Q32" s="10" t="n">
        <f aca="false">MIN(MAX((YEAR(Q22)-YEAR($F$8))*12+MONTH(Q22)-MONTH($F$8),0),$F$9)</f>
        <v>1</v>
      </c>
      <c r="R32" s="10" t="n">
        <f aca="false">MIN(MAX((YEAR(R22)-YEAR($F$8))*12+MONTH(R22)-MONTH($F$8),0),$F$9)</f>
        <v>7</v>
      </c>
      <c r="S32" s="10" t="n">
        <f aca="false">MIN(MAX((YEAR(S22)-YEAR($F$8))*12+MONTH(S22)-MONTH($F$8),0),$F$9)</f>
        <v>13</v>
      </c>
      <c r="T32" s="10" t="n">
        <f aca="false">MIN(MAX((YEAR(T22)-YEAR($F$8))*12+MONTH(T22)-MONTH($F$8),0),$F$9)</f>
        <v>19</v>
      </c>
      <c r="U32" s="10" t="n">
        <f aca="false">MIN(MAX((YEAR(U22)-YEAR($F$8))*12+MONTH(U22)-MONTH($F$8),0),$F$9)</f>
        <v>25</v>
      </c>
      <c r="V32" s="10" t="n">
        <f aca="false">MIN(MAX((YEAR(V22)-YEAR($F$8))*12+MONTH(V22)-MONTH($F$8),0),$F$9)</f>
        <v>31</v>
      </c>
      <c r="W32" s="10" t="n">
        <f aca="false">MIN(MAX((YEAR(W22)-YEAR($F$8))*12+MONTH(W22)-MONTH($F$8),0),$F$9)</f>
        <v>37</v>
      </c>
      <c r="X32" s="10" t="n">
        <f aca="false">MIN(MAX((YEAR(X22)-YEAR($F$8))*12+MONTH(X22)-MONTH($F$8),0),$F$9)</f>
        <v>43</v>
      </c>
      <c r="Y32" s="10" t="n">
        <f aca="false">MIN(MAX((YEAR(Y22)-YEAR($F$8))*12+MONTH(Y22)-MONTH($F$8),0),$F$9)</f>
        <v>49</v>
      </c>
      <c r="Z32" s="10" t="n">
        <f aca="false">MIN(MAX((YEAR(Z22)-YEAR($F$8))*12+MONTH(Z22)-MONTH($F$8),0),$F$9)</f>
        <v>55</v>
      </c>
      <c r="AA32" s="10" t="n">
        <f aca="false">MIN(MAX((YEAR(AA22)-YEAR($F$8))*12+MONTH(AA22)-MONTH($F$8),0),$F$9)</f>
        <v>61</v>
      </c>
      <c r="AB32" s="10" t="n">
        <f aca="false">MIN(MAX((YEAR(AB22)-YEAR($F$8))*12+MONTH(AB22)-MONTH($F$8),0),$F$9)</f>
        <v>67</v>
      </c>
      <c r="AC32" s="10" t="n">
        <f aca="false">MIN(MAX((YEAR(AC22)-YEAR($F$8))*12+MONTH(AC22)-MONTH($F$8),0),$F$9)</f>
        <v>73</v>
      </c>
      <c r="AD32" s="10" t="n">
        <f aca="false">MIN(MAX((YEAR(AD22)-YEAR($F$8))*12+MONTH(AD22)-MONTH($F$8),0),$F$9)</f>
        <v>79</v>
      </c>
      <c r="AE32" s="10" t="n">
        <f aca="false">MIN(MAX((YEAR(AE22)-YEAR($F$8))*12+MONTH(AE22)-MONTH($F$8),0),$F$9)</f>
        <v>85</v>
      </c>
      <c r="AF32" s="10" t="n">
        <f aca="false">MIN(MAX((YEAR(AF22)-YEAR($F$8))*12+MONTH(AF22)-MONTH($F$8),0),$F$9)</f>
        <v>91</v>
      </c>
      <c r="AG32" s="10" t="n">
        <f aca="false">MIN(MAX((YEAR(AG22)-YEAR($F$8))*12+MONTH(AG22)-MONTH($F$8),0),$F$9)</f>
        <v>97</v>
      </c>
      <c r="AH32" s="10" t="n">
        <f aca="false">MIN(MAX((YEAR(AH22)-YEAR($F$8))*12+MONTH(AH22)-MONTH($F$8),0),$F$9)</f>
        <v>103</v>
      </c>
      <c r="AI32" s="10" t="n">
        <f aca="false">MIN(MAX((YEAR(AI22)-YEAR($F$8))*12+MONTH(AI22)-MONTH($F$8),0),$F$9)</f>
        <v>109</v>
      </c>
      <c r="AJ32" s="10" t="n">
        <f aca="false">MIN(MAX((YEAR(AJ22)-YEAR($F$8))*12+MONTH(AJ22)-MONTH($F$8),0),$F$9)</f>
        <v>115</v>
      </c>
      <c r="AK32" s="10" t="n">
        <f aca="false">MIN(MAX((YEAR(AK22)-YEAR($F$8))*12+MONTH(AK22)-MONTH($F$8),0),$F$9)</f>
        <v>121</v>
      </c>
      <c r="AL32" s="10" t="n">
        <f aca="false">MIN(MAX((YEAR(AL22)-YEAR($F$8))*12+MONTH(AL22)-MONTH($F$8),0),$F$9)</f>
        <v>127</v>
      </c>
      <c r="AM32" s="10" t="n">
        <f aca="false">MIN(MAX((YEAR(AM22)-YEAR($F$8))*12+MONTH(AM22)-MONTH($F$8),0),$F$9)</f>
        <v>133</v>
      </c>
      <c r="AN32" s="10" t="n">
        <f aca="false">MIN(MAX((YEAR(AN22)-YEAR($F$8))*12+MONTH(AN22)-MONTH($F$8),0),$F$9)</f>
        <v>139</v>
      </c>
      <c r="AO32" s="10" t="n">
        <f aca="false">MIN(MAX((YEAR(AO22)-YEAR($F$8))*12+MONTH(AO22)-MONTH($F$8),0),$F$9)</f>
        <v>145</v>
      </c>
      <c r="AP32" s="10" t="n">
        <f aca="false">MIN(MAX((YEAR(AP22)-YEAR($F$8))*12+MONTH(AP22)-MONTH($F$8),0),$F$9)</f>
        <v>151</v>
      </c>
      <c r="AQ32" s="10" t="n">
        <f aca="false">MIN(MAX((YEAR(AQ22)-YEAR($F$8))*12+MONTH(AQ22)-MONTH($F$8),0),$F$9)</f>
        <v>157</v>
      </c>
      <c r="AR32" s="10" t="n">
        <f aca="false">MIN(MAX((YEAR(AR22)-YEAR($F$8))*12+MONTH(AR22)-MONTH($F$8),0),$F$9)</f>
        <v>163</v>
      </c>
      <c r="AS32" s="10" t="n">
        <f aca="false">MIN(MAX((YEAR(AS22)-YEAR($F$8))*12+MONTH(AS22)-MONTH($F$8),0),$F$9)</f>
        <v>169</v>
      </c>
      <c r="AT32" s="10" t="n">
        <f aca="false">MIN(MAX((YEAR(AT22)-YEAR($F$8))*12+MONTH(AT22)-MONTH($F$8),0),$F$9)</f>
        <v>175</v>
      </c>
      <c r="AU32" s="10" t="n">
        <f aca="false">MIN(MAX((YEAR(AU22)-YEAR($F$8))*12+MONTH(AU22)-MONTH($F$8),0),$F$9)</f>
        <v>181</v>
      </c>
      <c r="AV32" s="10" t="n">
        <f aca="false">MIN(MAX((YEAR(AV22)-YEAR($F$8))*12+MONTH(AV22)-MONTH($F$8),0),$F$9)</f>
        <v>187</v>
      </c>
      <c r="AW32" s="10" t="n">
        <f aca="false">MIN(MAX((YEAR(AW22)-YEAR($F$8))*12+MONTH(AW22)-MONTH($F$8),0),$F$9)</f>
        <v>193</v>
      </c>
      <c r="AX32" s="10" t="n">
        <f aca="false">MIN(MAX((YEAR(AX22)-YEAR($F$8))*12+MONTH(AX22)-MONTH($F$8),0),$F$9)</f>
        <v>199</v>
      </c>
      <c r="AY32" s="10" t="n">
        <f aca="false">MIN(MAX((YEAR(AY22)-YEAR($F$8))*12+MONTH(AY22)-MONTH($F$8),0),$F$9)</f>
        <v>205</v>
      </c>
      <c r="AZ32" s="10" t="n">
        <f aca="false">MIN(MAX((YEAR(AZ22)-YEAR($F$8))*12+MONTH(AZ22)-MONTH($F$8),0),$F$9)</f>
        <v>211</v>
      </c>
      <c r="BA32" s="10" t="n">
        <f aca="false">MIN(MAX((YEAR(BA22)-YEAR($F$8))*12+MONTH(BA22)-MONTH($F$8),0),$F$9)</f>
        <v>217</v>
      </c>
      <c r="BB32" s="10" t="n">
        <f aca="false">MIN(MAX((YEAR(BB22)-YEAR($F$8))*12+MONTH(BB22)-MONTH($F$8),0),$F$9)</f>
        <v>223</v>
      </c>
      <c r="BC32" s="10" t="n">
        <f aca="false">MIN(MAX((YEAR(BC22)-YEAR($F$8))*12+MONTH(BC22)-MONTH($F$8),0),$F$9)</f>
        <v>229</v>
      </c>
      <c r="BD32" s="10" t="n">
        <f aca="false">MIN(MAX((YEAR(BD22)-YEAR($F$8))*12+MONTH(BD22)-MONTH($F$8),0),$F$9)</f>
        <v>235</v>
      </c>
      <c r="BE32" s="10" t="n">
        <f aca="false">MIN(MAX((YEAR(BE22)-YEAR($F$8))*12+MONTH(BE22)-MONTH($F$8),0),$F$9)</f>
        <v>241</v>
      </c>
      <c r="BF32" s="10" t="n">
        <f aca="false">MIN(MAX((YEAR(BF22)-YEAR($F$8))*12+MONTH(BF22)-MONTH($F$8),0),$F$9)</f>
        <v>247</v>
      </c>
      <c r="BG32" s="10" t="n">
        <f aca="false">MIN(MAX((YEAR(BG22)-YEAR($F$8))*12+MONTH(BG22)-MONTH($F$8),0),$F$9)</f>
        <v>253</v>
      </c>
      <c r="BH32" s="10" t="n">
        <f aca="false">MIN(MAX((YEAR(BH22)-YEAR($F$8))*12+MONTH(BH22)-MONTH($F$8),0),$F$9)</f>
        <v>259</v>
      </c>
      <c r="BI32" s="10" t="n">
        <f aca="false">MIN(MAX((YEAR(BI22)-YEAR($F$8))*12+MONTH(BI22)-MONTH($F$8),0),$F$9)</f>
        <v>265</v>
      </c>
      <c r="BJ32" s="10" t="n">
        <f aca="false">MIN(MAX((YEAR(BJ22)-YEAR($F$8))*12+MONTH(BJ22)-MONTH($F$8),0),$F$9)</f>
        <v>271</v>
      </c>
      <c r="BK32" s="10" t="n">
        <f aca="false">MIN(MAX((YEAR(BK22)-YEAR($F$8))*12+MONTH(BK22)-MONTH($F$8),0),$F$9)</f>
        <v>277</v>
      </c>
      <c r="BL32" s="10" t="n">
        <f aca="false">MIN(MAX((YEAR(BL22)-YEAR($F$8))*12+MONTH(BL22)-MONTH($F$8),0),$F$9)</f>
        <v>283</v>
      </c>
      <c r="BM32" s="10" t="n">
        <f aca="false">MIN(MAX((YEAR(BM22)-YEAR($F$8))*12+MONTH(BM22)-MONTH($F$8),0),$F$9)</f>
        <v>289</v>
      </c>
      <c r="BN32" s="10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0</v>
      </c>
      <c r="P33" s="10" t="n">
        <f aca="false">P32+P30</f>
        <v>1</v>
      </c>
      <c r="Q33" s="10" t="n">
        <f aca="false">Q32+Q30</f>
        <v>7</v>
      </c>
      <c r="R33" s="10" t="n">
        <f aca="false">R32+R30</f>
        <v>13</v>
      </c>
      <c r="S33" s="10" t="n">
        <f aca="false">S32+S30</f>
        <v>19</v>
      </c>
      <c r="T33" s="10" t="n">
        <f aca="false">T32+T30</f>
        <v>25</v>
      </c>
      <c r="U33" s="10" t="n">
        <f aca="false">U32+U30</f>
        <v>31</v>
      </c>
      <c r="V33" s="10" t="n">
        <f aca="false">V32+V30</f>
        <v>37</v>
      </c>
      <c r="W33" s="10" t="n">
        <f aca="false">W32+W30</f>
        <v>43</v>
      </c>
      <c r="X33" s="10" t="n">
        <f aca="false">X32+X30</f>
        <v>49</v>
      </c>
      <c r="Y33" s="10" t="n">
        <f aca="false">Y32+Y30</f>
        <v>55</v>
      </c>
      <c r="Z33" s="10" t="n">
        <f aca="false">Z32+Z30</f>
        <v>61</v>
      </c>
      <c r="AA33" s="10" t="n">
        <f aca="false">AA32+AA30</f>
        <v>67</v>
      </c>
      <c r="AB33" s="10" t="n">
        <f aca="false">AB32+AB30</f>
        <v>73</v>
      </c>
      <c r="AC33" s="10" t="n">
        <f aca="false">AC32+AC30</f>
        <v>79</v>
      </c>
      <c r="AD33" s="10" t="n">
        <f aca="false">AD32+AD30</f>
        <v>85</v>
      </c>
      <c r="AE33" s="10" t="n">
        <f aca="false">AE32+AE30</f>
        <v>91</v>
      </c>
      <c r="AF33" s="10" t="n">
        <f aca="false">AF32+AF30</f>
        <v>97</v>
      </c>
      <c r="AG33" s="10" t="n">
        <f aca="false">AG32+AG30</f>
        <v>103</v>
      </c>
      <c r="AH33" s="10" t="n">
        <f aca="false">AH32+AH30</f>
        <v>109</v>
      </c>
      <c r="AI33" s="10" t="n">
        <f aca="false">AI32+AI30</f>
        <v>115</v>
      </c>
      <c r="AJ33" s="10" t="n">
        <f aca="false">AJ32+AJ30</f>
        <v>121</v>
      </c>
      <c r="AK33" s="10" t="n">
        <f aca="false">AK32+AK30</f>
        <v>127</v>
      </c>
      <c r="AL33" s="10" t="n">
        <f aca="false">AL32+AL30</f>
        <v>133</v>
      </c>
      <c r="AM33" s="10" t="n">
        <f aca="false">AM32+AM30</f>
        <v>139</v>
      </c>
      <c r="AN33" s="10" t="n">
        <f aca="false">AN32+AN30</f>
        <v>145</v>
      </c>
      <c r="AO33" s="10" t="n">
        <f aca="false">AO32+AO30</f>
        <v>151</v>
      </c>
      <c r="AP33" s="10" t="n">
        <f aca="false">AP32+AP30</f>
        <v>157</v>
      </c>
      <c r="AQ33" s="10" t="n">
        <f aca="false">AQ32+AQ30</f>
        <v>163</v>
      </c>
      <c r="AR33" s="10" t="n">
        <f aca="false">AR32+AR30</f>
        <v>169</v>
      </c>
      <c r="AS33" s="10" t="n">
        <f aca="false">AS32+AS30</f>
        <v>175</v>
      </c>
      <c r="AT33" s="10" t="n">
        <f aca="false">AT32+AT30</f>
        <v>181</v>
      </c>
      <c r="AU33" s="10" t="n">
        <f aca="false">AU32+AU30</f>
        <v>187</v>
      </c>
      <c r="AV33" s="10" t="n">
        <f aca="false">AV32+AV30</f>
        <v>193</v>
      </c>
      <c r="AW33" s="10" t="n">
        <f aca="false">AW32+AW30</f>
        <v>199</v>
      </c>
      <c r="AX33" s="10" t="n">
        <f aca="false">AX32+AX30</f>
        <v>205</v>
      </c>
      <c r="AY33" s="10" t="n">
        <f aca="false">AY32+AY30</f>
        <v>211</v>
      </c>
      <c r="AZ33" s="10" t="n">
        <f aca="false">AZ32+AZ30</f>
        <v>217</v>
      </c>
      <c r="BA33" s="10" t="n">
        <f aca="false">BA32+BA30</f>
        <v>223</v>
      </c>
      <c r="BB33" s="10" t="n">
        <f aca="false">BB32+BB30</f>
        <v>229</v>
      </c>
      <c r="BC33" s="10" t="n">
        <f aca="false">BC32+BC30</f>
        <v>235</v>
      </c>
      <c r="BD33" s="10" t="n">
        <f aca="false">BD32+BD30</f>
        <v>241</v>
      </c>
      <c r="BE33" s="10" t="n">
        <f aca="false">BE32+BE30</f>
        <v>247</v>
      </c>
      <c r="BF33" s="10" t="n">
        <f aca="false">BF32+BF30</f>
        <v>253</v>
      </c>
      <c r="BG33" s="10" t="n">
        <f aca="false">BG32+BG30</f>
        <v>259</v>
      </c>
      <c r="BH33" s="10" t="n">
        <f aca="false">BH32+BH30</f>
        <v>265</v>
      </c>
      <c r="BI33" s="10" t="n">
        <f aca="false">BI32+BI30</f>
        <v>271</v>
      </c>
      <c r="BJ33" s="10" t="n">
        <f aca="false">BJ32+BJ30</f>
        <v>277</v>
      </c>
      <c r="BK33" s="10" t="n">
        <f aca="false">BK32+BK30</f>
        <v>283</v>
      </c>
      <c r="BL33" s="10" t="n">
        <f aca="false">BL32+BL30</f>
        <v>289</v>
      </c>
      <c r="BM33" s="10" t="n">
        <f aca="false">BM32+BM30</f>
        <v>295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0</v>
      </c>
      <c r="P34" s="10" t="n">
        <f aca="false">IF(P20=$F$12,1,0)</f>
        <v>1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0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0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1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0</v>
      </c>
      <c r="BN37" s="10" t="n">
        <f aca="false">IF(AND(BN30&gt;0,BO30=0),1,0)</f>
        <v>1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1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0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1</v>
      </c>
      <c r="AR13" s="10" t="n">
        <f aca="false">IF(AR8&lt;=Time!$F$11,1,0)</f>
        <v>1</v>
      </c>
      <c r="AS13" s="10" t="n">
        <f aca="false">IF(AS8&lt;=Time!$F$11,1,0)</f>
        <v>1</v>
      </c>
      <c r="AT13" s="10" t="n">
        <f aca="false">IF(AT8&lt;=Time!$F$11,1,0)</f>
        <v>1</v>
      </c>
      <c r="AU13" s="10" t="n">
        <f aca="false">IF(AU8&lt;=Time!$F$11,1,0)</f>
        <v>1</v>
      </c>
      <c r="AV13" s="10" t="n">
        <f aca="false">IF(AV8&lt;=Time!$F$11,1,0)</f>
        <v>1</v>
      </c>
      <c r="AW13" s="10" t="n">
        <f aca="false">IF(AW8&lt;=Time!$F$11,1,0)</f>
        <v>1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1</v>
      </c>
      <c r="AT14" s="10" t="n">
        <f aca="false">IF(AT8&lt;=Time!$F$14,1,0)</f>
        <v>1</v>
      </c>
      <c r="AU14" s="10" t="n">
        <f aca="false">IF(AU8&lt;=Time!$F$14,1,0)</f>
        <v>1</v>
      </c>
      <c r="AV14" s="10" t="n">
        <f aca="false">IF(AV8&lt;=Time!$F$14,1,0)</f>
        <v>1</v>
      </c>
      <c r="AW14" s="10" t="n">
        <f aca="false">IF(AW8&lt;=Time!$F$14,1,0)</f>
        <v>1</v>
      </c>
      <c r="AX14" s="10" t="n">
        <f aca="false">IF(AX8&lt;=Time!$F$14,1,0)</f>
        <v>1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0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1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1</v>
      </c>
      <c r="S29" s="10" t="n">
        <f aca="false">INT(Time!S32/12)+1</f>
        <v>2</v>
      </c>
      <c r="T29" s="10" t="n">
        <f aca="false">INT(Time!T32/12)+1</f>
        <v>2</v>
      </c>
      <c r="U29" s="10" t="n">
        <f aca="false">INT(Time!U32/12)+1</f>
        <v>3</v>
      </c>
      <c r="V29" s="10" t="n">
        <f aca="false">INT(Time!V32/12)+1</f>
        <v>3</v>
      </c>
      <c r="W29" s="10" t="n">
        <f aca="false">INT(Time!W32/12)+1</f>
        <v>4</v>
      </c>
      <c r="X29" s="10" t="n">
        <f aca="false">INT(Time!X32/12)+1</f>
        <v>4</v>
      </c>
      <c r="Y29" s="10" t="n">
        <f aca="false">INT(Time!Y32/12)+1</f>
        <v>5</v>
      </c>
      <c r="Z29" s="10" t="n">
        <f aca="false">INT(Time!Z32/12)+1</f>
        <v>5</v>
      </c>
      <c r="AA29" s="10" t="n">
        <f aca="false">INT(Time!AA32/12)+1</f>
        <v>6</v>
      </c>
      <c r="AB29" s="10" t="n">
        <f aca="false">INT(Time!AB32/12)+1</f>
        <v>6</v>
      </c>
      <c r="AC29" s="10" t="n">
        <f aca="false">INT(Time!AC32/12)+1</f>
        <v>7</v>
      </c>
      <c r="AD29" s="10" t="n">
        <f aca="false">INT(Time!AD32/12)+1</f>
        <v>7</v>
      </c>
      <c r="AE29" s="10" t="n">
        <f aca="false">INT(Time!AE32/12)+1</f>
        <v>8</v>
      </c>
      <c r="AF29" s="10" t="n">
        <f aca="false">INT(Time!AF32/12)+1</f>
        <v>8</v>
      </c>
      <c r="AG29" s="10" t="n">
        <f aca="false">INT(Time!AG32/12)+1</f>
        <v>9</v>
      </c>
      <c r="AH29" s="10" t="n">
        <f aca="false">INT(Time!AH32/12)+1</f>
        <v>9</v>
      </c>
      <c r="AI29" s="10" t="n">
        <f aca="false">INT(Time!AI32/12)+1</f>
        <v>10</v>
      </c>
      <c r="AJ29" s="10" t="n">
        <f aca="false">INT(Time!AJ32/12)+1</f>
        <v>10</v>
      </c>
      <c r="AK29" s="10" t="n">
        <f aca="false">INT(Time!AK32/12)+1</f>
        <v>11</v>
      </c>
      <c r="AL29" s="10" t="n">
        <f aca="false">INT(Time!AL32/12)+1</f>
        <v>11</v>
      </c>
      <c r="AM29" s="10" t="n">
        <f aca="false">INT(Time!AM32/12)+1</f>
        <v>12</v>
      </c>
      <c r="AN29" s="10" t="n">
        <f aca="false">INT(Time!AN32/12)+1</f>
        <v>12</v>
      </c>
      <c r="AO29" s="10" t="n">
        <f aca="false">INT(Time!AO32/12)+1</f>
        <v>13</v>
      </c>
      <c r="AP29" s="10" t="n">
        <f aca="false">INT(Time!AP32/12)+1</f>
        <v>13</v>
      </c>
      <c r="AQ29" s="10" t="n">
        <f aca="false">INT(Time!AQ32/12)+1</f>
        <v>14</v>
      </c>
      <c r="AR29" s="10" t="n">
        <f aca="false">INT(Time!AR32/12)+1</f>
        <v>14</v>
      </c>
      <c r="AS29" s="10" t="n">
        <f aca="false">INT(Time!AS32/12)+1</f>
        <v>15</v>
      </c>
      <c r="AT29" s="10" t="n">
        <f aca="false">INT(Time!AT32/12)+1</f>
        <v>15</v>
      </c>
      <c r="AU29" s="10" t="n">
        <f aca="false">INT(Time!AU32/12)+1</f>
        <v>16</v>
      </c>
      <c r="AV29" s="10" t="n">
        <f aca="false">INT(Time!AV32/12)+1</f>
        <v>16</v>
      </c>
      <c r="AW29" s="10" t="n">
        <f aca="false">INT(Time!AW32/12)+1</f>
        <v>17</v>
      </c>
      <c r="AX29" s="10" t="n">
        <f aca="false">INT(Time!AX32/12)+1</f>
        <v>17</v>
      </c>
      <c r="AY29" s="10" t="n">
        <f aca="false">INT(Time!AY32/12)+1</f>
        <v>18</v>
      </c>
      <c r="AZ29" s="10" t="n">
        <f aca="false">INT(Time!AZ32/12)+1</f>
        <v>18</v>
      </c>
      <c r="BA29" s="10" t="n">
        <f aca="false">INT(Time!BA32/12)+1</f>
        <v>19</v>
      </c>
      <c r="BB29" s="10" t="n">
        <f aca="false">INT(Time!BB32/12)+1</f>
        <v>19</v>
      </c>
      <c r="BC29" s="10" t="n">
        <f aca="false">INT(Time!BC32/12)+1</f>
        <v>20</v>
      </c>
      <c r="BD29" s="10" t="n">
        <f aca="false">INT(Time!BD32/12)+1</f>
        <v>20</v>
      </c>
      <c r="BE29" s="10" t="n">
        <f aca="false">INT(Time!BE32/12)+1</f>
        <v>21</v>
      </c>
      <c r="BF29" s="10" t="n">
        <f aca="false">INT(Time!BF32/12)+1</f>
        <v>21</v>
      </c>
      <c r="BG29" s="10" t="n">
        <f aca="false">INT(Time!BG32/12)+1</f>
        <v>22</v>
      </c>
      <c r="BH29" s="10" t="n">
        <f aca="false">INT(Time!BH32/12)+1</f>
        <v>22</v>
      </c>
      <c r="BI29" s="10" t="n">
        <f aca="false">INT(Time!BI32/12)+1</f>
        <v>23</v>
      </c>
      <c r="BJ29" s="10" t="n">
        <f aca="false">INT(Time!BJ32/12)+1</f>
        <v>23</v>
      </c>
      <c r="BK29" s="10" t="n">
        <f aca="false">INT(Time!BK32/12)+1</f>
        <v>24</v>
      </c>
      <c r="BL29" s="10" t="n">
        <f aca="false">INT(Time!BL32/12)+1</f>
        <v>24</v>
      </c>
      <c r="BM29" s="10" t="n">
        <f aca="false">INT(Time!BM32/12)+1</f>
        <v>25</v>
      </c>
      <c r="BN29" s="10" t="n">
        <f aca="false">INT(Time!BN32/12)+1</f>
        <v>25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0</v>
      </c>
      <c r="P30" s="10" t="n">
        <f aca="false">MIN(Time!P33,P29*12)-Time!P32</f>
        <v>1</v>
      </c>
      <c r="Q30" s="10" t="n">
        <f aca="false">MIN(Time!Q33,Q29*12)-Time!Q32</f>
        <v>6</v>
      </c>
      <c r="R30" s="10" t="n">
        <f aca="false">MIN(Time!R33,R29*12)-Time!R32</f>
        <v>5</v>
      </c>
      <c r="S30" s="10" t="n">
        <f aca="false">MIN(Time!S33,S29*12)-Time!S32</f>
        <v>6</v>
      </c>
      <c r="T30" s="10" t="n">
        <f aca="false">MIN(Time!T33,T29*12)-Time!T32</f>
        <v>5</v>
      </c>
      <c r="U30" s="10" t="n">
        <f aca="false">MIN(Time!U33,U29*12)-Time!U32</f>
        <v>6</v>
      </c>
      <c r="V30" s="10" t="n">
        <f aca="false">MIN(Time!V33,V29*12)-Time!V32</f>
        <v>5</v>
      </c>
      <c r="W30" s="10" t="n">
        <f aca="false">MIN(Time!W33,W29*12)-Time!W32</f>
        <v>6</v>
      </c>
      <c r="X30" s="10" t="n">
        <f aca="false">MIN(Time!X33,X29*12)-Time!X32</f>
        <v>5</v>
      </c>
      <c r="Y30" s="10" t="n">
        <f aca="false">MIN(Time!Y33,Y29*12)-Time!Y32</f>
        <v>6</v>
      </c>
      <c r="Z30" s="10" t="n">
        <f aca="false">MIN(Time!Z33,Z29*12)-Time!Z32</f>
        <v>5</v>
      </c>
      <c r="AA30" s="10" t="n">
        <f aca="false">MIN(Time!AA33,AA29*12)-Time!AA32</f>
        <v>6</v>
      </c>
      <c r="AB30" s="10" t="n">
        <f aca="false">MIN(Time!AB33,AB29*12)-Time!AB32</f>
        <v>5</v>
      </c>
      <c r="AC30" s="10" t="n">
        <f aca="false">MIN(Time!AC33,AC29*12)-Time!AC32</f>
        <v>6</v>
      </c>
      <c r="AD30" s="10" t="n">
        <f aca="false">MIN(Time!AD33,AD29*12)-Time!AD32</f>
        <v>5</v>
      </c>
      <c r="AE30" s="10" t="n">
        <f aca="false">MIN(Time!AE33,AE29*12)-Time!AE32</f>
        <v>6</v>
      </c>
      <c r="AF30" s="10" t="n">
        <f aca="false">MIN(Time!AF33,AF29*12)-Time!AF32</f>
        <v>5</v>
      </c>
      <c r="AG30" s="10" t="n">
        <f aca="false">MIN(Time!AG33,AG29*12)-Time!AG32</f>
        <v>6</v>
      </c>
      <c r="AH30" s="10" t="n">
        <f aca="false">MIN(Time!AH33,AH29*12)-Time!AH32</f>
        <v>5</v>
      </c>
      <c r="AI30" s="10" t="n">
        <f aca="false">MIN(Time!AI33,AI29*12)-Time!AI32</f>
        <v>6</v>
      </c>
      <c r="AJ30" s="10" t="n">
        <f aca="false">MIN(Time!AJ33,AJ29*12)-Time!AJ32</f>
        <v>5</v>
      </c>
      <c r="AK30" s="10" t="n">
        <f aca="false">MIN(Time!AK33,AK29*12)-Time!AK32</f>
        <v>6</v>
      </c>
      <c r="AL30" s="10" t="n">
        <f aca="false">MIN(Time!AL33,AL29*12)-Time!AL32</f>
        <v>5</v>
      </c>
      <c r="AM30" s="10" t="n">
        <f aca="false">MIN(Time!AM33,AM29*12)-Time!AM32</f>
        <v>6</v>
      </c>
      <c r="AN30" s="10" t="n">
        <f aca="false">MIN(Time!AN33,AN29*12)-Time!AN32</f>
        <v>5</v>
      </c>
      <c r="AO30" s="10" t="n">
        <f aca="false">MIN(Time!AO33,AO29*12)-Time!AO32</f>
        <v>6</v>
      </c>
      <c r="AP30" s="10" t="n">
        <f aca="false">MIN(Time!AP33,AP29*12)-Time!AP32</f>
        <v>5</v>
      </c>
      <c r="AQ30" s="10" t="n">
        <f aca="false">MIN(Time!AQ33,AQ29*12)-Time!AQ32</f>
        <v>6</v>
      </c>
      <c r="AR30" s="10" t="n">
        <f aca="false">MIN(Time!AR33,AR29*12)-Time!AR32</f>
        <v>5</v>
      </c>
      <c r="AS30" s="10" t="n">
        <f aca="false">MIN(Time!AS33,AS29*12)-Time!AS32</f>
        <v>6</v>
      </c>
      <c r="AT30" s="10" t="n">
        <f aca="false">MIN(Time!AT33,AT29*12)-Time!AT32</f>
        <v>5</v>
      </c>
      <c r="AU30" s="10" t="n">
        <f aca="false">MIN(Time!AU33,AU29*12)-Time!AU32</f>
        <v>6</v>
      </c>
      <c r="AV30" s="10" t="n">
        <f aca="false">MIN(Time!AV33,AV29*12)-Time!AV32</f>
        <v>5</v>
      </c>
      <c r="AW30" s="10" t="n">
        <f aca="false">MIN(Time!AW33,AW29*12)-Time!AW32</f>
        <v>6</v>
      </c>
      <c r="AX30" s="10" t="n">
        <f aca="false">MIN(Time!AX33,AX29*12)-Time!AX32</f>
        <v>5</v>
      </c>
      <c r="AY30" s="10" t="n">
        <f aca="false">MIN(Time!AY33,AY29*12)-Time!AY32</f>
        <v>6</v>
      </c>
      <c r="AZ30" s="10" t="n">
        <f aca="false">MIN(Time!AZ33,AZ29*12)-Time!AZ32</f>
        <v>5</v>
      </c>
      <c r="BA30" s="10" t="n">
        <f aca="false">MIN(Time!BA33,BA29*12)-Time!BA32</f>
        <v>6</v>
      </c>
      <c r="BB30" s="10" t="n">
        <f aca="false">MIN(Time!BB33,BB29*12)-Time!BB32</f>
        <v>5</v>
      </c>
      <c r="BC30" s="10" t="n">
        <f aca="false">MIN(Time!BC33,BC29*12)-Time!BC32</f>
        <v>6</v>
      </c>
      <c r="BD30" s="10" t="n">
        <f aca="false">MIN(Time!BD33,BD29*12)-Time!BD32</f>
        <v>5</v>
      </c>
      <c r="BE30" s="10" t="n">
        <f aca="false">MIN(Time!BE33,BE29*12)-Time!BE32</f>
        <v>6</v>
      </c>
      <c r="BF30" s="10" t="n">
        <f aca="false">MIN(Time!BF33,BF29*12)-Time!BF32</f>
        <v>5</v>
      </c>
      <c r="BG30" s="10" t="n">
        <f aca="false">MIN(Time!BG33,BG29*12)-Time!BG32</f>
        <v>6</v>
      </c>
      <c r="BH30" s="10" t="n">
        <f aca="false">MIN(Time!BH33,BH29*12)-Time!BH32</f>
        <v>5</v>
      </c>
      <c r="BI30" s="10" t="n">
        <f aca="false">MIN(Time!BI33,BI29*12)-Time!BI32</f>
        <v>6</v>
      </c>
      <c r="BJ30" s="10" t="n">
        <f aca="false">MIN(Time!BJ33,BJ29*12)-Time!BJ32</f>
        <v>5</v>
      </c>
      <c r="BK30" s="10" t="n">
        <f aca="false">MIN(Time!BK33,BK29*12)-Time!BK32</f>
        <v>6</v>
      </c>
      <c r="BL30" s="10" t="n">
        <f aca="false">MIN(Time!BL33,BL29*12)-Time!BL32</f>
        <v>5</v>
      </c>
      <c r="BM30" s="10" t="n">
        <f aca="false">MIN(Time!BM33,BM29*12)-Time!BM32</f>
        <v>6</v>
      </c>
      <c r="BN30" s="10" t="n">
        <f aca="false">MIN(Time!BN33,BN29*12)-Time!BN32</f>
        <v>5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0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93.8</v>
      </c>
      <c r="R31" s="13" t="n">
        <f aca="false">IF(Time!R30&gt;0,(R30*INDEX(Inputs!$J$302:$Q$302,1,MOD(R29-1,Inputs!$F$220)+1)+(Time!R30-R30)*INDEX(Inputs!$J$302:$Q$302,1,MOD(R29,Inputs!$F$220)+1))/Time!R30,0)</f>
        <v>93.65</v>
      </c>
      <c r="S31" s="13" t="n">
        <f aca="false">IF(Time!S30&gt;0,(S30*INDEX(Inputs!$J$302:$Q$302,1,MOD(S29-1,Inputs!$F$220)+1)+(Time!S30-S30)*INDEX(Inputs!$J$302:$Q$302,1,MOD(S29,Inputs!$F$220)+1))/Time!S30,0)</f>
        <v>92.9</v>
      </c>
      <c r="T31" s="13" t="n">
        <f aca="false">IF(Time!T30&gt;0,(T30*INDEX(Inputs!$J$302:$Q$302,1,MOD(T29-1,Inputs!$F$220)+1)+(Time!T30-T30)*INDEX(Inputs!$J$302:$Q$302,1,MOD(T29,Inputs!$F$220)+1))/Time!T30,0)</f>
        <v>93.05</v>
      </c>
      <c r="U31" s="13" t="n">
        <f aca="false">IF(Time!U30&gt;0,(U30*INDEX(Inputs!$J$302:$Q$302,1,MOD(U29-1,Inputs!$F$220)+1)+(Time!U30-U30)*INDEX(Inputs!$J$302:$Q$302,1,MOD(U29,Inputs!$F$220)+1))/Time!U30,0)</f>
        <v>93.8</v>
      </c>
      <c r="V31" s="13" t="n">
        <f aca="false">IF(Time!V30&gt;0,(V30*INDEX(Inputs!$J$302:$Q$302,1,MOD(V29-1,Inputs!$F$220)+1)+(Time!V30-V30)*INDEX(Inputs!$J$302:$Q$302,1,MOD(V29,Inputs!$F$220)+1))/Time!V30,0)</f>
        <v>93.2666666666667</v>
      </c>
      <c r="W31" s="13" t="n">
        <f aca="false">IF(Time!W30&gt;0,(W30*INDEX(Inputs!$J$302:$Q$302,1,MOD(W29-1,Inputs!$F$220)+1)+(Time!W30-W30)*INDEX(Inputs!$J$302:$Q$302,1,MOD(W29,Inputs!$F$220)+1))/Time!W30,0)</f>
        <v>90.6</v>
      </c>
      <c r="X31" s="13" t="n">
        <f aca="false">IF(Time!X30&gt;0,(X30*INDEX(Inputs!$J$302:$Q$302,1,MOD(X29-1,Inputs!$F$220)+1)+(Time!X30-X30)*INDEX(Inputs!$J$302:$Q$302,1,MOD(X29,Inputs!$F$220)+1))/Time!X30,0)</f>
        <v>91.1333333333333</v>
      </c>
      <c r="Y31" s="13" t="n">
        <f aca="false">IF(Time!Y30&gt;0,(Y30*INDEX(Inputs!$J$302:$Q$302,1,MOD(Y29-1,Inputs!$F$220)+1)+(Time!Y30-Y30)*INDEX(Inputs!$J$302:$Q$302,1,MOD(Y29,Inputs!$F$220)+1))/Time!Y30,0)</f>
        <v>93.8</v>
      </c>
      <c r="Z31" s="13" t="n">
        <f aca="false">IF(Time!Z30&gt;0,(Z30*INDEX(Inputs!$J$302:$Q$302,1,MOD(Z29-1,Inputs!$F$220)+1)+(Time!Z30-Z30)*INDEX(Inputs!$J$302:$Q$302,1,MOD(Z29,Inputs!$F$220)+1))/Time!Z30,0)</f>
        <v>93.65</v>
      </c>
      <c r="AA31" s="13" t="n">
        <f aca="false">IF(Time!AA30&gt;0,(AA30*INDEX(Inputs!$J$302:$Q$302,1,MOD(AA29-1,Inputs!$F$220)+1)+(Time!AA30-AA30)*INDEX(Inputs!$J$302:$Q$302,1,MOD(AA29,Inputs!$F$220)+1))/Time!AA30,0)</f>
        <v>92.9</v>
      </c>
      <c r="AB31" s="13" t="n">
        <f aca="false">IF(Time!AB30&gt;0,(AB30*INDEX(Inputs!$J$302:$Q$302,1,MOD(AB29-1,Inputs!$F$220)+1)+(Time!AB30-AB30)*INDEX(Inputs!$J$302:$Q$302,1,MOD(AB29,Inputs!$F$220)+1))/Time!AB30,0)</f>
        <v>93.05</v>
      </c>
      <c r="AC31" s="13" t="n">
        <f aca="false">IF(Time!AC30&gt;0,(AC30*INDEX(Inputs!$J$302:$Q$302,1,MOD(AC29-1,Inputs!$F$220)+1)+(Time!AC30-AC30)*INDEX(Inputs!$J$302:$Q$302,1,MOD(AC29,Inputs!$F$220)+1))/Time!AC30,0)</f>
        <v>93.8</v>
      </c>
      <c r="AD31" s="13" t="n">
        <f aca="false">IF(Time!AD30&gt;0,(AD30*INDEX(Inputs!$J$302:$Q$302,1,MOD(AD29-1,Inputs!$F$220)+1)+(Time!AD30-AD30)*INDEX(Inputs!$J$302:$Q$302,1,MOD(AD29,Inputs!$F$220)+1))/Time!AD30,0)</f>
        <v>92.95</v>
      </c>
      <c r="AE31" s="13" t="n">
        <f aca="false">IF(Time!AE30&gt;0,(AE30*INDEX(Inputs!$J$302:$Q$302,1,MOD(AE29-1,Inputs!$F$220)+1)+(Time!AE30-AE30)*INDEX(Inputs!$J$302:$Q$302,1,MOD(AE29,Inputs!$F$220)+1))/Time!AE30,0)</f>
        <v>88.7</v>
      </c>
      <c r="AF31" s="13" t="n">
        <f aca="false">IF(Time!AF30&gt;0,(AF30*INDEX(Inputs!$J$302:$Q$302,1,MOD(AF29-1,Inputs!$F$220)+1)+(Time!AF30-AF30)*INDEX(Inputs!$J$302:$Q$302,1,MOD(AF29,Inputs!$F$220)+1))/Time!AF30,0)</f>
        <v>89.55</v>
      </c>
      <c r="AG31" s="13" t="n">
        <f aca="false">IF(Time!AG30&gt;0,(AG30*INDEX(Inputs!$J$302:$Q$302,1,MOD(AG29-1,Inputs!$F$220)+1)+(Time!AG30-AG30)*INDEX(Inputs!$J$302:$Q$302,1,MOD(AG29,Inputs!$F$220)+1))/Time!AG30,0)</f>
        <v>93.8</v>
      </c>
      <c r="AH31" s="13" t="n">
        <f aca="false">IF(Time!AH30&gt;0,(AH30*INDEX(Inputs!$J$302:$Q$302,1,MOD(AH29-1,Inputs!$F$220)+1)+(Time!AH30-AH30)*INDEX(Inputs!$J$302:$Q$302,1,MOD(AH29,Inputs!$F$220)+1))/Time!AH30,0)</f>
        <v>93.65</v>
      </c>
      <c r="AI31" s="13" t="n">
        <f aca="false">IF(Time!AI30&gt;0,(AI30*INDEX(Inputs!$J$302:$Q$302,1,MOD(AI29-1,Inputs!$F$220)+1)+(Time!AI30-AI30)*INDEX(Inputs!$J$302:$Q$302,1,MOD(AI29,Inputs!$F$220)+1))/Time!AI30,0)</f>
        <v>92.9</v>
      </c>
      <c r="AJ31" s="13" t="n">
        <f aca="false">IF(Time!AJ30&gt;0,(AJ30*INDEX(Inputs!$J$302:$Q$302,1,MOD(AJ29-1,Inputs!$F$220)+1)+(Time!AJ30-AJ30)*INDEX(Inputs!$J$302:$Q$302,1,MOD(AJ29,Inputs!$F$220)+1))/Time!AJ30,0)</f>
        <v>93.05</v>
      </c>
      <c r="AK31" s="13" t="n">
        <f aca="false">IF(Time!AK30&gt;0,(AK30*INDEX(Inputs!$J$302:$Q$302,1,MOD(AK29-1,Inputs!$F$220)+1)+(Time!AK30-AK30)*INDEX(Inputs!$J$302:$Q$302,1,MOD(AK29,Inputs!$F$220)+1))/Time!AK30,0)</f>
        <v>93.8</v>
      </c>
      <c r="AL31" s="13" t="n">
        <f aca="false">IF(Time!AL30&gt;0,(AL30*INDEX(Inputs!$J$302:$Q$302,1,MOD(AL29-1,Inputs!$F$220)+1)+(Time!AL30-AL30)*INDEX(Inputs!$J$302:$Q$302,1,MOD(AL29,Inputs!$F$220)+1))/Time!AL30,0)</f>
        <v>93.2666666666667</v>
      </c>
      <c r="AM31" s="13" t="n">
        <f aca="false">IF(Time!AM30&gt;0,(AM30*INDEX(Inputs!$J$302:$Q$302,1,MOD(AM29-1,Inputs!$F$220)+1)+(Time!AM30-AM30)*INDEX(Inputs!$J$302:$Q$302,1,MOD(AM29,Inputs!$F$220)+1))/Time!AM30,0)</f>
        <v>90.6</v>
      </c>
      <c r="AN31" s="13" t="n">
        <f aca="false">IF(Time!AN30&gt;0,(AN30*INDEX(Inputs!$J$302:$Q$302,1,MOD(AN29-1,Inputs!$F$220)+1)+(Time!AN30-AN30)*INDEX(Inputs!$J$302:$Q$302,1,MOD(AN29,Inputs!$F$220)+1))/Time!AN30,0)</f>
        <v>91.1333333333333</v>
      </c>
      <c r="AO31" s="13" t="n">
        <f aca="false">IF(Time!AO30&gt;0,(AO30*INDEX(Inputs!$J$302:$Q$302,1,MOD(AO29-1,Inputs!$F$220)+1)+(Time!AO30-AO30)*INDEX(Inputs!$J$302:$Q$302,1,MOD(AO29,Inputs!$F$220)+1))/Time!AO30,0)</f>
        <v>93.8</v>
      </c>
      <c r="AP31" s="13" t="n">
        <f aca="false">IF(Time!AP30&gt;0,(AP30*INDEX(Inputs!$J$302:$Q$302,1,MOD(AP29-1,Inputs!$F$220)+1)+(Time!AP30-AP30)*INDEX(Inputs!$J$302:$Q$302,1,MOD(AP29,Inputs!$F$220)+1))/Time!AP30,0)</f>
        <v>93.65</v>
      </c>
      <c r="AQ31" s="13" t="n">
        <f aca="false">IF(Time!AQ30&gt;0,(AQ30*INDEX(Inputs!$J$302:$Q$302,1,MOD(AQ29-1,Inputs!$F$220)+1)+(Time!AQ30-AQ30)*INDEX(Inputs!$J$302:$Q$302,1,MOD(AQ29,Inputs!$F$220)+1))/Time!AQ30,0)</f>
        <v>92.9</v>
      </c>
      <c r="AR31" s="13" t="n">
        <f aca="false">IF(Time!AR30&gt;0,(AR30*INDEX(Inputs!$J$302:$Q$302,1,MOD(AR29-1,Inputs!$F$220)+1)+(Time!AR30-AR30)*INDEX(Inputs!$J$302:$Q$302,1,MOD(AR29,Inputs!$F$220)+1))/Time!AR30,0)</f>
        <v>93.05</v>
      </c>
      <c r="AS31" s="13" t="n">
        <f aca="false">IF(Time!AS30&gt;0,(AS30*INDEX(Inputs!$J$302:$Q$302,1,MOD(AS29-1,Inputs!$F$220)+1)+(Time!AS30-AS30)*INDEX(Inputs!$J$302:$Q$302,1,MOD(AS29,Inputs!$F$220)+1))/Time!AS30,0)</f>
        <v>93.8</v>
      </c>
      <c r="AT31" s="13" t="n">
        <f aca="false">IF(Time!AT30&gt;0,(AT30*INDEX(Inputs!$J$302:$Q$302,1,MOD(AT29-1,Inputs!$F$220)+1)+(Time!AT30-AT30)*INDEX(Inputs!$J$302:$Q$302,1,MOD(AT29,Inputs!$F$220)+1))/Time!AT30,0)</f>
        <v>92.95</v>
      </c>
      <c r="AU31" s="13" t="n">
        <f aca="false">IF(Time!AU30&gt;0,(AU30*INDEX(Inputs!$J$302:$Q$302,1,MOD(AU29-1,Inputs!$F$220)+1)+(Time!AU30-AU30)*INDEX(Inputs!$J$302:$Q$302,1,MOD(AU29,Inputs!$F$220)+1))/Time!AU30,0)</f>
        <v>88.7</v>
      </c>
      <c r="AV31" s="13" t="n">
        <f aca="false">IF(Time!AV30&gt;0,(AV30*INDEX(Inputs!$J$302:$Q$302,1,MOD(AV29-1,Inputs!$F$220)+1)+(Time!AV30-AV30)*INDEX(Inputs!$J$302:$Q$302,1,MOD(AV29,Inputs!$F$220)+1))/Time!AV30,0)</f>
        <v>89.55</v>
      </c>
      <c r="AW31" s="13" t="n">
        <f aca="false">IF(Time!AW30&gt;0,(AW30*INDEX(Inputs!$J$302:$Q$302,1,MOD(AW29-1,Inputs!$F$220)+1)+(Time!AW30-AW30)*INDEX(Inputs!$J$302:$Q$302,1,MOD(AW29,Inputs!$F$220)+1))/Time!AW30,0)</f>
        <v>93.8</v>
      </c>
      <c r="AX31" s="13" t="n">
        <f aca="false">IF(Time!AX30&gt;0,(AX30*INDEX(Inputs!$J$302:$Q$302,1,MOD(AX29-1,Inputs!$F$220)+1)+(Time!AX30-AX30)*INDEX(Inputs!$J$302:$Q$302,1,MOD(AX29,Inputs!$F$220)+1))/Time!AX30,0)</f>
        <v>93.65</v>
      </c>
      <c r="AY31" s="13" t="n">
        <f aca="false">IF(Time!AY30&gt;0,(AY30*INDEX(Inputs!$J$302:$Q$302,1,MOD(AY29-1,Inputs!$F$220)+1)+(Time!AY30-AY30)*INDEX(Inputs!$J$302:$Q$302,1,MOD(AY29,Inputs!$F$220)+1))/Time!AY30,0)</f>
        <v>92.9</v>
      </c>
      <c r="AZ31" s="13" t="n">
        <f aca="false">IF(Time!AZ30&gt;0,(AZ30*INDEX(Inputs!$J$302:$Q$302,1,MOD(AZ29-1,Inputs!$F$220)+1)+(Time!AZ30-AZ30)*INDEX(Inputs!$J$302:$Q$302,1,MOD(AZ29,Inputs!$F$220)+1))/Time!AZ30,0)</f>
        <v>93.05</v>
      </c>
      <c r="BA31" s="13" t="n">
        <f aca="false">IF(Time!BA30&gt;0,(BA30*INDEX(Inputs!$J$302:$Q$302,1,MOD(BA29-1,Inputs!$F$220)+1)+(Time!BA30-BA30)*INDEX(Inputs!$J$302:$Q$302,1,MOD(BA29,Inputs!$F$220)+1))/Time!BA30,0)</f>
        <v>93.8</v>
      </c>
      <c r="BB31" s="13" t="n">
        <f aca="false">IF(Time!BB30&gt;0,(BB30*INDEX(Inputs!$J$302:$Q$302,1,MOD(BB29-1,Inputs!$F$220)+1)+(Time!BB30-BB30)*INDEX(Inputs!$J$302:$Q$302,1,MOD(BB29,Inputs!$F$220)+1))/Time!BB30,0)</f>
        <v>93.2666666666667</v>
      </c>
      <c r="BC31" s="13" t="n">
        <f aca="false">IF(Time!BC30&gt;0,(BC30*INDEX(Inputs!$J$302:$Q$302,1,MOD(BC29-1,Inputs!$F$220)+1)+(Time!BC30-BC30)*INDEX(Inputs!$J$302:$Q$302,1,MOD(BC29,Inputs!$F$220)+1))/Time!BC30,0)</f>
        <v>90.6</v>
      </c>
      <c r="BD31" s="13" t="n">
        <f aca="false">IF(Time!BD30&gt;0,(BD30*INDEX(Inputs!$J$302:$Q$302,1,MOD(BD29-1,Inputs!$F$220)+1)+(Time!BD30-BD30)*INDEX(Inputs!$J$302:$Q$302,1,MOD(BD29,Inputs!$F$220)+1))/Time!BD30,0)</f>
        <v>91.1333333333333</v>
      </c>
      <c r="BE31" s="13" t="n">
        <f aca="false">IF(Time!BE30&gt;0,(BE30*INDEX(Inputs!$J$302:$Q$302,1,MOD(BE29-1,Inputs!$F$220)+1)+(Time!BE30-BE30)*INDEX(Inputs!$J$302:$Q$302,1,MOD(BE29,Inputs!$F$220)+1))/Time!BE30,0)</f>
        <v>93.8</v>
      </c>
      <c r="BF31" s="13" t="n">
        <f aca="false">IF(Time!BF30&gt;0,(BF30*INDEX(Inputs!$J$302:$Q$302,1,MOD(BF29-1,Inputs!$F$220)+1)+(Time!BF30-BF30)*INDEX(Inputs!$J$302:$Q$302,1,MOD(BF29,Inputs!$F$220)+1))/Time!BF30,0)</f>
        <v>93.65</v>
      </c>
      <c r="BG31" s="13" t="n">
        <f aca="false">IF(Time!BG30&gt;0,(BG30*INDEX(Inputs!$J$302:$Q$302,1,MOD(BG29-1,Inputs!$F$220)+1)+(Time!BG30-BG30)*INDEX(Inputs!$J$302:$Q$302,1,MOD(BG29,Inputs!$F$220)+1))/Time!BG30,0)</f>
        <v>92.9</v>
      </c>
      <c r="BH31" s="13" t="n">
        <f aca="false">IF(Time!BH30&gt;0,(BH30*INDEX(Inputs!$J$302:$Q$302,1,MOD(BH29-1,Inputs!$F$220)+1)+(Time!BH30-BH30)*INDEX(Inputs!$J$302:$Q$302,1,MOD(BH29,Inputs!$F$220)+1))/Time!BH30,0)</f>
        <v>93.05</v>
      </c>
      <c r="BI31" s="13" t="n">
        <f aca="false">IF(Time!BI30&gt;0,(BI30*INDEX(Inputs!$J$302:$Q$302,1,MOD(BI29-1,Inputs!$F$220)+1)+(Time!BI30-BI30)*INDEX(Inputs!$J$302:$Q$302,1,MOD(BI29,Inputs!$F$220)+1))/Time!BI30,0)</f>
        <v>93.8</v>
      </c>
      <c r="BJ31" s="13" t="n">
        <f aca="false">IF(Time!BJ30&gt;0,(BJ30*INDEX(Inputs!$J$302:$Q$302,1,MOD(BJ29-1,Inputs!$F$220)+1)+(Time!BJ30-BJ30)*INDEX(Inputs!$J$302:$Q$302,1,MOD(BJ29,Inputs!$F$220)+1))/Time!BJ30,0)</f>
        <v>92.95</v>
      </c>
      <c r="BK31" s="13" t="n">
        <f aca="false">IF(Time!BK30&gt;0,(BK30*INDEX(Inputs!$J$302:$Q$302,1,MOD(BK29-1,Inputs!$F$220)+1)+(Time!BK30-BK30)*INDEX(Inputs!$J$302:$Q$302,1,MOD(BK29,Inputs!$F$220)+1))/Time!BK30,0)</f>
        <v>88.7</v>
      </c>
      <c r="BL31" s="13" t="n">
        <f aca="false">IF(Time!BL30&gt;0,(BL30*INDEX(Inputs!$J$302:$Q$302,1,MOD(BL29-1,Inputs!$F$220)+1)+(Time!BL30-BL30)*INDEX(Inputs!$J$302:$Q$302,1,MOD(BL29,Inputs!$F$220)+1))/Time!BL30,0)</f>
        <v>89.55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93.8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6482.022624</v>
      </c>
      <c r="K39" s="13" t="n">
        <f aca="false">$F$35*(1+Inputs!$F$127/100*K33)*(1+Inputs!$F$128/100)*(1+Inputs!$F$122/100)*Inputs!$F$39</f>
        <v>6482.022624</v>
      </c>
      <c r="L39" s="13" t="n">
        <f aca="false">$F$35*(1+Inputs!$F$127/100*L33)*(1+Inputs!$F$128/100)*(1+Inputs!$F$122/100)*Inputs!$F$39</f>
        <v>6482.022624</v>
      </c>
      <c r="M39" s="13" t="n">
        <f aca="false">$F$35*(1+Inputs!$F$127/100*M33)*(1+Inputs!$F$128/100)*(1+Inputs!$F$122/100)*Inputs!$F$39</f>
        <v>6482.022624</v>
      </c>
      <c r="N39" s="13" t="n">
        <f aca="false">$F$35*(1+Inputs!$F$127/100*N33)*(1+Inputs!$F$128/100)*(1+Inputs!$F$122/100)*Inputs!$F$39</f>
        <v>6482.022624</v>
      </c>
      <c r="O39" s="13" t="n">
        <f aca="false">$F$35*(1+Inputs!$F$127/100*O33)*(1+Inputs!$F$128/100)*(1+Inputs!$F$122/100)*Inputs!$F$39</f>
        <v>6482.022624</v>
      </c>
      <c r="P39" s="13" t="n">
        <f aca="false">$F$35*(1+Inputs!$F$127/100*P33)*(1+Inputs!$F$128/100)*(1+Inputs!$F$122/100)*Inputs!$F$39</f>
        <v>6482.3467251312</v>
      </c>
      <c r="Q39" s="13" t="n">
        <f aca="false">$F$35*(1+Inputs!$F$127/100*Q33)*(1+Inputs!$F$128/100)*(1+Inputs!$F$122/100)*Inputs!$F$39</f>
        <v>6484.6154330496</v>
      </c>
      <c r="R39" s="13" t="n">
        <f aca="false">$F$35*(1+Inputs!$F$127/100*R33)*(1+Inputs!$F$128/100)*(1+Inputs!$F$122/100)*Inputs!$F$39</f>
        <v>6488.504646624</v>
      </c>
      <c r="S39" s="13" t="n">
        <f aca="false">$F$35*(1+Inputs!$F$127/100*S33)*(1+Inputs!$F$128/100)*(1+Inputs!$F$122/100)*Inputs!$F$39</f>
        <v>6492.3938601984</v>
      </c>
      <c r="T39" s="13" t="n">
        <f aca="false">$F$35*(1+Inputs!$F$127/100*T33)*(1+Inputs!$F$128/100)*(1+Inputs!$F$122/100)*Inputs!$F$39</f>
        <v>6496.2830737728</v>
      </c>
      <c r="U39" s="13" t="n">
        <f aca="false">$F$35*(1+Inputs!$F$127/100*U33)*(1+Inputs!$F$128/100)*(1+Inputs!$F$122/100)*Inputs!$F$39</f>
        <v>6500.1722873472</v>
      </c>
      <c r="V39" s="13" t="n">
        <f aca="false">$F$35*(1+Inputs!$F$127/100*V33)*(1+Inputs!$F$128/100)*(1+Inputs!$F$122/100)*Inputs!$F$39</f>
        <v>6504.0615009216</v>
      </c>
      <c r="W39" s="13" t="n">
        <f aca="false">$F$35*(1+Inputs!$F$127/100*W33)*(1+Inputs!$F$128/100)*(1+Inputs!$F$122/100)*Inputs!$F$39</f>
        <v>6507.950714496</v>
      </c>
      <c r="X39" s="13" t="n">
        <f aca="false">$F$35*(1+Inputs!$F$127/100*X33)*(1+Inputs!$F$128/100)*(1+Inputs!$F$122/100)*Inputs!$F$39</f>
        <v>6511.8399280704</v>
      </c>
      <c r="Y39" s="13" t="n">
        <f aca="false">$F$35*(1+Inputs!$F$127/100*Y33)*(1+Inputs!$F$128/100)*(1+Inputs!$F$122/100)*Inputs!$F$39</f>
        <v>6515.7291416448</v>
      </c>
      <c r="Z39" s="13" t="n">
        <f aca="false">$F$35*(1+Inputs!$F$127/100*Z33)*(1+Inputs!$F$128/100)*(1+Inputs!$F$122/100)*Inputs!$F$39</f>
        <v>6519.6183552192</v>
      </c>
      <c r="AA39" s="13" t="n">
        <f aca="false">$F$35*(1+Inputs!$F$127/100*AA33)*(1+Inputs!$F$128/100)*(1+Inputs!$F$122/100)*Inputs!$F$39</f>
        <v>6523.5075687936</v>
      </c>
      <c r="AB39" s="13" t="n">
        <f aca="false">$F$35*(1+Inputs!$F$127/100*AB33)*(1+Inputs!$F$128/100)*(1+Inputs!$F$122/100)*Inputs!$F$39</f>
        <v>6527.396782368</v>
      </c>
      <c r="AC39" s="13" t="n">
        <f aca="false">$F$35*(1+Inputs!$F$127/100*AC33)*(1+Inputs!$F$128/100)*(1+Inputs!$F$122/100)*Inputs!$F$39</f>
        <v>6531.2859959424</v>
      </c>
      <c r="AD39" s="13" t="n">
        <f aca="false">$F$35*(1+Inputs!$F$127/100*AD33)*(1+Inputs!$F$128/100)*(1+Inputs!$F$122/100)*Inputs!$F$39</f>
        <v>6535.1752095168</v>
      </c>
      <c r="AE39" s="13" t="n">
        <f aca="false">$F$35*(1+Inputs!$F$127/100*AE33)*(1+Inputs!$F$128/100)*(1+Inputs!$F$122/100)*Inputs!$F$39</f>
        <v>6539.0644230912</v>
      </c>
      <c r="AF39" s="13" t="n">
        <f aca="false">$F$35*(1+Inputs!$F$127/100*AF33)*(1+Inputs!$F$128/100)*(1+Inputs!$F$122/100)*Inputs!$F$39</f>
        <v>6542.9536366656</v>
      </c>
      <c r="AG39" s="13" t="n">
        <f aca="false">$F$35*(1+Inputs!$F$127/100*AG33)*(1+Inputs!$F$128/100)*(1+Inputs!$F$122/100)*Inputs!$F$39</f>
        <v>6546.84285024</v>
      </c>
      <c r="AH39" s="13" t="n">
        <f aca="false">$F$35*(1+Inputs!$F$127/100*AH33)*(1+Inputs!$F$128/100)*(1+Inputs!$F$122/100)*Inputs!$F$39</f>
        <v>6550.7320638144</v>
      </c>
      <c r="AI39" s="13" t="n">
        <f aca="false">$F$35*(1+Inputs!$F$127/100*AI33)*(1+Inputs!$F$128/100)*(1+Inputs!$F$122/100)*Inputs!$F$39</f>
        <v>6554.6212773888</v>
      </c>
      <c r="AJ39" s="13" t="n">
        <f aca="false">$F$35*(1+Inputs!$F$127/100*AJ33)*(1+Inputs!$F$128/100)*(1+Inputs!$F$122/100)*Inputs!$F$39</f>
        <v>6558.5104909632</v>
      </c>
      <c r="AK39" s="13" t="n">
        <f aca="false">$F$35*(1+Inputs!$F$127/100*AK33)*(1+Inputs!$F$128/100)*(1+Inputs!$F$122/100)*Inputs!$F$39</f>
        <v>6562.3997045376</v>
      </c>
      <c r="AL39" s="13" t="n">
        <f aca="false">$F$35*(1+Inputs!$F$127/100*AL33)*(1+Inputs!$F$128/100)*(1+Inputs!$F$122/100)*Inputs!$F$39</f>
        <v>6566.288918112</v>
      </c>
      <c r="AM39" s="13" t="n">
        <f aca="false">$F$35*(1+Inputs!$F$127/100*AM33)*(1+Inputs!$F$128/100)*(1+Inputs!$F$122/100)*Inputs!$F$39</f>
        <v>6570.1781316864</v>
      </c>
      <c r="AN39" s="13" t="n">
        <f aca="false">$F$35*(1+Inputs!$F$127/100*AN33)*(1+Inputs!$F$128/100)*(1+Inputs!$F$122/100)*Inputs!$F$39</f>
        <v>6574.0673452608</v>
      </c>
      <c r="AO39" s="13" t="n">
        <f aca="false">$F$35*(1+Inputs!$F$127/100*AO33)*(1+Inputs!$F$128/100)*(1+Inputs!$F$122/100)*Inputs!$F$39</f>
        <v>6577.9565588352</v>
      </c>
      <c r="AP39" s="13" t="n">
        <f aca="false">$F$35*(1+Inputs!$F$127/100*AP33)*(1+Inputs!$F$128/100)*(1+Inputs!$F$122/100)*Inputs!$F$39</f>
        <v>6581.8457724096</v>
      </c>
      <c r="AQ39" s="13" t="n">
        <f aca="false">$F$35*(1+Inputs!$F$127/100*AQ33)*(1+Inputs!$F$128/100)*(1+Inputs!$F$122/100)*Inputs!$F$39</f>
        <v>6585.734985984</v>
      </c>
      <c r="AR39" s="13" t="n">
        <f aca="false">$F$35*(1+Inputs!$F$127/100*AR33)*(1+Inputs!$F$128/100)*(1+Inputs!$F$122/100)*Inputs!$F$39</f>
        <v>6589.6241995584</v>
      </c>
      <c r="AS39" s="13" t="n">
        <f aca="false">$F$35*(1+Inputs!$F$127/100*AS33)*(1+Inputs!$F$128/100)*(1+Inputs!$F$122/100)*Inputs!$F$39</f>
        <v>6593.5134131328</v>
      </c>
      <c r="AT39" s="13" t="n">
        <f aca="false">$F$35*(1+Inputs!$F$127/100*AT33)*(1+Inputs!$F$128/100)*(1+Inputs!$F$122/100)*Inputs!$F$39</f>
        <v>6597.4026267072</v>
      </c>
      <c r="AU39" s="13" t="n">
        <f aca="false">$F$35*(1+Inputs!$F$127/100*AU33)*(1+Inputs!$F$128/100)*(1+Inputs!$F$122/100)*Inputs!$F$39</f>
        <v>6601.2918402816</v>
      </c>
      <c r="AV39" s="13" t="n">
        <f aca="false">$F$35*(1+Inputs!$F$127/100*AV33)*(1+Inputs!$F$128/100)*(1+Inputs!$F$122/100)*Inputs!$F$39</f>
        <v>6605.181053856</v>
      </c>
      <c r="AW39" s="13" t="n">
        <f aca="false">$F$35*(1+Inputs!$F$127/100*AW33)*(1+Inputs!$F$128/100)*(1+Inputs!$F$122/100)*Inputs!$F$39</f>
        <v>6609.0702674304</v>
      </c>
      <c r="AX39" s="13" t="n">
        <f aca="false">$F$35*(1+Inputs!$F$127/100*AX33)*(1+Inputs!$F$128/100)*(1+Inputs!$F$122/100)*Inputs!$F$39</f>
        <v>6612.9594810048</v>
      </c>
      <c r="AY39" s="13" t="n">
        <f aca="false">$F$35*(1+Inputs!$F$127/100*AY33)*(1+Inputs!$F$128/100)*(1+Inputs!$F$122/100)*Inputs!$F$39</f>
        <v>6616.8486945792</v>
      </c>
      <c r="AZ39" s="13" t="n">
        <f aca="false">$F$35*(1+Inputs!$F$127/100*AZ33)*(1+Inputs!$F$128/100)*(1+Inputs!$F$122/100)*Inputs!$F$39</f>
        <v>6620.7379081536</v>
      </c>
      <c r="BA39" s="13" t="n">
        <f aca="false">$F$35*(1+Inputs!$F$127/100*BA33)*(1+Inputs!$F$128/100)*(1+Inputs!$F$122/100)*Inputs!$F$39</f>
        <v>6624.627121728</v>
      </c>
      <c r="BB39" s="13" t="n">
        <f aca="false">$F$35*(1+Inputs!$F$127/100*BB33)*(1+Inputs!$F$128/100)*(1+Inputs!$F$122/100)*Inputs!$F$39</f>
        <v>6628.5163353024</v>
      </c>
      <c r="BC39" s="13" t="n">
        <f aca="false">$F$35*(1+Inputs!$F$127/100*BC33)*(1+Inputs!$F$128/100)*(1+Inputs!$F$122/100)*Inputs!$F$39</f>
        <v>6632.4055488768</v>
      </c>
      <c r="BD39" s="13" t="n">
        <f aca="false">$F$35*(1+Inputs!$F$127/100*BD33)*(1+Inputs!$F$128/100)*(1+Inputs!$F$122/100)*Inputs!$F$39</f>
        <v>6636.2947624512</v>
      </c>
      <c r="BE39" s="13" t="n">
        <f aca="false">$F$35*(1+Inputs!$F$127/100*BE33)*(1+Inputs!$F$128/100)*(1+Inputs!$F$122/100)*Inputs!$F$39</f>
        <v>6640.1839760256</v>
      </c>
      <c r="BF39" s="13" t="n">
        <f aca="false">$F$35*(1+Inputs!$F$127/100*BF33)*(1+Inputs!$F$128/100)*(1+Inputs!$F$122/100)*Inputs!$F$39</f>
        <v>6644.0731896</v>
      </c>
      <c r="BG39" s="13" t="n">
        <f aca="false">$F$35*(1+Inputs!$F$127/100*BG33)*(1+Inputs!$F$128/100)*(1+Inputs!$F$122/100)*Inputs!$F$39</f>
        <v>6647.9624031744</v>
      </c>
      <c r="BH39" s="13" t="n">
        <f aca="false">$F$35*(1+Inputs!$F$127/100*BH33)*(1+Inputs!$F$128/100)*(1+Inputs!$F$122/100)*Inputs!$F$39</f>
        <v>6651.8516167488</v>
      </c>
      <c r="BI39" s="13" t="n">
        <f aca="false">$F$35*(1+Inputs!$F$127/100*BI33)*(1+Inputs!$F$128/100)*(1+Inputs!$F$122/100)*Inputs!$F$39</f>
        <v>6655.7408303232</v>
      </c>
      <c r="BJ39" s="13" t="n">
        <f aca="false">$F$35*(1+Inputs!$F$127/100*BJ33)*(1+Inputs!$F$128/100)*(1+Inputs!$F$122/100)*Inputs!$F$39</f>
        <v>6659.6300438976</v>
      </c>
      <c r="BK39" s="13" t="n">
        <f aca="false">$F$35*(1+Inputs!$F$127/100*BK33)*(1+Inputs!$F$128/100)*(1+Inputs!$F$122/100)*Inputs!$F$39</f>
        <v>6663.519257472</v>
      </c>
      <c r="BL39" s="13" t="n">
        <f aca="false">$F$35*(1+Inputs!$F$127/100*BL33)*(1+Inputs!$F$128/100)*(1+Inputs!$F$122/100)*Inputs!$F$39</f>
        <v>6667.4084710464</v>
      </c>
      <c r="BM39" s="13" t="n">
        <f aca="false">$F$35*(1+Inputs!$F$127/100*BM33)*(1+Inputs!$F$128/100)*(1+Inputs!$F$122/100)*Inputs!$F$39</f>
        <v>6671.2976846208</v>
      </c>
      <c r="BN39" s="13" t="n">
        <f aca="false">$F$35*(1+Inputs!$F$127/100*BN33)*(1+Inputs!$F$128/100)*(1+Inputs!$F$122/100)*Inputs!$F$39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0</v>
      </c>
      <c r="Q77" s="10" t="n">
        <f aca="false">INT((Time!Q33-Inputs!$F$221)/12)+1</f>
        <v>1</v>
      </c>
      <c r="R77" s="10" t="n">
        <f aca="false">INT((Time!R33-Inputs!$F$221)/12)+1</f>
        <v>1</v>
      </c>
      <c r="S77" s="10" t="n">
        <f aca="false">INT((Time!S33-Inputs!$F$221)/12)+1</f>
        <v>2</v>
      </c>
      <c r="T77" s="10" t="n">
        <f aca="false">INT((Time!T33-Inputs!$F$221)/12)+1</f>
        <v>2</v>
      </c>
      <c r="U77" s="10" t="n">
        <f aca="false">INT((Time!U33-Inputs!$F$221)/12)+1</f>
        <v>3</v>
      </c>
      <c r="V77" s="10" t="n">
        <f aca="false">INT((Time!V33-Inputs!$F$221)/12)+1</f>
        <v>3</v>
      </c>
      <c r="W77" s="10" t="n">
        <f aca="false">INT((Time!W33-Inputs!$F$221)/12)+1</f>
        <v>4</v>
      </c>
      <c r="X77" s="10" t="n">
        <f aca="false">INT((Time!X33-Inputs!$F$221)/12)+1</f>
        <v>4</v>
      </c>
      <c r="Y77" s="10" t="n">
        <f aca="false">INT((Time!Y33-Inputs!$F$221)/12)+1</f>
        <v>5</v>
      </c>
      <c r="Z77" s="10" t="n">
        <f aca="false">INT((Time!Z33-Inputs!$F$221)/12)+1</f>
        <v>5</v>
      </c>
      <c r="AA77" s="10" t="n">
        <f aca="false">INT((Time!AA33-Inputs!$F$221)/12)+1</f>
        <v>6</v>
      </c>
      <c r="AB77" s="10" t="n">
        <f aca="false">INT((Time!AB33-Inputs!$F$221)/12)+1</f>
        <v>6</v>
      </c>
      <c r="AC77" s="10" t="n">
        <f aca="false">INT((Time!AC33-Inputs!$F$221)/12)+1</f>
        <v>7</v>
      </c>
      <c r="AD77" s="10" t="n">
        <f aca="false">INT((Time!AD33-Inputs!$F$221)/12)+1</f>
        <v>7</v>
      </c>
      <c r="AE77" s="10" t="n">
        <f aca="false">INT((Time!AE33-Inputs!$F$221)/12)+1</f>
        <v>8</v>
      </c>
      <c r="AF77" s="10" t="n">
        <f aca="false">INT((Time!AF33-Inputs!$F$221)/12)+1</f>
        <v>8</v>
      </c>
      <c r="AG77" s="10" t="n">
        <f aca="false">INT((Time!AG33-Inputs!$F$221)/12)+1</f>
        <v>9</v>
      </c>
      <c r="AH77" s="10" t="n">
        <f aca="false">INT((Time!AH33-Inputs!$F$221)/12)+1</f>
        <v>9</v>
      </c>
      <c r="AI77" s="10" t="n">
        <f aca="false">INT((Time!AI33-Inputs!$F$221)/12)+1</f>
        <v>10</v>
      </c>
      <c r="AJ77" s="10" t="n">
        <f aca="false">INT((Time!AJ33-Inputs!$F$221)/12)+1</f>
        <v>10</v>
      </c>
      <c r="AK77" s="10" t="n">
        <f aca="false">INT((Time!AK33-Inputs!$F$221)/12)+1</f>
        <v>11</v>
      </c>
      <c r="AL77" s="10" t="n">
        <f aca="false">INT((Time!AL33-Inputs!$F$221)/12)+1</f>
        <v>11</v>
      </c>
      <c r="AM77" s="10" t="n">
        <f aca="false">INT((Time!AM33-Inputs!$F$221)/12)+1</f>
        <v>12</v>
      </c>
      <c r="AN77" s="10" t="n">
        <f aca="false">INT((Time!AN33-Inputs!$F$221)/12)+1</f>
        <v>12</v>
      </c>
      <c r="AO77" s="10" t="n">
        <f aca="false">INT((Time!AO33-Inputs!$F$221)/12)+1</f>
        <v>13</v>
      </c>
      <c r="AP77" s="10" t="n">
        <f aca="false">INT((Time!AP33-Inputs!$F$221)/12)+1</f>
        <v>13</v>
      </c>
      <c r="AQ77" s="10" t="n">
        <f aca="false">INT((Time!AQ33-Inputs!$F$221)/12)+1</f>
        <v>14</v>
      </c>
      <c r="AR77" s="10" t="n">
        <f aca="false">INT((Time!AR33-Inputs!$F$221)/12)+1</f>
        <v>14</v>
      </c>
      <c r="AS77" s="10" t="n">
        <f aca="false">INT((Time!AS33-Inputs!$F$221)/12)+1</f>
        <v>15</v>
      </c>
      <c r="AT77" s="10" t="n">
        <f aca="false">INT((Time!AT33-Inputs!$F$221)/12)+1</f>
        <v>15</v>
      </c>
      <c r="AU77" s="10" t="n">
        <f aca="false">INT((Time!AU33-Inputs!$F$221)/12)+1</f>
        <v>16</v>
      </c>
      <c r="AV77" s="10" t="n">
        <f aca="false">INT((Time!AV33-Inputs!$F$221)/12)+1</f>
        <v>16</v>
      </c>
      <c r="AW77" s="10" t="n">
        <f aca="false">INT((Time!AW33-Inputs!$F$221)/12)+1</f>
        <v>17</v>
      </c>
      <c r="AX77" s="10" t="n">
        <f aca="false">INT((Time!AX33-Inputs!$F$221)/12)+1</f>
        <v>17</v>
      </c>
      <c r="AY77" s="10" t="n">
        <f aca="false">INT((Time!AY33-Inputs!$F$221)/12)+1</f>
        <v>18</v>
      </c>
      <c r="AZ77" s="10" t="n">
        <f aca="false">INT((Time!AZ33-Inputs!$F$221)/12)+1</f>
        <v>18</v>
      </c>
      <c r="BA77" s="10" t="n">
        <f aca="false">INT((Time!BA33-Inputs!$F$221)/12)+1</f>
        <v>19</v>
      </c>
      <c r="BB77" s="10" t="n">
        <f aca="false">INT((Time!BB33-Inputs!$F$221)/12)+1</f>
        <v>19</v>
      </c>
      <c r="BC77" s="10" t="n">
        <f aca="false">INT((Time!BC33-Inputs!$F$221)/12)+1</f>
        <v>20</v>
      </c>
      <c r="BD77" s="10" t="n">
        <f aca="false">INT((Time!BD33-Inputs!$F$221)/12)+1</f>
        <v>20</v>
      </c>
      <c r="BE77" s="10" t="n">
        <f aca="false">INT((Time!BE33-Inputs!$F$221)/12)+1</f>
        <v>21</v>
      </c>
      <c r="BF77" s="10" t="n">
        <f aca="false">INT((Time!BF33-Inputs!$F$221)/12)+1</f>
        <v>21</v>
      </c>
      <c r="BG77" s="10" t="n">
        <f aca="false">INT((Time!BG33-Inputs!$F$221)/12)+1</f>
        <v>22</v>
      </c>
      <c r="BH77" s="10" t="n">
        <f aca="false">INT((Time!BH33-Inputs!$F$221)/12)+1</f>
        <v>22</v>
      </c>
      <c r="BI77" s="10" t="n">
        <f aca="false">INT((Time!BI33-Inputs!$F$221)/12)+1</f>
        <v>23</v>
      </c>
      <c r="BJ77" s="10" t="n">
        <f aca="false">INT((Time!BJ33-Inputs!$F$221)/12)+1</f>
        <v>23</v>
      </c>
      <c r="BK77" s="10" t="n">
        <f aca="false">INT((Time!BK33-Inputs!$F$221)/12)+1</f>
        <v>24</v>
      </c>
      <c r="BL77" s="10" t="n">
        <f aca="false">INT((Time!BL33-Inputs!$F$221)/12)+1</f>
        <v>24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0</v>
      </c>
      <c r="BB80" s="10" t="n">
        <f aca="false">MAX(0,MIN(Time!BB33,Time!$F$9)-MAX(Time!BB32,(Inputs!$F$227-1)*12))</f>
        <v>1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6</v>
      </c>
      <c r="BN80" s="10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0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0</v>
      </c>
      <c r="P7" s="10" t="n">
        <f aca="false">MAX(0,MIN(Time!P33,Inputs!$F$228*12)-MIN(Time!P32,Inputs!$F$228*12))</f>
        <v>1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6</v>
      </c>
      <c r="Z7" s="10" t="n">
        <f aca="false">MAX(0,MIN(Time!Z33,Inputs!$F$228*12)-MIN(Time!Z32,Inputs!$F$228*12))</f>
        <v>5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0</v>
      </c>
      <c r="Z8" s="10" t="n">
        <f aca="false">MAX(0,MIN(Time!Z33,Inputs!$F$229*12)-MIN(MAX(Time!Z32,Inputs!$F$228*12),Inputs!$F$229*12))</f>
        <v>1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6</v>
      </c>
      <c r="AF8" s="10" t="n">
        <f aca="false">MAX(0,MIN(Time!AF33,Inputs!$F$229*12)-MIN(MAX(Time!AF32,Inputs!$F$228*12),Inputs!$F$229*12))</f>
        <v>5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0</v>
      </c>
      <c r="AF9" s="10" t="n">
        <f aca="false">Time!AF30-AF7-AF8</f>
        <v>1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6</v>
      </c>
      <c r="BN9" s="10" t="n">
        <f aca="false">Time!BN30-BN7-BN8</f>
        <v>5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250.333036949758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1.6979473955217</v>
      </c>
      <c r="Q13" s="13" t="n">
        <f aca="false">IF(Time!Q20&gt;=Time!$F$12,Waterfall!Q33*Inputs!$F$104/100*Time!Q31/Inputs!$F$248,0)</f>
        <v>9.99381149399795</v>
      </c>
      <c r="R13" s="13" t="n">
        <f aca="false">IF(Time!R20&gt;=Time!$F$12,Waterfall!R33*Inputs!$F$104/100*Time!R31/Inputs!$F$248,0)</f>
        <v>10.4560611684257</v>
      </c>
      <c r="S13" s="13" t="n">
        <f aca="false">IF(Time!S20&gt;=Time!$F$12,Waterfall!S33*Inputs!$F$104/100*Time!S31/Inputs!$F$248,0)</f>
        <v>10.1961467122068</v>
      </c>
      <c r="T13" s="13" t="n">
        <f aca="false">IF(Time!T20&gt;=Time!$F$12,Waterfall!T33*Inputs!$F$104/100*Time!T31/Inputs!$F$248,0)</f>
        <v>10.2951011347097</v>
      </c>
      <c r="U13" s="13" t="n">
        <f aca="false">IF(Time!U20&gt;=Time!$F$12,Waterfall!U33*Inputs!$F$104/100*Time!U31/Inputs!$F$248,0)</f>
        <v>10.0791009251376</v>
      </c>
      <c r="V13" s="13" t="n">
        <f aca="false">IF(Time!V20&gt;=Time!$F$12,Waterfall!V33*Inputs!$F$104/100*Time!V31/Inputs!$F$248,0)</f>
        <v>10.1073325312852</v>
      </c>
      <c r="W13" s="13" t="n">
        <f aca="false">IF(Time!W20&gt;=Time!$F$12,Waterfall!W33*Inputs!$F$104/100*Time!W31/Inputs!$F$248,0)</f>
        <v>9.85076021565752</v>
      </c>
      <c r="X13" s="13" t="n">
        <f aca="false">IF(Time!X20&gt;=Time!$F$12,Waterfall!X33*Inputs!$F$104/100*Time!X31/Inputs!$F$248,0)</f>
        <v>9.91579313656605</v>
      </c>
      <c r="Y13" s="13" t="n">
        <f aca="false">IF(Time!Y20&gt;=Time!$F$12,Waterfall!Y33*Inputs!$F$104/100*Time!Y31/Inputs!$F$248,0)</f>
        <v>9.5430385199602</v>
      </c>
      <c r="Z13" s="13" t="n">
        <f aca="false">IF(Time!Z20&gt;=Time!$F$12,Waterfall!Z33*Inputs!$F$104/100*Time!Z31/Inputs!$F$248,0)</f>
        <v>9.61079859185935</v>
      </c>
      <c r="AA13" s="13" t="n">
        <f aca="false">IF(Time!AA20&gt;=Time!$F$12,Waterfall!AA33*Inputs!$F$104/100*Time!AA31/Inputs!$F$248,0)</f>
        <v>9.31982063025754</v>
      </c>
      <c r="AB13" s="13" t="n">
        <f aca="false">IF(Time!AB20&gt;=Time!$F$12,Waterfall!AB33*Inputs!$F$104/100*Time!AB31/Inputs!$F$248,0)</f>
        <v>9.64824521624525</v>
      </c>
      <c r="AC13" s="13" t="n">
        <f aca="false">IF(Time!AC20&gt;=Time!$F$12,Waterfall!AC33*Inputs!$F$104/100*Time!AC31/Inputs!$F$248,0)</f>
        <v>9.68313250138345</v>
      </c>
      <c r="AD13" s="13" t="n">
        <f aca="false">IF(Time!AD20&gt;=Time!$F$12,Waterfall!AD33*Inputs!$F$104/100*Time!AD31/Inputs!$F$248,0)</f>
        <v>9.92956074273588</v>
      </c>
      <c r="AE13" s="13" t="n">
        <f aca="false">IF(Time!AE20&gt;=Time!$F$12,Waterfall!AE33*Inputs!$F$104/100*Time!AE31/Inputs!$F$248,0)</f>
        <v>9.907719691879</v>
      </c>
      <c r="AF13" s="13" t="n">
        <f aca="false">IF(Time!AF20&gt;=Time!$F$12,Waterfall!AF33*Inputs!$F$104/100*Time!AF31/Inputs!$F$248,0)</f>
        <v>10.1743891711104</v>
      </c>
      <c r="AG13" s="13" t="n">
        <f aca="false">IF(Time!AG20&gt;=Time!$F$12,Waterfall!AG33*Inputs!$F$104/100*Time!AG31/Inputs!$F$248,0)</f>
        <v>10.0612982671741</v>
      </c>
      <c r="AH13" s="13" t="n">
        <f aca="false">IF(Time!AH20&gt;=Time!$F$12,Waterfall!AH33*Inputs!$F$104/100*Time!AH31/Inputs!$F$248,0)</f>
        <v>10.268904983696</v>
      </c>
      <c r="AI13" s="13" t="n">
        <f aca="false">IF(Time!AI20&gt;=Time!$F$12,Waterfall!AI33*Inputs!$F$104/100*Time!AI31/Inputs!$F$248,0)</f>
        <v>10.0926909063633</v>
      </c>
      <c r="AJ13" s="13" t="n">
        <f aca="false">IF(Time!AJ20&gt;=Time!$F$12,Waterfall!AJ33*Inputs!$F$104/100*Time!AJ31/Inputs!$F$248,0)</f>
        <v>10.2080150880224</v>
      </c>
      <c r="AK13" s="13" t="n">
        <f aca="false">IF(Time!AK20&gt;=Time!$F$12,Waterfall!AK33*Inputs!$F$104/100*Time!AK31/Inputs!$F$248,0)</f>
        <v>9.97087607685912</v>
      </c>
      <c r="AL13" s="13" t="n">
        <f aca="false">IF(Time!AL20&gt;=Time!$F$12,Waterfall!AL33*Inputs!$F$104/100*Time!AL31/Inputs!$F$248,0)</f>
        <v>9.47176790961201</v>
      </c>
      <c r="AM13" s="13" t="n">
        <f aca="false">IF(Time!AM20&gt;=Time!$F$12,Waterfall!AM33*Inputs!$F$104/100*Time!AM31/Inputs!$F$248,0)</f>
        <v>8.37940058844179</v>
      </c>
      <c r="AN13" s="13" t="n">
        <f aca="false">IF(Time!AN20&gt;=Time!$F$12,Waterfall!AN33*Inputs!$F$104/100*Time!AN31/Inputs!$F$248,0)</f>
        <v>7.60133645812827</v>
      </c>
      <c r="AO13" s="13" t="n">
        <f aca="false">IF(Time!AO20&gt;=Time!$F$12,Waterfall!AO33*Inputs!$F$104/100*Time!AO31/Inputs!$F$248,0)</f>
        <v>6.4535295530153</v>
      </c>
      <c r="AP13" s="13" t="n">
        <f aca="false">IF(Time!AP20&gt;=Time!$F$12,Waterfall!AP33*Inputs!$F$104/100*Time!AP31/Inputs!$F$248,0)</f>
        <v>4.48701192163752</v>
      </c>
      <c r="AQ13" s="13" t="n">
        <f aca="false">IF(Time!AQ20&gt;=Time!$F$12,Waterfall!AQ33*Inputs!$F$104/100*Time!AQ31/Inputs!$F$248,0)</f>
        <v>2.37608104846675</v>
      </c>
      <c r="AR13" s="13" t="n">
        <f aca="false">IF(Time!AR20&gt;=Time!$F$12,Waterfall!AR33*Inputs!$F$104/100*Time!AR31/Inputs!$F$248,0)</f>
        <v>0.553364369402284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0.643572107237769</v>
      </c>
      <c r="Q14" s="6" t="n">
        <f aca="false">IF(Waterfall!Q33&gt;0,MIN(1,Inputs!$F$183*(Waterfall!$F$32+MAX(0,Waterfall!P43))/Waterfall!Q33),1)</f>
        <v>0.70353755070596</v>
      </c>
      <c r="R14" s="6" t="n">
        <f aca="false">IF(Waterfall!R33&gt;0,MIN(1,Inputs!$F$183*(Waterfall!$F$32+MAX(0,Waterfall!Q43))/Waterfall!R33),1)</f>
        <v>0.766369626613008</v>
      </c>
      <c r="S14" s="6" t="n">
        <f aca="false">IF(Waterfall!S33&gt;0,MIN(1,Inputs!$F$183*(Waterfall!$F$32+MAX(0,Waterfall!R43))/Waterfall!S33),1)</f>
        <v>0.868855540963165</v>
      </c>
      <c r="T14" s="6" t="n">
        <f aca="false">IF(Waterfall!T33&gt;0,MIN(1,Inputs!$F$183*(Waterfall!$F$32+MAX(0,Waterfall!S43))/Waterfall!T33),1)</f>
        <v>0.988254466339661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242.864108227574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1.09275158331478</v>
      </c>
      <c r="Q15" s="13" t="n">
        <f aca="false">Q13*Q14</f>
        <v>7.03102166070439</v>
      </c>
      <c r="R15" s="13" t="n">
        <f aca="false">R13*R14</f>
        <v>8.01320769348919</v>
      </c>
      <c r="S15" s="13" t="n">
        <f aca="false">S13*S14</f>
        <v>8.85897856737426</v>
      </c>
      <c r="T15" s="13" t="n">
        <f aca="false">T13*T14</f>
        <v>10.1741796777954</v>
      </c>
      <c r="U15" s="13" t="n">
        <f aca="false">U13*U14</f>
        <v>10.0791009251376</v>
      </c>
      <c r="V15" s="13" t="n">
        <f aca="false">V13*V14</f>
        <v>10.1073325312852</v>
      </c>
      <c r="W15" s="13" t="n">
        <f aca="false">W13*W14</f>
        <v>9.85076021565752</v>
      </c>
      <c r="X15" s="13" t="n">
        <f aca="false">X13*X14</f>
        <v>9.91579313656605</v>
      </c>
      <c r="Y15" s="13" t="n">
        <f aca="false">Y13*Y14</f>
        <v>9.5430385199602</v>
      </c>
      <c r="Z15" s="13" t="n">
        <f aca="false">Z13*Z14</f>
        <v>9.61079859185935</v>
      </c>
      <c r="AA15" s="13" t="n">
        <f aca="false">AA13*AA14</f>
        <v>9.31982063025754</v>
      </c>
      <c r="AB15" s="13" t="n">
        <f aca="false">AB13*AB14</f>
        <v>9.64824521624525</v>
      </c>
      <c r="AC15" s="13" t="n">
        <f aca="false">AC13*AC14</f>
        <v>9.68313250138345</v>
      </c>
      <c r="AD15" s="13" t="n">
        <f aca="false">AD13*AD14</f>
        <v>9.92956074273588</v>
      </c>
      <c r="AE15" s="13" t="n">
        <f aca="false">AE13*AE14</f>
        <v>9.907719691879</v>
      </c>
      <c r="AF15" s="13" t="n">
        <f aca="false">AF13*AF14</f>
        <v>10.1743891711104</v>
      </c>
      <c r="AG15" s="13" t="n">
        <f aca="false">AG13*AG14</f>
        <v>10.0612982671741</v>
      </c>
      <c r="AH15" s="13" t="n">
        <f aca="false">AH13*AH14</f>
        <v>10.268904983696</v>
      </c>
      <c r="AI15" s="13" t="n">
        <f aca="false">AI13*AI14</f>
        <v>10.0926909063633</v>
      </c>
      <c r="AJ15" s="13" t="n">
        <f aca="false">AJ13*AJ14</f>
        <v>10.2080150880224</v>
      </c>
      <c r="AK15" s="13" t="n">
        <f aca="false">AK13*AK14</f>
        <v>9.97087607685912</v>
      </c>
      <c r="AL15" s="13" t="n">
        <f aca="false">AL13*AL14</f>
        <v>9.47176790961201</v>
      </c>
      <c r="AM15" s="13" t="n">
        <f aca="false">AM13*AM14</f>
        <v>8.37940058844179</v>
      </c>
      <c r="AN15" s="13" t="n">
        <f aca="false">AN13*AN14</f>
        <v>7.60133645812827</v>
      </c>
      <c r="AO15" s="13" t="n">
        <f aca="false">AO13*AO14</f>
        <v>6.4535295530153</v>
      </c>
      <c r="AP15" s="13" t="n">
        <f aca="false">AP13*AP14</f>
        <v>4.48701192163752</v>
      </c>
      <c r="AQ15" s="13" t="n">
        <f aca="false">AQ13*AQ14</f>
        <v>2.37608104846675</v>
      </c>
      <c r="AR15" s="13" t="n">
        <f aca="false">AR13*AR14</f>
        <v>0.553364369402284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302.630726454092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22.0061203716644</v>
      </c>
      <c r="R16" s="13" t="n">
        <f aca="false">Debt!R112+Debt!R110+Debt!R104-Debt!R103</f>
        <v>21.0421802681244</v>
      </c>
      <c r="S16" s="13" t="n">
        <f aca="false">Debt!S112+Debt!S110+Debt!S104-Debt!S103</f>
        <v>20.2538788335356</v>
      </c>
      <c r="T16" s="13" t="n">
        <f aca="false">Debt!T112+Debt!T110+Debt!T104-Debt!T103</f>
        <v>19.8799968742446</v>
      </c>
      <c r="U16" s="13" t="n">
        <f aca="false">Debt!U112+Debt!U110+Debt!U104-Debt!U103</f>
        <v>19.1177901727144</v>
      </c>
      <c r="V16" s="13" t="n">
        <f aca="false">Debt!V112+Debt!V110+Debt!V104-Debt!V103</f>
        <v>18.6161046964792</v>
      </c>
      <c r="W16" s="13" t="n">
        <f aca="false">Debt!W112+Debt!W110+Debt!W104-Debt!W103</f>
        <v>17.7519033219577</v>
      </c>
      <c r="X16" s="13" t="n">
        <f aca="false">Debt!X112+Debt!X110+Debt!X104-Debt!X103</f>
        <v>17.2393002612855</v>
      </c>
      <c r="Y16" s="13" t="n">
        <f aca="false">Debt!Y112+Debt!Y110+Debt!Y104-Debt!Y103</f>
        <v>16.8324822804559</v>
      </c>
      <c r="Z16" s="13" t="n">
        <f aca="false">Debt!Z112+Debt!Z110+Debt!Z104-Debt!Z103</f>
        <v>16.3108066501473</v>
      </c>
      <c r="AA16" s="13" t="n">
        <f aca="false">Debt!AA112+Debt!AA110+Debt!AA104-Debt!AA103</f>
        <v>15.3968855285664</v>
      </c>
      <c r="AB16" s="13" t="n">
        <f aca="false">Debt!AB112+Debt!AB110+Debt!AB104-Debt!AB103</f>
        <v>14.5316022637291</v>
      </c>
      <c r="AC16" s="13" t="n">
        <f aca="false">Debt!AC112+Debt!AC110+Debt!AC104-Debt!AC103</f>
        <v>13.3266560187658</v>
      </c>
      <c r="AD16" s="13" t="n">
        <f aca="false">Debt!AD112+Debt!AD110+Debt!AD104-Debt!AD103</f>
        <v>12.3091596524046</v>
      </c>
      <c r="AE16" s="13" t="n">
        <f aca="false">Debt!AE112+Debt!AE110+Debt!AE104-Debt!AE103</f>
        <v>11.0529257330974</v>
      </c>
      <c r="AF16" s="13" t="n">
        <f aca="false">Debt!AF112+Debt!AF110+Debt!AF104-Debt!AF103</f>
        <v>9.9523072171201</v>
      </c>
      <c r="AG16" s="13" t="n">
        <f aca="false">Debt!AG112+Debt!AG110+Debt!AG104-Debt!AG103</f>
        <v>8.78389991585187</v>
      </c>
      <c r="AH16" s="13" t="n">
        <f aca="false">Debt!AH112+Debt!AH110+Debt!AH104-Debt!AH103</f>
        <v>7.56209737430668</v>
      </c>
      <c r="AI16" s="13" t="n">
        <f aca="false">Debt!AI112+Debt!AI110+Debt!AI104-Debt!AI103</f>
        <v>6.13610511532602</v>
      </c>
      <c r="AJ16" s="13" t="n">
        <f aca="false">Debt!AJ112+Debt!AJ110+Debt!AJ104-Debt!AJ103</f>
        <v>4.83138706144609</v>
      </c>
      <c r="AK16" s="13" t="n">
        <f aca="false">Debt!AK112+Debt!AK110+Debt!AK104-Debt!AK103</f>
        <v>3.41410137945353</v>
      </c>
      <c r="AL16" s="13" t="n">
        <f aca="false">Debt!AL112+Debt!AL110+Debt!AL104-Debt!AL103</f>
        <v>2.48319530438909</v>
      </c>
      <c r="AM16" s="13" t="n">
        <f aca="false">Debt!AM112+Debt!AM110+Debt!AM104-Debt!AM103</f>
        <v>1.88530038821737</v>
      </c>
      <c r="AN16" s="13" t="n">
        <f aca="false">Debt!AN112+Debt!AN110+Debt!AN104-Debt!AN103</f>
        <v>1.28486830457866</v>
      </c>
      <c r="AO16" s="13" t="n">
        <f aca="false">Debt!AO112+Debt!AO110+Debt!AO104-Debt!AO103</f>
        <v>0.629671466230584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1196.8323012048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0.83053986569903</v>
      </c>
      <c r="AA18" s="13" t="n">
        <f aca="false">(Operations!AA84-AA16-AA15)*AA17-AA12</f>
        <v>6.34223564442733</v>
      </c>
      <c r="AB18" s="13" t="n">
        <f aca="false">(Operations!AB84-AB16-AB15)*AB17-AB12</f>
        <v>6.98696638377117</v>
      </c>
      <c r="AC18" s="13" t="n">
        <f aca="false">(Operations!AC84-AC16-AC15)*AC17-AC12</f>
        <v>8.22388364089195</v>
      </c>
      <c r="AD18" s="13" t="n">
        <f aca="false">(Operations!AD84-AD16-AD15)*AD17-AD12</f>
        <v>9.16580229376669</v>
      </c>
      <c r="AE18" s="13" t="n">
        <f aca="false">(Operations!AE84-AE16-AE15)*AE17-AE12</f>
        <v>-2.23404318012976</v>
      </c>
      <c r="AF18" s="13" t="n">
        <f aca="false">(Operations!AF84-AF16-AF15)*AF17-AF12</f>
        <v>11.4103058000816</v>
      </c>
      <c r="AG18" s="13" t="n">
        <f aca="false">(Operations!AG84-AG16-AG15)*AG17-AG12</f>
        <v>12.8579939106091</v>
      </c>
      <c r="AH18" s="13" t="n">
        <f aca="false">(Operations!AH84-AH16-AH15)*AH17-AH12</f>
        <v>14.0057047269852</v>
      </c>
      <c r="AI18" s="13" t="n">
        <f aca="false">(Operations!AI84-AI16-AI15)*AI17-AI12</f>
        <v>15.7752743265582</v>
      </c>
      <c r="AJ18" s="13" t="n">
        <f aca="false">(Operations!AJ84-AJ16-AJ15)*AJ17-AJ12</f>
        <v>17.0819117660999</v>
      </c>
      <c r="AK18" s="13" t="n">
        <f aca="false">(Operations!AK84-AK16-AK15)*AK17-AK12</f>
        <v>18.8067145286597</v>
      </c>
      <c r="AL18" s="13" t="n">
        <f aca="false">(Operations!AL84-AL16-AL15)*AL17-AL12</f>
        <v>20.4022810098095</v>
      </c>
      <c r="AM18" s="13" t="n">
        <f aca="false">(Operations!AM84-AM16-AM15)*AM17-AM12</f>
        <v>19.3603344386225</v>
      </c>
      <c r="AN18" s="13" t="n">
        <f aca="false">(Operations!AN84-AN16-AN15)*AN17-AN12</f>
        <v>23.8757274308562</v>
      </c>
      <c r="AO18" s="13" t="n">
        <f aca="false">(Operations!AO84-AO16-AO15)*AO17-AO12</f>
        <v>25.6167487416788</v>
      </c>
      <c r="AP18" s="13" t="n">
        <f aca="false">(Operations!AP84-AP16-AP15)*AP17-AP12</f>
        <v>28.3585007832677</v>
      </c>
      <c r="AQ18" s="13" t="n">
        <f aca="false">(Operations!AQ84-AQ16-AQ15)*AQ17-AQ12</f>
        <v>30.6512221894762</v>
      </c>
      <c r="AR18" s="13" t="n">
        <f aca="false">(Operations!AR84-AR16-AR15)*AR17-AR12</f>
        <v>32.6013673114096</v>
      </c>
      <c r="AS18" s="13" t="n">
        <f aca="false">(Operations!AS84-AS16-AS15)*AS17-AS12</f>
        <v>33.2287756473864</v>
      </c>
      <c r="AT18" s="13" t="n">
        <f aca="false">(Operations!AT84-AT16-AT15)*AT17-AT12</f>
        <v>33.4337502575539</v>
      </c>
      <c r="AU18" s="13" t="n">
        <f aca="false">(Operations!AU84-AU16-AU15)*AU17-AU12</f>
        <v>18.4621673522802</v>
      </c>
      <c r="AV18" s="13" t="n">
        <f aca="false">(Operations!AV84-AV16-AV15)*AV17-AV12</f>
        <v>33.6341809854833</v>
      </c>
      <c r="AW18" s="13" t="n">
        <f aca="false">(Operations!AW84-AW16-AW15)*AW17-AW12</f>
        <v>33.7790135269836</v>
      </c>
      <c r="AX18" s="13" t="n">
        <f aca="false">(Operations!AX84-AX16-AX15)*AX17-AX12</f>
        <v>33.937705130989</v>
      </c>
      <c r="AY18" s="13" t="n">
        <f aca="false">(Operations!AY84-AY16-AY15)*AY17-AY12</f>
        <v>34.1351874751892</v>
      </c>
      <c r="AZ18" s="13" t="n">
        <f aca="false">(Operations!AZ84-AZ16-AZ15)*AZ17-AZ12</f>
        <v>34.2736846492616</v>
      </c>
      <c r="BA18" s="13" t="n">
        <f aca="false">(Operations!BA84-BA16-BA15)*BA17-BA12</f>
        <v>34.3515423533328</v>
      </c>
      <c r="BB18" s="13" t="n">
        <f aca="false">(Operations!BB84-BB16-BB15)*BB17-BB12</f>
        <v>34.549422341611</v>
      </c>
      <c r="BC18" s="13" t="n">
        <f aca="false">(Operations!BC84-BC16-BC15)*BC17-BC12</f>
        <v>31.3013553682444</v>
      </c>
      <c r="BD18" s="13" t="n">
        <f aca="false">(Operations!BD84-BD16-BD15)*BD17-BD12</f>
        <v>38.2512243133006</v>
      </c>
      <c r="BE18" s="13" t="n">
        <f aca="false">(Operations!BE84-BE16-BE15)*BE17-BE12</f>
        <v>54.2589303107028</v>
      </c>
      <c r="BF18" s="13" t="n">
        <f aca="false">(Operations!BF84-BF16-BF15)*BF17-BF12</f>
        <v>54.4319277223544</v>
      </c>
      <c r="BG18" s="13" t="n">
        <f aca="false">(Operations!BG84-BG16-BG15)*BG17-BG12</f>
        <v>54.6464788627337</v>
      </c>
      <c r="BH18" s="13" t="n">
        <f aca="false">(Operations!BH84-BH16-BH15)*BH17-BH12</f>
        <v>54.7970052065181</v>
      </c>
      <c r="BI18" s="13" t="n">
        <f aca="false">(Operations!BI84-BI16-BI15)*BI17-BI12</f>
        <v>54.8788256092802</v>
      </c>
      <c r="BJ18" s="13" t="n">
        <f aca="false">(Operations!BJ84-BJ16-BJ15)*BJ17-BJ12</f>
        <v>55.1246172883005</v>
      </c>
      <c r="BK18" s="13" t="n">
        <f aca="false">(Operations!BK84-BK16-BK15)*BK17-BK12</f>
        <v>37.4243676982778</v>
      </c>
      <c r="BL18" s="13" t="n">
        <f aca="false">(Operations!BL84-BL16-BL15)*BL17-BL12</f>
        <v>55.406636705651</v>
      </c>
      <c r="BM18" s="13" t="n">
        <f aca="false">(Operations!BM84-BM16-BM15)*BM17-BM12</f>
        <v>55.5238741996296</v>
      </c>
      <c r="BN18" s="13" t="n">
        <f aca="false">(Operations!BN84-BN16-BN15)*BN17-BN12</f>
        <v>26.8821565871907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2.23404318012976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2.23404318012976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0.83053986569903</v>
      </c>
      <c r="AA20" s="13" t="n">
        <f aca="false">MIN(Z21,MAX(0,AA18-AA19))</f>
        <v>6.34223564442733</v>
      </c>
      <c r="AB20" s="13" t="n">
        <f aca="false">MIN(AA21,MAX(0,AB18-AB19))</f>
        <v>6.98696638377117</v>
      </c>
      <c r="AC20" s="13" t="n">
        <f aca="false">MIN(AB21,MAX(0,AC18-AC19))</f>
        <v>8.22388364089195</v>
      </c>
      <c r="AD20" s="13" t="n">
        <f aca="false">MIN(AC21,MAX(0,AD18-AD19))</f>
        <v>9.16580229376669</v>
      </c>
      <c r="AE20" s="13" t="n">
        <f aca="false">MIN(AD21,MAX(0,AE18-AE19))</f>
        <v>0</v>
      </c>
      <c r="AF20" s="13" t="n">
        <f aca="false">MIN(AE21,MAX(0,AF18-AF19))</f>
        <v>9.17626261995183</v>
      </c>
      <c r="AG20" s="13" t="n">
        <f aca="false">MIN(AF21,MAX(0,AG18-AG19))</f>
        <v>12.8579939106091</v>
      </c>
      <c r="AH20" s="13" t="n">
        <f aca="false">MIN(AG21,MAX(0,AH18-AH19))</f>
        <v>14.0057047269852</v>
      </c>
      <c r="AI20" s="13" t="n">
        <f aca="false">MIN(AH21,MAX(0,AI18-AI19))</f>
        <v>15.7752743265582</v>
      </c>
      <c r="AJ20" s="13" t="n">
        <f aca="false">MIN(AI21,MAX(0,AJ18-AJ19))</f>
        <v>17.0819117660999</v>
      </c>
      <c r="AK20" s="13" t="n">
        <f aca="false">MIN(AJ21,MAX(0,AK18-AK19))</f>
        <v>18.8067145286597</v>
      </c>
      <c r="AL20" s="13" t="n">
        <f aca="false">MIN(AK21,MAX(0,AL18-AL19))</f>
        <v>20.4022810098095</v>
      </c>
      <c r="AM20" s="13" t="n">
        <f aca="false">MIN(AL21,MAX(0,AM18-AM19))</f>
        <v>19.3603344386225</v>
      </c>
      <c r="AN20" s="13" t="n">
        <f aca="false">MIN(AM21,MAX(0,AN18-AN19))</f>
        <v>23.8757274308562</v>
      </c>
      <c r="AO20" s="13" t="n">
        <f aca="false">MIN(AN21,MAX(0,AO18-AO19))</f>
        <v>25.6167487416788</v>
      </c>
      <c r="AP20" s="13" t="n">
        <f aca="false">MIN(AO21,MAX(0,AP18-AP19))</f>
        <v>18.1936284566745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225.871469919362</v>
      </c>
      <c r="AA21" s="13" t="n">
        <f aca="false">Z21+AA11-AA20</f>
        <v>219.529234274935</v>
      </c>
      <c r="AB21" s="13" t="n">
        <f aca="false">AA21+AB11-AB20</f>
        <v>212.542267891164</v>
      </c>
      <c r="AC21" s="13" t="n">
        <f aca="false">AB21+AC11-AC20</f>
        <v>204.318384250272</v>
      </c>
      <c r="AD21" s="13" t="n">
        <f aca="false">AC21+AD11-AD20</f>
        <v>195.152581956505</v>
      </c>
      <c r="AE21" s="13" t="n">
        <f aca="false">AD21+AE11-AE20</f>
        <v>195.152581956505</v>
      </c>
      <c r="AF21" s="13" t="n">
        <f aca="false">AE21+AF11-AF20</f>
        <v>185.976319336554</v>
      </c>
      <c r="AG21" s="13" t="n">
        <f aca="false">AF21+AG11-AG20</f>
        <v>173.118325425944</v>
      </c>
      <c r="AH21" s="13" t="n">
        <f aca="false">AG21+AH11-AH20</f>
        <v>159.112620698959</v>
      </c>
      <c r="AI21" s="13" t="n">
        <f aca="false">AH21+AI11-AI20</f>
        <v>143.337346372401</v>
      </c>
      <c r="AJ21" s="13" t="n">
        <f aca="false">AI21+AJ11-AJ20</f>
        <v>126.255434606301</v>
      </c>
      <c r="AK21" s="13" t="n">
        <f aca="false">AJ21+AK11-AK20</f>
        <v>107.448720077642</v>
      </c>
      <c r="AL21" s="13" t="n">
        <f aca="false">AK21+AL11-AL20</f>
        <v>87.046439067832</v>
      </c>
      <c r="AM21" s="13" t="n">
        <f aca="false">AL21+AM11-AM20</f>
        <v>67.6861046292095</v>
      </c>
      <c r="AN21" s="13" t="n">
        <f aca="false">AM21+AN11-AN20</f>
        <v>43.8103771983533</v>
      </c>
      <c r="AO21" s="13" t="n">
        <f aca="false">AN21+AO11-AO20</f>
        <v>18.1936284566745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2.23404318012976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970.130291419734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10.1648723265932</v>
      </c>
      <c r="AQ23" s="13" t="n">
        <f aca="false">MAX(0,AQ18-AQ19-AQ20)</f>
        <v>30.6512221894762</v>
      </c>
      <c r="AR23" s="13" t="n">
        <f aca="false">MAX(0,AR18-AR19-AR20)</f>
        <v>32.6013673114096</v>
      </c>
      <c r="AS23" s="13" t="n">
        <f aca="false">MAX(0,AS18-AS19-AS20)</f>
        <v>33.2287756473864</v>
      </c>
      <c r="AT23" s="13" t="n">
        <f aca="false">MAX(0,AT18-AT19-AT20)</f>
        <v>33.4337502575539</v>
      </c>
      <c r="AU23" s="13" t="n">
        <f aca="false">MAX(0,AU18-AU19-AU20)</f>
        <v>18.4621673522802</v>
      </c>
      <c r="AV23" s="13" t="n">
        <f aca="false">MAX(0,AV18-AV19-AV20)</f>
        <v>33.6341809854833</v>
      </c>
      <c r="AW23" s="13" t="n">
        <f aca="false">MAX(0,AW18-AW19-AW20)</f>
        <v>33.7790135269836</v>
      </c>
      <c r="AX23" s="13" t="n">
        <f aca="false">MAX(0,AX18-AX19-AX20)</f>
        <v>33.937705130989</v>
      </c>
      <c r="AY23" s="13" t="n">
        <f aca="false">MAX(0,AY18-AY19-AY20)</f>
        <v>34.1351874751892</v>
      </c>
      <c r="AZ23" s="13" t="n">
        <f aca="false">MAX(0,AZ18-AZ19-AZ20)</f>
        <v>34.2736846492616</v>
      </c>
      <c r="BA23" s="13" t="n">
        <f aca="false">MAX(0,BA18-BA19-BA20)</f>
        <v>34.3515423533328</v>
      </c>
      <c r="BB23" s="13" t="n">
        <f aca="false">MAX(0,BB18-BB19-BB20)</f>
        <v>34.549422341611</v>
      </c>
      <c r="BC23" s="13" t="n">
        <f aca="false">MAX(0,BC18-BC19-BC20)</f>
        <v>31.3013553682444</v>
      </c>
      <c r="BD23" s="13" t="n">
        <f aca="false">MAX(0,BD18-BD19-BD20)</f>
        <v>38.2512243133006</v>
      </c>
      <c r="BE23" s="13" t="n">
        <f aca="false">MAX(0,BE18-BE19-BE20)</f>
        <v>54.2589303107028</v>
      </c>
      <c r="BF23" s="13" t="n">
        <f aca="false">MAX(0,BF18-BF19-BF20)</f>
        <v>54.4319277223544</v>
      </c>
      <c r="BG23" s="13" t="n">
        <f aca="false">MAX(0,BG18-BG19-BG20)</f>
        <v>54.6464788627337</v>
      </c>
      <c r="BH23" s="13" t="n">
        <f aca="false">MAX(0,BH18-BH19-BH20)</f>
        <v>54.7970052065181</v>
      </c>
      <c r="BI23" s="13" t="n">
        <f aca="false">MAX(0,BI18-BI19-BI20)</f>
        <v>54.8788256092802</v>
      </c>
      <c r="BJ23" s="13" t="n">
        <f aca="false">MAX(0,BJ18-BJ19-BJ20)</f>
        <v>55.1246172883005</v>
      </c>
      <c r="BK23" s="13" t="n">
        <f aca="false">MAX(0,BK18-BK19-BK20)</f>
        <v>37.4243676982778</v>
      </c>
      <c r="BL23" s="13" t="n">
        <f aca="false">MAX(0,BL18-BL19-BL20)</f>
        <v>55.406636705651</v>
      </c>
      <c r="BM23" s="13" t="n">
        <f aca="false">MAX(0,BM18-BM19-BM20)</f>
        <v>55.5238741996296</v>
      </c>
      <c r="BN23" s="13" t="n">
        <f aca="false">MAX(0,BN18-BN19-BN20)</f>
        <v>26.8821565871907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0.175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291.03908742592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3.04946169797795</v>
      </c>
      <c r="AQ25" s="13" t="n">
        <f aca="false">AQ23*AQ24</f>
        <v>9.19536665684285</v>
      </c>
      <c r="AR25" s="13" t="n">
        <f aca="false">AR23*AR24</f>
        <v>9.78041019342288</v>
      </c>
      <c r="AS25" s="13" t="n">
        <f aca="false">AS23*AS24</f>
        <v>9.96863269421592</v>
      </c>
      <c r="AT25" s="13" t="n">
        <f aca="false">AT23*AT24</f>
        <v>10.0301250772662</v>
      </c>
      <c r="AU25" s="13" t="n">
        <f aca="false">AU23*AU24</f>
        <v>5.53865020568407</v>
      </c>
      <c r="AV25" s="13" t="n">
        <f aca="false">AV23*AV24</f>
        <v>10.090254295645</v>
      </c>
      <c r="AW25" s="13" t="n">
        <f aca="false">AW23*AW24</f>
        <v>10.1337040580951</v>
      </c>
      <c r="AX25" s="13" t="n">
        <f aca="false">AX23*AX24</f>
        <v>10.1813115392967</v>
      </c>
      <c r="AY25" s="13" t="n">
        <f aca="false">AY23*AY24</f>
        <v>10.2405562425567</v>
      </c>
      <c r="AZ25" s="13" t="n">
        <f aca="false">AZ23*AZ24</f>
        <v>10.2821053947785</v>
      </c>
      <c r="BA25" s="13" t="n">
        <f aca="false">BA23*BA24</f>
        <v>10.3054627059999</v>
      </c>
      <c r="BB25" s="13" t="n">
        <f aca="false">BB23*BB24</f>
        <v>10.3648267024833</v>
      </c>
      <c r="BC25" s="13" t="n">
        <f aca="false">BC23*BC24</f>
        <v>9.39040661047331</v>
      </c>
      <c r="BD25" s="13" t="n">
        <f aca="false">BD23*BD24</f>
        <v>11.4753672939902</v>
      </c>
      <c r="BE25" s="13" t="n">
        <f aca="false">BE23*BE24</f>
        <v>16.2776790932108</v>
      </c>
      <c r="BF25" s="13" t="n">
        <f aca="false">BF23*BF24</f>
        <v>16.3295783167063</v>
      </c>
      <c r="BG25" s="13" t="n">
        <f aca="false">BG23*BG24</f>
        <v>16.3939436588201</v>
      </c>
      <c r="BH25" s="13" t="n">
        <f aca="false">BH23*BH24</f>
        <v>16.4391015619554</v>
      </c>
      <c r="BI25" s="13" t="n">
        <f aca="false">BI23*BI24</f>
        <v>16.4636476827841</v>
      </c>
      <c r="BJ25" s="13" t="n">
        <f aca="false">BJ23*BJ24</f>
        <v>16.5373851864901</v>
      </c>
      <c r="BK25" s="13" t="n">
        <f aca="false">BK23*BK24</f>
        <v>11.2273103094833</v>
      </c>
      <c r="BL25" s="13" t="n">
        <f aca="false">BL23*BL24</f>
        <v>16.6219910116953</v>
      </c>
      <c r="BM25" s="13" t="n">
        <f aca="false">BM23*BM24</f>
        <v>16.6571622598889</v>
      </c>
      <c r="BN25" s="13" t="n">
        <f aca="false">BN23*BN24</f>
        <v>8.06464697615721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296.621401429959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3.04946169797795</v>
      </c>
      <c r="AQ27" s="13" t="n">
        <f aca="false">MAX(AQ25,AQ26)</f>
        <v>9.19536665684285</v>
      </c>
      <c r="AR27" s="13" t="n">
        <f aca="false">MAX(AR25,AR26)</f>
        <v>9.78041019342288</v>
      </c>
      <c r="AS27" s="13" t="n">
        <f aca="false">MAX(AS25,AS26)</f>
        <v>9.96863269421592</v>
      </c>
      <c r="AT27" s="13" t="n">
        <f aca="false">MAX(AT25,AT26)</f>
        <v>10.0301250772662</v>
      </c>
      <c r="AU27" s="13" t="n">
        <f aca="false">MAX(AU25,AU26)</f>
        <v>5.53865020568407</v>
      </c>
      <c r="AV27" s="13" t="n">
        <f aca="false">MAX(AV25,AV26)</f>
        <v>10.090254295645</v>
      </c>
      <c r="AW27" s="13" t="n">
        <f aca="false">MAX(AW25,AW26)</f>
        <v>10.1337040580951</v>
      </c>
      <c r="AX27" s="13" t="n">
        <f aca="false">MAX(AX25,AX26)</f>
        <v>10.1813115392967</v>
      </c>
      <c r="AY27" s="13" t="n">
        <f aca="false">MAX(AY25,AY26)</f>
        <v>10.2405562425567</v>
      </c>
      <c r="AZ27" s="13" t="n">
        <f aca="false">MAX(AZ25,AZ26)</f>
        <v>10.2821053947785</v>
      </c>
      <c r="BA27" s="13" t="n">
        <f aca="false">MAX(BA25,BA26)</f>
        <v>10.3054627059999</v>
      </c>
      <c r="BB27" s="13" t="n">
        <f aca="false">MAX(BB25,BB26)</f>
        <v>10.3648267024833</v>
      </c>
      <c r="BC27" s="13" t="n">
        <f aca="false">MAX(BC25,BC26)</f>
        <v>9.39040661047331</v>
      </c>
      <c r="BD27" s="13" t="n">
        <f aca="false">MAX(BD25,BD26)</f>
        <v>11.4753672939902</v>
      </c>
      <c r="BE27" s="13" t="n">
        <f aca="false">MAX(BE25,BE26)</f>
        <v>16.2776790932108</v>
      </c>
      <c r="BF27" s="13" t="n">
        <f aca="false">MAX(BF25,BF26)</f>
        <v>16.3295783167063</v>
      </c>
      <c r="BG27" s="13" t="n">
        <f aca="false">MAX(BG25,BG26)</f>
        <v>16.3939436588201</v>
      </c>
      <c r="BH27" s="13" t="n">
        <f aca="false">MAX(BH25,BH26)</f>
        <v>16.4391015619554</v>
      </c>
      <c r="BI27" s="13" t="n">
        <f aca="false">MAX(BI25,BI26)</f>
        <v>16.4636476827841</v>
      </c>
      <c r="BJ27" s="13" t="n">
        <f aca="false">MAX(BJ25,BJ26)</f>
        <v>16.5373851864901</v>
      </c>
      <c r="BK27" s="13" t="n">
        <f aca="false">MAX(BK25,BK26)</f>
        <v>11.2273103094833</v>
      </c>
      <c r="BL27" s="13" t="n">
        <f aca="false">MAX(BL25,BL26)</f>
        <v>16.6219910116953</v>
      </c>
      <c r="BM27" s="13" t="n">
        <f aca="false">MAX(BM25,BM26)</f>
        <v>16.6571622598889</v>
      </c>
      <c r="BN27" s="13" t="n">
        <f aca="false">MAX(BN25,BN26)</f>
        <v>8.06464697615721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7.46892872218391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0.605195812206918</v>
      </c>
      <c r="Q28" s="13" t="n">
        <f aca="false">Q13-Q15</f>
        <v>2.96278983329357</v>
      </c>
      <c r="R28" s="13" t="n">
        <f aca="false">R13-R15</f>
        <v>2.44285347493653</v>
      </c>
      <c r="S28" s="13" t="n">
        <f aca="false">S13-S15</f>
        <v>1.33716814483257</v>
      </c>
      <c r="T28" s="13" t="n">
        <f aca="false">T13-T15</f>
        <v>0.120921456914326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0.0473451055600097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0.0589089944488986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0.0576520500044542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0.0703317688442986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0.0640239203748245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-0.375581729029568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611.93815566388</v>
      </c>
      <c r="AY22" s="13" t="n">
        <f aca="false">AX22+Construction!AY14*$F$9/$F$10*(AY21+(AY19-AY20)*AX22)</f>
        <v>611.93815566388</v>
      </c>
      <c r="AZ22" s="13" t="n">
        <f aca="false">AY22+Construction!AZ14*$F$9/$F$10*(AZ21+(AZ19-AZ20)*AY22)</f>
        <v>611.93815566388</v>
      </c>
      <c r="BA22" s="13" t="n">
        <f aca="false">AZ22+Construction!BA14*$F$9/$F$10*(BA21+(BA19-BA20)*AZ22)</f>
        <v>611.93815566388</v>
      </c>
      <c r="BB22" s="13" t="n">
        <f aca="false">BA22+Construction!BB14*$F$9/$F$10*(BB21+(BB19-BB20)*BA22)</f>
        <v>611.93815566388</v>
      </c>
      <c r="BC22" s="13" t="n">
        <f aca="false">BB22+Construction!BC14*$F$9/$F$10*(BC21+(BC19-BC20)*BB22)</f>
        <v>611.93815566388</v>
      </c>
      <c r="BD22" s="13" t="n">
        <f aca="false">BC22+Construction!BD14*$F$9/$F$10*(BD21+(BD19-BD20)*BC22)</f>
        <v>611.93815566388</v>
      </c>
      <c r="BE22" s="13" t="n">
        <f aca="false">BD22+Construction!BE14*$F$9/$F$10*(BE21+(BE19-BE20)*BD22)</f>
        <v>611.93815566388</v>
      </c>
      <c r="BF22" s="13" t="n">
        <f aca="false">BE22+Construction!BF14*$F$9/$F$10*(BF21+(BF19-BF20)*BE22)</f>
        <v>611.93815566388</v>
      </c>
      <c r="BG22" s="13" t="n">
        <f aca="false">BF22+Construction!BG14*$F$9/$F$10*(BG21+(BG19-BG20)*BF22)</f>
        <v>611.93815566388</v>
      </c>
      <c r="BH22" s="13" t="n">
        <f aca="false">BG22+Construction!BH14*$F$9/$F$10*(BH21+(BH19-BH20)*BG22)</f>
        <v>611.93815566388</v>
      </c>
      <c r="BI22" s="13" t="n">
        <f aca="false">BH22+Construction!BI14*$F$9/$F$10*(BI21+(BI19-BI20)*BH22)</f>
        <v>611.93815566388</v>
      </c>
      <c r="BJ22" s="13" t="n">
        <f aca="false">BI22+Construction!BJ14*$F$9/$F$10*(BJ21+(BJ19-BJ20)*BI22)</f>
        <v>611.93815566388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0.0656150575115741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0.0656150575115741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0.0656150575115741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0.0656150575115741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0.0656150575115741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0.0656150575115741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0.0656150575115741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0.0656150575115741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0.0656150575115741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0.0656150575115741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0.0656150575115741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0.0656150575115741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0.0656150575115741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894.143219222315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11.6707310507236</v>
      </c>
      <c r="AZ32" s="13" t="n">
        <f aca="false">AY65</f>
        <v>11.6707310507236</v>
      </c>
      <c r="BA32" s="13" t="n">
        <f aca="false">AZ65</f>
        <v>11.6707310507236</v>
      </c>
      <c r="BB32" s="13" t="n">
        <f aca="false">BA65</f>
        <v>11.6707310507236</v>
      </c>
      <c r="BC32" s="13" t="n">
        <f aca="false">BB65</f>
        <v>11.6707310507236</v>
      </c>
      <c r="BD32" s="13" t="n">
        <f aca="false">BC65</f>
        <v>11.6707310507236</v>
      </c>
      <c r="BE32" s="13" t="n">
        <f aca="false">BD65</f>
        <v>11.6707310507236</v>
      </c>
      <c r="BF32" s="13" t="n">
        <f aca="false">BE65</f>
        <v>11.6707310507236</v>
      </c>
      <c r="BG32" s="13" t="n">
        <f aca="false">BF65</f>
        <v>11.6707310507236</v>
      </c>
      <c r="BH32" s="13" t="n">
        <f aca="false">BG65</f>
        <v>11.6707310507236</v>
      </c>
      <c r="BI32" s="13" t="n">
        <f aca="false">BH65</f>
        <v>11.6707310507236</v>
      </c>
      <c r="BJ32" s="13" t="n">
        <f aca="false">BI65</f>
        <v>11.6707310507236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37.0411331464097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37.0411331464097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39.1897697135964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887.870417861124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39.3480812231807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32.7806747342981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11.6707310507236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11.6707310507236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3.89024368357453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3.89024368357453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11.6707310507236</v>
      </c>
      <c r="AY65" s="13" t="n">
        <f aca="false">AY32+AY55</f>
        <v>11.6707310507236</v>
      </c>
      <c r="AZ65" s="13" t="n">
        <f aca="false">AZ32+AZ55</f>
        <v>11.6707310507236</v>
      </c>
      <c r="BA65" s="13" t="n">
        <f aca="false">BA32+BA55</f>
        <v>11.6707310507236</v>
      </c>
      <c r="BB65" s="13" t="n">
        <f aca="false">BB32+BB55</f>
        <v>11.6707310507236</v>
      </c>
      <c r="BC65" s="13" t="n">
        <f aca="false">BC32+BC55</f>
        <v>11.6707310507236</v>
      </c>
      <c r="BD65" s="13" t="n">
        <f aca="false">BD32+BD55</f>
        <v>11.6707310507236</v>
      </c>
      <c r="BE65" s="13" t="n">
        <f aca="false">BE32+BE55</f>
        <v>11.6707310507236</v>
      </c>
      <c r="BF65" s="13" t="n">
        <f aca="false">BF32+BF55</f>
        <v>11.6707310507236</v>
      </c>
      <c r="BG65" s="13" t="n">
        <f aca="false">BG32+BG55</f>
        <v>11.6707310507236</v>
      </c>
      <c r="BH65" s="13" t="n">
        <f aca="false">BH32+BH55</f>
        <v>11.6707310507236</v>
      </c>
      <c r="BI65" s="13" t="n">
        <f aca="false">BI32+BI55</f>
        <v>11.6707310507236</v>
      </c>
      <c r="BJ65" s="13" t="n">
        <f aca="false">BJ32+BJ55</f>
        <v>11.6707310507236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225.724011267626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5.59400932501164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211.524011267626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5.59400932501164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45.1448022535252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1.11880186500233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180.579209014101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4.47520746000932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210.441697577392</v>
      </c>
      <c r="AY72" s="13" t="n">
        <f aca="false">AX72+AY71+AY70</f>
        <v>210.441697577392</v>
      </c>
      <c r="AZ72" s="13" t="n">
        <f aca="false">AY72+AZ71+AZ70</f>
        <v>210.441697577392</v>
      </c>
      <c r="BA72" s="13" t="n">
        <f aca="false">AZ72+BA71+BA70</f>
        <v>210.441697577392</v>
      </c>
      <c r="BB72" s="13" t="n">
        <f aca="false">BA72+BB71+BB70</f>
        <v>210.441697577392</v>
      </c>
      <c r="BC72" s="13" t="n">
        <f aca="false">BB72+BC71+BC70</f>
        <v>210.441697577392</v>
      </c>
      <c r="BD72" s="13" t="n">
        <f aca="false">BC72+BD71+BD70</f>
        <v>210.441697577392</v>
      </c>
      <c r="BE72" s="13" t="n">
        <f aca="false">BD72+BE71+BE70</f>
        <v>210.441697577392</v>
      </c>
      <c r="BF72" s="13" t="n">
        <f aca="false">BE72+BF71+BF70</f>
        <v>210.441697577392</v>
      </c>
      <c r="BG72" s="13" t="n">
        <f aca="false">BF72+BG71+BG70</f>
        <v>210.441697577392</v>
      </c>
      <c r="BH72" s="13" t="n">
        <f aca="false">BG72+BH71+BH70</f>
        <v>210.441697577392</v>
      </c>
      <c r="BI72" s="13" t="n">
        <f aca="false">BH72+BI71+BI70</f>
        <v>210.441697577392</v>
      </c>
      <c r="BJ72" s="13" t="n">
        <f aca="false">BI72+BJ71+BJ70</f>
        <v>210.441697577392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644.926706593498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16.5343718981691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887.870417861124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179.797192399587</v>
      </c>
      <c r="S21" s="13" t="n">
        <f aca="false">Time!S35*R33</f>
        <v>174.883759727803</v>
      </c>
      <c r="T21" s="13" t="n">
        <f aca="false">Time!T35*S33</f>
        <v>169.79525670375</v>
      </c>
      <c r="U21" s="13" t="n">
        <f aca="false">Time!U35*T33</f>
        <v>164.468480602233</v>
      </c>
      <c r="V21" s="13" t="n">
        <f aca="false">Time!V35*U33</f>
        <v>158.992261654905</v>
      </c>
      <c r="W21" s="13" t="n">
        <f aca="false">Time!W35*V33</f>
        <v>153.265241944818</v>
      </c>
      <c r="X21" s="13" t="n">
        <f aca="false">Time!X35*W33</f>
        <v>147.221397307432</v>
      </c>
      <c r="Y21" s="13" t="n">
        <f aca="false">Time!Y35*X33</f>
        <v>140.90050411213</v>
      </c>
      <c r="Z21" s="13" t="n">
        <f aca="false">Time!Z35*Y33</f>
        <v>135.026954001621</v>
      </c>
      <c r="AA21" s="13" t="n">
        <f aca="false">Time!AA35*Z33</f>
        <v>128.877199151649</v>
      </c>
      <c r="AB21" s="13" t="n">
        <f aca="false">Time!AB35*AA33</f>
        <v>122.598851447621</v>
      </c>
      <c r="AC21" s="13" t="n">
        <f aca="false">Time!AC35*AB33</f>
        <v>116.014989709037</v>
      </c>
      <c r="AD21" s="13" t="n">
        <f aca="false">Time!AD35*AC33</f>
        <v>109.243930109541</v>
      </c>
      <c r="AE21" s="13" t="n">
        <f aca="false">Time!AE35*AD33</f>
        <v>102.150545833317</v>
      </c>
      <c r="AF21" s="13" t="n">
        <f aca="false">Time!AF35*AE33</f>
        <v>94.4826980806897</v>
      </c>
      <c r="AG21" s="13" t="n">
        <f aca="false">Time!AG35*AF33</f>
        <v>86.4021753565042</v>
      </c>
      <c r="AH21" s="13" t="n">
        <f aca="false">Time!AH35*AG33</f>
        <v>78.263185336475</v>
      </c>
      <c r="AI21" s="13" t="n">
        <f aca="false">Time!AI35*AH33</f>
        <v>69.7035257079786</v>
      </c>
      <c r="AJ21" s="13" t="n">
        <f aca="false">Time!AJ35*AI33</f>
        <v>60.8762297767667</v>
      </c>
      <c r="AK21" s="13" t="n">
        <f aca="false">Time!AK35*AJ33</f>
        <v>51.6161199530198</v>
      </c>
      <c r="AL21" s="13" t="n">
        <f aca="false">Time!AL35*AK33</f>
        <v>42.0813844608996</v>
      </c>
      <c r="AM21" s="13" t="n">
        <f aca="false">Time!AM35*AL33</f>
        <v>32.0987068223596</v>
      </c>
      <c r="AN21" s="13" t="n">
        <f aca="false">Time!AN35*AM33</f>
        <v>21.6507536100181</v>
      </c>
      <c r="AO21" s="13" t="n">
        <f aca="false">Time!AO35*AN33</f>
        <v>10.6976478505239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62.1178244287455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4.26001849013883</v>
      </c>
      <c r="R23" s="13" t="n">
        <f aca="false">R21*R10</f>
        <v>4.0985768880777</v>
      </c>
      <c r="S23" s="13" t="n">
        <f aca="false">S21*S10</f>
        <v>3.93036676341594</v>
      </c>
      <c r="T23" s="13" t="n">
        <f aca="false">T21*T10</f>
        <v>3.87925563149168</v>
      </c>
      <c r="U23" s="13" t="n">
        <f aca="false">U21*U10</f>
        <v>3.71671354747612</v>
      </c>
      <c r="V23" s="13" t="n">
        <f aca="false">V21*V10</f>
        <v>3.63244320460907</v>
      </c>
      <c r="W23" s="13" t="n">
        <f aca="false">W21*W10</f>
        <v>3.44450859167483</v>
      </c>
      <c r="X23" s="13" t="n">
        <f aca="false">X21*X10</f>
        <v>3.3635181904838</v>
      </c>
      <c r="Y23" s="13" t="n">
        <f aca="false">Y21*Y10</f>
        <v>3.16662141283336</v>
      </c>
      <c r="Z23" s="13" t="n">
        <f aca="false">Z21*Z10</f>
        <v>3.08491580909037</v>
      </c>
      <c r="AA23" s="13" t="n">
        <f aca="false">AA21*AA10</f>
        <v>2.89640765326734</v>
      </c>
      <c r="AB23" s="13" t="n">
        <f aca="false">AB21*AB10</f>
        <v>2.80097509273997</v>
      </c>
      <c r="AC23" s="13" t="n">
        <f aca="false">AC21*AC10</f>
        <v>2.62174540910806</v>
      </c>
      <c r="AD23" s="13" t="n">
        <f aca="false">AD21*AD10</f>
        <v>2.49585965656932</v>
      </c>
      <c r="AE23" s="13" t="n">
        <f aca="false">AE21*AE10</f>
        <v>2.29574839214895</v>
      </c>
      <c r="AF23" s="13" t="n">
        <f aca="false">AF21*AF10</f>
        <v>2.15861470881682</v>
      </c>
      <c r="AG23" s="13" t="n">
        <f aca="false">AG21*AG10</f>
        <v>1.94181688932464</v>
      </c>
      <c r="AH23" s="13" t="n">
        <f aca="false">AH21*AH10</f>
        <v>1.788052907654</v>
      </c>
      <c r="AI23" s="13" t="n">
        <f aca="false">AI21*AI10</f>
        <v>1.5665286540154</v>
      </c>
      <c r="AJ23" s="13" t="n">
        <f aca="false">AJ21*AJ10</f>
        <v>1.3908189296332</v>
      </c>
      <c r="AK23" s="13" t="n">
        <f aca="false">AK21*AK10</f>
        <v>1.16643828407166</v>
      </c>
      <c r="AL23" s="13" t="n">
        <f aca="false">AL21*AL10</f>
        <v>0.961419363650019</v>
      </c>
      <c r="AM23" s="13" t="n">
        <f aca="false">AM21*AM10</f>
        <v>0.721391686910181</v>
      </c>
      <c r="AN23" s="13" t="n">
        <f aca="false">AN21*AN10</f>
        <v>0.494647550810214</v>
      </c>
      <c r="AO23" s="13" t="n">
        <f aca="false">AO21*AO10</f>
        <v>0.240420720733982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184.531645212022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4.913432671784</v>
      </c>
      <c r="S24" s="13" t="n">
        <f aca="false">Time!S35*(S21-S22)*S19</f>
        <v>5.08850302405294</v>
      </c>
      <c r="T24" s="13" t="n">
        <f aca="false">Time!T35*(T21-T22)*T19</f>
        <v>5.32677610151746</v>
      </c>
      <c r="U24" s="13" t="n">
        <f aca="false">Time!U35*(U21-U22)*U19</f>
        <v>5.47621894732743</v>
      </c>
      <c r="V24" s="13" t="n">
        <f aca="false">Time!V35*(V21-V22)*V19</f>
        <v>5.72701971008739</v>
      </c>
      <c r="W24" s="13" t="n">
        <f aca="false">Time!W35*(W21-W22)*W19</f>
        <v>6.04384463738561</v>
      </c>
      <c r="X24" s="13" t="n">
        <f aca="false">Time!X35*(X21-X22)*X19</f>
        <v>6.32089319530221</v>
      </c>
      <c r="Y24" s="13" t="n">
        <f aca="false">Time!Y35*(Y21-Y22)*Y19</f>
        <v>5.87355011050921</v>
      </c>
      <c r="Z24" s="13" t="n">
        <f aca="false">Time!Z35*(Z21-Z22)*Z19</f>
        <v>6.14975484997238</v>
      </c>
      <c r="AA24" s="13" t="n">
        <f aca="false">Time!AA35*(AA21-AA22)*AA19</f>
        <v>6.27834770402789</v>
      </c>
      <c r="AB24" s="13" t="n">
        <f aca="false">Time!AB35*(AB21-AB22)*AB19</f>
        <v>6.58386173858363</v>
      </c>
      <c r="AC24" s="13" t="n">
        <f aca="false">Time!AC35*(AC21-AC22)*AC19</f>
        <v>6.77105959949585</v>
      </c>
      <c r="AD24" s="13" t="n">
        <f aca="false">Time!AD35*(AD21-AD22)*AD19</f>
        <v>7.09338427622378</v>
      </c>
      <c r="AE24" s="13" t="n">
        <f aca="false">Time!AE35*(AE21-AE22)*AE19</f>
        <v>7.66784775262777</v>
      </c>
      <c r="AF24" s="13" t="n">
        <f aca="false">Time!AF35*(AF21-AF22)*AF19</f>
        <v>8.08052272418542</v>
      </c>
      <c r="AG24" s="13" t="n">
        <f aca="false">Time!AG35*(AG21-AG22)*AG19</f>
        <v>8.13899002002921</v>
      </c>
      <c r="AH24" s="13" t="n">
        <f aca="false">Time!AH35*(AH21-AH22)*AH19</f>
        <v>8.55965962849642</v>
      </c>
      <c r="AI24" s="13" t="n">
        <f aca="false">Time!AI35*(AI21-AI22)*AI19</f>
        <v>8.82729593121192</v>
      </c>
      <c r="AJ24" s="13" t="n">
        <f aca="false">Time!AJ35*(AJ21-AJ22)*AJ19</f>
        <v>9.26010982374694</v>
      </c>
      <c r="AK24" s="13" t="n">
        <f aca="false">Time!AK35*(AK21-AK22)*AK19</f>
        <v>9.53473549212017</v>
      </c>
      <c r="AL24" s="13" t="n">
        <f aca="false">Time!AL35*(AL21-AL22)*AL19</f>
        <v>9.98267763853994</v>
      </c>
      <c r="AM24" s="13" t="n">
        <f aca="false">Time!AM35*(AM21-AM22)*AM19</f>
        <v>10.4479532123415</v>
      </c>
      <c r="AN24" s="13" t="n">
        <f aca="false">Time!AN35*(AN21-AN22)*AN19</f>
        <v>10.9531057594942</v>
      </c>
      <c r="AO24" s="13" t="n">
        <f aca="false">Time!AO35*(AO21-AO22)*AO19</f>
        <v>10.6976478505239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184.531645212022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4.913432671784</v>
      </c>
      <c r="S27" s="13" t="n">
        <f aca="false">S24-S25+S26</f>
        <v>5.08850302405294</v>
      </c>
      <c r="T27" s="13" t="n">
        <f aca="false">T24-T25+T26</f>
        <v>5.32677610151746</v>
      </c>
      <c r="U27" s="13" t="n">
        <f aca="false">U24-U25+U26</f>
        <v>5.47621894732743</v>
      </c>
      <c r="V27" s="13" t="n">
        <f aca="false">V24-V25+V26</f>
        <v>5.72701971008739</v>
      </c>
      <c r="W27" s="13" t="n">
        <f aca="false">W24-W25+W26</f>
        <v>6.04384463738561</v>
      </c>
      <c r="X27" s="13" t="n">
        <f aca="false">X24-X25+X26</f>
        <v>6.32089319530221</v>
      </c>
      <c r="Y27" s="13" t="n">
        <f aca="false">Y24-Y25+Y26</f>
        <v>5.87355011050921</v>
      </c>
      <c r="Z27" s="13" t="n">
        <f aca="false">Z24-Z25+Z26</f>
        <v>6.14975484997238</v>
      </c>
      <c r="AA27" s="13" t="n">
        <f aca="false">AA24-AA25+AA26</f>
        <v>6.27834770402789</v>
      </c>
      <c r="AB27" s="13" t="n">
        <f aca="false">AB24-AB25+AB26</f>
        <v>6.58386173858363</v>
      </c>
      <c r="AC27" s="13" t="n">
        <f aca="false">AC24-AC25+AC26</f>
        <v>6.77105959949585</v>
      </c>
      <c r="AD27" s="13" t="n">
        <f aca="false">AD24-AD25+AD26</f>
        <v>7.09338427622378</v>
      </c>
      <c r="AE27" s="13" t="n">
        <f aca="false">AE24-AE25+AE26</f>
        <v>7.66784775262777</v>
      </c>
      <c r="AF27" s="13" t="n">
        <f aca="false">AF24-AF25+AF26</f>
        <v>8.08052272418542</v>
      </c>
      <c r="AG27" s="13" t="n">
        <f aca="false">AG24-AG25+AG26</f>
        <v>8.13899002002921</v>
      </c>
      <c r="AH27" s="13" t="n">
        <f aca="false">AH24-AH25+AH26</f>
        <v>8.55965962849642</v>
      </c>
      <c r="AI27" s="13" t="n">
        <f aca="false">AI24-AI25+AI26</f>
        <v>8.82729593121192</v>
      </c>
      <c r="AJ27" s="13" t="n">
        <f aca="false">AJ24-AJ25+AJ26</f>
        <v>9.26010982374694</v>
      </c>
      <c r="AK27" s="13" t="n">
        <f aca="false">AK24-AK25+AK26</f>
        <v>9.53473549212017</v>
      </c>
      <c r="AL27" s="13" t="n">
        <f aca="false">AL24-AL25+AL26</f>
        <v>9.98267763853994</v>
      </c>
      <c r="AM27" s="13" t="n">
        <f aca="false">AM24-AM25+AM26</f>
        <v>10.4479532123415</v>
      </c>
      <c r="AN27" s="13" t="n">
        <f aca="false">AN24-AN25+AN26</f>
        <v>10.9531057594942</v>
      </c>
      <c r="AO27" s="13" t="n">
        <f aca="false">AO24-AO25+AO26</f>
        <v>10.6976478505239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5.44514745080999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5.44514745080999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179.797192399587</v>
      </c>
      <c r="R31" s="13" t="n">
        <f aca="false">R21-R27-R28-R29</f>
        <v>174.883759727803</v>
      </c>
      <c r="S31" s="13" t="n">
        <f aca="false">S21-S27-S28-S29</f>
        <v>169.79525670375</v>
      </c>
      <c r="T31" s="13" t="n">
        <f aca="false">T21-T27-T28-T29</f>
        <v>164.468480602233</v>
      </c>
      <c r="U31" s="13" t="n">
        <f aca="false">U21-U27-U28-U29</f>
        <v>158.992261654905</v>
      </c>
      <c r="V31" s="13" t="n">
        <f aca="false">V21-V27-V28-V29</f>
        <v>153.265241944818</v>
      </c>
      <c r="W31" s="13" t="n">
        <f aca="false">W21-W27-W28-W29</f>
        <v>147.221397307432</v>
      </c>
      <c r="X31" s="13" t="n">
        <f aca="false">X21-X27-X28-X29</f>
        <v>140.90050411213</v>
      </c>
      <c r="Y31" s="13" t="n">
        <f aca="false">Y21-Y27-Y28-Y29</f>
        <v>135.026954001621</v>
      </c>
      <c r="Z31" s="13" t="n">
        <f aca="false">Z21-Z27-Z28-Z29</f>
        <v>128.877199151649</v>
      </c>
      <c r="AA31" s="13" t="n">
        <f aca="false">AA21-AA27-AA28-AA29</f>
        <v>122.598851447621</v>
      </c>
      <c r="AB31" s="13" t="n">
        <f aca="false">AB21-AB27-AB28-AB29</f>
        <v>116.014989709037</v>
      </c>
      <c r="AC31" s="13" t="n">
        <f aca="false">AC21-AC27-AC28-AC29</f>
        <v>109.243930109541</v>
      </c>
      <c r="AD31" s="13" t="n">
        <f aca="false">AD21-AD27-AD28-AD29</f>
        <v>102.150545833317</v>
      </c>
      <c r="AE31" s="13" t="n">
        <f aca="false">AE21-AE27-AE28-AE29</f>
        <v>94.4826980806897</v>
      </c>
      <c r="AF31" s="13" t="n">
        <f aca="false">AF21-AF27-AF28-AF29</f>
        <v>86.4021753565042</v>
      </c>
      <c r="AG31" s="13" t="n">
        <f aca="false">AG21-AG27-AG28-AG29</f>
        <v>78.263185336475</v>
      </c>
      <c r="AH31" s="13" t="n">
        <f aca="false">AH21-AH27-AH28-AH29</f>
        <v>69.7035257079786</v>
      </c>
      <c r="AI31" s="13" t="n">
        <f aca="false">AI21-AI27-AI28-AI29</f>
        <v>60.8762297767667</v>
      </c>
      <c r="AJ31" s="13" t="n">
        <f aca="false">AJ21-AJ27-AJ28-AJ29</f>
        <v>51.6161199530198</v>
      </c>
      <c r="AK31" s="13" t="n">
        <f aca="false">AK21-AK27-AK28-AK29</f>
        <v>42.0813844608996</v>
      </c>
      <c r="AL31" s="13" t="n">
        <f aca="false">AL21-AL27-AL28-AL29</f>
        <v>32.0987068223596</v>
      </c>
      <c r="AM31" s="13" t="n">
        <f aca="false">AM21-AM27-AM28-AM29</f>
        <v>21.6507536100181</v>
      </c>
      <c r="AN31" s="13" t="n">
        <f aca="false">AN21-AN27-AN28-AN29</f>
        <v>10.6976478505239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179.797192399587</v>
      </c>
      <c r="R33" s="13" t="n">
        <f aca="false">IF(Time!R34=1,INDEX(Funding!$J$61:$BJ$61,1,Time!$F$14),Time!R35*(R31-R32))</f>
        <v>174.883759727803</v>
      </c>
      <c r="S33" s="13" t="n">
        <f aca="false">IF(Time!S34=1,INDEX(Funding!$J$61:$BJ$61,1,Time!$F$14),Time!S35*(S31-S32))</f>
        <v>169.79525670375</v>
      </c>
      <c r="T33" s="13" t="n">
        <f aca="false">IF(Time!T34=1,INDEX(Funding!$J$61:$BJ$61,1,Time!$F$14),Time!T35*(T31-T32))</f>
        <v>164.468480602233</v>
      </c>
      <c r="U33" s="13" t="n">
        <f aca="false">IF(Time!U34=1,INDEX(Funding!$J$61:$BJ$61,1,Time!$F$14),Time!U35*(U31-U32))</f>
        <v>158.992261654905</v>
      </c>
      <c r="V33" s="13" t="n">
        <f aca="false">IF(Time!V34=1,INDEX(Funding!$J$61:$BJ$61,1,Time!$F$14),Time!V35*(V31-V32))</f>
        <v>153.265241944818</v>
      </c>
      <c r="W33" s="13" t="n">
        <f aca="false">IF(Time!W34=1,INDEX(Funding!$J$61:$BJ$61,1,Time!$F$14),Time!W35*(W31-W32))</f>
        <v>147.221397307432</v>
      </c>
      <c r="X33" s="13" t="n">
        <f aca="false">IF(Time!X34=1,INDEX(Funding!$J$61:$BJ$61,1,Time!$F$14),Time!X35*(X31-X32))</f>
        <v>140.90050411213</v>
      </c>
      <c r="Y33" s="13" t="n">
        <f aca="false">IF(Time!Y34=1,INDEX(Funding!$J$61:$BJ$61,1,Time!$F$14),Time!Y35*(Y31-Y32))</f>
        <v>135.026954001621</v>
      </c>
      <c r="Z33" s="13" t="n">
        <f aca="false">IF(Time!Z34=1,INDEX(Funding!$J$61:$BJ$61,1,Time!$F$14),Time!Z35*(Z31-Z32))</f>
        <v>128.877199151649</v>
      </c>
      <c r="AA33" s="13" t="n">
        <f aca="false">IF(Time!AA34=1,INDEX(Funding!$J$61:$BJ$61,1,Time!$F$14),Time!AA35*(AA31-AA32))</f>
        <v>122.598851447621</v>
      </c>
      <c r="AB33" s="13" t="n">
        <f aca="false">IF(Time!AB34=1,INDEX(Funding!$J$61:$BJ$61,1,Time!$F$14),Time!AB35*(AB31-AB32))</f>
        <v>116.014989709037</v>
      </c>
      <c r="AC33" s="13" t="n">
        <f aca="false">IF(Time!AC34=1,INDEX(Funding!$J$61:$BJ$61,1,Time!$F$14),Time!AC35*(AC31-AC32))</f>
        <v>109.243930109541</v>
      </c>
      <c r="AD33" s="13" t="n">
        <f aca="false">IF(Time!AD34=1,INDEX(Funding!$J$61:$BJ$61,1,Time!$F$14),Time!AD35*(AD31-AD32))</f>
        <v>102.150545833317</v>
      </c>
      <c r="AE33" s="13" t="n">
        <f aca="false">IF(Time!AE34=1,INDEX(Funding!$J$61:$BJ$61,1,Time!$F$14),Time!AE35*(AE31-AE32))</f>
        <v>94.4826980806897</v>
      </c>
      <c r="AF33" s="13" t="n">
        <f aca="false">IF(Time!AF34=1,INDEX(Funding!$J$61:$BJ$61,1,Time!$F$14),Time!AF35*(AF31-AF32))</f>
        <v>86.4021753565042</v>
      </c>
      <c r="AG33" s="13" t="n">
        <f aca="false">IF(Time!AG34=1,INDEX(Funding!$J$61:$BJ$61,1,Time!$F$14),Time!AG35*(AG31-AG32))</f>
        <v>78.263185336475</v>
      </c>
      <c r="AH33" s="13" t="n">
        <f aca="false">IF(Time!AH34=1,INDEX(Funding!$J$61:$BJ$61,1,Time!$F$14),Time!AH35*(AH31-AH32))</f>
        <v>69.7035257079786</v>
      </c>
      <c r="AI33" s="13" t="n">
        <f aca="false">IF(Time!AI34=1,INDEX(Funding!$J$61:$BJ$61,1,Time!$F$14),Time!AI35*(AI31-AI32))</f>
        <v>60.8762297767667</v>
      </c>
      <c r="AJ33" s="13" t="n">
        <f aca="false">IF(Time!AJ34=1,INDEX(Funding!$J$61:$BJ$61,1,Time!$F$14),Time!AJ35*(AJ31-AJ32))</f>
        <v>51.6161199530198</v>
      </c>
      <c r="AK33" s="13" t="n">
        <f aca="false">IF(Time!AK34=1,INDEX(Funding!$J$61:$BJ$61,1,Time!$F$14),Time!AK35*(AK31-AK32))</f>
        <v>42.0813844608996</v>
      </c>
      <c r="AL33" s="13" t="n">
        <f aca="false">IF(Time!AL34=1,INDEX(Funding!$J$61:$BJ$61,1,Time!$F$14),Time!AL35*(AL31-AL32))</f>
        <v>32.0987068223596</v>
      </c>
      <c r="AM33" s="13" t="n">
        <f aca="false">IF(Time!AM34=1,INDEX(Funding!$J$61:$BJ$61,1,Time!$F$14),Time!AM35*(AM31-AM32))</f>
        <v>21.6507536100181</v>
      </c>
      <c r="AN33" s="13" t="n">
        <f aca="false">IF(Time!AN34=1,INDEX(Funding!$J$61:$BJ$61,1,Time!$F$14),Time!AN35*(AN31-AN32))</f>
        <v>10.6976478505239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131.851274426364</v>
      </c>
      <c r="S35" s="13" t="n">
        <f aca="false">Time!S35*R47</f>
        <v>128.248090467056</v>
      </c>
      <c r="T35" s="13" t="n">
        <f aca="false">Time!T35*S47</f>
        <v>124.51652158275</v>
      </c>
      <c r="U35" s="13" t="n">
        <f aca="false">Time!U35*T47</f>
        <v>120.610219108304</v>
      </c>
      <c r="V35" s="13" t="n">
        <f aca="false">Time!V35*U47</f>
        <v>116.594325213597</v>
      </c>
      <c r="W35" s="13" t="n">
        <f aca="false">Time!W35*V47</f>
        <v>112.394510759533</v>
      </c>
      <c r="X35" s="13" t="n">
        <f aca="false">Time!X35*W47</f>
        <v>107.96235802545</v>
      </c>
      <c r="Y35" s="13" t="n">
        <f aca="false">Time!Y35*X47</f>
        <v>103.327036348895</v>
      </c>
      <c r="Z35" s="13" t="n">
        <f aca="false">Time!Z35*Y47</f>
        <v>99.0197662678554</v>
      </c>
      <c r="AA35" s="13" t="n">
        <f aca="false">Time!AA35*Z47</f>
        <v>94.5099460445423</v>
      </c>
      <c r="AB35" s="13" t="n">
        <f aca="false">Time!AB35*AA47</f>
        <v>89.9058243949219</v>
      </c>
      <c r="AC35" s="13" t="n">
        <f aca="false">Time!AC35*AB47</f>
        <v>85.0776591199605</v>
      </c>
      <c r="AD35" s="13" t="n">
        <f aca="false">Time!AD35*AC47</f>
        <v>80.1122154136636</v>
      </c>
      <c r="AE35" s="13" t="n">
        <f aca="false">Time!AE35*AD47</f>
        <v>74.9104002777661</v>
      </c>
      <c r="AF35" s="13" t="n">
        <f aca="false">Time!AF35*AE47</f>
        <v>69.2873119258391</v>
      </c>
      <c r="AG35" s="13" t="n">
        <f aca="false">Time!AG35*AF47</f>
        <v>63.3615952614365</v>
      </c>
      <c r="AH35" s="13" t="n">
        <f aca="false">Time!AH35*AG47</f>
        <v>57.3930025800817</v>
      </c>
      <c r="AI35" s="13" t="n">
        <f aca="false">Time!AI35*AH47</f>
        <v>51.1159188525177</v>
      </c>
      <c r="AJ35" s="13" t="n">
        <f aca="false">Time!AJ35*AI47</f>
        <v>44.6425685029623</v>
      </c>
      <c r="AK35" s="13" t="n">
        <f aca="false">Time!AK35*AJ47</f>
        <v>37.8518212988812</v>
      </c>
      <c r="AL35" s="13" t="n">
        <f aca="false">Time!AL35*AK47</f>
        <v>30.8596819379931</v>
      </c>
      <c r="AM35" s="13" t="n">
        <f aca="false">Time!AM35*AL47</f>
        <v>23.5390516697304</v>
      </c>
      <c r="AN35" s="13" t="n">
        <f aca="false">Time!AN35*AM47</f>
        <v>15.8772193140133</v>
      </c>
      <c r="AO35" s="13" t="n">
        <f aca="false">Time!AO35*AN47</f>
        <v>7.84494175705086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68.999083351429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4.73505194210349</v>
      </c>
      <c r="R37" s="13" t="n">
        <f aca="false">R35*R11</f>
        <v>4.5556080328469</v>
      </c>
      <c r="S37" s="13" t="n">
        <f aca="false">S35*S11</f>
        <v>4.36531562821156</v>
      </c>
      <c r="T37" s="13" t="n">
        <f aca="false">T35*T11</f>
        <v>4.30854835014445</v>
      </c>
      <c r="U37" s="13" t="n">
        <f aca="false">U35*U11</f>
        <v>4.12801876033627</v>
      </c>
      <c r="V37" s="13" t="n">
        <f aca="false">V35*V11</f>
        <v>4.03442275089094</v>
      </c>
      <c r="W37" s="13" t="n">
        <f aca="false">W35*W11</f>
        <v>3.82569060137248</v>
      </c>
      <c r="X37" s="13" t="n">
        <f aca="false">X35*X11</f>
        <v>3.73573750403175</v>
      </c>
      <c r="Y37" s="13" t="n">
        <f aca="false">Y35*Y11</f>
        <v>3.51705140363461</v>
      </c>
      <c r="Z37" s="13" t="n">
        <f aca="false">Z35*Z11</f>
        <v>3.42630395679284</v>
      </c>
      <c r="AA37" s="13" t="n">
        <f aca="false">AA35*AA11</f>
        <v>3.21693479401669</v>
      </c>
      <c r="AB37" s="13" t="n">
        <f aca="false">AB35*AB11</f>
        <v>3.11094131478517</v>
      </c>
      <c r="AC37" s="13" t="n">
        <f aca="false">AC35*AC11</f>
        <v>2.91187741411301</v>
      </c>
      <c r="AD37" s="13" t="n">
        <f aca="false">AD35*AD11</f>
        <v>2.77206068045812</v>
      </c>
      <c r="AE37" s="13" t="n">
        <f aca="false">AE35*AE11</f>
        <v>2.54980436634351</v>
      </c>
      <c r="AF37" s="13" t="n">
        <f aca="false">AF35*AF11</f>
        <v>2.39749496443831</v>
      </c>
      <c r="AG37" s="13" t="n">
        <f aca="false">AG35*AG11</f>
        <v>2.1567054995974</v>
      </c>
      <c r="AH37" s="13" t="n">
        <f aca="false">AH35*AH11</f>
        <v>1.98592542927656</v>
      </c>
      <c r="AI37" s="13" t="n">
        <f aca="false">AI35*AI11</f>
        <v>1.73988648567527</v>
      </c>
      <c r="AJ37" s="13" t="n">
        <f aca="false">AJ35*AJ11</f>
        <v>1.54473207591028</v>
      </c>
      <c r="AK37" s="13" t="n">
        <f aca="false">AK35*AK11</f>
        <v>1.29552064153343</v>
      </c>
      <c r="AL37" s="13" t="n">
        <f aca="false">AL35*AL11</f>
        <v>1.06781357212553</v>
      </c>
      <c r="AM37" s="13" t="n">
        <f aca="false">AM35*AM11</f>
        <v>0.801223548459377</v>
      </c>
      <c r="AN37" s="13" t="n">
        <f aca="false">AN35*AN11</f>
        <v>0.549387070974447</v>
      </c>
      <c r="AO37" s="13" t="n">
        <f aca="false">AO35*AO11</f>
        <v>0.267026563356595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135.323206488816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3.60318395930827</v>
      </c>
      <c r="S38" s="13" t="n">
        <f aca="false">Time!S35*(S35-S36)*S19</f>
        <v>3.73156888430549</v>
      </c>
      <c r="T38" s="13" t="n">
        <f aca="false">Time!T35*(T35-T36)*T19</f>
        <v>3.90630247444614</v>
      </c>
      <c r="U38" s="13" t="n">
        <f aca="false">Time!U35*(U35-U36)*U19</f>
        <v>4.01589389470678</v>
      </c>
      <c r="V38" s="13" t="n">
        <f aca="false">Time!V35*(V35-V36)*V19</f>
        <v>4.19981445406409</v>
      </c>
      <c r="W38" s="13" t="n">
        <f aca="false">Time!W35*(W35-W36)*W19</f>
        <v>4.43215273408278</v>
      </c>
      <c r="X38" s="13" t="n">
        <f aca="false">Time!X35*(X35-X36)*X19</f>
        <v>4.63532167655495</v>
      </c>
      <c r="Y38" s="13" t="n">
        <f aca="false">Time!Y35*(Y35-Y36)*Y19</f>
        <v>4.30727008104009</v>
      </c>
      <c r="Z38" s="13" t="n">
        <f aca="false">Time!Z35*(Z35-Z36)*Z19</f>
        <v>4.50982022331308</v>
      </c>
      <c r="AA38" s="13" t="n">
        <f aca="false">Time!AA35*(AA35-AA36)*AA19</f>
        <v>4.60412164962045</v>
      </c>
      <c r="AB38" s="13" t="n">
        <f aca="false">Time!AB35*(AB35-AB36)*AB19</f>
        <v>4.82816527496133</v>
      </c>
      <c r="AC38" s="13" t="n">
        <f aca="false">Time!AC35*(AC35-AC36)*AC19</f>
        <v>4.96544370629696</v>
      </c>
      <c r="AD38" s="13" t="n">
        <f aca="false">Time!AD35*(AD35-AD36)*AD19</f>
        <v>5.20181513589744</v>
      </c>
      <c r="AE38" s="13" t="n">
        <f aca="false">Time!AE35*(AE35-AE36)*AE19</f>
        <v>5.62308835192703</v>
      </c>
      <c r="AF38" s="13" t="n">
        <f aca="false">Time!AF35*(AF35-AF36)*AF19</f>
        <v>5.92571666440264</v>
      </c>
      <c r="AG38" s="13" t="n">
        <f aca="false">Time!AG35*(AG35-AG36)*AG19</f>
        <v>5.96859268135475</v>
      </c>
      <c r="AH38" s="13" t="n">
        <f aca="false">Time!AH35*(AH35-AH36)*AH19</f>
        <v>6.27708372756404</v>
      </c>
      <c r="AI38" s="13" t="n">
        <f aca="false">Time!AI35*(AI35-AI36)*AI19</f>
        <v>6.47335034955541</v>
      </c>
      <c r="AJ38" s="13" t="n">
        <f aca="false">Time!AJ35*(AJ35-AJ36)*AJ19</f>
        <v>6.79074720408109</v>
      </c>
      <c r="AK38" s="13" t="n">
        <f aca="false">Time!AK35*(AK35-AK36)*AK19</f>
        <v>6.99213936088813</v>
      </c>
      <c r="AL38" s="13" t="n">
        <f aca="false">Time!AL35*(AL35-AL36)*AL19</f>
        <v>7.32063026826263</v>
      </c>
      <c r="AM38" s="13" t="n">
        <f aca="false">Time!AM35*(AM35-AM36)*AM19</f>
        <v>7.66183235571712</v>
      </c>
      <c r="AN38" s="13" t="n">
        <f aca="false">Time!AN35*(AN35-AN36)*AN19</f>
        <v>8.03227755696245</v>
      </c>
      <c r="AO38" s="13" t="n">
        <f aca="false">Time!AO35*(AO35-AO36)*AO19</f>
        <v>7.84494175705086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135.323206488816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3.60318395930827</v>
      </c>
      <c r="S41" s="13" t="n">
        <f aca="false">S38-S39+S40</f>
        <v>3.73156888430549</v>
      </c>
      <c r="T41" s="13" t="n">
        <f aca="false">T38-T39+T40</f>
        <v>3.90630247444614</v>
      </c>
      <c r="U41" s="13" t="n">
        <f aca="false">U38-U39+U40</f>
        <v>4.01589389470678</v>
      </c>
      <c r="V41" s="13" t="n">
        <f aca="false">V38-V39+V40</f>
        <v>4.19981445406409</v>
      </c>
      <c r="W41" s="13" t="n">
        <f aca="false">W38-W39+W40</f>
        <v>4.43215273408278</v>
      </c>
      <c r="X41" s="13" t="n">
        <f aca="false">X38-X39+X40</f>
        <v>4.63532167655495</v>
      </c>
      <c r="Y41" s="13" t="n">
        <f aca="false">Y38-Y39+Y40</f>
        <v>4.30727008104009</v>
      </c>
      <c r="Z41" s="13" t="n">
        <f aca="false">Z38-Z39+Z40</f>
        <v>4.50982022331308</v>
      </c>
      <c r="AA41" s="13" t="n">
        <f aca="false">AA38-AA39+AA40</f>
        <v>4.60412164962045</v>
      </c>
      <c r="AB41" s="13" t="n">
        <f aca="false">AB38-AB39+AB40</f>
        <v>4.82816527496133</v>
      </c>
      <c r="AC41" s="13" t="n">
        <f aca="false">AC38-AC39+AC40</f>
        <v>4.96544370629696</v>
      </c>
      <c r="AD41" s="13" t="n">
        <f aca="false">AD38-AD39+AD40</f>
        <v>5.20181513589744</v>
      </c>
      <c r="AE41" s="13" t="n">
        <f aca="false">AE38-AE39+AE40</f>
        <v>5.62308835192703</v>
      </c>
      <c r="AF41" s="13" t="n">
        <f aca="false">AF38-AF39+AF40</f>
        <v>5.92571666440264</v>
      </c>
      <c r="AG41" s="13" t="n">
        <f aca="false">AG38-AG39+AG40</f>
        <v>5.96859268135475</v>
      </c>
      <c r="AH41" s="13" t="n">
        <f aca="false">AH38-AH39+AH40</f>
        <v>6.27708372756404</v>
      </c>
      <c r="AI41" s="13" t="n">
        <f aca="false">AI38-AI39+AI40</f>
        <v>6.47335034955541</v>
      </c>
      <c r="AJ41" s="13" t="n">
        <f aca="false">AJ38-AJ39+AJ40</f>
        <v>6.79074720408109</v>
      </c>
      <c r="AK41" s="13" t="n">
        <f aca="false">AK38-AK39+AK40</f>
        <v>6.99213936088813</v>
      </c>
      <c r="AL41" s="13" t="n">
        <f aca="false">AL38-AL39+AL40</f>
        <v>7.32063026826263</v>
      </c>
      <c r="AM41" s="13" t="n">
        <f aca="false">AM38-AM39+AM40</f>
        <v>7.66183235571712</v>
      </c>
      <c r="AN41" s="13" t="n">
        <f aca="false">AN38-AN39+AN40</f>
        <v>8.03227755696245</v>
      </c>
      <c r="AO41" s="13" t="n">
        <f aca="false">AO38-AO39+AO40</f>
        <v>7.84494175705086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3.993108130594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3.993108130594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131.851274426364</v>
      </c>
      <c r="R45" s="13" t="n">
        <f aca="false">R35-R41-R42-R43</f>
        <v>128.248090467056</v>
      </c>
      <c r="S45" s="13" t="n">
        <f aca="false">S35-S41-S42-S43</f>
        <v>124.51652158275</v>
      </c>
      <c r="T45" s="13" t="n">
        <f aca="false">T35-T41-T42-T43</f>
        <v>120.610219108304</v>
      </c>
      <c r="U45" s="13" t="n">
        <f aca="false">U35-U41-U42-U43</f>
        <v>116.594325213597</v>
      </c>
      <c r="V45" s="13" t="n">
        <f aca="false">V35-V41-V42-V43</f>
        <v>112.394510759533</v>
      </c>
      <c r="W45" s="13" t="n">
        <f aca="false">W35-W41-W42-W43</f>
        <v>107.96235802545</v>
      </c>
      <c r="X45" s="13" t="n">
        <f aca="false">X35-X41-X42-X43</f>
        <v>103.327036348895</v>
      </c>
      <c r="Y45" s="13" t="n">
        <f aca="false">Y35-Y41-Y42-Y43</f>
        <v>99.0197662678554</v>
      </c>
      <c r="Z45" s="13" t="n">
        <f aca="false">Z35-Z41-Z42-Z43</f>
        <v>94.5099460445423</v>
      </c>
      <c r="AA45" s="13" t="n">
        <f aca="false">AA35-AA41-AA42-AA43</f>
        <v>89.9058243949219</v>
      </c>
      <c r="AB45" s="13" t="n">
        <f aca="false">AB35-AB41-AB42-AB43</f>
        <v>85.0776591199605</v>
      </c>
      <c r="AC45" s="13" t="n">
        <f aca="false">AC35-AC41-AC42-AC43</f>
        <v>80.1122154136636</v>
      </c>
      <c r="AD45" s="13" t="n">
        <f aca="false">AD35-AD41-AD42-AD43</f>
        <v>74.9104002777661</v>
      </c>
      <c r="AE45" s="13" t="n">
        <f aca="false">AE35-AE41-AE42-AE43</f>
        <v>69.2873119258391</v>
      </c>
      <c r="AF45" s="13" t="n">
        <f aca="false">AF35-AF41-AF42-AF43</f>
        <v>63.3615952614365</v>
      </c>
      <c r="AG45" s="13" t="n">
        <f aca="false">AG35-AG41-AG42-AG43</f>
        <v>57.3930025800817</v>
      </c>
      <c r="AH45" s="13" t="n">
        <f aca="false">AH35-AH41-AH42-AH43</f>
        <v>51.1159188525177</v>
      </c>
      <c r="AI45" s="13" t="n">
        <f aca="false">AI35-AI41-AI42-AI43</f>
        <v>44.6425685029623</v>
      </c>
      <c r="AJ45" s="13" t="n">
        <f aca="false">AJ35-AJ41-AJ42-AJ43</f>
        <v>37.8518212988812</v>
      </c>
      <c r="AK45" s="13" t="n">
        <f aca="false">AK35-AK41-AK42-AK43</f>
        <v>30.8596819379931</v>
      </c>
      <c r="AL45" s="13" t="n">
        <f aca="false">AL35-AL41-AL42-AL43</f>
        <v>23.5390516697304</v>
      </c>
      <c r="AM45" s="13" t="n">
        <f aca="false">AM35-AM41-AM42-AM43</f>
        <v>15.8772193140133</v>
      </c>
      <c r="AN45" s="13" t="n">
        <f aca="false">AN35-AN41-AN42-AN43</f>
        <v>7.84494175705086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131.851274426364</v>
      </c>
      <c r="R47" s="13" t="n">
        <f aca="false">IF(Time!R34=1,INDEX(Funding!$J$62:$BJ$62,1,Time!$F$14),Time!R35*(R45-R46))</f>
        <v>128.248090467056</v>
      </c>
      <c r="S47" s="13" t="n">
        <f aca="false">IF(Time!S34=1,INDEX(Funding!$J$62:$BJ$62,1,Time!$F$14),Time!S35*(S45-S46))</f>
        <v>124.51652158275</v>
      </c>
      <c r="T47" s="13" t="n">
        <f aca="false">IF(Time!T34=1,INDEX(Funding!$J$62:$BJ$62,1,Time!$F$14),Time!T35*(T45-T46))</f>
        <v>120.610219108304</v>
      </c>
      <c r="U47" s="13" t="n">
        <f aca="false">IF(Time!U34=1,INDEX(Funding!$J$62:$BJ$62,1,Time!$F$14),Time!U35*(U45-U46))</f>
        <v>116.594325213597</v>
      </c>
      <c r="V47" s="13" t="n">
        <f aca="false">IF(Time!V34=1,INDEX(Funding!$J$62:$BJ$62,1,Time!$F$14),Time!V35*(V45-V46))</f>
        <v>112.394510759533</v>
      </c>
      <c r="W47" s="13" t="n">
        <f aca="false">IF(Time!W34=1,INDEX(Funding!$J$62:$BJ$62,1,Time!$F$14),Time!W35*(W45-W46))</f>
        <v>107.96235802545</v>
      </c>
      <c r="X47" s="13" t="n">
        <f aca="false">IF(Time!X34=1,INDEX(Funding!$J$62:$BJ$62,1,Time!$F$14),Time!X35*(X45-X46))</f>
        <v>103.327036348895</v>
      </c>
      <c r="Y47" s="13" t="n">
        <f aca="false">IF(Time!Y34=1,INDEX(Funding!$J$62:$BJ$62,1,Time!$F$14),Time!Y35*(Y45-Y46))</f>
        <v>99.0197662678554</v>
      </c>
      <c r="Z47" s="13" t="n">
        <f aca="false">IF(Time!Z34=1,INDEX(Funding!$J$62:$BJ$62,1,Time!$F$14),Time!Z35*(Z45-Z46))</f>
        <v>94.5099460445423</v>
      </c>
      <c r="AA47" s="13" t="n">
        <f aca="false">IF(Time!AA34=1,INDEX(Funding!$J$62:$BJ$62,1,Time!$F$14),Time!AA35*(AA45-AA46))</f>
        <v>89.9058243949219</v>
      </c>
      <c r="AB47" s="13" t="n">
        <f aca="false">IF(Time!AB34=1,INDEX(Funding!$J$62:$BJ$62,1,Time!$F$14),Time!AB35*(AB45-AB46))</f>
        <v>85.0776591199605</v>
      </c>
      <c r="AC47" s="13" t="n">
        <f aca="false">IF(Time!AC34=1,INDEX(Funding!$J$62:$BJ$62,1,Time!$F$14),Time!AC35*(AC45-AC46))</f>
        <v>80.1122154136636</v>
      </c>
      <c r="AD47" s="13" t="n">
        <f aca="false">IF(Time!AD34=1,INDEX(Funding!$J$62:$BJ$62,1,Time!$F$14),Time!AD35*(AD45-AD46))</f>
        <v>74.9104002777661</v>
      </c>
      <c r="AE47" s="13" t="n">
        <f aca="false">IF(Time!AE34=1,INDEX(Funding!$J$62:$BJ$62,1,Time!$F$14),Time!AE35*(AE45-AE46))</f>
        <v>69.2873119258391</v>
      </c>
      <c r="AF47" s="13" t="n">
        <f aca="false">IF(Time!AF34=1,INDEX(Funding!$J$62:$BJ$62,1,Time!$F$14),Time!AF35*(AF45-AF46))</f>
        <v>63.3615952614365</v>
      </c>
      <c r="AG47" s="13" t="n">
        <f aca="false">IF(Time!AG34=1,INDEX(Funding!$J$62:$BJ$62,1,Time!$F$14),Time!AG35*(AG45-AG46))</f>
        <v>57.3930025800817</v>
      </c>
      <c r="AH47" s="13" t="n">
        <f aca="false">IF(Time!AH34=1,INDEX(Funding!$J$62:$BJ$62,1,Time!$F$14),Time!AH35*(AH45-AH46))</f>
        <v>51.1159188525177</v>
      </c>
      <c r="AI47" s="13" t="n">
        <f aca="false">IF(Time!AI34=1,INDEX(Funding!$J$62:$BJ$62,1,Time!$F$14),Time!AI35*(AI45-AI46))</f>
        <v>44.6425685029623</v>
      </c>
      <c r="AJ47" s="13" t="n">
        <f aca="false">IF(Time!AJ34=1,INDEX(Funding!$J$62:$BJ$62,1,Time!$F$14),Time!AJ35*(AJ45-AJ46))</f>
        <v>37.8518212988812</v>
      </c>
      <c r="AK47" s="13" t="n">
        <f aca="false">IF(Time!AK34=1,INDEX(Funding!$J$62:$BJ$62,1,Time!$F$14),Time!AK35*(AK45-AK46))</f>
        <v>30.8596819379931</v>
      </c>
      <c r="AL47" s="13" t="n">
        <f aca="false">IF(Time!AL34=1,INDEX(Funding!$J$62:$BJ$62,1,Time!$F$14),Time!AL35*(AL45-AL46))</f>
        <v>23.5390516697304</v>
      </c>
      <c r="AM47" s="13" t="n">
        <f aca="false">IF(Time!AM34=1,INDEX(Funding!$J$62:$BJ$62,1,Time!$F$14),Time!AM35*(AM45-AM46))</f>
        <v>15.8772193140133</v>
      </c>
      <c r="AN47" s="13" t="n">
        <f aca="false">IF(Time!AN34=1,INDEX(Funding!$J$62:$BJ$62,1,Time!$F$14),Time!AN35*(AN45-AN46))</f>
        <v>7.84494175705086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59.9323974665291</v>
      </c>
      <c r="S49" s="13" t="n">
        <f aca="false">Time!S35*R61</f>
        <v>58.2945865759344</v>
      </c>
      <c r="T49" s="13" t="n">
        <f aca="false">Time!T35*S61</f>
        <v>56.5984189012501</v>
      </c>
      <c r="U49" s="13" t="n">
        <f aca="false">Time!U35*T61</f>
        <v>54.8228268674109</v>
      </c>
      <c r="V49" s="13" t="n">
        <f aca="false">Time!V35*U61</f>
        <v>52.9974205516351</v>
      </c>
      <c r="W49" s="13" t="n">
        <f aca="false">Time!W35*V61</f>
        <v>51.088413981606</v>
      </c>
      <c r="X49" s="13" t="n">
        <f aca="false">Time!X35*W61</f>
        <v>49.0737991024775</v>
      </c>
      <c r="Y49" s="13" t="n">
        <f aca="false">Time!Y35*X61</f>
        <v>46.9668347040434</v>
      </c>
      <c r="Z49" s="13" t="n">
        <f aca="false">Time!Z35*Y61</f>
        <v>45.008984667207</v>
      </c>
      <c r="AA49" s="13" t="n">
        <f aca="false">Time!AA35*Z61</f>
        <v>42.9590663838829</v>
      </c>
      <c r="AB49" s="13" t="n">
        <f aca="false">Time!AB35*AA61</f>
        <v>40.8662838158736</v>
      </c>
      <c r="AC49" s="13" t="n">
        <f aca="false">Time!AC35*AB61</f>
        <v>38.6716632363457</v>
      </c>
      <c r="AD49" s="13" t="n">
        <f aca="false">Time!AD35*AC61</f>
        <v>36.4146433698471</v>
      </c>
      <c r="AE49" s="13" t="n">
        <f aca="false">Time!AE35*AD61</f>
        <v>34.0501819444391</v>
      </c>
      <c r="AF49" s="13" t="n">
        <f aca="false">Time!AF35*AE61</f>
        <v>31.4942326935632</v>
      </c>
      <c r="AG49" s="13" t="n">
        <f aca="false">Time!AG35*AF61</f>
        <v>28.8007251188348</v>
      </c>
      <c r="AH49" s="13" t="n">
        <f aca="false">Time!AH35*AG61</f>
        <v>26.0877284454917</v>
      </c>
      <c r="AI49" s="13" t="n">
        <f aca="false">Time!AI35*AH61</f>
        <v>23.2345085693262</v>
      </c>
      <c r="AJ49" s="13" t="n">
        <f aca="false">Time!AJ35*AI61</f>
        <v>20.2920765922556</v>
      </c>
      <c r="AK49" s="13" t="n">
        <f aca="false">Time!AK35*AJ61</f>
        <v>17.2053733176733</v>
      </c>
      <c r="AL49" s="13" t="n">
        <f aca="false">Time!AL35*AK61</f>
        <v>14.0271281536332</v>
      </c>
      <c r="AM49" s="13" t="n">
        <f aca="false">Time!AM35*AL61</f>
        <v>10.6995689407866</v>
      </c>
      <c r="AN49" s="13" t="n">
        <f aca="false">Time!AN35*AM61</f>
        <v>7.21691787000605</v>
      </c>
      <c r="AO49" s="13" t="n">
        <f aca="false">Time!AO35*AN61</f>
        <v>3.5658826168413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30.2048198977008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2.0726995792828</v>
      </c>
      <c r="R51" s="13" t="n">
        <f aca="false">R49*R12</f>
        <v>1.99415063836964</v>
      </c>
      <c r="S51" s="13" t="n">
        <f aca="false">S49*S12</f>
        <v>1.91096131972199</v>
      </c>
      <c r="T51" s="13" t="n">
        <f aca="false">T49*T12</f>
        <v>1.8861108663181</v>
      </c>
      <c r="U51" s="13" t="n">
        <f aca="false">U49*U12</f>
        <v>1.80708220205401</v>
      </c>
      <c r="V51" s="13" t="n">
        <f aca="false">V49*V12</f>
        <v>1.76610959687182</v>
      </c>
      <c r="W51" s="13" t="n">
        <f aca="false">W49*W12</f>
        <v>1.67473497522147</v>
      </c>
      <c r="X51" s="13" t="n">
        <f aca="false">X49*X12</f>
        <v>1.63535709186834</v>
      </c>
      <c r="Y51" s="13" t="n">
        <f aca="false">Y49*Y12</f>
        <v>1.53962502697044</v>
      </c>
      <c r="Z51" s="13" t="n">
        <f aca="false">Z49*Z12</f>
        <v>1.49989940904319</v>
      </c>
      <c r="AA51" s="13" t="n">
        <f aca="false">AA49*AA12</f>
        <v>1.40824592835966</v>
      </c>
      <c r="AB51" s="13" t="n">
        <f aca="false">AB49*AB12</f>
        <v>1.36184620467298</v>
      </c>
      <c r="AC51" s="13" t="n">
        <f aca="false">AC49*AC12</f>
        <v>1.27470395729937</v>
      </c>
      <c r="AD51" s="13" t="n">
        <f aca="false">AD49*AD12</f>
        <v>1.21349775994273</v>
      </c>
      <c r="AE51" s="13" t="n">
        <f aca="false">AE49*AE12</f>
        <v>1.11620279767421</v>
      </c>
      <c r="AF51" s="13" t="n">
        <f aca="false">AF49*AF12</f>
        <v>1.04952780771705</v>
      </c>
      <c r="AG51" s="13" t="n">
        <f aca="false">AG49*AG12</f>
        <v>0.944119770201091</v>
      </c>
      <c r="AH51" s="13" t="n">
        <f aca="false">AH49*AH12</f>
        <v>0.869359057263541</v>
      </c>
      <c r="AI51" s="13" t="n">
        <f aca="false">AI49*AI12</f>
        <v>0.761653007023146</v>
      </c>
      <c r="AJ51" s="13" t="n">
        <f aca="false">AJ49*AJ12</f>
        <v>0.676222179061032</v>
      </c>
      <c r="AK51" s="13" t="n">
        <f aca="false">AK49*AK12</f>
        <v>0.567127338713439</v>
      </c>
      <c r="AL51" s="13" t="n">
        <f aca="false">AL49*AL12</f>
        <v>0.467446252870852</v>
      </c>
      <c r="AM51" s="13" t="n">
        <f aca="false">AM49*AM12</f>
        <v>0.350743758288917</v>
      </c>
      <c r="AN51" s="13" t="n">
        <f aca="false">AN49*AN12</f>
        <v>0.240499778619135</v>
      </c>
      <c r="AO51" s="13" t="n">
        <f aca="false">AO49*AO12</f>
        <v>0.116893594271854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61.5105484040074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1.63781089059467</v>
      </c>
      <c r="S52" s="13" t="n">
        <f aca="false">Time!S35*(S49-S50)*S19</f>
        <v>1.69616767468431</v>
      </c>
      <c r="T52" s="13" t="n">
        <f aca="false">Time!T35*(T49-T50)*T19</f>
        <v>1.77559203383915</v>
      </c>
      <c r="U52" s="13" t="n">
        <f aca="false">Time!U35*(U49-U50)*U19</f>
        <v>1.82540631577581</v>
      </c>
      <c r="V52" s="13" t="n">
        <f aca="false">Time!V35*(V49-V50)*V19</f>
        <v>1.90900657002913</v>
      </c>
      <c r="W52" s="13" t="n">
        <f aca="false">Time!W35*(W49-W50)*W19</f>
        <v>2.01461487912854</v>
      </c>
      <c r="X52" s="13" t="n">
        <f aca="false">Time!X35*(X49-X50)*X19</f>
        <v>2.10696439843407</v>
      </c>
      <c r="Y52" s="13" t="n">
        <f aca="false">Time!Y35*(Y49-Y50)*Y19</f>
        <v>1.9578500368364</v>
      </c>
      <c r="Z52" s="13" t="n">
        <f aca="false">Time!Z35*(Z49-Z50)*Z19</f>
        <v>2.04991828332413</v>
      </c>
      <c r="AA52" s="13" t="n">
        <f aca="false">Time!AA35*(AA49-AA50)*AA19</f>
        <v>2.0927825680093</v>
      </c>
      <c r="AB52" s="13" t="n">
        <f aca="false">Time!AB35*(AB49-AB50)*AB19</f>
        <v>2.19462057952788</v>
      </c>
      <c r="AC52" s="13" t="n">
        <f aca="false">Time!AC35*(AC49-AC50)*AC19</f>
        <v>2.25701986649862</v>
      </c>
      <c r="AD52" s="13" t="n">
        <f aca="false">Time!AD35*(AD49-AD50)*AD19</f>
        <v>2.36446142540793</v>
      </c>
      <c r="AE52" s="13" t="n">
        <f aca="false">Time!AE35*(AE49-AE50)*AE19</f>
        <v>2.55594925087592</v>
      </c>
      <c r="AF52" s="13" t="n">
        <f aca="false">Time!AF35*(AF49-AF50)*AF19</f>
        <v>2.69350757472847</v>
      </c>
      <c r="AG52" s="13" t="n">
        <f aca="false">Time!AG35*(AG49-AG50)*AG19</f>
        <v>2.71299667334307</v>
      </c>
      <c r="AH52" s="13" t="n">
        <f aca="false">Time!AH35*(AH49-AH50)*AH19</f>
        <v>2.85321987616547</v>
      </c>
      <c r="AI52" s="13" t="n">
        <f aca="false">Time!AI35*(AI49-AI50)*AI19</f>
        <v>2.94243197707064</v>
      </c>
      <c r="AJ52" s="13" t="n">
        <f aca="false">Time!AJ35*(AJ49-AJ50)*AJ19</f>
        <v>3.08670327458231</v>
      </c>
      <c r="AK52" s="13" t="n">
        <f aca="false">Time!AK35*(AK49-AK50)*AK19</f>
        <v>3.17824516404006</v>
      </c>
      <c r="AL52" s="13" t="n">
        <f aca="false">Time!AL35*(AL49-AL50)*AL19</f>
        <v>3.32755921284665</v>
      </c>
      <c r="AM52" s="13" t="n">
        <f aca="false">Time!AM35*(AM49-AM50)*AM19</f>
        <v>3.48265107078051</v>
      </c>
      <c r="AN52" s="13" t="n">
        <f aca="false">Time!AN35*(AN49-AN50)*AN19</f>
        <v>3.65103525316475</v>
      </c>
      <c r="AO52" s="13" t="n">
        <f aca="false">Time!AO35*(AO49-AO50)*AO19</f>
        <v>3.5658826168413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61.5105484040074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1.63781089059467</v>
      </c>
      <c r="S55" s="13" t="n">
        <f aca="false">S52-S53+S54</f>
        <v>1.69616767468431</v>
      </c>
      <c r="T55" s="13" t="n">
        <f aca="false">T52-T53+T54</f>
        <v>1.77559203383915</v>
      </c>
      <c r="U55" s="13" t="n">
        <f aca="false">U52-U53+U54</f>
        <v>1.82540631577581</v>
      </c>
      <c r="V55" s="13" t="n">
        <f aca="false">V52-V53+V54</f>
        <v>1.90900657002913</v>
      </c>
      <c r="W55" s="13" t="n">
        <f aca="false">W52-W53+W54</f>
        <v>2.01461487912854</v>
      </c>
      <c r="X55" s="13" t="n">
        <f aca="false">X52-X53+X54</f>
        <v>2.10696439843407</v>
      </c>
      <c r="Y55" s="13" t="n">
        <f aca="false">Y52-Y53+Y54</f>
        <v>1.9578500368364</v>
      </c>
      <c r="Z55" s="13" t="n">
        <f aca="false">Z52-Z53+Z54</f>
        <v>2.04991828332413</v>
      </c>
      <c r="AA55" s="13" t="n">
        <f aca="false">AA52-AA53+AA54</f>
        <v>2.0927825680093</v>
      </c>
      <c r="AB55" s="13" t="n">
        <f aca="false">AB52-AB53+AB54</f>
        <v>2.19462057952788</v>
      </c>
      <c r="AC55" s="13" t="n">
        <f aca="false">AC52-AC53+AC54</f>
        <v>2.25701986649862</v>
      </c>
      <c r="AD55" s="13" t="n">
        <f aca="false">AD52-AD53+AD54</f>
        <v>2.36446142540793</v>
      </c>
      <c r="AE55" s="13" t="n">
        <f aca="false">AE52-AE53+AE54</f>
        <v>2.55594925087592</v>
      </c>
      <c r="AF55" s="13" t="n">
        <f aca="false">AF52-AF53+AF54</f>
        <v>2.69350757472847</v>
      </c>
      <c r="AG55" s="13" t="n">
        <f aca="false">AG52-AG53+AG54</f>
        <v>2.71299667334307</v>
      </c>
      <c r="AH55" s="13" t="n">
        <f aca="false">AH52-AH53+AH54</f>
        <v>2.85321987616547</v>
      </c>
      <c r="AI55" s="13" t="n">
        <f aca="false">AI52-AI53+AI54</f>
        <v>2.94243197707064</v>
      </c>
      <c r="AJ55" s="13" t="n">
        <f aca="false">AJ52-AJ53+AJ54</f>
        <v>3.08670327458231</v>
      </c>
      <c r="AK55" s="13" t="n">
        <f aca="false">AK52-AK53+AK54</f>
        <v>3.17824516404006</v>
      </c>
      <c r="AL55" s="13" t="n">
        <f aca="false">AL52-AL53+AL54</f>
        <v>3.32755921284665</v>
      </c>
      <c r="AM55" s="13" t="n">
        <f aca="false">AM52-AM53+AM54</f>
        <v>3.48265107078051</v>
      </c>
      <c r="AN55" s="13" t="n">
        <f aca="false">AN52-AN53+AN54</f>
        <v>3.65103525316475</v>
      </c>
      <c r="AO55" s="13" t="n">
        <f aca="false">AO52-AO53+AO54</f>
        <v>3.5658826168413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1.81504915027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1.81504915027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59.9323974665291</v>
      </c>
      <c r="R59" s="13" t="n">
        <f aca="false">R49-R55-R56-R57</f>
        <v>58.2945865759344</v>
      </c>
      <c r="S59" s="13" t="n">
        <f aca="false">S49-S55-S56-S57</f>
        <v>56.5984189012501</v>
      </c>
      <c r="T59" s="13" t="n">
        <f aca="false">T49-T55-T56-T57</f>
        <v>54.8228268674109</v>
      </c>
      <c r="U59" s="13" t="n">
        <f aca="false">U49-U55-U56-U57</f>
        <v>52.9974205516351</v>
      </c>
      <c r="V59" s="13" t="n">
        <f aca="false">V49-V55-V56-V57</f>
        <v>51.088413981606</v>
      </c>
      <c r="W59" s="13" t="n">
        <f aca="false">W49-W55-W56-W57</f>
        <v>49.0737991024775</v>
      </c>
      <c r="X59" s="13" t="n">
        <f aca="false">X49-X55-X56-X57</f>
        <v>46.9668347040434</v>
      </c>
      <c r="Y59" s="13" t="n">
        <f aca="false">Y49-Y55-Y56-Y57</f>
        <v>45.008984667207</v>
      </c>
      <c r="Z59" s="13" t="n">
        <f aca="false">Z49-Z55-Z56-Z57</f>
        <v>42.9590663838829</v>
      </c>
      <c r="AA59" s="13" t="n">
        <f aca="false">AA49-AA55-AA56-AA57</f>
        <v>40.8662838158736</v>
      </c>
      <c r="AB59" s="13" t="n">
        <f aca="false">AB49-AB55-AB56-AB57</f>
        <v>38.6716632363457</v>
      </c>
      <c r="AC59" s="13" t="n">
        <f aca="false">AC49-AC55-AC56-AC57</f>
        <v>36.4146433698471</v>
      </c>
      <c r="AD59" s="13" t="n">
        <f aca="false">AD49-AD55-AD56-AD57</f>
        <v>34.0501819444391</v>
      </c>
      <c r="AE59" s="13" t="n">
        <f aca="false">AE49-AE55-AE56-AE57</f>
        <v>31.4942326935632</v>
      </c>
      <c r="AF59" s="13" t="n">
        <f aca="false">AF49-AF55-AF56-AF57</f>
        <v>28.8007251188348</v>
      </c>
      <c r="AG59" s="13" t="n">
        <f aca="false">AG49-AG55-AG56-AG57</f>
        <v>26.0877284454917</v>
      </c>
      <c r="AH59" s="13" t="n">
        <f aca="false">AH49-AH55-AH56-AH57</f>
        <v>23.2345085693262</v>
      </c>
      <c r="AI59" s="13" t="n">
        <f aca="false">AI49-AI55-AI56-AI57</f>
        <v>20.2920765922556</v>
      </c>
      <c r="AJ59" s="13" t="n">
        <f aca="false">AJ49-AJ55-AJ56-AJ57</f>
        <v>17.2053733176733</v>
      </c>
      <c r="AK59" s="13" t="n">
        <f aca="false">AK49-AK55-AK56-AK57</f>
        <v>14.0271281536332</v>
      </c>
      <c r="AL59" s="13" t="n">
        <f aca="false">AL49-AL55-AL56-AL57</f>
        <v>10.6995689407866</v>
      </c>
      <c r="AM59" s="13" t="n">
        <f aca="false">AM49-AM55-AM56-AM57</f>
        <v>7.21691787000605</v>
      </c>
      <c r="AN59" s="13" t="n">
        <f aca="false">AN49-AN55-AN56-AN57</f>
        <v>3.5658826168413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59.9323974665291</v>
      </c>
      <c r="R61" s="13" t="n">
        <f aca="false">IF(Time!R34=1,INDEX(Funding!$J$63:$BJ$63,1,Time!$F$14),Time!R35*(R59-R60))</f>
        <v>58.2945865759344</v>
      </c>
      <c r="S61" s="13" t="n">
        <f aca="false">IF(Time!S34=1,INDEX(Funding!$J$63:$BJ$63,1,Time!$F$14),Time!S35*(S59-S60))</f>
        <v>56.5984189012501</v>
      </c>
      <c r="T61" s="13" t="n">
        <f aca="false">IF(Time!T34=1,INDEX(Funding!$J$63:$BJ$63,1,Time!$F$14),Time!T35*(T59-T60))</f>
        <v>54.8228268674109</v>
      </c>
      <c r="U61" s="13" t="n">
        <f aca="false">IF(Time!U34=1,INDEX(Funding!$J$63:$BJ$63,1,Time!$F$14),Time!U35*(U59-U60))</f>
        <v>52.9974205516351</v>
      </c>
      <c r="V61" s="13" t="n">
        <f aca="false">IF(Time!V34=1,INDEX(Funding!$J$63:$BJ$63,1,Time!$F$14),Time!V35*(V59-V60))</f>
        <v>51.088413981606</v>
      </c>
      <c r="W61" s="13" t="n">
        <f aca="false">IF(Time!W34=1,INDEX(Funding!$J$63:$BJ$63,1,Time!$F$14),Time!W35*(W59-W60))</f>
        <v>49.0737991024775</v>
      </c>
      <c r="X61" s="13" t="n">
        <f aca="false">IF(Time!X34=1,INDEX(Funding!$J$63:$BJ$63,1,Time!$F$14),Time!X35*(X59-X60))</f>
        <v>46.9668347040434</v>
      </c>
      <c r="Y61" s="13" t="n">
        <f aca="false">IF(Time!Y34=1,INDEX(Funding!$J$63:$BJ$63,1,Time!$F$14),Time!Y35*(Y59-Y60))</f>
        <v>45.008984667207</v>
      </c>
      <c r="Z61" s="13" t="n">
        <f aca="false">IF(Time!Z34=1,INDEX(Funding!$J$63:$BJ$63,1,Time!$F$14),Time!Z35*(Z59-Z60))</f>
        <v>42.9590663838829</v>
      </c>
      <c r="AA61" s="13" t="n">
        <f aca="false">IF(Time!AA34=1,INDEX(Funding!$J$63:$BJ$63,1,Time!$F$14),Time!AA35*(AA59-AA60))</f>
        <v>40.8662838158736</v>
      </c>
      <c r="AB61" s="13" t="n">
        <f aca="false">IF(Time!AB34=1,INDEX(Funding!$J$63:$BJ$63,1,Time!$F$14),Time!AB35*(AB59-AB60))</f>
        <v>38.6716632363457</v>
      </c>
      <c r="AC61" s="13" t="n">
        <f aca="false">IF(Time!AC34=1,INDEX(Funding!$J$63:$BJ$63,1,Time!$F$14),Time!AC35*(AC59-AC60))</f>
        <v>36.4146433698471</v>
      </c>
      <c r="AD61" s="13" t="n">
        <f aca="false">IF(Time!AD34=1,INDEX(Funding!$J$63:$BJ$63,1,Time!$F$14),Time!AD35*(AD59-AD60))</f>
        <v>34.0501819444391</v>
      </c>
      <c r="AE61" s="13" t="n">
        <f aca="false">IF(Time!AE34=1,INDEX(Funding!$J$63:$BJ$63,1,Time!$F$14),Time!AE35*(AE59-AE60))</f>
        <v>31.4942326935632</v>
      </c>
      <c r="AF61" s="13" t="n">
        <f aca="false">IF(Time!AF34=1,INDEX(Funding!$J$63:$BJ$63,1,Time!$F$14),Time!AF35*(AF59-AF60))</f>
        <v>28.8007251188348</v>
      </c>
      <c r="AG61" s="13" t="n">
        <f aca="false">IF(Time!AG34=1,INDEX(Funding!$J$63:$BJ$63,1,Time!$F$14),Time!AG35*(AG59-AG60))</f>
        <v>26.0877284454917</v>
      </c>
      <c r="AH61" s="13" t="n">
        <f aca="false">IF(Time!AH34=1,INDEX(Funding!$J$63:$BJ$63,1,Time!$F$14),Time!AH35*(AH59-AH60))</f>
        <v>23.2345085693262</v>
      </c>
      <c r="AI61" s="13" t="n">
        <f aca="false">IF(Time!AI34=1,INDEX(Funding!$J$63:$BJ$63,1,Time!$F$14),Time!AI35*(AI59-AI60))</f>
        <v>20.2920765922556</v>
      </c>
      <c r="AJ61" s="13" t="n">
        <f aca="false">IF(Time!AJ34=1,INDEX(Funding!$J$63:$BJ$63,1,Time!$F$14),Time!AJ35*(AJ59-AJ60))</f>
        <v>17.2053733176733</v>
      </c>
      <c r="AK61" s="13" t="n">
        <f aca="false">IF(Time!AK34=1,INDEX(Funding!$J$63:$BJ$63,1,Time!$F$14),Time!AK35*(AK59-AK60))</f>
        <v>14.0271281536332</v>
      </c>
      <c r="AL61" s="13" t="n">
        <f aca="false">IF(Time!AL34=1,INDEX(Funding!$J$63:$BJ$63,1,Time!$F$14),Time!AL35*(AL59-AL60))</f>
        <v>10.6995689407866</v>
      </c>
      <c r="AM61" s="13" t="n">
        <f aca="false">IF(Time!AM34=1,INDEX(Funding!$J$63:$BJ$63,1,Time!$F$14),Time!AM35*(AM59-AM60))</f>
        <v>7.21691787000605</v>
      </c>
      <c r="AN61" s="13" t="n">
        <f aca="false">IF(Time!AN34=1,INDEX(Funding!$J$63:$BJ$63,1,Time!$F$14),Time!AN35*(AN59-AN60))</f>
        <v>3.5658826168413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227.74311037281</v>
      </c>
      <c r="S63" s="13" t="n">
        <f aca="false">Time!S35*R75</f>
        <v>221.519428988551</v>
      </c>
      <c r="T63" s="13" t="n">
        <f aca="false">Time!T35*S75</f>
        <v>215.07399182475</v>
      </c>
      <c r="U63" s="13" t="n">
        <f aca="false">Time!U35*T75</f>
        <v>208.326742096162</v>
      </c>
      <c r="V63" s="13" t="n">
        <f aca="false">Time!V35*U75</f>
        <v>201.390198096213</v>
      </c>
      <c r="W63" s="13" t="n">
        <f aca="false">Time!W35*V75</f>
        <v>194.135973130103</v>
      </c>
      <c r="X63" s="13" t="n">
        <f aca="false">Time!X35*W75</f>
        <v>186.480436589414</v>
      </c>
      <c r="Y63" s="13" t="n">
        <f aca="false">Time!Y35*X75</f>
        <v>178.473971875365</v>
      </c>
      <c r="Z63" s="13" t="n">
        <f aca="false">Time!Z35*Y75</f>
        <v>171.034141735387</v>
      </c>
      <c r="AA63" s="13" t="n">
        <f aca="false">Time!AA35*Z75</f>
        <v>163.244452258755</v>
      </c>
      <c r="AB63" s="13" t="n">
        <f aca="false">Time!AB35*AA75</f>
        <v>149.604359563915</v>
      </c>
      <c r="AC63" s="13" t="n">
        <f aca="false">Time!AC35*AB75</f>
        <v>134.872378840057</v>
      </c>
      <c r="AD63" s="13" t="n">
        <f aca="false">Time!AD35*AC75</f>
        <v>120.241363049365</v>
      </c>
      <c r="AE63" s="13" t="n">
        <f aca="false">Time!AE35*AD75</f>
        <v>105.47727656976</v>
      </c>
      <c r="AF63" s="13" t="n">
        <f aca="false">Time!AF35*AE75</f>
        <v>89.7913153110848</v>
      </c>
      <c r="AG63" s="13" t="n">
        <f aca="false">Time!AG35*AF75</f>
        <v>73.0583318514564</v>
      </c>
      <c r="AH63" s="13" t="n">
        <f aca="false">Time!AH35*AG75</f>
        <v>56.9679009102516</v>
      </c>
      <c r="AI63" s="13" t="n">
        <f aca="false">Time!AI35*AH75</f>
        <v>40.2818984261525</v>
      </c>
      <c r="AJ63" s="13" t="n">
        <f aca="false">Time!AJ35*AI75</f>
        <v>24.0029488519927</v>
      </c>
      <c r="AK63" s="13" t="n">
        <f aca="false">Time!AK35*AJ75</f>
        <v>7.47998789884091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126.684410528052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9.69240878532002</v>
      </c>
      <c r="R65" s="13" t="n">
        <f aca="false">R63*R13</f>
        <v>9.32509629459831</v>
      </c>
      <c r="S65" s="13" t="n">
        <f aca="false">S63*S13</f>
        <v>8.93475370959314</v>
      </c>
      <c r="T65" s="13" t="n">
        <f aca="false">T63*T13</f>
        <v>8.81856471170816</v>
      </c>
      <c r="U65" s="13" t="n">
        <f aca="false">U63*U13</f>
        <v>8.44906395629753</v>
      </c>
      <c r="V65" s="13" t="n">
        <f aca="false">V63*V13</f>
        <v>8.25749538169314</v>
      </c>
      <c r="W65" s="13" t="n">
        <f aca="false">W63*W13</f>
        <v>7.83027075326793</v>
      </c>
      <c r="X65" s="13" t="n">
        <f aca="false">X63*X13</f>
        <v>7.64615834568843</v>
      </c>
      <c r="Y65" s="13" t="n">
        <f aca="false">Y63*Y13</f>
        <v>7.69707562903966</v>
      </c>
      <c r="Z65" s="13" t="n">
        <f aca="false">Z63*Z13</f>
        <v>7.49847461889759</v>
      </c>
      <c r="AA65" s="13" t="n">
        <f aca="false">AA63*AA13</f>
        <v>7.04026969229023</v>
      </c>
      <c r="AB65" s="13" t="n">
        <f aca="false">AB63*AB13</f>
        <v>6.55895063806634</v>
      </c>
      <c r="AC65" s="13" t="n">
        <f aca="false">AC63*AC13</f>
        <v>5.84879898658746</v>
      </c>
      <c r="AD65" s="13" t="n">
        <f aca="false">AD63*AD13</f>
        <v>5.2716188698877</v>
      </c>
      <c r="AE65" s="13" t="n">
        <f aca="false">AE63*AE13</f>
        <v>4.54893543507582</v>
      </c>
      <c r="AF65" s="13" t="n">
        <f aca="false">AF63*AF13</f>
        <v>3.93662862879906</v>
      </c>
      <c r="AG65" s="13" t="n">
        <f aca="false">AG63*AG13</f>
        <v>3.35486565726031</v>
      </c>
      <c r="AH65" s="13" t="n">
        <f aca="false">AH63*AH13</f>
        <v>2.65934601138078</v>
      </c>
      <c r="AI65" s="13" t="n">
        <f aca="false">AI63*AI13</f>
        <v>1.84975969495056</v>
      </c>
      <c r="AJ65" s="13" t="n">
        <f aca="false">AJ63*AJ13</f>
        <v>1.12049321233524</v>
      </c>
      <c r="AK65" s="13" t="n">
        <f aca="false">AK63*AK13</f>
        <v>0.345381515314258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141.005144253729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6.22368138425974</v>
      </c>
      <c r="S66" s="13" t="n">
        <f aca="false">Time!S35*(S63-S64)*S19</f>
        <v>6.4454371638004</v>
      </c>
      <c r="T66" s="13" t="n">
        <f aca="false">Time!T35*(T63-T64)*T19</f>
        <v>6.74724972858878</v>
      </c>
      <c r="U66" s="13" t="n">
        <f aca="false">Time!U35*(U63-U64)*U19</f>
        <v>6.93654399994808</v>
      </c>
      <c r="V66" s="13" t="n">
        <f aca="false">Time!V35*(V63-V64)*V19</f>
        <v>7.2542249661107</v>
      </c>
      <c r="W66" s="13" t="n">
        <f aca="false">Time!W35*(W63-W64)*W19</f>
        <v>7.65553654068844</v>
      </c>
      <c r="X66" s="13" t="n">
        <f aca="false">Time!X35*(X63-X64)*X19</f>
        <v>8.00646471404946</v>
      </c>
      <c r="Y66" s="13" t="n">
        <f aca="false">Time!Y35*(Y63-Y64)*Y19</f>
        <v>7.43983013997834</v>
      </c>
      <c r="Z66" s="13" t="n">
        <f aca="false">Time!Z35*(Z63-Z64)*Z19</f>
        <v>7.78968947663168</v>
      </c>
      <c r="AA66" s="13" t="n">
        <f aca="false">Time!AA35*(AA63-AA64)*AA19</f>
        <v>7.95257375843533</v>
      </c>
      <c r="AB66" s="13" t="n">
        <f aca="false">Time!AB35*(AB63-AB64)*AB19</f>
        <v>8.0341243594683</v>
      </c>
      <c r="AC66" s="13" t="n">
        <f aca="false">Time!AC35*(AC63-AC64)*AC19</f>
        <v>7.87164587733159</v>
      </c>
      <c r="AD66" s="13" t="n">
        <f aca="false">Time!AD35*(AD63-AD64)*AD19</f>
        <v>7.80746530402961</v>
      </c>
      <c r="AE66" s="13" t="n">
        <f aca="false">Time!AE35*(AE63-AE64)*AE19</f>
        <v>7.91756609326836</v>
      </c>
      <c r="AF66" s="13" t="n">
        <f aca="false">Time!AF35*(AF63-AF64)*AF19</f>
        <v>7.67929767613197</v>
      </c>
      <c r="AG66" s="13" t="n">
        <f aca="false">Time!AG35*(AG63-AG64)*AG19</f>
        <v>6.88201461786718</v>
      </c>
      <c r="AH66" s="13" t="n">
        <f aca="false">Time!AH35*(AH63-AH64)*AH19</f>
        <v>6.23059027619725</v>
      </c>
      <c r="AI66" s="13" t="n">
        <f aca="false">Time!AI35*(AI63-AI64)*AI19</f>
        <v>5.10132356243159</v>
      </c>
      <c r="AJ66" s="13" t="n">
        <f aca="false">Time!AJ35*(AJ63-AJ64)*AJ19</f>
        <v>3.65117786167601</v>
      </c>
      <c r="AK66" s="13" t="n">
        <f aca="false">Time!AK35*(AK63-AK64)*AK19</f>
        <v>1.38173319041846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141.005144253729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6.22368138425974</v>
      </c>
      <c r="S69" s="13" t="n">
        <f aca="false">S66-S67+S68</f>
        <v>6.4454371638004</v>
      </c>
      <c r="T69" s="13" t="n">
        <f aca="false">T66-T67+T68</f>
        <v>6.74724972858878</v>
      </c>
      <c r="U69" s="13" t="n">
        <f aca="false">U66-U67+U68</f>
        <v>6.93654399994808</v>
      </c>
      <c r="V69" s="13" t="n">
        <f aca="false">V66-V67+V68</f>
        <v>7.2542249661107</v>
      </c>
      <c r="W69" s="13" t="n">
        <f aca="false">W66-W67+W68</f>
        <v>7.65553654068844</v>
      </c>
      <c r="X69" s="13" t="n">
        <f aca="false">X66-X67+X68</f>
        <v>8.00646471404946</v>
      </c>
      <c r="Y69" s="13" t="n">
        <f aca="false">Y66-Y67+Y68</f>
        <v>7.43983013997834</v>
      </c>
      <c r="Z69" s="13" t="n">
        <f aca="false">Z66-Z67+Z68</f>
        <v>7.78968947663168</v>
      </c>
      <c r="AA69" s="13" t="n">
        <f aca="false">AA66-AA67+AA68</f>
        <v>7.95257375843533</v>
      </c>
      <c r="AB69" s="13" t="n">
        <f aca="false">AB66-AB67+AB68</f>
        <v>8.0341243594683</v>
      </c>
      <c r="AC69" s="13" t="n">
        <f aca="false">AC66-AC67+AC68</f>
        <v>7.87164587733159</v>
      </c>
      <c r="AD69" s="13" t="n">
        <f aca="false">AD66-AD67+AD68</f>
        <v>7.80746530402961</v>
      </c>
      <c r="AE69" s="13" t="n">
        <f aca="false">AE66-AE67+AE68</f>
        <v>7.91756609326836</v>
      </c>
      <c r="AF69" s="13" t="n">
        <f aca="false">AF66-AF67+AF68</f>
        <v>7.67929767613197</v>
      </c>
      <c r="AG69" s="13" t="n">
        <f aca="false">AG66-AG67+AG68</f>
        <v>6.88201461786718</v>
      </c>
      <c r="AH69" s="13" t="n">
        <f aca="false">AH66-AH67+AH68</f>
        <v>6.23059027619725</v>
      </c>
      <c r="AI69" s="13" t="n">
        <f aca="false">AI66-AI67+AI68</f>
        <v>5.10132356243159</v>
      </c>
      <c r="AJ69" s="13" t="n">
        <f aca="false">AJ66-AJ67+AJ68</f>
        <v>3.65117786167601</v>
      </c>
      <c r="AK69" s="13" t="n">
        <f aca="false">AK66-AK67+AK68</f>
        <v>1.38173319041846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6.89718677102599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6.89718677102599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227.74311037281</v>
      </c>
      <c r="R73" s="13" t="n">
        <f aca="false">R63-R69-R70-R71</f>
        <v>221.519428988551</v>
      </c>
      <c r="S73" s="13" t="n">
        <f aca="false">S63-S69-S70-S71</f>
        <v>215.07399182475</v>
      </c>
      <c r="T73" s="13" t="n">
        <f aca="false">T63-T69-T70-T71</f>
        <v>208.326742096162</v>
      </c>
      <c r="U73" s="13" t="n">
        <f aca="false">U63-U69-U70-U71</f>
        <v>201.390198096213</v>
      </c>
      <c r="V73" s="13" t="n">
        <f aca="false">V63-V69-V70-V71</f>
        <v>194.135973130103</v>
      </c>
      <c r="W73" s="13" t="n">
        <f aca="false">W63-W69-W70-W71</f>
        <v>186.480436589414</v>
      </c>
      <c r="X73" s="13" t="n">
        <f aca="false">X63-X69-X70-X71</f>
        <v>178.473971875365</v>
      </c>
      <c r="Y73" s="13" t="n">
        <f aca="false">Y63-Y69-Y70-Y71</f>
        <v>171.034141735387</v>
      </c>
      <c r="Z73" s="13" t="n">
        <f aca="false">Z63-Z69-Z70-Z71</f>
        <v>163.244452258755</v>
      </c>
      <c r="AA73" s="13" t="n">
        <f aca="false">AA63-AA69-AA70-AA71</f>
        <v>155.29187850032</v>
      </c>
      <c r="AB73" s="13" t="n">
        <f aca="false">AB63-AB69-AB70-AB71</f>
        <v>141.570235204446</v>
      </c>
      <c r="AC73" s="13" t="n">
        <f aca="false">AC63-AC69-AC70-AC71</f>
        <v>127.000732962725</v>
      </c>
      <c r="AD73" s="13" t="n">
        <f aca="false">AD63-AD69-AD70-AD71</f>
        <v>112.433897745335</v>
      </c>
      <c r="AE73" s="13" t="n">
        <f aca="false">AE63-AE69-AE70-AE71</f>
        <v>97.5597104764913</v>
      </c>
      <c r="AF73" s="13" t="n">
        <f aca="false">AF63-AF69-AF70-AF71</f>
        <v>82.1120176349528</v>
      </c>
      <c r="AG73" s="13" t="n">
        <f aca="false">AG63-AG69-AG70-AG71</f>
        <v>66.1763172335893</v>
      </c>
      <c r="AH73" s="13" t="n">
        <f aca="false">AH63-AH69-AH70-AH71</f>
        <v>50.7373106340543</v>
      </c>
      <c r="AI73" s="13" t="n">
        <f aca="false">AI63-AI69-AI70-AI71</f>
        <v>35.1805748637209</v>
      </c>
      <c r="AJ73" s="13" t="n">
        <f aca="false">AJ63-AJ69-AJ70-AJ71</f>
        <v>20.3517709903167</v>
      </c>
      <c r="AK73" s="13" t="n">
        <f aca="false">AK63-AK69-AK70-AK71</f>
        <v>6.09825470842245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92.7349396814992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5.68751893640502</v>
      </c>
      <c r="AB74" s="13" t="n">
        <f aca="false">Waterfall!AB28*AB73/(AB31+AB45+AB59+AB73+AB87+Inputs!$F$253)+Waterfall!AB29</f>
        <v>6.69785636438926</v>
      </c>
      <c r="AC74" s="13" t="n">
        <f aca="false">Waterfall!AC28*AC73/(AC31+AC45+AC59+AC73+AC87+Inputs!$F$253)+Waterfall!AC29</f>
        <v>6.75936991336065</v>
      </c>
      <c r="AD74" s="13" t="n">
        <f aca="false">Waterfall!AD28*AD73/(AD31+AD45+AD59+AD73+AD87+Inputs!$F$253)+Waterfall!AD29</f>
        <v>6.95662117557544</v>
      </c>
      <c r="AE74" s="13" t="n">
        <f aca="false">Waterfall!AE28*AE73/(AE31+AE45+AE59+AE73+AE87+Inputs!$F$253)+Waterfall!AE29</f>
        <v>7.76839516540654</v>
      </c>
      <c r="AF74" s="13" t="n">
        <f aca="false">Waterfall!AF28*AF73/(AF31+AF45+AF59+AF73+AF87+Inputs!$F$253)+Waterfall!AF29</f>
        <v>9.05368578349636</v>
      </c>
      <c r="AG74" s="13" t="n">
        <f aca="false">Waterfall!AG28*AG73/(AG31+AG45+AG59+AG73+AG87+Inputs!$F$253)+Waterfall!AG29</f>
        <v>9.20841632333767</v>
      </c>
      <c r="AH74" s="13" t="n">
        <f aca="false">Waterfall!AH28*AH73/(AH31+AH45+AH59+AH73+AH87+Inputs!$F$253)+Waterfall!AH29</f>
        <v>10.4554122079019</v>
      </c>
      <c r="AI74" s="13" t="n">
        <f aca="false">Waterfall!AI28*AI73/(AI31+AI45+AI59+AI73+AI87+Inputs!$F$253)+Waterfall!AI29</f>
        <v>11.1776260117282</v>
      </c>
      <c r="AJ74" s="13" t="n">
        <f aca="false">Waterfall!AJ28*AJ73/(AJ31+AJ45+AJ59+AJ73+AJ87+Inputs!$F$253)+Waterfall!AJ29</f>
        <v>12.8717830914757</v>
      </c>
      <c r="AK74" s="13" t="n">
        <f aca="false">Waterfall!AK28*AK73/(AK31+AK45+AK59+AK73+AK87+Inputs!$F$253)+Waterfall!AK29</f>
        <v>6.09825470842245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227.74311037281</v>
      </c>
      <c r="R75" s="13" t="n">
        <f aca="false">IF(Time!R34=1,INDEX(Funding!$J$64:$BJ$64,1,Time!$F$14),Time!R35*(R73-R74))</f>
        <v>221.519428988551</v>
      </c>
      <c r="S75" s="13" t="n">
        <f aca="false">IF(Time!S34=1,INDEX(Funding!$J$64:$BJ$64,1,Time!$F$14),Time!S35*(S73-S74))</f>
        <v>215.07399182475</v>
      </c>
      <c r="T75" s="13" t="n">
        <f aca="false">IF(Time!T34=1,INDEX(Funding!$J$64:$BJ$64,1,Time!$F$14),Time!T35*(T73-T74))</f>
        <v>208.326742096162</v>
      </c>
      <c r="U75" s="13" t="n">
        <f aca="false">IF(Time!U34=1,INDEX(Funding!$J$64:$BJ$64,1,Time!$F$14),Time!U35*(U73-U74))</f>
        <v>201.390198096213</v>
      </c>
      <c r="V75" s="13" t="n">
        <f aca="false">IF(Time!V34=1,INDEX(Funding!$J$64:$BJ$64,1,Time!$F$14),Time!V35*(V73-V74))</f>
        <v>194.135973130103</v>
      </c>
      <c r="W75" s="13" t="n">
        <f aca="false">IF(Time!W34=1,INDEX(Funding!$J$64:$BJ$64,1,Time!$F$14),Time!W35*(W73-W74))</f>
        <v>186.480436589414</v>
      </c>
      <c r="X75" s="13" t="n">
        <f aca="false">IF(Time!X34=1,INDEX(Funding!$J$64:$BJ$64,1,Time!$F$14),Time!X35*(X73-X74))</f>
        <v>178.473971875365</v>
      </c>
      <c r="Y75" s="13" t="n">
        <f aca="false">IF(Time!Y34=1,INDEX(Funding!$J$64:$BJ$64,1,Time!$F$14),Time!Y35*(Y73-Y74))</f>
        <v>171.034141735387</v>
      </c>
      <c r="Z75" s="13" t="n">
        <f aca="false">IF(Time!Z34=1,INDEX(Funding!$J$64:$BJ$64,1,Time!$F$14),Time!Z35*(Z73-Z74))</f>
        <v>163.244452258755</v>
      </c>
      <c r="AA75" s="13" t="n">
        <f aca="false">IF(Time!AA34=1,INDEX(Funding!$J$64:$BJ$64,1,Time!$F$14),Time!AA35*(AA73-AA74))</f>
        <v>149.604359563915</v>
      </c>
      <c r="AB75" s="13" t="n">
        <f aca="false">IF(Time!AB34=1,INDEX(Funding!$J$64:$BJ$64,1,Time!$F$14),Time!AB35*(AB73-AB74))</f>
        <v>134.872378840057</v>
      </c>
      <c r="AC75" s="13" t="n">
        <f aca="false">IF(Time!AC34=1,INDEX(Funding!$J$64:$BJ$64,1,Time!$F$14),Time!AC35*(AC73-AC74))</f>
        <v>120.241363049365</v>
      </c>
      <c r="AD75" s="13" t="n">
        <f aca="false">IF(Time!AD34=1,INDEX(Funding!$J$64:$BJ$64,1,Time!$F$14),Time!AD35*(AD73-AD74))</f>
        <v>105.47727656976</v>
      </c>
      <c r="AE75" s="13" t="n">
        <f aca="false">IF(Time!AE34=1,INDEX(Funding!$J$64:$BJ$64,1,Time!$F$14),Time!AE35*(AE73-AE74))</f>
        <v>89.7913153110848</v>
      </c>
      <c r="AF75" s="13" t="n">
        <f aca="false">IF(Time!AF34=1,INDEX(Funding!$J$64:$BJ$64,1,Time!$F$14),Time!AF35*(AF73-AF74))</f>
        <v>73.0583318514564</v>
      </c>
      <c r="AG75" s="13" t="n">
        <f aca="false">IF(Time!AG34=1,INDEX(Funding!$J$64:$BJ$64,1,Time!$F$14),Time!AG35*(AG73-AG74))</f>
        <v>56.9679009102516</v>
      </c>
      <c r="AH75" s="13" t="n">
        <f aca="false">IF(Time!AH34=1,INDEX(Funding!$J$64:$BJ$64,1,Time!$F$14),Time!AH35*(AH73-AH74))</f>
        <v>40.2818984261525</v>
      </c>
      <c r="AI75" s="13" t="n">
        <f aca="false">IF(Time!AI34=1,INDEX(Funding!$J$64:$BJ$64,1,Time!$F$14),Time!AI35*(AI73-AI74))</f>
        <v>24.0029488519927</v>
      </c>
      <c r="AJ75" s="13" t="n">
        <f aca="false">IF(Time!AJ34=1,INDEX(Funding!$J$64:$BJ$64,1,Time!$F$14),Time!AJ35*(AJ73-AJ74))</f>
        <v>7.47998789884091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11.6707310507236</v>
      </c>
      <c r="R77" s="13" t="n">
        <f aca="false">Time!R35*Q89</f>
        <v>11.0453737362275</v>
      </c>
      <c r="S77" s="13" t="n">
        <f aca="false">Time!S35*R89</f>
        <v>10.7435297559999</v>
      </c>
      <c r="T77" s="13" t="n">
        <f aca="false">Time!T35*S89</f>
        <v>10.4309307831879</v>
      </c>
      <c r="U77" s="13" t="n">
        <f aca="false">Time!U35*T89</f>
        <v>10.1036941224524</v>
      </c>
      <c r="V77" s="13" t="n">
        <f aca="false">Time!V35*U89</f>
        <v>9.76727682845917</v>
      </c>
      <c r="W77" s="13" t="n">
        <f aca="false">Time!W35*V89</f>
        <v>9.41545224071994</v>
      </c>
      <c r="X77" s="13" t="n">
        <f aca="false">Time!X35*W89</f>
        <v>9.04416433609429</v>
      </c>
      <c r="Y77" s="13" t="n">
        <f aca="false">Time!Y35*X89</f>
        <v>8.65585667257011</v>
      </c>
      <c r="Z77" s="13" t="n">
        <f aca="false">Time!Z35*Y89</f>
        <v>8.29503037009452</v>
      </c>
      <c r="AA77" s="13" t="n">
        <f aca="false">Time!AA35*Z89</f>
        <v>7.91723614651643</v>
      </c>
      <c r="AB77" s="13" t="n">
        <f aca="false">Time!AB35*AA89</f>
        <v>7.53154215479461</v>
      </c>
      <c r="AC77" s="13" t="n">
        <f aca="false">Time!AC35*AB89</f>
        <v>7.12707970151732</v>
      </c>
      <c r="AD77" s="13" t="n">
        <f aca="false">Time!AD35*AC89</f>
        <v>6.71111723364692</v>
      </c>
      <c r="AE77" s="13" t="n">
        <f aca="false">Time!AE35*AD89</f>
        <v>6.275353586062</v>
      </c>
      <c r="AF77" s="13" t="n">
        <f aca="false">Time!AF35*AE89</f>
        <v>5.80429926619232</v>
      </c>
      <c r="AG77" s="13" t="n">
        <f aca="false">Time!AG35*AF89</f>
        <v>5.30789333080735</v>
      </c>
      <c r="AH77" s="13" t="n">
        <f aca="false">Time!AH35*AG89</f>
        <v>4.80789560889157</v>
      </c>
      <c r="AI77" s="13" t="n">
        <f aca="false">Time!AI35*AH89</f>
        <v>4.28205514169716</v>
      </c>
      <c r="AJ77" s="13" t="n">
        <f aca="false">Time!AJ35*AI89</f>
        <v>3.73977313306698</v>
      </c>
      <c r="AK77" s="13" t="n">
        <f aca="false">Time!AK35*AJ89</f>
        <v>3.17090232659474</v>
      </c>
      <c r="AL77" s="13" t="n">
        <f aca="false">Time!AL35*AK89</f>
        <v>2.58516060515292</v>
      </c>
      <c r="AM77" s="13" t="n">
        <f aca="false">Time!AM35*AL89</f>
        <v>1.97190072086672</v>
      </c>
      <c r="AN77" s="13" t="n">
        <f aca="false">Time!AN35*AM89</f>
        <v>1.33005783962495</v>
      </c>
      <c r="AO77" s="13" t="n">
        <f aca="false">Time!AO35*AN89</f>
        <v>0.65718222309604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6.84210660721901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0.456357138282059</v>
      </c>
      <c r="R79" s="13" t="n">
        <f aca="false">R77*R14</f>
        <v>0.439062605949199</v>
      </c>
      <c r="S79" s="13" t="n">
        <f aca="false">S77*S14</f>
        <v>0.420677232302516</v>
      </c>
      <c r="T79" s="13" t="n">
        <f aca="false">T77*T14</f>
        <v>0.415206676801722</v>
      </c>
      <c r="U79" s="13" t="n">
        <f aca="false">U77*U14</f>
        <v>0.397809380785276</v>
      </c>
      <c r="V79" s="13" t="n">
        <f aca="false">V77*V14</f>
        <v>0.38878970991576</v>
      </c>
      <c r="W79" s="13" t="n">
        <f aca="false">W77*W14</f>
        <v>0.36867458642171</v>
      </c>
      <c r="X79" s="13" t="n">
        <f aca="false">X77*X14</f>
        <v>0.360005976119678</v>
      </c>
      <c r="Y79" s="13" t="n">
        <f aca="false">Y77*Y14</f>
        <v>0.353438183765372</v>
      </c>
      <c r="Z79" s="13" t="n">
        <f aca="false">Z77*Z14</f>
        <v>0.344318722855601</v>
      </c>
      <c r="AA79" s="13" t="n">
        <f aca="false">AA77*AA14</f>
        <v>0.323278638951338</v>
      </c>
      <c r="AB79" s="13" t="n">
        <f aca="false">AB77*AB14</f>
        <v>0.312627062249375</v>
      </c>
      <c r="AC79" s="13" t="n">
        <f aca="false">AC77*AC14</f>
        <v>0.292622582521239</v>
      </c>
      <c r="AD79" s="13" t="n">
        <f aca="false">AD77*AD14</f>
        <v>0.278572013811347</v>
      </c>
      <c r="AE79" s="13" t="n">
        <f aca="false">AE77*AE14</f>
        <v>0.256236864569606</v>
      </c>
      <c r="AF79" s="13" t="n">
        <f aca="false">AF77*AF14</f>
        <v>0.240930873214424</v>
      </c>
      <c r="AG79" s="13" t="n">
        <f aca="false">AG77*AG14</f>
        <v>0.225628912649168</v>
      </c>
      <c r="AH79" s="13" t="n">
        <f aca="false">AH77*AH14</f>
        <v>0.207762346455577</v>
      </c>
      <c r="AI79" s="13" t="n">
        <f aca="false">AI77*AI14</f>
        <v>0.182022392936437</v>
      </c>
      <c r="AJ79" s="13" t="n">
        <f aca="false">AJ77*AJ14</f>
        <v>0.161605846828411</v>
      </c>
      <c r="AK79" s="13" t="n">
        <f aca="false">AK77*AK14</f>
        <v>0.135533995586466</v>
      </c>
      <c r="AL79" s="13" t="n">
        <f aca="false">AL77*AL14</f>
        <v>0.11171187500365</v>
      </c>
      <c r="AM79" s="13" t="n">
        <f aca="false">AM77*AM14</f>
        <v>0.0838219210094026</v>
      </c>
      <c r="AN79" s="13" t="n">
        <f aca="false">AN77*AN14</f>
        <v>0.0574754445939029</v>
      </c>
      <c r="AO79" s="13" t="n">
        <f aca="false">AO77*AO14</f>
        <v>0.0279356236397782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11.336222553453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0.290848817225461</v>
      </c>
      <c r="R80" s="13" t="n">
        <f aca="false">Time!R35*(R77-R78)*R19</f>
        <v>0.301843980227634</v>
      </c>
      <c r="S80" s="13" t="n">
        <f aca="false">Time!S35*(S77-S78)*S19</f>
        <v>0.312598972811979</v>
      </c>
      <c r="T80" s="13" t="n">
        <f aca="false">Time!T35*(T77-T78)*T19</f>
        <v>0.327236660735534</v>
      </c>
      <c r="U80" s="13" t="n">
        <f aca="false">Time!U35*(U77-U78)*U19</f>
        <v>0.336417293993189</v>
      </c>
      <c r="V80" s="13" t="n">
        <f aca="false">Time!V35*(V77-V78)*V19</f>
        <v>0.351824587739234</v>
      </c>
      <c r="W80" s="13" t="n">
        <f aca="false">Time!W35*(W77-W78)*W19</f>
        <v>0.371287904625655</v>
      </c>
      <c r="X80" s="13" t="n">
        <f aca="false">Time!X35*(X77-X78)*X19</f>
        <v>0.388307663524175</v>
      </c>
      <c r="Y80" s="13" t="n">
        <f aca="false">Time!Y35*(Y77-Y78)*Y19</f>
        <v>0.360826302475586</v>
      </c>
      <c r="Z80" s="13" t="n">
        <f aca="false">Time!Z35*(Z77-Z78)*Z19</f>
        <v>0.377794223578091</v>
      </c>
      <c r="AA80" s="13" t="n">
        <f aca="false">Time!AA35*(AA77-AA78)*AA19</f>
        <v>0.385693991721826</v>
      </c>
      <c r="AB80" s="13" t="n">
        <f aca="false">Time!AB35*(AB77-AB78)*AB19</f>
        <v>0.404462453277284</v>
      </c>
      <c r="AC80" s="13" t="n">
        <f aca="false">Time!AC35*(AC77-AC78)*AC19</f>
        <v>0.415962467870406</v>
      </c>
      <c r="AD80" s="13" t="n">
        <f aca="false">Time!AD35*(AD77-AD78)*AD19</f>
        <v>0.435763647584917</v>
      </c>
      <c r="AE80" s="13" t="n">
        <f aca="false">Time!AE35*(AE77-AE78)*AE19</f>
        <v>0.471054319869682</v>
      </c>
      <c r="AF80" s="13" t="n">
        <f aca="false">Time!AF35*(AF77-AF78)*AF19</f>
        <v>0.496405935384963</v>
      </c>
      <c r="AG80" s="13" t="n">
        <f aca="false">Time!AG35*(AG77-AG78)*AG19</f>
        <v>0.499997721915789</v>
      </c>
      <c r="AH80" s="13" t="n">
        <f aca="false">Time!AH35*(AH77-AH78)*AH19</f>
        <v>0.525840467194405</v>
      </c>
      <c r="AI80" s="13" t="n">
        <f aca="false">Time!AI35*(AI77-AI78)*AI19</f>
        <v>0.542282008630186</v>
      </c>
      <c r="AJ80" s="13" t="n">
        <f aca="false">Time!AJ35*(AJ77-AJ78)*AJ19</f>
        <v>0.568870806472235</v>
      </c>
      <c r="AK80" s="13" t="n">
        <f aca="false">Time!AK35*(AK77-AK78)*AK19</f>
        <v>0.58574172144182</v>
      </c>
      <c r="AL80" s="13" t="n">
        <f aca="false">Time!AL35*(AL77-AL78)*AL19</f>
        <v>0.613259884286201</v>
      </c>
      <c r="AM80" s="13" t="n">
        <f aca="false">Time!AM35*(AM77-AM78)*AM19</f>
        <v>0.641842881241764</v>
      </c>
      <c r="AN80" s="13" t="n">
        <f aca="false">Time!AN35*(AN77-AN78)*AN19</f>
        <v>0.672875616528914</v>
      </c>
      <c r="AO80" s="13" t="n">
        <f aca="false">Time!AO35*(AO77-AO78)*AO19</f>
        <v>0.65718222309604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11.336222553453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0.290848817225461</v>
      </c>
      <c r="R83" s="13" t="n">
        <f aca="false">R80-R81+R82</f>
        <v>0.301843980227634</v>
      </c>
      <c r="S83" s="13" t="n">
        <f aca="false">S80-S81+S82</f>
        <v>0.312598972811979</v>
      </c>
      <c r="T83" s="13" t="n">
        <f aca="false">T80-T81+T82</f>
        <v>0.327236660735534</v>
      </c>
      <c r="U83" s="13" t="n">
        <f aca="false">U80-U81+U82</f>
        <v>0.336417293993189</v>
      </c>
      <c r="V83" s="13" t="n">
        <f aca="false">V80-V81+V82</f>
        <v>0.351824587739234</v>
      </c>
      <c r="W83" s="13" t="n">
        <f aca="false">W80-W81+W82</f>
        <v>0.371287904625655</v>
      </c>
      <c r="X83" s="13" t="n">
        <f aca="false">X80-X81+X82</f>
        <v>0.388307663524175</v>
      </c>
      <c r="Y83" s="13" t="n">
        <f aca="false">Y80-Y81+Y82</f>
        <v>0.360826302475586</v>
      </c>
      <c r="Z83" s="13" t="n">
        <f aca="false">Z80-Z81+Z82</f>
        <v>0.377794223578091</v>
      </c>
      <c r="AA83" s="13" t="n">
        <f aca="false">AA80-AA81+AA82</f>
        <v>0.385693991721826</v>
      </c>
      <c r="AB83" s="13" t="n">
        <f aca="false">AB80-AB81+AB82</f>
        <v>0.404462453277284</v>
      </c>
      <c r="AC83" s="13" t="n">
        <f aca="false">AC80-AC81+AC82</f>
        <v>0.415962467870406</v>
      </c>
      <c r="AD83" s="13" t="n">
        <f aca="false">AD80-AD81+AD82</f>
        <v>0.435763647584917</v>
      </c>
      <c r="AE83" s="13" t="n">
        <f aca="false">AE80-AE81+AE82</f>
        <v>0.471054319869682</v>
      </c>
      <c r="AF83" s="13" t="n">
        <f aca="false">AF80-AF81+AF82</f>
        <v>0.496405935384963</v>
      </c>
      <c r="AG83" s="13" t="n">
        <f aca="false">AG80-AG81+AG82</f>
        <v>0.499997721915789</v>
      </c>
      <c r="AH83" s="13" t="n">
        <f aca="false">AH80-AH81+AH82</f>
        <v>0.525840467194405</v>
      </c>
      <c r="AI83" s="13" t="n">
        <f aca="false">AI80-AI81+AI82</f>
        <v>0.542282008630186</v>
      </c>
      <c r="AJ83" s="13" t="n">
        <f aca="false">AJ80-AJ81+AJ82</f>
        <v>0.568870806472235</v>
      </c>
      <c r="AK83" s="13" t="n">
        <f aca="false">AK80-AK81+AK82</f>
        <v>0.58574172144182</v>
      </c>
      <c r="AL83" s="13" t="n">
        <f aca="false">AL80-AL81+AL82</f>
        <v>0.613259884286201</v>
      </c>
      <c r="AM83" s="13" t="n">
        <f aca="false">AM80-AM81+AM82</f>
        <v>0.641842881241764</v>
      </c>
      <c r="AN83" s="13" t="n">
        <f aca="false">AN80-AN81+AN82</f>
        <v>0.672875616528914</v>
      </c>
      <c r="AO83" s="13" t="n">
        <f aca="false">AO80-AO81+AO82</f>
        <v>0.65718222309604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0.334508497270622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0.334508497270622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11.0453737362275</v>
      </c>
      <c r="R87" s="13" t="n">
        <f aca="false">R77-R83-R84-R85</f>
        <v>10.7435297559999</v>
      </c>
      <c r="S87" s="13" t="n">
        <f aca="false">S77-S83-S84-S85</f>
        <v>10.4309307831879</v>
      </c>
      <c r="T87" s="13" t="n">
        <f aca="false">T77-T83-T84-T85</f>
        <v>10.1036941224524</v>
      </c>
      <c r="U87" s="13" t="n">
        <f aca="false">U77-U83-U84-U85</f>
        <v>9.76727682845917</v>
      </c>
      <c r="V87" s="13" t="n">
        <f aca="false">V77-V83-V84-V85</f>
        <v>9.41545224071994</v>
      </c>
      <c r="W87" s="13" t="n">
        <f aca="false">W77-W83-W84-W85</f>
        <v>9.04416433609429</v>
      </c>
      <c r="X87" s="13" t="n">
        <f aca="false">X77-X83-X84-X85</f>
        <v>8.65585667257011</v>
      </c>
      <c r="Y87" s="13" t="n">
        <f aca="false">Y77-Y83-Y84-Y85</f>
        <v>8.29503037009452</v>
      </c>
      <c r="Z87" s="13" t="n">
        <f aca="false">Z77-Z83-Z84-Z85</f>
        <v>7.91723614651643</v>
      </c>
      <c r="AA87" s="13" t="n">
        <f aca="false">AA77-AA83-AA84-AA85</f>
        <v>7.53154215479461</v>
      </c>
      <c r="AB87" s="13" t="n">
        <f aca="false">AB77-AB83-AB84-AB85</f>
        <v>7.12707970151732</v>
      </c>
      <c r="AC87" s="13" t="n">
        <f aca="false">AC77-AC83-AC84-AC85</f>
        <v>6.71111723364692</v>
      </c>
      <c r="AD87" s="13" t="n">
        <f aca="false">AD77-AD83-AD84-AD85</f>
        <v>6.275353586062</v>
      </c>
      <c r="AE87" s="13" t="n">
        <f aca="false">AE77-AE83-AE84-AE85</f>
        <v>5.80429926619232</v>
      </c>
      <c r="AF87" s="13" t="n">
        <f aca="false">AF77-AF83-AF84-AF85</f>
        <v>5.30789333080735</v>
      </c>
      <c r="AG87" s="13" t="n">
        <f aca="false">AG77-AG83-AG84-AG85</f>
        <v>4.80789560889157</v>
      </c>
      <c r="AH87" s="13" t="n">
        <f aca="false">AH77-AH83-AH84-AH85</f>
        <v>4.28205514169716</v>
      </c>
      <c r="AI87" s="13" t="n">
        <f aca="false">AI77-AI83-AI84-AI85</f>
        <v>3.73977313306698</v>
      </c>
      <c r="AJ87" s="13" t="n">
        <f aca="false">AJ77-AJ83-AJ84-AJ85</f>
        <v>3.17090232659474</v>
      </c>
      <c r="AK87" s="13" t="n">
        <f aca="false">AK77-AK83-AK84-AK85</f>
        <v>2.58516060515292</v>
      </c>
      <c r="AL87" s="13" t="n">
        <f aca="false">AL77-AL83-AL84-AL85</f>
        <v>1.97190072086672</v>
      </c>
      <c r="AM87" s="13" t="n">
        <f aca="false">AM77-AM83-AM84-AM85</f>
        <v>1.33005783962495</v>
      </c>
      <c r="AN87" s="13" t="n">
        <f aca="false">AN77-AN83-AN84-AN85</f>
        <v>0.65718222309604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11.6707310507236</v>
      </c>
      <c r="Q89" s="13" t="n">
        <f aca="false">IF(Time!Q34=1,INDEX(Funding!$J$65:$BJ$65,1,Time!$F$14),Time!Q35*(Q87-Q88))</f>
        <v>11.0453737362275</v>
      </c>
      <c r="R89" s="13" t="n">
        <f aca="false">IF(Time!R34=1,INDEX(Funding!$J$65:$BJ$65,1,Time!$F$14),Time!R35*(R87-R88))</f>
        <v>10.7435297559999</v>
      </c>
      <c r="S89" s="13" t="n">
        <f aca="false">IF(Time!S34=1,INDEX(Funding!$J$65:$BJ$65,1,Time!$F$14),Time!S35*(S87-S88))</f>
        <v>10.4309307831879</v>
      </c>
      <c r="T89" s="13" t="n">
        <f aca="false">IF(Time!T34=1,INDEX(Funding!$J$65:$BJ$65,1,Time!$F$14),Time!T35*(T87-T88))</f>
        <v>10.1036941224524</v>
      </c>
      <c r="U89" s="13" t="n">
        <f aca="false">IF(Time!U34=1,INDEX(Funding!$J$65:$BJ$65,1,Time!$F$14),Time!U35*(U87-U88))</f>
        <v>9.76727682845917</v>
      </c>
      <c r="V89" s="13" t="n">
        <f aca="false">IF(Time!V34=1,INDEX(Funding!$J$65:$BJ$65,1,Time!$F$14),Time!V35*(V87-V88))</f>
        <v>9.41545224071994</v>
      </c>
      <c r="W89" s="13" t="n">
        <f aca="false">IF(Time!W34=1,INDEX(Funding!$J$65:$BJ$65,1,Time!$F$14),Time!W35*(W87-W88))</f>
        <v>9.04416433609429</v>
      </c>
      <c r="X89" s="13" t="n">
        <f aca="false">IF(Time!X34=1,INDEX(Funding!$J$65:$BJ$65,1,Time!$F$14),Time!X35*(X87-X88))</f>
        <v>8.65585667257011</v>
      </c>
      <c r="Y89" s="13" t="n">
        <f aca="false">IF(Time!Y34=1,INDEX(Funding!$J$65:$BJ$65,1,Time!$F$14),Time!Y35*(Y87-Y88))</f>
        <v>8.29503037009452</v>
      </c>
      <c r="Z89" s="13" t="n">
        <f aca="false">IF(Time!Z34=1,INDEX(Funding!$J$65:$BJ$65,1,Time!$F$14),Time!Z35*(Z87-Z88))</f>
        <v>7.91723614651643</v>
      </c>
      <c r="AA89" s="13" t="n">
        <f aca="false">IF(Time!AA34=1,INDEX(Funding!$J$65:$BJ$65,1,Time!$F$14),Time!AA35*(AA87-AA88))</f>
        <v>7.53154215479461</v>
      </c>
      <c r="AB89" s="13" t="n">
        <f aca="false">IF(Time!AB34=1,INDEX(Funding!$J$65:$BJ$65,1,Time!$F$14),Time!AB35*(AB87-AB88))</f>
        <v>7.12707970151732</v>
      </c>
      <c r="AC89" s="13" t="n">
        <f aca="false">IF(Time!AC34=1,INDEX(Funding!$J$65:$BJ$65,1,Time!$F$14),Time!AC35*(AC87-AC88))</f>
        <v>6.71111723364692</v>
      </c>
      <c r="AD89" s="13" t="n">
        <f aca="false">IF(Time!AD34=1,INDEX(Funding!$J$65:$BJ$65,1,Time!$F$14),Time!AD35*(AD87-AD88))</f>
        <v>6.275353586062</v>
      </c>
      <c r="AE89" s="13" t="n">
        <f aca="false">IF(Time!AE34=1,INDEX(Funding!$J$65:$BJ$65,1,Time!$F$14),Time!AE35*(AE87-AE88))</f>
        <v>5.80429926619232</v>
      </c>
      <c r="AF89" s="13" t="n">
        <f aca="false">IF(Time!AF34=1,INDEX(Funding!$J$65:$BJ$65,1,Time!$F$14),Time!AF35*(AF87-AF88))</f>
        <v>5.30789333080735</v>
      </c>
      <c r="AG89" s="13" t="n">
        <f aca="false">IF(Time!AG34=1,INDEX(Funding!$J$65:$BJ$65,1,Time!$F$14),Time!AG35*(AG87-AG88))</f>
        <v>4.80789560889157</v>
      </c>
      <c r="AH89" s="13" t="n">
        <f aca="false">IF(Time!AH34=1,INDEX(Funding!$J$65:$BJ$65,1,Time!$F$14),Time!AH35*(AH87-AH88))</f>
        <v>4.28205514169716</v>
      </c>
      <c r="AI89" s="13" t="n">
        <f aca="false">IF(Time!AI34=1,INDEX(Funding!$J$65:$BJ$65,1,Time!$F$14),Time!AI35*(AI87-AI88))</f>
        <v>3.73977313306698</v>
      </c>
      <c r="AJ89" s="13" t="n">
        <f aca="false">IF(Time!AJ34=1,INDEX(Funding!$J$65:$BJ$65,1,Time!$F$14),Time!AJ35*(AJ87-AJ88))</f>
        <v>3.17090232659474</v>
      </c>
      <c r="AK89" s="13" t="n">
        <f aca="false">IF(Time!AK34=1,INDEX(Funding!$J$65:$BJ$65,1,Time!$F$14),Time!AK35*(AK87-AK88))</f>
        <v>2.58516060515292</v>
      </c>
      <c r="AL89" s="13" t="n">
        <f aca="false">IF(Time!AL34=1,INDEX(Funding!$J$65:$BJ$65,1,Time!$F$14),Time!AL35*(AL87-AL88))</f>
        <v>1.97190072086672</v>
      </c>
      <c r="AM89" s="13" t="n">
        <f aca="false">IF(Time!AM34=1,INDEX(Funding!$J$65:$BJ$65,1,Time!$F$14),Time!AM35*(AM87-AM88))</f>
        <v>1.33005783962495</v>
      </c>
      <c r="AN89" s="13" t="n">
        <f aca="false">IF(Time!AN34=1,INDEX(Funding!$J$65:$BJ$65,1,Time!$F$14),Time!AN35*(AN87-AN88))</f>
        <v>0.65718222309604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15.5805285183696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1.18825747779173</v>
      </c>
      <c r="S108" s="13" t="n">
        <f aca="false">(Inputs!$F$95/100*Inputs!$F$96/100)*S63*Time!S25/Inputs!$F$248</f>
        <v>1.13694088300192</v>
      </c>
      <c r="T108" s="13" t="n">
        <f aca="false">(Inputs!$F$95/100*Inputs!$F$96/100)*T63*Time!T25/Inputs!$F$248</f>
        <v>1.1221559178933</v>
      </c>
      <c r="U108" s="13" t="n">
        <f aca="false">(Inputs!$F$95/100*Inputs!$F$96/100)*U63*Time!U25/Inputs!$F$248</f>
        <v>1.07513721667545</v>
      </c>
      <c r="V108" s="13" t="n">
        <f aca="false">(Inputs!$F$95/100*Inputs!$F$96/100)*V63*Time!V25/Inputs!$F$248</f>
        <v>1.05076025549159</v>
      </c>
      <c r="W108" s="13" t="n">
        <f aca="false">(Inputs!$F$95/100*Inputs!$F$96/100)*W63*Time!W25/Inputs!$F$248</f>
        <v>0.996396233598022</v>
      </c>
      <c r="X108" s="13" t="n">
        <f aca="false">(Inputs!$F$95/100*Inputs!$F$96/100)*X63*Time!X25/Inputs!$F$248</f>
        <v>0.972968064221591</v>
      </c>
      <c r="Y108" s="13" t="n">
        <f aca="false">(Inputs!$F$95/100*Inputs!$F$96/100)*Y63*Time!Y25/Inputs!$F$248</f>
        <v>0.916011548527986</v>
      </c>
      <c r="Z108" s="13" t="n">
        <f aca="false">(Inputs!$F$95/100*Inputs!$F$96/100)*Z63*Time!Z25/Inputs!$F$248</f>
        <v>0.892376491838001</v>
      </c>
      <c r="AA108" s="13" t="n">
        <f aca="false">(Inputs!$F$95/100*Inputs!$F$96/100)*AA63*Time!AA25/Inputs!$F$248</f>
        <v>0.837846560654626</v>
      </c>
      <c r="AB108" s="13" t="n">
        <f aca="false">(Inputs!$F$95/100*Inputs!$F$96/100)*AB63*Time!AB25/Inputs!$F$248</f>
        <v>0.780565869461695</v>
      </c>
      <c r="AC108" s="13" t="n">
        <f aca="false">(Inputs!$F$95/100*Inputs!$F$96/100)*AC63*Time!AC25/Inputs!$F$248</f>
        <v>0.6960523288247</v>
      </c>
      <c r="AD108" s="13" t="n">
        <f aca="false">(Inputs!$F$95/100*Inputs!$F$96/100)*AD63*Time!AD25/Inputs!$F$248</f>
        <v>0.62736342956496</v>
      </c>
      <c r="AE108" s="13" t="n">
        <f aca="false">(Inputs!$F$95/100*Inputs!$F$96/100)*AE63*Time!AE25/Inputs!$F$248</f>
        <v>0.541358509758793</v>
      </c>
      <c r="AF108" s="13" t="n">
        <f aca="false">(Inputs!$F$95/100*Inputs!$F$96/100)*AF63*Time!AF25/Inputs!$F$248</f>
        <v>0.46848926268063</v>
      </c>
      <c r="AG108" s="13" t="n">
        <f aca="false">(Inputs!$F$95/100*Inputs!$F$96/100)*AG63*Time!AG25/Inputs!$F$248</f>
        <v>0.374969386229934</v>
      </c>
      <c r="AH108" s="13" t="n">
        <f aca="false">(Inputs!$F$95/100*Inputs!$F$96/100)*AH63*Time!AH25/Inputs!$F$248</f>
        <v>0.297231973954748</v>
      </c>
      <c r="AI108" s="13" t="n">
        <f aca="false">(Inputs!$F$95/100*Inputs!$F$96/100)*AI63*Time!AI25/Inputs!$F$248</f>
        <v>0.206745464155158</v>
      </c>
      <c r="AJ108" s="13" t="n">
        <f aca="false">(Inputs!$F$95/100*Inputs!$F$96/100)*AJ63*Time!AJ25/Inputs!$F$248</f>
        <v>0.125236207654068</v>
      </c>
      <c r="AK108" s="13" t="n">
        <f aca="false">(Inputs!$F$95/100*Inputs!$F$96/100)*AK63*Time!AK25/Inputs!$F$248</f>
        <v>0.0386028854932784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294.848244813146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21.2165359351272</v>
      </c>
      <c r="R111" s="13" t="n">
        <f aca="false">R23+R37+R51+R65+R79+R92</f>
        <v>20.4124944598418</v>
      </c>
      <c r="S111" s="13" t="n">
        <f aca="false">S23+S37+S51+S65+S79+S92</f>
        <v>19.5620746532451</v>
      </c>
      <c r="T111" s="13" t="n">
        <f aca="false">T23+T37+T51+T65+T79+T92</f>
        <v>19.3076862364641</v>
      </c>
      <c r="U111" s="13" t="n">
        <f aca="false">U23+U37+U51+U65+U79+U92</f>
        <v>18.4986878469492</v>
      </c>
      <c r="V111" s="13" t="n">
        <f aca="false">V23+V37+V51+V65+V79+V92</f>
        <v>18.0792606439807</v>
      </c>
      <c r="W111" s="13" t="n">
        <f aca="false">W23+W37+W51+W65+W79+W92</f>
        <v>17.1438795079584</v>
      </c>
      <c r="X111" s="13" t="n">
        <f aca="false">X23+X37+X51+X65+X79+X92</f>
        <v>16.740777108192</v>
      </c>
      <c r="Y111" s="13" t="n">
        <f aca="false">Y23+Y37+Y51+Y65+Y79+Y92</f>
        <v>16.2738116562434</v>
      </c>
      <c r="Z111" s="13" t="n">
        <f aca="false">Z23+Z37+Z51+Z65+Z79+Z92</f>
        <v>15.8539125166796</v>
      </c>
      <c r="AA111" s="13" t="n">
        <f aca="false">AA23+AA37+AA51+AA65+AA79+AA92</f>
        <v>14.8851367068853</v>
      </c>
      <c r="AB111" s="13" t="n">
        <f aca="false">AB23+AB37+AB51+AB65+AB79+AB92</f>
        <v>14.1453403125138</v>
      </c>
      <c r="AC111" s="13" t="n">
        <f aca="false">AC23+AC37+AC51+AC65+AC79+AC92</f>
        <v>12.9497483496291</v>
      </c>
      <c r="AD111" s="13" t="n">
        <f aca="false">AD23+AD37+AD51+AD65+AD79+AD92</f>
        <v>12.0316089806692</v>
      </c>
      <c r="AE111" s="13" t="n">
        <f aca="false">AE23+AE37+AE51+AE65+AE79+AE92</f>
        <v>10.7669278558121</v>
      </c>
      <c r="AF111" s="13" t="n">
        <f aca="false">AF23+AF37+AF51+AF65+AF79+AF92</f>
        <v>9.78319698298568</v>
      </c>
      <c r="AG111" s="13" t="n">
        <f aca="false">AG23+AG37+AG51+AG65+AG79+AG92</f>
        <v>8.6231367290326</v>
      </c>
      <c r="AH111" s="13" t="n">
        <f aca="false">AH23+AH37+AH51+AH65+AH79+AH92</f>
        <v>7.51044575203046</v>
      </c>
      <c r="AI111" s="13" t="n">
        <f aca="false">AI23+AI37+AI51+AI65+AI79+AI92</f>
        <v>6.0998502346008</v>
      </c>
      <c r="AJ111" s="13" t="n">
        <f aca="false">AJ23+AJ37+AJ51+AJ65+AJ79+AJ92</f>
        <v>4.89387224376816</v>
      </c>
      <c r="AK111" s="13" t="n">
        <f aca="false">AK23+AK37+AK51+AK65+AK79+AK92</f>
        <v>3.51000177521925</v>
      </c>
      <c r="AL111" s="13" t="n">
        <f aca="false">AL23+AL37+AL51+AL65+AL79+AL92</f>
        <v>2.60839106365005</v>
      </c>
      <c r="AM111" s="13" t="n">
        <f aca="false">AM23+AM37+AM51+AM65+AM79+AM92</f>
        <v>1.95718091466788</v>
      </c>
      <c r="AN111" s="13" t="n">
        <f aca="false">AN23+AN37+AN51+AN65+AN79+AN92</f>
        <v>1.3420098449977</v>
      </c>
      <c r="AO111" s="13" t="n">
        <f aca="false">AO23+AO37+AO51+AO65+AO79+AO92</f>
        <v>0.652276502002209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302.630726454092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22.0061203716644</v>
      </c>
      <c r="R112" s="13" t="n">
        <f aca="false">R111+R107+R108+R109</f>
        <v>21.0421802681244</v>
      </c>
      <c r="S112" s="13" t="n">
        <f aca="false">S111+S107+S108+S109</f>
        <v>20.2538788335356</v>
      </c>
      <c r="T112" s="13" t="n">
        <f aca="false">T111+T107+T108+T109</f>
        <v>19.8799968742446</v>
      </c>
      <c r="U112" s="13" t="n">
        <f aca="false">U111+U107+U108+U109</f>
        <v>19.1177901727144</v>
      </c>
      <c r="V112" s="13" t="n">
        <f aca="false">V111+V107+V108+V109</f>
        <v>18.6161046964792</v>
      </c>
      <c r="W112" s="13" t="n">
        <f aca="false">W111+W107+W108+W109</f>
        <v>17.7519033219577</v>
      </c>
      <c r="X112" s="13" t="n">
        <f aca="false">X111+X107+X108+X109</f>
        <v>17.2393002612855</v>
      </c>
      <c r="Y112" s="13" t="n">
        <f aca="false">Y111+Y107+Y108+Y109</f>
        <v>16.8324822804559</v>
      </c>
      <c r="Z112" s="13" t="n">
        <f aca="false">Z111+Z107+Z108+Z109</f>
        <v>16.3108066501473</v>
      </c>
      <c r="AA112" s="13" t="n">
        <f aca="false">AA111+AA107+AA108+AA109</f>
        <v>15.3968855285664</v>
      </c>
      <c r="AB112" s="13" t="n">
        <f aca="false">AB111+AB107+AB108+AB109</f>
        <v>14.5316022637291</v>
      </c>
      <c r="AC112" s="13" t="n">
        <f aca="false">AC111+AC107+AC108+AC109</f>
        <v>13.3266560187658</v>
      </c>
      <c r="AD112" s="13" t="n">
        <f aca="false">AD111+AD107+AD108+AD109</f>
        <v>12.3091596524046</v>
      </c>
      <c r="AE112" s="13" t="n">
        <f aca="false">AE111+AE107+AE108+AE109</f>
        <v>11.0529257330974</v>
      </c>
      <c r="AF112" s="13" t="n">
        <f aca="false">AF111+AF107+AF108+AF109</f>
        <v>9.9523072171201</v>
      </c>
      <c r="AG112" s="13" t="n">
        <f aca="false">AG111+AG107+AG108+AG109</f>
        <v>8.78389991585187</v>
      </c>
      <c r="AH112" s="13" t="n">
        <f aca="false">AH111+AH107+AH108+AH109</f>
        <v>7.56209737430668</v>
      </c>
      <c r="AI112" s="13" t="n">
        <f aca="false">AI111+AI107+AI108+AI109</f>
        <v>6.13610511532602</v>
      </c>
      <c r="AJ112" s="13" t="n">
        <f aca="false">AJ111+AJ107+AJ108+AJ109</f>
        <v>4.83138706144609</v>
      </c>
      <c r="AK112" s="13" t="n">
        <f aca="false">AK111+AK107+AK108+AK109</f>
        <v>3.41410137945353</v>
      </c>
      <c r="AL112" s="13" t="n">
        <f aca="false">AL111+AL107+AL108+AL109</f>
        <v>2.48319530438909</v>
      </c>
      <c r="AM112" s="13" t="n">
        <f aca="false">AM111+AM107+AM108+AM109</f>
        <v>1.88530038821737</v>
      </c>
      <c r="AN112" s="13" t="n">
        <f aca="false">AN111+AN107+AN108+AN109</f>
        <v>1.28486830457866</v>
      </c>
      <c r="AO112" s="13" t="n">
        <f aca="false">AO111+AO107+AO108+AO109</f>
        <v>0.629671466230584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533.706766912028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16.0723581920089</v>
      </c>
      <c r="R113" s="13" t="n">
        <f aca="false">R27+R41+R55+R69+R83+R93</f>
        <v>16.6799528861743</v>
      </c>
      <c r="S113" s="13" t="n">
        <f aca="false">S27+S41+S55+S69+S83+S93</f>
        <v>17.2742757196551</v>
      </c>
      <c r="T113" s="13" t="n">
        <f aca="false">T27+T41+T55+T69+T83+T93</f>
        <v>18.0831569991271</v>
      </c>
      <c r="U113" s="13" t="n">
        <f aca="false">U27+U41+U55+U69+U83+U93</f>
        <v>18.5904804517513</v>
      </c>
      <c r="V113" s="13" t="n">
        <f aca="false">V27+V41+V55+V69+V83+V93</f>
        <v>19.4418902880305</v>
      </c>
      <c r="W113" s="13" t="n">
        <f aca="false">W27+W41+W55+W69+W83+W93</f>
        <v>20.517436695911</v>
      </c>
      <c r="X113" s="13" t="n">
        <f aca="false">X27+X41+X55+X69+X83+X93</f>
        <v>21.4579516478649</v>
      </c>
      <c r="Y113" s="13" t="n">
        <f aca="false">Y27+Y41+Y55+Y69+Y83+Y93</f>
        <v>19.9393266708396</v>
      </c>
      <c r="Z113" s="13" t="n">
        <f aca="false">Z27+Z41+Z55+Z69+Z83+Z93</f>
        <v>20.8769770568193</v>
      </c>
      <c r="AA113" s="13" t="n">
        <f aca="false">AA27+AA41+AA55+AA69+AA83+AA93</f>
        <v>21.3135196718148</v>
      </c>
      <c r="AB113" s="13" t="n">
        <f aca="false">AB27+AB41+AB55+AB69+AB83+AB93</f>
        <v>22.0452344058184</v>
      </c>
      <c r="AC113" s="13" t="n">
        <f aca="false">AC27+AC41+AC55+AC69+AC83+AC93</f>
        <v>22.2811315174934</v>
      </c>
      <c r="AD113" s="13" t="n">
        <f aca="false">AD27+AD41+AD55+AD69+AD83+AD93</f>
        <v>22.9028897891437</v>
      </c>
      <c r="AE113" s="13" t="n">
        <f aca="false">AE27+AE41+AE55+AE69+AE83+AE93</f>
        <v>24.2355057685688</v>
      </c>
      <c r="AF113" s="13" t="n">
        <f aca="false">AF27+AF41+AF55+AF69+AF83+AF93</f>
        <v>24.8754505748335</v>
      </c>
      <c r="AG113" s="13" t="n">
        <f aca="false">AG27+AG41+AG55+AG69+AG83+AG93</f>
        <v>24.20259171451</v>
      </c>
      <c r="AH113" s="13" t="n">
        <f aca="false">AH27+AH41+AH55+AH69+AH83+AH93</f>
        <v>24.4463939756176</v>
      </c>
      <c r="AI113" s="13" t="n">
        <f aca="false">AI27+AI41+AI55+AI69+AI83+AI93</f>
        <v>23.8866838288998</v>
      </c>
      <c r="AJ113" s="13" t="n">
        <f aca="false">AJ27+AJ41+AJ55+AJ69+AJ83+AJ93</f>
        <v>23.3576089705586</v>
      </c>
      <c r="AK113" s="13" t="n">
        <f aca="false">AK27+AK41+AK55+AK69+AK83+AK93</f>
        <v>21.6725949289086</v>
      </c>
      <c r="AL113" s="13" t="n">
        <f aca="false">AL27+AL41+AL55+AL69+AL83+AL93</f>
        <v>21.2441270039354</v>
      </c>
      <c r="AM113" s="13" t="n">
        <f aca="false">AM27+AM41+AM55+AM69+AM83+AM93</f>
        <v>22.2342795200809</v>
      </c>
      <c r="AN113" s="13" t="n">
        <f aca="false">AN27+AN41+AN55+AN69+AN83+AN93</f>
        <v>23.3092941861504</v>
      </c>
      <c r="AO113" s="13" t="n">
        <f aca="false">AO27+AO41+AO55+AO69+AO83+AO93</f>
        <v>22.7656544475121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836.33749336612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38.0784785636734</v>
      </c>
      <c r="R114" s="13" t="n">
        <f aca="false">R112+R113</f>
        <v>37.7221331542987</v>
      </c>
      <c r="S114" s="13" t="n">
        <f aca="false">S112+S113</f>
        <v>37.5281545531907</v>
      </c>
      <c r="T114" s="13" t="n">
        <f aca="false">T112+T113</f>
        <v>37.9631538733717</v>
      </c>
      <c r="U114" s="13" t="n">
        <f aca="false">U112+U113</f>
        <v>37.7082706244657</v>
      </c>
      <c r="V114" s="13" t="n">
        <f aca="false">V112+V113</f>
        <v>38.0579949845098</v>
      </c>
      <c r="W114" s="13" t="n">
        <f aca="false">W112+W113</f>
        <v>38.2693400178687</v>
      </c>
      <c r="X114" s="13" t="n">
        <f aca="false">X112+X113</f>
        <v>38.6972519091503</v>
      </c>
      <c r="Y114" s="13" t="n">
        <f aca="false">Y112+Y113</f>
        <v>36.7718089512955</v>
      </c>
      <c r="Z114" s="13" t="n">
        <f aca="false">Z112+Z113</f>
        <v>37.1877837069667</v>
      </c>
      <c r="AA114" s="13" t="n">
        <f aca="false">AA112+AA113</f>
        <v>36.7104052003812</v>
      </c>
      <c r="AB114" s="13" t="n">
        <f aca="false">AB112+AB113</f>
        <v>36.5768366695475</v>
      </c>
      <c r="AC114" s="13" t="n">
        <f aca="false">AC112+AC113</f>
        <v>35.6077875362592</v>
      </c>
      <c r="AD114" s="13" t="n">
        <f aca="false">AD112+AD113</f>
        <v>35.2120494415483</v>
      </c>
      <c r="AE114" s="13" t="n">
        <f aca="false">AE112+AE113</f>
        <v>35.2884315016662</v>
      </c>
      <c r="AF114" s="13" t="n">
        <f aca="false">AF112+AF113</f>
        <v>34.8277577919536</v>
      </c>
      <c r="AG114" s="13" t="n">
        <f aca="false">AG112+AG113</f>
        <v>32.9864916303619</v>
      </c>
      <c r="AH114" s="13" t="n">
        <f aca="false">AH112+AH113</f>
        <v>32.0084913499243</v>
      </c>
      <c r="AI114" s="13" t="n">
        <f aca="false">AI112+AI113</f>
        <v>30.0227889442258</v>
      </c>
      <c r="AJ114" s="13" t="n">
        <f aca="false">AJ112+AJ113</f>
        <v>28.1889960320047</v>
      </c>
      <c r="AK114" s="13" t="n">
        <f aca="false">AK112+AK113</f>
        <v>25.0866963083622</v>
      </c>
      <c r="AL114" s="13" t="n">
        <f aca="false">AL112+AL113</f>
        <v>23.7273223083245</v>
      </c>
      <c r="AM114" s="13" t="n">
        <f aca="false">AM112+AM113</f>
        <v>24.1195799082983</v>
      </c>
      <c r="AN114" s="13" t="n">
        <f aca="false">AN112+AN113</f>
        <v>24.594162490729</v>
      </c>
      <c r="AO114" s="13" t="n">
        <f aca="false">AO112+AO113</f>
        <v>23.3953259137427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644.926706593498</v>
      </c>
      <c r="R115" s="13" t="n">
        <f aca="false">R21+R35+R49+R63+R77+R91</f>
        <v>610.369348401518</v>
      </c>
      <c r="S115" s="13" t="n">
        <f aca="false">S21+S35+S49+S63+S77+S91</f>
        <v>593.689395515344</v>
      </c>
      <c r="T115" s="13" t="n">
        <f aca="false">T21+T35+T49+T63+T77+T91</f>
        <v>576.415119795689</v>
      </c>
      <c r="U115" s="13" t="n">
        <f aca="false">U21+U35+U49+U63+U77+U91</f>
        <v>558.331962796562</v>
      </c>
      <c r="V115" s="13" t="n">
        <f aca="false">V21+V35+V49+V63+V77+V91</f>
        <v>539.741482344811</v>
      </c>
      <c r="W115" s="13" t="n">
        <f aca="false">W21+W35+W49+W63+W77+W91</f>
        <v>520.29959205678</v>
      </c>
      <c r="X115" s="13" t="n">
        <f aca="false">X21+X35+X49+X63+X77+X91</f>
        <v>499.782155360869</v>
      </c>
      <c r="Y115" s="13" t="n">
        <f aca="false">Y21+Y35+Y49+Y63+Y77+Y91</f>
        <v>478.324203713004</v>
      </c>
      <c r="Z115" s="13" t="n">
        <f aca="false">Z21+Z35+Z49+Z63+Z77+Z91</f>
        <v>458.384877042165</v>
      </c>
      <c r="AA115" s="13" t="n">
        <f aca="false">AA21+AA35+AA49+AA63+AA77+AA91</f>
        <v>437.507899985345</v>
      </c>
      <c r="AB115" s="13" t="n">
        <f aca="false">AB21+AB35+AB49+AB63+AB77+AB91</f>
        <v>410.506861377125</v>
      </c>
      <c r="AC115" s="13" t="n">
        <f aca="false">AC21+AC35+AC49+AC63+AC77+AC91</f>
        <v>381.763770606918</v>
      </c>
      <c r="AD115" s="13" t="n">
        <f aca="false">AD21+AD35+AD49+AD63+AD77+AD91</f>
        <v>352.723269176064</v>
      </c>
      <c r="AE115" s="13" t="n">
        <f aca="false">AE21+AE35+AE49+AE63+AE77+AE91</f>
        <v>322.863758211344</v>
      </c>
      <c r="AF115" s="13" t="n">
        <f aca="false">AF21+AF35+AF49+AF63+AF77+AF91</f>
        <v>290.859857277369</v>
      </c>
      <c r="AG115" s="13" t="n">
        <f aca="false">AG21+AG35+AG49+AG63+AG77+AG91</f>
        <v>256.930720919039</v>
      </c>
      <c r="AH115" s="13" t="n">
        <f aca="false">AH21+AH35+AH49+AH63+AH77+AH91</f>
        <v>223.519712881192</v>
      </c>
      <c r="AI115" s="13" t="n">
        <f aca="false">AI21+AI35+AI49+AI63+AI77+AI91</f>
        <v>188.617906697672</v>
      </c>
      <c r="AJ115" s="13" t="n">
        <f aca="false">AJ21+AJ35+AJ49+AJ63+AJ77+AJ91</f>
        <v>153.553596857044</v>
      </c>
      <c r="AK115" s="13" t="n">
        <f aca="false">AK21+AK35+AK49+AK63+AK77+AK91</f>
        <v>117.32420479501</v>
      </c>
      <c r="AL115" s="13" t="n">
        <f aca="false">AL21+AL35+AL49+AL63+AL77+AL91</f>
        <v>89.5533551576788</v>
      </c>
      <c r="AM115" s="13" t="n">
        <f aca="false">AM21+AM35+AM49+AM63+AM77+AM91</f>
        <v>68.3092281537433</v>
      </c>
      <c r="AN115" s="13" t="n">
        <f aca="false">AN21+AN35+AN49+AN63+AN77+AN91</f>
        <v>46.0749486336624</v>
      </c>
      <c r="AO115" s="13" t="n">
        <f aca="false">AO21+AO35+AO49+AO63+AO77+AO91</f>
        <v>22.7656544475121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644.926706593498</v>
      </c>
      <c r="Q116" s="13" t="n">
        <f aca="false">Q33+Q47+Q61+Q75+Q89+Q95</f>
        <v>610.369348401518</v>
      </c>
      <c r="R116" s="13" t="n">
        <f aca="false">R33+R47+R61+R75+R89+R95</f>
        <v>593.689395515344</v>
      </c>
      <c r="S116" s="13" t="n">
        <f aca="false">S33+S47+S61+S75+S89+S95</f>
        <v>576.415119795689</v>
      </c>
      <c r="T116" s="13" t="n">
        <f aca="false">T33+T47+T61+T75+T89+T95</f>
        <v>558.331962796562</v>
      </c>
      <c r="U116" s="13" t="n">
        <f aca="false">U33+U47+U61+U75+U89+U95</f>
        <v>539.741482344811</v>
      </c>
      <c r="V116" s="13" t="n">
        <f aca="false">V33+V47+V61+V75+V89+V95</f>
        <v>520.29959205678</v>
      </c>
      <c r="W116" s="13" t="n">
        <f aca="false">W33+W47+W61+W75+W89+W95</f>
        <v>499.782155360869</v>
      </c>
      <c r="X116" s="13" t="n">
        <f aca="false">X33+X47+X61+X75+X89+X95</f>
        <v>478.324203713004</v>
      </c>
      <c r="Y116" s="13" t="n">
        <f aca="false">Y33+Y47+Y61+Y75+Y89+Y95</f>
        <v>458.384877042165</v>
      </c>
      <c r="Z116" s="13" t="n">
        <f aca="false">Z33+Z47+Z61+Z75+Z89+Z95</f>
        <v>437.507899985345</v>
      </c>
      <c r="AA116" s="13" t="n">
        <f aca="false">AA33+AA47+AA61+AA75+AA89+AA95</f>
        <v>410.506861377125</v>
      </c>
      <c r="AB116" s="13" t="n">
        <f aca="false">AB33+AB47+AB61+AB75+AB89+AB95</f>
        <v>381.763770606918</v>
      </c>
      <c r="AC116" s="13" t="n">
        <f aca="false">AC33+AC47+AC61+AC75+AC89+AC95</f>
        <v>352.723269176064</v>
      </c>
      <c r="AD116" s="13" t="n">
        <f aca="false">AD33+AD47+AD61+AD75+AD89+AD95</f>
        <v>322.863758211344</v>
      </c>
      <c r="AE116" s="13" t="n">
        <f aca="false">AE33+AE47+AE61+AE75+AE89+AE95</f>
        <v>290.859857277369</v>
      </c>
      <c r="AF116" s="13" t="n">
        <f aca="false">AF33+AF47+AF61+AF75+AF89+AF95</f>
        <v>256.930720919039</v>
      </c>
      <c r="AG116" s="13" t="n">
        <f aca="false">AG33+AG47+AG61+AG75+AG89+AG95</f>
        <v>223.519712881192</v>
      </c>
      <c r="AH116" s="13" t="n">
        <f aca="false">AH33+AH47+AH61+AH75+AH89+AH95</f>
        <v>188.617906697672</v>
      </c>
      <c r="AI116" s="13" t="n">
        <f aca="false">AI33+AI47+AI61+AI75+AI89+AI95</f>
        <v>153.553596857044</v>
      </c>
      <c r="AJ116" s="13" t="n">
        <f aca="false">AJ33+AJ47+AJ61+AJ75+AJ89+AJ95</f>
        <v>117.32420479501</v>
      </c>
      <c r="AK116" s="13" t="n">
        <f aca="false">AK33+AK47+AK61+AK75+AK89+AK95</f>
        <v>89.5533551576788</v>
      </c>
      <c r="AL116" s="13" t="n">
        <f aca="false">AL33+AL47+AL61+AL75+AL89+AL95</f>
        <v>68.3092281537433</v>
      </c>
      <c r="AM116" s="13" t="n">
        <f aca="false">AM33+AM47+AM61+AM75+AM89+AM95</f>
        <v>46.0749486336624</v>
      </c>
      <c r="AN116" s="13" t="n">
        <f aca="false">AN33+AN47+AN61+AN75+AN89+AN95</f>
        <v>22.7656544475121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227.74311037281</v>
      </c>
      <c r="R118" s="13" t="n">
        <f aca="false">IF(Time!R34=1,R75,R73)</f>
        <v>221.519428988551</v>
      </c>
      <c r="S118" s="13" t="n">
        <f aca="false">IF(Time!S34=1,S75,S73)</f>
        <v>215.07399182475</v>
      </c>
      <c r="T118" s="13" t="n">
        <f aca="false">IF(Time!T34=1,T75,T73)</f>
        <v>208.326742096162</v>
      </c>
      <c r="U118" s="13" t="n">
        <f aca="false">IF(Time!U34=1,U75,U73)</f>
        <v>201.390198096213</v>
      </c>
      <c r="V118" s="13" t="n">
        <f aca="false">IF(Time!V34=1,V75,V73)</f>
        <v>194.135973130103</v>
      </c>
      <c r="W118" s="13" t="n">
        <f aca="false">IF(Time!W34=1,W75,W73)</f>
        <v>186.480436589414</v>
      </c>
      <c r="X118" s="13" t="n">
        <f aca="false">IF(Time!X34=1,X75,X73)</f>
        <v>178.473971875365</v>
      </c>
      <c r="Y118" s="13" t="n">
        <f aca="false">IF(Time!Y34=1,Y75,Y73)</f>
        <v>171.034141735387</v>
      </c>
      <c r="Z118" s="13" t="n">
        <f aca="false">IF(Time!Z34=1,Z75,Z73)</f>
        <v>163.244452258755</v>
      </c>
      <c r="AA118" s="13" t="n">
        <f aca="false">IF(Time!AA34=1,AA75,AA73)</f>
        <v>155.29187850032</v>
      </c>
      <c r="AB118" s="13" t="n">
        <f aca="false">IF(Time!AB34=1,AB75,AB73)</f>
        <v>141.570235204446</v>
      </c>
      <c r="AC118" s="13" t="n">
        <f aca="false">IF(Time!AC34=1,AC75,AC73)</f>
        <v>127.000732962725</v>
      </c>
      <c r="AD118" s="13" t="n">
        <f aca="false">IF(Time!AD34=1,AD75,AD73)</f>
        <v>112.433897745335</v>
      </c>
      <c r="AE118" s="13" t="n">
        <f aca="false">IF(Time!AE34=1,AE75,AE73)</f>
        <v>97.5597104764913</v>
      </c>
      <c r="AF118" s="13" t="n">
        <f aca="false">IF(Time!AF34=1,AF75,AF73)</f>
        <v>82.1120176349528</v>
      </c>
      <c r="AG118" s="13" t="n">
        <f aca="false">IF(Time!AG34=1,AG75,AG73)</f>
        <v>66.1763172335893</v>
      </c>
      <c r="AH118" s="13" t="n">
        <f aca="false">IF(Time!AH34=1,AH75,AH73)</f>
        <v>50.7373106340543</v>
      </c>
      <c r="AI118" s="13" t="n">
        <f aca="false">IF(Time!AI34=1,AI75,AI73)</f>
        <v>35.1805748637209</v>
      </c>
      <c r="AJ118" s="13" t="n">
        <f aca="false">IF(Time!AJ34=1,AJ75,AJ73)</f>
        <v>20.3517709903167</v>
      </c>
      <c r="AK118" s="13" t="n">
        <f aca="false">IF(Time!AK34=1,AK75,AK73)</f>
        <v>6.09825470842245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8.99447130257387</v>
      </c>
      <c r="Q119" s="13" t="n">
        <f aca="false">IF(AND(Time!Q20&gt;=Time!$F$12,Time!R20&gt;0),(IF(Time!Q34=1,Q33,Q31)-Q30)*R19+IF(Time!R46&gt;0,Time!R45*Q30/Time!R46,0)+IF(Time!Q34=1,Q33,Q31)*R10,0)</f>
        <v>9.0120095598617</v>
      </c>
      <c r="R119" s="13" t="n">
        <f aca="false">IF(AND(Time!R20&gt;=Time!$F$12,Time!S20&gt;0),(IF(Time!R34=1,R33,R31)-R30)*S19+IF(Time!S46&gt;0,Time!S45*R30/Time!S46,0)+IF(Time!R34=1,R33,R31)*S10,0)</f>
        <v>9.01886978746888</v>
      </c>
      <c r="S119" s="13" t="n">
        <f aca="false">IF(AND(Time!S20&gt;=Time!$F$12,Time!T20&gt;0),(IF(Time!S34=1,S33,S31)-S30)*T19+IF(Time!T46&gt;0,Time!T45*S30/Time!T46,0)+IF(Time!S34=1,S33,S31)*T10,0)</f>
        <v>9.20603173300914</v>
      </c>
      <c r="T119" s="13" t="n">
        <f aca="false">IF(AND(Time!T20&gt;=Time!$F$12,Time!U20&gt;0),(IF(Time!T34=1,T33,T31)-T30)*U19+IF(Time!U46&gt;0,Time!U45*T30/Time!U46,0)+IF(Time!T34=1,T33,T31)*U10,0)</f>
        <v>9.19293249480355</v>
      </c>
      <c r="U119" s="13" t="n">
        <f aca="false">IF(AND(Time!U20&gt;=Time!$F$12,Time!V20&gt;0),(IF(Time!U34=1,U33,U31)-U30)*V19+IF(Time!V46&gt;0,Time!V45*U30/Time!V46,0)+IF(Time!U34=1,U33,U31)*V10,0)</f>
        <v>9.35946291469646</v>
      </c>
      <c r="V119" s="13" t="n">
        <f aca="false">IF(AND(Time!V20&gt;=Time!$F$12,Time!W20&gt;0),(IF(Time!V34=1,V33,V31)-V30)*W19+IF(Time!W46&gt;0,Time!W45*V30/Time!W46,0)+IF(Time!V34=1,V33,V31)*W10,0)</f>
        <v>9.48835322906044</v>
      </c>
      <c r="W119" s="13" t="n">
        <f aca="false">IF(AND(Time!W20&gt;=Time!$F$12,Time!X20&gt;0),(IF(Time!W34=1,W33,W31)-W30)*X19+IF(Time!X46&gt;0,Time!X45*W30/Time!X46,0)+IF(Time!W34=1,W33,W31)*X10,0)</f>
        <v>9.68441138578601</v>
      </c>
      <c r="X119" s="13" t="n">
        <f aca="false">IF(AND(Time!X20&gt;=Time!$F$12,Time!Y20&gt;0),(IF(Time!X34=1,X33,X31)-X30)*Y19+IF(Time!Y46&gt;0,Time!Y45*X30/Time!Y46,0)+IF(Time!X34=1,X33,X31)*Y10,0)</f>
        <v>9.04017152334258</v>
      </c>
      <c r="Y119" s="13" t="n">
        <f aca="false">IF(AND(Time!Y20&gt;=Time!$F$12,Time!Z20&gt;0),(IF(Time!Y34=1,Y33,Y31)-Y30)*Z19+IF(Time!Z46&gt;0,Time!Z45*Y30/Time!Z46,0)+IF(Time!Y34=1,Y33,Y31)*Z10,0)</f>
        <v>9.23467065906274</v>
      </c>
      <c r="Z119" s="13" t="n">
        <f aca="false">IF(AND(Time!Z20&gt;=Time!$F$12,Time!AA20&gt;0),(IF(Time!Z34=1,Z33,Z31)-Z30)*AA19+IF(Time!AA46&gt;0,Time!AA45*Z30/Time!AA46,0)+IF(Time!Z34=1,Z33,Z31)*AA10,0)</f>
        <v>9.17475535729523</v>
      </c>
      <c r="AA119" s="13" t="n">
        <f aca="false">IF(AND(Time!AA20&gt;=Time!$F$12,Time!AB20&gt;0),(IF(Time!AA34=1,AA33,AA31)-AA30)*AB19+IF(Time!AB46&gt;0,Time!AB45*AA30/Time!AB46,0)+IF(Time!AA34=1,AA33,AA31)*AB10,0)</f>
        <v>9.3848368313236</v>
      </c>
      <c r="AB119" s="13" t="n">
        <f aca="false">IF(AND(Time!AB20&gt;=Time!$F$12,Time!AC20&gt;0),(IF(Time!AB34=1,AB33,AB31)-AB30)*AC19+IF(Time!AC46&gt;0,Time!AC45*AB30/Time!AC46,0)+IF(Time!AB34=1,AB33,AB31)*AC10,0)</f>
        <v>9.3928050086039</v>
      </c>
      <c r="AC119" s="13" t="n">
        <f aca="false">IF(AND(Time!AC20&gt;=Time!$F$12,Time!AD20&gt;0),(IF(Time!AC34=1,AC33,AC31)-AC30)*AD19+IF(Time!AD46&gt;0,Time!AD45*AC30/Time!AD46,0)+IF(Time!AC34=1,AC33,AC31)*AD10,0)</f>
        <v>9.5892439327931</v>
      </c>
      <c r="AD119" s="13" t="n">
        <f aca="false">IF(AND(Time!AD20&gt;=Time!$F$12,Time!AE20&gt;0),(IF(Time!AD34=1,AD33,AD31)-AD30)*AE19+IF(Time!AE46&gt;0,Time!AE45*AD30/Time!AE46,0)+IF(Time!AD34=1,AD33,AD31)*AE10,0)</f>
        <v>9.96359614477672</v>
      </c>
      <c r="AE119" s="13" t="n">
        <f aca="false">IF(AND(Time!AE20&gt;=Time!$F$12,Time!AF20&gt;0),(IF(Time!AE34=1,AE33,AE31)-AE30)*AF19+IF(Time!AF46&gt;0,Time!AF45*AE30/Time!AF46,0)+IF(Time!AE34=1,AE33,AE31)*AF10,0)</f>
        <v>10.2391374330022</v>
      </c>
      <c r="AF119" s="13" t="n">
        <f aca="false">IF(AND(Time!AF20&gt;=Time!$F$12,Time!AG20&gt;0),(IF(Time!AF34=1,AF33,AF31)-AF30)*AG19+IF(Time!AG46&gt;0,Time!AG45*AF30/Time!AG46,0)+IF(Time!AF34=1,AF33,AF31)*AG10,0)</f>
        <v>10.0808069093538</v>
      </c>
      <c r="AG119" s="13" t="n">
        <f aca="false">IF(AND(Time!AG20&gt;=Time!$F$12,Time!AH20&gt;0),(IF(Time!AG34=1,AG33,AG31)-AG30)*AH19+IF(Time!AH46&gt;0,Time!AH45*AG30/Time!AH46,0)+IF(Time!AG34=1,AG33,AG31)*AH10,0)</f>
        <v>10.3477125361504</v>
      </c>
      <c r="AH119" s="13" t="n">
        <f aca="false">IF(AND(Time!AH20&gt;=Time!$F$12,Time!AI20&gt;0),(IF(Time!AH34=1,AH33,AH31)-AH30)*AI19+IF(Time!AI46&gt;0,Time!AI45*AH30/Time!AI46,0)+IF(Time!AH34=1,AH33,AH31)*AI10,0)</f>
        <v>10.3938245852273</v>
      </c>
      <c r="AI119" s="13" t="n">
        <f aca="false">IF(AND(Time!AI20&gt;=Time!$F$12,Time!AJ20&gt;0),(IF(Time!AI34=1,AI33,AI31)-AI30)*AJ19+IF(Time!AJ46&gt;0,Time!AJ45*AI30/Time!AJ46,0)+IF(Time!AI34=1,AI33,AI31)*AJ10,0)</f>
        <v>10.6509287533801</v>
      </c>
      <c r="AJ119" s="13" t="n">
        <f aca="false">IF(AND(Time!AJ20&gt;=Time!$F$12,Time!AK20&gt;0),(IF(Time!AJ34=1,AJ33,AJ31)-AJ30)*AK19+IF(Time!AK46&gt;0,Time!AK45*AJ30/Time!AK46,0)+IF(Time!AJ34=1,AJ33,AJ31)*AK10,0)</f>
        <v>10.7011737761918</v>
      </c>
      <c r="AK119" s="13" t="n">
        <f aca="false">IF(AND(Time!AK20&gt;=Time!$F$12,Time!AL20&gt;0),(IF(Time!AK34=1,AK33,AK31)-AK30)*AL19+IF(Time!AL46&gt;0,Time!AL45*AK30/Time!AL46,0)+IF(Time!AK34=1,AK33,AK31)*AL10,0)</f>
        <v>10.94409700219</v>
      </c>
      <c r="AL119" s="13" t="n">
        <f aca="false">IF(AND(Time!AL20&gt;=Time!$F$12,Time!AM20&gt;0),(IF(Time!AL34=1,AL33,AL31)-AL30)*AM19+IF(Time!AM46&gt;0,Time!AM45*AL30/Time!AM46,0)+IF(Time!AL34=1,AL33,AL31)*AM10,0)</f>
        <v>11.1693448992517</v>
      </c>
      <c r="AM119" s="13" t="n">
        <f aca="false">IF(AND(Time!AM20&gt;=Time!$F$12,Time!AN20&gt;0),(IF(Time!AM34=1,AM33,AM31)-AM30)*AN19+IF(Time!AN46&gt;0,Time!AN45*AM30/Time!AN46,0)+IF(Time!AM34=1,AM33,AM31)*AN10,0)</f>
        <v>11.4477533103045</v>
      </c>
      <c r="AN119" s="13" t="n">
        <f aca="false">IF(AND(Time!AN20&gt;=Time!$F$12,Time!AO20&gt;0),(IF(Time!AN34=1,AN33,AN31)-AN30)*AO19+IF(Time!AO46&gt;0,Time!AO45*AN30/Time!AO46,0)+IF(Time!AN34=1,AN33,AN31)*AO10,0)</f>
        <v>10.9380685712579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8.20698400455586</v>
      </c>
      <c r="Q120" s="13" t="n">
        <f aca="false">IF(AND(Time!Q20&gt;=Time!$F$12,Time!R20&gt;0),(IF(Time!Q34=1,Q47,Q45)-Q44)*R19+IF(Time!R46&gt;0,Time!R45*Q44/Time!R46,0)+IF(Time!Q34=1,Q47,Q45)*R11,0)</f>
        <v>8.15879199215517</v>
      </c>
      <c r="R120" s="13" t="n">
        <f aca="false">IF(AND(Time!R20&gt;=Time!$F$12,Time!S20&gt;0),(IF(Time!R34=1,R47,R45)-R44)*S19+IF(Time!S46&gt;0,Time!S45*R44/Time!S46,0)+IF(Time!R34=1,R47,R45)*S11,0)</f>
        <v>8.09688451251705</v>
      </c>
      <c r="S120" s="13" t="n">
        <f aca="false">IF(AND(Time!S20&gt;=Time!$F$12,Time!T20&gt;0),(IF(Time!S34=1,S47,S45)-S44)*T19+IF(Time!T46&gt;0,Time!T45*S44/Time!T46,0)+IF(Time!S34=1,S47,S45)*T11,0)</f>
        <v>8.21485082459059</v>
      </c>
      <c r="T120" s="13" t="n">
        <f aca="false">IF(AND(Time!T20&gt;=Time!$F$12,Time!U20&gt;0),(IF(Time!T34=1,T47,T45)-T44)*U19+IF(Time!U46&gt;0,Time!U45*T44/Time!U46,0)+IF(Time!T34=1,T47,T45)*U11,0)</f>
        <v>8.14391265504305</v>
      </c>
      <c r="U120" s="13" t="n">
        <f aca="false">IF(AND(Time!U20&gt;=Time!$F$12,Time!V20&gt;0),(IF(Time!U34=1,U47,U45)-U44)*V19+IF(Time!V46&gt;0,Time!V45*U44/Time!V46,0)+IF(Time!U34=1,U47,U45)*V11,0)</f>
        <v>8.23423720495503</v>
      </c>
      <c r="V120" s="13" t="n">
        <f aca="false">IF(AND(Time!V20&gt;=Time!$F$12,Time!W20&gt;0),(IF(Time!V34=1,V47,V45)-V44)*W19+IF(Time!W46&gt;0,Time!W45*V44/Time!W46,0)+IF(Time!V34=1,V47,V45)*W11,0)</f>
        <v>8.25784333545526</v>
      </c>
      <c r="W120" s="13" t="n">
        <f aca="false">IF(AND(Time!W20&gt;=Time!$F$12,Time!X20&gt;0),(IF(Time!W34=1,W47,W45)-W44)*X19+IF(Time!X46&gt;0,Time!X45*W44/Time!X46,0)+IF(Time!W34=1,W47,W45)*X11,0)</f>
        <v>8.37105918058671</v>
      </c>
      <c r="X120" s="13" t="n">
        <f aca="false">IF(AND(Time!X20&gt;=Time!$F$12,Time!Y20&gt;0),(IF(Time!X34=1,X47,X45)-X44)*Y19+IF(Time!Y46&gt;0,Time!Y45*X44/Time!Y46,0)+IF(Time!X34=1,X47,X45)*Y11,0)</f>
        <v>7.8243214846747</v>
      </c>
      <c r="Y120" s="13" t="n">
        <f aca="false">IF(AND(Time!Y20&gt;=Time!$F$12,Time!Z20&gt;0),(IF(Time!Y34=1,Y47,Y45)-Y44)*Z19+IF(Time!Z46&gt;0,Time!Z45*Y44/Time!Z46,0)+IF(Time!Y34=1,Y47,Y45)*Z11,0)</f>
        <v>7.93612418010591</v>
      </c>
      <c r="Z120" s="13" t="n">
        <f aca="false">IF(AND(Time!Z20&gt;=Time!$F$12,Time!AA20&gt;0),(IF(Time!Z34=1,Z47,Z45)-Z44)*AA19+IF(Time!AA46&gt;0,Time!AA45*Z44/Time!AA46,0)+IF(Time!Z34=1,Z47,Z45)*AA11,0)</f>
        <v>7.82105644363714</v>
      </c>
      <c r="AA120" s="13" t="n">
        <f aca="false">IF(AND(Time!AA20&gt;=Time!$F$12,Time!AB20&gt;0),(IF(Time!AA34=1,AA47,AA45)-AA44)*AB19+IF(Time!AB46&gt;0,Time!AB45*AA44/Time!AB46,0)+IF(Time!AA34=1,AA47,AA45)*AB11,0)</f>
        <v>7.9391065897465</v>
      </c>
      <c r="AB120" s="13" t="n">
        <f aca="false">IF(AND(Time!AB20&gt;=Time!$F$12,Time!AC20&gt;0),(IF(Time!AB34=1,AB47,AB45)-AB44)*AC19+IF(Time!AC46&gt;0,Time!AC45*AB44/Time!AC46,0)+IF(Time!AB34=1,AB47,AB45)*AC11,0)</f>
        <v>7.87732112040996</v>
      </c>
      <c r="AC120" s="13" t="n">
        <f aca="false">IF(AND(Time!AC20&gt;=Time!$F$12,Time!AD20&gt;0),(IF(Time!AC34=1,AC47,AC45)-AC44)*AD19+IF(Time!AD46&gt;0,Time!AD45*AC44/Time!AD46,0)+IF(Time!AC34=1,AC47,AC45)*AD11,0)</f>
        <v>7.97387581635556</v>
      </c>
      <c r="AD120" s="13" t="n">
        <f aca="false">IF(AND(Time!AD20&gt;=Time!$F$12,Time!AE20&gt;0),(IF(Time!AD34=1,AD47,AD45)-AD44)*AE19+IF(Time!AE46&gt;0,Time!AE45*AD44/Time!AE46,0)+IF(Time!AD34=1,AD47,AD45)*AE11,0)</f>
        <v>8.17289271827054</v>
      </c>
      <c r="AE120" s="13" t="n">
        <f aca="false">IF(AND(Time!AE20&gt;=Time!$F$12,Time!AF20&gt;0),(IF(Time!AE34=1,AE47,AE45)-AE44)*AF19+IF(Time!AF46&gt;0,Time!AF45*AE44/Time!AF46,0)+IF(Time!AE34=1,AE47,AE45)*AF11,0)</f>
        <v>8.32321162884096</v>
      </c>
      <c r="AF120" s="13" t="n">
        <f aca="false">IF(AND(Time!AF20&gt;=Time!$F$12,Time!AG20&gt;0),(IF(Time!AF34=1,AF47,AF45)-AF44)*AG19+IF(Time!AG46&gt;0,Time!AG45*AF44/Time!AG46,0)+IF(Time!AF34=1,AF47,AF45)*AG11,0)</f>
        <v>8.12529818095215</v>
      </c>
      <c r="AG120" s="13" t="n">
        <f aca="false">IF(AND(Time!AG20&gt;=Time!$F$12,Time!AH20&gt;0),(IF(Time!AG34=1,AG47,AG45)-AG44)*AH19+IF(Time!AH46&gt;0,Time!AH45*AG44/Time!AH46,0)+IF(Time!AG34=1,AG47,AG45)*AH11,0)</f>
        <v>8.2630091568406</v>
      </c>
      <c r="AH120" s="13" t="n">
        <f aca="false">IF(AND(Time!AH20&gt;=Time!$F$12,Time!AI20&gt;0),(IF(Time!AH34=1,AH47,AH45)-AH44)*AI19+IF(Time!AI46&gt;0,Time!AI45*AH44/Time!AI46,0)+IF(Time!AH34=1,AH47,AH45)*AI11,0)</f>
        <v>8.21323683523068</v>
      </c>
      <c r="AI120" s="13" t="n">
        <f aca="false">IF(AND(Time!AI20&gt;=Time!$F$12,Time!AJ20&gt;0),(IF(Time!AI34=1,AI47,AI45)-AI44)*AJ19+IF(Time!AJ46&gt;0,Time!AJ45*AI44/Time!AJ46,0)+IF(Time!AI34=1,AI47,AI45)*AJ11,0)</f>
        <v>8.33547927999137</v>
      </c>
      <c r="AJ120" s="13" t="n">
        <f aca="false">IF(AND(Time!AJ20&gt;=Time!$F$12,Time!AK20&gt;0),(IF(Time!AJ34=1,AJ47,AJ45)-AJ44)*AK19+IF(Time!AK46&gt;0,Time!AK45*AJ44/Time!AK46,0)+IF(Time!AJ34=1,AJ47,AJ45)*AK11,0)</f>
        <v>8.28766000242156</v>
      </c>
      <c r="AK120" s="13" t="n">
        <f aca="false">IF(AND(Time!AK20&gt;=Time!$F$12,Time!AL20&gt;0),(IF(Time!AK34=1,AK47,AK45)-AK44)*AL19+IF(Time!AL46&gt;0,Time!AL45*AK44/Time!AL46,0)+IF(Time!AK34=1,AK47,AK45)*AL11,0)</f>
        <v>8.38844384038816</v>
      </c>
      <c r="AL120" s="13" t="n">
        <f aca="false">IF(AND(Time!AL20&gt;=Time!$F$12,Time!AM20&gt;0),(IF(Time!AL34=1,AL47,AL45)-AL44)*AM19+IF(Time!AM46&gt;0,Time!AM45*AL44/Time!AM46,0)+IF(Time!AL34=1,AL47,AL45)*AM11,0)</f>
        <v>8.4630559041765</v>
      </c>
      <c r="AM120" s="13" t="n">
        <f aca="false">IF(AND(Time!AM20&gt;=Time!$F$12,Time!AN20&gt;0),(IF(Time!AM34=1,AM47,AM45)-AM44)*AN19+IF(Time!AN46&gt;0,Time!AN45*AM44/Time!AN46,0)+IF(Time!AM34=1,AM47,AM45)*AN11,0)</f>
        <v>8.5816646279369</v>
      </c>
      <c r="AN120" s="13" t="n">
        <f aca="false">IF(AND(Time!AN20&gt;=Time!$F$12,Time!AO20&gt;0),(IF(Time!AN34=1,AN47,AN45)-AN44)*AO19+IF(Time!AO46&gt;0,Time!AO45*AN44/Time!AO46,0)+IF(Time!AN34=1,AN47,AN45)*AO11,0)</f>
        <v>8.11196832040745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3.65085051676114</v>
      </c>
      <c r="Q121" s="13" t="n">
        <f aca="false">IF(AND(Time!Q20&gt;=Time!$F$12,Time!R20&gt;0),(IF(Time!Q34=1,Q61,Q59)-Q58)*R19+IF(Time!R46&gt;0,Time!R45*Q58/Time!R46,0)+IF(Time!Q34=1,Q61,Q59)*R12,0)</f>
        <v>3.63196152896431</v>
      </c>
      <c r="R121" s="13" t="n">
        <f aca="false">IF(AND(Time!R20&gt;=Time!$F$12,Time!S20&gt;0),(IF(Time!R34=1,R61,R59)-R58)*S19+IF(Time!S46&gt;0,Time!S45*R58/Time!S46,0)+IF(Time!R34=1,R61,R59)*S12,0)</f>
        <v>3.60712899440631</v>
      </c>
      <c r="S121" s="13" t="n">
        <f aca="false">IF(AND(Time!S20&gt;=Time!$F$12,Time!T20&gt;0),(IF(Time!S34=1,S61,S59)-S58)*T19+IF(Time!T46&gt;0,Time!T45*S58/Time!T46,0)+IF(Time!S34=1,S61,S59)*T12,0)</f>
        <v>3.66170290015725</v>
      </c>
      <c r="T121" s="13" t="n">
        <f aca="false">IF(AND(Time!T20&gt;=Time!$F$12,Time!U20&gt;0),(IF(Time!T34=1,T61,T59)-T58)*U19+IF(Time!U46&gt;0,Time!U45*T58/Time!U46,0)+IF(Time!T34=1,T61,T59)*U12,0)</f>
        <v>3.63248851782982</v>
      </c>
      <c r="U121" s="13" t="n">
        <f aca="false">IF(AND(Time!U20&gt;=Time!$F$12,Time!V20&gt;0),(IF(Time!U34=1,U61,U59)-U58)*V19+IF(Time!V46&gt;0,Time!V45*U58/Time!V46,0)+IF(Time!U34=1,U61,U59)*V12,0)</f>
        <v>3.67511616690095</v>
      </c>
      <c r="V121" s="13" t="n">
        <f aca="false">IF(AND(Time!V20&gt;=Time!$F$12,Time!W20&gt;0),(IF(Time!V34=1,V61,V59)-V58)*W19+IF(Time!W46&gt;0,Time!W45*V58/Time!W46,0)+IF(Time!V34=1,V61,V59)*W12,0)</f>
        <v>3.68934985435001</v>
      </c>
      <c r="W121" s="13" t="n">
        <f aca="false">IF(AND(Time!W20&gt;=Time!$F$12,Time!X20&gt;0),(IF(Time!W34=1,W61,W59)-W58)*X19+IF(Time!X46&gt;0,Time!X45*W58/Time!X46,0)+IF(Time!W34=1,W61,W59)*X12,0)</f>
        <v>3.74232149030241</v>
      </c>
      <c r="X121" s="13" t="n">
        <f aca="false">IF(AND(Time!X20&gt;=Time!$F$12,Time!Y20&gt;0),(IF(Time!X34=1,X61,X59)-X58)*Y19+IF(Time!Y46&gt;0,Time!Y45*X58/Time!Y46,0)+IF(Time!X34=1,X61,X59)*Y12,0)</f>
        <v>3.49747506380684</v>
      </c>
      <c r="Y121" s="13" t="n">
        <f aca="false">IF(AND(Time!Y20&gt;=Time!$F$12,Time!Z20&gt;0),(IF(Time!Y34=1,Y61,Y59)-Y58)*Z19+IF(Time!Z46&gt;0,Time!Z45*Y58/Time!Z46,0)+IF(Time!Y34=1,Y61,Y59)*Z12,0)</f>
        <v>3.54981769236732</v>
      </c>
      <c r="Z121" s="13" t="n">
        <f aca="false">IF(AND(Time!Z20&gt;=Time!$F$12,Time!AA20&gt;0),(IF(Time!Z34=1,Z61,Z59)-Z58)*AA19+IF(Time!AA46&gt;0,Time!AA45*Z58/Time!AA46,0)+IF(Time!Z34=1,Z61,Z59)*AA12,0)</f>
        <v>3.50102849636896</v>
      </c>
      <c r="AA121" s="13" t="n">
        <f aca="false">IF(AND(Time!AA20&gt;=Time!$F$12,Time!AB20&gt;0),(IF(Time!AA34=1,AA61,AA59)-AA58)*AB19+IF(Time!AB46&gt;0,Time!AB45*AA58/Time!AB46,0)+IF(Time!AA34=1,AA61,AA59)*AB12,0)</f>
        <v>3.55646678420085</v>
      </c>
      <c r="AB121" s="13" t="n">
        <f aca="false">IF(AND(Time!AB20&gt;=Time!$F$12,Time!AC20&gt;0),(IF(Time!AB34=1,AB61,AB59)-AB58)*AC19+IF(Time!AC46&gt;0,Time!AC45*AB58/Time!AC46,0)+IF(Time!AB34=1,AB61,AB59)*AC12,0)</f>
        <v>3.53172382379798</v>
      </c>
      <c r="AC121" s="13" t="n">
        <f aca="false">IF(AND(Time!AC20&gt;=Time!$F$12,Time!AD20&gt;0),(IF(Time!AC34=1,AC61,AC59)-AC58)*AD19+IF(Time!AD46&gt;0,Time!AD45*AC58/Time!AD46,0)+IF(Time!AC34=1,AC61,AC59)*AD12,0)</f>
        <v>3.57795918535065</v>
      </c>
      <c r="AD121" s="13" t="n">
        <f aca="false">IF(AND(Time!AD20&gt;=Time!$F$12,Time!AE20&gt;0),(IF(Time!AD34=1,AD61,AD59)-AD58)*AE19+IF(Time!AE46&gt;0,Time!AE45*AD58/Time!AE46,0)+IF(Time!AD34=1,AD61,AD59)*AE12,0)</f>
        <v>3.67215204855013</v>
      </c>
      <c r="AE121" s="13" t="n">
        <f aca="false">IF(AND(Time!AE20&gt;=Time!$F$12,Time!AF20&gt;0),(IF(Time!AE34=1,AE61,AE59)-AE58)*AF19+IF(Time!AF46&gt;0,Time!AF45*AE58/Time!AF46,0)+IF(Time!AE34=1,AE61,AE59)*AF12,0)</f>
        <v>3.74303538244553</v>
      </c>
      <c r="AF121" s="13" t="n">
        <f aca="false">IF(AND(Time!AF20&gt;=Time!$F$12,Time!AG20&gt;0),(IF(Time!AF34=1,AF61,AF59)-AF58)*AG19+IF(Time!AG46&gt;0,Time!AG45*AF58/Time!AG46,0)+IF(Time!AF34=1,AF61,AF59)*AG12,0)</f>
        <v>3.65711644354416</v>
      </c>
      <c r="AG121" s="13" t="n">
        <f aca="false">IF(AND(Time!AG20&gt;=Time!$F$12,Time!AH20&gt;0),(IF(Time!AG34=1,AG61,AG59)-AG58)*AH19+IF(Time!AH46&gt;0,Time!AH45*AG58/Time!AH46,0)+IF(Time!AG34=1,AG61,AG59)*AH12,0)</f>
        <v>3.72257893342901</v>
      </c>
      <c r="AH121" s="13" t="n">
        <f aca="false">IF(AND(Time!AH20&gt;=Time!$F$12,Time!AI20&gt;0),(IF(Time!AH34=1,AH61,AH59)-AH58)*AI19+IF(Time!AI46&gt;0,Time!AI45*AH58/Time!AI46,0)+IF(Time!AH34=1,AH61,AH59)*AI12,0)</f>
        <v>3.70408498409379</v>
      </c>
      <c r="AI121" s="13" t="n">
        <f aca="false">IF(AND(Time!AI20&gt;=Time!$F$12,Time!AJ20&gt;0),(IF(Time!AI34=1,AI61,AI59)-AI58)*AJ19+IF(Time!AJ46&gt;0,Time!AJ45*AI58/Time!AJ46,0)+IF(Time!AI34=1,AI61,AI59)*AJ12,0)</f>
        <v>3.76292545364335</v>
      </c>
      <c r="AJ121" s="13" t="n">
        <f aca="false">IF(AND(Time!AJ20&gt;=Time!$F$12,Time!AK20&gt;0),(IF(Time!AJ34=1,AJ61,AJ59)-AJ58)*AK19+IF(Time!AK46&gt;0,Time!AK45*AJ58/Time!AK46,0)+IF(Time!AJ34=1,AJ61,AJ59)*AK12,0)</f>
        <v>3.7453725027535</v>
      </c>
      <c r="AK121" s="13" t="n">
        <f aca="false">IF(AND(Time!AK20&gt;=Time!$F$12,Time!AL20&gt;0),(IF(Time!AK34=1,AK61,AK59)-AK58)*AL19+IF(Time!AL46&gt;0,Time!AL45*AK58/Time!AL46,0)+IF(Time!AK34=1,AK61,AK59)*AL12,0)</f>
        <v>3.7950054657175</v>
      </c>
      <c r="AL121" s="13" t="n">
        <f aca="false">IF(AND(Time!AL20&gt;=Time!$F$12,Time!AM20&gt;0),(IF(Time!AL34=1,AL61,AL59)-AL58)*AM19+IF(Time!AM46&gt;0,Time!AM45*AL58/Time!AM46,0)+IF(Time!AL34=1,AL61,AL59)*AM12,0)</f>
        <v>3.83339482906943</v>
      </c>
      <c r="AM121" s="13" t="n">
        <f aca="false">IF(AND(Time!AM20&gt;=Time!$F$12,Time!AN20&gt;0),(IF(Time!AM34=1,AM61,AM59)-AM58)*AN19+IF(Time!AN46&gt;0,Time!AN45*AM58/Time!AN46,0)+IF(Time!AM34=1,AM61,AM59)*AN12,0)</f>
        <v>3.89153503178388</v>
      </c>
      <c r="AN121" s="13" t="n">
        <f aca="false">IF(AND(Time!AN20&gt;=Time!$F$12,Time!AO20&gt;0),(IF(Time!AN34=1,AN61,AN59)-AN58)*AO19+IF(Time!AO46&gt;0,Time!AO45*AN58/Time!AO46,0)+IF(Time!AN34=1,AN61,AN59)*AO12,0)</f>
        <v>3.68277621111315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15.6893823477377</v>
      </c>
      <c r="Q122" s="13" t="n">
        <f aca="false">IF(AND(Time!Q20&gt;=Time!$F$12,Time!R20&gt;0),(IF(Time!Q34=1,Q75,Q73)-Q72)*R19+IF(Time!R46&gt;0,Time!R45*Q72/Time!R46,0)+IF(Time!Q34=1,Q75,Q73)*R13,0)</f>
        <v>15.548777678858</v>
      </c>
      <c r="R122" s="13" t="n">
        <f aca="false">IF(AND(Time!R20&gt;=Time!$F$12,Time!S20&gt;0),(IF(Time!R34=1,R75,R73)-R72)*S19+IF(Time!S46&gt;0,Time!S45*R72/Time!S46,0)+IF(Time!R34=1,R75,R73)*S13,0)</f>
        <v>15.3801908733935</v>
      </c>
      <c r="S122" s="13" t="n">
        <f aca="false">IF(AND(Time!S20&gt;=Time!$F$12,Time!T20&gt;0),(IF(Time!S34=1,S75,S73)-S72)*T19+IF(Time!T46&gt;0,Time!T45*S72/Time!T46,0)+IF(Time!S34=1,S75,S73)*T13,0)</f>
        <v>15.5658144402969</v>
      </c>
      <c r="T122" s="13" t="n">
        <f aca="false">IF(AND(Time!T20&gt;=Time!$F$12,Time!U20&gt;0),(IF(Time!T34=1,T75,T73)-T72)*U19+IF(Time!U46&gt;0,Time!U45*T72/Time!U46,0)+IF(Time!T34=1,T75,T73)*U13,0)</f>
        <v>15.3856079562456</v>
      </c>
      <c r="U122" s="13" t="n">
        <f aca="false">IF(AND(Time!U20&gt;=Time!$F$12,Time!V20&gt;0),(IF(Time!U34=1,U75,U73)-U72)*V19+IF(Time!V46&gt;0,Time!V45*U72/Time!V46,0)+IF(Time!U34=1,U75,U73)*V13,0)</f>
        <v>15.5117203478038</v>
      </c>
      <c r="V122" s="13" t="n">
        <f aca="false">IF(AND(Time!V20&gt;=Time!$F$12,Time!W20&gt;0),(IF(Time!V34=1,V75,V73)-V72)*W19+IF(Time!W46&gt;0,Time!W45*V72/Time!W46,0)+IF(Time!V34=1,V75,V73)*W13,0)</f>
        <v>15.4858072939564</v>
      </c>
      <c r="W122" s="13" t="n">
        <f aca="false">IF(AND(Time!W20&gt;=Time!$F$12,Time!X20&gt;0),(IF(Time!W34=1,W75,W73)-W72)*X19+IF(Time!X46&gt;0,Time!X45*W72/Time!X46,0)+IF(Time!W34=1,W75,W73)*X13,0)</f>
        <v>15.6526230597379</v>
      </c>
      <c r="X122" s="13" t="n">
        <f aca="false">IF(AND(Time!X20&gt;=Time!$F$12,Time!Y20&gt;0),(IF(Time!X34=1,X75,X73)-X72)*Y19+IF(Time!Y46&gt;0,Time!Y45*X72/Time!Y46,0)+IF(Time!X34=1,X75,X73)*Y13,0)</f>
        <v>15.136905769018</v>
      </c>
      <c r="Y122" s="13" t="n">
        <f aca="false">IF(AND(Time!Y20&gt;=Time!$F$12,Time!Z20&gt;0),(IF(Time!Y34=1,Y75,Y73)-Y72)*Z19+IF(Time!Z46&gt;0,Time!Z45*Y72/Time!Z46,0)+IF(Time!Y34=1,Y75,Y73)*Z13,0)</f>
        <v>15.2881640955293</v>
      </c>
      <c r="Z122" s="13" t="n">
        <f aca="false">IF(AND(Time!Z20&gt;=Time!$F$12,Time!AA20&gt;0),(IF(Time!Z34=1,Z75,Z73)-Z72)*AA19+IF(Time!AA46&gt;0,Time!AA45*Z72/Time!AA46,0)+IF(Time!Z34=1,Z75,Z73)*AA13,0)</f>
        <v>14.9928434507256</v>
      </c>
      <c r="AA122" s="13" t="n">
        <f aca="false">IF(AND(Time!AA20&gt;=Time!$F$12,Time!AB20&gt;0),(IF(Time!AA34=1,AA75,AA73)-AA72)*AB19+IF(Time!AB46&gt;0,Time!AB45*AA72/Time!AB46,0)+IF(Time!AA34=1,AA75,AA73)*AB13,0)</f>
        <v>15.1478609050496</v>
      </c>
      <c r="AB122" s="13" t="n">
        <f aca="false">IF(AND(Time!AB20&gt;=Time!$F$12,Time!AC20&gt;0),(IF(Time!AB34=1,AB75,AB73)-AB72)*AC19+IF(Time!AC46&gt;0,Time!AC45*AB72/Time!AC46,0)+IF(Time!AB34=1,AB75,AB73)*AC13,0)</f>
        <v>14.4018117215692</v>
      </c>
      <c r="AC122" s="13" t="n">
        <f aca="false">IF(AND(Time!AC20&gt;=Time!$F$12,Time!AD20&gt;0),(IF(Time!AC34=1,AC75,AC73)-AC72)*AD19+IF(Time!AD46&gt;0,Time!AD45*AC72/Time!AD46,0)+IF(Time!AC34=1,AC75,AC73)*AD13,0)</f>
        <v>13.8143250745315</v>
      </c>
      <c r="AD122" s="13" t="n">
        <f aca="false">IF(AND(Time!AD20&gt;=Time!$F$12,Time!AE20&gt;0),(IF(Time!AD34=1,AD75,AD73)-AD72)*AE19+IF(Time!AE46&gt;0,Time!AE45*AD72/Time!AE46,0)+IF(Time!AD34=1,AD75,AD73)*AE13,0)</f>
        <v>13.2887139644044</v>
      </c>
      <c r="AE122" s="13" t="n">
        <f aca="false">IF(AND(Time!AE20&gt;=Time!$F$12,Time!AF20&gt;0),(IF(Time!AE34=1,AE75,AE73)-AE72)*AF19+IF(Time!AF46&gt;0,Time!AF45*AE72/Time!AF46,0)+IF(Time!AE34=1,AE75,AE73)*AF13,0)</f>
        <v>12.6208910438517</v>
      </c>
      <c r="AF122" s="13" t="n">
        <f aca="false">IF(AND(Time!AF20&gt;=Time!$F$12,Time!AG20&gt;0),(IF(Time!AF34=1,AF75,AF73)-AF72)*AG19+IF(Time!AG46&gt;0,Time!AG45*AF72/Time!AG46,0)+IF(Time!AF34=1,AF75,AF73)*AG13,0)</f>
        <v>11.5054761363459</v>
      </c>
      <c r="AG122" s="13" t="n">
        <f aca="false">IF(AND(Time!AG20&gt;=Time!$F$12,Time!AH20&gt;0),(IF(Time!AG34=1,AG75,AG73)-AG72)*AH19+IF(Time!AH46&gt;0,Time!AH45*AG72/Time!AH46,0)+IF(Time!AG34=1,AG75,AG73)*AH13,0)</f>
        <v>10.326925067504</v>
      </c>
      <c r="AH122" s="13" t="n">
        <f aca="false">IF(AND(Time!AH20&gt;=Time!$F$12,Time!AI20&gt;0),(IF(Time!AH34=1,AH75,AH73)-AH72)*AI19+IF(Time!AI46&gt;0,Time!AI45*AH72/Time!AI46,0)+IF(Time!AH34=1,AH75,AH73)*AI13,0)</f>
        <v>8.75527927561628</v>
      </c>
      <c r="AI122" s="13" t="n">
        <f aca="false">IF(AND(Time!AI20&gt;=Time!$F$12,Time!AJ20&gt;0),(IF(Time!AI34=1,AI75,AI73)-AI72)*AJ19+IF(Time!AJ46&gt;0,Time!AJ45*AI72/Time!AJ46,0)+IF(Time!AI34=1,AI75,AI73)*AJ13,0)</f>
        <v>6.99372949879732</v>
      </c>
      <c r="AJ122" s="13" t="n">
        <f aca="false">IF(AND(Time!AJ20&gt;=Time!$F$12,Time!AK20&gt;0),(IF(Time!AJ34=1,AJ75,AJ73)-AJ72)*AK19+IF(Time!AK46&gt;0,Time!AK45*AJ72/Time!AK46,0)+IF(Time!AJ34=1,AJ75,AJ73)*AK13,0)</f>
        <v>4.69918446933947</v>
      </c>
      <c r="AK122" s="13" t="n">
        <f aca="false">IF(AND(Time!AK20&gt;=Time!$F$12,Time!AL20&gt;0),(IF(Time!AK34=1,AK75,AK73)-AK72)*AL19+IF(Time!AL46&gt;0,Time!AL45*AK72/Time!AL46,0)+IF(Time!AK34=1,AK75,AK73)*AL13,0)</f>
        <v>1.73132261950689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0.74720595550752</v>
      </c>
      <c r="Q123" s="13" t="n">
        <f aca="false">IF(AND(Time!Q20&gt;=Time!$F$12,Time!R20&gt;0),(IF(Time!Q34=1,Q89,Q87)-Q86)*R19+IF(Time!R46&gt;0,Time!R45*Q86/Time!R46,0)+IF(Time!Q34=1,Q89,Q87)*R14,0)</f>
        <v>0.740906586176833</v>
      </c>
      <c r="R123" s="13" t="n">
        <f aca="false">IF(AND(Time!R20&gt;=Time!$F$12,Time!S20&gt;0),(IF(Time!R34=1,R89,R87)-R86)*S19+IF(Time!S46&gt;0,Time!S45*R86/Time!S46,0)+IF(Time!R34=1,R89,R87)*S14,0)</f>
        <v>0.733276205114495</v>
      </c>
      <c r="S123" s="13" t="n">
        <f aca="false">IF(AND(Time!S20&gt;=Time!$F$12,Time!T20&gt;0),(IF(Time!S34=1,S89,S87)-S86)*T19+IF(Time!T46&gt;0,Time!T45*S86/Time!T46,0)+IF(Time!S34=1,S89,S87)*T14,0)</f>
        <v>0.742443337537256</v>
      </c>
      <c r="T123" s="13" t="n">
        <f aca="false">IF(AND(Time!T20&gt;=Time!$F$12,Time!U20&gt;0),(IF(Time!T34=1,T89,T87)-T86)*U19+IF(Time!U46&gt;0,Time!U45*T86/Time!U46,0)+IF(Time!T34=1,T89,T87)*U14,0)</f>
        <v>0.734226674778465</v>
      </c>
      <c r="U123" s="13" t="n">
        <f aca="false">IF(AND(Time!U20&gt;=Time!$F$12,Time!V20&gt;0),(IF(Time!U34=1,U89,U87)-U86)*V19+IF(Time!V46&gt;0,Time!V45*U86/Time!V46,0)+IF(Time!U34=1,U89,U87)*V14,0)</f>
        <v>0.740614297654995</v>
      </c>
      <c r="V123" s="13" t="n">
        <f aca="false">IF(AND(Time!V20&gt;=Time!$F$12,Time!W20&gt;0),(IF(Time!V34=1,V89,V87)-V86)*W19+IF(Time!W46&gt;0,Time!W45*V86/Time!W46,0)+IF(Time!V34=1,V89,V87)*W14,0)</f>
        <v>0.739962491047365</v>
      </c>
      <c r="W123" s="13" t="n">
        <f aca="false">IF(AND(Time!W20&gt;=Time!$F$12,Time!X20&gt;0),(IF(Time!W34=1,W89,W87)-W86)*X19+IF(Time!X46&gt;0,Time!X45*W86/Time!X46,0)+IF(Time!W34=1,W89,W87)*X14,0)</f>
        <v>0.748313639643853</v>
      </c>
      <c r="X123" s="13" t="n">
        <f aca="false">IF(AND(Time!X20&gt;=Time!$F$12,Time!Y20&gt;0),(IF(Time!X34=1,X89,X87)-X86)*Y19+IF(Time!Y46&gt;0,Time!Y45*X86/Time!Y46,0)+IF(Time!X34=1,X89,X87)*Y14,0)</f>
        <v>0.714264486240958</v>
      </c>
      <c r="Y123" s="13" t="n">
        <f aca="false">IF(AND(Time!Y20&gt;=Time!$F$12,Time!Z20&gt;0),(IF(Time!Y34=1,Y89,Y87)-Y86)*Z19+IF(Time!Z46&gt;0,Time!Z45*Y86/Time!Z46,0)+IF(Time!Y34=1,Y89,Y87)*Z14,0)</f>
        <v>0.722112946433691</v>
      </c>
      <c r="Z123" s="13" t="n">
        <f aca="false">IF(AND(Time!Z20&gt;=Time!$F$12,Time!AA20&gt;0),(IF(Time!Z34=1,Z89,Z87)-Z86)*AA19+IF(Time!AA46&gt;0,Time!AA45*Z86/Time!AA46,0)+IF(Time!Z34=1,Z89,Z87)*AA14,0)</f>
        <v>0.708972630673163</v>
      </c>
      <c r="AA123" s="13" t="n">
        <f aca="false">IF(AND(Time!AA20&gt;=Time!$F$12,Time!AB20&gt;0),(IF(Time!AA34=1,AA89,AA87)-AA86)*AB19+IF(Time!AB46&gt;0,Time!AB45*AA86/Time!AB46,0)+IF(Time!AA34=1,AA89,AA87)*AB14,0)</f>
        <v>0.717089515526658</v>
      </c>
      <c r="AB123" s="13" t="n">
        <f aca="false">IF(AND(Time!AB20&gt;=Time!$F$12,Time!AC20&gt;0),(IF(Time!AB34=1,AB89,AB87)-AB86)*AC19+IF(Time!AC46&gt;0,Time!AC45*AB86/Time!AC46,0)+IF(Time!AB34=1,AB89,AB87)*AC14,0)</f>
        <v>0.708585050391645</v>
      </c>
      <c r="AC123" s="13" t="n">
        <f aca="false">IF(AND(Time!AC20&gt;=Time!$F$12,Time!AD20&gt;0),(IF(Time!AC34=1,AC89,AC87)-AC86)*AD19+IF(Time!AD46&gt;0,Time!AD45*AC86/Time!AD46,0)+IF(Time!AC34=1,AC89,AC87)*AD14,0)</f>
        <v>0.714335661396265</v>
      </c>
      <c r="AD123" s="13" t="n">
        <f aca="false">IF(AND(Time!AD20&gt;=Time!$F$12,Time!AE20&gt;0),(IF(Time!AD34=1,AD89,AD87)-AD86)*AE19+IF(Time!AE46&gt;0,Time!AE45*AD86/Time!AE46,0)+IF(Time!AD34=1,AD89,AD87)*AE14,0)</f>
        <v>0.727291184439288</v>
      </c>
      <c r="AE123" s="13" t="n">
        <f aca="false">IF(AND(Time!AE20&gt;=Time!$F$12,Time!AF20&gt;0),(IF(Time!AE34=1,AE89,AE87)-AE86)*AF19+IF(Time!AF46&gt;0,Time!AF45*AE86/Time!AF46,0)+IF(Time!AE34=1,AE89,AE87)*AF14,0)</f>
        <v>0.737336808599386</v>
      </c>
      <c r="AF123" s="13" t="n">
        <f aca="false">IF(AND(Time!AF20&gt;=Time!$F$12,Time!AG20&gt;0),(IF(Time!AF34=1,AF89,AF87)-AF86)*AG19+IF(Time!AG46&gt;0,Time!AG45*AF86/Time!AG46,0)+IF(Time!AF34=1,AF89,AF87)*AG14,0)</f>
        <v>0.725626634564957</v>
      </c>
      <c r="AG123" s="13" t="n">
        <f aca="false">IF(AND(Time!AG20&gt;=Time!$F$12,Time!AH20&gt;0),(IF(Time!AG34=1,AG89,AG87)-AG86)*AH19+IF(Time!AH46&gt;0,Time!AH45*AG86/Time!AH46,0)+IF(Time!AG34=1,AG89,AG87)*AH14,0)</f>
        <v>0.733602813649982</v>
      </c>
      <c r="AH123" s="13" t="n">
        <f aca="false">IF(AND(Time!AH20&gt;=Time!$F$12,Time!AI20&gt;0),(IF(Time!AH34=1,AH89,AH87)-AH86)*AI19+IF(Time!AI46&gt;0,Time!AI45*AH86/Time!AI46,0)+IF(Time!AH34=1,AH89,AH87)*AI14,0)</f>
        <v>0.724304401566623</v>
      </c>
      <c r="AI123" s="13" t="n">
        <f aca="false">IF(AND(Time!AI20&gt;=Time!$F$12,Time!AJ20&gt;0),(IF(Time!AI34=1,AI89,AI87)-AI86)*AJ19+IF(Time!AJ46&gt;0,Time!AJ45*AI86/Time!AJ46,0)+IF(Time!AI34=1,AI89,AI87)*AJ14,0)</f>
        <v>0.730476653300646</v>
      </c>
      <c r="AJ123" s="13" t="n">
        <f aca="false">IF(AND(Time!AJ20&gt;=Time!$F$12,Time!AK20&gt;0),(IF(Time!AJ34=1,AJ89,AJ87)-AJ86)*AK19+IF(Time!AK46&gt;0,Time!AK45*AJ86/Time!AK46,0)+IF(Time!AJ34=1,AJ89,AJ87)*AK14,0)</f>
        <v>0.721275717028286</v>
      </c>
      <c r="AK123" s="13" t="n">
        <f aca="false">IF(AND(Time!AK20&gt;=Time!$F$12,Time!AL20&gt;0),(IF(Time!AK34=1,AK89,AK87)-AK86)*AL19+IF(Time!AL46&gt;0,Time!AL45*AK86/Time!AL46,0)+IF(Time!AK34=1,AK89,AK87)*AL14,0)</f>
        <v>0.724971759289851</v>
      </c>
      <c r="AL123" s="13" t="n">
        <f aca="false">IF(AND(Time!AL20&gt;=Time!$F$12,Time!AM20&gt;0),(IF(Time!AL34=1,AL89,AL87)-AL86)*AM19+IF(Time!AM46&gt;0,Time!AM45*AL86/Time!AM46,0)+IF(Time!AL34=1,AL89,AL87)*AM14,0)</f>
        <v>0.725664802251167</v>
      </c>
      <c r="AM123" s="13" t="n">
        <f aca="false">IF(AND(Time!AM20&gt;=Time!$F$12,Time!AN20&gt;0),(IF(Time!AM34=1,AM89,AM87)-AM86)*AN19+IF(Time!AN46&gt;0,Time!AN45*AM86/Time!AN46,0)+IF(Time!AM34=1,AM89,AM87)*AN14,0)</f>
        <v>0.730351061122817</v>
      </c>
      <c r="AN123" s="13" t="n">
        <f aca="false">IF(AND(Time!AN20&gt;=Time!$F$12,Time!AO20&gt;0),(IF(Time!AN34=1,AN89,AN87)-AN86)*AO19+IF(Time!AO46&gt;0,Time!AO45*AN86/Time!AO46,0)+IF(Time!AN34=1,AN89,AN87)*AO14,0)</f>
        <v>0.685117846735819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38.0784785636733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37.7221331542987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37.5281545531907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37.9631538733717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37.7082706244657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38.0579949845098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38.2693400178687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38.6972519091503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36.7718089512955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37.1877837069667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36.7104052003812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37.1612974018912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36.323720837837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35.9825575861707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36.1463485576696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35.8732543986906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34.3015552238063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33.493525357374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31.8806470075549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30.4693741033023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28.1251950522687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25.4904627806169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24.1195799082983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24.594162490729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23.3953259137427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0.0340300985157095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0.0344046585717576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0.034044818631477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0.034419605928705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0.0341707768134305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0.0344213382870775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0.0340481206597595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0.034424154582161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0.0351089191733648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0.0355024422993928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0.0351106150861421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0.0355050452135657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0.0352444342252069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0.0355091470368549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0.0351194821948828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0.0355189054525776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0.0361869206689197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0.0366068669372685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0.0361965986230273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0.0366226552896609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0.0363539549157408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0.0366542689108334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0.036256750976446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0.0367520611559467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0.0362935197190185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828.315110914047</v>
      </c>
      <c r="R128" s="13" t="n">
        <f aca="false">IF(Time!R53=1,(Waterfall!R7+S128)/(1+R127),0)</f>
        <v>807.650271402132</v>
      </c>
      <c r="S128" s="13" t="n">
        <f aca="false">IF(Time!S53=1,(Waterfall!S7+T128)/(1+S127),0)</f>
        <v>785.554537540601</v>
      </c>
      <c r="T128" s="13" t="n">
        <f aca="false">IF(Time!T53=1,(Waterfall!T7+U128)/(1+T127),0)</f>
        <v>762.676741114606</v>
      </c>
      <c r="U128" s="13" t="n">
        <f aca="false">IF(Time!U53=1,(Waterfall!U7+V128)/(1+U127),0)</f>
        <v>738.726867141622</v>
      </c>
      <c r="V128" s="13" t="n">
        <f aca="false">IF(Time!V53=1,(Waterfall!V7+W128)/(1+V127),0)</f>
        <v>714.109379731981</v>
      </c>
      <c r="W128" s="13" t="n">
        <f aca="false">IF(Time!W53=1,(Waterfall!W7+X128)/(1+W127),0)</f>
        <v>688.365108797572</v>
      </c>
      <c r="X128" s="13" t="n">
        <f aca="false">IF(Time!X53=1,(Waterfall!X7+Y128)/(1+X127),0)</f>
        <v>661.203298458011</v>
      </c>
      <c r="Y128" s="13" t="n">
        <f aca="false">IF(Time!Y53=1,(Waterfall!Y7+Z128)/(1+Y127),0)</f>
        <v>632.796357939439</v>
      </c>
      <c r="Z128" s="13" t="n">
        <f aca="false">IF(Time!Z53=1,(Waterfall!Z7+AA128)/(1+Z127),0)</f>
        <v>606.394441701866</v>
      </c>
      <c r="AA128" s="13" t="n">
        <f aca="false">IF(Time!AA53=1,(Waterfall!AA7+AB128)/(1+AA127),0)</f>
        <v>578.751343113839</v>
      </c>
      <c r="AB128" s="13" t="n">
        <f aca="false">IF(Time!AB53=1,(Waterfall!AB7+AC128)/(1+AB127),0)</f>
        <v>550.535323477795</v>
      </c>
      <c r="AC128" s="13" t="n">
        <f aca="false">IF(Time!AC53=1,(Waterfall!AC7+AD128)/(1+AC127),0)</f>
        <v>520.947132195267</v>
      </c>
      <c r="AD128" s="13" t="n">
        <f aca="false">IF(Time!AD53=1,(Waterfall!AD7+AE128)/(1+AD127),0)</f>
        <v>490.522255019419</v>
      </c>
      <c r="AE128" s="13" t="n">
        <f aca="false">IF(Time!AE53=1,(Waterfall!AE7+AF128)/(1+AE127),0)</f>
        <v>458.651199133555</v>
      </c>
      <c r="AF128" s="13" t="n">
        <f aca="false">IF(Time!AF53=1,(Waterfall!AF7+AG128)/(1+AF127),0)</f>
        <v>424.206664081688</v>
      </c>
      <c r="AG128" s="13" t="n">
        <f aca="false">IF(Time!AG53=1,(Waterfall!AG7+AH128)/(1+AG127),0)</f>
        <v>387.910590291497</v>
      </c>
      <c r="AH128" s="13" t="n">
        <f aca="false">IF(Time!AH53=1,(Waterfall!AH7+AI128)/(1+AH127),0)</f>
        <v>351.352585638404</v>
      </c>
      <c r="AI128" s="13" t="n">
        <f aca="false">IF(Time!AI53=1,(Waterfall!AI7+AJ128)/(1+AI127),0)</f>
        <v>312.908065573025</v>
      </c>
      <c r="AJ128" s="13" t="n">
        <f aca="false">IF(Time!AJ53=1,(Waterfall!AJ7+AK128)/(1+AJ127),0)</f>
        <v>273.26750516505</v>
      </c>
      <c r="AK128" s="13" t="n">
        <f aca="false">IF(Time!AK53=1,(Waterfall!AK7+AL128)/(1+AK127),0)</f>
        <v>231.686903644653</v>
      </c>
      <c r="AL128" s="13" t="n">
        <f aca="false">IF(Time!AL53=1,(Waterfall!AL7+AM128)/(1+AL127),0)</f>
        <v>188.878729689065</v>
      </c>
      <c r="AM128" s="13" t="n">
        <f aca="false">IF(Time!AM53=1,(Waterfall!AM7+AN128)/(1+AM127),0)</f>
        <v>144.064065133133</v>
      </c>
      <c r="AN128" s="13" t="n">
        <f aca="false">IF(Time!AN53=1,(Waterfall!AN7+AO128)/(1+AN127),0)</f>
        <v>97.1669739690999</v>
      </c>
      <c r="AO128" s="13" t="n">
        <f aca="false">IF(Time!AO53=1,(Waterfall!AO7+AP128)/(1+AO127),0)</f>
        <v>48.0075623937982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1.30802573193894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613.56674882522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670.607414416736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37.3482594000307</v>
      </c>
      <c r="R132" s="13" t="n">
        <f aca="false">IF(Time!R53=1,(Waterfall!R7)/$F$129,0)</f>
        <v>38.1358443312622</v>
      </c>
      <c r="S132" s="13" t="n">
        <f aca="false">IF(Time!S53=1,(Waterfall!S7)/$F$129,0)</f>
        <v>37.9364541308692</v>
      </c>
      <c r="T132" s="13" t="n">
        <f aca="false">IF(Time!T53=1,(Waterfall!T7)/$F$129,0)</f>
        <v>38.3791431830033</v>
      </c>
      <c r="U132" s="13" t="n">
        <f aca="false">IF(Time!U53=1,(Waterfall!U7)/$F$129,0)</f>
        <v>38.1187900936111</v>
      </c>
      <c r="V132" s="13" t="n">
        <f aca="false">IF(Time!V53=1,(Waterfall!V7)/$F$129,0)</f>
        <v>38.473915489063</v>
      </c>
      <c r="W132" s="13" t="n">
        <f aca="false">IF(Time!W53=1,(Waterfall!W7)/$F$129,0)</f>
        <v>38.6837562796748</v>
      </c>
      <c r="X132" s="13" t="n">
        <f aca="false">IF(Time!X53=1,(Waterfall!X7)/$F$129,0)</f>
        <v>39.1187297203057</v>
      </c>
      <c r="Y132" s="13" t="n">
        <f aca="false">IF(Time!Y53=1,(Waterfall!Y7)/$F$129,0)</f>
        <v>37.1695382090066</v>
      </c>
      <c r="Z132" s="13" t="n">
        <f aca="false">IF(Time!Z53=1,(Waterfall!Z7)/$F$129,0)</f>
        <v>37.592213260462</v>
      </c>
      <c r="AA132" s="13" t="n">
        <f aca="false">IF(Time!AA53=1,(Waterfall!AA7)/$F$129,0)</f>
        <v>37.1065599778023</v>
      </c>
      <c r="AB132" s="13" t="n">
        <f aca="false">IF(Time!AB53=1,(Waterfall!AB7)/$F$129,0)</f>
        <v>37.564224949487</v>
      </c>
      <c r="AC132" s="13" t="n">
        <f aca="false">IF(Time!AC53=1,(Waterfall!AC7)/$F$129,0)</f>
        <v>37.2969452512203</v>
      </c>
      <c r="AD132" s="13" t="n">
        <f aca="false">IF(Time!AD53=1,(Waterfall!AD7)/$F$129,0)</f>
        <v>37.6820436790145</v>
      </c>
      <c r="AE132" s="13" t="n">
        <f aca="false">IF(Time!AE53=1,(Waterfall!AE7)/$F$129,0)</f>
        <v>38.6476553473949</v>
      </c>
      <c r="AF132" s="13" t="n">
        <f aca="false">IF(Time!AF53=1,(Waterfall!AF7)/$F$129,0)</f>
        <v>39.2679050036147</v>
      </c>
      <c r="AG132" s="13" t="n">
        <f aca="false">IF(Time!AG53=1,(Waterfall!AG7)/$F$129,0)</f>
        <v>38.6806567907539</v>
      </c>
      <c r="AH132" s="13" t="n">
        <f aca="false">IF(Time!AH53=1,(Waterfall!AH7)/$F$129,0)</f>
        <v>39.2243334080708</v>
      </c>
      <c r="AI132" s="13" t="n">
        <f aca="false">IF(Time!AI53=1,(Waterfall!AI7)/$F$129,0)</f>
        <v>38.9646524674093</v>
      </c>
      <c r="AJ132" s="13" t="n">
        <f aca="false">IF(Time!AJ53=1,(Waterfall!AJ7)/$F$129,0)</f>
        <v>39.4398840208218</v>
      </c>
      <c r="AK132" s="13" t="n">
        <f aca="false">IF(Time!AK53=1,(Waterfall!AK7)/$F$129,0)</f>
        <v>39.1665912636991</v>
      </c>
      <c r="AL132" s="13" t="n">
        <f aca="false">IF(Time!AL53=1,(Waterfall!AL7)/$F$129,0)</f>
        <v>39.5541731650788</v>
      </c>
      <c r="AM132" s="13" t="n">
        <f aca="false">IF(Time!AM53=1,(Waterfall!AM7)/$F$129,0)</f>
        <v>39.846606091578</v>
      </c>
      <c r="AN132" s="13" t="n">
        <f aca="false">IF(Time!AN53=1,(Waterfall!AN7)/$F$129,0)</f>
        <v>40.3130434343884</v>
      </c>
      <c r="AO132" s="13" t="n">
        <f aca="false">IF(Time!AO53=1,(Waterfall!AO7)/$F$129,0)</f>
        <v>38.0343632326354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617.457479376126</v>
      </c>
      <c r="S133" s="13" t="n">
        <f aca="false">IF(Time!S53=1,IF(Time!S20=Time!$F$13,Funding!$F$25,R133-R134),0)</f>
        <v>600.565048805377</v>
      </c>
      <c r="T133" s="13" t="n">
        <f aca="false">IF(Time!T53=1,IF(Time!T20=Time!$F$13,Funding!$F$25,S133-S134),0)</f>
        <v>583.074722837491</v>
      </c>
      <c r="U133" s="13" t="n">
        <f aca="false">IF(Time!U53=1,IF(Time!U20=Time!$F$13,Funding!$F$25,T133-T134),0)</f>
        <v>564.764781841543</v>
      </c>
      <c r="V133" s="13" t="n">
        <f aca="false">IF(Time!V53=1,IF(Time!V20=Time!$F$13,Funding!$F$25,U133-U134),0)</f>
        <v>545.944443060325</v>
      </c>
      <c r="W133" s="13" t="n">
        <f aca="false">IF(Time!W53=1,IF(Time!W20=Time!$F$13,Funding!$F$25,V133-V134),0)</f>
        <v>526.262665931792</v>
      </c>
      <c r="X133" s="13" t="n">
        <f aca="false">IF(Time!X53=1,IF(Time!X20=Time!$F$13,Funding!$F$25,W133-W134),0)</f>
        <v>505.497164400489</v>
      </c>
      <c r="Y133" s="13" t="n">
        <f aca="false">IF(Time!Y53=1,IF(Time!Y20=Time!$F$13,Funding!$F$25,X133-X134),0)</f>
        <v>483.77974720835</v>
      </c>
      <c r="Z133" s="13" t="n">
        <f aca="false">IF(Time!Z53=1,IF(Time!Z20=Time!$F$13,Funding!$F$25,Y133-Y134),0)</f>
        <v>463.595193041792</v>
      </c>
      <c r="AA133" s="13" t="n">
        <f aca="false">IF(Time!AA53=1,IF(Time!AA20=Time!$F$13,Funding!$F$25,Z133-Z134),0)</f>
        <v>442.461741372572</v>
      </c>
      <c r="AB133" s="13" t="n">
        <f aca="false">IF(Time!AB53=1,IF(Time!AB20=Time!$F$13,Funding!$F$25,AA133-AA134),0)</f>
        <v>420.890285286447</v>
      </c>
      <c r="AC133" s="13" t="n">
        <f aca="false">IF(Time!AC53=1,IF(Time!AC20=Time!$F$13,Funding!$F$25,AB133-AB134),0)</f>
        <v>398.269788946005</v>
      </c>
      <c r="AD133" s="13" t="n">
        <f aca="false">IF(Time!AD53=1,IF(Time!AD20=Time!$F$13,Funding!$F$25,AC133-AC134),0)</f>
        <v>375.00963707518</v>
      </c>
      <c r="AE133" s="13" t="n">
        <f aca="false">IF(Time!AE53=1,IF(Time!AE20=Time!$F$13,Funding!$F$25,AD133-AD134),0)</f>
        <v>350.643865739305</v>
      </c>
      <c r="AF133" s="13" t="n">
        <f aca="false">IF(Time!AF53=1,IF(Time!AF20=Time!$F$13,Funding!$F$25,AE133-AE134),0)</f>
        <v>324.310641391487</v>
      </c>
      <c r="AG133" s="13" t="n">
        <f aca="false">IF(Time!AG53=1,IF(Time!AG20=Time!$F$13,Funding!$F$25,AF133-AF134),0)</f>
        <v>296.561895396721</v>
      </c>
      <c r="AH133" s="13" t="n">
        <f aca="false">IF(Time!AH53=1,IF(Time!AH20=Time!$F$13,Funding!$F$25,AG133-AG134),0)</f>
        <v>268.612900388113</v>
      </c>
      <c r="AI133" s="13" t="n">
        <f aca="false">IF(Time!AI53=1,IF(Time!AI20=Time!$F$13,Funding!$F$25,AH133-AH134),0)</f>
        <v>239.221643682183</v>
      </c>
      <c r="AJ133" s="13" t="n">
        <f aca="false">IF(Time!AJ53=1,IF(Time!AJ20=Time!$F$13,Funding!$F$25,AI133-AI134),0)</f>
        <v>208.916001033079</v>
      </c>
      <c r="AK133" s="13" t="n">
        <f aca="false">IF(Time!AK53=1,IF(Time!AK20=Time!$F$13,Funding!$F$25,AJ133-AJ134),0)</f>
        <v>177.127175702586</v>
      </c>
      <c r="AL133" s="13" t="n">
        <f aca="false">IF(Time!AL53=1,IF(Time!AL20=Time!$F$13,Funding!$F$25,AK133-AK134),0)</f>
        <v>144.399857798731</v>
      </c>
      <c r="AM133" s="13" t="n">
        <f aca="false">IF(Time!AM53=1,IF(Time!AM20=Time!$F$13,Funding!$F$25,AL133-AL134),0)</f>
        <v>110.138555852093</v>
      </c>
      <c r="AN133" s="13" t="n">
        <f aca="false">IF(Time!AN53=1,IF(Time!AN20=Time!$F$13,Funding!$F$25,AM133-AM134),0)</f>
        <v>74.2852159529499</v>
      </c>
      <c r="AO133" s="13" t="n">
        <f aca="false">IF(Time!AO53=1,IF(Time!AO20=Time!$F$13,Funding!$F$25,AN133-AN134),0)</f>
        <v>36.702307318247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15.7984961666484</v>
      </c>
      <c r="R134" s="13" t="n">
        <f aca="false">R132-R133*R127</f>
        <v>16.8924305707485</v>
      </c>
      <c r="S134" s="13" t="n">
        <f aca="false">S132-S133*S127</f>
        <v>17.490325967886</v>
      </c>
      <c r="T134" s="13" t="n">
        <f aca="false">T132-T133*T127</f>
        <v>18.309940995948</v>
      </c>
      <c r="U134" s="13" t="n">
        <f aca="false">U132-U133*U127</f>
        <v>18.820338781218</v>
      </c>
      <c r="V134" s="13" t="n">
        <f aca="false">V132-V133*V127</f>
        <v>19.6817771285334</v>
      </c>
      <c r="W134" s="13" t="n">
        <f aca="false">W132-W133*W127</f>
        <v>20.7655015313025</v>
      </c>
      <c r="X134" s="13" t="n">
        <f aca="false">X132-X133*X127</f>
        <v>21.7174171921392</v>
      </c>
      <c r="Y134" s="13" t="n">
        <f aca="false">Y132-Y133*Y127</f>
        <v>20.1845541665578</v>
      </c>
      <c r="Z134" s="13" t="n">
        <f aca="false">Z132-Z133*Z127</f>
        <v>21.1334516692199</v>
      </c>
      <c r="AA134" s="13" t="n">
        <f aca="false">AA132-AA133*AA127</f>
        <v>21.5714560861258</v>
      </c>
      <c r="AB134" s="13" t="n">
        <f aca="false">AB132-AB133*AB127</f>
        <v>22.6204963404412</v>
      </c>
      <c r="AC134" s="13" t="n">
        <f aca="false">AC132-AC133*AC127</f>
        <v>23.2601518708258</v>
      </c>
      <c r="AD134" s="13" t="n">
        <f aca="false">AD132-AD133*AD127</f>
        <v>24.3657713358743</v>
      </c>
      <c r="AE134" s="13" t="n">
        <f aca="false">AE132-AE133*AE127</f>
        <v>26.3332243478185</v>
      </c>
      <c r="AF134" s="13" t="n">
        <f aca="false">AF132-AF133*AF127</f>
        <v>27.7487459947656</v>
      </c>
      <c r="AG134" s="13" t="n">
        <f aca="false">AG132-AG133*AG127</f>
        <v>27.9489950086083</v>
      </c>
      <c r="AH134" s="13" t="n">
        <f aca="false">AH132-AH133*AH127</f>
        <v>29.3912567059294</v>
      </c>
      <c r="AI134" s="13" t="n">
        <f aca="false">AI132-AI133*AI127</f>
        <v>30.3056426491045</v>
      </c>
      <c r="AJ134" s="13" t="n">
        <f aca="false">AJ132-AJ133*AJ127</f>
        <v>31.7888253304929</v>
      </c>
      <c r="AK134" s="13" t="n">
        <f aca="false">AK132-AK133*AK127</f>
        <v>32.7273179038548</v>
      </c>
      <c r="AL134" s="13" t="n">
        <f aca="false">AL132-AL133*AL127</f>
        <v>34.2613019466381</v>
      </c>
      <c r="AM134" s="13" t="n">
        <f aca="false">AM132-AM133*AM127</f>
        <v>35.8533398991433</v>
      </c>
      <c r="AN134" s="13" t="n">
        <f aca="false">AN132-AN133*AN127</f>
        <v>37.5829086347029</v>
      </c>
      <c r="AO134" s="13" t="n">
        <f aca="false">AO132-AO133*AO127</f>
        <v>36.7023073182471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37.0411331464097</v>
      </c>
      <c r="Q9" s="13" t="n">
        <f aca="false">IF(Time!Q34=1,SUM(Funding!$J$44:$BJ$44),P13)</f>
        <v>30.7484988078754</v>
      </c>
      <c r="R9" s="13" t="n">
        <f aca="false">IF(Time!R34=1,SUM(Funding!$J$44:$BJ$44),Q13)</f>
        <v>37.7221331542987</v>
      </c>
      <c r="S9" s="13" t="n">
        <f aca="false">IF(Time!S34=1,SUM(Funding!$J$44:$BJ$44),R13)</f>
        <v>37.5281545531907</v>
      </c>
      <c r="T9" s="13" t="n">
        <f aca="false">IF(Time!T34=1,SUM(Funding!$J$44:$BJ$44),S13)</f>
        <v>37.9631538733717</v>
      </c>
      <c r="U9" s="13" t="n">
        <f aca="false">IF(Time!U34=1,SUM(Funding!$J$44:$BJ$44),T13)</f>
        <v>37.7082706244657</v>
      </c>
      <c r="V9" s="13" t="n">
        <f aca="false">IF(Time!V34=1,SUM(Funding!$J$44:$BJ$44),U13)</f>
        <v>38.0579949845098</v>
      </c>
      <c r="W9" s="13" t="n">
        <f aca="false">IF(Time!W34=1,SUM(Funding!$J$44:$BJ$44),V13)</f>
        <v>38.2693400178687</v>
      </c>
      <c r="X9" s="13" t="n">
        <f aca="false">IF(Time!X34=1,SUM(Funding!$J$44:$BJ$44),W13)</f>
        <v>38.6972519091503</v>
      </c>
      <c r="Y9" s="13" t="n">
        <f aca="false">IF(Time!Y34=1,SUM(Funding!$J$44:$BJ$44),X13)</f>
        <v>36.7718089512955</v>
      </c>
      <c r="Z9" s="13" t="n">
        <f aca="false">IF(Time!Z34=1,SUM(Funding!$J$44:$BJ$44),Y13)</f>
        <v>37.1877837069667</v>
      </c>
      <c r="AA9" s="13" t="n">
        <f aca="false">IF(Time!AA34=1,SUM(Funding!$J$44:$BJ$44),Z13)</f>
        <v>36.7104052003812</v>
      </c>
      <c r="AB9" s="13" t="n">
        <f aca="false">IF(Time!AB34=1,SUM(Funding!$J$44:$BJ$44),AA13)</f>
        <v>37.1612974018912</v>
      </c>
      <c r="AC9" s="13" t="n">
        <f aca="false">IF(Time!AC34=1,SUM(Funding!$J$44:$BJ$44),AB13)</f>
        <v>36.323720837837</v>
      </c>
      <c r="AD9" s="13" t="n">
        <f aca="false">IF(Time!AD34=1,SUM(Funding!$J$44:$BJ$44),AC13)</f>
        <v>35.9825575861707</v>
      </c>
      <c r="AE9" s="13" t="n">
        <f aca="false">IF(Time!AE34=1,SUM(Funding!$J$44:$BJ$44),AD13)</f>
        <v>36.1463485576696</v>
      </c>
      <c r="AF9" s="13" t="n">
        <f aca="false">IF(Time!AF34=1,SUM(Funding!$J$44:$BJ$44),AE13)</f>
        <v>35.8732543986906</v>
      </c>
      <c r="AG9" s="13" t="n">
        <f aca="false">IF(Time!AG34=1,SUM(Funding!$J$44:$BJ$44),AF13)</f>
        <v>34.3015552238063</v>
      </c>
      <c r="AH9" s="13" t="n">
        <f aca="false">IF(Time!AH34=1,SUM(Funding!$J$44:$BJ$44),AG13)</f>
        <v>33.493525357374</v>
      </c>
      <c r="AI9" s="13" t="n">
        <f aca="false">IF(Time!AI34=1,SUM(Funding!$J$44:$BJ$44),AH13)</f>
        <v>31.8806470075549</v>
      </c>
      <c r="AJ9" s="13" t="n">
        <f aca="false">IF(Time!AJ34=1,SUM(Funding!$J$44:$BJ$44),AI13)</f>
        <v>30.4693741033023</v>
      </c>
      <c r="AK9" s="13" t="n">
        <f aca="false">IF(Time!AK34=1,SUM(Funding!$J$44:$BJ$44),AJ13)</f>
        <v>28.1251950522687</v>
      </c>
      <c r="AL9" s="13" t="n">
        <f aca="false">IF(Time!AL34=1,SUM(Funding!$J$44:$BJ$44),AK13)</f>
        <v>25.4904627806169</v>
      </c>
      <c r="AM9" s="13" t="n">
        <f aca="false">IF(Time!AM34=1,SUM(Funding!$J$44:$BJ$44),AL13)</f>
        <v>24.1195799082983</v>
      </c>
      <c r="AN9" s="13" t="n">
        <f aca="false">IF(Time!AN34=1,SUM(Funding!$J$44:$BJ$44),AM13)</f>
        <v>24.594162490729</v>
      </c>
      <c r="AO9" s="13" t="n">
        <f aca="false">IF(Time!AO34=1,SUM(Funding!$J$44:$BJ$44),AN13)</f>
        <v>23.3953259137427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6.29263433853431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9.90285546239972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6.97363434642336</v>
      </c>
      <c r="R11" s="13" t="n">
        <f aca="false">MIN(Waterfall!R13,MAX(0,Debt!R125-(R9-R10)))</f>
        <v>0</v>
      </c>
      <c r="S11" s="13" t="n">
        <f aca="false">MIN(Waterfall!S13,MAX(0,Debt!S125-(S9-S10)))</f>
        <v>0.434999320180985</v>
      </c>
      <c r="T11" s="13" t="n">
        <f aca="false">MIN(Waterfall!T13,MAX(0,Debt!T125-(T9-T10)))</f>
        <v>0</v>
      </c>
      <c r="U11" s="13" t="n">
        <f aca="false">MIN(Waterfall!U13,MAX(0,Debt!U125-(U9-U10)))</f>
        <v>0.3497243600441</v>
      </c>
      <c r="V11" s="13" t="n">
        <f aca="false">MIN(Waterfall!V13,MAX(0,Debt!V125-(V9-V10)))</f>
        <v>0.21134503335891</v>
      </c>
      <c r="W11" s="13" t="n">
        <f aca="false">MIN(Waterfall!W13,MAX(0,Debt!W125-(W9-W10)))</f>
        <v>0.427911891281639</v>
      </c>
      <c r="X11" s="13" t="n">
        <f aca="false">MIN(Waterfall!X13,MAX(0,Debt!X125-(X9-X10)))</f>
        <v>0</v>
      </c>
      <c r="Y11" s="13" t="n">
        <f aca="false">MIN(Waterfall!Y13,MAX(0,Debt!Y125-(Y9-Y10)))</f>
        <v>0.415974755671144</v>
      </c>
      <c r="Z11" s="13" t="n">
        <f aca="false">MIN(Waterfall!Z13,MAX(0,Debt!Z125-(Z9-Z10)))</f>
        <v>0</v>
      </c>
      <c r="AA11" s="13" t="n">
        <f aca="false">MIN(Waterfall!AA13,MAX(0,Debt!AA125-(AA9-AA10)))</f>
        <v>0.450892201509909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0.163790971498948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0.474582582430731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40.6513542702751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0.193978601108057</v>
      </c>
      <c r="S12" s="13" t="n">
        <f aca="false">MAX(0,S9-S10-Debt!S125)</f>
        <v>0</v>
      </c>
      <c r="T12" s="13" t="n">
        <f aca="false">MAX(0,T9-T10-Debt!T125)</f>
        <v>0.254883248905976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1.92544295785481</v>
      </c>
      <c r="Y12" s="13" t="n">
        <f aca="false">MAX(0,Y9-Y10-Debt!Y125)</f>
        <v>0</v>
      </c>
      <c r="Z12" s="13" t="n">
        <f aca="false">MAX(0,Z9-Z10-Debt!Z125)</f>
        <v>0.477378506585424</v>
      </c>
      <c r="AA12" s="13" t="n">
        <f aca="false">MAX(0,AA9-AA10-Debt!AA125)</f>
        <v>0</v>
      </c>
      <c r="AB12" s="13" t="n">
        <f aca="false">MAX(0,AB9-AB10-Debt!AB125)</f>
        <v>0.83757656405411</v>
      </c>
      <c r="AC12" s="13" t="n">
        <f aca="false">MAX(0,AC9-AC10-Debt!AC125)</f>
        <v>0.341163251666352</v>
      </c>
      <c r="AD12" s="13" t="n">
        <f aca="false">MAX(0,AD9-AD10-Debt!AD125)</f>
        <v>0</v>
      </c>
      <c r="AE12" s="13" t="n">
        <f aca="false">MAX(0,AE9-AE10-Debt!AE125)</f>
        <v>0.273094158979006</v>
      </c>
      <c r="AF12" s="13" t="n">
        <f aca="false">MAX(0,AF9-AF10-Debt!AF125)</f>
        <v>1.57169917488433</v>
      </c>
      <c r="AG12" s="13" t="n">
        <f aca="false">MAX(0,AG9-AG10-Debt!AG125)</f>
        <v>0.808029866432342</v>
      </c>
      <c r="AH12" s="13" t="n">
        <f aca="false">MAX(0,AH9-AH10-Debt!AH125)</f>
        <v>1.61287834981906</v>
      </c>
      <c r="AI12" s="13" t="n">
        <f aca="false">MAX(0,AI9-AI10-Debt!AI125)</f>
        <v>1.41127290425257</v>
      </c>
      <c r="AJ12" s="13" t="n">
        <f aca="false">MAX(0,AJ9-AJ10-Debt!AJ125)</f>
        <v>2.34417905103367</v>
      </c>
      <c r="AK12" s="13" t="n">
        <f aca="false">MAX(0,AK9-AK10-Debt!AK125)</f>
        <v>2.63473227165174</v>
      </c>
      <c r="AL12" s="13" t="n">
        <f aca="false">MAX(0,AL9-AL10-Debt!AL125)</f>
        <v>1.37088287231865</v>
      </c>
      <c r="AM12" s="13" t="n">
        <f aca="false">MAX(0,AM9-AM10-Debt!AM125)</f>
        <v>0</v>
      </c>
      <c r="AN12" s="13" t="n">
        <f aca="false">MAX(0,AN9-AN10-Debt!AN125)</f>
        <v>1.19883657698635</v>
      </c>
      <c r="AO12" s="13" t="n">
        <f aca="false">MAX(0,AO9-AO10-Debt!AO125)</f>
        <v>23.3953259137427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30.7484988078754</v>
      </c>
      <c r="Q13" s="13" t="n">
        <f aca="false">(1-Time!Q37)*(Q9-Q10+Q11-Q12)</f>
        <v>37.7221331542987</v>
      </c>
      <c r="R13" s="13" t="n">
        <f aca="false">(1-Time!R37)*(R9-R10+R11-R12)</f>
        <v>37.5281545531907</v>
      </c>
      <c r="S13" s="13" t="n">
        <f aca="false">(1-Time!S37)*(S9-S10+S11-S12)</f>
        <v>37.9631538733717</v>
      </c>
      <c r="T13" s="13" t="n">
        <f aca="false">(1-Time!T37)*(T9-T10+T11-T12)</f>
        <v>37.7082706244657</v>
      </c>
      <c r="U13" s="13" t="n">
        <f aca="false">(1-Time!U37)*(U9-U10+U11-U12)</f>
        <v>38.0579949845098</v>
      </c>
      <c r="V13" s="13" t="n">
        <f aca="false">(1-Time!V37)*(V9-V10+V11-V12)</f>
        <v>38.2693400178687</v>
      </c>
      <c r="W13" s="13" t="n">
        <f aca="false">(1-Time!W37)*(W9-W10+W11-W12)</f>
        <v>38.6972519091503</v>
      </c>
      <c r="X13" s="13" t="n">
        <f aca="false">(1-Time!X37)*(X9-X10+X11-X12)</f>
        <v>36.7718089512955</v>
      </c>
      <c r="Y13" s="13" t="n">
        <f aca="false">(1-Time!Y37)*(Y9-Y10+Y11-Y12)</f>
        <v>37.1877837069667</v>
      </c>
      <c r="Z13" s="13" t="n">
        <f aca="false">(1-Time!Z37)*(Z9-Z10+Z11-Z12)</f>
        <v>36.7104052003812</v>
      </c>
      <c r="AA13" s="13" t="n">
        <f aca="false">(1-Time!AA37)*(AA9-AA10+AA11-AA12)</f>
        <v>37.1612974018912</v>
      </c>
      <c r="AB13" s="13" t="n">
        <f aca="false">(1-Time!AB37)*(AB9-AB10+AB11-AB12)</f>
        <v>36.323720837837</v>
      </c>
      <c r="AC13" s="13" t="n">
        <f aca="false">(1-Time!AC37)*(AC9-AC10+AC11-AC12)</f>
        <v>35.9825575861707</v>
      </c>
      <c r="AD13" s="13" t="n">
        <f aca="false">(1-Time!AD37)*(AD9-AD10+AD11-AD12)</f>
        <v>36.1463485576696</v>
      </c>
      <c r="AE13" s="13" t="n">
        <f aca="false">(1-Time!AE37)*(AE9-AE10+AE11-AE12)</f>
        <v>35.8732543986906</v>
      </c>
      <c r="AF13" s="13" t="n">
        <f aca="false">(1-Time!AF37)*(AF9-AF10+AF11-AF12)</f>
        <v>34.3015552238063</v>
      </c>
      <c r="AG13" s="13" t="n">
        <f aca="false">(1-Time!AG37)*(AG9-AG10+AG11-AG12)</f>
        <v>33.493525357374</v>
      </c>
      <c r="AH13" s="13" t="n">
        <f aca="false">(1-Time!AH37)*(AH9-AH10+AH11-AH12)</f>
        <v>31.8806470075549</v>
      </c>
      <c r="AI13" s="13" t="n">
        <f aca="false">(1-Time!AI37)*(AI9-AI10+AI11-AI12)</f>
        <v>30.4693741033023</v>
      </c>
      <c r="AJ13" s="13" t="n">
        <f aca="false">(1-Time!AJ37)*(AJ9-AJ10+AJ11-AJ12)</f>
        <v>28.1251950522687</v>
      </c>
      <c r="AK13" s="13" t="n">
        <f aca="false">(1-Time!AK37)*(AK9-AK10+AK11-AK12)</f>
        <v>25.4904627806169</v>
      </c>
      <c r="AL13" s="13" t="n">
        <f aca="false">(1-Time!AL37)*(AL9-AL10+AL11-AL12)</f>
        <v>24.1195799082983</v>
      </c>
      <c r="AM13" s="13" t="n">
        <f aca="false">(1-Time!AM37)*(AM9-AM10+AM11-AM12)</f>
        <v>24.594162490729</v>
      </c>
      <c r="AN13" s="13" t="n">
        <f aca="false">(1-Time!AN37)*(AN9-AN10+AN11-AN12)</f>
        <v>23.3953259137427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2287.89690629298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47.7430264948692</v>
      </c>
      <c r="AQ7" s="13" t="n">
        <f aca="false">Operations!AQ84-Tax!AQ27-Operations!AQ96-Reserves!AQ7+Operations!AQ79+Operations!AQ97</f>
        <v>41.2585880179046</v>
      </c>
      <c r="AR7" s="13" t="n">
        <f aca="false">Operations!AR84-Tax!AR27-Operations!AR96-Reserves!AR7+Operations!AR79+Operations!AR97</f>
        <v>41.3221446575737</v>
      </c>
      <c r="AS7" s="13" t="n">
        <f aca="false">Operations!AS84-Tax!AS27-Operations!AS96-Reserves!AS7+Operations!AS79+Operations!AS97</f>
        <v>40.7702564497292</v>
      </c>
      <c r="AT7" s="13" t="n">
        <f aca="false">Operations!AT84-Tax!AT27-Operations!AT96-Reserves!AT7+Operations!AT79+Operations!AT97</f>
        <v>41.2658563223646</v>
      </c>
      <c r="AU7" s="13" t="n">
        <f aca="false">Operations!AU84-Tax!AU27-Operations!AU96-Reserves!AU7+Operations!AU79+Operations!AU97</f>
        <v>47.3968137577346</v>
      </c>
      <c r="AV7" s="13" t="n">
        <f aca="false">Operations!AV84-Tax!AV27-Operations!AV96-Reserves!AV7+Operations!AV79+Operations!AV97</f>
        <v>43.7262659136173</v>
      </c>
      <c r="AW7" s="13" t="n">
        <f aca="false">Operations!AW84-Tax!AW27-Operations!AW96-Reserves!AW7+Operations!AW79+Operations!AW97</f>
        <v>42.7821681609747</v>
      </c>
      <c r="AX7" s="13" t="n">
        <f aca="false">Operations!AX84-Tax!AX27-Operations!AX96-Reserves!AX7+Operations!AX79+Operations!AX97</f>
        <v>43.5037895500025</v>
      </c>
      <c r="AY7" s="13" t="n">
        <f aca="false">Operations!AY84-Tax!AY27-Operations!AY96-Reserves!AY7+Operations!AY79+Operations!AY97</f>
        <v>43.1057673812405</v>
      </c>
      <c r="AZ7" s="13" t="n">
        <f aca="false">Operations!AZ84-Tax!AZ27-Operations!AZ96-Reserves!AZ7+Operations!AZ79+Operations!AZ97</f>
        <v>43.7400249655937</v>
      </c>
      <c r="BA7" s="13" t="n">
        <f aca="false">Operations!BA84-Tax!BA27-Operations!BA96-Reserves!BA7+Operations!BA79+Operations!BA97</f>
        <v>43.3437806188668</v>
      </c>
      <c r="BB7" s="13" t="n">
        <f aca="false">Operations!BB84-Tax!BB27-Operations!BB96-Reserves!BB7+Operations!BB79+Operations!BB97</f>
        <v>43.8448734537438</v>
      </c>
      <c r="BC7" s="13" t="n">
        <f aca="false">Operations!BC84-Tax!BC27-Operations!BC96-Reserves!BC7+Operations!BC79+Operations!BC97</f>
        <v>45.332245492991</v>
      </c>
      <c r="BD7" s="13" t="n">
        <f aca="false">Operations!BD84-Tax!BD27-Operations!BD96-Reserves!BD7+Operations!BD79+Operations!BD97</f>
        <v>43.910617474569</v>
      </c>
      <c r="BE7" s="13" t="n">
        <f aca="false">Operations!BE84-Tax!BE27-Operations!BE96-Reserves!BE7+Operations!BE79+Operations!BE97</f>
        <v>35.6214736205507</v>
      </c>
      <c r="BF7" s="13" t="n">
        <f aca="false">Operations!BF84-Tax!BF27-Operations!BF96-Reserves!BF7+Operations!BF79+Operations!BF97</f>
        <v>36.2864727032679</v>
      </c>
      <c r="BG7" s="13" t="n">
        <f aca="false">Operations!BG84-Tax!BG27-Operations!BG96-Reserves!BG7+Operations!BG79+Operations!BG97</f>
        <v>35.8831486550327</v>
      </c>
      <c r="BH7" s="13" t="n">
        <f aca="false">Operations!BH84-Tax!BH27-Operations!BH96-Reserves!BH7+Operations!BH79+Operations!BH97</f>
        <v>36.5433059584216</v>
      </c>
      <c r="BI7" s="13" t="n">
        <f aca="false">Operations!BI84-Tax!BI27-Operations!BI96-Reserves!BI7+Operations!BI79+Operations!BI97</f>
        <v>36.1357728776975</v>
      </c>
      <c r="BJ7" s="13" t="n">
        <f aca="false">Operations!BJ84-Tax!BJ27-Operations!BJ96-Reserves!BJ7+Operations!BJ79+Operations!BJ97</f>
        <v>36.6806151303341</v>
      </c>
      <c r="BK7" s="13" t="n">
        <f aca="false">Operations!BK84-Tax!BK27-Operations!BK96-Reserves!BK7+Operations!BK79+Operations!BK97</f>
        <v>44.0853496234734</v>
      </c>
      <c r="BL7" s="13" t="n">
        <f aca="false">Operations!BL84-Tax!BL27-Operations!BL96-Reserves!BL7+Operations!BL79+Operations!BL97</f>
        <v>39.6481874011396</v>
      </c>
      <c r="BM7" s="13" t="n">
        <f aca="false">Operations!BM84-Tax!BM27-Operations!BM96-Reserves!BM7+Operations!BM79+Operations!BM97</f>
        <v>39.2646290074646</v>
      </c>
      <c r="BN7" s="13" t="n">
        <f aca="false">Operations!BN84-Tax!BN27-Operations!BN96-Reserves!BN7+Operations!BN79+Operations!BN97</f>
        <v>43.0054822539661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47.7430264948692</v>
      </c>
      <c r="AQ9" s="13" t="n">
        <f aca="false">AQ7+AQ8</f>
        <v>41.2585880179046</v>
      </c>
      <c r="AR9" s="13" t="n">
        <f aca="false">AR7+AR8</f>
        <v>41.3221446575737</v>
      </c>
      <c r="AS9" s="13" t="n">
        <f aca="false">AS7+AS8</f>
        <v>40.7702564497292</v>
      </c>
      <c r="AT9" s="13" t="n">
        <f aca="false">AT7+AT8</f>
        <v>41.2658563223646</v>
      </c>
      <c r="AU9" s="13" t="n">
        <f aca="false">AU7+AU8</f>
        <v>47.3968137577346</v>
      </c>
      <c r="AV9" s="13" t="n">
        <f aca="false">AV7+AV8</f>
        <v>43.7262659136173</v>
      </c>
      <c r="AW9" s="13" t="n">
        <f aca="false">AW7+AW8</f>
        <v>42.7821681609747</v>
      </c>
      <c r="AX9" s="13" t="n">
        <f aca="false">AX7+AX8</f>
        <v>43.5037895500025</v>
      </c>
      <c r="AY9" s="13" t="n">
        <f aca="false">AY7+AY8</f>
        <v>43.1057673812405</v>
      </c>
      <c r="AZ9" s="13" t="n">
        <f aca="false">AZ7+AZ8</f>
        <v>43.7400249655937</v>
      </c>
      <c r="BA9" s="13" t="n">
        <f aca="false">BA7+BA8</f>
        <v>43.3437806188668</v>
      </c>
      <c r="BB9" s="13" t="n">
        <f aca="false">BB7+BB8</f>
        <v>43.8448734537438</v>
      </c>
      <c r="BC9" s="13" t="n">
        <f aca="false">BC7+BC8</f>
        <v>45.332245492991</v>
      </c>
      <c r="BD9" s="13" t="n">
        <f aca="false">BD7+BD8</f>
        <v>43.910617474569</v>
      </c>
      <c r="BE9" s="13" t="n">
        <f aca="false">BE7+BE8</f>
        <v>35.6214736205507</v>
      </c>
      <c r="BF9" s="13" t="n">
        <f aca="false">BF7+BF8</f>
        <v>36.2864727032679</v>
      </c>
      <c r="BG9" s="13" t="n">
        <f aca="false">BG7+BG8</f>
        <v>35.8831486550327</v>
      </c>
      <c r="BH9" s="13" t="n">
        <f aca="false">BH7+BH8</f>
        <v>36.5433059584216</v>
      </c>
      <c r="BI9" s="13" t="n">
        <f aca="false">BI7+BI8</f>
        <v>36.1357728776975</v>
      </c>
      <c r="BJ9" s="13" t="n">
        <f aca="false">BJ7+BJ8</f>
        <v>36.6806151303341</v>
      </c>
      <c r="BK9" s="13" t="n">
        <f aca="false">BK7+BK8</f>
        <v>44.0853496234734</v>
      </c>
      <c r="BL9" s="13" t="n">
        <f aca="false">BL7+BL8</f>
        <v>39.6481874011396</v>
      </c>
      <c r="BM9" s="13" t="n">
        <f aca="false">BM7+BM8</f>
        <v>39.2646290074646</v>
      </c>
      <c r="BN9" s="13" t="n">
        <f aca="false">BN7+BN8</f>
        <v>43.0054822539661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836.33749336612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38.0784785636734</v>
      </c>
      <c r="R10" s="13" t="n">
        <f aca="false">Debt!R114+Debt!R110</f>
        <v>37.7221331542987</v>
      </c>
      <c r="S10" s="13" t="n">
        <f aca="false">Debt!S114+Debt!S110</f>
        <v>37.5281545531907</v>
      </c>
      <c r="T10" s="13" t="n">
        <f aca="false">Debt!T114+Debt!T110</f>
        <v>37.9631538733717</v>
      </c>
      <c r="U10" s="13" t="n">
        <f aca="false">Debt!U114+Debt!U110</f>
        <v>37.7082706244657</v>
      </c>
      <c r="V10" s="13" t="n">
        <f aca="false">Debt!V114+Debt!V110</f>
        <v>38.0579949845098</v>
      </c>
      <c r="W10" s="13" t="n">
        <f aca="false">Debt!W114+Debt!W110</f>
        <v>38.2693400178687</v>
      </c>
      <c r="X10" s="13" t="n">
        <f aca="false">Debt!X114+Debt!X110</f>
        <v>38.6972519091503</v>
      </c>
      <c r="Y10" s="13" t="n">
        <f aca="false">Debt!Y114+Debt!Y110</f>
        <v>36.7718089512955</v>
      </c>
      <c r="Z10" s="13" t="n">
        <f aca="false">Debt!Z114+Debt!Z110</f>
        <v>37.1877837069667</v>
      </c>
      <c r="AA10" s="13" t="n">
        <f aca="false">Debt!AA114+Debt!AA110</f>
        <v>36.7104052003812</v>
      </c>
      <c r="AB10" s="13" t="n">
        <f aca="false">Debt!AB114+Debt!AB110</f>
        <v>36.5768366695475</v>
      </c>
      <c r="AC10" s="13" t="n">
        <f aca="false">Debt!AC114+Debt!AC110</f>
        <v>35.6077875362592</v>
      </c>
      <c r="AD10" s="13" t="n">
        <f aca="false">Debt!AD114+Debt!AD110</f>
        <v>35.2120494415483</v>
      </c>
      <c r="AE10" s="13" t="n">
        <f aca="false">Debt!AE114+Debt!AE110</f>
        <v>35.2884315016662</v>
      </c>
      <c r="AF10" s="13" t="n">
        <f aca="false">Debt!AF114+Debt!AF110</f>
        <v>34.8277577919536</v>
      </c>
      <c r="AG10" s="13" t="n">
        <f aca="false">Debt!AG114+Debt!AG110</f>
        <v>32.9864916303619</v>
      </c>
      <c r="AH10" s="13" t="n">
        <f aca="false">Debt!AH114+Debt!AH110</f>
        <v>32.0084913499243</v>
      </c>
      <c r="AI10" s="13" t="n">
        <f aca="false">Debt!AI114+Debt!AI110</f>
        <v>30.0227889442258</v>
      </c>
      <c r="AJ10" s="13" t="n">
        <f aca="false">Debt!AJ114+Debt!AJ110</f>
        <v>28.1889960320047</v>
      </c>
      <c r="AK10" s="13" t="n">
        <f aca="false">Debt!AK114+Debt!AK110</f>
        <v>25.0866963083622</v>
      </c>
      <c r="AL10" s="13" t="n">
        <f aca="false">Debt!AL114+Debt!AL110</f>
        <v>23.7273223083245</v>
      </c>
      <c r="AM10" s="13" t="n">
        <f aca="false">Debt!AM114+Debt!AM110</f>
        <v>24.1195799082983</v>
      </c>
      <c r="AN10" s="13" t="n">
        <f aca="false">Debt!AN114+Debt!AN110</f>
        <v>24.594162490729</v>
      </c>
      <c r="AO10" s="13" t="n">
        <f aca="false">Debt!AO114+Debt!AO110</f>
        <v>23.3953259137427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6.29263433853431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10.7740057746973</v>
      </c>
      <c r="R13" s="13" t="n">
        <f aca="false">MAX(0,R9-R10)</f>
        <v>12.1605325402101</v>
      </c>
      <c r="S13" s="13" t="n">
        <f aca="false">MAX(0,S9-S10)</f>
        <v>12.0937036285076</v>
      </c>
      <c r="T13" s="13" t="n">
        <f aca="false">MAX(0,T9-T10)</f>
        <v>12.2377529797658</v>
      </c>
      <c r="U13" s="13" t="n">
        <f aca="false">MAX(0,U9-U10)</f>
        <v>12.1520876883569</v>
      </c>
      <c r="V13" s="13" t="n">
        <f aca="false">MAX(0,V9-V10)</f>
        <v>12.2668764836289</v>
      </c>
      <c r="W13" s="13" t="n">
        <f aca="false">MAX(0,W9-W10)</f>
        <v>12.3300086040007</v>
      </c>
      <c r="X13" s="13" t="n">
        <f aca="false">MAX(0,X9-X10)</f>
        <v>12.4710531657742</v>
      </c>
      <c r="Y13" s="13" t="n">
        <f aca="false">MAX(0,Y9-Y10)</f>
        <v>11.8469034703729</v>
      </c>
      <c r="Z13" s="13" t="n">
        <f aca="false">MAX(0,Z9-Z10)</f>
        <v>11.983798558254</v>
      </c>
      <c r="AA13" s="13" t="n">
        <f aca="false">MAX(0,AA9-AA10)</f>
        <v>11.8259300743199</v>
      </c>
      <c r="AB13" s="13" t="n">
        <f aca="false">MAX(0,AB9-AB10)</f>
        <v>12.5581361647244</v>
      </c>
      <c r="AC13" s="13" t="n">
        <f aca="false">MAX(0,AC9-AC10)</f>
        <v>13.1775765750549</v>
      </c>
      <c r="AD13" s="13" t="n">
        <f aca="false">MAX(0,AD9-AD10)</f>
        <v>14.0770333226498</v>
      </c>
      <c r="AE13" s="13" t="n">
        <f aca="false">MAX(0,AE9-AE10)</f>
        <v>15.2636961718341</v>
      </c>
      <c r="AF13" s="13" t="n">
        <f aca="false">MAX(0,AF9-AF10)</f>
        <v>16.5356723921084</v>
      </c>
      <c r="AG13" s="13" t="n">
        <f aca="false">MAX(0,AG9-AG10)</f>
        <v>17.608802780243</v>
      </c>
      <c r="AH13" s="13" t="n">
        <f aca="false">MAX(0,AH9-AH10)</f>
        <v>19.2979460659847</v>
      </c>
      <c r="AI13" s="13" t="n">
        <f aca="false">MAX(0,AI9-AI10)</f>
        <v>20.9439791192038</v>
      </c>
      <c r="AJ13" s="13" t="n">
        <f aca="false">MAX(0,AJ9-AJ10)</f>
        <v>23.3993871319178</v>
      </c>
      <c r="AK13" s="13" t="n">
        <f aca="false">MAX(0,AK9-AK10)</f>
        <v>26.1442128968913</v>
      </c>
      <c r="AL13" s="13" t="n">
        <f aca="false">MAX(0,AL9-AL10)</f>
        <v>28.0105539971675</v>
      </c>
      <c r="AM13" s="13" t="n">
        <f aca="false">MAX(0,AM9-AM10)</f>
        <v>28.0008061899208</v>
      </c>
      <c r="AN13" s="13" t="n">
        <f aca="false">MAX(0,AN9-AN10)</f>
        <v>28.1363356542233</v>
      </c>
      <c r="AO13" s="13" t="n">
        <f aca="false">MAX(0,AO9-AO10)</f>
        <v>26.3545998924569</v>
      </c>
      <c r="AP13" s="13" t="n">
        <f aca="false">MAX(0,AP9-AP10)</f>
        <v>47.7430264948692</v>
      </c>
      <c r="AQ13" s="13" t="n">
        <f aca="false">MAX(0,AQ9-AQ10)</f>
        <v>41.2585880179046</v>
      </c>
      <c r="AR13" s="13" t="n">
        <f aca="false">MAX(0,AR9-AR10)</f>
        <v>41.3221446575737</v>
      </c>
      <c r="AS13" s="13" t="n">
        <f aca="false">MAX(0,AS9-AS10)</f>
        <v>40.7702564497292</v>
      </c>
      <c r="AT13" s="13" t="n">
        <f aca="false">MAX(0,AT9-AT10)</f>
        <v>41.2658563223646</v>
      </c>
      <c r="AU13" s="13" t="n">
        <f aca="false">MAX(0,AU9-AU10)</f>
        <v>47.3968137577346</v>
      </c>
      <c r="AV13" s="13" t="n">
        <f aca="false">MAX(0,AV9-AV10)</f>
        <v>43.7262659136173</v>
      </c>
      <c r="AW13" s="13" t="n">
        <f aca="false">MAX(0,AW9-AW10)</f>
        <v>42.7821681609747</v>
      </c>
      <c r="AX13" s="13" t="n">
        <f aca="false">MAX(0,AX9-AX10)</f>
        <v>43.5037895500025</v>
      </c>
      <c r="AY13" s="13" t="n">
        <f aca="false">MAX(0,AY9-AY10)</f>
        <v>43.1057673812405</v>
      </c>
      <c r="AZ13" s="13" t="n">
        <f aca="false">MAX(0,AZ9-AZ10)</f>
        <v>43.7400249655937</v>
      </c>
      <c r="BA13" s="13" t="n">
        <f aca="false">MAX(0,BA9-BA10)</f>
        <v>43.3437806188668</v>
      </c>
      <c r="BB13" s="13" t="n">
        <f aca="false">MAX(0,BB9-BB10)</f>
        <v>43.8448734537438</v>
      </c>
      <c r="BC13" s="13" t="n">
        <f aca="false">MAX(0,BC9-BC10)</f>
        <v>45.332245492991</v>
      </c>
      <c r="BD13" s="13" t="n">
        <f aca="false">MAX(0,BD9-BD10)</f>
        <v>43.910617474569</v>
      </c>
      <c r="BE13" s="13" t="n">
        <f aca="false">MAX(0,BE9-BE10)</f>
        <v>35.6214736205507</v>
      </c>
      <c r="BF13" s="13" t="n">
        <f aca="false">MAX(0,BF9-BF10)</f>
        <v>36.2864727032679</v>
      </c>
      <c r="BG13" s="13" t="n">
        <f aca="false">MAX(0,BG9-BG10)</f>
        <v>35.8831486550327</v>
      </c>
      <c r="BH13" s="13" t="n">
        <f aca="false">MAX(0,BH9-BH10)</f>
        <v>36.5433059584216</v>
      </c>
      <c r="BI13" s="13" t="n">
        <f aca="false">MAX(0,BI9-BI10)</f>
        <v>36.1357728776975</v>
      </c>
      <c r="BJ13" s="13" t="n">
        <f aca="false">MAX(0,BJ9-BJ10)</f>
        <v>36.6806151303341</v>
      </c>
      <c r="BK13" s="13" t="n">
        <f aca="false">MAX(0,BK9-BK10)</f>
        <v>44.0853496234734</v>
      </c>
      <c r="BL13" s="13" t="n">
        <f aca="false">MAX(0,BL9-BL10)</f>
        <v>39.6481874011396</v>
      </c>
      <c r="BM13" s="13" t="n">
        <f aca="false">MAX(0,BM9-BM10)</f>
        <v>39.2646290074646</v>
      </c>
      <c r="BN13" s="13" t="n">
        <f aca="false">MAX(0,BN9-BN10)</f>
        <v>43.0054822539661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3.80037142827399</v>
      </c>
      <c r="R14" s="13" t="n">
        <f aca="false">R13-Reserves!R11+Reserves!R12</f>
        <v>12.3545111413181</v>
      </c>
      <c r="S14" s="13" t="n">
        <f aca="false">S13-Reserves!S11+Reserves!S12</f>
        <v>11.6587043083266</v>
      </c>
      <c r="T14" s="13" t="n">
        <f aca="false">T13-Reserves!T11+Reserves!T12</f>
        <v>12.4926362286718</v>
      </c>
      <c r="U14" s="13" t="n">
        <f aca="false">U13-Reserves!U11+Reserves!U12</f>
        <v>11.8023633283128</v>
      </c>
      <c r="V14" s="13" t="n">
        <f aca="false">V13-Reserves!V11+Reserves!V12</f>
        <v>12.05553145027</v>
      </c>
      <c r="W14" s="13" t="n">
        <f aca="false">W13-Reserves!W11+Reserves!W12</f>
        <v>11.902096712719</v>
      </c>
      <c r="X14" s="13" t="n">
        <f aca="false">X13-Reserves!X11+Reserves!X12</f>
        <v>14.396496123629</v>
      </c>
      <c r="Y14" s="13" t="n">
        <f aca="false">Y13-Reserves!Y11+Reserves!Y12</f>
        <v>11.4309287147017</v>
      </c>
      <c r="Z14" s="13" t="n">
        <f aca="false">Z13-Reserves!Z11+Reserves!Z12</f>
        <v>12.4611770648394</v>
      </c>
      <c r="AA14" s="13" t="n">
        <f aca="false">AA13-Reserves!AA11+Reserves!AA12</f>
        <v>11.37503787281</v>
      </c>
      <c r="AB14" s="13" t="n">
        <f aca="false">AB13-Reserves!AB11+Reserves!AB12</f>
        <v>13.3957127287785</v>
      </c>
      <c r="AC14" s="13" t="n">
        <f aca="false">AC13-Reserves!AC11+Reserves!AC12</f>
        <v>13.5187398267213</v>
      </c>
      <c r="AD14" s="13" t="n">
        <f aca="false">AD13-Reserves!AD11+Reserves!AD12</f>
        <v>13.9132423511509</v>
      </c>
      <c r="AE14" s="13" t="n">
        <f aca="false">AE13-Reserves!AE11+Reserves!AE12</f>
        <v>15.5367903308131</v>
      </c>
      <c r="AF14" s="13" t="n">
        <f aca="false">AF13-Reserves!AF11+Reserves!AF12</f>
        <v>18.1073715669927</v>
      </c>
      <c r="AG14" s="13" t="n">
        <f aca="false">AG13-Reserves!AG11+Reserves!AG12</f>
        <v>18.4168326466753</v>
      </c>
      <c r="AH14" s="13" t="n">
        <f aca="false">AH13-Reserves!AH11+Reserves!AH12</f>
        <v>20.9108244158038</v>
      </c>
      <c r="AI14" s="13" t="n">
        <f aca="false">AI13-Reserves!AI11+Reserves!AI12</f>
        <v>22.3552520234564</v>
      </c>
      <c r="AJ14" s="13" t="n">
        <f aca="false">AJ13-Reserves!AJ11+Reserves!AJ12</f>
        <v>25.7435661829515</v>
      </c>
      <c r="AK14" s="13" t="n">
        <f aca="false">AK13-Reserves!AK11+Reserves!AK12</f>
        <v>28.7789451685431</v>
      </c>
      <c r="AL14" s="13" t="n">
        <f aca="false">AL13-Reserves!AL11+Reserves!AL12</f>
        <v>29.3814368694861</v>
      </c>
      <c r="AM14" s="13" t="n">
        <f aca="false">AM13-Reserves!AM11+Reserves!AM12</f>
        <v>27.5262236074901</v>
      </c>
      <c r="AN14" s="13" t="n">
        <f aca="false">AN13-Reserves!AN11+Reserves!AN12</f>
        <v>29.3351722312096</v>
      </c>
      <c r="AO14" s="13" t="n">
        <f aca="false">AO13-Reserves!AO11+Reserves!AO12</f>
        <v>49.7499258061995</v>
      </c>
      <c r="AP14" s="13" t="n">
        <f aca="false">AP13-Reserves!AP11+Reserves!AP12</f>
        <v>47.7430264948692</v>
      </c>
      <c r="AQ14" s="13" t="n">
        <f aca="false">AQ13-Reserves!AQ11+Reserves!AQ12</f>
        <v>41.2585880179046</v>
      </c>
      <c r="AR14" s="13" t="n">
        <f aca="false">AR13-Reserves!AR11+Reserves!AR12</f>
        <v>41.3221446575737</v>
      </c>
      <c r="AS14" s="13" t="n">
        <f aca="false">AS13-Reserves!AS11+Reserves!AS12</f>
        <v>40.7702564497292</v>
      </c>
      <c r="AT14" s="13" t="n">
        <f aca="false">AT13-Reserves!AT11+Reserves!AT12</f>
        <v>41.2658563223646</v>
      </c>
      <c r="AU14" s="13" t="n">
        <f aca="false">AU13-Reserves!AU11+Reserves!AU12</f>
        <v>47.3968137577346</v>
      </c>
      <c r="AV14" s="13" t="n">
        <f aca="false">AV13-Reserves!AV11+Reserves!AV12</f>
        <v>43.7262659136173</v>
      </c>
      <c r="AW14" s="13" t="n">
        <f aca="false">AW13-Reserves!AW11+Reserves!AW12</f>
        <v>42.7821681609747</v>
      </c>
      <c r="AX14" s="13" t="n">
        <f aca="false">AX13-Reserves!AX11+Reserves!AX12</f>
        <v>43.5037895500025</v>
      </c>
      <c r="AY14" s="13" t="n">
        <f aca="false">AY13-Reserves!AY11+Reserves!AY12</f>
        <v>43.1057673812405</v>
      </c>
      <c r="AZ14" s="13" t="n">
        <f aca="false">AZ13-Reserves!AZ11+Reserves!AZ12</f>
        <v>43.7400249655937</v>
      </c>
      <c r="BA14" s="13" t="n">
        <f aca="false">BA13-Reserves!BA11+Reserves!BA12</f>
        <v>43.3437806188668</v>
      </c>
      <c r="BB14" s="13" t="n">
        <f aca="false">BB13-Reserves!BB11+Reserves!BB12</f>
        <v>43.8448734537438</v>
      </c>
      <c r="BC14" s="13" t="n">
        <f aca="false">BC13-Reserves!BC11+Reserves!BC12</f>
        <v>45.332245492991</v>
      </c>
      <c r="BD14" s="13" t="n">
        <f aca="false">BD13-Reserves!BD11+Reserves!BD12</f>
        <v>43.910617474569</v>
      </c>
      <c r="BE14" s="13" t="n">
        <f aca="false">BE13-Reserves!BE11+Reserves!BE12</f>
        <v>35.6214736205507</v>
      </c>
      <c r="BF14" s="13" t="n">
        <f aca="false">BF13-Reserves!BF11+Reserves!BF12</f>
        <v>36.2864727032679</v>
      </c>
      <c r="BG14" s="13" t="n">
        <f aca="false">BG13-Reserves!BG11+Reserves!BG12</f>
        <v>35.8831486550327</v>
      </c>
      <c r="BH14" s="13" t="n">
        <f aca="false">BH13-Reserves!BH11+Reserves!BH12</f>
        <v>36.5433059584216</v>
      </c>
      <c r="BI14" s="13" t="n">
        <f aca="false">BI13-Reserves!BI11+Reserves!BI12</f>
        <v>36.1357728776975</v>
      </c>
      <c r="BJ14" s="13" t="n">
        <f aca="false">BJ13-Reserves!BJ11+Reserves!BJ12</f>
        <v>36.6806151303341</v>
      </c>
      <c r="BK14" s="13" t="n">
        <f aca="false">BK13-Reserves!BK11+Reserves!BK12</f>
        <v>44.0853496234734</v>
      </c>
      <c r="BL14" s="13" t="n">
        <f aca="false">BL13-Reserves!BL11+Reserves!BL12</f>
        <v>39.6481874011396</v>
      </c>
      <c r="BM14" s="13" t="n">
        <f aca="false">BM13-Reserves!BM11+Reserves!BM12</f>
        <v>39.2646290074646</v>
      </c>
      <c r="BN14" s="13" t="n">
        <f aca="false">BN13-Reserves!BN11+Reserves!BN12</f>
        <v>43.0054822539661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3.80037142827399</v>
      </c>
      <c r="R15" s="13" t="n">
        <f aca="false">R14-Reserves!R14+Reserves!R15</f>
        <v>12.3545111413181</v>
      </c>
      <c r="S15" s="13" t="n">
        <f aca="false">S14-Reserves!S14+Reserves!S15</f>
        <v>11.6587043083266</v>
      </c>
      <c r="T15" s="13" t="n">
        <f aca="false">T14-Reserves!T14+Reserves!T15</f>
        <v>12.4926362286718</v>
      </c>
      <c r="U15" s="13" t="n">
        <f aca="false">U14-Reserves!U14+Reserves!U15</f>
        <v>11.8023633283128</v>
      </c>
      <c r="V15" s="13" t="n">
        <f aca="false">V14-Reserves!V14+Reserves!V15</f>
        <v>12.05553145027</v>
      </c>
      <c r="W15" s="13" t="n">
        <f aca="false">W14-Reserves!W14+Reserves!W15</f>
        <v>11.902096712719</v>
      </c>
      <c r="X15" s="13" t="n">
        <f aca="false">X14-Reserves!X14+Reserves!X15</f>
        <v>14.396496123629</v>
      </c>
      <c r="Y15" s="13" t="n">
        <f aca="false">Y14-Reserves!Y14+Reserves!Y15</f>
        <v>11.4309287147017</v>
      </c>
      <c r="Z15" s="13" t="n">
        <f aca="false">Z14-Reserves!Z14+Reserves!Z15</f>
        <v>12.4611770648394</v>
      </c>
      <c r="AA15" s="13" t="n">
        <f aca="false">AA14-Reserves!AA14+Reserves!AA15</f>
        <v>11.37503787281</v>
      </c>
      <c r="AB15" s="13" t="n">
        <f aca="false">AB14-Reserves!AB14+Reserves!AB15</f>
        <v>13.3957127287785</v>
      </c>
      <c r="AC15" s="13" t="n">
        <f aca="false">AC14-Reserves!AC14+Reserves!AC15</f>
        <v>13.5187398267213</v>
      </c>
      <c r="AD15" s="13" t="n">
        <f aca="false">AD14-Reserves!AD14+Reserves!AD15</f>
        <v>13.9132423511509</v>
      </c>
      <c r="AE15" s="13" t="n">
        <f aca="false">AE14-Reserves!AE14+Reserves!AE15</f>
        <v>15.5367903308131</v>
      </c>
      <c r="AF15" s="13" t="n">
        <f aca="false">AF14-Reserves!AF14+Reserves!AF15</f>
        <v>18.1073715669927</v>
      </c>
      <c r="AG15" s="13" t="n">
        <f aca="false">AG14-Reserves!AG14+Reserves!AG15</f>
        <v>18.4168326466753</v>
      </c>
      <c r="AH15" s="13" t="n">
        <f aca="false">AH14-Reserves!AH14+Reserves!AH15</f>
        <v>20.9108244158038</v>
      </c>
      <c r="AI15" s="13" t="n">
        <f aca="false">AI14-Reserves!AI14+Reserves!AI15</f>
        <v>22.3552520234564</v>
      </c>
      <c r="AJ15" s="13" t="n">
        <f aca="false">AJ14-Reserves!AJ14+Reserves!AJ15</f>
        <v>25.7435661829515</v>
      </c>
      <c r="AK15" s="13" t="n">
        <f aca="false">AK14-Reserves!AK14+Reserves!AK15</f>
        <v>28.7789451685431</v>
      </c>
      <c r="AL15" s="13" t="n">
        <f aca="false">AL14-Reserves!AL14+Reserves!AL15</f>
        <v>29.3814368694861</v>
      </c>
      <c r="AM15" s="13" t="n">
        <f aca="false">AM14-Reserves!AM14+Reserves!AM15</f>
        <v>27.5262236074901</v>
      </c>
      <c r="AN15" s="13" t="n">
        <f aca="false">AN14-Reserves!AN14+Reserves!AN15</f>
        <v>29.3351722312096</v>
      </c>
      <c r="AO15" s="13" t="n">
        <f aca="false">AO14-Reserves!AO14+Reserves!AO15</f>
        <v>49.7499258061995</v>
      </c>
      <c r="AP15" s="13" t="n">
        <f aca="false">AP14-Reserves!AP14+Reserves!AP15</f>
        <v>47.7430264948692</v>
      </c>
      <c r="AQ15" s="13" t="n">
        <f aca="false">AQ14-Reserves!AQ14+Reserves!AQ15</f>
        <v>41.2585880179046</v>
      </c>
      <c r="AR15" s="13" t="n">
        <f aca="false">AR14-Reserves!AR14+Reserves!AR15</f>
        <v>41.3221446575737</v>
      </c>
      <c r="AS15" s="13" t="n">
        <f aca="false">AS14-Reserves!AS14+Reserves!AS15</f>
        <v>40.7702564497292</v>
      </c>
      <c r="AT15" s="13" t="n">
        <f aca="false">AT14-Reserves!AT14+Reserves!AT15</f>
        <v>41.2658563223646</v>
      </c>
      <c r="AU15" s="13" t="n">
        <f aca="false">AU14-Reserves!AU14+Reserves!AU15</f>
        <v>47.3968137577346</v>
      </c>
      <c r="AV15" s="13" t="n">
        <f aca="false">AV14-Reserves!AV14+Reserves!AV15</f>
        <v>43.7262659136173</v>
      </c>
      <c r="AW15" s="13" t="n">
        <f aca="false">AW14-Reserves!AW14+Reserves!AW15</f>
        <v>42.7821681609747</v>
      </c>
      <c r="AX15" s="13" t="n">
        <f aca="false">AX14-Reserves!AX14+Reserves!AX15</f>
        <v>43.5037895500025</v>
      </c>
      <c r="AY15" s="13" t="n">
        <f aca="false">AY14-Reserves!AY14+Reserves!AY15</f>
        <v>43.1057673812405</v>
      </c>
      <c r="AZ15" s="13" t="n">
        <f aca="false">AZ14-Reserves!AZ14+Reserves!AZ15</f>
        <v>43.7400249655937</v>
      </c>
      <c r="BA15" s="13" t="n">
        <f aca="false">BA14-Reserves!BA14+Reserves!BA15</f>
        <v>43.3437806188668</v>
      </c>
      <c r="BB15" s="13" t="n">
        <f aca="false">BB14-Reserves!BB14+Reserves!BB15</f>
        <v>43.5918156531755</v>
      </c>
      <c r="BC15" s="13" t="n">
        <f aca="false">BC14-Reserves!BC14+Reserves!BC15</f>
        <v>43.7972877379491</v>
      </c>
      <c r="BD15" s="13" t="n">
        <f aca="false">BD14-Reserves!BD14+Reserves!BD15</f>
        <v>42.3588670414845</v>
      </c>
      <c r="BE15" s="13" t="n">
        <f aca="false">BE14-Reserves!BE14+Reserves!BE15</f>
        <v>34.052746794898</v>
      </c>
      <c r="BF15" s="13" t="n">
        <f aca="false">BF14-Reserves!BF14+Reserves!BF15</f>
        <v>34.7005837606556</v>
      </c>
      <c r="BG15" s="13" t="n">
        <f aca="false">BG14-Reserves!BG14+Reserves!BG15</f>
        <v>34.2799098392156</v>
      </c>
      <c r="BH15" s="13" t="n">
        <f aca="false">BH14-Reserves!BH14+Reserves!BH15</f>
        <v>34.9225274590717</v>
      </c>
      <c r="BI15" s="13" t="n">
        <f aca="false">BI14-Reserves!BI14+Reserves!BI15</f>
        <v>34.4972628079324</v>
      </c>
      <c r="BJ15" s="13" t="n">
        <f aca="false">BJ14-Reserves!BJ14+Reserves!BJ15</f>
        <v>35.0241795039986</v>
      </c>
      <c r="BK15" s="13" t="n">
        <f aca="false">BK14-Reserves!BK14+Reserves!BK15</f>
        <v>42.4107923321734</v>
      </c>
      <c r="BL15" s="13" t="n">
        <f aca="false">BL14-Reserves!BL14+Reserves!BL15</f>
        <v>37.9553101910247</v>
      </c>
      <c r="BM15" s="13" t="n">
        <f aca="false">BM14-Reserves!BM14+Reserves!BM15</f>
        <v>37.5532314557561</v>
      </c>
      <c r="BN15" s="13" t="n">
        <f aca="false">BN14-Reserves!BN14+Reserves!BN15</f>
        <v>61.0976590753166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0</v>
      </c>
      <c r="Q17" s="6" t="n">
        <f aca="false">IF(Debt!Q114&gt;Inputs!$F$253,Q7/Debt!Q114,0)</f>
        <v>1.28294212849606</v>
      </c>
      <c r="R17" s="6" t="n">
        <f aca="false">IF(Debt!R114&gt;Inputs!$F$253,R7/Debt!R114,0)</f>
        <v>1.32237128506144</v>
      </c>
      <c r="S17" s="6" t="n">
        <f aca="false">IF(Debt!S114&gt;Inputs!$F$253,S7/Debt!S114,0)</f>
        <v>1.32225681684844</v>
      </c>
      <c r="T17" s="6" t="n">
        <f aca="false">IF(Debt!T114&gt;Inputs!$F$253,T7/Debt!T114,0)</f>
        <v>1.3223587012972</v>
      </c>
      <c r="U17" s="6" t="n">
        <f aca="false">IF(Debt!U114&gt;Inputs!$F$253,U7/Debt!U114,0)</f>
        <v>1.32226584478983</v>
      </c>
      <c r="V17" s="6" t="n">
        <f aca="false">IF(Debt!V114&gt;Inputs!$F$253,V7/Debt!V114,0)</f>
        <v>1.32232061853552</v>
      </c>
      <c r="W17" s="6" t="n">
        <f aca="false">IF(Debt!W114&gt;Inputs!$F$253,W7/Debt!W114,0)</f>
        <v>1.32219025983316</v>
      </c>
      <c r="X17" s="6" t="n">
        <f aca="false">IF(Debt!X114&gt;Inputs!$F$253,X7/Debt!X114,0)</f>
        <v>1.32227232039765</v>
      </c>
      <c r="Y17" s="6" t="n">
        <f aca="false">IF(Debt!Y114&gt;Inputs!$F$253,Y7/Debt!Y114,0)</f>
        <v>1.32217352934864</v>
      </c>
      <c r="Z17" s="6" t="n">
        <f aca="false">IF(Debt!Z114&gt;Inputs!$F$253,Z7/Debt!Z114,0)</f>
        <v>1.32225094812545</v>
      </c>
      <c r="AA17" s="6" t="n">
        <f aca="false">IF(Debt!AA114&gt;Inputs!$F$253,AA7/Debt!AA114,0)</f>
        <v>1.32214109350657</v>
      </c>
      <c r="AB17" s="6" t="n">
        <f aca="false">IF(Debt!AB114&gt;Inputs!$F$253,AB7/Debt!AB114,0)</f>
        <v>1.34333576405692</v>
      </c>
      <c r="AC17" s="6" t="n">
        <f aca="false">IF(Debt!AC114&gt;Inputs!$F$253,AC7/Debt!AC114,0)</f>
        <v>1.37007569093239</v>
      </c>
      <c r="AD17" s="6" t="n">
        <f aca="false">IF(Debt!AD114&gt;Inputs!$F$253,AD7/Debt!AD114,0)</f>
        <v>1.39977886961728</v>
      </c>
      <c r="AE17" s="6" t="n">
        <f aca="false">IF(Debt!AE114&gt;Inputs!$F$253,AE7/Debt!AE114,0)</f>
        <v>1.43254107712646</v>
      </c>
      <c r="AF17" s="6" t="n">
        <f aca="false">IF(Debt!AF114&gt;Inputs!$F$253,AF7/Debt!AF114,0)</f>
        <v>1.47478429392112</v>
      </c>
      <c r="AG17" s="6" t="n">
        <f aca="false">IF(Debt!AG114&gt;Inputs!$F$253,AG7/Debt!AG114,0)</f>
        <v>1.5338185999761</v>
      </c>
      <c r="AH17" s="6" t="n">
        <f aca="false">IF(Debt!AH114&gt;Inputs!$F$253,AH7/Debt!AH114,0)</f>
        <v>1.60290083200158</v>
      </c>
      <c r="AI17" s="6" t="n">
        <f aca="false">IF(Debt!AI114&gt;Inputs!$F$253,AI7/Debt!AI114,0)</f>
        <v>1.69760271632699</v>
      </c>
      <c r="AJ17" s="6" t="n">
        <f aca="false">IF(Debt!AJ114&gt;Inputs!$F$253,AJ7/Debt!AJ114,0)</f>
        <v>1.83008941167508</v>
      </c>
      <c r="AK17" s="6" t="n">
        <f aca="false">IF(Debt!AK114&gt;Inputs!$F$253,AK7/Debt!AK114,0)</f>
        <v>2.0421544780361</v>
      </c>
      <c r="AL17" s="6" t="n">
        <f aca="false">IF(Debt!AL114&gt;Inputs!$F$253,AL7/Debt!AL114,0)</f>
        <v>2.18051896599138</v>
      </c>
      <c r="AM17" s="6" t="n">
        <f aca="false">IF(Debt!AM114&gt;Inputs!$F$253,AM7/Debt!AM114,0)</f>
        <v>2.16091599838715</v>
      </c>
      <c r="AN17" s="6" t="n">
        <f aca="false">IF(Debt!AN114&gt;Inputs!$F$253,AN7/Debt!AN114,0)</f>
        <v>2.14402495571173</v>
      </c>
      <c r="AO17" s="6" t="n">
        <f aca="false">IF(Debt!AO114&gt;Inputs!$F$253,AO7/Debt!AO114,0)</f>
        <v>2.12648996597119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0</v>
      </c>
      <c r="Q18" s="6" t="n">
        <f aca="false">IF(Debt!Q114&gt;Inputs!$F$253,IF(Debt!P114&gt;Inputs!$F$253,(Q7+P7)/(Debt!Q114+Debt!P114),Q17),0)</f>
        <v>1.28294212849606</v>
      </c>
      <c r="R18" s="6" t="n">
        <f aca="false">IF(Debt!R114&gt;Inputs!$F$253,IF(Debt!Q114&gt;Inputs!$F$253,(R7+Q7)/(Debt!R114+Debt!Q114),R17),0)</f>
        <v>1.30256402679491</v>
      </c>
      <c r="S18" s="6" t="n">
        <f aca="false">IF(Debt!S114&gt;Inputs!$F$253,IF(Debt!R114&gt;Inputs!$F$253,(S7+R7)/(Debt!S114+Debt!R114),S17),0)</f>
        <v>1.32231419849181</v>
      </c>
      <c r="T18" s="6" t="n">
        <f aca="false">IF(Debt!T114&gt;Inputs!$F$253,IF(Debt!S114&gt;Inputs!$F$253,(T7+S7)/(Debt!T114+Debt!S114),T17),0)</f>
        <v>1.32230805261433</v>
      </c>
      <c r="U18" s="6" t="n">
        <f aca="false">IF(Debt!U114&gt;Inputs!$F$253,IF(Debt!T114&gt;Inputs!$F$253,(U7+T7)/(Debt!U114+Debt!T114),U17),0)</f>
        <v>1.3223124294273</v>
      </c>
      <c r="V18" s="6" t="n">
        <f aca="false">IF(Debt!V114&gt;Inputs!$F$253,IF(Debt!U114&gt;Inputs!$F$253,(V7+U7)/(Debt!V114+Debt!U114),V17),0)</f>
        <v>1.32229335807588</v>
      </c>
      <c r="W18" s="6" t="n">
        <f aca="false">IF(Debt!W114&gt;Inputs!$F$253,IF(Debt!V114&gt;Inputs!$F$253,(W7+V7)/(Debt!W114+Debt!V114),W17),0)</f>
        <v>1.32225525870729</v>
      </c>
      <c r="X18" s="6" t="n">
        <f aca="false">IF(Debt!X114&gt;Inputs!$F$253,IF(Debt!W114&gt;Inputs!$F$253,(X7+W7)/(Debt!X114+Debt!W114),X17),0)</f>
        <v>1.32223151823185</v>
      </c>
      <c r="Y18" s="6" t="n">
        <f aca="false">IF(Debt!Y114&gt;Inputs!$F$253,IF(Debt!X114&gt;Inputs!$F$253,(Y7+X7)/(Debt!Y114+Debt!X114),Y17),0)</f>
        <v>1.32222418510169</v>
      </c>
      <c r="Z18" s="6" t="n">
        <f aca="false">IF(Debt!Z114&gt;Inputs!$F$253,IF(Debt!Y114&gt;Inputs!$F$253,(Z7+Y7)/(Debt!Z114+Debt!Y114),Z17),0)</f>
        <v>1.32221245645226</v>
      </c>
      <c r="AA18" s="6" t="n">
        <f aca="false">IF(Debt!AA114&gt;Inputs!$F$253,IF(Debt!Z114&gt;Inputs!$F$253,(AA7+Z7)/(Debt!AA114+Debt!Z114),AA17),0)</f>
        <v>1.32219637564361</v>
      </c>
      <c r="AB18" s="6" t="n">
        <f aca="false">IF(Debt!AB114&gt;Inputs!$F$253,IF(Debt!AA114&gt;Inputs!$F$253,(AB7+AA7)/(Debt!AB114+Debt!AA114),AB17),0)</f>
        <v>1.332719114772</v>
      </c>
      <c r="AC18" s="6" t="n">
        <f aca="false">IF(Debt!AC114&gt;Inputs!$F$253,IF(Debt!AB114&gt;Inputs!$F$253,(AC7+AB7)/(Debt!AC114+Debt!AB114),AC17),0)</f>
        <v>1.35652624118959</v>
      </c>
      <c r="AD18" s="6" t="n">
        <f aca="false">IF(Debt!AD114&gt;Inputs!$F$253,IF(Debt!AC114&gt;Inputs!$F$253,(AD7+AC7)/(Debt!AD114+Debt!AC114),AD17),0)</f>
        <v>1.38484429025508</v>
      </c>
      <c r="AE18" s="6" t="n">
        <f aca="false">IF(Debt!AE114&gt;Inputs!$F$253,IF(Debt!AD114&gt;Inputs!$F$253,(AE7+AD7)/(Debt!AE114+Debt!AD114),AE17),0)</f>
        <v>1.41617772108699</v>
      </c>
      <c r="AF18" s="6" t="n">
        <f aca="false">IF(Debt!AF114&gt;Inputs!$F$253,IF(Debt!AE114&gt;Inputs!$F$253,(AF7+AE7)/(Debt!AF114+Debt!AE114),AF17),0)</f>
        <v>1.45352391344</v>
      </c>
      <c r="AG18" s="6" t="n">
        <f aca="false">IF(Debt!AG114&gt;Inputs!$F$253,IF(Debt!AF114&gt;Inputs!$F$253,(AG7+AF7)/(Debt!AG114+Debt!AF114),AG17),0)</f>
        <v>1.50350000867392</v>
      </c>
      <c r="AH18" s="6" t="n">
        <f aca="false">IF(Debt!AH114&gt;Inputs!$F$253,IF(Debt!AG114&gt;Inputs!$F$253,(AH7+AG7)/(Debt!AH114+Debt!AG114),AH17),0)</f>
        <v>1.56783996477731</v>
      </c>
      <c r="AI18" s="6" t="n">
        <f aca="false">IF(Debt!AI114&gt;Inputs!$F$253,IF(Debt!AH114&gt;Inputs!$F$253,(AI7+AH7)/(Debt!AI114+Debt!AH114),AI17),0)</f>
        <v>1.64873600858088</v>
      </c>
      <c r="AJ18" s="6" t="n">
        <f aca="false">IF(Debt!AJ114&gt;Inputs!$F$253,IF(Debt!AI114&gt;Inputs!$F$253,(AJ7+AI7)/(Debt!AJ114+Debt!AI114),AJ17),0)</f>
        <v>1.76175926007471</v>
      </c>
      <c r="AK18" s="6" t="n">
        <f aca="false">IF(Debt!AK114&gt;Inputs!$F$253,IF(Debt!AJ114&gt;Inputs!$F$253,(AK7+AJ7)/(Debt!AK114+Debt!AJ114),AK17),0)</f>
        <v>1.92994755867809</v>
      </c>
      <c r="AL18" s="6" t="n">
        <f aca="false">IF(Debt!AL114&gt;Inputs!$F$253,IF(Debt!AK114&gt;Inputs!$F$253,(AL7+AK7)/(Debt!AL114+Debt!AK114),AL17),0)</f>
        <v>2.10941013316913</v>
      </c>
      <c r="AM18" s="6" t="n">
        <f aca="false">IF(Debt!AM114&gt;Inputs!$F$253,IF(Debt!AL114&gt;Inputs!$F$253,(AM7+AL7)/(Debt!AM114+Debt!AL114),AM17),0)</f>
        <v>2.17063712784376</v>
      </c>
      <c r="AN18" s="6" t="n">
        <f aca="false">IF(Debt!AN114&gt;Inputs!$F$253,IF(Debt!AM114&gt;Inputs!$F$253,(AN7+AM7)/(Debt!AN114+Debt!AM114),AN17),0)</f>
        <v>2.15238819847405</v>
      </c>
      <c r="AO18" s="6" t="n">
        <f aca="false">IF(Debt!AO114&gt;Inputs!$F$253,IF(Debt!AN114&gt;Inputs!$F$253,(AO7+AN7)/(Debt!AO114+Debt!AN114),AO17),0)</f>
        <v>2.13547648367101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0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92.7349396814992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5.68751893640502</v>
      </c>
      <c r="AB29" s="13" t="n">
        <f aca="false">IF(AND(AB24=1,Time!AB52=1,Inputs!$F$52=1),MIN(Inputs!$F$111*AB15,Debt!AB73),0)</f>
        <v>6.69785636438926</v>
      </c>
      <c r="AC29" s="13" t="n">
        <f aca="false">IF(AND(AC24=1,Time!AC52=1,Inputs!$F$52=1),MIN(Inputs!$F$111*AC15,Debt!AC73),0)</f>
        <v>6.75936991336065</v>
      </c>
      <c r="AD29" s="13" t="n">
        <f aca="false">IF(AND(AD24=1,Time!AD52=1,Inputs!$F$52=1),MIN(Inputs!$F$111*AD15,Debt!AD73),0)</f>
        <v>6.95662117557544</v>
      </c>
      <c r="AE29" s="13" t="n">
        <f aca="false">IF(AND(AE24=1,Time!AE52=1,Inputs!$F$52=1),MIN(Inputs!$F$111*AE15,Debt!AE73),0)</f>
        <v>7.76839516540654</v>
      </c>
      <c r="AF29" s="13" t="n">
        <f aca="false">IF(AND(AF24=1,Time!AF52=1,Inputs!$F$52=1),MIN(Inputs!$F$111*AF15,Debt!AF73),0)</f>
        <v>9.05368578349636</v>
      </c>
      <c r="AG29" s="13" t="n">
        <f aca="false">IF(AND(AG24=1,Time!AG52=1,Inputs!$F$52=1),MIN(Inputs!$F$111*AG15,Debt!AG73),0)</f>
        <v>9.20841632333767</v>
      </c>
      <c r="AH29" s="13" t="n">
        <f aca="false">IF(AND(AH24=1,Time!AH52=1,Inputs!$F$52=1),MIN(Inputs!$F$111*AH15,Debt!AH73),0)</f>
        <v>10.4554122079019</v>
      </c>
      <c r="AI29" s="13" t="n">
        <f aca="false">IF(AND(AI24=1,Time!AI52=1,Inputs!$F$52=1),MIN(Inputs!$F$111*AI15,Debt!AI73),0)</f>
        <v>11.1776260117282</v>
      </c>
      <c r="AJ29" s="13" t="n">
        <f aca="false">IF(AND(AJ24=1,Time!AJ52=1,Inputs!$F$52=1),MIN(Inputs!$F$111*AJ15,Debt!AJ73),0)</f>
        <v>12.8717830914757</v>
      </c>
      <c r="AK29" s="13" t="n">
        <f aca="false">IF(AND(AK24=1,Time!AK52=1,Inputs!$F$52=1),MIN(Inputs!$F$111*AK15,Debt!AK73),0)</f>
        <v>6.09825470842245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1395.86560639177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3.80037142827399</v>
      </c>
      <c r="R31" s="13" t="n">
        <f aca="false">IF(R24=1,R15-R29,0)</f>
        <v>12.3545111413181</v>
      </c>
      <c r="S31" s="13" t="n">
        <f aca="false">IF(S24=1,S15-S29,0)</f>
        <v>11.6587043083266</v>
      </c>
      <c r="T31" s="13" t="n">
        <f aca="false">IF(T24=1,T15-T29,0)</f>
        <v>12.4926362286718</v>
      </c>
      <c r="U31" s="13" t="n">
        <f aca="false">IF(U24=1,U15-U29,0)</f>
        <v>11.8023633283128</v>
      </c>
      <c r="V31" s="13" t="n">
        <f aca="false">IF(V24=1,V15-V29,0)</f>
        <v>12.05553145027</v>
      </c>
      <c r="W31" s="13" t="n">
        <f aca="false">IF(W24=1,W15-W29,0)</f>
        <v>11.902096712719</v>
      </c>
      <c r="X31" s="13" t="n">
        <f aca="false">IF(X24=1,X15-X29,0)</f>
        <v>14.396496123629</v>
      </c>
      <c r="Y31" s="13" t="n">
        <f aca="false">IF(Y24=1,Y15-Y29,0)</f>
        <v>11.4309287147017</v>
      </c>
      <c r="Z31" s="13" t="n">
        <f aca="false">IF(Z24=1,Z15-Z29,0)</f>
        <v>12.4611770648394</v>
      </c>
      <c r="AA31" s="13" t="n">
        <f aca="false">IF(AA24=1,AA15-AA29,0)</f>
        <v>5.68751893640502</v>
      </c>
      <c r="AB31" s="13" t="n">
        <f aca="false">IF(AB24=1,AB15-AB29,0)</f>
        <v>6.69785636438926</v>
      </c>
      <c r="AC31" s="13" t="n">
        <f aca="false">IF(AC24=1,AC15-AC29,0)</f>
        <v>6.75936991336065</v>
      </c>
      <c r="AD31" s="13" t="n">
        <f aca="false">IF(AD24=1,AD15-AD29,0)</f>
        <v>6.95662117557544</v>
      </c>
      <c r="AE31" s="13" t="n">
        <f aca="false">IF(AE24=1,AE15-AE29,0)</f>
        <v>7.76839516540654</v>
      </c>
      <c r="AF31" s="13" t="n">
        <f aca="false">IF(AF24=1,AF15-AF29,0)</f>
        <v>9.05368578349636</v>
      </c>
      <c r="AG31" s="13" t="n">
        <f aca="false">IF(AG24=1,AG15-AG29,0)</f>
        <v>9.20841632333767</v>
      </c>
      <c r="AH31" s="13" t="n">
        <f aca="false">IF(AH24=1,AH15-AH29,0)</f>
        <v>10.4554122079019</v>
      </c>
      <c r="AI31" s="13" t="n">
        <f aca="false">IF(AI24=1,AI15-AI29,0)</f>
        <v>11.1776260117282</v>
      </c>
      <c r="AJ31" s="13" t="n">
        <f aca="false">IF(AJ24=1,AJ15-AJ29,0)</f>
        <v>12.8717830914757</v>
      </c>
      <c r="AK31" s="13" t="n">
        <f aca="false">IF(AK24=1,AK15-AK29,0)</f>
        <v>22.6806904601206</v>
      </c>
      <c r="AL31" s="13" t="n">
        <f aca="false">IF(AL24=1,AL15-AL29,0)</f>
        <v>29.3814368694861</v>
      </c>
      <c r="AM31" s="13" t="n">
        <f aca="false">IF(AM24=1,AM15-AM29,0)</f>
        <v>27.5262236074901</v>
      </c>
      <c r="AN31" s="13" t="n">
        <f aca="false">IF(AN24=1,AN15-AN29,0)</f>
        <v>29.3351722312096</v>
      </c>
      <c r="AO31" s="13" t="n">
        <f aca="false">IF(AO24=1,AO15-AO29,0)</f>
        <v>49.7499258061995</v>
      </c>
      <c r="AP31" s="13" t="n">
        <f aca="false">IF(AP24=1,AP15-AP29,0)</f>
        <v>47.7430264948692</v>
      </c>
      <c r="AQ31" s="13" t="n">
        <f aca="false">IF(AQ24=1,AQ15-AQ29,0)</f>
        <v>41.2585880179046</v>
      </c>
      <c r="AR31" s="13" t="n">
        <f aca="false">IF(AR24=1,AR15-AR29,0)</f>
        <v>41.3221446575737</v>
      </c>
      <c r="AS31" s="13" t="n">
        <f aca="false">IF(AS24=1,AS15-AS29,0)</f>
        <v>40.7702564497292</v>
      </c>
      <c r="AT31" s="13" t="n">
        <f aca="false">IF(AT24=1,AT15-AT29,0)</f>
        <v>41.2658563223646</v>
      </c>
      <c r="AU31" s="13" t="n">
        <f aca="false">IF(AU24=1,AU15-AU29,0)</f>
        <v>47.3968137577346</v>
      </c>
      <c r="AV31" s="13" t="n">
        <f aca="false">IF(AV24=1,AV15-AV29,0)</f>
        <v>43.7262659136173</v>
      </c>
      <c r="AW31" s="13" t="n">
        <f aca="false">IF(AW24=1,AW15-AW29,0)</f>
        <v>42.7821681609747</v>
      </c>
      <c r="AX31" s="13" t="n">
        <f aca="false">IF(AX24=1,AX15-AX29,0)</f>
        <v>43.5037895500025</v>
      </c>
      <c r="AY31" s="13" t="n">
        <f aca="false">IF(AY24=1,AY15-AY29,0)</f>
        <v>43.1057673812405</v>
      </c>
      <c r="AZ31" s="13" t="n">
        <f aca="false">IF(AZ24=1,AZ15-AZ29,0)</f>
        <v>43.7400249655937</v>
      </c>
      <c r="BA31" s="13" t="n">
        <f aca="false">IF(BA24=1,BA15-BA29,0)</f>
        <v>43.3437806188668</v>
      </c>
      <c r="BB31" s="13" t="n">
        <f aca="false">IF(BB24=1,BB15-BB29,0)</f>
        <v>43.5918156531755</v>
      </c>
      <c r="BC31" s="13" t="n">
        <f aca="false">IF(BC24=1,BC15-BC29,0)</f>
        <v>43.7972877379491</v>
      </c>
      <c r="BD31" s="13" t="n">
        <f aca="false">IF(BD24=1,BD15-BD29,0)</f>
        <v>42.3588670414845</v>
      </c>
      <c r="BE31" s="13" t="n">
        <f aca="false">IF(BE24=1,BE15-BE29,0)</f>
        <v>34.052746794898</v>
      </c>
      <c r="BF31" s="13" t="n">
        <f aca="false">IF(BF24=1,BF15-BF29,0)</f>
        <v>34.7005837606556</v>
      </c>
      <c r="BG31" s="13" t="n">
        <f aca="false">IF(BG24=1,BG15-BG29,0)</f>
        <v>34.2799098392156</v>
      </c>
      <c r="BH31" s="13" t="n">
        <f aca="false">IF(BH24=1,BH15-BH29,0)</f>
        <v>34.9225274590717</v>
      </c>
      <c r="BI31" s="13" t="n">
        <f aca="false">IF(BI24=1,BI15-BI29,0)</f>
        <v>34.4972628079324</v>
      </c>
      <c r="BJ31" s="13" t="n">
        <f aca="false">IF(BJ24=1,BJ15-BJ29,0)</f>
        <v>35.0241795039986</v>
      </c>
      <c r="BK31" s="13" t="n">
        <f aca="false">IF(BK24=1,BK15-BK29,0)</f>
        <v>42.4107923321734</v>
      </c>
      <c r="BL31" s="13" t="n">
        <f aca="false">IF(BL24=1,BL15-BL29,0)</f>
        <v>37.9553101910247</v>
      </c>
      <c r="BM31" s="13" t="n">
        <f aca="false">IF(BM24=1,BM15-BM29,0)</f>
        <v>37.5532314557561</v>
      </c>
      <c r="BN31" s="13" t="n">
        <f aca="false">IF(BN24=1,BN15-BN29,0)</f>
        <v>61.0976590753166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45.1448022535252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210.441697577392</v>
      </c>
      <c r="Q33" s="13" t="n">
        <f aca="false">IF(Time!Q20&lt;Time!$F$12,0,IF(Time!Q34=1,INDEX(Funding!$J$72:$BJ$72,1,Time!$F$14),P36))</f>
        <v>212.139644972914</v>
      </c>
      <c r="R33" s="13" t="n">
        <f aca="false">IF(Time!R20&lt;Time!$F$12,0,IF(Time!R34=1,INDEX(Funding!$J$72:$BJ$72,1,Time!$F$14),Q36))</f>
        <v>218.333085038638</v>
      </c>
      <c r="S33" s="13" t="n">
        <f aca="false">IF(Time!S20&lt;Time!$F$12,0,IF(Time!S34=1,INDEX(Funding!$J$72:$BJ$72,1,Time!$F$14),R36))</f>
        <v>216.434635065745</v>
      </c>
      <c r="T33" s="13" t="n">
        <f aca="false">IF(Time!T20&lt;Time!$F$12,0,IF(Time!T34=1,INDEX(Funding!$J$72:$BJ$72,1,Time!$F$14),S36))</f>
        <v>214.972077469626</v>
      </c>
      <c r="U33" s="13" t="n">
        <f aca="false">IF(Time!U20&lt;Time!$F$12,0,IF(Time!U34=1,INDEX(Funding!$J$72:$BJ$72,1,Time!$F$14),T36))</f>
        <v>212.774542375664</v>
      </c>
      <c r="V33" s="13" t="n">
        <f aca="false">IF(Time!V20&lt;Time!$F$12,0,IF(Time!V34=1,INDEX(Funding!$J$72:$BJ$72,1,Time!$F$14),U36))</f>
        <v>211.051279972488</v>
      </c>
      <c r="W33" s="13" t="n">
        <f aca="false">IF(Time!W20&lt;Time!$F$12,0,IF(Time!W34=1,INDEX(Funding!$J$72:$BJ$72,1,Time!$F$14),V36))</f>
        <v>209.103081053504</v>
      </c>
      <c r="X33" s="13" t="n">
        <f aca="false">IF(Time!X20&lt;Time!$F$12,0,IF(Time!X34=1,INDEX(Funding!$J$72:$BJ$72,1,Time!$F$14),W36))</f>
        <v>207.051744556442</v>
      </c>
      <c r="Y33" s="13" t="n">
        <f aca="false">IF(Time!Y20&lt;Time!$F$12,0,IF(Time!Y34=1,INDEX(Funding!$J$72:$BJ$72,1,Time!$F$14),X36))</f>
        <v>202.571041569379</v>
      </c>
      <c r="Z33" s="13" t="n">
        <f aca="false">IF(Time!Z20&lt;Time!$F$12,0,IF(Time!Z34=1,INDEX(Funding!$J$72:$BJ$72,1,Time!$F$14),Y36))</f>
        <v>200.683151374638</v>
      </c>
      <c r="AA33" s="13" t="n">
        <f aca="false">IF(Time!AA20&lt;Time!$F$12,0,IF(Time!AA34=1,INDEX(Funding!$J$72:$BJ$72,1,Time!$F$14),Z36))</f>
        <v>197.832772901658</v>
      </c>
      <c r="AB33" s="13" t="n">
        <f aca="false">IF(Time!AB20&lt;Time!$F$12,0,IF(Time!AB34=1,INDEX(Funding!$J$72:$BJ$72,1,Time!$F$14),AA36))</f>
        <v>201.46507459551</v>
      </c>
      <c r="AC33" s="13" t="n">
        <f aca="false">IF(Time!AC20&lt;Time!$F$12,0,IF(Time!AC34=1,INDEX(Funding!$J$72:$BJ$72,1,Time!$F$14),AB36))</f>
        <v>204.415463447366</v>
      </c>
      <c r="AD33" s="13" t="n">
        <f aca="false">IF(Time!AD20&lt;Time!$F$12,0,IF(Time!AD34=1,INDEX(Funding!$J$72:$BJ$72,1,Time!$F$14),AC36))</f>
        <v>207.339226035389</v>
      </c>
      <c r="AE33" s="13" t="n">
        <f aca="false">IF(Time!AE20&lt;Time!$F$12,0,IF(Time!AE34=1,INDEX(Funding!$J$72:$BJ$72,1,Time!$F$14),AD36))</f>
        <v>210.312165602549</v>
      </c>
      <c r="AF33" s="13" t="n">
        <f aca="false">IF(Time!AF20&lt;Time!$F$12,0,IF(Time!AF34=1,INDEX(Funding!$J$72:$BJ$72,1,Time!$F$14),AE36))</f>
        <v>212.451490129022</v>
      </c>
      <c r="AG33" s="13" t="n">
        <f aca="false">IF(Time!AG20&lt;Time!$F$12,0,IF(Time!AG34=1,INDEX(Funding!$J$72:$BJ$72,1,Time!$F$14),AF36))</f>
        <v>213.572193516636</v>
      </c>
      <c r="AH33" s="13" t="n">
        <f aca="false">IF(Time!AH20&lt;Time!$F$12,0,IF(Time!AH34=1,INDEX(Funding!$J$72:$BJ$72,1,Time!$F$14),AG36))</f>
        <v>214.425075460472</v>
      </c>
      <c r="AI33" s="13" t="n">
        <f aca="false">IF(Time!AI20&lt;Time!$F$12,0,IF(Time!AI34=1,INDEX(Funding!$J$72:$BJ$72,1,Time!$F$14),AH36))</f>
        <v>214.238568236266</v>
      </c>
      <c r="AJ33" s="13" t="n">
        <f aca="false">IF(Time!AJ20&lt;Time!$F$12,0,IF(Time!AJ34=1,INDEX(Funding!$J$72:$BJ$72,1,Time!$F$14),AI36))</f>
        <v>213.153633130902</v>
      </c>
      <c r="AK33" s="13" t="n">
        <f aca="false">IF(Time!AK20&lt;Time!$F$12,0,IF(Time!AK34=1,INDEX(Funding!$J$72:$BJ$72,1,Time!$F$14),AJ36))</f>
        <v>210.489865127448</v>
      </c>
      <c r="AL33" s="13" t="n">
        <f aca="false">IF(Time!AL20&lt;Time!$F$12,0,IF(Time!AL34=1,INDEX(Funding!$J$72:$BJ$72,1,Time!$F$14),AK36))</f>
        <v>197.780050744187</v>
      </c>
      <c r="AM33" s="13" t="n">
        <f aca="false">IF(Time!AM20&lt;Time!$F$12,0,IF(Time!AM34=1,INDEX(Funding!$J$72:$BJ$72,1,Time!$F$14),AL36))</f>
        <v>177.870381784313</v>
      </c>
      <c r="AN33" s="13" t="n">
        <f aca="false">IF(Time!AN20&lt;Time!$F$12,0,IF(Time!AN34=1,INDEX(Funding!$J$72:$BJ$72,1,Time!$F$14),AM36))</f>
        <v>158.723558765264</v>
      </c>
      <c r="AO33" s="13" t="n">
        <f aca="false">IF(Time!AO20&lt;Time!$F$12,0,IF(Time!AO34=1,INDEX(Funding!$J$72:$BJ$72,1,Time!$F$14),AN36))</f>
        <v>136.989722992183</v>
      </c>
      <c r="AP33" s="13" t="n">
        <f aca="false">IF(Time!AP20&lt;Time!$F$12,0,IF(Time!AP34=1,INDEX(Funding!$J$72:$BJ$72,1,Time!$F$14),AO36))</f>
        <v>93.6933267389986</v>
      </c>
      <c r="AQ33" s="13" t="n">
        <f aca="false">IF(Time!AQ20&lt;Time!$F$12,0,IF(Time!AQ34=1,INDEX(Funding!$J$72:$BJ$72,1,Time!$F$14),AP36))</f>
        <v>50.437312165767</v>
      </c>
      <c r="AR33" s="13" t="n">
        <f aca="false">IF(Time!AR20&lt;Time!$F$12,0,IF(Time!AR34=1,INDEX(Funding!$J$72:$BJ$72,1,Time!$F$14),AQ36))</f>
        <v>11.5548051963292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225.849346929698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3.80037142827399</v>
      </c>
      <c r="R34" s="13" t="n">
        <f aca="false">R24*MIN(R31,Tax!R13)</f>
        <v>10.4560611684257</v>
      </c>
      <c r="S34" s="13" t="n">
        <f aca="false">S24*MIN(S31,Tax!S13)</f>
        <v>10.1961467122068</v>
      </c>
      <c r="T34" s="13" t="n">
        <f aca="false">T24*MIN(T31,Tax!T13)</f>
        <v>10.2951011347097</v>
      </c>
      <c r="U34" s="13" t="n">
        <f aca="false">U24*MIN(U31,Tax!U13)</f>
        <v>10.0791009251376</v>
      </c>
      <c r="V34" s="13" t="n">
        <f aca="false">V24*MIN(V31,Tax!V13)</f>
        <v>10.1073325312852</v>
      </c>
      <c r="W34" s="13" t="n">
        <f aca="false">W24*MIN(W31,Tax!W13)</f>
        <v>9.85076021565752</v>
      </c>
      <c r="X34" s="13" t="n">
        <f aca="false">X24*MIN(X31,Tax!X13)</f>
        <v>9.91579313656605</v>
      </c>
      <c r="Y34" s="13" t="n">
        <f aca="false">Y24*MIN(Y31,Tax!Y13)</f>
        <v>9.5430385199602</v>
      </c>
      <c r="Z34" s="13" t="n">
        <f aca="false">Z24*MIN(Z31,Tax!Z13)</f>
        <v>9.61079859185935</v>
      </c>
      <c r="AA34" s="13" t="n">
        <f aca="false">AA24*MIN(AA31,Tax!AA13)</f>
        <v>5.68751893640502</v>
      </c>
      <c r="AB34" s="13" t="n">
        <f aca="false">AB24*MIN(AB31,Tax!AB13)</f>
        <v>6.69785636438926</v>
      </c>
      <c r="AC34" s="13" t="n">
        <f aca="false">AC24*MIN(AC31,Tax!AC13)</f>
        <v>6.75936991336065</v>
      </c>
      <c r="AD34" s="13" t="n">
        <f aca="false">AD24*MIN(AD31,Tax!AD13)</f>
        <v>6.95662117557544</v>
      </c>
      <c r="AE34" s="13" t="n">
        <f aca="false">AE24*MIN(AE31,Tax!AE13)</f>
        <v>7.76839516540654</v>
      </c>
      <c r="AF34" s="13" t="n">
        <f aca="false">AF24*MIN(AF31,Tax!AF13)</f>
        <v>9.05368578349636</v>
      </c>
      <c r="AG34" s="13" t="n">
        <f aca="false">AG24*MIN(AG31,Tax!AG13)</f>
        <v>9.20841632333767</v>
      </c>
      <c r="AH34" s="13" t="n">
        <f aca="false">AH24*MIN(AH31,Tax!AH13)</f>
        <v>10.268904983696</v>
      </c>
      <c r="AI34" s="13" t="n">
        <f aca="false">AI24*MIN(AI31,Tax!AI13)</f>
        <v>10.0926909063633</v>
      </c>
      <c r="AJ34" s="13" t="n">
        <f aca="false">AJ24*MIN(AJ31,Tax!AJ13)</f>
        <v>10.2080150880224</v>
      </c>
      <c r="AK34" s="13" t="n">
        <f aca="false">AK24*MIN(AK31,Tax!AK13)</f>
        <v>9.97087607685912</v>
      </c>
      <c r="AL34" s="13" t="n">
        <f aca="false">AL24*MIN(AL31,Tax!AL13)</f>
        <v>9.47176790961201</v>
      </c>
      <c r="AM34" s="13" t="n">
        <f aca="false">AM24*MIN(AM31,Tax!AM13)</f>
        <v>8.37940058844179</v>
      </c>
      <c r="AN34" s="13" t="n">
        <f aca="false">AN24*MIN(AN31,Tax!AN13)</f>
        <v>7.60133645812827</v>
      </c>
      <c r="AO34" s="13" t="n">
        <f aca="false">AO24*MIN(AO31,Tax!AO13)</f>
        <v>6.4535295530153</v>
      </c>
      <c r="AP34" s="13" t="n">
        <f aca="false">AP24*MIN(AP31,Tax!AP13)</f>
        <v>4.48701192163752</v>
      </c>
      <c r="AQ34" s="13" t="n">
        <f aca="false">AQ24*MIN(AQ31,Tax!AQ13)</f>
        <v>2.37608104846675</v>
      </c>
      <c r="AR34" s="13" t="n">
        <f aca="false">AR24*MIN(AR31,Tax!AR13)</f>
        <v>0.553364369402284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234.925387597453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1.8984499728924</v>
      </c>
      <c r="S35" s="13" t="n">
        <f aca="false">S24*MIN(S31-S34,S33+Tax!S13-S34)</f>
        <v>1.46255759611979</v>
      </c>
      <c r="T35" s="13" t="n">
        <f aca="false">T24*MIN(T31-T34,T33+Tax!T13-T34)</f>
        <v>2.19753509396203</v>
      </c>
      <c r="U35" s="13" t="n">
        <f aca="false">U24*MIN(U31-U34,U33+Tax!U13-U34)</f>
        <v>1.72326240317519</v>
      </c>
      <c r="V35" s="13" t="n">
        <f aca="false">V24*MIN(V31-V34,V33+Tax!V13-V34)</f>
        <v>1.9481989189848</v>
      </c>
      <c r="W35" s="13" t="n">
        <f aca="false">W24*MIN(W31-W34,W33+Tax!W13-W34)</f>
        <v>2.05133649706152</v>
      </c>
      <c r="X35" s="13" t="n">
        <f aca="false">X24*MIN(X31-X34,X33+Tax!X13-X34)</f>
        <v>4.48070298706299</v>
      </c>
      <c r="Y35" s="13" t="n">
        <f aca="false">Y24*MIN(Y31-Y34,Y33+Tax!Y13-Y34)</f>
        <v>1.88789019474151</v>
      </c>
      <c r="Z35" s="13" t="n">
        <f aca="false">Z24*MIN(Z31-Z34,Z33+Tax!Z13-Z34)</f>
        <v>2.85037847298007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0.186507224205842</v>
      </c>
      <c r="AI35" s="13" t="n">
        <f aca="false">AI24*MIN(AI31-AI34,AI33+Tax!AI13-AI34)</f>
        <v>1.08493510536491</v>
      </c>
      <c r="AJ35" s="13" t="n">
        <f aca="false">AJ24*MIN(AJ31-AJ34,AJ33+Tax!AJ13-AJ34)</f>
        <v>2.66376800345339</v>
      </c>
      <c r="AK35" s="13" t="n">
        <f aca="false">AK24*MIN(AK31-AK34,AK33+Tax!AK13-AK34)</f>
        <v>12.7098143832615</v>
      </c>
      <c r="AL35" s="13" t="n">
        <f aca="false">AL24*MIN(AL31-AL34,AL33+Tax!AL13-AL34)</f>
        <v>19.9096689598741</v>
      </c>
      <c r="AM35" s="13" t="n">
        <f aca="false">AM24*MIN(AM31-AM34,AM33+Tax!AM13-AM34)</f>
        <v>19.1468230190483</v>
      </c>
      <c r="AN35" s="13" t="n">
        <f aca="false">AN24*MIN(AN31-AN34,AN33+Tax!AN13-AN34)</f>
        <v>21.7338357730813</v>
      </c>
      <c r="AO35" s="13" t="n">
        <f aca="false">AO24*MIN(AO31-AO34,AO33+Tax!AO13-AO34)</f>
        <v>43.2963962531842</v>
      </c>
      <c r="AP35" s="13" t="n">
        <f aca="false">AP24*MIN(AP31-AP34,AP33+Tax!AP13-AP34)</f>
        <v>43.2560145732316</v>
      </c>
      <c r="AQ35" s="13" t="n">
        <f aca="false">AQ24*MIN(AQ31-AQ34,AQ33+Tax!AQ13-AQ34)</f>
        <v>38.8825069694378</v>
      </c>
      <c r="AR35" s="13" t="n">
        <f aca="false">AR24*MIN(AR31-AR34,AR33+Tax!AR13-AR34)</f>
        <v>11.5548051963292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212.139644972914</v>
      </c>
      <c r="Q36" s="13" t="n">
        <f aca="false">Q33+Tax!Q13-Q34-Q35</f>
        <v>218.333085038638</v>
      </c>
      <c r="R36" s="13" t="n">
        <f aca="false">R33+Tax!R13-R34-R35</f>
        <v>216.434635065745</v>
      </c>
      <c r="S36" s="13" t="n">
        <f aca="false">S33+Tax!S13-S34-S35</f>
        <v>214.972077469626</v>
      </c>
      <c r="T36" s="13" t="n">
        <f aca="false">T33+Tax!T13-T34-T35</f>
        <v>212.774542375664</v>
      </c>
      <c r="U36" s="13" t="n">
        <f aca="false">U33+Tax!U13-U34-U35</f>
        <v>211.051279972488</v>
      </c>
      <c r="V36" s="13" t="n">
        <f aca="false">V33+Tax!V13-V34-V35</f>
        <v>209.103081053504</v>
      </c>
      <c r="W36" s="13" t="n">
        <f aca="false">W33+Tax!W13-W34-W35</f>
        <v>207.051744556442</v>
      </c>
      <c r="X36" s="13" t="n">
        <f aca="false">X33+Tax!X13-X34-X35</f>
        <v>202.571041569379</v>
      </c>
      <c r="Y36" s="13" t="n">
        <f aca="false">Y33+Tax!Y13-Y34-Y35</f>
        <v>200.683151374638</v>
      </c>
      <c r="Z36" s="13" t="n">
        <f aca="false">Z33+Tax!Z13-Z34-Z35</f>
        <v>197.832772901658</v>
      </c>
      <c r="AA36" s="13" t="n">
        <f aca="false">AA33+Tax!AA13-AA34-AA35</f>
        <v>201.46507459551</v>
      </c>
      <c r="AB36" s="13" t="n">
        <f aca="false">AB33+Tax!AB13-AB34-AB35</f>
        <v>204.415463447366</v>
      </c>
      <c r="AC36" s="13" t="n">
        <f aca="false">AC33+Tax!AC13-AC34-AC35</f>
        <v>207.339226035389</v>
      </c>
      <c r="AD36" s="13" t="n">
        <f aca="false">AD33+Tax!AD13-AD34-AD35</f>
        <v>210.312165602549</v>
      </c>
      <c r="AE36" s="13" t="n">
        <f aca="false">AE33+Tax!AE13-AE34-AE35</f>
        <v>212.451490129022</v>
      </c>
      <c r="AF36" s="13" t="n">
        <f aca="false">AF33+Tax!AF13-AF34-AF35</f>
        <v>213.572193516636</v>
      </c>
      <c r="AG36" s="13" t="n">
        <f aca="false">AG33+Tax!AG13-AG34-AG35</f>
        <v>214.425075460472</v>
      </c>
      <c r="AH36" s="13" t="n">
        <f aca="false">AH33+Tax!AH13-AH34-AH35</f>
        <v>214.238568236266</v>
      </c>
      <c r="AI36" s="13" t="n">
        <f aca="false">AI33+Tax!AI13-AI34-AI35</f>
        <v>213.153633130902</v>
      </c>
      <c r="AJ36" s="13" t="n">
        <f aca="false">AJ33+Tax!AJ13-AJ34-AJ35</f>
        <v>210.489865127448</v>
      </c>
      <c r="AK36" s="13" t="n">
        <f aca="false">AK33+Tax!AK13-AK34-AK35</f>
        <v>197.780050744187</v>
      </c>
      <c r="AL36" s="13" t="n">
        <f aca="false">AL33+Tax!AL13-AL34-AL35</f>
        <v>177.870381784313</v>
      </c>
      <c r="AM36" s="13" t="n">
        <f aca="false">AM33+Tax!AM13-AM34-AM35</f>
        <v>158.723558765264</v>
      </c>
      <c r="AN36" s="13" t="n">
        <f aca="false">AN33+Tax!AN13-AN34-AN35</f>
        <v>136.989722992183</v>
      </c>
      <c r="AO36" s="13" t="n">
        <f aca="false">AO33+Tax!AO13-AO34-AO35</f>
        <v>93.6933267389986</v>
      </c>
      <c r="AP36" s="13" t="n">
        <f aca="false">AP33+Tax!AP13-AP34-AP35</f>
        <v>50.437312165767</v>
      </c>
      <c r="AQ36" s="13" t="n">
        <f aca="false">AQ33+Tax!AQ13-AQ34-AQ35</f>
        <v>11.5548051963292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4.6045998237667</v>
      </c>
      <c r="Q37" s="13" t="n">
        <f aca="false">MAX(0,P43+Financials!Q14)</f>
        <v>10.6298126992505</v>
      </c>
      <c r="R37" s="13" t="n">
        <f aca="false">MAX(0,Q43+Financials!R14)</f>
        <v>17.538675057546</v>
      </c>
      <c r="S37" s="13" t="n">
        <f aca="false">MAX(0,R43+Financials!S14)</f>
        <v>25.6709029790325</v>
      </c>
      <c r="T37" s="13" t="n">
        <f aca="false">MAX(0,S43+Financials!T14)</f>
        <v>34.1773074845024</v>
      </c>
      <c r="U37" s="13" t="n">
        <f aca="false">MAX(0,T43+Financials!U14)</f>
        <v>43.7254013319464</v>
      </c>
      <c r="V37" s="13" t="n">
        <f aca="false">MAX(0,U43+Financials!V14)</f>
        <v>53.8854052491232</v>
      </c>
      <c r="W37" s="13" t="n">
        <f aca="false">MAX(0,V43+Financials!W14)</f>
        <v>62.8678359755657</v>
      </c>
      <c r="X37" s="13" t="n">
        <f aca="false">MAX(0,W43+Financials!X14)</f>
        <v>74.9350792310959</v>
      </c>
      <c r="Y37" s="13" t="n">
        <f aca="false">MAX(0,X43+Financials!Y14)</f>
        <v>87.738314423281</v>
      </c>
      <c r="Z37" s="13" t="n">
        <f aca="false">MAX(0,Y43+Financials!Z14)</f>
        <v>99.8019907707836</v>
      </c>
      <c r="AA37" s="13" t="n">
        <f aca="false">MAX(0,Z43+Financials!AA14)</f>
        <v>106.235983300929</v>
      </c>
      <c r="AB37" s="13" t="n">
        <f aca="false">MAX(0,AA43+Financials!AB14)</f>
        <v>113.119543395275</v>
      </c>
      <c r="AC37" s="13" t="n">
        <f aca="false">MAX(0,AB43+Financials!AC14)</f>
        <v>120.866899546184</v>
      </c>
      <c r="AD37" s="13" t="n">
        <f aca="false">MAX(0,AC43+Financials!AD14)</f>
        <v>129.272288898635</v>
      </c>
      <c r="AE37" s="13" t="n">
        <f aca="false">MAX(0,AD43+Financials!AE14)</f>
        <v>129.032491515026</v>
      </c>
      <c r="AF37" s="13" t="n">
        <f aca="false">MAX(0,AE43+Financials!AF14)</f>
        <v>139.679021626684</v>
      </c>
      <c r="AG37" s="13" t="n">
        <f aca="false">MAX(0,AF43+Financials!AG14)</f>
        <v>150.663286223046</v>
      </c>
      <c r="AH37" s="13" t="n">
        <f aca="false">MAX(0,AG43+Financials!AH14)</f>
        <v>162.449233588764</v>
      </c>
      <c r="AI37" s="13" t="n">
        <f aca="false">MAX(0,AH43+Financials!AI14)</f>
        <v>175.472447588906</v>
      </c>
      <c r="AJ37" s="13" t="n">
        <f aca="false">MAX(0,AI43+Financials!AJ14)</f>
        <v>189.408408794697</v>
      </c>
      <c r="AK37" s="13" t="n">
        <f aca="false">MAX(0,AJ43+Financials!AK14)</f>
        <v>204.549505301993</v>
      </c>
      <c r="AL37" s="13" t="n">
        <f aca="false">MAX(0,AK43+Financials!AL14)</f>
        <v>220.805906456432</v>
      </c>
      <c r="AM37" s="13" t="n">
        <f aca="false">MAX(0,AL43+Financials!AM14)</f>
        <v>236.332450872167</v>
      </c>
      <c r="AN37" s="13" t="n">
        <f aca="false">MAX(0,AM43+Financials!AN14)</f>
        <v>255.017599080397</v>
      </c>
      <c r="AO37" s="13" t="n">
        <f aca="false">MAX(0,AN43+Financials!AO14)</f>
        <v>274.918130000131</v>
      </c>
      <c r="AP37" s="13" t="n">
        <f aca="false">MAX(0,AO43+Financials!AP14)</f>
        <v>297.120064353597</v>
      </c>
      <c r="AQ37" s="13" t="n">
        <f aca="false">MAX(0,AP43+Financials!AQ14)</f>
        <v>320.926903691409</v>
      </c>
      <c r="AR37" s="13" t="n">
        <f aca="false">MAX(0,AQ43+Financials!AR14)</f>
        <v>346.098844614574</v>
      </c>
      <c r="AS37" s="13" t="n">
        <f aca="false">MAX(0,AR43+Financials!AS14)</f>
        <v>342.495996281081</v>
      </c>
      <c r="AT37" s="13" t="n">
        <f aca="false">MAX(0,AS43+Financials!AT14)</f>
        <v>327.480348816818</v>
      </c>
      <c r="AU37" s="13" t="n">
        <f aca="false">MAX(0,AT43+Financials!AU14)</f>
        <v>301.488993446228</v>
      </c>
      <c r="AV37" s="13" t="n">
        <f aca="false">MAX(0,AU43+Financials!AV14)</f>
        <v>279.98709018351</v>
      </c>
      <c r="AW37" s="13" t="n">
        <f aca="false">MAX(0,AV43+Financials!AW14)</f>
        <v>262.257117543959</v>
      </c>
      <c r="AX37" s="13" t="n">
        <f aca="false">MAX(0,AW43+Financials!AX14)</f>
        <v>245.582326779855</v>
      </c>
      <c r="AY37" s="13" t="n">
        <f aca="false">MAX(0,AX43+Financials!AY14)</f>
        <v>228.324152267664</v>
      </c>
      <c r="AZ37" s="13" t="n">
        <f aca="false">MAX(0,AY43+Financials!AZ14)</f>
        <v>211.560947946085</v>
      </c>
      <c r="BA37" s="13" t="n">
        <f aca="false">MAX(0,AZ43+Financials!BA14)</f>
        <v>194.217986433002</v>
      </c>
      <c r="BB37" s="13" t="n">
        <f aca="false">MAX(0,BA43+Financials!BB14)</f>
        <v>177.409785258442</v>
      </c>
      <c r="BC37" s="13" t="n">
        <f aca="false">MAX(0,BB43+Financials!BC14)</f>
        <v>158.079902168216</v>
      </c>
      <c r="BD37" s="13" t="n">
        <f aca="false">MAX(0,BC43+Financials!BD14)</f>
        <v>141.156429108126</v>
      </c>
      <c r="BE37" s="13" t="n">
        <f aca="false">MAX(0,BD43+Financials!BE14)</f>
        <v>125.611640209536</v>
      </c>
      <c r="BF37" s="13" t="n">
        <f aca="false">MAX(0,BE43+Financials!BF14)</f>
        <v>118.494069745689</v>
      </c>
      <c r="BG37" s="13" t="n">
        <f aca="false">MAX(0,BF43+Financials!BG14)</f>
        <v>110.878848114349</v>
      </c>
      <c r="BH37" s="13" t="n">
        <f aca="false">MAX(0,BG43+Financials!BH14)</f>
        <v>103.789668845099</v>
      </c>
      <c r="BI37" s="13" t="n">
        <f aca="false">MAX(0,BH43+Financials!BI14)</f>
        <v>96.1151462379258</v>
      </c>
      <c r="BJ37" s="13" t="n">
        <f aca="false">MAX(0,BI43+Financials!BJ14)</f>
        <v>89.0379424572063</v>
      </c>
      <c r="BK37" s="13" t="n">
        <f aca="false">MAX(0,BJ43+Financials!BK14)</f>
        <v>69.0436472674046</v>
      </c>
      <c r="BL37" s="13" t="n">
        <f aca="false">MAX(0,BK43+Financials!BL14)</f>
        <v>54.2503275545894</v>
      </c>
      <c r="BM37" s="13" t="n">
        <f aca="false">MAX(0,BL43+Financials!BM14)</f>
        <v>43.9945562287079</v>
      </c>
      <c r="BN37" s="13" t="n">
        <f aca="false">MAX(0,BM43+Financials!BN14)</f>
        <v>15.9528568218208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29.2139750918422</v>
      </c>
      <c r="AS38" s="13" t="n">
        <f aca="false">AS24*MIN(AS31-AS34-AS35,AS37)</f>
        <v>40.7702564497292</v>
      </c>
      <c r="AT38" s="13" t="n">
        <f aca="false">AT24*MIN(AT31-AT34-AT35,AT37)</f>
        <v>41.2658563223646</v>
      </c>
      <c r="AU38" s="13" t="n">
        <f aca="false">AU24*MIN(AU31-AU34-AU35,AU37)</f>
        <v>47.3968137577346</v>
      </c>
      <c r="AV38" s="13" t="n">
        <f aca="false">AV24*MIN(AV31-AV34-AV35,AV37)</f>
        <v>43.7262659136173</v>
      </c>
      <c r="AW38" s="13" t="n">
        <f aca="false">AW24*MIN(AW31-AW34-AW35,AW37)</f>
        <v>42.7821681609747</v>
      </c>
      <c r="AX38" s="13" t="n">
        <f aca="false">AX24*MIN(AX31-AX34-AX35,AX37)</f>
        <v>43.5037895500025</v>
      </c>
      <c r="AY38" s="13" t="n">
        <f aca="false">AY24*MIN(AY31-AY34-AY35,AY37)</f>
        <v>43.1057673812405</v>
      </c>
      <c r="AZ38" s="13" t="n">
        <f aca="false">AZ24*MIN(AZ31-AZ34-AZ35,AZ37)</f>
        <v>43.7400249655937</v>
      </c>
      <c r="BA38" s="13" t="n">
        <f aca="false">BA24*MIN(BA31-BA34-BA35,BA37)</f>
        <v>43.3437806188668</v>
      </c>
      <c r="BB38" s="13" t="n">
        <f aca="false">BB24*MIN(BB31-BB34-BB35,BB37)</f>
        <v>43.5918156531755</v>
      </c>
      <c r="BC38" s="13" t="n">
        <f aca="false">BC24*MIN(BC31-BC34-BC35,BC37)</f>
        <v>43.7972877379491</v>
      </c>
      <c r="BD38" s="13" t="n">
        <f aca="false">BD24*MIN(BD31-BD34-BD35,BD37)</f>
        <v>42.3588670414845</v>
      </c>
      <c r="BE38" s="13" t="n">
        <f aca="false">BE24*MIN(BE31-BE34-BE35,BE37)</f>
        <v>34.052746794898</v>
      </c>
      <c r="BF38" s="13" t="n">
        <f aca="false">BF24*MIN(BF31-BF34-BF35,BF37)</f>
        <v>34.7005837606556</v>
      </c>
      <c r="BG38" s="13" t="n">
        <f aca="false">BG24*MIN(BG31-BG34-BG35,BG37)</f>
        <v>34.2799098392156</v>
      </c>
      <c r="BH38" s="13" t="n">
        <f aca="false">BH24*MIN(BH31-BH34-BH35,BH37)</f>
        <v>34.9225274590717</v>
      </c>
      <c r="BI38" s="13" t="n">
        <f aca="false">BI24*MIN(BI31-BI34-BI35,BI37)</f>
        <v>34.4972628079324</v>
      </c>
      <c r="BJ38" s="13" t="n">
        <f aca="false">BJ24*MIN(BJ31-BJ34-BJ35,BJ37)</f>
        <v>35.0241795039986</v>
      </c>
      <c r="BK38" s="13" t="n">
        <f aca="false">BK24*MIN(BK31-BK34-BK35,BK37)</f>
        <v>42.4107923321734</v>
      </c>
      <c r="BL38" s="13" t="n">
        <f aca="false">BL24*MIN(BL31-BL34-BL35,BL37)</f>
        <v>37.9553101910247</v>
      </c>
      <c r="BM38" s="13" t="n">
        <f aca="false">BM24*MIN(BM31-BM34-BM35,BM37)</f>
        <v>37.5532314557561</v>
      </c>
      <c r="BN38" s="13" t="n">
        <f aca="false">BN24*MIN(BN31-BN34-BN35,BN37)</f>
        <v>15.9528568218208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45.1448022534959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45.1448022534959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45.1448022534959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935.090871864618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29.2139750918422</v>
      </c>
      <c r="AS41" s="13" t="n">
        <f aca="false">AS38+AS40</f>
        <v>40.7702564497292</v>
      </c>
      <c r="AT41" s="13" t="n">
        <f aca="false">AT38+AT40</f>
        <v>41.2658563223646</v>
      </c>
      <c r="AU41" s="13" t="n">
        <f aca="false">AU38+AU40</f>
        <v>47.3968137577346</v>
      </c>
      <c r="AV41" s="13" t="n">
        <f aca="false">AV38+AV40</f>
        <v>43.7262659136173</v>
      </c>
      <c r="AW41" s="13" t="n">
        <f aca="false">AW38+AW40</f>
        <v>42.7821681609747</v>
      </c>
      <c r="AX41" s="13" t="n">
        <f aca="false">AX38+AX40</f>
        <v>43.5037895500025</v>
      </c>
      <c r="AY41" s="13" t="n">
        <f aca="false">AY38+AY40</f>
        <v>43.1057673812405</v>
      </c>
      <c r="AZ41" s="13" t="n">
        <f aca="false">AZ38+AZ40</f>
        <v>43.7400249655937</v>
      </c>
      <c r="BA41" s="13" t="n">
        <f aca="false">BA38+BA40</f>
        <v>43.3437806188668</v>
      </c>
      <c r="BB41" s="13" t="n">
        <f aca="false">BB38+BB40</f>
        <v>43.5918156531755</v>
      </c>
      <c r="BC41" s="13" t="n">
        <f aca="false">BC38+BC40</f>
        <v>43.7972877379491</v>
      </c>
      <c r="BD41" s="13" t="n">
        <f aca="false">BD38+BD40</f>
        <v>42.3588670414845</v>
      </c>
      <c r="BE41" s="13" t="n">
        <f aca="false">BE38+BE40</f>
        <v>34.052746794898</v>
      </c>
      <c r="BF41" s="13" t="n">
        <f aca="false">BF38+BF40</f>
        <v>34.7005837606556</v>
      </c>
      <c r="BG41" s="13" t="n">
        <f aca="false">BG38+BG40</f>
        <v>34.2799098392156</v>
      </c>
      <c r="BH41" s="13" t="n">
        <f aca="false">BH38+BH40</f>
        <v>34.9225274590717</v>
      </c>
      <c r="BI41" s="13" t="n">
        <f aca="false">BI38+BI40</f>
        <v>34.4972628079324</v>
      </c>
      <c r="BJ41" s="13" t="n">
        <f aca="false">BJ38+BJ40</f>
        <v>35.0241795039986</v>
      </c>
      <c r="BK41" s="13" t="n">
        <f aca="false">BK38+BK40</f>
        <v>42.4107923321734</v>
      </c>
      <c r="BL41" s="13" t="n">
        <f aca="false">BL38+BL40</f>
        <v>37.9553101910247</v>
      </c>
      <c r="BM41" s="13" t="n">
        <f aca="false">BM38+BM40</f>
        <v>37.5532314557561</v>
      </c>
      <c r="BN41" s="13" t="n">
        <f aca="false">BN38+BN40</f>
        <v>61.0976590753166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4.6045998237667</v>
      </c>
      <c r="Q43" s="13" t="n">
        <f aca="false">IF(Time!Q20&lt;Time!$F$12,0,P43+Financials!Q14-Q41)</f>
        <v>10.6298126992505</v>
      </c>
      <c r="R43" s="13" t="n">
        <f aca="false">IF(Time!R20&lt;Time!$F$12,0,Q43+Financials!R14-R41)</f>
        <v>17.538675057546</v>
      </c>
      <c r="S43" s="13" t="n">
        <f aca="false">IF(Time!S20&lt;Time!$F$12,0,R43+Financials!S14-S41)</f>
        <v>25.6709029790325</v>
      </c>
      <c r="T43" s="13" t="n">
        <f aca="false">IF(Time!T20&lt;Time!$F$12,0,S43+Financials!T14-T41)</f>
        <v>34.1773074845024</v>
      </c>
      <c r="U43" s="13" t="n">
        <f aca="false">IF(Time!U20&lt;Time!$F$12,0,T43+Financials!U14-U41)</f>
        <v>43.7254013319464</v>
      </c>
      <c r="V43" s="13" t="n">
        <f aca="false">IF(Time!V20&lt;Time!$F$12,0,U43+Financials!V14-V41)</f>
        <v>53.8854052491232</v>
      </c>
      <c r="W43" s="13" t="n">
        <f aca="false">IF(Time!W20&lt;Time!$F$12,0,V43+Financials!W14-W41)</f>
        <v>62.8678359755657</v>
      </c>
      <c r="X43" s="13" t="n">
        <f aca="false">IF(Time!X20&lt;Time!$F$12,0,W43+Financials!X14-X41)</f>
        <v>74.9350792310959</v>
      </c>
      <c r="Y43" s="13" t="n">
        <f aca="false">IF(Time!Y20&lt;Time!$F$12,0,X43+Financials!Y14-Y41)</f>
        <v>87.738314423281</v>
      </c>
      <c r="Z43" s="13" t="n">
        <f aca="false">IF(Time!Z20&lt;Time!$F$12,0,Y43+Financials!Z14-Z41)</f>
        <v>99.8019907707836</v>
      </c>
      <c r="AA43" s="13" t="n">
        <f aca="false">IF(Time!AA20&lt;Time!$F$12,0,Z43+Financials!AA14-AA41)</f>
        <v>106.235983300929</v>
      </c>
      <c r="AB43" s="13" t="n">
        <f aca="false">IF(Time!AB20&lt;Time!$F$12,0,AA43+Financials!AB14-AB41)</f>
        <v>113.119543395275</v>
      </c>
      <c r="AC43" s="13" t="n">
        <f aca="false">IF(Time!AC20&lt;Time!$F$12,0,AB43+Financials!AC14-AC41)</f>
        <v>120.866899546184</v>
      </c>
      <c r="AD43" s="13" t="n">
        <f aca="false">IF(Time!AD20&lt;Time!$F$12,0,AC43+Financials!AD14-AD41)</f>
        <v>129.272288898635</v>
      </c>
      <c r="AE43" s="13" t="n">
        <f aca="false">IF(Time!AE20&lt;Time!$F$12,0,AD43+Financials!AE14-AE41)</f>
        <v>129.032491515026</v>
      </c>
      <c r="AF43" s="13" t="n">
        <f aca="false">IF(Time!AF20&lt;Time!$F$12,0,AE43+Financials!AF14-AF41)</f>
        <v>139.679021626684</v>
      </c>
      <c r="AG43" s="13" t="n">
        <f aca="false">IF(Time!AG20&lt;Time!$F$12,0,AF43+Financials!AG14-AG41)</f>
        <v>150.663286223046</v>
      </c>
      <c r="AH43" s="13" t="n">
        <f aca="false">IF(Time!AH20&lt;Time!$F$12,0,AG43+Financials!AH14-AH41)</f>
        <v>162.449233588764</v>
      </c>
      <c r="AI43" s="13" t="n">
        <f aca="false">IF(Time!AI20&lt;Time!$F$12,0,AH43+Financials!AI14-AI41)</f>
        <v>175.472447588906</v>
      </c>
      <c r="AJ43" s="13" t="n">
        <f aca="false">IF(Time!AJ20&lt;Time!$F$12,0,AI43+Financials!AJ14-AJ41)</f>
        <v>189.408408794697</v>
      </c>
      <c r="AK43" s="13" t="n">
        <f aca="false">IF(Time!AK20&lt;Time!$F$12,0,AJ43+Financials!AK14-AK41)</f>
        <v>204.549505301993</v>
      </c>
      <c r="AL43" s="13" t="n">
        <f aca="false">IF(Time!AL20&lt;Time!$F$12,0,AK43+Financials!AL14-AL41)</f>
        <v>220.805906456432</v>
      </c>
      <c r="AM43" s="13" t="n">
        <f aca="false">IF(Time!AM20&lt;Time!$F$12,0,AL43+Financials!AM14-AM41)</f>
        <v>236.332450872167</v>
      </c>
      <c r="AN43" s="13" t="n">
        <f aca="false">IF(Time!AN20&lt;Time!$F$12,0,AM43+Financials!AN14-AN41)</f>
        <v>255.017599080397</v>
      </c>
      <c r="AO43" s="13" t="n">
        <f aca="false">IF(Time!AO20&lt;Time!$F$12,0,AN43+Financials!AO14-AO41)</f>
        <v>274.918130000131</v>
      </c>
      <c r="AP43" s="13" t="n">
        <f aca="false">IF(Time!AP20&lt;Time!$F$12,0,AO43+Financials!AP14-AP41)</f>
        <v>297.120064353597</v>
      </c>
      <c r="AQ43" s="13" t="n">
        <f aca="false">IF(Time!AQ20&lt;Time!$F$12,0,AP43+Financials!AQ14-AQ41)</f>
        <v>320.926903691409</v>
      </c>
      <c r="AR43" s="13" t="n">
        <f aca="false">IF(Time!AR20&lt;Time!$F$12,0,AQ43+Financials!AR14-AR41)</f>
        <v>316.884869522732</v>
      </c>
      <c r="AS43" s="13" t="n">
        <f aca="false">IF(Time!AS20&lt;Time!$F$12,0,AR43+Financials!AS14-AS41)</f>
        <v>301.725739831351</v>
      </c>
      <c r="AT43" s="13" t="n">
        <f aca="false">IF(Time!AT20&lt;Time!$F$12,0,AS43+Financials!AT14-AT41)</f>
        <v>286.214492494453</v>
      </c>
      <c r="AU43" s="13" t="n">
        <f aca="false">IF(Time!AU20&lt;Time!$F$12,0,AT43+Financials!AU14-AU41)</f>
        <v>254.092179688493</v>
      </c>
      <c r="AV43" s="13" t="n">
        <f aca="false">IF(Time!AV20&lt;Time!$F$12,0,AU43+Financials!AV14-AV41)</f>
        <v>236.260824269892</v>
      </c>
      <c r="AW43" s="13" t="n">
        <f aca="false">IF(Time!AW20&lt;Time!$F$12,0,AV43+Financials!AW14-AW41)</f>
        <v>219.474949382985</v>
      </c>
      <c r="AX43" s="13" t="n">
        <f aca="false">IF(Time!AX20&lt;Time!$F$12,0,AW43+Financials!AX14-AX41)</f>
        <v>202.078537229853</v>
      </c>
      <c r="AY43" s="13" t="n">
        <f aca="false">IF(Time!AY20&lt;Time!$F$12,0,AX43+Financials!AY14-AY41)</f>
        <v>185.218384886423</v>
      </c>
      <c r="AZ43" s="13" t="n">
        <f aca="false">IF(Time!AZ20&lt;Time!$F$12,0,AY43+Financials!AZ14-AZ41)</f>
        <v>167.820922980491</v>
      </c>
      <c r="BA43" s="13" t="n">
        <f aca="false">IF(Time!BA20&lt;Time!$F$12,0,AZ43+Financials!BA14-BA41)</f>
        <v>150.874205814136</v>
      </c>
      <c r="BB43" s="13" t="n">
        <f aca="false">IF(Time!BB20&lt;Time!$F$12,0,BA43+Financials!BB14-BB41)</f>
        <v>133.817969605266</v>
      </c>
      <c r="BC43" s="13" t="n">
        <f aca="false">IF(Time!BC20&lt;Time!$F$12,0,BB43+Financials!BC14-BC41)</f>
        <v>114.282614430267</v>
      </c>
      <c r="BD43" s="13" t="n">
        <f aca="false">IF(Time!BD20&lt;Time!$F$12,0,BC43+Financials!BD14-BD41)</f>
        <v>98.7975620666416</v>
      </c>
      <c r="BE43" s="13" t="n">
        <f aca="false">IF(Time!BE20&lt;Time!$F$12,0,BD43+Financials!BE14-BE41)</f>
        <v>91.5588934146381</v>
      </c>
      <c r="BF43" s="13" t="n">
        <f aca="false">IF(Time!BF20&lt;Time!$F$12,0,BE43+Financials!BF14-BF41)</f>
        <v>83.7934859850331</v>
      </c>
      <c r="BG43" s="13" t="n">
        <f aca="false">IF(Time!BG20&lt;Time!$F$12,0,BF43+Financials!BG14-BG41)</f>
        <v>76.5989382751337</v>
      </c>
      <c r="BH43" s="13" t="n">
        <f aca="false">IF(Time!BH20&lt;Time!$F$12,0,BG43+Financials!BH14-BH41)</f>
        <v>68.8671413860271</v>
      </c>
      <c r="BI43" s="13" t="n">
        <f aca="false">IF(Time!BI20&lt;Time!$F$12,0,BH43+Financials!BI14-BI41)</f>
        <v>61.6178834299934</v>
      </c>
      <c r="BJ43" s="13" t="n">
        <f aca="false">IF(Time!BJ20&lt;Time!$F$12,0,BI43+Financials!BJ14-BJ41)</f>
        <v>54.0137629532076</v>
      </c>
      <c r="BK43" s="13" t="n">
        <f aca="false">IF(Time!BK20&lt;Time!$F$12,0,BJ43+Financials!BK14-BK41)</f>
        <v>26.6328549352312</v>
      </c>
      <c r="BL43" s="13" t="n">
        <f aca="false">IF(Time!BL20&lt;Time!$F$12,0,BK43+Financials!BL14-BL41)</f>
        <v>16.2950173635647</v>
      </c>
      <c r="BM43" s="13" t="n">
        <f aca="false">IF(Time!BM20&lt;Time!$F$12,0,BL43+Financials!BM14-BM41)</f>
        <v>6.44132477295185</v>
      </c>
      <c r="BN43" s="13" t="n">
        <f aca="false">IF(Time!BN20&lt;Time!$F$12,0,BM43+Financials!BN14-BN41)</f>
        <v>-45.1448022534959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1395.86560639177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3.80037142827399</v>
      </c>
      <c r="R44" s="13" t="n">
        <f aca="false">R34+R35+R41</f>
        <v>12.3545111413181</v>
      </c>
      <c r="S44" s="13" t="n">
        <f aca="false">S34+S35+S41</f>
        <v>11.6587043083266</v>
      </c>
      <c r="T44" s="13" t="n">
        <f aca="false">T34+T35+T41</f>
        <v>12.4926362286718</v>
      </c>
      <c r="U44" s="13" t="n">
        <f aca="false">U34+U35+U41</f>
        <v>11.8023633283128</v>
      </c>
      <c r="V44" s="13" t="n">
        <f aca="false">V34+V35+V41</f>
        <v>12.05553145027</v>
      </c>
      <c r="W44" s="13" t="n">
        <f aca="false">W34+W35+W41</f>
        <v>11.902096712719</v>
      </c>
      <c r="X44" s="13" t="n">
        <f aca="false">X34+X35+X41</f>
        <v>14.396496123629</v>
      </c>
      <c r="Y44" s="13" t="n">
        <f aca="false">Y34+Y35+Y41</f>
        <v>11.4309287147017</v>
      </c>
      <c r="Z44" s="13" t="n">
        <f aca="false">Z34+Z35+Z41</f>
        <v>12.4611770648394</v>
      </c>
      <c r="AA44" s="13" t="n">
        <f aca="false">AA34+AA35+AA41</f>
        <v>5.68751893640502</v>
      </c>
      <c r="AB44" s="13" t="n">
        <f aca="false">AB34+AB35+AB41</f>
        <v>6.69785636438926</v>
      </c>
      <c r="AC44" s="13" t="n">
        <f aca="false">AC34+AC35+AC41</f>
        <v>6.75936991336065</v>
      </c>
      <c r="AD44" s="13" t="n">
        <f aca="false">AD34+AD35+AD41</f>
        <v>6.95662117557544</v>
      </c>
      <c r="AE44" s="13" t="n">
        <f aca="false">AE34+AE35+AE41</f>
        <v>7.76839516540654</v>
      </c>
      <c r="AF44" s="13" t="n">
        <f aca="false">AF34+AF35+AF41</f>
        <v>9.05368578349636</v>
      </c>
      <c r="AG44" s="13" t="n">
        <f aca="false">AG34+AG35+AG41</f>
        <v>9.20841632333767</v>
      </c>
      <c r="AH44" s="13" t="n">
        <f aca="false">AH34+AH35+AH41</f>
        <v>10.4554122079019</v>
      </c>
      <c r="AI44" s="13" t="n">
        <f aca="false">AI34+AI35+AI41</f>
        <v>11.1776260117282</v>
      </c>
      <c r="AJ44" s="13" t="n">
        <f aca="false">AJ34+AJ35+AJ41</f>
        <v>12.8717830914757</v>
      </c>
      <c r="AK44" s="13" t="n">
        <f aca="false">AK34+AK35+AK41</f>
        <v>22.6806904601206</v>
      </c>
      <c r="AL44" s="13" t="n">
        <f aca="false">AL34+AL35+AL41</f>
        <v>29.3814368694861</v>
      </c>
      <c r="AM44" s="13" t="n">
        <f aca="false">AM34+AM35+AM41</f>
        <v>27.5262236074901</v>
      </c>
      <c r="AN44" s="13" t="n">
        <f aca="false">AN34+AN35+AN41</f>
        <v>29.3351722312096</v>
      </c>
      <c r="AO44" s="13" t="n">
        <f aca="false">AO34+AO35+AO41</f>
        <v>49.7499258061995</v>
      </c>
      <c r="AP44" s="13" t="n">
        <f aca="false">AP34+AP35+AP41</f>
        <v>47.7430264948692</v>
      </c>
      <c r="AQ44" s="13" t="n">
        <f aca="false">AQ34+AQ35+AQ41</f>
        <v>41.2585880179046</v>
      </c>
      <c r="AR44" s="13" t="n">
        <f aca="false">AR34+AR35+AR41</f>
        <v>41.3221446575737</v>
      </c>
      <c r="AS44" s="13" t="n">
        <f aca="false">AS34+AS35+AS41</f>
        <v>40.7702564497292</v>
      </c>
      <c r="AT44" s="13" t="n">
        <f aca="false">AT34+AT35+AT41</f>
        <v>41.2658563223646</v>
      </c>
      <c r="AU44" s="13" t="n">
        <f aca="false">AU34+AU35+AU41</f>
        <v>47.3968137577346</v>
      </c>
      <c r="AV44" s="13" t="n">
        <f aca="false">AV34+AV35+AV41</f>
        <v>43.7262659136173</v>
      </c>
      <c r="AW44" s="13" t="n">
        <f aca="false">AW34+AW35+AW41</f>
        <v>42.7821681609747</v>
      </c>
      <c r="AX44" s="13" t="n">
        <f aca="false">AX34+AX35+AX41</f>
        <v>43.5037895500025</v>
      </c>
      <c r="AY44" s="13" t="n">
        <f aca="false">AY34+AY35+AY41</f>
        <v>43.1057673812405</v>
      </c>
      <c r="AZ44" s="13" t="n">
        <f aca="false">AZ34+AZ35+AZ41</f>
        <v>43.7400249655937</v>
      </c>
      <c r="BA44" s="13" t="n">
        <f aca="false">BA34+BA35+BA41</f>
        <v>43.3437806188668</v>
      </c>
      <c r="BB44" s="13" t="n">
        <f aca="false">BB34+BB35+BB41</f>
        <v>43.5918156531755</v>
      </c>
      <c r="BC44" s="13" t="n">
        <f aca="false">BC34+BC35+BC41</f>
        <v>43.7972877379491</v>
      </c>
      <c r="BD44" s="13" t="n">
        <f aca="false">BD34+BD35+BD41</f>
        <v>42.3588670414845</v>
      </c>
      <c r="BE44" s="13" t="n">
        <f aca="false">BE34+BE35+BE41</f>
        <v>34.052746794898</v>
      </c>
      <c r="BF44" s="13" t="n">
        <f aca="false">BF34+BF35+BF41</f>
        <v>34.7005837606556</v>
      </c>
      <c r="BG44" s="13" t="n">
        <f aca="false">BG34+BG35+BG41</f>
        <v>34.2799098392156</v>
      </c>
      <c r="BH44" s="13" t="n">
        <f aca="false">BH34+BH35+BH41</f>
        <v>34.9225274590717</v>
      </c>
      <c r="BI44" s="13" t="n">
        <f aca="false">BI34+BI35+BI41</f>
        <v>34.4972628079324</v>
      </c>
      <c r="BJ44" s="13" t="n">
        <f aca="false">BJ34+BJ35+BJ41</f>
        <v>35.0241795039986</v>
      </c>
      <c r="BK44" s="13" t="n">
        <f aca="false">BK34+BK35+BK41</f>
        <v>42.4107923321734</v>
      </c>
      <c r="BL44" s="13" t="n">
        <f aca="false">BL34+BL35+BL41</f>
        <v>37.9553101910247</v>
      </c>
      <c r="BM44" s="13" t="n">
        <f aca="false">BM34+BM35+BM41</f>
        <v>37.5532314557561</v>
      </c>
      <c r="BN44" s="13" t="n">
        <f aca="false">BN34+BN35+BN41</f>
        <v>61.0976590753166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552.963763403851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1.6979473955217</v>
      </c>
      <c r="Q9" s="13" t="n">
        <f aca="false">Debt!Q112+Debt!Q110+Debt!Q104-Debt!Q103+Tax!Q13</f>
        <v>31.9999318656624</v>
      </c>
      <c r="R9" s="13" t="n">
        <f aca="false">Debt!R112+Debt!R110+Debt!R104-Debt!R103+Tax!R13</f>
        <v>31.4982414365501</v>
      </c>
      <c r="S9" s="13" t="n">
        <f aca="false">Debt!S112+Debt!S110+Debt!S104-Debt!S103+Tax!S13</f>
        <v>30.4500255457424</v>
      </c>
      <c r="T9" s="13" t="n">
        <f aca="false">Debt!T112+Debt!T110+Debt!T104-Debt!T103+Tax!T13</f>
        <v>30.1750980089543</v>
      </c>
      <c r="U9" s="13" t="n">
        <f aca="false">Debt!U112+Debt!U110+Debt!U104-Debt!U103+Tax!U13</f>
        <v>29.196891097852</v>
      </c>
      <c r="V9" s="13" t="n">
        <f aca="false">Debt!V112+Debt!V110+Debt!V104-Debt!V103+Tax!V13</f>
        <v>28.7234372277644</v>
      </c>
      <c r="W9" s="13" t="n">
        <f aca="false">Debt!W112+Debt!W110+Debt!W104-Debt!W103+Tax!W13</f>
        <v>27.6026635376152</v>
      </c>
      <c r="X9" s="13" t="n">
        <f aca="false">Debt!X112+Debt!X110+Debt!X104-Debt!X103+Tax!X13</f>
        <v>27.1550933978515</v>
      </c>
      <c r="Y9" s="13" t="n">
        <f aca="false">Debt!Y112+Debt!Y110+Debt!Y104-Debt!Y103+Tax!Y13</f>
        <v>26.3755208004161</v>
      </c>
      <c r="Z9" s="13" t="n">
        <f aca="false">Debt!Z112+Debt!Z110+Debt!Z104-Debt!Z103+Tax!Z13</f>
        <v>25.9216052420067</v>
      </c>
      <c r="AA9" s="13" t="n">
        <f aca="false">Debt!AA112+Debt!AA110+Debt!AA104-Debt!AA103+Tax!AA13</f>
        <v>24.716706158824</v>
      </c>
      <c r="AB9" s="13" t="n">
        <f aca="false">Debt!AB112+Debt!AB110+Debt!AB104-Debt!AB103+Tax!AB13</f>
        <v>24.1798474799743</v>
      </c>
      <c r="AC9" s="13" t="n">
        <f aca="false">Debt!AC112+Debt!AC110+Debt!AC104-Debt!AC103+Tax!AC13</f>
        <v>23.0097885201492</v>
      </c>
      <c r="AD9" s="13" t="n">
        <f aca="false">Debt!AD112+Debt!AD110+Debt!AD104-Debt!AD103+Tax!AD13</f>
        <v>22.2387203951405</v>
      </c>
      <c r="AE9" s="13" t="n">
        <f aca="false">Debt!AE112+Debt!AE110+Debt!AE104-Debt!AE103+Tax!AE13</f>
        <v>20.9606454249764</v>
      </c>
      <c r="AF9" s="13" t="n">
        <f aca="false">Debt!AF112+Debt!AF110+Debt!AF104-Debt!AF103+Tax!AF13</f>
        <v>20.1266963882305</v>
      </c>
      <c r="AG9" s="13" t="n">
        <f aca="false">Debt!AG112+Debt!AG110+Debt!AG104-Debt!AG103+Tax!AG13</f>
        <v>18.845198183026</v>
      </c>
      <c r="AH9" s="13" t="n">
        <f aca="false">Debt!AH112+Debt!AH110+Debt!AH104-Debt!AH103+Tax!AH13</f>
        <v>17.8310023580027</v>
      </c>
      <c r="AI9" s="13" t="n">
        <f aca="false">Debt!AI112+Debt!AI110+Debt!AI104-Debt!AI103+Tax!AI13</f>
        <v>16.2287960216893</v>
      </c>
      <c r="AJ9" s="13" t="n">
        <f aca="false">Debt!AJ112+Debt!AJ110+Debt!AJ104-Debt!AJ103+Tax!AJ13</f>
        <v>15.0394021494684</v>
      </c>
      <c r="AK9" s="13" t="n">
        <f aca="false">Debt!AK112+Debt!AK110+Debt!AK104-Debt!AK103+Tax!AK13</f>
        <v>13.3849774563126</v>
      </c>
      <c r="AL9" s="13" t="n">
        <f aca="false">Debt!AL112+Debt!AL110+Debt!AL104-Debt!AL103+Tax!AL13</f>
        <v>11.9549632140011</v>
      </c>
      <c r="AM9" s="13" t="n">
        <f aca="false">Debt!AM112+Debt!AM110+Debt!AM104-Debt!AM103+Tax!AM13</f>
        <v>10.2647009766592</v>
      </c>
      <c r="AN9" s="13" t="n">
        <f aca="false">Debt!AN112+Debt!AN110+Debt!AN104-Debt!AN103+Tax!AN13</f>
        <v>8.88620476270693</v>
      </c>
      <c r="AO9" s="13" t="n">
        <f aca="false">Debt!AO112+Debt!AO110+Debt!AO104-Debt!AO103+Tax!AO13</f>
        <v>7.08320101924588</v>
      </c>
      <c r="AP9" s="13" t="n">
        <f aca="false">Debt!AP112+Debt!AP110+Debt!AP104-Debt!AP103+Tax!AP13</f>
        <v>4.48701192163752</v>
      </c>
      <c r="AQ9" s="13" t="n">
        <f aca="false">Debt!AQ112+Debt!AQ110+Debt!AQ104-Debt!AQ103+Tax!AQ13</f>
        <v>2.37608104846675</v>
      </c>
      <c r="AR9" s="13" t="n">
        <f aca="false">Debt!AR112+Debt!AR110+Debt!AR104-Debt!AR103+Tax!AR13</f>
        <v>0.553364369402284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-49.9611350223151</v>
      </c>
      <c r="AA12" s="13" t="n">
        <f aca="false">IF(Time!AA20&gt;=Time!$F$12,Inputs!$F$184/100*(AA11-AA10-Tax!AA21),0)</f>
        <v>-47.0508998410532</v>
      </c>
      <c r="AB12" s="13" t="n">
        <f aca="false">IF(Time!AB20&gt;=Time!$F$12,Inputs!$F$184/100*(AB11-AB10-Tax!AB21),0)</f>
        <v>-43.9472454379883</v>
      </c>
      <c r="AC12" s="13" t="n">
        <f aca="false">IF(Time!AC20&gt;=Time!$F$12,Inputs!$F$184/100*(AC11-AC10-Tax!AC21),0)</f>
        <v>-40.4725158577871</v>
      </c>
      <c r="AD12" s="13" t="n">
        <f aca="false">IF(Time!AD20&gt;=Time!$F$12,Inputs!$F$184/100*(AD11-AD10-Tax!AD21),0)</f>
        <v>-36.7152106817235</v>
      </c>
      <c r="AE12" s="13" t="n">
        <f aca="false">IF(Time!AE20&gt;=Time!$F$12,Inputs!$F$184/100*(AE11-AE10-Tax!AE21),0)</f>
        <v>-35.7076461937899</v>
      </c>
      <c r="AF12" s="13" t="n">
        <f aca="false">IF(Time!AF20&gt;=Time!$F$12,Inputs!$F$184/100*(AF11-AF10-Tax!AF21),0)</f>
        <v>-31.9472029198707</v>
      </c>
      <c r="AG12" s="13" t="n">
        <f aca="false">IF(Time!AG20&gt;=Time!$F$12,Inputs!$F$184/100*(AG11-AG10-Tax!AG21),0)</f>
        <v>-27.0822402587544</v>
      </c>
      <c r="AH12" s="13" t="n">
        <f aca="false">IF(Time!AH20&gt;=Time!$F$12,Inputs!$F$184/100*(AH11-AH10-Tax!AH21),0)</f>
        <v>-21.8729643527252</v>
      </c>
      <c r="AI12" s="13" t="n">
        <f aca="false">IF(Time!AI20&gt;=Time!$F$12,Inputs!$F$184/100*(AI11-AI10-Tax!AI21),0)</f>
        <v>-16.1328175668241</v>
      </c>
      <c r="AJ12" s="13" t="n">
        <f aca="false">IF(Time!AJ20&gt;=Time!$F$12,Inputs!$F$184/100*(AJ11-AJ10-Tax!AJ21),0)</f>
        <v>-10.0006795490606</v>
      </c>
      <c r="AK12" s="13" t="n">
        <f aca="false">IF(Time!AK20&gt;=Time!$F$12,Inputs!$F$184/100*(AK11-AK10-Tax!AK21),0)</f>
        <v>-3.35110070252909</v>
      </c>
      <c r="AL12" s="13" t="n">
        <f aca="false">IF(Time!AL20&gt;=Time!$F$12,Inputs!$F$184/100*(AL11-AL10-Tax!AL21),0)</f>
        <v>3.77714808834738</v>
      </c>
      <c r="AM12" s="13" t="n">
        <f aca="false">IF(Time!AM20&gt;=Time!$F$12,Inputs!$F$184/100*(AM11-AM10-Tax!AM21),0)</f>
        <v>10.5928129078677</v>
      </c>
      <c r="AN12" s="13" t="n">
        <f aca="false">IF(Time!AN20&gt;=Time!$F$12,Inputs!$F$184/100*(AN11-AN10-Tax!AN21),0)</f>
        <v>18.7630956250582</v>
      </c>
      <c r="AO12" s="13" t="n">
        <f aca="false">IF(Time!AO20&gt;=Time!$F$12,Inputs!$F$184/100*(AO11-AO10-Tax!AO21),0)</f>
        <v>27.4556847354954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-3.78109599202475</v>
      </c>
      <c r="AA13" s="13" t="n">
        <f aca="false">AA12-Z12</f>
        <v>2.91023518126183</v>
      </c>
      <c r="AB13" s="13" t="n">
        <f aca="false">AB12-AA12</f>
        <v>3.10365440306495</v>
      </c>
      <c r="AC13" s="13" t="n">
        <f aca="false">AC12-AB12</f>
        <v>3.47472958020115</v>
      </c>
      <c r="AD13" s="13" t="n">
        <f aca="false">AD12-AC12</f>
        <v>3.75730517606364</v>
      </c>
      <c r="AE13" s="13" t="n">
        <f aca="false">AE12-AD12</f>
        <v>1.00756448793362</v>
      </c>
      <c r="AF13" s="13" t="n">
        <f aca="false">AF12-AE12</f>
        <v>3.76044327391917</v>
      </c>
      <c r="AG13" s="13" t="n">
        <f aca="false">AG12-AF12</f>
        <v>4.86496266111631</v>
      </c>
      <c r="AH13" s="13" t="n">
        <f aca="false">AH12-AG12</f>
        <v>5.20927590602916</v>
      </c>
      <c r="AI13" s="13" t="n">
        <f aca="false">AI12-AH12</f>
        <v>5.74014678590108</v>
      </c>
      <c r="AJ13" s="13" t="n">
        <f aca="false">AJ12-AI12</f>
        <v>6.13213801776357</v>
      </c>
      <c r="AK13" s="13" t="n">
        <f aca="false">AK12-AJ12</f>
        <v>6.64957884653149</v>
      </c>
      <c r="AL13" s="13" t="n">
        <f aca="false">AL12-AK12</f>
        <v>7.12824879087647</v>
      </c>
      <c r="AM13" s="13" t="n">
        <f aca="false">AM12-AL12</f>
        <v>6.81566481952035</v>
      </c>
      <c r="AN13" s="13" t="n">
        <f aca="false">AN12-AM12</f>
        <v>8.17028271719048</v>
      </c>
      <c r="AO13" s="13" t="n">
        <f aca="false">AO12-AN12</f>
        <v>8.69258911043721</v>
      </c>
      <c r="AP13" s="13" t="n">
        <f aca="false">AP12-AO12</f>
        <v>6.46565302493594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889.946069611122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4.6045998237667</v>
      </c>
      <c r="Q14" s="13" t="n">
        <f aca="false">Operations!Q84-Q8-Q9-Tax!Q27-Q13</f>
        <v>6.02521287548376</v>
      </c>
      <c r="R14" s="13" t="n">
        <f aca="false">Operations!R84-R8-R9-Tax!R27-R13</f>
        <v>6.90886235829553</v>
      </c>
      <c r="S14" s="13" t="n">
        <f aca="false">Operations!S84-S8-S9-Tax!S27-S13</f>
        <v>8.13222792148656</v>
      </c>
      <c r="T14" s="13" t="n">
        <f aca="false">Operations!T84-T8-T9-Tax!T27-T13</f>
        <v>8.50640450546984</v>
      </c>
      <c r="U14" s="13" t="n">
        <f aca="false">Operations!U84-U8-U9-Tax!U27-U13</f>
        <v>9.54809384744399</v>
      </c>
      <c r="V14" s="13" t="n">
        <f aca="false">Operations!V84-V8-V9-Tax!V27-V13</f>
        <v>10.1600039171769</v>
      </c>
      <c r="W14" s="13" t="n">
        <f aca="false">Operations!W84-W8-W9-Tax!W27-W13</f>
        <v>8.98243072644246</v>
      </c>
      <c r="X14" s="13" t="n">
        <f aca="false">Operations!X84-X8-X9-Tax!X27-X13</f>
        <v>12.0672432555302</v>
      </c>
      <c r="Y14" s="13" t="n">
        <f aca="false">Operations!Y84-Y8-Y9-Tax!Y27-Y13</f>
        <v>12.8032351921851</v>
      </c>
      <c r="Z14" s="13" t="n">
        <f aca="false">Operations!Z84-Z8-Z9-Tax!Z27-Z13</f>
        <v>12.0636763475025</v>
      </c>
      <c r="AA14" s="13" t="n">
        <f aca="false">Operations!AA84-AA8-AA9-Tax!AA27-AA13</f>
        <v>6.43399253014549</v>
      </c>
      <c r="AB14" s="13" t="n">
        <f aca="false">Operations!AB84-AB8-AB9-Tax!AB27-AB13</f>
        <v>6.8835600943456</v>
      </c>
      <c r="AC14" s="13" t="n">
        <f aca="false">Operations!AC84-AC8-AC9-Tax!AC27-AC13</f>
        <v>7.7473561509094</v>
      </c>
      <c r="AD14" s="13" t="n">
        <f aca="false">Operations!AD84-AD8-AD9-Tax!AD27-AD13</f>
        <v>8.40538935245044</v>
      </c>
      <c r="AE14" s="13" t="n">
        <f aca="false">Operations!AE84-AE8-AE9-Tax!AE27-AE13</f>
        <v>-0.239797383608683</v>
      </c>
      <c r="AF14" s="13" t="n">
        <f aca="false">Operations!AF84-AF8-AF9-Tax!AF27-AF13</f>
        <v>10.646530111658</v>
      </c>
      <c r="AG14" s="13" t="n">
        <f aca="false">Operations!AG84-AG8-AG9-Tax!AG27-AG13</f>
        <v>10.9842645963623</v>
      </c>
      <c r="AH14" s="13" t="n">
        <f aca="false">Operations!AH84-AH8-AH9-Tax!AH27-AH13</f>
        <v>11.7859473657182</v>
      </c>
      <c r="AI14" s="13" t="n">
        <f aca="false">Operations!AI84-AI8-AI9-Tax!AI27-AI13</f>
        <v>13.0232140001412</v>
      </c>
      <c r="AJ14" s="13" t="n">
        <f aca="false">Operations!AJ84-AJ8-AJ9-Tax!AJ27-AJ13</f>
        <v>13.9359612057912</v>
      </c>
      <c r="AK14" s="13" t="n">
        <f aca="false">Operations!AK84-AK8-AK9-Tax!AK27-AK13</f>
        <v>15.1410965072958</v>
      </c>
      <c r="AL14" s="13" t="n">
        <f aca="false">Operations!AL84-AL8-AL9-Tax!AL27-AL13</f>
        <v>16.2564011544392</v>
      </c>
      <c r="AM14" s="13" t="n">
        <f aca="false">Operations!AM84-AM8-AM9-Tax!AM27-AM13</f>
        <v>15.5265444157353</v>
      </c>
      <c r="AN14" s="13" t="n">
        <f aca="false">Operations!AN84-AN8-AN9-Tax!AN27-AN13</f>
        <v>18.6851482082299</v>
      </c>
      <c r="AO14" s="13" t="n">
        <f aca="false">Operations!AO84-AO8-AO9-Tax!AO27-AO13</f>
        <v>19.9005309197344</v>
      </c>
      <c r="AP14" s="13" t="n">
        <f aca="false">Operations!AP84-AP8-AP9-Tax!AP27-AP13</f>
        <v>22.2019343534658</v>
      </c>
      <c r="AQ14" s="13" t="n">
        <f aca="false">Operations!AQ84-AQ8-AQ9-Tax!AQ27-AQ13</f>
        <v>23.8068393378117</v>
      </c>
      <c r="AR14" s="13" t="n">
        <f aca="false">Operations!AR84-AR8-AR9-Tax!AR27-AR13</f>
        <v>25.1719409231651</v>
      </c>
      <c r="AS14" s="13" t="n">
        <f aca="false">Operations!AS84-AS8-AS9-Tax!AS27-AS13</f>
        <v>25.6111267583489</v>
      </c>
      <c r="AT14" s="13" t="n">
        <f aca="false">Operations!AT84-AT8-AT9-Tax!AT27-AT13</f>
        <v>25.7546089854661</v>
      </c>
      <c r="AU14" s="13" t="n">
        <f aca="false">Operations!AU84-AU8-AU9-Tax!AU27-AU13</f>
        <v>15.2745009517745</v>
      </c>
      <c r="AV14" s="13" t="n">
        <f aca="false">Operations!AV84-AV8-AV9-Tax!AV27-AV13</f>
        <v>25.8949104950168</v>
      </c>
      <c r="AW14" s="13" t="n">
        <f aca="false">Operations!AW84-AW8-AW9-Tax!AW27-AW13</f>
        <v>25.9962932740669</v>
      </c>
      <c r="AX14" s="13" t="n">
        <f aca="false">Operations!AX84-AX8-AX9-Tax!AX27-AX13</f>
        <v>26.1073773968708</v>
      </c>
      <c r="AY14" s="13" t="n">
        <f aca="false">Operations!AY84-AY8-AY9-Tax!AY27-AY13</f>
        <v>26.2456150378108</v>
      </c>
      <c r="AZ14" s="13" t="n">
        <f aca="false">Operations!AZ84-AZ8-AZ9-Tax!AZ27-AZ13</f>
        <v>26.3425630596615</v>
      </c>
      <c r="BA14" s="13" t="n">
        <f aca="false">Operations!BA84-BA8-BA9-Tax!BA27-BA13</f>
        <v>26.3970634525114</v>
      </c>
      <c r="BB14" s="13" t="n">
        <f aca="false">Operations!BB84-BB8-BB9-Tax!BB27-BB13</f>
        <v>26.5355794443061</v>
      </c>
      <c r="BC14" s="13" t="n">
        <f aca="false">Operations!BC84-BC8-BC9-Tax!BC27-BC13</f>
        <v>24.2619325629495</v>
      </c>
      <c r="BD14" s="13" t="n">
        <f aca="false">Operations!BD84-BD8-BD9-Tax!BD27-BD13</f>
        <v>26.8738146778595</v>
      </c>
      <c r="BE14" s="13" t="n">
        <f aca="false">Operations!BE84-BE8-BE9-Tax!BE27-BE13</f>
        <v>26.8140781428945</v>
      </c>
      <c r="BF14" s="13" t="n">
        <f aca="false">Operations!BF84-BF8-BF9-Tax!BF27-BF13</f>
        <v>26.9351763310506</v>
      </c>
      <c r="BG14" s="13" t="n">
        <f aca="false">Operations!BG84-BG8-BG9-Tax!BG27-BG13</f>
        <v>27.0853621293161</v>
      </c>
      <c r="BH14" s="13" t="n">
        <f aca="false">Operations!BH84-BH8-BH9-Tax!BH27-BH13</f>
        <v>27.1907305699651</v>
      </c>
      <c r="BI14" s="13" t="n">
        <f aca="false">Operations!BI84-BI8-BI9-Tax!BI27-BI13</f>
        <v>27.2480048518987</v>
      </c>
      <c r="BJ14" s="13" t="n">
        <f aca="false">Operations!BJ84-BJ8-BJ9-Tax!BJ27-BJ13</f>
        <v>27.4200590272129</v>
      </c>
      <c r="BK14" s="13" t="n">
        <f aca="false">Operations!BK84-BK8-BK9-Tax!BK27-BK13</f>
        <v>15.0298843141969</v>
      </c>
      <c r="BL14" s="13" t="n">
        <f aca="false">Operations!BL84-BL8-BL9-Tax!BL27-BL13</f>
        <v>27.6174726193582</v>
      </c>
      <c r="BM14" s="13" t="n">
        <f aca="false">Operations!BM84-BM8-BM9-Tax!BM27-BM13</f>
        <v>27.6995388651432</v>
      </c>
      <c r="BN14" s="13" t="n">
        <f aca="false">Operations!BN84-BN8-BN9-Tax!BN27-BN13</f>
        <v>9.51153204886892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49.2334988078754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38.1477762616788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38.3794407679508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39.2400831955118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39.4108430539859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40.18621052141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40.823198662149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38.6972519091503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36.7718089512955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39.2049545109435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40.744746808335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43.2128098138218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44.3924040537445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46.068411606055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48.2493733815308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35.8732543986906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34.3015552238063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34.0001108767848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32.8938180463765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31.9891306615347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30.1515371299119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28.023390377671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27.1590930247631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24.594162490729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23.3953259137427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49.9611350223151</v>
      </c>
      <c r="AA20" s="13" t="n">
        <f aca="false">MAX(0,-AA12)</f>
        <v>47.0508998410532</v>
      </c>
      <c r="AB20" s="13" t="n">
        <f aca="false">MAX(0,-AB12)</f>
        <v>43.9472454379883</v>
      </c>
      <c r="AC20" s="13" t="n">
        <f aca="false">MAX(0,-AC12)</f>
        <v>40.4725158577871</v>
      </c>
      <c r="AD20" s="13" t="n">
        <f aca="false">MAX(0,-AD12)</f>
        <v>36.7152106817235</v>
      </c>
      <c r="AE20" s="13" t="n">
        <f aca="false">MAX(0,-AE12)</f>
        <v>35.7076461937899</v>
      </c>
      <c r="AF20" s="13" t="n">
        <f aca="false">MAX(0,-AF12)</f>
        <v>31.9472029198707</v>
      </c>
      <c r="AG20" s="13" t="n">
        <f aca="false">MAX(0,-AG12)</f>
        <v>27.0822402587544</v>
      </c>
      <c r="AH20" s="13" t="n">
        <f aca="false">MAX(0,-AH12)</f>
        <v>21.8729643527252</v>
      </c>
      <c r="AI20" s="13" t="n">
        <f aca="false">MAX(0,-AI12)</f>
        <v>16.1328175668241</v>
      </c>
      <c r="AJ20" s="13" t="n">
        <f aca="false">MAX(0,-AJ12)</f>
        <v>10.0006795490606</v>
      </c>
      <c r="AK20" s="13" t="n">
        <f aca="false">MAX(0,-AK12)</f>
        <v>3.35110070252909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930.48222558072</v>
      </c>
      <c r="Q21" s="13" t="n">
        <f aca="false">Q16+Q17+Q18+Q19+Q20</f>
        <v>909.208270688037</v>
      </c>
      <c r="R21" s="13" t="n">
        <f aca="false">R16+R17+R18+R19+R20</f>
        <v>897.160150320118</v>
      </c>
      <c r="S21" s="13" t="n">
        <f aca="false">S16+S17+S18+S19+S20</f>
        <v>887.200267067119</v>
      </c>
      <c r="T21" s="13" t="n">
        <f aca="false">T16+T17+T18+T19+T20</f>
        <v>875.113469792462</v>
      </c>
      <c r="U21" s="13" t="n">
        <f aca="false">U16+U17+U18+U19+U20</f>
        <v>865.234203054659</v>
      </c>
      <c r="V21" s="13" t="n">
        <f aca="false">V16+V17+V18+V19+V20</f>
        <v>853.648997037314</v>
      </c>
      <c r="W21" s="13" t="n">
        <f aca="false">W16+W17+W18+W19+W20</f>
        <v>840.254475130068</v>
      </c>
      <c r="X21" s="13" t="n">
        <f aca="false">X16+X17+X18+X19+X20</f>
        <v>826.160448954058</v>
      </c>
      <c r="Y21" s="13" t="n">
        <f aca="false">Y16+Y17+Y18+Y19+Y20</f>
        <v>818.661250675857</v>
      </c>
      <c r="Z21" s="13" t="n">
        <f aca="false">Z16+Z17+Z18+Z19+Z20</f>
        <v>806.588051826645</v>
      </c>
      <c r="AA21" s="13" t="n">
        <f aca="false">AA16+AA17+AA18+AA19+AA20</f>
        <v>790.349844837191</v>
      </c>
      <c r="AB21" s="13" t="n">
        <f aca="false">AB16+AB17+AB18+AB19+AB20</f>
        <v>771.10281608729</v>
      </c>
      <c r="AC21" s="13" t="n">
        <f aca="false">AC16+AC17+AC18+AC19+AC20</f>
        <v>753.691304641375</v>
      </c>
      <c r="AD21" s="13" t="n">
        <f aca="false">AD16+AD17+AD18+AD19+AD20</f>
        <v>734.744214209138</v>
      </c>
      <c r="AE21" s="13" t="n">
        <f aca="false">AE16+AE17+AE18+AE19+AE20</f>
        <v>704.424729502049</v>
      </c>
      <c r="AF21" s="13" t="n">
        <f aca="false">AF16+AF17+AF18+AF19+AF20</f>
        <v>682.107791545681</v>
      </c>
      <c r="AG21" s="13" t="n">
        <f aca="false">AG16+AG17+AG18+AG19+AG20</f>
        <v>662.600324390656</v>
      </c>
      <c r="AH21" s="13" t="n">
        <f aca="false">AH16+AH17+AH18+AH19+AH20</f>
        <v>638.855167876923</v>
      </c>
      <c r="AI21" s="13" t="n">
        <f aca="false">AI16+AI17+AI18+AI19+AI20</f>
        <v>616.481644207285</v>
      </c>
      <c r="AJ21" s="13" t="n">
        <f aca="false">AJ16+AJ17+AJ18+AJ19+AJ20</f>
        <v>591.159127816462</v>
      </c>
      <c r="AK21" s="13" t="n">
        <f aca="false">AK16+AK17+AK18+AK19+AK20</f>
        <v>566.85466176186</v>
      </c>
      <c r="AL21" s="13" t="n">
        <f aca="false">AL16+AL17+AL18+AL19+AL20</f>
        <v>545.319286797725</v>
      </c>
      <c r="AM21" s="13" t="n">
        <f aca="false">AM16+AM17+AM18+AM19+AM20</f>
        <v>526.503130301686</v>
      </c>
      <c r="AN21" s="13" t="n">
        <f aca="false">AN16+AN17+AN18+AN19+AN20</f>
        <v>508.055266257997</v>
      </c>
      <c r="AO21" s="13" t="n">
        <f aca="false">AO16+AO17+AO18+AO19+AO20</f>
        <v>472.368027778489</v>
      </c>
      <c r="AP21" s="13" t="n">
        <f aca="false">AP16+AP17+AP18+AP19+AP20</f>
        <v>457.300848450476</v>
      </c>
      <c r="AQ21" s="13" t="n">
        <f aca="false">AQ16+AQ17+AQ18+AQ19+AQ20</f>
        <v>444.045708311417</v>
      </c>
      <c r="AR21" s="13" t="n">
        <f aca="false">AR16+AR17+AR18+AR19+AR20</f>
        <v>429.061467210032</v>
      </c>
      <c r="AS21" s="13" t="n">
        <f aca="false">AS16+AS17+AS18+AS19+AS20</f>
        <v>416.028433031918</v>
      </c>
      <c r="AT21" s="13" t="n">
        <f aca="false">AT16+AT17+AT18+AT19+AT20</f>
        <v>400.980099498336</v>
      </c>
      <c r="AU21" s="13" t="n">
        <f aca="false">AU16+AU17+AU18+AU19+AU20</f>
        <v>369.612304594514</v>
      </c>
      <c r="AV21" s="13" t="n">
        <f aca="false">AV16+AV17+AV18+AV19+AV20</f>
        <v>352.607216070389</v>
      </c>
      <c r="AW21" s="13" t="n">
        <f aca="false">AW16+AW17+AW18+AW19+AW20</f>
        <v>339.243740032549</v>
      </c>
      <c r="AX21" s="13" t="n">
        <f aca="false">AX16+AX17+AX18+AX19+AX20</f>
        <v>322.337271928073</v>
      </c>
      <c r="AY21" s="13" t="n">
        <f aca="false">AY16+AY17+AY18+AY19+AY20</f>
        <v>307.362946092569</v>
      </c>
      <c r="AZ21" s="13" t="n">
        <f aca="false">AZ16+AZ17+AZ18+AZ19+AZ20</f>
        <v>290.546037858474</v>
      </c>
      <c r="BA21" s="13" t="n">
        <f aca="false">BA16+BA17+BA18+BA19+BA20</f>
        <v>275.815539520645</v>
      </c>
      <c r="BB21" s="13" t="n">
        <f aca="false">BB16+BB17+BB18+BB19+BB20</f>
        <v>259.281656287351</v>
      </c>
      <c r="BC21" s="13" t="n">
        <f aca="false">BC16+BC17+BC18+BC19+BC20</f>
        <v>241.012544698449</v>
      </c>
      <c r="BD21" s="13" t="n">
        <f aca="false">BD16+BD17+BD18+BD19+BD20</f>
        <v>225.26544326424</v>
      </c>
      <c r="BE21" s="13" t="n">
        <f aca="false">BE16+BE17+BE18+BE19+BE20</f>
        <v>215.322487713803</v>
      </c>
      <c r="BF21" s="13" t="n">
        <f aca="false">BF16+BF17+BF18+BF19+BF20</f>
        <v>202.211520645422</v>
      </c>
      <c r="BG21" s="13" t="n">
        <f aca="false">BG16+BG17+BG18+BG19+BG20</f>
        <v>191.179831659476</v>
      </c>
      <c r="BH21" s="13" t="n">
        <f aca="false">BH16+BH17+BH18+BH19+BH20</f>
        <v>178.20046021748</v>
      </c>
      <c r="BI21" s="13" t="n">
        <f aca="false">BI16+BI17+BI18+BI19+BI20</f>
        <v>167.471275866986</v>
      </c>
      <c r="BJ21" s="13" t="n">
        <f aca="false">BJ16+BJ17+BJ18+BJ19+BJ20</f>
        <v>154.444613371659</v>
      </c>
      <c r="BK21" s="13" t="n">
        <f aca="false">BK16+BK17+BK18+BK19+BK20</f>
        <v>121.980252132474</v>
      </c>
      <c r="BL21" s="13" t="n">
        <f aca="false">BL16+BL17+BL18+BL19+BL20</f>
        <v>106.644483944341</v>
      </c>
      <c r="BM21" s="13" t="n">
        <f aca="false">BM16+BM17+BM18+BM19+BM20</f>
        <v>94.8265321831906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644.926706593498</v>
      </c>
      <c r="Q22" s="13" t="n">
        <f aca="false">IF(Time!Q20&lt;Time!$F$12,SUMIFS(Funding!$J$73:$BJ$73,Construction!$J$12:$BJ$12,"&lt;="&amp;Time!Q20),Debt!Q116)</f>
        <v>610.369348401518</v>
      </c>
      <c r="R22" s="13" t="n">
        <f aca="false">IF(Time!R20&lt;Time!$F$12,SUMIFS(Funding!$J$73:$BJ$73,Construction!$J$12:$BJ$12,"&lt;="&amp;Time!R20),Debt!R116)</f>
        <v>593.689395515344</v>
      </c>
      <c r="S22" s="13" t="n">
        <f aca="false">IF(Time!S20&lt;Time!$F$12,SUMIFS(Funding!$J$73:$BJ$73,Construction!$J$12:$BJ$12,"&lt;="&amp;Time!S20),Debt!S116)</f>
        <v>576.415119795689</v>
      </c>
      <c r="T22" s="13" t="n">
        <f aca="false">IF(Time!T20&lt;Time!$F$12,SUMIFS(Funding!$J$73:$BJ$73,Construction!$J$12:$BJ$12,"&lt;="&amp;Time!T20),Debt!T116)</f>
        <v>558.331962796562</v>
      </c>
      <c r="U22" s="13" t="n">
        <f aca="false">IF(Time!U20&lt;Time!$F$12,SUMIFS(Funding!$J$73:$BJ$73,Construction!$J$12:$BJ$12,"&lt;="&amp;Time!U20),Debt!U116)</f>
        <v>539.741482344811</v>
      </c>
      <c r="V22" s="13" t="n">
        <f aca="false">IF(Time!V20&lt;Time!$F$12,SUMIFS(Funding!$J$73:$BJ$73,Construction!$J$12:$BJ$12,"&lt;="&amp;Time!V20),Debt!V116)</f>
        <v>520.29959205678</v>
      </c>
      <c r="W22" s="13" t="n">
        <f aca="false">IF(Time!W20&lt;Time!$F$12,SUMIFS(Funding!$J$73:$BJ$73,Construction!$J$12:$BJ$12,"&lt;="&amp;Time!W20),Debt!W116)</f>
        <v>499.782155360869</v>
      </c>
      <c r="X22" s="13" t="n">
        <f aca="false">IF(Time!X20&lt;Time!$F$12,SUMIFS(Funding!$J$73:$BJ$73,Construction!$J$12:$BJ$12,"&lt;="&amp;Time!X20),Debt!X116)</f>
        <v>478.324203713004</v>
      </c>
      <c r="Y22" s="13" t="n">
        <f aca="false">IF(Time!Y20&lt;Time!$F$12,SUMIFS(Funding!$J$73:$BJ$73,Construction!$J$12:$BJ$12,"&lt;="&amp;Time!Y20),Debt!Y116)</f>
        <v>458.384877042165</v>
      </c>
      <c r="Z22" s="13" t="n">
        <f aca="false">IF(Time!Z20&lt;Time!$F$12,SUMIFS(Funding!$J$73:$BJ$73,Construction!$J$12:$BJ$12,"&lt;="&amp;Time!Z20),Debt!Z116)</f>
        <v>437.507899985345</v>
      </c>
      <c r="AA22" s="13" t="n">
        <f aca="false">IF(Time!AA20&lt;Time!$F$12,SUMIFS(Funding!$J$73:$BJ$73,Construction!$J$12:$BJ$12,"&lt;="&amp;Time!AA20),Debt!AA116)</f>
        <v>410.506861377125</v>
      </c>
      <c r="AB22" s="13" t="n">
        <f aca="false">IF(Time!AB20&lt;Time!$F$12,SUMIFS(Funding!$J$73:$BJ$73,Construction!$J$12:$BJ$12,"&lt;="&amp;Time!AB20),Debt!AB116)</f>
        <v>381.763770606918</v>
      </c>
      <c r="AC22" s="13" t="n">
        <f aca="false">IF(Time!AC20&lt;Time!$F$12,SUMIFS(Funding!$J$73:$BJ$73,Construction!$J$12:$BJ$12,"&lt;="&amp;Time!AC20),Debt!AC116)</f>
        <v>352.723269176064</v>
      </c>
      <c r="AD22" s="13" t="n">
        <f aca="false">IF(Time!AD20&lt;Time!$F$12,SUMIFS(Funding!$J$73:$BJ$73,Construction!$J$12:$BJ$12,"&lt;="&amp;Time!AD20),Debt!AD116)</f>
        <v>322.863758211344</v>
      </c>
      <c r="AE22" s="13" t="n">
        <f aca="false">IF(Time!AE20&lt;Time!$F$12,SUMIFS(Funding!$J$73:$BJ$73,Construction!$J$12:$BJ$12,"&lt;="&amp;Time!AE20),Debt!AE116)</f>
        <v>290.859857277369</v>
      </c>
      <c r="AF22" s="13" t="n">
        <f aca="false">IF(Time!AF20&lt;Time!$F$12,SUMIFS(Funding!$J$73:$BJ$73,Construction!$J$12:$BJ$12,"&lt;="&amp;Time!AF20),Debt!AF116)</f>
        <v>256.930720919039</v>
      </c>
      <c r="AG22" s="13" t="n">
        <f aca="false">IF(Time!AG20&lt;Time!$F$12,SUMIFS(Funding!$J$73:$BJ$73,Construction!$J$12:$BJ$12,"&lt;="&amp;Time!AG20),Debt!AG116)</f>
        <v>223.519712881192</v>
      </c>
      <c r="AH22" s="13" t="n">
        <f aca="false">IF(Time!AH20&lt;Time!$F$12,SUMIFS(Funding!$J$73:$BJ$73,Construction!$J$12:$BJ$12,"&lt;="&amp;Time!AH20),Debt!AH116)</f>
        <v>188.617906697672</v>
      </c>
      <c r="AI22" s="13" t="n">
        <f aca="false">IF(Time!AI20&lt;Time!$F$12,SUMIFS(Funding!$J$73:$BJ$73,Construction!$J$12:$BJ$12,"&lt;="&amp;Time!AI20),Debt!AI116)</f>
        <v>153.553596857044</v>
      </c>
      <c r="AJ22" s="13" t="n">
        <f aca="false">IF(Time!AJ20&lt;Time!$F$12,SUMIFS(Funding!$J$73:$BJ$73,Construction!$J$12:$BJ$12,"&lt;="&amp;Time!AJ20),Debt!AJ116)</f>
        <v>117.32420479501</v>
      </c>
      <c r="AK22" s="13" t="n">
        <f aca="false">IF(Time!AK20&lt;Time!$F$12,SUMIFS(Funding!$J$73:$BJ$73,Construction!$J$12:$BJ$12,"&lt;="&amp;Time!AK20),Debt!AK116)</f>
        <v>89.5533551576788</v>
      </c>
      <c r="AL22" s="13" t="n">
        <f aca="false">IF(Time!AL20&lt;Time!$F$12,SUMIFS(Funding!$J$73:$BJ$73,Construction!$J$12:$BJ$12,"&lt;="&amp;Time!AL20),Debt!AL116)</f>
        <v>68.3092281537433</v>
      </c>
      <c r="AM22" s="13" t="n">
        <f aca="false">IF(Time!AM20&lt;Time!$F$12,SUMIFS(Funding!$J$73:$BJ$73,Construction!$J$12:$BJ$12,"&lt;="&amp;Time!AM20),Debt!AM116)</f>
        <v>46.0749486336624</v>
      </c>
      <c r="AN22" s="13" t="n">
        <f aca="false">IF(Time!AN20&lt;Time!$F$12,SUMIFS(Funding!$J$73:$BJ$73,Construction!$J$12:$BJ$12,"&lt;="&amp;Time!AN20),Debt!AN116)</f>
        <v>22.7656544475121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212.139644972914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218.333085038638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216.434635065745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214.972077469626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212.774542375664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211.051279972488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209.103081053504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207.051744556442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202.571041569379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200.683151374638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197.832772901658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201.46507459551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204.415463447366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207.339226035389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210.312165602549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212.451490129022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213.572193516636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214.425075460472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214.238568236266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213.153633130902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210.489865127448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197.780050744187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177.870381784313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158.723558765264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136.989722992183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93.6933267389986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50.437312165767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11.5548051963292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3.77714808834738</v>
      </c>
      <c r="AM25" s="13" t="n">
        <f aca="false">MAX(0,AM12)</f>
        <v>10.5928129078677</v>
      </c>
      <c r="AN25" s="13" t="n">
        <f aca="false">MAX(0,AN12)</f>
        <v>18.7630956250582</v>
      </c>
      <c r="AO25" s="13" t="n">
        <f aca="false">MAX(0,AO12)</f>
        <v>27.4556847354954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45.1448022535252</v>
      </c>
      <c r="Q26" s="13" t="n">
        <f aca="false">SUMIFS(Funding!$J$69:$BJ$69,Construction!$J$12:$BJ$12,"&lt;="&amp;Time!Q20)</f>
        <v>45.1448022535252</v>
      </c>
      <c r="R26" s="13" t="n">
        <f aca="false">SUMIFS(Funding!$J$69:$BJ$69,Construction!$J$12:$BJ$12,"&lt;="&amp;Time!R20)</f>
        <v>45.1448022535252</v>
      </c>
      <c r="S26" s="13" t="n">
        <f aca="false">SUMIFS(Funding!$J$69:$BJ$69,Construction!$J$12:$BJ$12,"&lt;="&amp;Time!S20)</f>
        <v>45.1448022535252</v>
      </c>
      <c r="T26" s="13" t="n">
        <f aca="false">SUMIFS(Funding!$J$69:$BJ$69,Construction!$J$12:$BJ$12,"&lt;="&amp;Time!T20)</f>
        <v>45.1448022535252</v>
      </c>
      <c r="U26" s="13" t="n">
        <f aca="false">SUMIFS(Funding!$J$69:$BJ$69,Construction!$J$12:$BJ$12,"&lt;="&amp;Time!U20)</f>
        <v>45.1448022535252</v>
      </c>
      <c r="V26" s="13" t="n">
        <f aca="false">SUMIFS(Funding!$J$69:$BJ$69,Construction!$J$12:$BJ$12,"&lt;="&amp;Time!V20)</f>
        <v>45.1448022535252</v>
      </c>
      <c r="W26" s="13" t="n">
        <f aca="false">SUMIFS(Funding!$J$69:$BJ$69,Construction!$J$12:$BJ$12,"&lt;="&amp;Time!W20)</f>
        <v>45.1448022535252</v>
      </c>
      <c r="X26" s="13" t="n">
        <f aca="false">SUMIFS(Funding!$J$69:$BJ$69,Construction!$J$12:$BJ$12,"&lt;="&amp;Time!X20)</f>
        <v>45.1448022535252</v>
      </c>
      <c r="Y26" s="13" t="n">
        <f aca="false">SUMIFS(Funding!$J$69:$BJ$69,Construction!$J$12:$BJ$12,"&lt;="&amp;Time!Y20)</f>
        <v>45.1448022535252</v>
      </c>
      <c r="Z26" s="13" t="n">
        <f aca="false">SUMIFS(Funding!$J$69:$BJ$69,Construction!$J$12:$BJ$12,"&lt;="&amp;Time!Z20)</f>
        <v>45.1448022535252</v>
      </c>
      <c r="AA26" s="13" t="n">
        <f aca="false">SUMIFS(Funding!$J$69:$BJ$69,Construction!$J$12:$BJ$12,"&lt;="&amp;Time!AA20)</f>
        <v>45.1448022535252</v>
      </c>
      <c r="AB26" s="13" t="n">
        <f aca="false">SUMIFS(Funding!$J$69:$BJ$69,Construction!$J$12:$BJ$12,"&lt;="&amp;Time!AB20)</f>
        <v>45.1448022535252</v>
      </c>
      <c r="AC26" s="13" t="n">
        <f aca="false">SUMIFS(Funding!$J$69:$BJ$69,Construction!$J$12:$BJ$12,"&lt;="&amp;Time!AC20)</f>
        <v>45.1448022535252</v>
      </c>
      <c r="AD26" s="13" t="n">
        <f aca="false">SUMIFS(Funding!$J$69:$BJ$69,Construction!$J$12:$BJ$12,"&lt;="&amp;Time!AD20)</f>
        <v>45.1448022535252</v>
      </c>
      <c r="AE26" s="13" t="n">
        <f aca="false">SUMIFS(Funding!$J$69:$BJ$69,Construction!$J$12:$BJ$12,"&lt;="&amp;Time!AE20)</f>
        <v>45.1448022535252</v>
      </c>
      <c r="AF26" s="13" t="n">
        <f aca="false">SUMIFS(Funding!$J$69:$BJ$69,Construction!$J$12:$BJ$12,"&lt;="&amp;Time!AF20)</f>
        <v>45.1448022535252</v>
      </c>
      <c r="AG26" s="13" t="n">
        <f aca="false">SUMIFS(Funding!$J$69:$BJ$69,Construction!$J$12:$BJ$12,"&lt;="&amp;Time!AG20)</f>
        <v>45.1448022535252</v>
      </c>
      <c r="AH26" s="13" t="n">
        <f aca="false">SUMIFS(Funding!$J$69:$BJ$69,Construction!$J$12:$BJ$12,"&lt;="&amp;Time!AH20)</f>
        <v>45.1448022535252</v>
      </c>
      <c r="AI26" s="13" t="n">
        <f aca="false">SUMIFS(Funding!$J$69:$BJ$69,Construction!$J$12:$BJ$12,"&lt;="&amp;Time!AI20)</f>
        <v>45.1448022535252</v>
      </c>
      <c r="AJ26" s="13" t="n">
        <f aca="false">SUMIFS(Funding!$J$69:$BJ$69,Construction!$J$12:$BJ$12,"&lt;="&amp;Time!AJ20)</f>
        <v>45.1448022535252</v>
      </c>
      <c r="AK26" s="13" t="n">
        <f aca="false">SUMIFS(Funding!$J$69:$BJ$69,Construction!$J$12:$BJ$12,"&lt;="&amp;Time!AK20)</f>
        <v>45.1448022535252</v>
      </c>
      <c r="AL26" s="13" t="n">
        <f aca="false">SUMIFS(Funding!$J$69:$BJ$69,Construction!$J$12:$BJ$12,"&lt;="&amp;Time!AL20)</f>
        <v>45.1448022535252</v>
      </c>
      <c r="AM26" s="13" t="n">
        <f aca="false">SUMIFS(Funding!$J$69:$BJ$69,Construction!$J$12:$BJ$12,"&lt;="&amp;Time!AM20)</f>
        <v>45.1448022535252</v>
      </c>
      <c r="AN26" s="13" t="n">
        <f aca="false">SUMIFS(Funding!$J$69:$BJ$69,Construction!$J$12:$BJ$12,"&lt;="&amp;Time!AN20)</f>
        <v>45.1448022535252</v>
      </c>
      <c r="AO26" s="13" t="n">
        <f aca="false">SUMIFS(Funding!$J$69:$BJ$69,Construction!$J$12:$BJ$12,"&lt;="&amp;Time!AO20)</f>
        <v>45.1448022535252</v>
      </c>
      <c r="AP26" s="13" t="n">
        <f aca="false">SUMIFS(Funding!$J$69:$BJ$69,Construction!$J$12:$BJ$12,"&lt;="&amp;Time!AP20)</f>
        <v>45.1448022535252</v>
      </c>
      <c r="AQ26" s="13" t="n">
        <f aca="false">SUMIFS(Funding!$J$69:$BJ$69,Construction!$J$12:$BJ$12,"&lt;="&amp;Time!AQ20)</f>
        <v>45.1448022535252</v>
      </c>
      <c r="AR26" s="13" t="n">
        <f aca="false">SUMIFS(Funding!$J$69:$BJ$69,Construction!$J$12:$BJ$12,"&lt;="&amp;Time!AR20)</f>
        <v>45.1448022535252</v>
      </c>
      <c r="AS26" s="13" t="n">
        <f aca="false">SUMIFS(Funding!$J$69:$BJ$69,Construction!$J$12:$BJ$12,"&lt;="&amp;Time!AS20)</f>
        <v>45.1448022535252</v>
      </c>
      <c r="AT26" s="13" t="n">
        <f aca="false">SUMIFS(Funding!$J$69:$BJ$69,Construction!$J$12:$BJ$12,"&lt;="&amp;Time!AT20)</f>
        <v>45.1448022535252</v>
      </c>
      <c r="AU26" s="13" t="n">
        <f aca="false">SUMIFS(Funding!$J$69:$BJ$69,Construction!$J$12:$BJ$12,"&lt;="&amp;Time!AU20)</f>
        <v>45.1448022535252</v>
      </c>
      <c r="AV26" s="13" t="n">
        <f aca="false">SUMIFS(Funding!$J$69:$BJ$69,Construction!$J$12:$BJ$12,"&lt;="&amp;Time!AV20)</f>
        <v>45.1448022535252</v>
      </c>
      <c r="AW26" s="13" t="n">
        <f aca="false">SUMIFS(Funding!$J$69:$BJ$69,Construction!$J$12:$BJ$12,"&lt;="&amp;Time!AW20)</f>
        <v>45.1448022535252</v>
      </c>
      <c r="AX26" s="13" t="n">
        <f aca="false">SUMIFS(Funding!$J$69:$BJ$69,Construction!$J$12:$BJ$12,"&lt;="&amp;Time!AX20)</f>
        <v>45.1448022535252</v>
      </c>
      <c r="AY26" s="13" t="n">
        <f aca="false">SUMIFS(Funding!$J$69:$BJ$69,Construction!$J$12:$BJ$12,"&lt;="&amp;Time!AY20)</f>
        <v>45.1448022535252</v>
      </c>
      <c r="AZ26" s="13" t="n">
        <f aca="false">SUMIFS(Funding!$J$69:$BJ$69,Construction!$J$12:$BJ$12,"&lt;="&amp;Time!AZ20)</f>
        <v>45.1448022535252</v>
      </c>
      <c r="BA26" s="13" t="n">
        <f aca="false">SUMIFS(Funding!$J$69:$BJ$69,Construction!$J$12:$BJ$12,"&lt;="&amp;Time!BA20)</f>
        <v>45.1448022535252</v>
      </c>
      <c r="BB26" s="13" t="n">
        <f aca="false">SUMIFS(Funding!$J$69:$BJ$69,Construction!$J$12:$BJ$12,"&lt;="&amp;Time!BB20)</f>
        <v>45.1448022535252</v>
      </c>
      <c r="BC26" s="13" t="n">
        <f aca="false">SUMIFS(Funding!$J$69:$BJ$69,Construction!$J$12:$BJ$12,"&lt;="&amp;Time!BC20)</f>
        <v>45.1448022535252</v>
      </c>
      <c r="BD26" s="13" t="n">
        <f aca="false">SUMIFS(Funding!$J$69:$BJ$69,Construction!$J$12:$BJ$12,"&lt;="&amp;Time!BD20)</f>
        <v>45.1448022535252</v>
      </c>
      <c r="BE26" s="13" t="n">
        <f aca="false">SUMIFS(Funding!$J$69:$BJ$69,Construction!$J$12:$BJ$12,"&lt;="&amp;Time!BE20)</f>
        <v>45.1448022535252</v>
      </c>
      <c r="BF26" s="13" t="n">
        <f aca="false">SUMIFS(Funding!$J$69:$BJ$69,Construction!$J$12:$BJ$12,"&lt;="&amp;Time!BF20)</f>
        <v>45.1448022535252</v>
      </c>
      <c r="BG26" s="13" t="n">
        <f aca="false">SUMIFS(Funding!$J$69:$BJ$69,Construction!$J$12:$BJ$12,"&lt;="&amp;Time!BG20)</f>
        <v>45.1448022535252</v>
      </c>
      <c r="BH26" s="13" t="n">
        <f aca="false">SUMIFS(Funding!$J$69:$BJ$69,Construction!$J$12:$BJ$12,"&lt;="&amp;Time!BH20)</f>
        <v>45.1448022535252</v>
      </c>
      <c r="BI26" s="13" t="n">
        <f aca="false">SUMIFS(Funding!$J$69:$BJ$69,Construction!$J$12:$BJ$12,"&lt;="&amp;Time!BI20)</f>
        <v>45.1448022535252</v>
      </c>
      <c r="BJ26" s="13" t="n">
        <f aca="false">SUMIFS(Funding!$J$69:$BJ$69,Construction!$J$12:$BJ$12,"&lt;="&amp;Time!BJ20)</f>
        <v>45.1448022535252</v>
      </c>
      <c r="BK26" s="13" t="n">
        <f aca="false">SUMIFS(Funding!$J$69:$BJ$69,Construction!$J$12:$BJ$12,"&lt;="&amp;Time!BK20)</f>
        <v>45.1448022535252</v>
      </c>
      <c r="BL26" s="13" t="n">
        <f aca="false">SUMIFS(Funding!$J$69:$BJ$69,Construction!$J$12:$BJ$12,"&lt;="&amp;Time!BL20)</f>
        <v>45.1448022535252</v>
      </c>
      <c r="BM26" s="13" t="n">
        <f aca="false">SUMIFS(Funding!$J$69:$BJ$69,Construction!$J$12:$BJ$12,"&lt;="&amp;Time!BM20)</f>
        <v>45.1448022535252</v>
      </c>
      <c r="BN26" s="13" t="n">
        <f aca="false">SUMIFS(Funding!$J$69:$BJ$69,Construction!$J$12:$BJ$12,"&lt;="&amp;Time!BN20)</f>
        <v>45.1448022535252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4.6045998237667</v>
      </c>
      <c r="Q27" s="18" t="n">
        <f aca="false">Waterfall!Q43</f>
        <v>10.6298126992505</v>
      </c>
      <c r="R27" s="18" t="n">
        <f aca="false">Waterfall!R43</f>
        <v>17.538675057546</v>
      </c>
      <c r="S27" s="18" t="n">
        <f aca="false">Waterfall!S43</f>
        <v>25.6709029790325</v>
      </c>
      <c r="T27" s="18" t="n">
        <f aca="false">Waterfall!T43</f>
        <v>34.1773074845024</v>
      </c>
      <c r="U27" s="18" t="n">
        <f aca="false">Waterfall!U43</f>
        <v>43.7254013319464</v>
      </c>
      <c r="V27" s="18" t="n">
        <f aca="false">Waterfall!V43</f>
        <v>53.8854052491232</v>
      </c>
      <c r="W27" s="18" t="n">
        <f aca="false">Waterfall!W43</f>
        <v>62.8678359755657</v>
      </c>
      <c r="X27" s="18" t="n">
        <f aca="false">Waterfall!X43</f>
        <v>74.9350792310959</v>
      </c>
      <c r="Y27" s="18" t="n">
        <f aca="false">Waterfall!Y43</f>
        <v>87.738314423281</v>
      </c>
      <c r="Z27" s="18" t="n">
        <f aca="false">Waterfall!Z43</f>
        <v>99.8019907707836</v>
      </c>
      <c r="AA27" s="18" t="n">
        <f aca="false">Waterfall!AA43</f>
        <v>106.235983300929</v>
      </c>
      <c r="AB27" s="18" t="n">
        <f aca="false">Waterfall!AB43</f>
        <v>113.119543395275</v>
      </c>
      <c r="AC27" s="18" t="n">
        <f aca="false">Waterfall!AC43</f>
        <v>120.866899546184</v>
      </c>
      <c r="AD27" s="18" t="n">
        <f aca="false">Waterfall!AD43</f>
        <v>129.272288898635</v>
      </c>
      <c r="AE27" s="18" t="n">
        <f aca="false">Waterfall!AE43</f>
        <v>129.032491515026</v>
      </c>
      <c r="AF27" s="18" t="n">
        <f aca="false">Waterfall!AF43</f>
        <v>139.679021626684</v>
      </c>
      <c r="AG27" s="18" t="n">
        <f aca="false">Waterfall!AG43</f>
        <v>150.663286223046</v>
      </c>
      <c r="AH27" s="18" t="n">
        <f aca="false">Waterfall!AH43</f>
        <v>162.449233588764</v>
      </c>
      <c r="AI27" s="18" t="n">
        <f aca="false">Waterfall!AI43</f>
        <v>175.472447588906</v>
      </c>
      <c r="AJ27" s="18" t="n">
        <f aca="false">Waterfall!AJ43</f>
        <v>189.408408794697</v>
      </c>
      <c r="AK27" s="18" t="n">
        <f aca="false">Waterfall!AK43</f>
        <v>204.549505301993</v>
      </c>
      <c r="AL27" s="18" t="n">
        <f aca="false">Waterfall!AL43</f>
        <v>220.805906456432</v>
      </c>
      <c r="AM27" s="18" t="n">
        <f aca="false">Waterfall!AM43</f>
        <v>236.332450872167</v>
      </c>
      <c r="AN27" s="18" t="n">
        <f aca="false">Waterfall!AN43</f>
        <v>255.017599080397</v>
      </c>
      <c r="AO27" s="18" t="n">
        <f aca="false">Waterfall!AO43</f>
        <v>274.918130000131</v>
      </c>
      <c r="AP27" s="18" t="n">
        <f aca="false">Waterfall!AP43</f>
        <v>297.120064353597</v>
      </c>
      <c r="AQ27" s="18" t="n">
        <f aca="false">Waterfall!AQ43</f>
        <v>320.926903691409</v>
      </c>
      <c r="AR27" s="18" t="n">
        <f aca="false">Waterfall!AR43</f>
        <v>316.884869522732</v>
      </c>
      <c r="AS27" s="18" t="n">
        <f aca="false">Waterfall!AS43</f>
        <v>301.725739831351</v>
      </c>
      <c r="AT27" s="18" t="n">
        <f aca="false">Waterfall!AT43</f>
        <v>286.214492494453</v>
      </c>
      <c r="AU27" s="18" t="n">
        <f aca="false">Waterfall!AU43</f>
        <v>254.092179688493</v>
      </c>
      <c r="AV27" s="18" t="n">
        <f aca="false">Waterfall!AV43</f>
        <v>236.260824269892</v>
      </c>
      <c r="AW27" s="18" t="n">
        <f aca="false">Waterfall!AW43</f>
        <v>219.474949382985</v>
      </c>
      <c r="AX27" s="18" t="n">
        <f aca="false">Waterfall!AX43</f>
        <v>202.078537229853</v>
      </c>
      <c r="AY27" s="18" t="n">
        <f aca="false">Waterfall!AY43</f>
        <v>185.218384886423</v>
      </c>
      <c r="AZ27" s="18" t="n">
        <f aca="false">Waterfall!AZ43</f>
        <v>167.820922980491</v>
      </c>
      <c r="BA27" s="18" t="n">
        <f aca="false">Waterfall!BA43</f>
        <v>150.874205814136</v>
      </c>
      <c r="BB27" s="18" t="n">
        <f aca="false">Waterfall!BB43</f>
        <v>133.817969605266</v>
      </c>
      <c r="BC27" s="18" t="n">
        <f aca="false">Waterfall!BC43</f>
        <v>114.282614430267</v>
      </c>
      <c r="BD27" s="18" t="n">
        <f aca="false">Waterfall!BD43</f>
        <v>98.7975620666416</v>
      </c>
      <c r="BE27" s="18" t="n">
        <f aca="false">Waterfall!BE43</f>
        <v>91.5588934146381</v>
      </c>
      <c r="BF27" s="18" t="n">
        <f aca="false">Waterfall!BF43</f>
        <v>83.7934859850331</v>
      </c>
      <c r="BG27" s="18" t="n">
        <f aca="false">Waterfall!BG43</f>
        <v>76.5989382751337</v>
      </c>
      <c r="BH27" s="18" t="n">
        <f aca="false">Waterfall!BH43</f>
        <v>68.8671413860271</v>
      </c>
      <c r="BI27" s="18" t="n">
        <f aca="false">Waterfall!BI43</f>
        <v>61.6178834299934</v>
      </c>
      <c r="BJ27" s="18" t="n">
        <f aca="false">Waterfall!BJ43</f>
        <v>54.0137629532076</v>
      </c>
      <c r="BK27" s="18" t="n">
        <f aca="false">Waterfall!BK43</f>
        <v>26.6328549352312</v>
      </c>
      <c r="BL27" s="18" t="n">
        <f aca="false">Waterfall!BL43</f>
        <v>16.2950173635647</v>
      </c>
      <c r="BM27" s="18" t="n">
        <f aca="false">Waterfall!BM43</f>
        <v>6.44132477295185</v>
      </c>
      <c r="BN27" s="18" t="n">
        <f aca="false">Waterfall!BN43</f>
        <v>-45.1448022534959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930.482225580719</v>
      </c>
      <c r="Q28" s="13" t="n">
        <f aca="false">Q22+Q23+Q24+Q25+Q26+Q27</f>
        <v>909.208270688066</v>
      </c>
      <c r="R28" s="13" t="n">
        <f aca="false">R22+R23+R24+R25+R26+R27</f>
        <v>897.160150320147</v>
      </c>
      <c r="S28" s="13" t="n">
        <f aca="false">S22+S23+S24+S25+S26+S27</f>
        <v>887.200267067148</v>
      </c>
      <c r="T28" s="13" t="n">
        <f aca="false">T22+T23+T24+T25+T26+T27</f>
        <v>875.113469792491</v>
      </c>
      <c r="U28" s="13" t="n">
        <f aca="false">U22+U23+U24+U25+U26+U27</f>
        <v>865.234203054688</v>
      </c>
      <c r="V28" s="13" t="n">
        <f aca="false">V22+V23+V24+V25+V26+V27</f>
        <v>853.648997037343</v>
      </c>
      <c r="W28" s="13" t="n">
        <f aca="false">W22+W23+W24+W25+W26+W27</f>
        <v>840.254475130097</v>
      </c>
      <c r="X28" s="13" t="n">
        <f aca="false">X22+X23+X24+X25+X26+X27</f>
        <v>826.160448954088</v>
      </c>
      <c r="Y28" s="13" t="n">
        <f aca="false">Y22+Y23+Y24+Y25+Y26+Y27</f>
        <v>818.661250675886</v>
      </c>
      <c r="Z28" s="13" t="n">
        <f aca="false">Z22+Z23+Z24+Z25+Z26+Z27</f>
        <v>806.588051826674</v>
      </c>
      <c r="AA28" s="13" t="n">
        <f aca="false">AA22+AA23+AA24+AA25+AA26+AA27</f>
        <v>790.349844837221</v>
      </c>
      <c r="AB28" s="13" t="n">
        <f aca="false">AB22+AB23+AB24+AB25+AB26+AB27</f>
        <v>771.10281608732</v>
      </c>
      <c r="AC28" s="13" t="n">
        <f aca="false">AC22+AC23+AC24+AC25+AC26+AC27</f>
        <v>753.691304641404</v>
      </c>
      <c r="AD28" s="13" t="n">
        <f aca="false">AD22+AD23+AD24+AD25+AD26+AD27</f>
        <v>734.744214209167</v>
      </c>
      <c r="AE28" s="13" t="n">
        <f aca="false">AE22+AE23+AE24+AE25+AE26+AE27</f>
        <v>704.424729502078</v>
      </c>
      <c r="AF28" s="13" t="n">
        <f aca="false">AF22+AF23+AF24+AF25+AF26+AF27</f>
        <v>682.10779154571</v>
      </c>
      <c r="AG28" s="13" t="n">
        <f aca="false">AG22+AG23+AG24+AG25+AG26+AG27</f>
        <v>662.600324390685</v>
      </c>
      <c r="AH28" s="13" t="n">
        <f aca="false">AH22+AH23+AH24+AH25+AH26+AH27</f>
        <v>638.855167876952</v>
      </c>
      <c r="AI28" s="13" t="n">
        <f aca="false">AI22+AI23+AI24+AI25+AI26+AI27</f>
        <v>616.481644207315</v>
      </c>
      <c r="AJ28" s="13" t="n">
        <f aca="false">AJ22+AJ23+AJ24+AJ25+AJ26+AJ27</f>
        <v>591.159127816491</v>
      </c>
      <c r="AK28" s="13" t="n">
        <f aca="false">AK22+AK23+AK24+AK25+AK26+AK27</f>
        <v>566.85466176189</v>
      </c>
      <c r="AL28" s="13" t="n">
        <f aca="false">AL22+AL23+AL24+AL25+AL26+AL27</f>
        <v>545.319286797755</v>
      </c>
      <c r="AM28" s="13" t="n">
        <f aca="false">AM22+AM23+AM24+AM25+AM26+AM27</f>
        <v>526.503130301716</v>
      </c>
      <c r="AN28" s="13" t="n">
        <f aca="false">AN22+AN23+AN24+AN25+AN26+AN27</f>
        <v>508.055266258026</v>
      </c>
      <c r="AO28" s="13" t="n">
        <f aca="false">AO22+AO23+AO24+AO25+AO26+AO27</f>
        <v>472.368027778518</v>
      </c>
      <c r="AP28" s="13" t="n">
        <f aca="false">AP22+AP23+AP24+AP25+AP26+AP27</f>
        <v>457.300848450506</v>
      </c>
      <c r="AQ28" s="13" t="n">
        <f aca="false">AQ22+AQ23+AQ24+AQ25+AQ26+AQ27</f>
        <v>444.045708311446</v>
      </c>
      <c r="AR28" s="13" t="n">
        <f aca="false">AR22+AR23+AR24+AR25+AR26+AR27</f>
        <v>429.061467210061</v>
      </c>
      <c r="AS28" s="13" t="n">
        <f aca="false">AS22+AS23+AS24+AS25+AS26+AS27</f>
        <v>416.028433031948</v>
      </c>
      <c r="AT28" s="13" t="n">
        <f aca="false">AT22+AT23+AT24+AT25+AT26+AT27</f>
        <v>400.980099498366</v>
      </c>
      <c r="AU28" s="13" t="n">
        <f aca="false">AU22+AU23+AU24+AU25+AU26+AU27</f>
        <v>369.612304594543</v>
      </c>
      <c r="AV28" s="13" t="n">
        <f aca="false">AV22+AV23+AV24+AV25+AV26+AV27</f>
        <v>352.607216070418</v>
      </c>
      <c r="AW28" s="13" t="n">
        <f aca="false">AW22+AW23+AW24+AW25+AW26+AW27</f>
        <v>339.243740032578</v>
      </c>
      <c r="AX28" s="13" t="n">
        <f aca="false">AX22+AX23+AX24+AX25+AX26+AX27</f>
        <v>322.337271928103</v>
      </c>
      <c r="AY28" s="13" t="n">
        <f aca="false">AY22+AY23+AY24+AY25+AY26+AY27</f>
        <v>307.362946092599</v>
      </c>
      <c r="AZ28" s="13" t="n">
        <f aca="false">AZ22+AZ23+AZ24+AZ25+AZ26+AZ27</f>
        <v>290.546037858503</v>
      </c>
      <c r="BA28" s="13" t="n">
        <f aca="false">BA22+BA23+BA24+BA25+BA26+BA27</f>
        <v>275.815539520674</v>
      </c>
      <c r="BB28" s="13" t="n">
        <f aca="false">BB22+BB23+BB24+BB25+BB26+BB27</f>
        <v>259.28165628738</v>
      </c>
      <c r="BC28" s="13" t="n">
        <f aca="false">BC22+BC23+BC24+BC25+BC26+BC27</f>
        <v>241.012544698478</v>
      </c>
      <c r="BD28" s="13" t="n">
        <f aca="false">BD22+BD23+BD24+BD25+BD26+BD27</f>
        <v>225.265443264269</v>
      </c>
      <c r="BE28" s="13" t="n">
        <f aca="false">BE22+BE23+BE24+BE25+BE26+BE27</f>
        <v>215.322487713833</v>
      </c>
      <c r="BF28" s="13" t="n">
        <f aca="false">BF22+BF23+BF24+BF25+BF26+BF27</f>
        <v>202.211520645451</v>
      </c>
      <c r="BG28" s="13" t="n">
        <f aca="false">BG22+BG23+BG24+BG25+BG26+BG27</f>
        <v>191.179831659506</v>
      </c>
      <c r="BH28" s="13" t="n">
        <f aca="false">BH22+BH23+BH24+BH25+BH26+BH27</f>
        <v>178.20046021751</v>
      </c>
      <c r="BI28" s="13" t="n">
        <f aca="false">BI22+BI23+BI24+BI25+BI26+BI27</f>
        <v>167.471275867015</v>
      </c>
      <c r="BJ28" s="13" t="n">
        <f aca="false">BJ22+BJ23+BJ24+BJ25+BJ26+BJ27</f>
        <v>154.444613371688</v>
      </c>
      <c r="BK28" s="13" t="n">
        <f aca="false">BK22+BK23+BK24+BK25+BK26+BK27</f>
        <v>121.980252132503</v>
      </c>
      <c r="BL28" s="13" t="n">
        <f aca="false">BL22+BL23+BL24+BL25+BL26+BL27</f>
        <v>106.644483944371</v>
      </c>
      <c r="BM28" s="13" t="n">
        <f aca="false">BM22+BM23+BM24+BM25+BM26+BM27</f>
        <v>94.8265321832199</v>
      </c>
      <c r="BN28" s="13" t="n">
        <f aca="false">BN22+BN23+BN24+BN25+BN26+BN27</f>
        <v>2.93098878501041E-011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-2.93312041321769E-011</v>
      </c>
      <c r="S29" s="13" t="n">
        <f aca="false">S21-S28</f>
        <v>-2.92175172944553E-011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-2.92175172944553E-011</v>
      </c>
      <c r="W29" s="13" t="n">
        <f aca="false">W21-W28</f>
        <v>-2.92175172944553E-011</v>
      </c>
      <c r="X29" s="13" t="n">
        <f aca="false">X21-X28</f>
        <v>-2.92175172944553E-011</v>
      </c>
      <c r="Y29" s="13" t="n">
        <f aca="false">Y21-Y28</f>
        <v>-2.93312041321769E-011</v>
      </c>
      <c r="Z29" s="13" t="n">
        <f aca="false">Z21-Z28</f>
        <v>-2.92175172944553E-011</v>
      </c>
      <c r="AA29" s="13" t="n">
        <f aca="false">AA21-AA28</f>
        <v>-2.92175172944553E-011</v>
      </c>
      <c r="AB29" s="13" t="n">
        <f aca="false">AB21-AB28</f>
        <v>-2.91038304567337E-011</v>
      </c>
      <c r="AC29" s="13" t="n">
        <f aca="false">AC21-AC28</f>
        <v>-2.93312041321769E-011</v>
      </c>
      <c r="AD29" s="13" t="n">
        <f aca="false">AD21-AD28</f>
        <v>-2.91038304567337E-011</v>
      </c>
      <c r="AE29" s="13" t="n">
        <f aca="false">AE21-AE28</f>
        <v>-2.93312041321769E-011</v>
      </c>
      <c r="AF29" s="13" t="n">
        <f aca="false">AF21-AF28</f>
        <v>-2.92175172944553E-011</v>
      </c>
      <c r="AG29" s="13" t="n">
        <f aca="false">AG21-AG28</f>
        <v>-2.93312041321769E-011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-2.93312041321769E-011</v>
      </c>
      <c r="AK29" s="13" t="n">
        <f aca="false">AK21-AK28</f>
        <v>-2.95585778076202E-011</v>
      </c>
      <c r="AL29" s="13" t="n">
        <f aca="false">AL21-AL28</f>
        <v>-2.92175172944553E-011</v>
      </c>
      <c r="AM29" s="13" t="n">
        <f aca="false">AM21-AM28</f>
        <v>-2.93312041321769E-011</v>
      </c>
      <c r="AN29" s="13" t="n">
        <f aca="false">AN21-AN28</f>
        <v>-2.91606738755945E-011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-2.92743607133161E-011</v>
      </c>
      <c r="AR29" s="13" t="n">
        <f aca="false">AR21-AR28</f>
        <v>-2.92175172944553E-011</v>
      </c>
      <c r="AS29" s="13" t="n">
        <f aca="false">AS21-AS28</f>
        <v>-2.93880475510377E-011</v>
      </c>
      <c r="AT29" s="13" t="n">
        <f aca="false">AT21-AT28</f>
        <v>-2.92743607133161E-011</v>
      </c>
      <c r="AU29" s="13" t="n">
        <f aca="false">AU21-AU28</f>
        <v>-2.93312041321769E-011</v>
      </c>
      <c r="AV29" s="13" t="n">
        <f aca="false">AV21-AV28</f>
        <v>-2.92743607133161E-011</v>
      </c>
      <c r="AW29" s="13" t="n">
        <f aca="false">AW21-AW28</f>
        <v>-2.92743607133161E-011</v>
      </c>
      <c r="AX29" s="13" t="n">
        <f aca="false">AX21-AX28</f>
        <v>-2.93880475510377E-011</v>
      </c>
      <c r="AY29" s="13" t="n">
        <f aca="false">AY21-AY28</f>
        <v>-2.93880475510377E-011</v>
      </c>
      <c r="AZ29" s="13" t="n">
        <f aca="false">AZ21-AZ28</f>
        <v>-2.93312041321769E-011</v>
      </c>
      <c r="BA29" s="13" t="n">
        <f aca="false">BA21-BA28</f>
        <v>-2.92175172944553E-011</v>
      </c>
      <c r="BB29" s="13" t="n">
        <f aca="false">BB21-BB28</f>
        <v>-2.93312041321769E-011</v>
      </c>
      <c r="BC29" s="13" t="n">
        <f aca="false">BC21-BC28</f>
        <v>-2.93596258416073E-011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-2.93596258416073E-011</v>
      </c>
      <c r="BG29" s="13" t="n">
        <f aca="false">BG21-BG28</f>
        <v>-2.93880475510377E-011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-2.93098878501041E-011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0.0341218934596471</v>
      </c>
      <c r="R7" s="16" t="n">
        <f aca="false">IF(Debt!R115&gt;Inputs!$F$253,Debt!R112/Debt!R115,0)</f>
        <v>0.0344745035497462</v>
      </c>
      <c r="S7" s="16" t="n">
        <f aca="false">IF(Debt!S115&gt;Inputs!$F$253,Debt!S112/Debt!S115,0)</f>
        <v>0.0341152781008568</v>
      </c>
      <c r="T7" s="16" t="n">
        <f aca="false">IF(Debt!T115&gt;Inputs!$F$253,Debt!T112/Debt!T115,0)</f>
        <v>0.0344890274240049</v>
      </c>
      <c r="U7" s="16" t="n">
        <f aca="false">IF(Debt!U115&gt;Inputs!$F$253,Debt!U112/Debt!U115,0)</f>
        <v>0.0342409022706807</v>
      </c>
      <c r="V7" s="16" t="n">
        <f aca="false">IF(Debt!V115&gt;Inputs!$F$253,Debt!V112/Debt!V115,0)</f>
        <v>0.0344907799482169</v>
      </c>
      <c r="W7" s="16" t="n">
        <f aca="false">IF(Debt!W115&gt;Inputs!$F$253,Debt!W112/Debt!W115,0)</f>
        <v>0.0341186185670129</v>
      </c>
      <c r="X7" s="16" t="n">
        <f aca="false">IF(Debt!X115&gt;Inputs!$F$253,Debt!X112/Debt!X115,0)</f>
        <v>0.0344936290269063</v>
      </c>
      <c r="Y7" s="16" t="n">
        <f aca="false">IF(Debt!Y115&gt;Inputs!$F$253,Debt!Y112/Debt!Y115,0)</f>
        <v>0.035190530083557</v>
      </c>
      <c r="Z7" s="16" t="n">
        <f aca="false">IF(Debt!Z115&gt;Inputs!$F$253,Debt!Z112/Debt!Z115,0)</f>
        <v>0.035583212856839</v>
      </c>
      <c r="AA7" s="16" t="n">
        <f aca="false">IF(Debt!AA115&gt;Inputs!$F$253,Debt!AA112/Debt!AA115,0)</f>
        <v>0.035192245737922</v>
      </c>
      <c r="AB7" s="16" t="n">
        <f aca="false">IF(Debt!AB115&gt;Inputs!$F$253,Debt!AB112/Debt!AB115,0)</f>
        <v>0.0353991702233185</v>
      </c>
      <c r="AC7" s="16" t="n">
        <f aca="false">IF(Debt!AC115&gt;Inputs!$F$253,Debt!AC112/Debt!AC115,0)</f>
        <v>0.0349081213169585</v>
      </c>
      <c r="AD7" s="16" t="n">
        <f aca="false">IF(Debt!AD115&gt;Inputs!$F$253,Debt!AD112/Debt!AD115,0)</f>
        <v>0.0348974982035009</v>
      </c>
      <c r="AE7" s="16" t="n">
        <f aca="false">IF(Debt!AE115&gt;Inputs!$F$253,Debt!AE112/Debt!AE115,0)</f>
        <v>0.0342340242656231</v>
      </c>
      <c r="AF7" s="16" t="n">
        <f aca="false">IF(Debt!AF115&gt;Inputs!$F$253,Debt!AF112/Debt!AF115,0)</f>
        <v>0.0342168469388658</v>
      </c>
      <c r="AG7" s="16" t="n">
        <f aca="false">IF(Debt!AG115&gt;Inputs!$F$253,Debt!AG112/Debt!AG115,0)</f>
        <v>0.0341878148492011</v>
      </c>
      <c r="AH7" s="16" t="n">
        <f aca="false">IF(Debt!AH115&gt;Inputs!$F$253,Debt!AH112/Debt!AH115,0)</f>
        <v>0.0338319035794672</v>
      </c>
      <c r="AI7" s="16" t="n">
        <f aca="false">IF(Debt!AI115&gt;Inputs!$F$253,Debt!AI112/Debt!AI115,0)</f>
        <v>0.0325319330638174</v>
      </c>
      <c r="AJ7" s="16" t="n">
        <f aca="false">IF(Debt!AJ115&gt;Inputs!$F$253,Debt!AJ112/Debt!AJ115,0)</f>
        <v>0.0314638481959106</v>
      </c>
      <c r="AK7" s="16" t="n">
        <f aca="false">IF(Debt!AK115&gt;Inputs!$F$253,Debt!AK112/Debt!AK115,0)</f>
        <v>0.0290997188978922</v>
      </c>
      <c r="AL7" s="16" t="n">
        <f aca="false">IF(Debt!AL115&gt;Inputs!$F$253,Debt!AL112/Debt!AL115,0)</f>
        <v>0.0277286685687752</v>
      </c>
      <c r="AM7" s="16" t="n">
        <f aca="false">IF(Debt!AM115&gt;Inputs!$F$253,Debt!AM112/Debt!AM115,0)</f>
        <v>0.0275994977424445</v>
      </c>
      <c r="AN7" s="16" t="n">
        <f aca="false">IF(Debt!AN115&gt;Inputs!$F$253,Debt!AN112/Debt!AN115,0)</f>
        <v>0.0278864837114529</v>
      </c>
      <c r="AO7" s="16" t="n">
        <f aca="false">IF(Debt!AO115&gt;Inputs!$F$253,Debt!AO112/Debt!AO115,0)</f>
        <v>0.0276588343938163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0.0276588343938163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0.0276588343938163</v>
      </c>
      <c r="K10" s="16" t="n">
        <f aca="false">IF(K7&gt;0,K7,$F$9)</f>
        <v>0.0276588343938163</v>
      </c>
      <c r="L10" s="16" t="n">
        <f aca="false">IF(L7&gt;0,L7,$F$9)</f>
        <v>0.0276588343938163</v>
      </c>
      <c r="M10" s="16" t="n">
        <f aca="false">IF(M7&gt;0,M7,$F$9)</f>
        <v>0.0276588343938163</v>
      </c>
      <c r="N10" s="16" t="n">
        <f aca="false">IF(N7&gt;0,N7,$F$9)</f>
        <v>0.0276588343938163</v>
      </c>
      <c r="O10" s="16" t="n">
        <f aca="false">IF(O7&gt;0,O7,$F$9)</f>
        <v>0.0276588343938163</v>
      </c>
      <c r="P10" s="16" t="n">
        <f aca="false">IF(P7&gt;0,P7,$F$9)</f>
        <v>0.0276588343938163</v>
      </c>
      <c r="Q10" s="16" t="n">
        <f aca="false">IF(Q7&gt;0,Q7,$F$9)</f>
        <v>0.0341218934596471</v>
      </c>
      <c r="R10" s="16" t="n">
        <f aca="false">IF(R7&gt;0,R7,$F$9)</f>
        <v>0.0344745035497462</v>
      </c>
      <c r="S10" s="16" t="n">
        <f aca="false">IF(S7&gt;0,S7,$F$9)</f>
        <v>0.0341152781008568</v>
      </c>
      <c r="T10" s="16" t="n">
        <f aca="false">IF(T7&gt;0,T7,$F$9)</f>
        <v>0.0344890274240049</v>
      </c>
      <c r="U10" s="16" t="n">
        <f aca="false">IF(U7&gt;0,U7,$F$9)</f>
        <v>0.0342409022706807</v>
      </c>
      <c r="V10" s="16" t="n">
        <f aca="false">IF(V7&gt;0,V7,$F$9)</f>
        <v>0.0344907799482169</v>
      </c>
      <c r="W10" s="16" t="n">
        <f aca="false">IF(W7&gt;0,W7,$F$9)</f>
        <v>0.0341186185670129</v>
      </c>
      <c r="X10" s="16" t="n">
        <f aca="false">IF(X7&gt;0,X7,$F$9)</f>
        <v>0.0344936290269063</v>
      </c>
      <c r="Y10" s="16" t="n">
        <f aca="false">IF(Y7&gt;0,Y7,$F$9)</f>
        <v>0.035190530083557</v>
      </c>
      <c r="Z10" s="16" t="n">
        <f aca="false">IF(Z7&gt;0,Z7,$F$9)</f>
        <v>0.035583212856839</v>
      </c>
      <c r="AA10" s="16" t="n">
        <f aca="false">IF(AA7&gt;0,AA7,$F$9)</f>
        <v>0.035192245737922</v>
      </c>
      <c r="AB10" s="16" t="n">
        <f aca="false">IF(AB7&gt;0,AB7,$F$9)</f>
        <v>0.0353991702233185</v>
      </c>
      <c r="AC10" s="16" t="n">
        <f aca="false">IF(AC7&gt;0,AC7,$F$9)</f>
        <v>0.0349081213169585</v>
      </c>
      <c r="AD10" s="16" t="n">
        <f aca="false">IF(AD7&gt;0,AD7,$F$9)</f>
        <v>0.0348974982035009</v>
      </c>
      <c r="AE10" s="16" t="n">
        <f aca="false">IF(AE7&gt;0,AE7,$F$9)</f>
        <v>0.0342340242656231</v>
      </c>
      <c r="AF10" s="16" t="n">
        <f aca="false">IF(AF7&gt;0,AF7,$F$9)</f>
        <v>0.0342168469388658</v>
      </c>
      <c r="AG10" s="16" t="n">
        <f aca="false">IF(AG7&gt;0,AG7,$F$9)</f>
        <v>0.0341878148492011</v>
      </c>
      <c r="AH10" s="16" t="n">
        <f aca="false">IF(AH7&gt;0,AH7,$F$9)</f>
        <v>0.0338319035794672</v>
      </c>
      <c r="AI10" s="16" t="n">
        <f aca="false">IF(AI7&gt;0,AI7,$F$9)</f>
        <v>0.0325319330638174</v>
      </c>
      <c r="AJ10" s="16" t="n">
        <f aca="false">IF(AJ7&gt;0,AJ7,$F$9)</f>
        <v>0.0314638481959106</v>
      </c>
      <c r="AK10" s="16" t="n">
        <f aca="false">IF(AK7&gt;0,AK7,$F$9)</f>
        <v>0.0290997188978922</v>
      </c>
      <c r="AL10" s="16" t="n">
        <f aca="false">IF(AL7&gt;0,AL7,$F$9)</f>
        <v>0.0277286685687752</v>
      </c>
      <c r="AM10" s="16" t="n">
        <f aca="false">IF(AM7&gt;0,AM7,$F$9)</f>
        <v>0.0275994977424445</v>
      </c>
      <c r="AN10" s="16" t="n">
        <f aca="false">IF(AN7&gt;0,AN7,$F$9)</f>
        <v>0.0278864837114529</v>
      </c>
      <c r="AO10" s="16" t="n">
        <f aca="false">IF(AO7&gt;0,AO7,$F$9)</f>
        <v>0.0276588343938163</v>
      </c>
      <c r="AP10" s="16" t="n">
        <f aca="false">IF(AP7&gt;0,AP7,$F$9)</f>
        <v>0.0276588343938163</v>
      </c>
      <c r="AQ10" s="16" t="n">
        <f aca="false">IF(AQ7&gt;0,AQ7,$F$9)</f>
        <v>0.0276588343938163</v>
      </c>
      <c r="AR10" s="16" t="n">
        <f aca="false">IF(AR7&gt;0,AR7,$F$9)</f>
        <v>0.0276588343938163</v>
      </c>
      <c r="AS10" s="16" t="n">
        <f aca="false">IF(AS7&gt;0,AS7,$F$9)</f>
        <v>0.0276588343938163</v>
      </c>
      <c r="AT10" s="16" t="n">
        <f aca="false">IF(AT7&gt;0,AT7,$F$9)</f>
        <v>0.0276588343938163</v>
      </c>
      <c r="AU10" s="16" t="n">
        <f aca="false">IF(AU7&gt;0,AU7,$F$9)</f>
        <v>0.0276588343938163</v>
      </c>
      <c r="AV10" s="16" t="n">
        <f aca="false">IF(AV7&gt;0,AV7,$F$9)</f>
        <v>0.0276588343938163</v>
      </c>
      <c r="AW10" s="16" t="n">
        <f aca="false">IF(AW7&gt;0,AW7,$F$9)</f>
        <v>0.0276588343938163</v>
      </c>
      <c r="AX10" s="16" t="n">
        <f aca="false">IF(AX7&gt;0,AX7,$F$9)</f>
        <v>0.0276588343938163</v>
      </c>
      <c r="AY10" s="16" t="n">
        <f aca="false">IF(AY7&gt;0,AY7,$F$9)</f>
        <v>0.0276588343938163</v>
      </c>
      <c r="AZ10" s="16" t="n">
        <f aca="false">IF(AZ7&gt;0,AZ7,$F$9)</f>
        <v>0.0276588343938163</v>
      </c>
      <c r="BA10" s="16" t="n">
        <f aca="false">IF(BA7&gt;0,BA7,$F$9)</f>
        <v>0.0276588343938163</v>
      </c>
      <c r="BB10" s="16" t="n">
        <f aca="false">IF(BB7&gt;0,BB7,$F$9)</f>
        <v>0.0276588343938163</v>
      </c>
      <c r="BC10" s="16" t="n">
        <f aca="false">IF(BC7&gt;0,BC7,$F$9)</f>
        <v>0.0276588343938163</v>
      </c>
      <c r="BD10" s="16" t="n">
        <f aca="false">IF(BD7&gt;0,BD7,$F$9)</f>
        <v>0.0276588343938163</v>
      </c>
      <c r="BE10" s="16" t="n">
        <f aca="false">IF(BE7&gt;0,BE7,$F$9)</f>
        <v>0.0276588343938163</v>
      </c>
      <c r="BF10" s="16" t="n">
        <f aca="false">IF(BF7&gt;0,BF7,$F$9)</f>
        <v>0.0276588343938163</v>
      </c>
      <c r="BG10" s="16" t="n">
        <f aca="false">IF(BG7&gt;0,BG7,$F$9)</f>
        <v>0.0276588343938163</v>
      </c>
      <c r="BH10" s="16" t="n">
        <f aca="false">IF(BH7&gt;0,BH7,$F$9)</f>
        <v>0.0276588343938163</v>
      </c>
      <c r="BI10" s="16" t="n">
        <f aca="false">IF(BI7&gt;0,BI7,$F$9)</f>
        <v>0.0276588343938163</v>
      </c>
      <c r="BJ10" s="16" t="n">
        <f aca="false">IF(BJ7&gt;0,BJ7,$F$9)</f>
        <v>0.0276588343938163</v>
      </c>
      <c r="BK10" s="16" t="n">
        <f aca="false">IF(BK7&gt;0,BK7,$F$9)</f>
        <v>0.0276588343938163</v>
      </c>
      <c r="BL10" s="16" t="n">
        <f aca="false">IF(BL7&gt;0,BL7,$F$9)</f>
        <v>0.0276588343938163</v>
      </c>
      <c r="BM10" s="16" t="n">
        <f aca="false">IF(BM7&gt;0,BM7,$F$9)</f>
        <v>0.0276588343938163</v>
      </c>
      <c r="BN10" s="16" t="n">
        <f aca="false">IF(BN7&gt;0,BN7,$F$9)</f>
        <v>0.0276588343938163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683.658934556429</v>
      </c>
      <c r="K11" s="13" t="n">
        <f aca="false">IF(Time!K20&lt;=$F$8,(Waterfall!K7+L11)/(1+K10),0)</f>
        <v>702.568143809178</v>
      </c>
      <c r="L11" s="13" t="n">
        <f aca="false">IF(Time!L20&lt;=$F$8,(Waterfall!L7+M11)/(1+L10),0)</f>
        <v>722.000359749167</v>
      </c>
      <c r="M11" s="13" t="n">
        <f aca="false">IF(Time!M20&lt;=$F$8,(Waterfall!M7+N11)/(1+M10),0)</f>
        <v>741.970048131745</v>
      </c>
      <c r="N11" s="13" t="n">
        <f aca="false">IF(Time!N20&lt;=$F$8,(Waterfall!N7+O11)/(1+N10),0)</f>
        <v>762.492074818193</v>
      </c>
      <c r="O11" s="13" t="n">
        <f aca="false">IF(Time!O20&lt;=$F$8,(Waterfall!O7+P11)/(1+O10),0)</f>
        <v>783.581716842186</v>
      </c>
      <c r="P11" s="13" t="n">
        <f aca="false">IF(Time!P20&lt;=$F$8,(Waterfall!P7+Q11)/(1+P10),0)</f>
        <v>805.254673782347</v>
      </c>
      <c r="Q11" s="13" t="n">
        <f aca="false">IF(Time!Q20&lt;=$F$8,(Waterfall!Q7+R11)/(1+Q10),0)</f>
        <v>833.819713787873</v>
      </c>
      <c r="R11" s="13" t="n">
        <f aca="false">IF(Time!R20&lt;=$F$8,(Waterfall!R7+S11)/(1+R10),0)</f>
        <v>813.418736887926</v>
      </c>
      <c r="S11" s="13" t="n">
        <f aca="false">IF(Time!S20&lt;=$F$8,(Waterfall!S7+T11)/(1+S10),0)</f>
        <v>791.57827832569</v>
      </c>
      <c r="T11" s="13" t="n">
        <f aca="false">IF(Time!T20&lt;=$F$8,(Waterfall!T7+U11)/(1+T10),0)</f>
        <v>768.96133324767</v>
      </c>
      <c r="U11" s="13" t="n">
        <f aca="false">IF(Time!U20&lt;=$F$8,(Waterfall!U7+V11)/(1+U10),0)</f>
        <v>745.281154904911</v>
      </c>
      <c r="V11" s="13" t="n">
        <f aca="false">IF(Time!V20&lt;=$F$8,(Waterfall!V7+W11)/(1+V10),0)</f>
        <v>720.939895781367</v>
      </c>
      <c r="W11" s="13" t="n">
        <f aca="false">IF(Time!W20&lt;=$F$8,(Waterfall!W7+X11)/(1+W10),0)</f>
        <v>695.480803614514</v>
      </c>
      <c r="X11" s="13" t="n">
        <f aca="false">IF(Time!X20&lt;=$F$8,(Waterfall!X7+Y11)/(1+X10),0)</f>
        <v>668.610299251848</v>
      </c>
      <c r="Y11" s="13" t="n">
        <f aca="false">IF(Time!Y20&lt;=$F$8,(Waterfall!Y7+Z11)/(1+Y10),0)</f>
        <v>640.504789802885</v>
      </c>
      <c r="Z11" s="13" t="n">
        <f aca="false">IF(Time!Z20&lt;=$F$8,(Waterfall!Z7+AA11)/(1+Z10),0)</f>
        <v>614.425780455438</v>
      </c>
      <c r="AA11" s="13" t="n">
        <f aca="false">IF(Time!AA20&lt;=$F$8,(Waterfall!AA7+AB11)/(1+AA10),0)</f>
        <v>587.117441520892</v>
      </c>
      <c r="AB11" s="13" t="n">
        <f aca="false">IF(Time!AB20&lt;=$F$8,(Waterfall!AB7+AC11)/(1+AB10),0)</f>
        <v>559.243087525214</v>
      </c>
      <c r="AC11" s="13" t="n">
        <f aca="false">IF(Time!AC20&lt;=$F$8,(Waterfall!AC7+AD11)/(1+AC10),0)</f>
        <v>529.904855942461</v>
      </c>
      <c r="AD11" s="13" t="n">
        <f aca="false">IF(Time!AD20&lt;=$F$8,(Waterfall!AD7+AE11)/(1+AD10),0)</f>
        <v>499.617474828832</v>
      </c>
      <c r="AE11" s="13" t="n">
        <f aca="false">IF(Time!AE20&lt;=$F$8,(Waterfall!AE7+AF11)/(1+AE10),0)</f>
        <v>467.763791994911</v>
      </c>
      <c r="AF11" s="13" t="n">
        <f aca="false">IF(Time!AF20&lt;=$F$8,(Waterfall!AF7+AG11)/(1+AF10),0)</f>
        <v>433.225101327144</v>
      </c>
      <c r="AG11" s="13" t="n">
        <f aca="false">IF(Time!AG20&lt;=$F$8,(Waterfall!AG7+AH11)/(1+AG10),0)</f>
        <v>396.685268125268</v>
      </c>
      <c r="AH11" s="13" t="n">
        <f aca="false">IF(Time!AH20&lt;=$F$8,(Waterfall!AH7+AI11)/(1+AH10),0)</f>
        <v>359.651776214735</v>
      </c>
      <c r="AI11" s="13" t="n">
        <f aca="false">IF(Time!AI20&lt;=$F$8,(Waterfall!AI7+AJ11)/(1+AI10),0)</f>
        <v>320.513043013907</v>
      </c>
      <c r="AJ11" s="13" t="n">
        <f aca="false">IF(Time!AJ20&lt;=$F$8,(Waterfall!AJ7+AK11)/(1+AJ10),0)</f>
        <v>279.973183811887</v>
      </c>
      <c r="AK11" s="13" t="n">
        <f aca="false">IF(Time!AK20&lt;=$F$8,(Waterfall!AK7+AL11)/(1+AK10),0)</f>
        <v>237.193834402347</v>
      </c>
      <c r="AL11" s="13" t="n">
        <f aca="false">IF(Time!AL20&lt;=$F$8,(Waterfall!AL7+AM11)/(1+AL10),0)</f>
        <v>192.865199102515</v>
      </c>
      <c r="AM11" s="13" t="n">
        <f aca="false">IF(Time!AM20&lt;=$F$8,(Waterfall!AM7+AN11)/(1+AM10),0)</f>
        <v>146.475217981388</v>
      </c>
      <c r="AN11" s="13" t="n">
        <f aca="false">IF(Time!AN20&lt;=$F$8,(Waterfall!AN7+AO11)/(1+AN10),0)</f>
        <v>98.3974743311698</v>
      </c>
      <c r="AO11" s="13" t="n">
        <f aca="false">IF(Time!AO20&lt;=$F$8,(Waterfall!AO7+AP11)/(1+AO10),0)</f>
        <v>48.4109357514018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957.429182470393</v>
      </c>
      <c r="K12" s="13" t="n">
        <f aca="false">IF(Time!K20&lt;=Time!$F$15,(Waterfall!K7+L12)/(1+K10),0)</f>
        <v>983.910557672148</v>
      </c>
      <c r="L12" s="13" t="n">
        <f aca="false">IF(Time!L20&lt;=Time!$F$15,(Waterfall!L7+M12)/(1+L10),0)</f>
        <v>1011.12437684513</v>
      </c>
      <c r="M12" s="13" t="n">
        <f aca="false">IF(Time!M20&lt;=Time!$F$15,(Waterfall!M7+N12)/(1+M10),0)</f>
        <v>1039.09089853584</v>
      </c>
      <c r="N12" s="13" t="n">
        <f aca="false">IF(Time!N20&lt;=Time!$F$15,(Waterfall!N7+O12)/(1+N10),0)</f>
        <v>1067.83094161856</v>
      </c>
      <c r="O12" s="13" t="n">
        <f aca="false">IF(Time!O20&lt;=Time!$F$15,(Waterfall!O7+P12)/(1+O10),0)</f>
        <v>1097.36590079338</v>
      </c>
      <c r="P12" s="13" t="n">
        <f aca="false">IF(Time!P20&lt;=Time!$F$15,(Waterfall!P7+Q12)/(1+P10),0)</f>
        <v>1127.71776251285</v>
      </c>
      <c r="Q12" s="13" t="n">
        <f aca="false">IF(Time!Q20&lt;=Time!$F$15,(Waterfall!Q7+R12)/(1+Q10),0)</f>
        <v>1165.20175568769</v>
      </c>
      <c r="R12" s="13" t="n">
        <f aca="false">IF(Time!R20&lt;=Time!$F$15,(Waterfall!R7+S12)/(1+R10),0)</f>
        <v>1156.10816151589</v>
      </c>
      <c r="S12" s="13" t="n">
        <f aca="false">IF(Time!S20&lt;=Time!$F$15,(Waterfall!S7+T12)/(1+S10),0)</f>
        <v>1146.08175073945</v>
      </c>
      <c r="T12" s="13" t="n">
        <f aca="false">IF(Time!T20&lt;=Time!$F$15,(Waterfall!T7+U12)/(1+T10),0)</f>
        <v>1135.55879021055</v>
      </c>
      <c r="U12" s="13" t="n">
        <f aca="false">IF(Time!U20&lt;=Time!$F$15,(Waterfall!U7+V12)/(1+U10),0)</f>
        <v>1124.52220161455</v>
      </c>
      <c r="V12" s="13" t="n">
        <f aca="false">IF(Time!V20&lt;=Time!$F$15,(Waterfall!V7+W12)/(1+V10),0)</f>
        <v>1113.16649810842</v>
      </c>
      <c r="W12" s="13" t="n">
        <f aca="false">IF(Time!W20&lt;=Time!$F$15,(Waterfall!W7+X12)/(1+W10),0)</f>
        <v>1101.23560737227</v>
      </c>
      <c r="X12" s="13" t="n">
        <f aca="false">IF(Time!X20&lt;=Time!$F$15,(Waterfall!X7+Y12)/(1+X10),0)</f>
        <v>1088.20889639075</v>
      </c>
      <c r="Y12" s="13" t="n">
        <f aca="false">IF(Time!Y20&lt;=Time!$F$15,(Waterfall!Y7+Z12)/(1+Y10),0)</f>
        <v>1074.5768652917</v>
      </c>
      <c r="Z12" s="13" t="n">
        <f aca="false">IF(Time!Z20&lt;=Time!$F$15,(Waterfall!Z7+AA12)/(1+Z10),0)</f>
        <v>1063.77308237518</v>
      </c>
      <c r="AA12" s="13" t="n">
        <f aca="false">IF(Time!AA20&lt;=Time!$F$15,(Waterfall!AA7+AB12)/(1+AA10),0)</f>
        <v>1052.45396413149</v>
      </c>
      <c r="AB12" s="13" t="n">
        <f aca="false">IF(Time!AB20&lt;=Time!$F$15,(Waterfall!AB7+AC12)/(1+AB10),0)</f>
        <v>1040.95584739035</v>
      </c>
      <c r="AC12" s="13" t="n">
        <f aca="false">IF(Time!AC20&lt;=Time!$F$15,(Waterfall!AC7+AD12)/(1+AC10),0)</f>
        <v>1028.66984779281</v>
      </c>
      <c r="AD12" s="13" t="n">
        <f aca="false">IF(Time!AD20&lt;=Time!$F$15,(Waterfall!AD7+AE12)/(1+AD10),0)</f>
        <v>1015.79341552334</v>
      </c>
      <c r="AE12" s="13" t="n">
        <f aca="false">IF(Time!AE20&lt;=Time!$F$15,(Waterfall!AE7+AF12)/(1+AE10),0)</f>
        <v>1001.9529816525</v>
      </c>
      <c r="AF12" s="13" t="n">
        <f aca="false">IF(Time!AF20&lt;=Time!$F$15,(Waterfall!AF7+AG12)/(1+AF10),0)</f>
        <v>985.701736665904</v>
      </c>
      <c r="AG12" s="13" t="n">
        <f aca="false">IF(Time!AG20&lt;=Time!$F$15,(Waterfall!AG7+AH12)/(1+AG10),0)</f>
        <v>968.065911932714</v>
      </c>
      <c r="AH12" s="13" t="n">
        <f aca="false">IF(Time!AH20&lt;=Time!$F$15,(Waterfall!AH7+AI12)/(1+AH10),0)</f>
        <v>950.566675681087</v>
      </c>
      <c r="AI12" s="13" t="n">
        <f aca="false">IF(Time!AI20&lt;=Time!$F$15,(Waterfall!AI7+AJ12)/(1+AI10),0)</f>
        <v>931.419718382676</v>
      </c>
      <c r="AJ12" s="13" t="n">
        <f aca="false">IF(Time!AJ20&lt;=Time!$F$15,(Waterfall!AJ7+AK12)/(1+AJ10),0)</f>
        <v>910.753834251991</v>
      </c>
      <c r="AK12" s="13" t="n">
        <f aca="false">IF(Time!AK20&lt;=Time!$F$15,(Waterfall!AK7+AL12)/(1+AK10),0)</f>
        <v>887.821271472817</v>
      </c>
      <c r="AL12" s="13" t="n">
        <f aca="false">IF(Time!AL20&lt;=Time!$F$15,(Waterfall!AL7+AM12)/(1+AL10),0)</f>
        <v>862.425711698991</v>
      </c>
      <c r="AM12" s="13" t="n">
        <f aca="false">IF(Time!AM20&lt;=Time!$F$15,(Waterfall!AM7+AN12)/(1+AM10),0)</f>
        <v>834.601752118391</v>
      </c>
      <c r="AN12" s="13" t="n">
        <f aca="false">IF(Time!AN20&lt;=Time!$F$15,(Waterfall!AN7+AO12)/(1+AN10),0)</f>
        <v>805.515955193603</v>
      </c>
      <c r="AO12" s="13" t="n">
        <f aca="false">IF(Time!AO20&lt;=Time!$F$15,(Waterfall!AO7+AP12)/(1+AO10),0)</f>
        <v>775.248464612473</v>
      </c>
      <c r="AP12" s="13" t="n">
        <f aca="false">IF(Time!AP20&lt;=Time!$F$15,(Waterfall!AP7+AQ12)/(1+AP10),0)</f>
        <v>746.94100770305</v>
      </c>
      <c r="AQ12" s="13" t="n">
        <f aca="false">IF(Time!AQ20&lt;=Time!$F$15,(Waterfall!AQ7+AR12)/(1+AQ10),0)</f>
        <v>719.85749884219</v>
      </c>
      <c r="AR12" s="13" t="n">
        <f aca="false">IF(Time!AR20&lt;=Time!$F$15,(Waterfall!AR7+AS12)/(1+AR10),0)</f>
        <v>698.509330171908</v>
      </c>
      <c r="AS12" s="13" t="n">
        <f aca="false">IF(Time!AS20&lt;=Time!$F$15,(Waterfall!AS7+AT12)/(1+AS10),0)</f>
        <v>676.507139400095</v>
      </c>
      <c r="AT12" s="13" t="n">
        <f aca="false">IF(Time!AT20&lt;=Time!$F$15,(Waterfall!AT7+AU12)/(1+AT10),0)</f>
        <v>654.448281885267</v>
      </c>
      <c r="AU12" s="13" t="n">
        <f aca="false">IF(Time!AU20&lt;=Time!$F$15,(Waterfall!AU7+AV12)/(1+AU10),0)</f>
        <v>631.283702210885</v>
      </c>
      <c r="AV12" s="13" t="n">
        <f aca="false">IF(Time!AV20&lt;=Time!$F$15,(Waterfall!AV7+AW12)/(1+AV10),0)</f>
        <v>601.347459828116</v>
      </c>
      <c r="AW12" s="13" t="n">
        <f aca="false">IF(Time!AW20&lt;=Time!$F$15,(Waterfall!AW7+AX12)/(1+AW10),0)</f>
        <v>574.253763719027</v>
      </c>
      <c r="AX12" s="13" t="n">
        <f aca="false">IF(Time!AX20&lt;=Time!$F$15,(Waterfall!AX7+AY12)/(1+AX10),0)</f>
        <v>547.354785308783</v>
      </c>
      <c r="AY12" s="13" t="n">
        <f aca="false">IF(Time!AY20&lt;=Time!$F$15,(Waterfall!AY7+AZ12)/(1+AY10),0)</f>
        <v>518.990191120299</v>
      </c>
      <c r="AZ12" s="13" t="n">
        <f aca="false">IF(Time!AZ20&lt;=Time!$F$15,(Waterfall!AZ7+BA12)/(1+AZ10),0)</f>
        <v>490.239087487269</v>
      </c>
      <c r="BA12" s="13" t="n">
        <f aca="false">IF(Time!BA20&lt;=Time!$F$15,(Waterfall!BA7+BB12)/(1+BA10),0)</f>
        <v>460.058504255862</v>
      </c>
      <c r="BB12" s="13" t="n">
        <f aca="false">IF(Time!BB20&lt;=Time!$F$15,(Waterfall!BB7+BC12)/(1+BB10),0)</f>
        <v>429.439405617675</v>
      </c>
      <c r="BC12" s="13" t="n">
        <f aca="false">IF(Time!BC20&lt;=Time!$F$15,(Waterfall!BC7+BD12)/(1+BC10),0)</f>
        <v>397.472325566089</v>
      </c>
      <c r="BD12" s="13" t="n">
        <f aca="false">IF(Time!BD20&lt;=Time!$F$15,(Waterfall!BD7+BE12)/(1+BD10),0)</f>
        <v>363.133701302055</v>
      </c>
      <c r="BE12" s="13" t="n">
        <f aca="false">IF(Time!BE20&lt;=Time!$F$15,(Waterfall!BE7+BF12)/(1+BE10),0)</f>
        <v>329.266938734614</v>
      </c>
      <c r="BF12" s="13" t="n">
        <f aca="false">IF(Time!BF20&lt;=Time!$F$15,(Waterfall!BF7+BG12)/(1+BF10),0)</f>
        <v>302.752604843882</v>
      </c>
      <c r="BG12" s="13" t="n">
        <f aca="false">IF(Time!BG20&lt;=Time!$F$15,(Waterfall!BG7+BH12)/(1+BG10),0)</f>
        <v>274.839916300288</v>
      </c>
      <c r="BH12" s="13" t="n">
        <f aca="false">IF(Time!BH20&lt;=Time!$F$15,(Waterfall!BH7+BI12)/(1+BH10),0)</f>
        <v>246.558519375015</v>
      </c>
      <c r="BI12" s="13" t="n">
        <f aca="false">IF(Time!BI20&lt;=Time!$F$15,(Waterfall!BI7+BJ12)/(1+BI10),0)</f>
        <v>216.834734672372</v>
      </c>
      <c r="BJ12" s="13" t="n">
        <f aca="false">IF(Time!BJ20&lt;=Time!$F$15,(Waterfall!BJ7+BK12)/(1+BJ10),0)</f>
        <v>186.696357811804</v>
      </c>
      <c r="BK12" s="13" t="n">
        <f aca="false">IF(Time!BK20&lt;=Time!$F$15,(Waterfall!BK7+BL12)/(1+BK10),0)</f>
        <v>155.179546324116</v>
      </c>
      <c r="BL12" s="13" t="n">
        <f aca="false">IF(Time!BL20&lt;=Time!$F$15,(Waterfall!BL7+BM12)/(1+BL10),0)</f>
        <v>115.386282073729</v>
      </c>
      <c r="BM12" s="13" t="n">
        <f aca="false">IF(Time!BM20&lt;=Time!$F$15,(Waterfall!BM7+BN12)/(1+BM10),0)</f>
        <v>78.9295447397843</v>
      </c>
      <c r="BN12" s="13" t="n">
        <f aca="false">IF(Time!BN20&lt;=Time!$F$15,(Waterfall!BN7+BO12)/(1+BN10),0)</f>
        <v>41.8480149390568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0</v>
      </c>
      <c r="Q13" s="6" t="n">
        <f aca="false">IF(Debt!Q115&gt;Inputs!$F$253,(Q11+Reserves!Q9)/Debt!Q115,0)</f>
        <v>1.34056816651678</v>
      </c>
      <c r="R13" s="6" t="n">
        <f aca="false">IF(Debt!R115&gt;Inputs!$F$253,(R11+Reserves!R9)/Debt!R115,0)</f>
        <v>1.39446856607603</v>
      </c>
      <c r="S13" s="6" t="n">
        <f aca="false">IF(Debt!S115&gt;Inputs!$F$253,(S11+Reserves!S9)/Debt!S115,0)</f>
        <v>1.39653232673827</v>
      </c>
      <c r="T13" s="6" t="n">
        <f aca="false">IF(Debt!T115&gt;Inputs!$F$253,(T11+Reserves!T9)/Debt!T115,0)</f>
        <v>1.39990166706081</v>
      </c>
      <c r="U13" s="6" t="n">
        <f aca="false">IF(Debt!U115&gt;Inputs!$F$253,(U11+Reserves!U9)/Debt!U115,0)</f>
        <v>1.40237256274485</v>
      </c>
      <c r="V13" s="6" t="n">
        <f aca="false">IF(Debt!V115&gt;Inputs!$F$253,(V11+Reserves!V9)/Debt!V115,0)</f>
        <v>1.40622486059168</v>
      </c>
      <c r="W13" s="6" t="n">
        <f aca="false">IF(Debt!W115&gt;Inputs!$F$253,(W11+Reserves!W9)/Debt!W115,0)</f>
        <v>1.41024547171336</v>
      </c>
      <c r="X13" s="6" t="n">
        <f aca="false">IF(Debt!X115&gt;Inputs!$F$253,(X11+Reserves!X9)/Debt!X115,0)</f>
        <v>1.41523170360151</v>
      </c>
      <c r="Y13" s="6" t="n">
        <f aca="false">IF(Debt!Y115&gt;Inputs!$F$253,(Y11+Reserves!Y9)/Debt!Y115,0)</f>
        <v>1.41593629069322</v>
      </c>
      <c r="Z13" s="6" t="n">
        <f aca="false">IF(Debt!Z115&gt;Inputs!$F$253,(Z11+Reserves!Z9)/Debt!Z115,0)</f>
        <v>1.42154245656422</v>
      </c>
      <c r="AA13" s="6" t="n">
        <f aca="false">IF(Debt!AA115&gt;Inputs!$F$253,(AA11+Reserves!AA9)/Debt!AA115,0)</f>
        <v>1.42586647405034</v>
      </c>
      <c r="AB13" s="6" t="n">
        <f aca="false">IF(Debt!AB115&gt;Inputs!$F$253,(AB11+Reserves!AB9)/Debt!AB115,0)</f>
        <v>1.4528487609838</v>
      </c>
      <c r="AC13" s="6" t="n">
        <f aca="false">IF(Debt!AC115&gt;Inputs!$F$253,(AC11+Reserves!AC9)/Debt!AC115,0)</f>
        <v>1.48319096880284</v>
      </c>
      <c r="AD13" s="6" t="n">
        <f aca="false">IF(Debt!AD115&gt;Inputs!$F$253,(AD11+Reserves!AD9)/Debt!AD115,0)</f>
        <v>1.51847093520687</v>
      </c>
      <c r="AE13" s="6" t="n">
        <f aca="false">IF(Debt!AE115&gt;Inputs!$F$253,(AE11+Reserves!AE9)/Debt!AE115,0)</f>
        <v>1.56075164132459</v>
      </c>
      <c r="AF13" s="6" t="n">
        <f aca="false">IF(Debt!AF115&gt;Inputs!$F$253,(AF11+Reserves!AF9)/Debt!AF115,0)</f>
        <v>1.61279854881622</v>
      </c>
      <c r="AG13" s="6" t="n">
        <f aca="false">IF(Debt!AG115&gt;Inputs!$F$253,(AG11+Reserves!AG9)/Debt!AG115,0)</f>
        <v>1.67744371637396</v>
      </c>
      <c r="AH13" s="6" t="n">
        <f aca="false">IF(Debt!AH115&gt;Inputs!$F$253,(AH11+Reserves!AH9)/Debt!AH115,0)</f>
        <v>1.75888424561944</v>
      </c>
      <c r="AI13" s="6" t="n">
        <f aca="false">IF(Debt!AI115&gt;Inputs!$F$253,(AI11+Reserves!AI9)/Debt!AI115,0)</f>
        <v>1.86829392919888</v>
      </c>
      <c r="AJ13" s="6" t="n">
        <f aca="false">IF(Debt!AJ115&gt;Inputs!$F$253,(AJ11+Reserves!AJ9)/Debt!AJ115,0)</f>
        <v>2.02172117273297</v>
      </c>
      <c r="AK13" s="6" t="n">
        <f aca="false">IF(Debt!AK115&gt;Inputs!$F$253,(AK11+Reserves!AK9)/Debt!AK115,0)</f>
        <v>2.26141766669703</v>
      </c>
      <c r="AL13" s="6" t="n">
        <f aca="false">IF(Debt!AL115&gt;Inputs!$F$253,(AL11+Reserves!AL9)/Debt!AL115,0)</f>
        <v>2.43827449567543</v>
      </c>
      <c r="AM13" s="6" t="n">
        <f aca="false">IF(Debt!AM115&gt;Inputs!$F$253,(AM11+Reserves!AM9)/Debt!AM115,0)</f>
        <v>2.49739021359938</v>
      </c>
      <c r="AN13" s="6" t="n">
        <f aca="false">IF(Debt!AN115&gt;Inputs!$F$253,(AN11+Reserves!AN9)/Debt!AN115,0)</f>
        <v>2.66938196284913</v>
      </c>
      <c r="AO13" s="6" t="n">
        <f aca="false">IF(Debt!AO115&gt;Inputs!$F$253,(AO11+Reserves!AO9)/Debt!AO115,0)</f>
        <v>3.15414880036501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0</v>
      </c>
      <c r="Q14" s="6" t="n">
        <f aca="false">IF(Debt!Q115&gt;Inputs!$F$253,Q11/Debt!Q115,0)</f>
        <v>1.29289065759442</v>
      </c>
      <c r="R14" s="6" t="n">
        <f aca="false">IF(Debt!R115&gt;Inputs!$F$253,R11/Debt!R115,0)</f>
        <v>1.33266642405646</v>
      </c>
      <c r="S14" s="6" t="n">
        <f aca="false">IF(Debt!S115&gt;Inputs!$F$253,S11/Debt!S115,0)</f>
        <v>1.33332056173678</v>
      </c>
      <c r="T14" s="6" t="n">
        <f aca="false">IF(Debt!T115&gt;Inputs!$F$253,T11/Debt!T115,0)</f>
        <v>1.33404087928892</v>
      </c>
      <c r="U14" s="6" t="n">
        <f aca="false">IF(Debt!U115&gt;Inputs!$F$253,U11/Debt!U115,0)</f>
        <v>1.33483519584292</v>
      </c>
      <c r="V14" s="6" t="n">
        <f aca="false">IF(Debt!V115&gt;Inputs!$F$253,V11/Debt!V115,0)</f>
        <v>1.33571333566835</v>
      </c>
      <c r="W14" s="6" t="n">
        <f aca="false">IF(Debt!W115&gt;Inputs!$F$253,W11/Debt!W115,0)</f>
        <v>1.33669296350057</v>
      </c>
      <c r="X14" s="6" t="n">
        <f aca="false">IF(Debt!X115&gt;Inputs!$F$253,X11/Debt!X115,0)</f>
        <v>1.33780346512987</v>
      </c>
      <c r="Y14" s="6" t="n">
        <f aca="false">IF(Debt!Y115&gt;Inputs!$F$253,Y11/Debt!Y115,0)</f>
        <v>1.33905996148836</v>
      </c>
      <c r="Z14" s="6" t="n">
        <f aca="false">IF(Debt!Z115&gt;Inputs!$F$253,Z11/Debt!Z115,0)</f>
        <v>1.34041459748883</v>
      </c>
      <c r="AA14" s="6" t="n">
        <f aca="false">IF(Debt!AA115&gt;Inputs!$F$253,AA11/Debt!AA115,0)</f>
        <v>1.34195849158509</v>
      </c>
      <c r="AB14" s="6" t="n">
        <f aca="false">IF(Debt!AB115&gt;Inputs!$F$253,AB11/Debt!AB115,0)</f>
        <v>1.36232336202402</v>
      </c>
      <c r="AC14" s="6" t="n">
        <f aca="false">IF(Debt!AC115&gt;Inputs!$F$253,AC11/Debt!AC115,0)</f>
        <v>1.38804385523549</v>
      </c>
      <c r="AD14" s="6" t="n">
        <f aca="false">IF(Debt!AD115&gt;Inputs!$F$253,AD11/Debt!AD115,0)</f>
        <v>1.41645737179717</v>
      </c>
      <c r="AE14" s="6" t="n">
        <f aca="false">IF(Debt!AE115&gt;Inputs!$F$253,AE11/Debt!AE115,0)</f>
        <v>1.44879621852359</v>
      </c>
      <c r="AF14" s="6" t="n">
        <f aca="false">IF(Debt!AF115&gt;Inputs!$F$253,AF11/Debt!AF115,0)</f>
        <v>1.48946336349885</v>
      </c>
      <c r="AG14" s="6" t="n">
        <f aca="false">IF(Debt!AG115&gt;Inputs!$F$253,AG11/Debt!AG115,0)</f>
        <v>1.54393864114936</v>
      </c>
      <c r="AH14" s="6" t="n">
        <f aca="false">IF(Debt!AH115&gt;Inputs!$F$253,AH11/Debt!AH115,0)</f>
        <v>1.60903828829586</v>
      </c>
      <c r="AI14" s="6" t="n">
        <f aca="false">IF(Debt!AI115&gt;Inputs!$F$253,AI11/Debt!AI115,0)</f>
        <v>1.69927155181318</v>
      </c>
      <c r="AJ14" s="6" t="n">
        <f aca="false">IF(Debt!AJ115&gt;Inputs!$F$253,AJ11/Debt!AJ115,0)</f>
        <v>1.8232929058154</v>
      </c>
      <c r="AK14" s="6" t="n">
        <f aca="false">IF(Debt!AK115&gt;Inputs!$F$253,AK11/Debt!AK115,0)</f>
        <v>2.02169564939114</v>
      </c>
      <c r="AL14" s="6" t="n">
        <f aca="false">IF(Debt!AL115&gt;Inputs!$F$253,AL11/Debt!AL115,0)</f>
        <v>2.1536345429262</v>
      </c>
      <c r="AM14" s="6" t="n">
        <f aca="false">IF(Debt!AM115&gt;Inputs!$F$253,AM11/Debt!AM115,0)</f>
        <v>2.1442961945305</v>
      </c>
      <c r="AN14" s="6" t="n">
        <f aca="false">IF(Debt!AN115&gt;Inputs!$F$253,AN11/Debt!AN115,0)</f>
        <v>2.13559596373116</v>
      </c>
      <c r="AO14" s="6" t="n">
        <f aca="false">IF(Debt!AO115&gt;Inputs!$F$253,AO11/Debt!AO115,0)</f>
        <v>2.12648996597119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0</v>
      </c>
      <c r="Q15" s="6" t="n">
        <f aca="false">IF(Debt!Q115&gt;Inputs!$F$253,Q12/Debt!Q115,0)</f>
        <v>1.80671965321809</v>
      </c>
      <c r="R15" s="6" t="n">
        <f aca="false">IF(Debt!R115&gt;Inputs!$F$253,R12/Debt!R115,0)</f>
        <v>1.8941124165943</v>
      </c>
      <c r="S15" s="6" t="n">
        <f aca="false">IF(Debt!S115&gt;Inputs!$F$253,S12/Debt!S115,0)</f>
        <v>1.93043998999613</v>
      </c>
      <c r="T15" s="6" t="n">
        <f aca="false">IF(Debt!T115&gt;Inputs!$F$253,T12/Debt!T115,0)</f>
        <v>1.97003643938599</v>
      </c>
      <c r="U15" s="6" t="n">
        <f aca="false">IF(Debt!U115&gt;Inputs!$F$253,U12/Debt!U115,0)</f>
        <v>2.0140745587662</v>
      </c>
      <c r="V15" s="6" t="n">
        <f aca="false">IF(Debt!V115&gt;Inputs!$F$253,V12/Debt!V115,0)</f>
        <v>2.06240679014047</v>
      </c>
      <c r="W15" s="6" t="n">
        <f aca="false">IF(Debt!W115&gt;Inputs!$F$253,W12/Debt!W115,0)</f>
        <v>2.11654136229285</v>
      </c>
      <c r="X15" s="6" t="n">
        <f aca="false">IF(Debt!X115&gt;Inputs!$F$253,X12/Debt!X115,0)</f>
        <v>2.17736644799773</v>
      </c>
      <c r="Y15" s="6" t="n">
        <f aca="false">IF(Debt!Y115&gt;Inputs!$F$253,Y12/Debt!Y115,0)</f>
        <v>2.24654503566885</v>
      </c>
      <c r="Z15" s="6" t="n">
        <f aca="false">IF(Debt!Z115&gt;Inputs!$F$253,Z12/Debt!Z115,0)</f>
        <v>2.32069846902328</v>
      </c>
      <c r="AA15" s="6" t="n">
        <f aca="false">IF(Debt!AA115&gt;Inputs!$F$253,AA12/Debt!AA115,0)</f>
        <v>2.40556562331044</v>
      </c>
      <c r="AB15" s="6" t="n">
        <f aca="false">IF(Debt!AB115&gt;Inputs!$F$253,AB12/Debt!AB115,0)</f>
        <v>2.53578184758779</v>
      </c>
      <c r="AC15" s="6" t="n">
        <f aca="false">IF(Debt!AC115&gt;Inputs!$F$253,AC12/Debt!AC115,0)</f>
        <v>2.69451929961153</v>
      </c>
      <c r="AD15" s="6" t="n">
        <f aca="false">IF(Debt!AD115&gt;Inputs!$F$253,AD12/Debt!AD115,0)</f>
        <v>2.8798593806872</v>
      </c>
      <c r="AE15" s="6" t="n">
        <f aca="false">IF(Debt!AE115&gt;Inputs!$F$253,AE12/Debt!AE115,0)</f>
        <v>3.10333060360596</v>
      </c>
      <c r="AF15" s="6" t="n">
        <f aca="false">IF(Debt!AF115&gt;Inputs!$F$253,AF12/Debt!AF115,0)</f>
        <v>3.38892326322612</v>
      </c>
      <c r="AG15" s="6" t="n">
        <f aca="false">IF(Debt!AG115&gt;Inputs!$F$253,AG12/Debt!AG115,0)</f>
        <v>3.76780911395083</v>
      </c>
      <c r="AH15" s="6" t="n">
        <f aca="false">IF(Debt!AH115&gt;Inputs!$F$253,AH12/Debt!AH115,0)</f>
        <v>4.25271965245565</v>
      </c>
      <c r="AI15" s="6" t="n">
        <f aca="false">IF(Debt!AI115&gt;Inputs!$F$253,AI12/Debt!AI115,0)</f>
        <v>4.93812986629955</v>
      </c>
      <c r="AJ15" s="6" t="n">
        <f aca="false">IF(Debt!AJ115&gt;Inputs!$F$253,AJ12/Debt!AJ115,0)</f>
        <v>5.93117877336268</v>
      </c>
      <c r="AK15" s="6" t="n">
        <f aca="false">IF(Debt!AK115&gt;Inputs!$F$253,AK12/Debt!AK115,0)</f>
        <v>7.56724729585023</v>
      </c>
      <c r="AL15" s="6" t="n">
        <f aca="false">IF(Debt!AL115&gt;Inputs!$F$253,AL12/Debt!AL115,0)</f>
        <v>9.63030039667969</v>
      </c>
      <c r="AM15" s="6" t="n">
        <f aca="false">IF(Debt!AM115&gt;Inputs!$F$253,AM12/Debt!AM115,0)</f>
        <v>12.2179941814004</v>
      </c>
      <c r="AN15" s="6" t="n">
        <f aca="false">IF(Debt!AN115&gt;Inputs!$F$253,AN12/Debt!AN115,0)</f>
        <v>17.4827314860009</v>
      </c>
      <c r="AO15" s="6" t="n">
        <f aca="false">IF(Debt!AO115&gt;Inputs!$F$253,AO12/Debt!AO115,0)</f>
        <v>34.0534231686537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1.28294212849606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1.50416416179692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1.34056816651678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1.80671965321809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1170.14159512414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-5.59400932501164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3.80037142827399</v>
      </c>
      <c r="BT8" s="18" t="n">
        <f aca="false">Waterfall!R44</f>
        <v>12.3545111413181</v>
      </c>
      <c r="BU8" s="18" t="n">
        <f aca="false">Waterfall!S44</f>
        <v>11.6587043083266</v>
      </c>
      <c r="BV8" s="18" t="n">
        <f aca="false">Waterfall!T44</f>
        <v>12.4926362286718</v>
      </c>
      <c r="BW8" s="18" t="n">
        <f aca="false">Waterfall!U44</f>
        <v>11.8023633283128</v>
      </c>
      <c r="BX8" s="18" t="n">
        <f aca="false">Waterfall!V44</f>
        <v>12.05553145027</v>
      </c>
      <c r="BY8" s="18" t="n">
        <f aca="false">Waterfall!W44</f>
        <v>11.902096712719</v>
      </c>
      <c r="BZ8" s="18" t="n">
        <f aca="false">Waterfall!X44</f>
        <v>14.396496123629</v>
      </c>
      <c r="CA8" s="18" t="n">
        <f aca="false">Waterfall!Y44</f>
        <v>11.4309287147017</v>
      </c>
      <c r="CB8" s="18" t="n">
        <f aca="false">Waterfall!Z44</f>
        <v>12.4611770648394</v>
      </c>
      <c r="CC8" s="18" t="n">
        <f aca="false">Waterfall!AA44</f>
        <v>5.68751893640502</v>
      </c>
      <c r="CD8" s="18" t="n">
        <f aca="false">Waterfall!AB44</f>
        <v>6.69785636438926</v>
      </c>
      <c r="CE8" s="18" t="n">
        <f aca="false">Waterfall!AC44</f>
        <v>6.75936991336065</v>
      </c>
      <c r="CF8" s="18" t="n">
        <f aca="false">Waterfall!AD44</f>
        <v>6.95662117557544</v>
      </c>
      <c r="CG8" s="18" t="n">
        <f aca="false">Waterfall!AE44</f>
        <v>7.76839516540654</v>
      </c>
      <c r="CH8" s="18" t="n">
        <f aca="false">Waterfall!AF44</f>
        <v>9.05368578349636</v>
      </c>
      <c r="CI8" s="18" t="n">
        <f aca="false">Waterfall!AG44</f>
        <v>9.20841632333767</v>
      </c>
      <c r="CJ8" s="18" t="n">
        <f aca="false">Waterfall!AH44</f>
        <v>10.4554122079019</v>
      </c>
      <c r="CK8" s="18" t="n">
        <f aca="false">Waterfall!AI44</f>
        <v>11.1776260117282</v>
      </c>
      <c r="CL8" s="18" t="n">
        <f aca="false">Waterfall!AJ44</f>
        <v>12.8717830914757</v>
      </c>
      <c r="CM8" s="18" t="n">
        <f aca="false">Waterfall!AK44</f>
        <v>22.6806904601206</v>
      </c>
      <c r="CN8" s="18" t="n">
        <f aca="false">Waterfall!AL44</f>
        <v>29.3814368694861</v>
      </c>
      <c r="CO8" s="18" t="n">
        <f aca="false">Waterfall!AM44</f>
        <v>27.5262236074901</v>
      </c>
      <c r="CP8" s="18" t="n">
        <f aca="false">Waterfall!AN44</f>
        <v>29.3351722312096</v>
      </c>
      <c r="CQ8" s="18" t="n">
        <f aca="false">Waterfall!AO44</f>
        <v>49.7499258061995</v>
      </c>
      <c r="CR8" s="18" t="n">
        <f aca="false">Waterfall!AP44</f>
        <v>47.7430264948692</v>
      </c>
      <c r="CS8" s="18" t="n">
        <f aca="false">Waterfall!AQ44</f>
        <v>41.2585880179046</v>
      </c>
      <c r="CT8" s="18" t="n">
        <f aca="false">Waterfall!AR44</f>
        <v>41.3221446575737</v>
      </c>
      <c r="CU8" s="18" t="n">
        <f aca="false">Waterfall!AS44</f>
        <v>40.7702564497292</v>
      </c>
      <c r="CV8" s="18" t="n">
        <f aca="false">Waterfall!AT44</f>
        <v>41.2658563223646</v>
      </c>
      <c r="CW8" s="18" t="n">
        <f aca="false">Waterfall!AU44</f>
        <v>47.3968137577346</v>
      </c>
      <c r="CX8" s="18" t="n">
        <f aca="false">Waterfall!AV44</f>
        <v>43.7262659136173</v>
      </c>
      <c r="CY8" s="18" t="n">
        <f aca="false">Waterfall!AW44</f>
        <v>42.7821681609747</v>
      </c>
      <c r="CZ8" s="18" t="n">
        <f aca="false">Waterfall!AX44</f>
        <v>43.5037895500025</v>
      </c>
      <c r="DA8" s="18" t="n">
        <f aca="false">Waterfall!AY44</f>
        <v>43.1057673812405</v>
      </c>
      <c r="DB8" s="18" t="n">
        <f aca="false">Waterfall!AZ44</f>
        <v>43.7400249655937</v>
      </c>
      <c r="DC8" s="18" t="n">
        <f aca="false">Waterfall!BA44</f>
        <v>43.3437806188668</v>
      </c>
      <c r="DD8" s="18" t="n">
        <f aca="false">Waterfall!BB44</f>
        <v>43.5918156531755</v>
      </c>
      <c r="DE8" s="18" t="n">
        <f aca="false">Waterfall!BC44</f>
        <v>43.7972877379491</v>
      </c>
      <c r="DF8" s="18" t="n">
        <f aca="false">Waterfall!BD44</f>
        <v>42.3588670414845</v>
      </c>
      <c r="DG8" s="18" t="n">
        <f aca="false">Waterfall!BE44</f>
        <v>34.052746794898</v>
      </c>
      <c r="DH8" s="18" t="n">
        <f aca="false">Waterfall!BF44</f>
        <v>34.7005837606556</v>
      </c>
      <c r="DI8" s="18" t="n">
        <f aca="false">Waterfall!BG44</f>
        <v>34.2799098392156</v>
      </c>
      <c r="DJ8" s="18" t="n">
        <f aca="false">Waterfall!BH44</f>
        <v>34.9225274590717</v>
      </c>
      <c r="DK8" s="18" t="n">
        <f aca="false">Waterfall!BI44</f>
        <v>34.4972628079324</v>
      </c>
      <c r="DL8" s="18" t="n">
        <f aca="false">Waterfall!BJ44</f>
        <v>35.0241795039986</v>
      </c>
      <c r="DM8" s="18" t="n">
        <f aca="false">Waterfall!BK44</f>
        <v>42.4107923321734</v>
      </c>
      <c r="DN8" s="18" t="n">
        <f aca="false">Waterfall!BL44</f>
        <v>37.9553101910247</v>
      </c>
      <c r="DO8" s="18" t="n">
        <f aca="false">Waterfall!BM44</f>
        <v>37.5532314557561</v>
      </c>
      <c r="DP8" s="18" t="n">
        <f aca="false">Waterfall!BN44</f>
        <v>61.0976590753166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1544.98271113369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47.7430264948692</v>
      </c>
      <c r="CS9" s="18" t="n">
        <f aca="false">Waterfall!AQ7</f>
        <v>41.2585880179046</v>
      </c>
      <c r="CT9" s="18" t="n">
        <f aca="false">Waterfall!AR7</f>
        <v>41.3221446575737</v>
      </c>
      <c r="CU9" s="18" t="n">
        <f aca="false">Waterfall!AS7</f>
        <v>40.7702564497292</v>
      </c>
      <c r="CV9" s="18" t="n">
        <f aca="false">Waterfall!AT7</f>
        <v>41.2658563223646</v>
      </c>
      <c r="CW9" s="18" t="n">
        <f aca="false">Waterfall!AU7</f>
        <v>47.3968137577346</v>
      </c>
      <c r="CX9" s="18" t="n">
        <f aca="false">Waterfall!AV7</f>
        <v>43.7262659136173</v>
      </c>
      <c r="CY9" s="18" t="n">
        <f aca="false">Waterfall!AW7</f>
        <v>42.7821681609747</v>
      </c>
      <c r="CZ9" s="18" t="n">
        <f aca="false">Waterfall!AX7</f>
        <v>43.5037895500025</v>
      </c>
      <c r="DA9" s="18" t="n">
        <f aca="false">Waterfall!AY7</f>
        <v>43.1057673812405</v>
      </c>
      <c r="DB9" s="18" t="n">
        <f aca="false">Waterfall!AZ7</f>
        <v>43.7400249655937</v>
      </c>
      <c r="DC9" s="18" t="n">
        <f aca="false">Waterfall!BA7</f>
        <v>43.3437806188668</v>
      </c>
      <c r="DD9" s="18" t="n">
        <f aca="false">Waterfall!BB7</f>
        <v>43.8448734537438</v>
      </c>
      <c r="DE9" s="18" t="n">
        <f aca="false">Waterfall!BC7</f>
        <v>45.332245492991</v>
      </c>
      <c r="DF9" s="18" t="n">
        <f aca="false">Waterfall!BD7</f>
        <v>43.910617474569</v>
      </c>
      <c r="DG9" s="18" t="n">
        <f aca="false">Waterfall!BE7</f>
        <v>35.6214736205507</v>
      </c>
      <c r="DH9" s="18" t="n">
        <f aca="false">Waterfall!BF7</f>
        <v>36.2864727032679</v>
      </c>
      <c r="DI9" s="18" t="n">
        <f aca="false">Waterfall!BG7</f>
        <v>35.8831486550327</v>
      </c>
      <c r="DJ9" s="18" t="n">
        <f aca="false">Waterfall!BH7</f>
        <v>36.5433059584216</v>
      </c>
      <c r="DK9" s="18" t="n">
        <f aca="false">Waterfall!BI7</f>
        <v>36.1357728776975</v>
      </c>
      <c r="DL9" s="18" t="n">
        <f aca="false">Waterfall!BJ7</f>
        <v>36.6806151303341</v>
      </c>
      <c r="DM9" s="18" t="n">
        <f aca="false">Waterfall!BK7</f>
        <v>44.0853496234734</v>
      </c>
      <c r="DN9" s="18" t="n">
        <f aca="false">Waterfall!BL7</f>
        <v>39.6481874011396</v>
      </c>
      <c r="DO9" s="18" t="n">
        <f aca="false">Waterfall!BM7</f>
        <v>39.2646290074646</v>
      </c>
      <c r="DP9" s="18" t="n">
        <f aca="false">Waterfall!BN7</f>
        <v>43.0054822539661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52.5994205604815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-225.724011267626</v>
      </c>
      <c r="AZ11" s="13" t="n">
        <f aca="false">AY11+AZ8</f>
        <v>-225.724011267626</v>
      </c>
      <c r="BA11" s="13" t="n">
        <f aca="false">AZ11+BA8</f>
        <v>-225.724011267626</v>
      </c>
      <c r="BB11" s="13" t="n">
        <f aca="false">BA11+BB8</f>
        <v>-225.724011267626</v>
      </c>
      <c r="BC11" s="13" t="n">
        <f aca="false">BB11+BC8</f>
        <v>-225.724011267626</v>
      </c>
      <c r="BD11" s="13" t="n">
        <f aca="false">BC11+BD8</f>
        <v>-225.724011267626</v>
      </c>
      <c r="BE11" s="13" t="n">
        <f aca="false">BD11+BE8</f>
        <v>-225.724011267626</v>
      </c>
      <c r="BF11" s="13" t="n">
        <f aca="false">BE11+BF8</f>
        <v>-225.724011267626</v>
      </c>
      <c r="BG11" s="13" t="n">
        <f aca="false">BF11+BG8</f>
        <v>-225.724011267626</v>
      </c>
      <c r="BH11" s="13" t="n">
        <f aca="false">BG11+BH8</f>
        <v>-225.724011267626</v>
      </c>
      <c r="BI11" s="13" t="n">
        <f aca="false">BH11+BI8</f>
        <v>-225.724011267626</v>
      </c>
      <c r="BJ11" s="13" t="n">
        <f aca="false">BI11+BJ8</f>
        <v>-225.724011267626</v>
      </c>
      <c r="BK11" s="13" t="n">
        <f aca="false">BJ11+BK8</f>
        <v>-225.724011267626</v>
      </c>
      <c r="BL11" s="13" t="n">
        <f aca="false">BK11+BL8</f>
        <v>-225.724011267626</v>
      </c>
      <c r="BM11" s="13" t="n">
        <f aca="false">BL11+BM8</f>
        <v>-225.724011267626</v>
      </c>
      <c r="BN11" s="13" t="n">
        <f aca="false">BM11+BN8</f>
        <v>-225.724011267626</v>
      </c>
      <c r="BO11" s="13" t="n">
        <f aca="false">BN11+BO8</f>
        <v>-225.724011267626</v>
      </c>
      <c r="BP11" s="13" t="n">
        <f aca="false">BO11+BP8</f>
        <v>-225.724011267626</v>
      </c>
      <c r="BQ11" s="13" t="n">
        <f aca="false">BP11+BQ8</f>
        <v>-225.724011267626</v>
      </c>
      <c r="BR11" s="13" t="n">
        <f aca="false">BQ11+BR8</f>
        <v>-225.724011267626</v>
      </c>
      <c r="BS11" s="13" t="n">
        <f aca="false">BR11+BS8</f>
        <v>-221.923639839352</v>
      </c>
      <c r="BT11" s="13" t="n">
        <f aca="false">BS11+BT8</f>
        <v>-209.569128698034</v>
      </c>
      <c r="BU11" s="13" t="n">
        <f aca="false">BT11+BU8</f>
        <v>-197.910424389707</v>
      </c>
      <c r="BV11" s="13" t="n">
        <f aca="false">BU11+BV8</f>
        <v>-185.417788161035</v>
      </c>
      <c r="BW11" s="13" t="n">
        <f aca="false">BV11+BW8</f>
        <v>-173.615424832723</v>
      </c>
      <c r="BX11" s="13" t="n">
        <f aca="false">BW11+BX8</f>
        <v>-161.559893382453</v>
      </c>
      <c r="BY11" s="13" t="n">
        <f aca="false">BX11+BY8</f>
        <v>-149.657796669734</v>
      </c>
      <c r="BZ11" s="13" t="n">
        <f aca="false">BY11+BZ8</f>
        <v>-135.261300546105</v>
      </c>
      <c r="CA11" s="13" t="n">
        <f aca="false">BZ11+CA8</f>
        <v>-123.830371831403</v>
      </c>
      <c r="CB11" s="13" t="n">
        <f aca="false">CA11+CB8</f>
        <v>-111.369194766563</v>
      </c>
      <c r="CC11" s="13" t="n">
        <f aca="false">CB11+CC8</f>
        <v>-105.681675830158</v>
      </c>
      <c r="CD11" s="13" t="n">
        <f aca="false">CC11+CD8</f>
        <v>-98.9838194657692</v>
      </c>
      <c r="CE11" s="13" t="n">
        <f aca="false">CD11+CE8</f>
        <v>-92.2244495524085</v>
      </c>
      <c r="CF11" s="13" t="n">
        <f aca="false">CE11+CF8</f>
        <v>-85.2678283768331</v>
      </c>
      <c r="CG11" s="13" t="n">
        <f aca="false">CF11+CG8</f>
        <v>-77.4994332114265</v>
      </c>
      <c r="CH11" s="13" t="n">
        <f aca="false">CG11+CH8</f>
        <v>-68.4457474279302</v>
      </c>
      <c r="CI11" s="13" t="n">
        <f aca="false">CH11+CI8</f>
        <v>-59.2373311045925</v>
      </c>
      <c r="CJ11" s="13" t="n">
        <f aca="false">CI11+CJ8</f>
        <v>-48.7819188966906</v>
      </c>
      <c r="CK11" s="13" t="n">
        <f aca="false">CJ11+CK8</f>
        <v>-37.6042928849624</v>
      </c>
      <c r="CL11" s="13" t="n">
        <f aca="false">CK11+CL8</f>
        <v>-24.7325097934867</v>
      </c>
      <c r="CM11" s="13" t="n">
        <f aca="false">CL11+CM8</f>
        <v>-2.05181933336604</v>
      </c>
      <c r="CN11" s="13" t="n">
        <f aca="false">CM11+CN8</f>
        <v>27.3296175361201</v>
      </c>
      <c r="CO11" s="13" t="n">
        <f aca="false">CN11+CO8</f>
        <v>54.8558411436102</v>
      </c>
      <c r="CP11" s="13" t="n">
        <f aca="false">CO11+CP8</f>
        <v>84.1910133748198</v>
      </c>
      <c r="CQ11" s="13" t="n">
        <f aca="false">CP11+CQ8</f>
        <v>133.940939181019</v>
      </c>
      <c r="CR11" s="13" t="n">
        <f aca="false">CQ11+CR8</f>
        <v>181.683965675889</v>
      </c>
      <c r="CS11" s="13" t="n">
        <f aca="false">CR11+CS8</f>
        <v>222.942553693793</v>
      </c>
      <c r="CT11" s="13" t="n">
        <f aca="false">CS11+CT8</f>
        <v>264.264698351367</v>
      </c>
      <c r="CU11" s="13" t="n">
        <f aca="false">CT11+CU8</f>
        <v>305.034954801096</v>
      </c>
      <c r="CV11" s="13" t="n">
        <f aca="false">CU11+CV8</f>
        <v>346.30081112346</v>
      </c>
      <c r="CW11" s="13" t="n">
        <f aca="false">CV11+CW8</f>
        <v>393.697624881195</v>
      </c>
      <c r="CX11" s="13" t="n">
        <f aca="false">CW11+CX8</f>
        <v>437.423890794812</v>
      </c>
      <c r="CY11" s="13" t="n">
        <f aca="false">CX11+CY8</f>
        <v>480.206058955787</v>
      </c>
      <c r="CZ11" s="13" t="n">
        <f aca="false">CY11+CZ8</f>
        <v>523.70984850579</v>
      </c>
      <c r="DA11" s="13" t="n">
        <f aca="false">CZ11+DA8</f>
        <v>566.81561588703</v>
      </c>
      <c r="DB11" s="13" t="n">
        <f aca="false">DA11+DB8</f>
        <v>610.555640852624</v>
      </c>
      <c r="DC11" s="13" t="n">
        <f aca="false">DB11+DC8</f>
        <v>653.89942147149</v>
      </c>
      <c r="DD11" s="13" t="n">
        <f aca="false">DC11+DD8</f>
        <v>697.491237124666</v>
      </c>
      <c r="DE11" s="13" t="n">
        <f aca="false">DD11+DE8</f>
        <v>741.288524862615</v>
      </c>
      <c r="DF11" s="13" t="n">
        <f aca="false">DE11+DF8</f>
        <v>783.6473919041</v>
      </c>
      <c r="DG11" s="13" t="n">
        <f aca="false">DF11+DG8</f>
        <v>817.700138698998</v>
      </c>
      <c r="DH11" s="13" t="n">
        <f aca="false">DG11+DH8</f>
        <v>852.400722459653</v>
      </c>
      <c r="DI11" s="13" t="n">
        <f aca="false">DH11+DI8</f>
        <v>886.680632298869</v>
      </c>
      <c r="DJ11" s="13" t="n">
        <f aca="false">DI11+DJ8</f>
        <v>921.60315975794</v>
      </c>
      <c r="DK11" s="13" t="n">
        <f aca="false">DJ11+DK8</f>
        <v>956.100422565873</v>
      </c>
      <c r="DL11" s="13" t="n">
        <f aca="false">DK11+DL8</f>
        <v>991.124602069872</v>
      </c>
      <c r="DM11" s="13" t="n">
        <f aca="false">DL11+DM8</f>
        <v>1033.53539440204</v>
      </c>
      <c r="DN11" s="13" t="n">
        <f aca="false">DM11+DN8</f>
        <v>1071.49070459307</v>
      </c>
      <c r="DO11" s="13" t="n">
        <f aca="false">DN11+DO8</f>
        <v>1109.04393604883</v>
      </c>
      <c r="DP11" s="13" t="n">
        <f aca="false">DO11+DP8</f>
        <v>1170.14159512414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0.12446110421464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0.10077656852125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-56.6229146425278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887.870417861124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225.724011267626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0.726374810580043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37.0411331464097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11.6707310507236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3.89024368357453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1.28294212849606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1.50416416179692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1.34056816651678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1.80671965321809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0.12446110421464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0.10077656852125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-56.6229146425278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2026-10-03T21:37:27Z</dcterms:created>
  <dc:creator>openpyxl</dc:creator>
  <dc:description/>
  <dc:language>en-US</dc:language>
  <cp:lastModifiedBy/>
  <dcterms:modified xsi:type="dcterms:W3CDTF">2026-10-03T21:37:27Z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